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MA\source\repos\WienerNeustadt_Simulation\Output\"/>
    </mc:Choice>
  </mc:AlternateContent>
  <bookViews>
    <workbookView xWindow="0" yWindow="0" windowWidth="21570" windowHeight="10215"/>
  </bookViews>
  <sheets>
    <sheet name="Definitions" sheetId="1" r:id="rId1"/>
    <sheet name="Overview" sheetId="2" r:id="rId2"/>
    <sheet name="Incoming Trains" sheetId="3" r:id="rId3"/>
    <sheet name="Wagon Groups" sheetId="4" r:id="rId4"/>
    <sheet name="Outbound Trains" sheetId="5" r:id="rId5"/>
    <sheet name="Drive Stats" sheetId="6" r:id="rId6"/>
    <sheet name="WG Yard Times" sheetId="7" r:id="rId7"/>
    <sheet name="Activities (raw)" sheetId="8" r:id="rId8"/>
    <sheet name="OBTs (raw)" sheetId="9" r:id="rId9"/>
    <sheet name="WGs (raw)" sheetId="10" r:id="rId10"/>
  </sheets>
  <definedNames>
    <definedName name="_xlnm._FilterDatabase" localSheetId="7" hidden="1">'Activities (raw)'!$A$1:$L$3982</definedName>
    <definedName name="_xlnm._FilterDatabase" localSheetId="5" hidden="1">'Drive Stats'!$A$1:$N$68</definedName>
    <definedName name="_xlnm._FilterDatabase" localSheetId="2" hidden="1">'Incoming Trains'!$A$1:$T$332</definedName>
    <definedName name="_xlnm._FilterDatabase" localSheetId="8" hidden="1">'OBTs (raw)'!$A$1:$N$427</definedName>
    <definedName name="_xlnm._FilterDatabase" localSheetId="4" hidden="1">'Outbound Trains'!$A$1:$O$427</definedName>
    <definedName name="_xlnm._FilterDatabase" localSheetId="3" hidden="1">'Wagon Groups'!$A$1:$Q$1190</definedName>
    <definedName name="_xlnm._FilterDatabase" localSheetId="6" hidden="1">'WG Yard Times'!$A$1:$L$1089</definedName>
    <definedName name="_xlnm._FilterDatabase" localSheetId="9" hidden="1">'WGs (raw)'!$A$1:$H$1077</definedName>
  </definedNames>
  <calcPr calcId="162913"/>
</workbook>
</file>

<file path=xl/calcChain.xml><?xml version="1.0" encoding="utf-8"?>
<calcChain xmlns="http://schemas.openxmlformats.org/spreadsheetml/2006/main">
  <c r="H1077" i="10" l="1"/>
  <c r="G1077" i="10"/>
  <c r="H1076" i="10"/>
  <c r="G1076" i="10"/>
  <c r="H1075" i="10"/>
  <c r="G1075" i="10"/>
  <c r="H1074" i="10"/>
  <c r="G1074" i="10"/>
  <c r="H1073" i="10"/>
  <c r="G1073" i="10"/>
  <c r="H1072" i="10"/>
  <c r="G1072" i="10"/>
  <c r="H1071" i="10"/>
  <c r="G1071" i="10"/>
  <c r="H1070" i="10"/>
  <c r="G1070" i="10"/>
  <c r="H1069" i="10"/>
  <c r="G1069" i="10"/>
  <c r="H1068" i="10"/>
  <c r="G1068" i="10"/>
  <c r="H1067" i="10"/>
  <c r="G1067" i="10"/>
  <c r="H1066" i="10"/>
  <c r="G1066" i="10"/>
  <c r="H1065" i="10"/>
  <c r="G1065" i="10"/>
  <c r="H1064" i="10"/>
  <c r="G1064" i="10"/>
  <c r="H1063" i="10"/>
  <c r="G1063" i="10"/>
  <c r="H1062" i="10"/>
  <c r="G1062" i="10"/>
  <c r="H1061" i="10"/>
  <c r="G1061" i="10"/>
  <c r="H1060" i="10"/>
  <c r="G1060" i="10"/>
  <c r="H1059" i="10"/>
  <c r="G1059" i="10"/>
  <c r="H1058" i="10"/>
  <c r="G1058" i="10"/>
  <c r="H1057" i="10"/>
  <c r="G1057" i="10"/>
  <c r="H1056" i="10"/>
  <c r="G1056" i="10"/>
  <c r="H1055" i="10"/>
  <c r="G1055" i="10"/>
  <c r="H1054" i="10"/>
  <c r="G1054" i="10"/>
  <c r="H1053" i="10"/>
  <c r="G1053" i="10"/>
  <c r="H1052" i="10"/>
  <c r="G1052" i="10"/>
  <c r="H1051" i="10"/>
  <c r="G1051" i="10"/>
  <c r="H1050" i="10"/>
  <c r="G1050" i="10"/>
  <c r="H1049" i="10"/>
  <c r="G1049" i="10"/>
  <c r="H1048" i="10"/>
  <c r="G1048" i="10"/>
  <c r="H1047" i="10"/>
  <c r="G1047" i="10"/>
  <c r="H1046" i="10"/>
  <c r="G1046" i="10"/>
  <c r="H1045" i="10"/>
  <c r="G1045" i="10"/>
  <c r="H1044" i="10"/>
  <c r="G1044" i="10"/>
  <c r="H1043" i="10"/>
  <c r="G1043" i="10"/>
  <c r="H1042" i="10"/>
  <c r="G1042" i="10"/>
  <c r="H1041" i="10"/>
  <c r="G1041" i="10"/>
  <c r="H1040" i="10"/>
  <c r="G1040" i="10"/>
  <c r="H1039" i="10"/>
  <c r="G1039" i="10"/>
  <c r="H1038" i="10"/>
  <c r="G1038" i="10"/>
  <c r="H1037" i="10"/>
  <c r="G1037" i="10"/>
  <c r="H1036" i="10"/>
  <c r="G1036" i="10"/>
  <c r="H1035" i="10"/>
  <c r="G1035" i="10"/>
  <c r="H1034" i="10"/>
  <c r="G1034" i="10"/>
  <c r="H1033" i="10"/>
  <c r="G1033" i="10"/>
  <c r="H1032" i="10"/>
  <c r="G1032" i="10"/>
  <c r="H1031" i="10"/>
  <c r="G1031" i="10"/>
  <c r="H1030" i="10"/>
  <c r="G1030" i="10"/>
  <c r="H1029" i="10"/>
  <c r="G1029" i="10"/>
  <c r="H1028" i="10"/>
  <c r="G1028" i="10"/>
  <c r="H1027" i="10"/>
  <c r="G1027" i="10"/>
  <c r="H1026" i="10"/>
  <c r="G1026" i="10"/>
  <c r="H1025" i="10"/>
  <c r="G1025" i="10"/>
  <c r="H1024" i="10"/>
  <c r="G1024" i="10"/>
  <c r="H1023" i="10"/>
  <c r="G1023" i="10"/>
  <c r="H1022" i="10"/>
  <c r="G1022" i="10"/>
  <c r="H1021" i="10"/>
  <c r="G1021" i="10"/>
  <c r="H1020" i="10"/>
  <c r="G1020" i="10"/>
  <c r="H1019" i="10"/>
  <c r="G1019" i="10"/>
  <c r="H1018" i="10"/>
  <c r="G1018" i="10"/>
  <c r="H1017" i="10"/>
  <c r="G1017" i="10"/>
  <c r="H1016" i="10"/>
  <c r="G1016" i="10"/>
  <c r="H1015" i="10"/>
  <c r="G1015" i="10"/>
  <c r="H1014" i="10"/>
  <c r="G1014" i="10"/>
  <c r="H1013" i="10"/>
  <c r="G1013" i="10"/>
  <c r="H1012" i="10"/>
  <c r="G1012" i="10"/>
  <c r="H1011" i="10"/>
  <c r="G1011" i="10"/>
  <c r="H1010" i="10"/>
  <c r="G1010" i="10"/>
  <c r="H1009" i="10"/>
  <c r="G1009" i="10"/>
  <c r="H1008" i="10"/>
  <c r="G1008" i="10"/>
  <c r="H1007" i="10"/>
  <c r="G1007" i="10"/>
  <c r="H1006" i="10"/>
  <c r="G1006" i="10"/>
  <c r="H1005" i="10"/>
  <c r="G1005" i="10"/>
  <c r="H1004" i="10"/>
  <c r="G1004" i="10"/>
  <c r="H1003" i="10"/>
  <c r="G1003" i="10"/>
  <c r="H1002" i="10"/>
  <c r="G1002" i="10"/>
  <c r="H1001" i="10"/>
  <c r="G1001" i="10"/>
  <c r="H1000" i="10"/>
  <c r="G1000" i="10"/>
  <c r="H999" i="10"/>
  <c r="G999" i="10"/>
  <c r="H998" i="10"/>
  <c r="G998" i="10"/>
  <c r="H997" i="10"/>
  <c r="G997" i="10"/>
  <c r="H996" i="10"/>
  <c r="G996" i="10"/>
  <c r="H995" i="10"/>
  <c r="G995" i="10"/>
  <c r="H994" i="10"/>
  <c r="G994" i="10"/>
  <c r="H993" i="10"/>
  <c r="G993" i="10"/>
  <c r="H992" i="10"/>
  <c r="G992" i="10"/>
  <c r="H991" i="10"/>
  <c r="G991" i="10"/>
  <c r="H990" i="10"/>
  <c r="G990" i="10"/>
  <c r="H989" i="10"/>
  <c r="G989" i="10"/>
  <c r="H988" i="10"/>
  <c r="G988" i="10"/>
  <c r="H987" i="10"/>
  <c r="G987" i="10"/>
  <c r="H986" i="10"/>
  <c r="G986" i="10"/>
  <c r="H985" i="10"/>
  <c r="G985" i="10"/>
  <c r="H984" i="10"/>
  <c r="G984" i="10"/>
  <c r="H983" i="10"/>
  <c r="G983" i="10"/>
  <c r="H982" i="10"/>
  <c r="G982" i="10"/>
  <c r="H981" i="10"/>
  <c r="G981" i="10"/>
  <c r="H980" i="10"/>
  <c r="G980" i="10"/>
  <c r="H979" i="10"/>
  <c r="G979" i="10"/>
  <c r="H978" i="10"/>
  <c r="G978" i="10"/>
  <c r="H977" i="10"/>
  <c r="G977" i="10"/>
  <c r="H976" i="10"/>
  <c r="G976" i="10"/>
  <c r="H975" i="10"/>
  <c r="G975" i="10"/>
  <c r="H974" i="10"/>
  <c r="G974" i="10"/>
  <c r="H973" i="10"/>
  <c r="G973" i="10"/>
  <c r="H972" i="10"/>
  <c r="G972" i="10"/>
  <c r="H971" i="10"/>
  <c r="G971" i="10"/>
  <c r="H970" i="10"/>
  <c r="G970" i="10"/>
  <c r="H969" i="10"/>
  <c r="G969" i="10"/>
  <c r="H968" i="10"/>
  <c r="G968" i="10"/>
  <c r="H967" i="10"/>
  <c r="G967" i="10"/>
  <c r="H966" i="10"/>
  <c r="G966" i="10"/>
  <c r="H965" i="10"/>
  <c r="G965" i="10"/>
  <c r="H964" i="10"/>
  <c r="G964" i="10"/>
  <c r="H963" i="10"/>
  <c r="G963" i="10"/>
  <c r="H962" i="10"/>
  <c r="G962" i="10"/>
  <c r="H961" i="10"/>
  <c r="G961" i="10"/>
  <c r="H960" i="10"/>
  <c r="G960" i="10"/>
  <c r="H959" i="10"/>
  <c r="G959" i="10"/>
  <c r="H958" i="10"/>
  <c r="G958" i="10"/>
  <c r="H957" i="10"/>
  <c r="G957" i="10"/>
  <c r="H956" i="10"/>
  <c r="G956" i="10"/>
  <c r="H955" i="10"/>
  <c r="G955" i="10"/>
  <c r="H954" i="10"/>
  <c r="G954" i="10"/>
  <c r="H953" i="10"/>
  <c r="G953" i="10"/>
  <c r="H952" i="10"/>
  <c r="G952" i="10"/>
  <c r="H951" i="10"/>
  <c r="G951" i="10"/>
  <c r="H950" i="10"/>
  <c r="G950" i="10"/>
  <c r="H949" i="10"/>
  <c r="G949" i="10"/>
  <c r="H948" i="10"/>
  <c r="G948" i="10"/>
  <c r="H947" i="10"/>
  <c r="G947" i="10"/>
  <c r="H946" i="10"/>
  <c r="G946" i="10"/>
  <c r="H945" i="10"/>
  <c r="G945" i="10"/>
  <c r="H944" i="10"/>
  <c r="G944" i="10"/>
  <c r="H943" i="10"/>
  <c r="G943" i="10"/>
  <c r="H942" i="10"/>
  <c r="G942" i="10"/>
  <c r="H941" i="10"/>
  <c r="G941" i="10"/>
  <c r="H940" i="10"/>
  <c r="G940" i="10"/>
  <c r="H939" i="10"/>
  <c r="G939" i="10"/>
  <c r="H938" i="10"/>
  <c r="G938" i="10"/>
  <c r="H937" i="10"/>
  <c r="G937" i="10"/>
  <c r="H936" i="10"/>
  <c r="G936" i="10"/>
  <c r="H935" i="10"/>
  <c r="G935" i="10"/>
  <c r="H934" i="10"/>
  <c r="G934" i="10"/>
  <c r="H933" i="10"/>
  <c r="G933" i="10"/>
  <c r="H932" i="10"/>
  <c r="G932" i="10"/>
  <c r="H931" i="10"/>
  <c r="G931" i="10"/>
  <c r="H930" i="10"/>
  <c r="G930" i="10"/>
  <c r="H929" i="10"/>
  <c r="G929" i="10"/>
  <c r="H928" i="10"/>
  <c r="G928" i="10"/>
  <c r="H927" i="10"/>
  <c r="G927" i="10"/>
  <c r="H926" i="10"/>
  <c r="G926" i="10"/>
  <c r="H925" i="10"/>
  <c r="G925" i="10"/>
  <c r="H924" i="10"/>
  <c r="G924" i="10"/>
  <c r="H923" i="10"/>
  <c r="G923" i="10"/>
  <c r="H922" i="10"/>
  <c r="G922" i="10"/>
  <c r="H921" i="10"/>
  <c r="G921" i="10"/>
  <c r="H920" i="10"/>
  <c r="G920" i="10"/>
  <c r="H919" i="10"/>
  <c r="G919" i="10"/>
  <c r="H918" i="10"/>
  <c r="G918" i="10"/>
  <c r="H917" i="10"/>
  <c r="G917" i="10"/>
  <c r="H916" i="10"/>
  <c r="G916" i="10"/>
  <c r="H915" i="10"/>
  <c r="G915" i="10"/>
  <c r="H914" i="10"/>
  <c r="G914" i="10"/>
  <c r="H913" i="10"/>
  <c r="G913" i="10"/>
  <c r="H912" i="10"/>
  <c r="G912" i="10"/>
  <c r="H911" i="10"/>
  <c r="G911" i="10"/>
  <c r="H910" i="10"/>
  <c r="G910" i="10"/>
  <c r="H909" i="10"/>
  <c r="G909" i="10"/>
  <c r="H908" i="10"/>
  <c r="G908" i="10"/>
  <c r="H907" i="10"/>
  <c r="G907" i="10"/>
  <c r="H906" i="10"/>
  <c r="G906" i="10"/>
  <c r="H905" i="10"/>
  <c r="G905" i="10"/>
  <c r="H904" i="10"/>
  <c r="G904" i="10"/>
  <c r="H903" i="10"/>
  <c r="G903" i="10"/>
  <c r="H902" i="10"/>
  <c r="G902" i="10"/>
  <c r="H901" i="10"/>
  <c r="G901" i="10"/>
  <c r="H900" i="10"/>
  <c r="G900" i="10"/>
  <c r="H899" i="10"/>
  <c r="G899" i="10"/>
  <c r="H898" i="10"/>
  <c r="G898" i="10"/>
  <c r="H897" i="10"/>
  <c r="G897" i="10"/>
  <c r="H896" i="10"/>
  <c r="G896" i="10"/>
  <c r="H895" i="10"/>
  <c r="G895" i="10"/>
  <c r="H894" i="10"/>
  <c r="G894" i="10"/>
  <c r="H893" i="10"/>
  <c r="G893" i="10"/>
  <c r="H892" i="10"/>
  <c r="G892" i="10"/>
  <c r="H891" i="10"/>
  <c r="G891" i="10"/>
  <c r="H890" i="10"/>
  <c r="G890" i="10"/>
  <c r="H889" i="10"/>
  <c r="G889" i="10"/>
  <c r="H888" i="10"/>
  <c r="G888" i="10"/>
  <c r="H887" i="10"/>
  <c r="G887" i="10"/>
  <c r="H886" i="10"/>
  <c r="G886" i="10"/>
  <c r="H885" i="10"/>
  <c r="G885" i="10"/>
  <c r="H884" i="10"/>
  <c r="G884" i="10"/>
  <c r="H883" i="10"/>
  <c r="G883" i="10"/>
  <c r="H882" i="10"/>
  <c r="G882" i="10"/>
  <c r="H881" i="10"/>
  <c r="G881" i="10"/>
  <c r="H880" i="10"/>
  <c r="G880" i="10"/>
  <c r="H879" i="10"/>
  <c r="G879" i="10"/>
  <c r="H878" i="10"/>
  <c r="G878" i="10"/>
  <c r="H877" i="10"/>
  <c r="G877" i="10"/>
  <c r="H876" i="10"/>
  <c r="G876" i="10"/>
  <c r="H875" i="10"/>
  <c r="G875" i="10"/>
  <c r="H874" i="10"/>
  <c r="G874" i="10"/>
  <c r="H873" i="10"/>
  <c r="G873" i="10"/>
  <c r="H872" i="10"/>
  <c r="G872" i="10"/>
  <c r="H871" i="10"/>
  <c r="G871" i="10"/>
  <c r="H870" i="10"/>
  <c r="G870" i="10"/>
  <c r="H869" i="10"/>
  <c r="G869" i="10"/>
  <c r="H868" i="10"/>
  <c r="G868" i="10"/>
  <c r="H867" i="10"/>
  <c r="G867" i="10"/>
  <c r="H866" i="10"/>
  <c r="G866" i="10"/>
  <c r="H865" i="10"/>
  <c r="G865" i="10"/>
  <c r="H864" i="10"/>
  <c r="G864" i="10"/>
  <c r="H863" i="10"/>
  <c r="G863" i="10"/>
  <c r="H862" i="10"/>
  <c r="G862" i="10"/>
  <c r="H861" i="10"/>
  <c r="G861" i="10"/>
  <c r="H860" i="10"/>
  <c r="G860" i="10"/>
  <c r="H859" i="10"/>
  <c r="G859" i="10"/>
  <c r="H858" i="10"/>
  <c r="G858" i="10"/>
  <c r="H857" i="10"/>
  <c r="G857" i="10"/>
  <c r="H856" i="10"/>
  <c r="G856" i="10"/>
  <c r="H855" i="10"/>
  <c r="G855" i="10"/>
  <c r="H854" i="10"/>
  <c r="G854" i="10"/>
  <c r="H853" i="10"/>
  <c r="G853" i="10"/>
  <c r="H852" i="10"/>
  <c r="G852" i="10"/>
  <c r="H851" i="10"/>
  <c r="G851" i="10"/>
  <c r="H850" i="10"/>
  <c r="G850" i="10"/>
  <c r="H849" i="10"/>
  <c r="G849" i="10"/>
  <c r="H848" i="10"/>
  <c r="G848" i="10"/>
  <c r="H847" i="10"/>
  <c r="G847" i="10"/>
  <c r="H846" i="10"/>
  <c r="G846" i="10"/>
  <c r="H845" i="10"/>
  <c r="G845" i="10"/>
  <c r="H844" i="10"/>
  <c r="G844" i="10"/>
  <c r="H843" i="10"/>
  <c r="G843" i="10"/>
  <c r="H842" i="10"/>
  <c r="G842" i="10"/>
  <c r="H841" i="10"/>
  <c r="G841" i="10"/>
  <c r="H840" i="10"/>
  <c r="G840" i="10"/>
  <c r="H839" i="10"/>
  <c r="G839" i="10"/>
  <c r="H838" i="10"/>
  <c r="G838" i="10"/>
  <c r="H837" i="10"/>
  <c r="G837" i="10"/>
  <c r="H836" i="10"/>
  <c r="G836" i="10"/>
  <c r="H835" i="10"/>
  <c r="G835" i="10"/>
  <c r="H834" i="10"/>
  <c r="G834" i="10"/>
  <c r="H833" i="10"/>
  <c r="G833" i="10"/>
  <c r="H832" i="10"/>
  <c r="G832" i="10"/>
  <c r="H831" i="10"/>
  <c r="G831" i="10"/>
  <c r="H830" i="10"/>
  <c r="G830" i="10"/>
  <c r="H829" i="10"/>
  <c r="G829" i="10"/>
  <c r="H828" i="10"/>
  <c r="G828" i="10"/>
  <c r="H827" i="10"/>
  <c r="G827" i="10"/>
  <c r="H826" i="10"/>
  <c r="G826" i="10"/>
  <c r="H825" i="10"/>
  <c r="G825" i="10"/>
  <c r="H824" i="10"/>
  <c r="G824" i="10"/>
  <c r="H823" i="10"/>
  <c r="G823" i="10"/>
  <c r="H822" i="10"/>
  <c r="G822" i="10"/>
  <c r="H821" i="10"/>
  <c r="G821" i="10"/>
  <c r="H820" i="10"/>
  <c r="G820" i="10"/>
  <c r="H819" i="10"/>
  <c r="G819" i="10"/>
  <c r="H818" i="10"/>
  <c r="G818" i="10"/>
  <c r="H817" i="10"/>
  <c r="G817" i="10"/>
  <c r="H816" i="10"/>
  <c r="G816" i="10"/>
  <c r="H815" i="10"/>
  <c r="G815" i="10"/>
  <c r="H814" i="10"/>
  <c r="G814" i="10"/>
  <c r="H813" i="10"/>
  <c r="G813" i="10"/>
  <c r="H812" i="10"/>
  <c r="G812" i="10"/>
  <c r="H811" i="10"/>
  <c r="G811" i="10"/>
  <c r="H810" i="10"/>
  <c r="G810" i="10"/>
  <c r="H809" i="10"/>
  <c r="G809" i="10"/>
  <c r="H808" i="10"/>
  <c r="G808" i="10"/>
  <c r="H807" i="10"/>
  <c r="G807" i="10"/>
  <c r="H806" i="10"/>
  <c r="G806" i="10"/>
  <c r="H805" i="10"/>
  <c r="G805" i="10"/>
  <c r="H804" i="10"/>
  <c r="G804" i="10"/>
  <c r="H803" i="10"/>
  <c r="G803" i="10"/>
  <c r="H802" i="10"/>
  <c r="G802" i="10"/>
  <c r="H801" i="10"/>
  <c r="G801" i="10"/>
  <c r="H800" i="10"/>
  <c r="G800" i="10"/>
  <c r="H799" i="10"/>
  <c r="G799" i="10"/>
  <c r="H798" i="10"/>
  <c r="G798" i="10"/>
  <c r="H797" i="10"/>
  <c r="G797" i="10"/>
  <c r="H796" i="10"/>
  <c r="G796" i="10"/>
  <c r="H795" i="10"/>
  <c r="G795" i="10"/>
  <c r="H794" i="10"/>
  <c r="G794" i="10"/>
  <c r="H793" i="10"/>
  <c r="G793" i="10"/>
  <c r="H792" i="10"/>
  <c r="G792" i="10"/>
  <c r="H791" i="10"/>
  <c r="G791" i="10"/>
  <c r="H790" i="10"/>
  <c r="G790" i="10"/>
  <c r="H789" i="10"/>
  <c r="G789" i="10"/>
  <c r="H788" i="10"/>
  <c r="G788" i="10"/>
  <c r="H787" i="10"/>
  <c r="G787" i="10"/>
  <c r="H786" i="10"/>
  <c r="G786" i="10"/>
  <c r="H785" i="10"/>
  <c r="G785" i="10"/>
  <c r="H784" i="10"/>
  <c r="G784" i="10"/>
  <c r="H783" i="10"/>
  <c r="G783" i="10"/>
  <c r="H782" i="10"/>
  <c r="G782" i="10"/>
  <c r="H781" i="10"/>
  <c r="G781" i="10"/>
  <c r="H780" i="10"/>
  <c r="G780" i="10"/>
  <c r="H779" i="10"/>
  <c r="G779" i="10"/>
  <c r="H778" i="10"/>
  <c r="G778" i="10"/>
  <c r="H777" i="10"/>
  <c r="G777" i="10"/>
  <c r="H776" i="10"/>
  <c r="G776" i="10"/>
  <c r="H775" i="10"/>
  <c r="G775" i="10"/>
  <c r="H774" i="10"/>
  <c r="G774" i="10"/>
  <c r="H773" i="10"/>
  <c r="G773" i="10"/>
  <c r="H772" i="10"/>
  <c r="G772" i="10"/>
  <c r="H771" i="10"/>
  <c r="G771" i="10"/>
  <c r="H770" i="10"/>
  <c r="G770" i="10"/>
  <c r="H769" i="10"/>
  <c r="G769" i="10"/>
  <c r="H768" i="10"/>
  <c r="G768" i="10"/>
  <c r="H767" i="10"/>
  <c r="G767" i="10"/>
  <c r="H766" i="10"/>
  <c r="G766" i="10"/>
  <c r="H765" i="10"/>
  <c r="G765" i="10"/>
  <c r="H764" i="10"/>
  <c r="G764" i="10"/>
  <c r="H763" i="10"/>
  <c r="G763" i="10"/>
  <c r="H762" i="10"/>
  <c r="G762" i="10"/>
  <c r="H761" i="10"/>
  <c r="G761" i="10"/>
  <c r="H760" i="10"/>
  <c r="G760" i="10"/>
  <c r="H759" i="10"/>
  <c r="G759" i="10"/>
  <c r="H758" i="10"/>
  <c r="G758" i="10"/>
  <c r="H757" i="10"/>
  <c r="G757" i="10"/>
  <c r="H756" i="10"/>
  <c r="G756" i="10"/>
  <c r="H755" i="10"/>
  <c r="G755" i="10"/>
  <c r="H754" i="10"/>
  <c r="G754" i="10"/>
  <c r="H753" i="10"/>
  <c r="G753" i="10"/>
  <c r="H752" i="10"/>
  <c r="G752" i="10"/>
  <c r="H751" i="10"/>
  <c r="G751" i="10"/>
  <c r="H750" i="10"/>
  <c r="G750" i="10"/>
  <c r="H749" i="10"/>
  <c r="G749" i="10"/>
  <c r="H748" i="10"/>
  <c r="G748" i="10"/>
  <c r="H747" i="10"/>
  <c r="G747" i="10"/>
  <c r="H746" i="10"/>
  <c r="G746" i="10"/>
  <c r="H745" i="10"/>
  <c r="G745" i="10"/>
  <c r="H744" i="10"/>
  <c r="G744" i="10"/>
  <c r="H743" i="10"/>
  <c r="G743" i="10"/>
  <c r="H742" i="10"/>
  <c r="G742" i="10"/>
  <c r="H741" i="10"/>
  <c r="G741" i="10"/>
  <c r="H740" i="10"/>
  <c r="G740" i="10"/>
  <c r="H739" i="10"/>
  <c r="G739" i="10"/>
  <c r="H738" i="10"/>
  <c r="G738" i="10"/>
  <c r="H737" i="10"/>
  <c r="G737" i="10"/>
  <c r="H736" i="10"/>
  <c r="G736" i="10"/>
  <c r="H735" i="10"/>
  <c r="G735" i="10"/>
  <c r="H734" i="10"/>
  <c r="G734" i="10"/>
  <c r="H733" i="10"/>
  <c r="G733" i="10"/>
  <c r="H732" i="10"/>
  <c r="G732" i="10"/>
  <c r="H731" i="10"/>
  <c r="G731" i="10"/>
  <c r="H730" i="10"/>
  <c r="G730" i="10"/>
  <c r="H729" i="10"/>
  <c r="G729" i="10"/>
  <c r="H728" i="10"/>
  <c r="G728" i="10"/>
  <c r="H727" i="10"/>
  <c r="G727" i="10"/>
  <c r="H726" i="10"/>
  <c r="G726" i="10"/>
  <c r="H725" i="10"/>
  <c r="G725" i="10"/>
  <c r="H724" i="10"/>
  <c r="G724" i="10"/>
  <c r="H723" i="10"/>
  <c r="G723" i="10"/>
  <c r="H722" i="10"/>
  <c r="G722" i="10"/>
  <c r="H721" i="10"/>
  <c r="G721" i="10"/>
  <c r="H720" i="10"/>
  <c r="G720" i="10"/>
  <c r="H719" i="10"/>
  <c r="G719" i="10"/>
  <c r="H718" i="10"/>
  <c r="G718" i="10"/>
  <c r="H717" i="10"/>
  <c r="G717" i="10"/>
  <c r="H716" i="10"/>
  <c r="G716" i="10"/>
  <c r="H715" i="10"/>
  <c r="G715" i="10"/>
  <c r="H714" i="10"/>
  <c r="G714" i="10"/>
  <c r="H713" i="10"/>
  <c r="G713" i="10"/>
  <c r="H712" i="10"/>
  <c r="G712" i="10"/>
  <c r="H711" i="10"/>
  <c r="G711" i="10"/>
  <c r="H710" i="10"/>
  <c r="G710" i="10"/>
  <c r="H709" i="10"/>
  <c r="G709" i="10"/>
  <c r="H708" i="10"/>
  <c r="G708" i="10"/>
  <c r="H707" i="10"/>
  <c r="G707" i="10"/>
  <c r="H706" i="10"/>
  <c r="G706" i="10"/>
  <c r="H705" i="10"/>
  <c r="G705" i="10"/>
  <c r="H704" i="10"/>
  <c r="G704" i="10"/>
  <c r="H703" i="10"/>
  <c r="G703" i="10"/>
  <c r="H702" i="10"/>
  <c r="G702" i="10"/>
  <c r="H701" i="10"/>
  <c r="G701" i="10"/>
  <c r="H700" i="10"/>
  <c r="G700" i="10"/>
  <c r="H699" i="10"/>
  <c r="G699" i="10"/>
  <c r="H698" i="10"/>
  <c r="G698" i="10"/>
  <c r="H697" i="10"/>
  <c r="G697" i="10"/>
  <c r="H696" i="10"/>
  <c r="G696" i="10"/>
  <c r="H695" i="10"/>
  <c r="G695" i="10"/>
  <c r="H694" i="10"/>
  <c r="G694" i="10"/>
  <c r="H693" i="10"/>
  <c r="G693" i="10"/>
  <c r="H692" i="10"/>
  <c r="G692" i="10"/>
  <c r="H691" i="10"/>
  <c r="G691" i="10"/>
  <c r="H690" i="10"/>
  <c r="G690" i="10"/>
  <c r="H689" i="10"/>
  <c r="G689" i="10"/>
  <c r="H688" i="10"/>
  <c r="G688" i="10"/>
  <c r="H687" i="10"/>
  <c r="G687" i="10"/>
  <c r="H686" i="10"/>
  <c r="G686" i="10"/>
  <c r="H685" i="10"/>
  <c r="G685" i="10"/>
  <c r="H684" i="10"/>
  <c r="G684" i="10"/>
  <c r="H683" i="10"/>
  <c r="G683" i="10"/>
  <c r="H682" i="10"/>
  <c r="G682" i="10"/>
  <c r="H681" i="10"/>
  <c r="G681" i="10"/>
  <c r="H680" i="10"/>
  <c r="G680" i="10"/>
  <c r="H679" i="10"/>
  <c r="G679" i="10"/>
  <c r="H678" i="10"/>
  <c r="G678" i="10"/>
  <c r="H677" i="10"/>
  <c r="G677" i="10"/>
  <c r="H676" i="10"/>
  <c r="G676" i="10"/>
  <c r="H675" i="10"/>
  <c r="G675" i="10"/>
  <c r="H674" i="10"/>
  <c r="G674" i="10"/>
  <c r="H673" i="10"/>
  <c r="G673" i="10"/>
  <c r="H672" i="10"/>
  <c r="G672" i="10"/>
  <c r="H671" i="10"/>
  <c r="G671" i="10"/>
  <c r="H670" i="10"/>
  <c r="G670" i="10"/>
  <c r="H669" i="10"/>
  <c r="G669" i="10"/>
  <c r="H668" i="10"/>
  <c r="G668" i="10"/>
  <c r="H667" i="10"/>
  <c r="G667" i="10"/>
  <c r="H666" i="10"/>
  <c r="G666" i="10"/>
  <c r="H665" i="10"/>
  <c r="G665" i="10"/>
  <c r="H664" i="10"/>
  <c r="G664" i="10"/>
  <c r="H663" i="10"/>
  <c r="G663" i="10"/>
  <c r="H662" i="10"/>
  <c r="G662" i="10"/>
  <c r="H661" i="10"/>
  <c r="G661" i="10"/>
  <c r="H660" i="10"/>
  <c r="G660" i="10"/>
  <c r="H659" i="10"/>
  <c r="G659" i="10"/>
  <c r="H658" i="10"/>
  <c r="G658" i="10"/>
  <c r="H657" i="10"/>
  <c r="G657" i="10"/>
  <c r="H656" i="10"/>
  <c r="G656" i="10"/>
  <c r="H655" i="10"/>
  <c r="G655" i="10"/>
  <c r="H654" i="10"/>
  <c r="G654" i="10"/>
  <c r="H653" i="10"/>
  <c r="G653" i="10"/>
  <c r="H652" i="10"/>
  <c r="G652" i="10"/>
  <c r="H651" i="10"/>
  <c r="G651" i="10"/>
  <c r="H650" i="10"/>
  <c r="G650" i="10"/>
  <c r="H649" i="10"/>
  <c r="G649" i="10"/>
  <c r="H648" i="10"/>
  <c r="G648" i="10"/>
  <c r="H647" i="10"/>
  <c r="G647" i="10"/>
  <c r="H646" i="10"/>
  <c r="G646" i="10"/>
  <c r="H645" i="10"/>
  <c r="G645" i="10"/>
  <c r="H644" i="10"/>
  <c r="G644" i="10"/>
  <c r="H643" i="10"/>
  <c r="G643" i="10"/>
  <c r="H642" i="10"/>
  <c r="G642" i="10"/>
  <c r="H641" i="10"/>
  <c r="G641" i="10"/>
  <c r="H640" i="10"/>
  <c r="G640" i="10"/>
  <c r="H639" i="10"/>
  <c r="G639" i="10"/>
  <c r="H638" i="10"/>
  <c r="G638" i="10"/>
  <c r="H637" i="10"/>
  <c r="G637" i="10"/>
  <c r="H636" i="10"/>
  <c r="G636" i="10"/>
  <c r="H635" i="10"/>
  <c r="G635" i="10"/>
  <c r="H634" i="10"/>
  <c r="G634" i="10"/>
  <c r="H633" i="10"/>
  <c r="G633" i="10"/>
  <c r="H632" i="10"/>
  <c r="G632" i="10"/>
  <c r="H631" i="10"/>
  <c r="G631" i="10"/>
  <c r="H630" i="10"/>
  <c r="G630" i="10"/>
  <c r="H629" i="10"/>
  <c r="G629" i="10"/>
  <c r="H628" i="10"/>
  <c r="G628" i="10"/>
  <c r="H627" i="10"/>
  <c r="G627" i="10"/>
  <c r="H626" i="10"/>
  <c r="G626" i="10"/>
  <c r="H625" i="10"/>
  <c r="G625" i="10"/>
  <c r="H624" i="10"/>
  <c r="G624" i="10"/>
  <c r="H623" i="10"/>
  <c r="G623" i="10"/>
  <c r="H622" i="10"/>
  <c r="G622" i="10"/>
  <c r="H621" i="10"/>
  <c r="G621" i="10"/>
  <c r="H620" i="10"/>
  <c r="G620" i="10"/>
  <c r="H619" i="10"/>
  <c r="G619" i="10"/>
  <c r="H618" i="10"/>
  <c r="G618" i="10"/>
  <c r="H617" i="10"/>
  <c r="G617" i="10"/>
  <c r="H616" i="10"/>
  <c r="G616" i="10"/>
  <c r="H615" i="10"/>
  <c r="G615" i="10"/>
  <c r="H614" i="10"/>
  <c r="G614" i="10"/>
  <c r="H613" i="10"/>
  <c r="G613" i="10"/>
  <c r="H612" i="10"/>
  <c r="G612" i="10"/>
  <c r="H611" i="10"/>
  <c r="G611" i="10"/>
  <c r="H610" i="10"/>
  <c r="G610" i="10"/>
  <c r="H609" i="10"/>
  <c r="G609" i="10"/>
  <c r="H608" i="10"/>
  <c r="G608" i="10"/>
  <c r="H607" i="10"/>
  <c r="G607" i="10"/>
  <c r="H606" i="10"/>
  <c r="G606" i="10"/>
  <c r="H605" i="10"/>
  <c r="G605" i="10"/>
  <c r="H604" i="10"/>
  <c r="G604" i="10"/>
  <c r="H603" i="10"/>
  <c r="G603" i="10"/>
  <c r="H602" i="10"/>
  <c r="G602" i="10"/>
  <c r="H601" i="10"/>
  <c r="G601" i="10"/>
  <c r="H600" i="10"/>
  <c r="G600" i="10"/>
  <c r="H599" i="10"/>
  <c r="G599" i="10"/>
  <c r="H598" i="10"/>
  <c r="G598" i="10"/>
  <c r="H597" i="10"/>
  <c r="G597" i="10"/>
  <c r="H596" i="10"/>
  <c r="G596" i="10"/>
  <c r="H595" i="10"/>
  <c r="G595" i="10"/>
  <c r="H594" i="10"/>
  <c r="G594" i="10"/>
  <c r="H593" i="10"/>
  <c r="G593" i="10"/>
  <c r="H592" i="10"/>
  <c r="G592" i="10"/>
  <c r="H591" i="10"/>
  <c r="G591" i="10"/>
  <c r="H590" i="10"/>
  <c r="G590" i="10"/>
  <c r="H589" i="10"/>
  <c r="G589" i="10"/>
  <c r="H588" i="10"/>
  <c r="G588" i="10"/>
  <c r="H587" i="10"/>
  <c r="G587" i="10"/>
  <c r="H586" i="10"/>
  <c r="G586" i="10"/>
  <c r="H585" i="10"/>
  <c r="G585" i="10"/>
  <c r="H584" i="10"/>
  <c r="G584" i="10"/>
  <c r="H583" i="10"/>
  <c r="G583" i="10"/>
  <c r="H582" i="10"/>
  <c r="G582" i="10"/>
  <c r="H581" i="10"/>
  <c r="G581" i="10"/>
  <c r="H580" i="10"/>
  <c r="G580" i="10"/>
  <c r="H579" i="10"/>
  <c r="G579" i="10"/>
  <c r="H578" i="10"/>
  <c r="G578" i="10"/>
  <c r="H577" i="10"/>
  <c r="G577" i="10"/>
  <c r="H576" i="10"/>
  <c r="G576" i="10"/>
  <c r="H575" i="10"/>
  <c r="G575" i="10"/>
  <c r="H574" i="10"/>
  <c r="G574" i="10"/>
  <c r="H573" i="10"/>
  <c r="G573" i="10"/>
  <c r="H572" i="10"/>
  <c r="G572" i="10"/>
  <c r="H571" i="10"/>
  <c r="G571" i="10"/>
  <c r="H570" i="10"/>
  <c r="G570" i="10"/>
  <c r="H569" i="10"/>
  <c r="G569" i="10"/>
  <c r="H568" i="10"/>
  <c r="G568" i="10"/>
  <c r="H567" i="10"/>
  <c r="G567" i="10"/>
  <c r="H566" i="10"/>
  <c r="G566" i="10"/>
  <c r="H565" i="10"/>
  <c r="G565" i="10"/>
  <c r="H564" i="10"/>
  <c r="G564" i="10"/>
  <c r="H563" i="10"/>
  <c r="G563" i="10"/>
  <c r="H562" i="10"/>
  <c r="G562" i="10"/>
  <c r="H561" i="10"/>
  <c r="G561" i="10"/>
  <c r="H560" i="10"/>
  <c r="G560" i="10"/>
  <c r="H559" i="10"/>
  <c r="G559" i="10"/>
  <c r="H558" i="10"/>
  <c r="G558" i="10"/>
  <c r="H557" i="10"/>
  <c r="G557" i="10"/>
  <c r="H556" i="10"/>
  <c r="G556" i="10"/>
  <c r="H555" i="10"/>
  <c r="G555" i="10"/>
  <c r="H554" i="10"/>
  <c r="G554" i="10"/>
  <c r="H553" i="10"/>
  <c r="G553" i="10"/>
  <c r="H552" i="10"/>
  <c r="G552" i="10"/>
  <c r="H551" i="10"/>
  <c r="G551" i="10"/>
  <c r="H550" i="10"/>
  <c r="G550" i="10"/>
  <c r="H549" i="10"/>
  <c r="G549" i="10"/>
  <c r="H548" i="10"/>
  <c r="G548" i="10"/>
  <c r="H547" i="10"/>
  <c r="G547" i="10"/>
  <c r="H546" i="10"/>
  <c r="G546" i="10"/>
  <c r="H545" i="10"/>
  <c r="G545" i="10"/>
  <c r="H544" i="10"/>
  <c r="G544" i="10"/>
  <c r="H543" i="10"/>
  <c r="G543" i="10"/>
  <c r="H542" i="10"/>
  <c r="G542" i="10"/>
  <c r="H541" i="10"/>
  <c r="G541" i="10"/>
  <c r="H540" i="10"/>
  <c r="G540" i="10"/>
  <c r="H539" i="10"/>
  <c r="G539" i="10"/>
  <c r="H538" i="10"/>
  <c r="G538" i="10"/>
  <c r="H537" i="10"/>
  <c r="G537" i="10"/>
  <c r="H536" i="10"/>
  <c r="G536" i="10"/>
  <c r="H535" i="10"/>
  <c r="G535" i="10"/>
  <c r="H534" i="10"/>
  <c r="G534" i="10"/>
  <c r="H533" i="10"/>
  <c r="G533" i="10"/>
  <c r="H532" i="10"/>
  <c r="G532" i="10"/>
  <c r="H531" i="10"/>
  <c r="G531" i="10"/>
  <c r="H530" i="10"/>
  <c r="G530" i="10"/>
  <c r="H529" i="10"/>
  <c r="G529" i="10"/>
  <c r="H528" i="10"/>
  <c r="G528" i="10"/>
  <c r="H527" i="10"/>
  <c r="G527" i="10"/>
  <c r="H526" i="10"/>
  <c r="G526" i="10"/>
  <c r="H525" i="10"/>
  <c r="G525" i="10"/>
  <c r="H524" i="10"/>
  <c r="G524" i="10"/>
  <c r="H523" i="10"/>
  <c r="G523" i="10"/>
  <c r="H522" i="10"/>
  <c r="G522" i="10"/>
  <c r="H521" i="10"/>
  <c r="G521" i="10"/>
  <c r="H520" i="10"/>
  <c r="G520" i="10"/>
  <c r="H519" i="10"/>
  <c r="G519" i="10"/>
  <c r="H518" i="10"/>
  <c r="G518" i="10"/>
  <c r="H517" i="10"/>
  <c r="G517" i="10"/>
  <c r="H516" i="10"/>
  <c r="G516" i="10"/>
  <c r="H515" i="10"/>
  <c r="G515" i="10"/>
  <c r="H514" i="10"/>
  <c r="G514" i="10"/>
  <c r="H513" i="10"/>
  <c r="G513" i="10"/>
  <c r="H512" i="10"/>
  <c r="G512" i="10"/>
  <c r="H511" i="10"/>
  <c r="G511" i="10"/>
  <c r="H510" i="10"/>
  <c r="G510" i="10"/>
  <c r="H509" i="10"/>
  <c r="G509" i="10"/>
  <c r="H508" i="10"/>
  <c r="G508" i="10"/>
  <c r="H507" i="10"/>
  <c r="G507" i="10"/>
  <c r="H506" i="10"/>
  <c r="G506" i="10"/>
  <c r="H505" i="10"/>
  <c r="G505" i="10"/>
  <c r="H504" i="10"/>
  <c r="G504" i="10"/>
  <c r="H503" i="10"/>
  <c r="G503" i="10"/>
  <c r="H502" i="10"/>
  <c r="G502" i="10"/>
  <c r="H501" i="10"/>
  <c r="G501" i="10"/>
  <c r="H500" i="10"/>
  <c r="G500" i="10"/>
  <c r="H499" i="10"/>
  <c r="G499" i="10"/>
  <c r="H498" i="10"/>
  <c r="G498" i="10"/>
  <c r="H497" i="10"/>
  <c r="G497" i="10"/>
  <c r="H496" i="10"/>
  <c r="G496" i="10"/>
  <c r="H495" i="10"/>
  <c r="G495" i="10"/>
  <c r="H494" i="10"/>
  <c r="G494" i="10"/>
  <c r="H493" i="10"/>
  <c r="G493" i="10"/>
  <c r="H492" i="10"/>
  <c r="G492" i="10"/>
  <c r="H491" i="10"/>
  <c r="G491" i="10"/>
  <c r="H490" i="10"/>
  <c r="G490" i="10"/>
  <c r="H489" i="10"/>
  <c r="G489" i="10"/>
  <c r="H488" i="10"/>
  <c r="G488" i="10"/>
  <c r="H487" i="10"/>
  <c r="G487" i="10"/>
  <c r="H486" i="10"/>
  <c r="G486" i="10"/>
  <c r="H485" i="10"/>
  <c r="G485" i="10"/>
  <c r="H484" i="10"/>
  <c r="G484" i="10"/>
  <c r="H483" i="10"/>
  <c r="G483" i="10"/>
  <c r="H482" i="10"/>
  <c r="G482" i="10"/>
  <c r="H481" i="10"/>
  <c r="G481" i="10"/>
  <c r="H480" i="10"/>
  <c r="G480" i="10"/>
  <c r="H479" i="10"/>
  <c r="G479" i="10"/>
  <c r="H478" i="10"/>
  <c r="G478" i="10"/>
  <c r="H477" i="10"/>
  <c r="G477" i="10"/>
  <c r="H476" i="10"/>
  <c r="G476" i="10"/>
  <c r="H475" i="10"/>
  <c r="G475" i="10"/>
  <c r="H474" i="10"/>
  <c r="G474" i="10"/>
  <c r="H473" i="10"/>
  <c r="G473" i="10"/>
  <c r="H472" i="10"/>
  <c r="G472" i="10"/>
  <c r="H471" i="10"/>
  <c r="G471" i="10"/>
  <c r="H470" i="10"/>
  <c r="G470" i="10"/>
  <c r="H469" i="10"/>
  <c r="G469" i="10"/>
  <c r="H468" i="10"/>
  <c r="G468" i="10"/>
  <c r="H467" i="10"/>
  <c r="G467" i="10"/>
  <c r="H466" i="10"/>
  <c r="G466" i="10"/>
  <c r="H465" i="10"/>
  <c r="G465" i="10"/>
  <c r="H464" i="10"/>
  <c r="G464" i="10"/>
  <c r="H463" i="10"/>
  <c r="G463" i="10"/>
  <c r="H462" i="10"/>
  <c r="G462" i="10"/>
  <c r="H461" i="10"/>
  <c r="G461" i="10"/>
  <c r="H460" i="10"/>
  <c r="G460" i="10"/>
  <c r="H459" i="10"/>
  <c r="G459" i="10"/>
  <c r="H458" i="10"/>
  <c r="G458" i="10"/>
  <c r="H457" i="10"/>
  <c r="G457" i="10"/>
  <c r="H456" i="10"/>
  <c r="G456" i="10"/>
  <c r="H455" i="10"/>
  <c r="G455" i="10"/>
  <c r="H454" i="10"/>
  <c r="G454" i="10"/>
  <c r="H453" i="10"/>
  <c r="G453" i="10"/>
  <c r="H452" i="10"/>
  <c r="G452" i="10"/>
  <c r="H451" i="10"/>
  <c r="G451" i="10"/>
  <c r="H450" i="10"/>
  <c r="G450" i="10"/>
  <c r="H449" i="10"/>
  <c r="G449" i="10"/>
  <c r="H448" i="10"/>
  <c r="G448" i="10"/>
  <c r="H447" i="10"/>
  <c r="G447" i="10"/>
  <c r="H446" i="10"/>
  <c r="G446" i="10"/>
  <c r="H445" i="10"/>
  <c r="G445" i="10"/>
  <c r="H444" i="10"/>
  <c r="G444" i="10"/>
  <c r="H443" i="10"/>
  <c r="G443" i="10"/>
  <c r="H442" i="10"/>
  <c r="G442" i="10"/>
  <c r="H441" i="10"/>
  <c r="G441" i="10"/>
  <c r="H440" i="10"/>
  <c r="G440" i="10"/>
  <c r="H439" i="10"/>
  <c r="G439" i="10"/>
  <c r="H438" i="10"/>
  <c r="G438" i="10"/>
  <c r="H437" i="10"/>
  <c r="G437" i="10"/>
  <c r="H436" i="10"/>
  <c r="G436" i="10"/>
  <c r="H435" i="10"/>
  <c r="G435" i="10"/>
  <c r="H434" i="10"/>
  <c r="G434" i="10"/>
  <c r="H433" i="10"/>
  <c r="G433" i="10"/>
  <c r="H432" i="10"/>
  <c r="G432" i="10"/>
  <c r="H431" i="10"/>
  <c r="G431" i="10"/>
  <c r="H430" i="10"/>
  <c r="G430" i="10"/>
  <c r="H429" i="10"/>
  <c r="G429" i="10"/>
  <c r="H428" i="10"/>
  <c r="G428" i="10"/>
  <c r="H427" i="10"/>
  <c r="G427" i="10"/>
  <c r="H426" i="10"/>
  <c r="G426" i="10"/>
  <c r="H425" i="10"/>
  <c r="G425" i="10"/>
  <c r="H424" i="10"/>
  <c r="G424" i="10"/>
  <c r="H423" i="10"/>
  <c r="G423" i="10"/>
  <c r="H422" i="10"/>
  <c r="G422" i="10"/>
  <c r="H421" i="10"/>
  <c r="G421" i="10"/>
  <c r="H420" i="10"/>
  <c r="G420" i="10"/>
  <c r="H419" i="10"/>
  <c r="G419" i="10"/>
  <c r="H418" i="10"/>
  <c r="G418" i="10"/>
  <c r="H417" i="10"/>
  <c r="G417" i="10"/>
  <c r="H416" i="10"/>
  <c r="G416" i="10"/>
  <c r="H415" i="10"/>
  <c r="G415" i="10"/>
  <c r="H414" i="10"/>
  <c r="G414" i="10"/>
  <c r="H413" i="10"/>
  <c r="G413" i="10"/>
  <c r="H412" i="10"/>
  <c r="G412" i="10"/>
  <c r="H411" i="10"/>
  <c r="G411" i="10"/>
  <c r="H410" i="10"/>
  <c r="G410" i="10"/>
  <c r="H409" i="10"/>
  <c r="G409" i="10"/>
  <c r="H408" i="10"/>
  <c r="G408" i="10"/>
  <c r="H407" i="10"/>
  <c r="G407" i="10"/>
  <c r="H406" i="10"/>
  <c r="G406" i="10"/>
  <c r="H405" i="10"/>
  <c r="G405" i="10"/>
  <c r="H404" i="10"/>
  <c r="G404" i="10"/>
  <c r="H403" i="10"/>
  <c r="G403" i="10"/>
  <c r="H402" i="10"/>
  <c r="G402" i="10"/>
  <c r="H401" i="10"/>
  <c r="G401" i="10"/>
  <c r="H400" i="10"/>
  <c r="G400" i="10"/>
  <c r="H399" i="10"/>
  <c r="G399" i="10"/>
  <c r="H398" i="10"/>
  <c r="G398" i="10"/>
  <c r="H397" i="10"/>
  <c r="G397" i="10"/>
  <c r="H396" i="10"/>
  <c r="G396" i="10"/>
  <c r="H395" i="10"/>
  <c r="G395" i="10"/>
  <c r="H394" i="10"/>
  <c r="G394" i="10"/>
  <c r="H393" i="10"/>
  <c r="G393" i="10"/>
  <c r="H392" i="10"/>
  <c r="G392" i="10"/>
  <c r="H391" i="10"/>
  <c r="G391" i="10"/>
  <c r="H390" i="10"/>
  <c r="G390" i="10"/>
  <c r="H389" i="10"/>
  <c r="G389" i="10"/>
  <c r="H388" i="10"/>
  <c r="G388" i="10"/>
  <c r="H387" i="10"/>
  <c r="G387" i="10"/>
  <c r="H386" i="10"/>
  <c r="G386" i="10"/>
  <c r="H385" i="10"/>
  <c r="G385" i="10"/>
  <c r="H384" i="10"/>
  <c r="G384" i="10"/>
  <c r="H383" i="10"/>
  <c r="G383" i="10"/>
  <c r="H382" i="10"/>
  <c r="G382" i="10"/>
  <c r="H381" i="10"/>
  <c r="G381" i="10"/>
  <c r="H380" i="10"/>
  <c r="G380" i="10"/>
  <c r="H379" i="10"/>
  <c r="G379" i="10"/>
  <c r="H378" i="10"/>
  <c r="G378" i="10"/>
  <c r="H377" i="10"/>
  <c r="G377" i="10"/>
  <c r="H376" i="10"/>
  <c r="G376" i="10"/>
  <c r="H375" i="10"/>
  <c r="G375" i="10"/>
  <c r="H374" i="10"/>
  <c r="G374" i="10"/>
  <c r="H373" i="10"/>
  <c r="G373" i="10"/>
  <c r="H372" i="10"/>
  <c r="G372" i="10"/>
  <c r="H371" i="10"/>
  <c r="G371" i="10"/>
  <c r="H370" i="10"/>
  <c r="G370" i="10"/>
  <c r="H369" i="10"/>
  <c r="G369" i="10"/>
  <c r="H368" i="10"/>
  <c r="G368" i="10"/>
  <c r="H367" i="10"/>
  <c r="G367" i="10"/>
  <c r="H366" i="10"/>
  <c r="G366" i="10"/>
  <c r="H365" i="10"/>
  <c r="G365" i="10"/>
  <c r="H364" i="10"/>
  <c r="G364" i="10"/>
  <c r="H363" i="10"/>
  <c r="G363" i="10"/>
  <c r="H362" i="10"/>
  <c r="G362" i="10"/>
  <c r="H361" i="10"/>
  <c r="G361" i="10"/>
  <c r="H360" i="10"/>
  <c r="G360" i="10"/>
  <c r="H359" i="10"/>
  <c r="G359" i="10"/>
  <c r="H358" i="10"/>
  <c r="G358" i="10"/>
  <c r="H357" i="10"/>
  <c r="G357" i="10"/>
  <c r="H356" i="10"/>
  <c r="G356" i="10"/>
  <c r="H355" i="10"/>
  <c r="G355" i="10"/>
  <c r="H354" i="10"/>
  <c r="G354" i="10"/>
  <c r="H353" i="10"/>
  <c r="G353" i="10"/>
  <c r="H352" i="10"/>
  <c r="G352" i="10"/>
  <c r="H351" i="10"/>
  <c r="G351" i="10"/>
  <c r="H350" i="10"/>
  <c r="G350" i="10"/>
  <c r="H349" i="10"/>
  <c r="G349" i="10"/>
  <c r="H348" i="10"/>
  <c r="G348" i="10"/>
  <c r="H347" i="10"/>
  <c r="G347" i="10"/>
  <c r="H346" i="10"/>
  <c r="G346" i="10"/>
  <c r="H345" i="10"/>
  <c r="G345" i="10"/>
  <c r="H344" i="10"/>
  <c r="G344" i="10"/>
  <c r="H343" i="10"/>
  <c r="G343" i="10"/>
  <c r="H342" i="10"/>
  <c r="G342" i="10"/>
  <c r="H341" i="10"/>
  <c r="G341" i="10"/>
  <c r="H340" i="10"/>
  <c r="G340" i="10"/>
  <c r="H339" i="10"/>
  <c r="G339" i="10"/>
  <c r="H338" i="10"/>
  <c r="G338" i="10"/>
  <c r="H337" i="10"/>
  <c r="G337" i="10"/>
  <c r="H336" i="10"/>
  <c r="G336" i="10"/>
  <c r="H335" i="10"/>
  <c r="G335" i="10"/>
  <c r="H334" i="10"/>
  <c r="G334" i="10"/>
  <c r="H333" i="10"/>
  <c r="G333" i="10"/>
  <c r="H332" i="10"/>
  <c r="G332" i="10"/>
  <c r="H331" i="10"/>
  <c r="G331" i="10"/>
  <c r="H330" i="10"/>
  <c r="G330" i="10"/>
  <c r="H329" i="10"/>
  <c r="G329" i="10"/>
  <c r="H328" i="10"/>
  <c r="G328" i="10"/>
  <c r="H327" i="10"/>
  <c r="G327" i="10"/>
  <c r="H326" i="10"/>
  <c r="G326" i="10"/>
  <c r="H325" i="10"/>
  <c r="G325" i="10"/>
  <c r="H324" i="10"/>
  <c r="G324" i="10"/>
  <c r="H323" i="10"/>
  <c r="G323" i="10"/>
  <c r="H322" i="10"/>
  <c r="G322" i="10"/>
  <c r="H321" i="10"/>
  <c r="G321" i="10"/>
  <c r="H320" i="10"/>
  <c r="G320" i="10"/>
  <c r="H319" i="10"/>
  <c r="G319" i="10"/>
  <c r="H318" i="10"/>
  <c r="G318" i="10"/>
  <c r="H317" i="10"/>
  <c r="G317" i="10"/>
  <c r="H316" i="10"/>
  <c r="G316" i="10"/>
  <c r="H315" i="10"/>
  <c r="G315" i="10"/>
  <c r="H314" i="10"/>
  <c r="G314" i="10"/>
  <c r="H313" i="10"/>
  <c r="G313" i="10"/>
  <c r="H312" i="10"/>
  <c r="G312" i="10"/>
  <c r="H311" i="10"/>
  <c r="G311" i="10"/>
  <c r="H310" i="10"/>
  <c r="G310" i="10"/>
  <c r="H309" i="10"/>
  <c r="G309" i="10"/>
  <c r="H308" i="10"/>
  <c r="G308" i="10"/>
  <c r="H307" i="10"/>
  <c r="G307" i="10"/>
  <c r="H306" i="10"/>
  <c r="G306" i="10"/>
  <c r="H305" i="10"/>
  <c r="G305" i="10"/>
  <c r="H304" i="10"/>
  <c r="G304" i="10"/>
  <c r="H303" i="10"/>
  <c r="G303" i="10"/>
  <c r="H302" i="10"/>
  <c r="G302" i="10"/>
  <c r="H301" i="10"/>
  <c r="G301" i="10"/>
  <c r="H300" i="10"/>
  <c r="G300" i="10"/>
  <c r="H299" i="10"/>
  <c r="G299" i="10"/>
  <c r="H298" i="10"/>
  <c r="G298" i="10"/>
  <c r="H297" i="10"/>
  <c r="G297" i="10"/>
  <c r="H296" i="10"/>
  <c r="G296" i="10"/>
  <c r="H295" i="10"/>
  <c r="G295" i="10"/>
  <c r="H294" i="10"/>
  <c r="G294" i="10"/>
  <c r="H293" i="10"/>
  <c r="G293" i="10"/>
  <c r="H292" i="10"/>
  <c r="G292" i="10"/>
  <c r="H291" i="10"/>
  <c r="G291" i="10"/>
  <c r="H290" i="10"/>
  <c r="G290" i="10"/>
  <c r="H289" i="10"/>
  <c r="G289" i="10"/>
  <c r="H288" i="10"/>
  <c r="G288" i="10"/>
  <c r="H287" i="10"/>
  <c r="G287" i="10"/>
  <c r="H286" i="10"/>
  <c r="G286" i="10"/>
  <c r="H285" i="10"/>
  <c r="G285" i="10"/>
  <c r="H284" i="10"/>
  <c r="G284" i="10"/>
  <c r="H283" i="10"/>
  <c r="G283" i="10"/>
  <c r="H282" i="10"/>
  <c r="G282" i="10"/>
  <c r="H281" i="10"/>
  <c r="G281" i="10"/>
  <c r="H280" i="10"/>
  <c r="G280" i="10"/>
  <c r="H279" i="10"/>
  <c r="G279" i="10"/>
  <c r="H278" i="10"/>
  <c r="G278" i="10"/>
  <c r="H277" i="10"/>
  <c r="G277" i="10"/>
  <c r="H276" i="10"/>
  <c r="G276" i="10"/>
  <c r="H275" i="10"/>
  <c r="G275" i="10"/>
  <c r="H274" i="10"/>
  <c r="G274" i="10"/>
  <c r="H273" i="10"/>
  <c r="G273" i="10"/>
  <c r="H272" i="10"/>
  <c r="G272" i="10"/>
  <c r="H271" i="10"/>
  <c r="G271" i="10"/>
  <c r="H270" i="10"/>
  <c r="G270" i="10"/>
  <c r="H269" i="10"/>
  <c r="G269" i="10"/>
  <c r="H268" i="10"/>
  <c r="G268" i="10"/>
  <c r="H267" i="10"/>
  <c r="G267" i="10"/>
  <c r="H266" i="10"/>
  <c r="G266" i="10"/>
  <c r="H265" i="10"/>
  <c r="G265" i="10"/>
  <c r="H264" i="10"/>
  <c r="G264" i="10"/>
  <c r="H263" i="10"/>
  <c r="G263" i="10"/>
  <c r="H262" i="10"/>
  <c r="G262" i="10"/>
  <c r="H261" i="10"/>
  <c r="G261" i="10"/>
  <c r="H260" i="10"/>
  <c r="G260" i="10"/>
  <c r="H259" i="10"/>
  <c r="G259" i="10"/>
  <c r="H258" i="10"/>
  <c r="G258" i="10"/>
  <c r="H257" i="10"/>
  <c r="G257" i="10"/>
  <c r="H256" i="10"/>
  <c r="G256" i="10"/>
  <c r="H255" i="10"/>
  <c r="G255" i="10"/>
  <c r="H254" i="10"/>
  <c r="G254" i="10"/>
  <c r="H253" i="10"/>
  <c r="G253" i="10"/>
  <c r="H252" i="10"/>
  <c r="G252" i="10"/>
  <c r="H251" i="10"/>
  <c r="G251" i="10"/>
  <c r="H250" i="10"/>
  <c r="G250" i="10"/>
  <c r="H249" i="10"/>
  <c r="G249" i="10"/>
  <c r="H248" i="10"/>
  <c r="G248" i="10"/>
  <c r="H247" i="10"/>
  <c r="G247" i="10"/>
  <c r="H246" i="10"/>
  <c r="G246" i="10"/>
  <c r="H245" i="10"/>
  <c r="G245" i="10"/>
  <c r="H244" i="10"/>
  <c r="G244" i="10"/>
  <c r="H243" i="10"/>
  <c r="G243" i="10"/>
  <c r="H242" i="10"/>
  <c r="G242" i="10"/>
  <c r="H241" i="10"/>
  <c r="G241" i="10"/>
  <c r="H240" i="10"/>
  <c r="G240" i="10"/>
  <c r="H239" i="10"/>
  <c r="G239" i="10"/>
  <c r="H238" i="10"/>
  <c r="G238" i="10"/>
  <c r="H237" i="10"/>
  <c r="G237" i="10"/>
  <c r="H236" i="10"/>
  <c r="G236" i="10"/>
  <c r="H235" i="10"/>
  <c r="G235" i="10"/>
  <c r="H234" i="10"/>
  <c r="G234" i="10"/>
  <c r="H233" i="10"/>
  <c r="G233" i="10"/>
  <c r="H232" i="10"/>
  <c r="G232" i="10"/>
  <c r="H231" i="10"/>
  <c r="G231" i="10"/>
  <c r="H230" i="10"/>
  <c r="G230" i="10"/>
  <c r="H229" i="10"/>
  <c r="G229" i="10"/>
  <c r="H228" i="10"/>
  <c r="G228" i="10"/>
  <c r="H227" i="10"/>
  <c r="G227" i="10"/>
  <c r="H226" i="10"/>
  <c r="G226" i="10"/>
  <c r="H225" i="10"/>
  <c r="G225" i="10"/>
  <c r="H224" i="10"/>
  <c r="G224" i="10"/>
  <c r="H223" i="10"/>
  <c r="G223" i="10"/>
  <c r="H222" i="10"/>
  <c r="G222" i="10"/>
  <c r="H221" i="10"/>
  <c r="G221" i="10"/>
  <c r="H220" i="10"/>
  <c r="G220" i="10"/>
  <c r="H219" i="10"/>
  <c r="G219" i="10"/>
  <c r="H218" i="10"/>
  <c r="G218" i="10"/>
  <c r="H217" i="10"/>
  <c r="G217" i="10"/>
  <c r="H216" i="10"/>
  <c r="G216" i="10"/>
  <c r="H215" i="10"/>
  <c r="G215" i="10"/>
  <c r="H214" i="10"/>
  <c r="G214" i="10"/>
  <c r="H213" i="10"/>
  <c r="G213" i="10"/>
  <c r="H212" i="10"/>
  <c r="G212" i="10"/>
  <c r="H211" i="10"/>
  <c r="G211" i="10"/>
  <c r="H210" i="10"/>
  <c r="G210" i="10"/>
  <c r="H209" i="10"/>
  <c r="G209" i="10"/>
  <c r="H208" i="10"/>
  <c r="G208" i="10"/>
  <c r="H207" i="10"/>
  <c r="G207" i="10"/>
  <c r="H206" i="10"/>
  <c r="G206" i="10"/>
  <c r="H205" i="10"/>
  <c r="G205" i="10"/>
  <c r="H204" i="10"/>
  <c r="G204" i="10"/>
  <c r="H203" i="10"/>
  <c r="G203" i="10"/>
  <c r="H202" i="10"/>
  <c r="G202" i="10"/>
  <c r="H201" i="10"/>
  <c r="G201" i="10"/>
  <c r="H200" i="10"/>
  <c r="G200" i="10"/>
  <c r="H199" i="10"/>
  <c r="G199" i="10"/>
  <c r="H198" i="10"/>
  <c r="G198" i="10"/>
  <c r="H197" i="10"/>
  <c r="G197" i="10"/>
  <c r="H196" i="10"/>
  <c r="G196" i="10"/>
  <c r="H195" i="10"/>
  <c r="G195" i="10"/>
  <c r="H194" i="10"/>
  <c r="G194" i="10"/>
  <c r="H193" i="10"/>
  <c r="G193" i="10"/>
  <c r="H192" i="10"/>
  <c r="G192" i="10"/>
  <c r="H191" i="10"/>
  <c r="G191" i="10"/>
  <c r="H190" i="10"/>
  <c r="G190" i="10"/>
  <c r="H189" i="10"/>
  <c r="G189" i="10"/>
  <c r="H188" i="10"/>
  <c r="G188" i="10"/>
  <c r="H187" i="10"/>
  <c r="G187" i="10"/>
  <c r="H186" i="10"/>
  <c r="G186" i="10"/>
  <c r="H185" i="10"/>
  <c r="G185" i="10"/>
  <c r="H184" i="10"/>
  <c r="G184" i="10"/>
  <c r="H183" i="10"/>
  <c r="G183" i="10"/>
  <c r="H182" i="10"/>
  <c r="G182" i="10"/>
  <c r="H181" i="10"/>
  <c r="G181" i="10"/>
  <c r="H180" i="10"/>
  <c r="G180" i="10"/>
  <c r="H179" i="10"/>
  <c r="G179" i="10"/>
  <c r="H178" i="10"/>
  <c r="G178" i="10"/>
  <c r="H177" i="10"/>
  <c r="G177" i="10"/>
  <c r="H176" i="10"/>
  <c r="G176" i="10"/>
  <c r="H175" i="10"/>
  <c r="G175" i="10"/>
  <c r="H174" i="10"/>
  <c r="G174" i="10"/>
  <c r="H173" i="10"/>
  <c r="G173" i="10"/>
  <c r="H172" i="10"/>
  <c r="G172" i="10"/>
  <c r="H171" i="10"/>
  <c r="G171" i="10"/>
  <c r="H170" i="10"/>
  <c r="G170" i="10"/>
  <c r="H169" i="10"/>
  <c r="G169" i="10"/>
  <c r="H168" i="10"/>
  <c r="G168" i="10"/>
  <c r="H167" i="10"/>
  <c r="G167" i="10"/>
  <c r="H166" i="10"/>
  <c r="G166" i="10"/>
  <c r="H165" i="10"/>
  <c r="G165" i="10"/>
  <c r="H164" i="10"/>
  <c r="G164" i="10"/>
  <c r="H163" i="10"/>
  <c r="G163" i="10"/>
  <c r="H162" i="10"/>
  <c r="G162" i="10"/>
  <c r="H161" i="10"/>
  <c r="G161" i="10"/>
  <c r="H160" i="10"/>
  <c r="G160" i="10"/>
  <c r="H159" i="10"/>
  <c r="G159" i="10"/>
  <c r="H158" i="10"/>
  <c r="G158" i="10"/>
  <c r="H157" i="10"/>
  <c r="G157" i="10"/>
  <c r="H156" i="10"/>
  <c r="G156" i="10"/>
  <c r="H155" i="10"/>
  <c r="G155" i="10"/>
  <c r="H154" i="10"/>
  <c r="G154" i="10"/>
  <c r="H153" i="10"/>
  <c r="G153" i="10"/>
  <c r="H152" i="10"/>
  <c r="G152" i="10"/>
  <c r="H151" i="10"/>
  <c r="G151" i="10"/>
  <c r="H150" i="10"/>
  <c r="G150" i="10"/>
  <c r="H149" i="10"/>
  <c r="G149" i="10"/>
  <c r="H148" i="10"/>
  <c r="G148" i="10"/>
  <c r="H147" i="10"/>
  <c r="G147" i="10"/>
  <c r="H146" i="10"/>
  <c r="G146" i="10"/>
  <c r="H145" i="10"/>
  <c r="G145" i="10"/>
  <c r="H144" i="10"/>
  <c r="G144" i="10"/>
  <c r="H143" i="10"/>
  <c r="G143" i="10"/>
  <c r="H142" i="10"/>
  <c r="G142" i="10"/>
  <c r="H141" i="10"/>
  <c r="G141" i="10"/>
  <c r="H140" i="10"/>
  <c r="G140" i="10"/>
  <c r="H139" i="10"/>
  <c r="G139" i="10"/>
  <c r="H138" i="10"/>
  <c r="G138" i="10"/>
  <c r="H137" i="10"/>
  <c r="G137" i="10"/>
  <c r="H136" i="10"/>
  <c r="G136" i="10"/>
  <c r="H135" i="10"/>
  <c r="G135" i="10"/>
  <c r="H134" i="10"/>
  <c r="G134" i="10"/>
  <c r="H133" i="10"/>
  <c r="G133" i="10"/>
  <c r="H132" i="10"/>
  <c r="G132" i="10"/>
  <c r="H131" i="10"/>
  <c r="G131" i="10"/>
  <c r="H130" i="10"/>
  <c r="G130" i="10"/>
  <c r="H129" i="10"/>
  <c r="G129" i="10"/>
  <c r="H128" i="10"/>
  <c r="G128" i="10"/>
  <c r="H127" i="10"/>
  <c r="G127" i="10"/>
  <c r="H126" i="10"/>
  <c r="G126" i="10"/>
  <c r="H125" i="10"/>
  <c r="G125" i="10"/>
  <c r="H124" i="10"/>
  <c r="G124" i="10"/>
  <c r="H123" i="10"/>
  <c r="G123" i="10"/>
  <c r="H122" i="10"/>
  <c r="G122" i="10"/>
  <c r="H121" i="10"/>
  <c r="G121" i="10"/>
  <c r="H120" i="10"/>
  <c r="G120" i="10"/>
  <c r="H119" i="10"/>
  <c r="G119" i="10"/>
  <c r="H118" i="10"/>
  <c r="G118" i="10"/>
  <c r="H117" i="10"/>
  <c r="G117" i="10"/>
  <c r="H116" i="10"/>
  <c r="G116" i="10"/>
  <c r="H115" i="10"/>
  <c r="G115" i="10"/>
  <c r="H114" i="10"/>
  <c r="G114" i="10"/>
  <c r="H113" i="10"/>
  <c r="G113" i="10"/>
  <c r="H112" i="10"/>
  <c r="G112" i="10"/>
  <c r="H111" i="10"/>
  <c r="G111" i="10"/>
  <c r="H110" i="10"/>
  <c r="G110" i="10"/>
  <c r="H109" i="10"/>
  <c r="G109" i="10"/>
  <c r="H108" i="10"/>
  <c r="G108" i="10"/>
  <c r="H107" i="10"/>
  <c r="G107" i="10"/>
  <c r="H106" i="10"/>
  <c r="G106" i="10"/>
  <c r="H105" i="10"/>
  <c r="G105" i="10"/>
  <c r="H104" i="10"/>
  <c r="G104" i="10"/>
  <c r="H103" i="10"/>
  <c r="G103" i="10"/>
  <c r="H102" i="10"/>
  <c r="G102" i="10"/>
  <c r="H101" i="10"/>
  <c r="G101" i="10"/>
  <c r="H100" i="10"/>
  <c r="G100" i="10"/>
  <c r="H99" i="10"/>
  <c r="G99" i="10"/>
  <c r="H98" i="10"/>
  <c r="G98" i="10"/>
  <c r="H97" i="10"/>
  <c r="G97" i="10"/>
  <c r="H96" i="10"/>
  <c r="G96" i="10"/>
  <c r="H95" i="10"/>
  <c r="G95" i="10"/>
  <c r="H94" i="10"/>
  <c r="G94" i="10"/>
  <c r="H93" i="10"/>
  <c r="G93" i="10"/>
  <c r="H92" i="10"/>
  <c r="G92" i="10"/>
  <c r="H91" i="10"/>
  <c r="G91" i="10"/>
  <c r="H90" i="10"/>
  <c r="G90" i="10"/>
  <c r="H89" i="10"/>
  <c r="G89" i="10"/>
  <c r="H88" i="10"/>
  <c r="G88" i="10"/>
  <c r="H87" i="10"/>
  <c r="G87" i="10"/>
  <c r="H86" i="10"/>
  <c r="G86" i="10"/>
  <c r="H85" i="10"/>
  <c r="G85" i="10"/>
  <c r="H84" i="10"/>
  <c r="G84" i="10"/>
  <c r="H83" i="10"/>
  <c r="G83" i="10"/>
  <c r="H82" i="10"/>
  <c r="G82" i="10"/>
  <c r="H81" i="10"/>
  <c r="G81" i="10"/>
  <c r="H80" i="10"/>
  <c r="G80" i="10"/>
  <c r="H79" i="10"/>
  <c r="G79" i="10"/>
  <c r="H78" i="10"/>
  <c r="G78" i="10"/>
  <c r="H77" i="10"/>
  <c r="G77" i="10"/>
  <c r="H76" i="10"/>
  <c r="G76" i="10"/>
  <c r="H75" i="10"/>
  <c r="G75" i="10"/>
  <c r="H74" i="10"/>
  <c r="G74" i="10"/>
  <c r="H73" i="10"/>
  <c r="G73" i="10"/>
  <c r="H72" i="10"/>
  <c r="G72" i="10"/>
  <c r="H71" i="10"/>
  <c r="G71" i="10"/>
  <c r="H70" i="10"/>
  <c r="G70" i="10"/>
  <c r="H69" i="10"/>
  <c r="G69" i="10"/>
  <c r="H68" i="10"/>
  <c r="G68" i="10"/>
  <c r="H67" i="10"/>
  <c r="G67" i="10"/>
  <c r="H66" i="10"/>
  <c r="G66" i="10"/>
  <c r="H65" i="10"/>
  <c r="G65" i="10"/>
  <c r="H64" i="10"/>
  <c r="G64" i="10"/>
  <c r="H63" i="10"/>
  <c r="G63" i="10"/>
  <c r="H62" i="10"/>
  <c r="G62" i="10"/>
  <c r="H61" i="10"/>
  <c r="G61" i="10"/>
  <c r="H60" i="10"/>
  <c r="G60" i="10"/>
  <c r="H59" i="10"/>
  <c r="G59" i="10"/>
  <c r="H58" i="10"/>
  <c r="G58" i="10"/>
  <c r="H57" i="10"/>
  <c r="G57" i="10"/>
  <c r="H56" i="10"/>
  <c r="G56" i="10"/>
  <c r="H55" i="10"/>
  <c r="G55" i="10"/>
  <c r="H54" i="10"/>
  <c r="G54" i="10"/>
  <c r="H53" i="10"/>
  <c r="G53" i="10"/>
  <c r="H52" i="10"/>
  <c r="G52" i="10"/>
  <c r="H51" i="10"/>
  <c r="G51" i="10"/>
  <c r="H50" i="10"/>
  <c r="G50" i="10"/>
  <c r="H49" i="10"/>
  <c r="G49" i="10"/>
  <c r="H48" i="10"/>
  <c r="G48" i="10"/>
  <c r="H47" i="10"/>
  <c r="G47" i="10"/>
  <c r="H46" i="10"/>
  <c r="G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21" i="10"/>
  <c r="G21" i="10"/>
  <c r="H20" i="10"/>
  <c r="G20" i="10"/>
  <c r="H19" i="10"/>
  <c r="G19" i="10"/>
  <c r="H18" i="10"/>
  <c r="G18" i="10"/>
  <c r="H17" i="10"/>
  <c r="G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2" i="10"/>
  <c r="N427" i="9"/>
  <c r="M427" i="9"/>
  <c r="L427" i="9"/>
  <c r="K427" i="9"/>
  <c r="N426" i="9"/>
  <c r="M426" i="9"/>
  <c r="L426" i="9"/>
  <c r="K426" i="9"/>
  <c r="N425" i="9"/>
  <c r="M425" i="9"/>
  <c r="L425" i="9"/>
  <c r="K425" i="9"/>
  <c r="N424" i="9"/>
  <c r="M424" i="9"/>
  <c r="L424" i="9"/>
  <c r="K424" i="9"/>
  <c r="N423" i="9"/>
  <c r="M423" i="9"/>
  <c r="L423" i="9"/>
  <c r="K423" i="9"/>
  <c r="N422" i="9"/>
  <c r="M422" i="9"/>
  <c r="L422" i="9"/>
  <c r="K422" i="9"/>
  <c r="N421" i="9"/>
  <c r="M421" i="9"/>
  <c r="L421" i="9"/>
  <c r="K421" i="9"/>
  <c r="N420" i="9"/>
  <c r="M420" i="9"/>
  <c r="L420" i="9"/>
  <c r="K420" i="9"/>
  <c r="N419" i="9"/>
  <c r="M419" i="9"/>
  <c r="L419" i="9"/>
  <c r="K419" i="9"/>
  <c r="N418" i="9"/>
  <c r="M418" i="9"/>
  <c r="L418" i="9"/>
  <c r="K418" i="9"/>
  <c r="N417" i="9"/>
  <c r="M417" i="9"/>
  <c r="L417" i="9"/>
  <c r="K417" i="9"/>
  <c r="N416" i="9"/>
  <c r="M416" i="9"/>
  <c r="L416" i="9"/>
  <c r="K416" i="9"/>
  <c r="N415" i="9"/>
  <c r="M415" i="9"/>
  <c r="L415" i="9"/>
  <c r="K415" i="9"/>
  <c r="N414" i="9"/>
  <c r="M414" i="9"/>
  <c r="L414" i="9"/>
  <c r="K414" i="9"/>
  <c r="N413" i="9"/>
  <c r="M413" i="9"/>
  <c r="L413" i="9"/>
  <c r="K413" i="9"/>
  <c r="N412" i="9"/>
  <c r="M412" i="9"/>
  <c r="L412" i="9"/>
  <c r="K412" i="9"/>
  <c r="N411" i="9"/>
  <c r="M411" i="9"/>
  <c r="L411" i="9"/>
  <c r="K411" i="9"/>
  <c r="N410" i="9"/>
  <c r="M410" i="9"/>
  <c r="L410" i="9"/>
  <c r="K410" i="9"/>
  <c r="N409" i="9"/>
  <c r="M409" i="9"/>
  <c r="L409" i="9"/>
  <c r="K409" i="9"/>
  <c r="N408" i="9"/>
  <c r="M408" i="9"/>
  <c r="L408" i="9"/>
  <c r="K408" i="9"/>
  <c r="N407" i="9"/>
  <c r="M407" i="9"/>
  <c r="L407" i="9"/>
  <c r="K407" i="9"/>
  <c r="N406" i="9"/>
  <c r="M406" i="9"/>
  <c r="L406" i="9"/>
  <c r="K406" i="9"/>
  <c r="N405" i="9"/>
  <c r="M405" i="9"/>
  <c r="L405" i="9"/>
  <c r="K405" i="9"/>
  <c r="N404" i="9"/>
  <c r="M404" i="9"/>
  <c r="L404" i="9"/>
  <c r="K404" i="9"/>
  <c r="N403" i="9"/>
  <c r="M403" i="9"/>
  <c r="L403" i="9"/>
  <c r="K403" i="9"/>
  <c r="N402" i="9"/>
  <c r="M402" i="9"/>
  <c r="L402" i="9"/>
  <c r="K402" i="9"/>
  <c r="N401" i="9"/>
  <c r="M401" i="9"/>
  <c r="L401" i="9"/>
  <c r="K401" i="9"/>
  <c r="N400" i="9"/>
  <c r="M400" i="9"/>
  <c r="L400" i="9"/>
  <c r="K400" i="9"/>
  <c r="N399" i="9"/>
  <c r="M399" i="9"/>
  <c r="L399" i="9"/>
  <c r="K399" i="9"/>
  <c r="N398" i="9"/>
  <c r="M398" i="9"/>
  <c r="L398" i="9"/>
  <c r="K398" i="9"/>
  <c r="N397" i="9"/>
  <c r="M397" i="9"/>
  <c r="L397" i="9"/>
  <c r="K397" i="9"/>
  <c r="N396" i="9"/>
  <c r="M396" i="9"/>
  <c r="L396" i="9"/>
  <c r="K396" i="9"/>
  <c r="N395" i="9"/>
  <c r="M395" i="9"/>
  <c r="L395" i="9"/>
  <c r="K395" i="9"/>
  <c r="N394" i="9"/>
  <c r="M394" i="9"/>
  <c r="L394" i="9"/>
  <c r="K394" i="9"/>
  <c r="N393" i="9"/>
  <c r="M393" i="9"/>
  <c r="L393" i="9"/>
  <c r="K393" i="9"/>
  <c r="N392" i="9"/>
  <c r="M392" i="9"/>
  <c r="L392" i="9"/>
  <c r="K392" i="9"/>
  <c r="N391" i="9"/>
  <c r="M391" i="9"/>
  <c r="L391" i="9"/>
  <c r="K391" i="9"/>
  <c r="N390" i="9"/>
  <c r="M390" i="9"/>
  <c r="L390" i="9"/>
  <c r="K390" i="9"/>
  <c r="N389" i="9"/>
  <c r="M389" i="9"/>
  <c r="L389" i="9"/>
  <c r="K389" i="9"/>
  <c r="N388" i="9"/>
  <c r="M388" i="9"/>
  <c r="L388" i="9"/>
  <c r="K388" i="9"/>
  <c r="N387" i="9"/>
  <c r="M387" i="9"/>
  <c r="L387" i="9"/>
  <c r="K387" i="9"/>
  <c r="N386" i="9"/>
  <c r="M386" i="9"/>
  <c r="L386" i="9"/>
  <c r="K386" i="9"/>
  <c r="N385" i="9"/>
  <c r="M385" i="9"/>
  <c r="L385" i="9"/>
  <c r="K385" i="9"/>
  <c r="N384" i="9"/>
  <c r="M384" i="9"/>
  <c r="L384" i="9"/>
  <c r="K384" i="9"/>
  <c r="N383" i="9"/>
  <c r="M383" i="9"/>
  <c r="L383" i="9"/>
  <c r="K383" i="9"/>
  <c r="N382" i="9"/>
  <c r="M382" i="9"/>
  <c r="L382" i="9"/>
  <c r="K382" i="9"/>
  <c r="N381" i="9"/>
  <c r="M381" i="9"/>
  <c r="L381" i="9"/>
  <c r="K381" i="9"/>
  <c r="N380" i="9"/>
  <c r="M380" i="9"/>
  <c r="L380" i="9"/>
  <c r="K380" i="9"/>
  <c r="N379" i="9"/>
  <c r="M379" i="9"/>
  <c r="L379" i="9"/>
  <c r="K379" i="9"/>
  <c r="N378" i="9"/>
  <c r="M378" i="9"/>
  <c r="L378" i="9"/>
  <c r="K378" i="9"/>
  <c r="N377" i="9"/>
  <c r="M377" i="9"/>
  <c r="L377" i="9"/>
  <c r="K377" i="9"/>
  <c r="N376" i="9"/>
  <c r="M376" i="9"/>
  <c r="L376" i="9"/>
  <c r="K376" i="9"/>
  <c r="N375" i="9"/>
  <c r="M375" i="9"/>
  <c r="L375" i="9"/>
  <c r="K375" i="9"/>
  <c r="N374" i="9"/>
  <c r="M374" i="9"/>
  <c r="L374" i="9"/>
  <c r="K374" i="9"/>
  <c r="N373" i="9"/>
  <c r="M373" i="9"/>
  <c r="L373" i="9"/>
  <c r="K373" i="9"/>
  <c r="N372" i="9"/>
  <c r="M372" i="9"/>
  <c r="L372" i="9"/>
  <c r="K372" i="9"/>
  <c r="N371" i="9"/>
  <c r="M371" i="9"/>
  <c r="L371" i="9"/>
  <c r="K371" i="9"/>
  <c r="N370" i="9"/>
  <c r="M370" i="9"/>
  <c r="L370" i="9"/>
  <c r="K370" i="9"/>
  <c r="N369" i="9"/>
  <c r="M369" i="9"/>
  <c r="L369" i="9"/>
  <c r="K369" i="9"/>
  <c r="N368" i="9"/>
  <c r="M368" i="9"/>
  <c r="L368" i="9"/>
  <c r="K368" i="9"/>
  <c r="N367" i="9"/>
  <c r="M367" i="9"/>
  <c r="L367" i="9"/>
  <c r="K367" i="9"/>
  <c r="N366" i="9"/>
  <c r="M366" i="9"/>
  <c r="L366" i="9"/>
  <c r="K366" i="9"/>
  <c r="N365" i="9"/>
  <c r="M365" i="9"/>
  <c r="L365" i="9"/>
  <c r="K365" i="9"/>
  <c r="N364" i="9"/>
  <c r="M364" i="9"/>
  <c r="L364" i="9"/>
  <c r="K364" i="9"/>
  <c r="N363" i="9"/>
  <c r="M363" i="9"/>
  <c r="L363" i="9"/>
  <c r="K363" i="9"/>
  <c r="N362" i="9"/>
  <c r="M362" i="9"/>
  <c r="L362" i="9"/>
  <c r="K362" i="9"/>
  <c r="N361" i="9"/>
  <c r="M361" i="9"/>
  <c r="L361" i="9"/>
  <c r="K361" i="9"/>
  <c r="N360" i="9"/>
  <c r="M360" i="9"/>
  <c r="L360" i="9"/>
  <c r="K360" i="9"/>
  <c r="N359" i="9"/>
  <c r="M359" i="9"/>
  <c r="L359" i="9"/>
  <c r="K359" i="9"/>
  <c r="N358" i="9"/>
  <c r="M358" i="9"/>
  <c r="L358" i="9"/>
  <c r="K358" i="9"/>
  <c r="N357" i="9"/>
  <c r="M357" i="9"/>
  <c r="L357" i="9"/>
  <c r="K357" i="9"/>
  <c r="N356" i="9"/>
  <c r="M356" i="9"/>
  <c r="L356" i="9"/>
  <c r="K356" i="9"/>
  <c r="N355" i="9"/>
  <c r="M355" i="9"/>
  <c r="L355" i="9"/>
  <c r="K355" i="9"/>
  <c r="N354" i="9"/>
  <c r="M354" i="9"/>
  <c r="L354" i="9"/>
  <c r="K354" i="9"/>
  <c r="N353" i="9"/>
  <c r="M353" i="9"/>
  <c r="L353" i="9"/>
  <c r="K353" i="9"/>
  <c r="N352" i="9"/>
  <c r="M352" i="9"/>
  <c r="L352" i="9"/>
  <c r="K352" i="9"/>
  <c r="N351" i="9"/>
  <c r="M351" i="9"/>
  <c r="L351" i="9"/>
  <c r="K351" i="9"/>
  <c r="N350" i="9"/>
  <c r="M350" i="9"/>
  <c r="L350" i="9"/>
  <c r="K350" i="9"/>
  <c r="N349" i="9"/>
  <c r="M349" i="9"/>
  <c r="L349" i="9"/>
  <c r="K349" i="9"/>
  <c r="N348" i="9"/>
  <c r="M348" i="9"/>
  <c r="L348" i="9"/>
  <c r="K348" i="9"/>
  <c r="N347" i="9"/>
  <c r="M347" i="9"/>
  <c r="L347" i="9"/>
  <c r="K347" i="9"/>
  <c r="N346" i="9"/>
  <c r="M346" i="9"/>
  <c r="L346" i="9"/>
  <c r="K346" i="9"/>
  <c r="N345" i="9"/>
  <c r="M345" i="9"/>
  <c r="L345" i="9"/>
  <c r="K345" i="9"/>
  <c r="N344" i="9"/>
  <c r="M344" i="9"/>
  <c r="L344" i="9"/>
  <c r="K344" i="9"/>
  <c r="N343" i="9"/>
  <c r="M343" i="9"/>
  <c r="L343" i="9"/>
  <c r="K343" i="9"/>
  <c r="N342" i="9"/>
  <c r="M342" i="9"/>
  <c r="L342" i="9"/>
  <c r="K342" i="9"/>
  <c r="N341" i="9"/>
  <c r="M341" i="9"/>
  <c r="L341" i="9"/>
  <c r="K341" i="9"/>
  <c r="N340" i="9"/>
  <c r="M340" i="9"/>
  <c r="L340" i="9"/>
  <c r="K340" i="9"/>
  <c r="N339" i="9"/>
  <c r="M339" i="9"/>
  <c r="L339" i="9"/>
  <c r="K339" i="9"/>
  <c r="N338" i="9"/>
  <c r="M338" i="9"/>
  <c r="L338" i="9"/>
  <c r="K338" i="9"/>
  <c r="N337" i="9"/>
  <c r="M337" i="9"/>
  <c r="L337" i="9"/>
  <c r="K337" i="9"/>
  <c r="N336" i="9"/>
  <c r="M336" i="9"/>
  <c r="L336" i="9"/>
  <c r="K336" i="9"/>
  <c r="N335" i="9"/>
  <c r="M335" i="9"/>
  <c r="L335" i="9"/>
  <c r="K335" i="9"/>
  <c r="N334" i="9"/>
  <c r="M334" i="9"/>
  <c r="L334" i="9"/>
  <c r="K334" i="9"/>
  <c r="N333" i="9"/>
  <c r="M333" i="9"/>
  <c r="L333" i="9"/>
  <c r="K333" i="9"/>
  <c r="N332" i="9"/>
  <c r="M332" i="9"/>
  <c r="L332" i="9"/>
  <c r="K332" i="9"/>
  <c r="N331" i="9"/>
  <c r="M331" i="9"/>
  <c r="L331" i="9"/>
  <c r="K331" i="9"/>
  <c r="N330" i="9"/>
  <c r="M330" i="9"/>
  <c r="L330" i="9"/>
  <c r="K330" i="9"/>
  <c r="N329" i="9"/>
  <c r="M329" i="9"/>
  <c r="L329" i="9"/>
  <c r="K329" i="9"/>
  <c r="N328" i="9"/>
  <c r="M328" i="9"/>
  <c r="L328" i="9"/>
  <c r="K328" i="9"/>
  <c r="N327" i="9"/>
  <c r="M327" i="9"/>
  <c r="L327" i="9"/>
  <c r="K327" i="9"/>
  <c r="N326" i="9"/>
  <c r="M326" i="9"/>
  <c r="L326" i="9"/>
  <c r="K326" i="9"/>
  <c r="N325" i="9"/>
  <c r="M325" i="9"/>
  <c r="L325" i="9"/>
  <c r="K325" i="9"/>
  <c r="N324" i="9"/>
  <c r="M324" i="9"/>
  <c r="L324" i="9"/>
  <c r="K324" i="9"/>
  <c r="N323" i="9"/>
  <c r="M323" i="9"/>
  <c r="L323" i="9"/>
  <c r="K323" i="9"/>
  <c r="N322" i="9"/>
  <c r="M322" i="9"/>
  <c r="L322" i="9"/>
  <c r="K322" i="9"/>
  <c r="N321" i="9"/>
  <c r="M321" i="9"/>
  <c r="L321" i="9"/>
  <c r="K321" i="9"/>
  <c r="N320" i="9"/>
  <c r="M320" i="9"/>
  <c r="L320" i="9"/>
  <c r="K320" i="9"/>
  <c r="N319" i="9"/>
  <c r="M319" i="9"/>
  <c r="L319" i="9"/>
  <c r="K319" i="9"/>
  <c r="N318" i="9"/>
  <c r="M318" i="9"/>
  <c r="L318" i="9"/>
  <c r="K318" i="9"/>
  <c r="N317" i="9"/>
  <c r="M317" i="9"/>
  <c r="L317" i="9"/>
  <c r="K317" i="9"/>
  <c r="N316" i="9"/>
  <c r="M316" i="9"/>
  <c r="L316" i="9"/>
  <c r="K316" i="9"/>
  <c r="N315" i="9"/>
  <c r="M315" i="9"/>
  <c r="L315" i="9"/>
  <c r="K315" i="9"/>
  <c r="N314" i="9"/>
  <c r="M314" i="9"/>
  <c r="L314" i="9"/>
  <c r="K314" i="9"/>
  <c r="N313" i="9"/>
  <c r="M313" i="9"/>
  <c r="L313" i="9"/>
  <c r="K313" i="9"/>
  <c r="N312" i="9"/>
  <c r="M312" i="9"/>
  <c r="L312" i="9"/>
  <c r="K312" i="9"/>
  <c r="N311" i="9"/>
  <c r="M311" i="9"/>
  <c r="L311" i="9"/>
  <c r="K311" i="9"/>
  <c r="N310" i="9"/>
  <c r="M310" i="9"/>
  <c r="L310" i="9"/>
  <c r="K310" i="9"/>
  <c r="N309" i="9"/>
  <c r="M309" i="9"/>
  <c r="L309" i="9"/>
  <c r="K309" i="9"/>
  <c r="N308" i="9"/>
  <c r="M308" i="9"/>
  <c r="L308" i="9"/>
  <c r="K308" i="9"/>
  <c r="N307" i="9"/>
  <c r="M307" i="9"/>
  <c r="L307" i="9"/>
  <c r="K307" i="9"/>
  <c r="N306" i="9"/>
  <c r="M306" i="9"/>
  <c r="L306" i="9"/>
  <c r="K306" i="9"/>
  <c r="N305" i="9"/>
  <c r="M305" i="9"/>
  <c r="L305" i="9"/>
  <c r="K305" i="9"/>
  <c r="N304" i="9"/>
  <c r="M304" i="9"/>
  <c r="L304" i="9"/>
  <c r="K304" i="9"/>
  <c r="N303" i="9"/>
  <c r="M303" i="9"/>
  <c r="L303" i="9"/>
  <c r="K303" i="9"/>
  <c r="N302" i="9"/>
  <c r="M302" i="9"/>
  <c r="L302" i="9"/>
  <c r="K302" i="9"/>
  <c r="N301" i="9"/>
  <c r="M301" i="9"/>
  <c r="L301" i="9"/>
  <c r="K301" i="9"/>
  <c r="N300" i="9"/>
  <c r="M300" i="9"/>
  <c r="L300" i="9"/>
  <c r="K300" i="9"/>
  <c r="N299" i="9"/>
  <c r="M299" i="9"/>
  <c r="L299" i="9"/>
  <c r="K299" i="9"/>
  <c r="N298" i="9"/>
  <c r="M298" i="9"/>
  <c r="L298" i="9"/>
  <c r="K298" i="9"/>
  <c r="N297" i="9"/>
  <c r="M297" i="9"/>
  <c r="L297" i="9"/>
  <c r="K297" i="9"/>
  <c r="N296" i="9"/>
  <c r="M296" i="9"/>
  <c r="L296" i="9"/>
  <c r="K296" i="9"/>
  <c r="N295" i="9"/>
  <c r="M295" i="9"/>
  <c r="L295" i="9"/>
  <c r="K295" i="9"/>
  <c r="N294" i="9"/>
  <c r="M294" i="9"/>
  <c r="L294" i="9"/>
  <c r="K294" i="9"/>
  <c r="N293" i="9"/>
  <c r="M293" i="9"/>
  <c r="L293" i="9"/>
  <c r="K293" i="9"/>
  <c r="N292" i="9"/>
  <c r="M292" i="9"/>
  <c r="L292" i="9"/>
  <c r="K292" i="9"/>
  <c r="N291" i="9"/>
  <c r="M291" i="9"/>
  <c r="L291" i="9"/>
  <c r="K291" i="9"/>
  <c r="N290" i="9"/>
  <c r="M290" i="9"/>
  <c r="L290" i="9"/>
  <c r="K290" i="9"/>
  <c r="N289" i="9"/>
  <c r="M289" i="9"/>
  <c r="L289" i="9"/>
  <c r="K289" i="9"/>
  <c r="N288" i="9"/>
  <c r="M288" i="9"/>
  <c r="L288" i="9"/>
  <c r="K288" i="9"/>
  <c r="N287" i="9"/>
  <c r="M287" i="9"/>
  <c r="L287" i="9"/>
  <c r="K287" i="9"/>
  <c r="N286" i="9"/>
  <c r="M286" i="9"/>
  <c r="L286" i="9"/>
  <c r="K286" i="9"/>
  <c r="N285" i="9"/>
  <c r="M285" i="9"/>
  <c r="L285" i="9"/>
  <c r="K285" i="9"/>
  <c r="N284" i="9"/>
  <c r="M284" i="9"/>
  <c r="L284" i="9"/>
  <c r="K284" i="9"/>
  <c r="N283" i="9"/>
  <c r="M283" i="9"/>
  <c r="L283" i="9"/>
  <c r="K283" i="9"/>
  <c r="N282" i="9"/>
  <c r="M282" i="9"/>
  <c r="L282" i="9"/>
  <c r="K282" i="9"/>
  <c r="N281" i="9"/>
  <c r="M281" i="9"/>
  <c r="L281" i="9"/>
  <c r="K281" i="9"/>
  <c r="N280" i="9"/>
  <c r="M280" i="9"/>
  <c r="L280" i="9"/>
  <c r="K280" i="9"/>
  <c r="N279" i="9"/>
  <c r="M279" i="9"/>
  <c r="L279" i="9"/>
  <c r="K279" i="9"/>
  <c r="N278" i="9"/>
  <c r="M278" i="9"/>
  <c r="L278" i="9"/>
  <c r="K278" i="9"/>
  <c r="N277" i="9"/>
  <c r="M277" i="9"/>
  <c r="L277" i="9"/>
  <c r="K277" i="9"/>
  <c r="N276" i="9"/>
  <c r="M276" i="9"/>
  <c r="L276" i="9"/>
  <c r="K276" i="9"/>
  <c r="N275" i="9"/>
  <c r="M275" i="9"/>
  <c r="L275" i="9"/>
  <c r="K275" i="9"/>
  <c r="N274" i="9"/>
  <c r="M274" i="9"/>
  <c r="L274" i="9"/>
  <c r="K274" i="9"/>
  <c r="N273" i="9"/>
  <c r="M273" i="9"/>
  <c r="L273" i="9"/>
  <c r="K273" i="9"/>
  <c r="N272" i="9"/>
  <c r="M272" i="9"/>
  <c r="L272" i="9"/>
  <c r="K272" i="9"/>
  <c r="N271" i="9"/>
  <c r="M271" i="9"/>
  <c r="L271" i="9"/>
  <c r="K271" i="9"/>
  <c r="N270" i="9"/>
  <c r="M270" i="9"/>
  <c r="L270" i="9"/>
  <c r="K270" i="9"/>
  <c r="N269" i="9"/>
  <c r="M269" i="9"/>
  <c r="L269" i="9"/>
  <c r="K269" i="9"/>
  <c r="N268" i="9"/>
  <c r="M268" i="9"/>
  <c r="L268" i="9"/>
  <c r="K268" i="9"/>
  <c r="N267" i="9"/>
  <c r="M267" i="9"/>
  <c r="L267" i="9"/>
  <c r="K267" i="9"/>
  <c r="N266" i="9"/>
  <c r="M266" i="9"/>
  <c r="L266" i="9"/>
  <c r="K266" i="9"/>
  <c r="N265" i="9"/>
  <c r="M265" i="9"/>
  <c r="L265" i="9"/>
  <c r="K265" i="9"/>
  <c r="N264" i="9"/>
  <c r="M264" i="9"/>
  <c r="L264" i="9"/>
  <c r="K264" i="9"/>
  <c r="N263" i="9"/>
  <c r="M263" i="9"/>
  <c r="L263" i="9"/>
  <c r="K263" i="9"/>
  <c r="N262" i="9"/>
  <c r="M262" i="9"/>
  <c r="L262" i="9"/>
  <c r="K262" i="9"/>
  <c r="N261" i="9"/>
  <c r="M261" i="9"/>
  <c r="L261" i="9"/>
  <c r="K261" i="9"/>
  <c r="N260" i="9"/>
  <c r="M260" i="9"/>
  <c r="L260" i="9"/>
  <c r="K260" i="9"/>
  <c r="N259" i="9"/>
  <c r="M259" i="9"/>
  <c r="L259" i="9"/>
  <c r="K259" i="9"/>
  <c r="N258" i="9"/>
  <c r="M258" i="9"/>
  <c r="L258" i="9"/>
  <c r="K258" i="9"/>
  <c r="N257" i="9"/>
  <c r="M257" i="9"/>
  <c r="L257" i="9"/>
  <c r="K257" i="9"/>
  <c r="N256" i="9"/>
  <c r="M256" i="9"/>
  <c r="L256" i="9"/>
  <c r="K256" i="9"/>
  <c r="N255" i="9"/>
  <c r="M255" i="9"/>
  <c r="L255" i="9"/>
  <c r="K255" i="9"/>
  <c r="N254" i="9"/>
  <c r="M254" i="9"/>
  <c r="L254" i="9"/>
  <c r="K254" i="9"/>
  <c r="N253" i="9"/>
  <c r="M253" i="9"/>
  <c r="L253" i="9"/>
  <c r="K253" i="9"/>
  <c r="N252" i="9"/>
  <c r="M252" i="9"/>
  <c r="L252" i="9"/>
  <c r="K252" i="9"/>
  <c r="N251" i="9"/>
  <c r="M251" i="9"/>
  <c r="L251" i="9"/>
  <c r="K251" i="9"/>
  <c r="N250" i="9"/>
  <c r="M250" i="9"/>
  <c r="L250" i="9"/>
  <c r="K250" i="9"/>
  <c r="N249" i="9"/>
  <c r="M249" i="9"/>
  <c r="L249" i="9"/>
  <c r="K249" i="9"/>
  <c r="N248" i="9"/>
  <c r="M248" i="9"/>
  <c r="L248" i="9"/>
  <c r="K248" i="9"/>
  <c r="N247" i="9"/>
  <c r="M247" i="9"/>
  <c r="L247" i="9"/>
  <c r="K247" i="9"/>
  <c r="N246" i="9"/>
  <c r="M246" i="9"/>
  <c r="L246" i="9"/>
  <c r="K246" i="9"/>
  <c r="N245" i="9"/>
  <c r="M245" i="9"/>
  <c r="L245" i="9"/>
  <c r="K245" i="9"/>
  <c r="N244" i="9"/>
  <c r="M244" i="9"/>
  <c r="L244" i="9"/>
  <c r="K244" i="9"/>
  <c r="N243" i="9"/>
  <c r="M243" i="9"/>
  <c r="L243" i="9"/>
  <c r="K243" i="9"/>
  <c r="N242" i="9"/>
  <c r="M242" i="9"/>
  <c r="L242" i="9"/>
  <c r="K242" i="9"/>
  <c r="N241" i="9"/>
  <c r="M241" i="9"/>
  <c r="L241" i="9"/>
  <c r="K241" i="9"/>
  <c r="N240" i="9"/>
  <c r="M240" i="9"/>
  <c r="L240" i="9"/>
  <c r="K240" i="9"/>
  <c r="N239" i="9"/>
  <c r="M239" i="9"/>
  <c r="L239" i="9"/>
  <c r="K239" i="9"/>
  <c r="N238" i="9"/>
  <c r="M238" i="9"/>
  <c r="L238" i="9"/>
  <c r="K238" i="9"/>
  <c r="N237" i="9"/>
  <c r="M237" i="9"/>
  <c r="L237" i="9"/>
  <c r="K237" i="9"/>
  <c r="N236" i="9"/>
  <c r="M236" i="9"/>
  <c r="L236" i="9"/>
  <c r="K236" i="9"/>
  <c r="N235" i="9"/>
  <c r="M235" i="9"/>
  <c r="L235" i="9"/>
  <c r="K235" i="9"/>
  <c r="N234" i="9"/>
  <c r="M234" i="9"/>
  <c r="L234" i="9"/>
  <c r="K234" i="9"/>
  <c r="N233" i="9"/>
  <c r="M233" i="9"/>
  <c r="L233" i="9"/>
  <c r="K233" i="9"/>
  <c r="N232" i="9"/>
  <c r="M232" i="9"/>
  <c r="L232" i="9"/>
  <c r="K232" i="9"/>
  <c r="N231" i="9"/>
  <c r="M231" i="9"/>
  <c r="L231" i="9"/>
  <c r="K231" i="9"/>
  <c r="N230" i="9"/>
  <c r="M230" i="9"/>
  <c r="L230" i="9"/>
  <c r="K230" i="9"/>
  <c r="N229" i="9"/>
  <c r="M229" i="9"/>
  <c r="L229" i="9"/>
  <c r="K229" i="9"/>
  <c r="N228" i="9"/>
  <c r="M228" i="9"/>
  <c r="L228" i="9"/>
  <c r="K228" i="9"/>
  <c r="N227" i="9"/>
  <c r="M227" i="9"/>
  <c r="L227" i="9"/>
  <c r="K227" i="9"/>
  <c r="N226" i="9"/>
  <c r="M226" i="9"/>
  <c r="L226" i="9"/>
  <c r="K226" i="9"/>
  <c r="N225" i="9"/>
  <c r="M225" i="9"/>
  <c r="L225" i="9"/>
  <c r="K225" i="9"/>
  <c r="N224" i="9"/>
  <c r="M224" i="9"/>
  <c r="L224" i="9"/>
  <c r="K224" i="9"/>
  <c r="N223" i="9"/>
  <c r="M223" i="9"/>
  <c r="L223" i="9"/>
  <c r="K223" i="9"/>
  <c r="N222" i="9"/>
  <c r="M222" i="9"/>
  <c r="L222" i="9"/>
  <c r="K222" i="9"/>
  <c r="N221" i="9"/>
  <c r="M221" i="9"/>
  <c r="L221" i="9"/>
  <c r="K221" i="9"/>
  <c r="N220" i="9"/>
  <c r="M220" i="9"/>
  <c r="L220" i="9"/>
  <c r="K220" i="9"/>
  <c r="N219" i="9"/>
  <c r="M219" i="9"/>
  <c r="L219" i="9"/>
  <c r="K219" i="9"/>
  <c r="N218" i="9"/>
  <c r="M218" i="9"/>
  <c r="L218" i="9"/>
  <c r="K218" i="9"/>
  <c r="N217" i="9"/>
  <c r="M217" i="9"/>
  <c r="L217" i="9"/>
  <c r="K217" i="9"/>
  <c r="N216" i="9"/>
  <c r="M216" i="9"/>
  <c r="L216" i="9"/>
  <c r="K216" i="9"/>
  <c r="N215" i="9"/>
  <c r="M215" i="9"/>
  <c r="L215" i="9"/>
  <c r="K215" i="9"/>
  <c r="N214" i="9"/>
  <c r="M214" i="9"/>
  <c r="L214" i="9"/>
  <c r="K214" i="9"/>
  <c r="N213" i="9"/>
  <c r="M213" i="9"/>
  <c r="L213" i="9"/>
  <c r="K213" i="9"/>
  <c r="N212" i="9"/>
  <c r="M212" i="9"/>
  <c r="L212" i="9"/>
  <c r="K212" i="9"/>
  <c r="N211" i="9"/>
  <c r="M211" i="9"/>
  <c r="L211" i="9"/>
  <c r="K211" i="9"/>
  <c r="N210" i="9"/>
  <c r="M210" i="9"/>
  <c r="L210" i="9"/>
  <c r="K210" i="9"/>
  <c r="N209" i="9"/>
  <c r="M209" i="9"/>
  <c r="L209" i="9"/>
  <c r="K209" i="9"/>
  <c r="N208" i="9"/>
  <c r="M208" i="9"/>
  <c r="L208" i="9"/>
  <c r="K208" i="9"/>
  <c r="N207" i="9"/>
  <c r="M207" i="9"/>
  <c r="L207" i="9"/>
  <c r="K207" i="9"/>
  <c r="N206" i="9"/>
  <c r="M206" i="9"/>
  <c r="L206" i="9"/>
  <c r="K206" i="9"/>
  <c r="N205" i="9"/>
  <c r="M205" i="9"/>
  <c r="L205" i="9"/>
  <c r="K205" i="9"/>
  <c r="N204" i="9"/>
  <c r="M204" i="9"/>
  <c r="L204" i="9"/>
  <c r="K204" i="9"/>
  <c r="N203" i="9"/>
  <c r="M203" i="9"/>
  <c r="L203" i="9"/>
  <c r="K203" i="9"/>
  <c r="N202" i="9"/>
  <c r="M202" i="9"/>
  <c r="L202" i="9"/>
  <c r="K202" i="9"/>
  <c r="N201" i="9"/>
  <c r="M201" i="9"/>
  <c r="L201" i="9"/>
  <c r="K201" i="9"/>
  <c r="N200" i="9"/>
  <c r="M200" i="9"/>
  <c r="L200" i="9"/>
  <c r="K200" i="9"/>
  <c r="N199" i="9"/>
  <c r="M199" i="9"/>
  <c r="L199" i="9"/>
  <c r="K199" i="9"/>
  <c r="N198" i="9"/>
  <c r="M198" i="9"/>
  <c r="L198" i="9"/>
  <c r="K198" i="9"/>
  <c r="N197" i="9"/>
  <c r="M197" i="9"/>
  <c r="L197" i="9"/>
  <c r="K197" i="9"/>
  <c r="N196" i="9"/>
  <c r="M196" i="9"/>
  <c r="L196" i="9"/>
  <c r="K196" i="9"/>
  <c r="N195" i="9"/>
  <c r="M195" i="9"/>
  <c r="L195" i="9"/>
  <c r="K195" i="9"/>
  <c r="N194" i="9"/>
  <c r="M194" i="9"/>
  <c r="L194" i="9"/>
  <c r="K194" i="9"/>
  <c r="N193" i="9"/>
  <c r="M193" i="9"/>
  <c r="L193" i="9"/>
  <c r="K193" i="9"/>
  <c r="N192" i="9"/>
  <c r="M192" i="9"/>
  <c r="L192" i="9"/>
  <c r="K192" i="9"/>
  <c r="N191" i="9"/>
  <c r="M191" i="9"/>
  <c r="L191" i="9"/>
  <c r="K191" i="9"/>
  <c r="N190" i="9"/>
  <c r="M190" i="9"/>
  <c r="L190" i="9"/>
  <c r="K190" i="9"/>
  <c r="N189" i="9"/>
  <c r="M189" i="9"/>
  <c r="L189" i="9"/>
  <c r="K189" i="9"/>
  <c r="N188" i="9"/>
  <c r="M188" i="9"/>
  <c r="L188" i="9"/>
  <c r="K188" i="9"/>
  <c r="N187" i="9"/>
  <c r="M187" i="9"/>
  <c r="L187" i="9"/>
  <c r="K187" i="9"/>
  <c r="N186" i="9"/>
  <c r="M186" i="9"/>
  <c r="L186" i="9"/>
  <c r="K186" i="9"/>
  <c r="N185" i="9"/>
  <c r="M185" i="9"/>
  <c r="L185" i="9"/>
  <c r="K185" i="9"/>
  <c r="N184" i="9"/>
  <c r="M184" i="9"/>
  <c r="L184" i="9"/>
  <c r="K184" i="9"/>
  <c r="N183" i="9"/>
  <c r="M183" i="9"/>
  <c r="L183" i="9"/>
  <c r="K183" i="9"/>
  <c r="N182" i="9"/>
  <c r="M182" i="9"/>
  <c r="L182" i="9"/>
  <c r="K182" i="9"/>
  <c r="N181" i="9"/>
  <c r="M181" i="9"/>
  <c r="L181" i="9"/>
  <c r="K181" i="9"/>
  <c r="N180" i="9"/>
  <c r="M180" i="9"/>
  <c r="L180" i="9"/>
  <c r="K180" i="9"/>
  <c r="N179" i="9"/>
  <c r="M179" i="9"/>
  <c r="L179" i="9"/>
  <c r="K179" i="9"/>
  <c r="N178" i="9"/>
  <c r="M178" i="9"/>
  <c r="L178" i="9"/>
  <c r="K178" i="9"/>
  <c r="N177" i="9"/>
  <c r="M177" i="9"/>
  <c r="L177" i="9"/>
  <c r="K177" i="9"/>
  <c r="N176" i="9"/>
  <c r="M176" i="9"/>
  <c r="L176" i="9"/>
  <c r="K176" i="9"/>
  <c r="N175" i="9"/>
  <c r="M175" i="9"/>
  <c r="L175" i="9"/>
  <c r="K175" i="9"/>
  <c r="N174" i="9"/>
  <c r="M174" i="9"/>
  <c r="L174" i="9"/>
  <c r="K174" i="9"/>
  <c r="N173" i="9"/>
  <c r="M173" i="9"/>
  <c r="L173" i="9"/>
  <c r="K173" i="9"/>
  <c r="N172" i="9"/>
  <c r="M172" i="9"/>
  <c r="L172" i="9"/>
  <c r="K172" i="9"/>
  <c r="N171" i="9"/>
  <c r="M171" i="9"/>
  <c r="L171" i="9"/>
  <c r="K171" i="9"/>
  <c r="N170" i="9"/>
  <c r="M170" i="9"/>
  <c r="L170" i="9"/>
  <c r="K170" i="9"/>
  <c r="N169" i="9"/>
  <c r="M169" i="9"/>
  <c r="L169" i="9"/>
  <c r="K169" i="9"/>
  <c r="N168" i="9"/>
  <c r="M168" i="9"/>
  <c r="L168" i="9"/>
  <c r="K168" i="9"/>
  <c r="N167" i="9"/>
  <c r="M167" i="9"/>
  <c r="L167" i="9"/>
  <c r="K167" i="9"/>
  <c r="N166" i="9"/>
  <c r="M166" i="9"/>
  <c r="L166" i="9"/>
  <c r="K166" i="9"/>
  <c r="N165" i="9"/>
  <c r="M165" i="9"/>
  <c r="L165" i="9"/>
  <c r="K165" i="9"/>
  <c r="N164" i="9"/>
  <c r="M164" i="9"/>
  <c r="L164" i="9"/>
  <c r="K164" i="9"/>
  <c r="N163" i="9"/>
  <c r="M163" i="9"/>
  <c r="L163" i="9"/>
  <c r="K163" i="9"/>
  <c r="N162" i="9"/>
  <c r="M162" i="9"/>
  <c r="L162" i="9"/>
  <c r="K162" i="9"/>
  <c r="N161" i="9"/>
  <c r="M161" i="9"/>
  <c r="L161" i="9"/>
  <c r="K161" i="9"/>
  <c r="N160" i="9"/>
  <c r="M160" i="9"/>
  <c r="L160" i="9"/>
  <c r="K160" i="9"/>
  <c r="N159" i="9"/>
  <c r="M159" i="9"/>
  <c r="L159" i="9"/>
  <c r="K159" i="9"/>
  <c r="N158" i="9"/>
  <c r="M158" i="9"/>
  <c r="L158" i="9"/>
  <c r="K158" i="9"/>
  <c r="N157" i="9"/>
  <c r="M157" i="9"/>
  <c r="L157" i="9"/>
  <c r="K157" i="9"/>
  <c r="N156" i="9"/>
  <c r="M156" i="9"/>
  <c r="L156" i="9"/>
  <c r="K156" i="9"/>
  <c r="N155" i="9"/>
  <c r="M155" i="9"/>
  <c r="L155" i="9"/>
  <c r="K155" i="9"/>
  <c r="N154" i="9"/>
  <c r="M154" i="9"/>
  <c r="L154" i="9"/>
  <c r="K154" i="9"/>
  <c r="N153" i="9"/>
  <c r="M153" i="9"/>
  <c r="L153" i="9"/>
  <c r="K153" i="9"/>
  <c r="N152" i="9"/>
  <c r="M152" i="9"/>
  <c r="L152" i="9"/>
  <c r="K152" i="9"/>
  <c r="N151" i="9"/>
  <c r="M151" i="9"/>
  <c r="L151" i="9"/>
  <c r="K151" i="9"/>
  <c r="N150" i="9"/>
  <c r="M150" i="9"/>
  <c r="L150" i="9"/>
  <c r="K150" i="9"/>
  <c r="N149" i="9"/>
  <c r="M149" i="9"/>
  <c r="L149" i="9"/>
  <c r="K149" i="9"/>
  <c r="N148" i="9"/>
  <c r="M148" i="9"/>
  <c r="L148" i="9"/>
  <c r="K148" i="9"/>
  <c r="N147" i="9"/>
  <c r="M147" i="9"/>
  <c r="L147" i="9"/>
  <c r="K147" i="9"/>
  <c r="N146" i="9"/>
  <c r="M146" i="9"/>
  <c r="L146" i="9"/>
  <c r="K146" i="9"/>
  <c r="N145" i="9"/>
  <c r="M145" i="9"/>
  <c r="L145" i="9"/>
  <c r="K145" i="9"/>
  <c r="N144" i="9"/>
  <c r="M144" i="9"/>
  <c r="L144" i="9"/>
  <c r="K144" i="9"/>
  <c r="N143" i="9"/>
  <c r="M143" i="9"/>
  <c r="L143" i="9"/>
  <c r="K143" i="9"/>
  <c r="N142" i="9"/>
  <c r="M142" i="9"/>
  <c r="L142" i="9"/>
  <c r="K142" i="9"/>
  <c r="N141" i="9"/>
  <c r="M141" i="9"/>
  <c r="L141" i="9"/>
  <c r="K141" i="9"/>
  <c r="N140" i="9"/>
  <c r="M140" i="9"/>
  <c r="L140" i="9"/>
  <c r="K140" i="9"/>
  <c r="N139" i="9"/>
  <c r="M139" i="9"/>
  <c r="L139" i="9"/>
  <c r="K139" i="9"/>
  <c r="N138" i="9"/>
  <c r="M138" i="9"/>
  <c r="L138" i="9"/>
  <c r="K138" i="9"/>
  <c r="N137" i="9"/>
  <c r="M137" i="9"/>
  <c r="L137" i="9"/>
  <c r="K137" i="9"/>
  <c r="N136" i="9"/>
  <c r="M136" i="9"/>
  <c r="L136" i="9"/>
  <c r="K136" i="9"/>
  <c r="N135" i="9"/>
  <c r="M135" i="9"/>
  <c r="L135" i="9"/>
  <c r="K135" i="9"/>
  <c r="N134" i="9"/>
  <c r="M134" i="9"/>
  <c r="L134" i="9"/>
  <c r="K134" i="9"/>
  <c r="N133" i="9"/>
  <c r="M133" i="9"/>
  <c r="L133" i="9"/>
  <c r="K133" i="9"/>
  <c r="N132" i="9"/>
  <c r="M132" i="9"/>
  <c r="L132" i="9"/>
  <c r="K132" i="9"/>
  <c r="N131" i="9"/>
  <c r="M131" i="9"/>
  <c r="L131" i="9"/>
  <c r="K131" i="9"/>
  <c r="N130" i="9"/>
  <c r="M130" i="9"/>
  <c r="L130" i="9"/>
  <c r="K130" i="9"/>
  <c r="N129" i="9"/>
  <c r="M129" i="9"/>
  <c r="L129" i="9"/>
  <c r="K129" i="9"/>
  <c r="N128" i="9"/>
  <c r="M128" i="9"/>
  <c r="L128" i="9"/>
  <c r="K128" i="9"/>
  <c r="N127" i="9"/>
  <c r="M127" i="9"/>
  <c r="L127" i="9"/>
  <c r="K127" i="9"/>
  <c r="N126" i="9"/>
  <c r="M126" i="9"/>
  <c r="L126" i="9"/>
  <c r="K126" i="9"/>
  <c r="N125" i="9"/>
  <c r="M125" i="9"/>
  <c r="L125" i="9"/>
  <c r="K125" i="9"/>
  <c r="N124" i="9"/>
  <c r="M124" i="9"/>
  <c r="L124" i="9"/>
  <c r="K124" i="9"/>
  <c r="N123" i="9"/>
  <c r="M123" i="9"/>
  <c r="L123" i="9"/>
  <c r="K123" i="9"/>
  <c r="N122" i="9"/>
  <c r="M122" i="9"/>
  <c r="L122" i="9"/>
  <c r="K122" i="9"/>
  <c r="N121" i="9"/>
  <c r="M121" i="9"/>
  <c r="L121" i="9"/>
  <c r="K121" i="9"/>
  <c r="N120" i="9"/>
  <c r="M120" i="9"/>
  <c r="L120" i="9"/>
  <c r="K120" i="9"/>
  <c r="N119" i="9"/>
  <c r="M119" i="9"/>
  <c r="L119" i="9"/>
  <c r="K119" i="9"/>
  <c r="N118" i="9"/>
  <c r="M118" i="9"/>
  <c r="L118" i="9"/>
  <c r="K118" i="9"/>
  <c r="N117" i="9"/>
  <c r="M117" i="9"/>
  <c r="L117" i="9"/>
  <c r="K117" i="9"/>
  <c r="N116" i="9"/>
  <c r="M116" i="9"/>
  <c r="L116" i="9"/>
  <c r="K116" i="9"/>
  <c r="N115" i="9"/>
  <c r="M115" i="9"/>
  <c r="L115" i="9"/>
  <c r="K115" i="9"/>
  <c r="N114" i="9"/>
  <c r="M114" i="9"/>
  <c r="L114" i="9"/>
  <c r="K114" i="9"/>
  <c r="N113" i="9"/>
  <c r="M113" i="9"/>
  <c r="L113" i="9"/>
  <c r="K113" i="9"/>
  <c r="N112" i="9"/>
  <c r="M112" i="9"/>
  <c r="L112" i="9"/>
  <c r="K112" i="9"/>
  <c r="N111" i="9"/>
  <c r="M111" i="9"/>
  <c r="L111" i="9"/>
  <c r="K111" i="9"/>
  <c r="N110" i="9"/>
  <c r="M110" i="9"/>
  <c r="L110" i="9"/>
  <c r="K110" i="9"/>
  <c r="N109" i="9"/>
  <c r="M109" i="9"/>
  <c r="L109" i="9"/>
  <c r="K109" i="9"/>
  <c r="N108" i="9"/>
  <c r="M108" i="9"/>
  <c r="L108" i="9"/>
  <c r="K108" i="9"/>
  <c r="N107" i="9"/>
  <c r="M107" i="9"/>
  <c r="L107" i="9"/>
  <c r="K107" i="9"/>
  <c r="N106" i="9"/>
  <c r="M106" i="9"/>
  <c r="L106" i="9"/>
  <c r="K106" i="9"/>
  <c r="N105" i="9"/>
  <c r="M105" i="9"/>
  <c r="L105" i="9"/>
  <c r="K105" i="9"/>
  <c r="N104" i="9"/>
  <c r="M104" i="9"/>
  <c r="L104" i="9"/>
  <c r="K104" i="9"/>
  <c r="N103" i="9"/>
  <c r="M103" i="9"/>
  <c r="L103" i="9"/>
  <c r="K103" i="9"/>
  <c r="N102" i="9"/>
  <c r="M102" i="9"/>
  <c r="L102" i="9"/>
  <c r="K102" i="9"/>
  <c r="N101" i="9"/>
  <c r="M101" i="9"/>
  <c r="L101" i="9"/>
  <c r="K101" i="9"/>
  <c r="N100" i="9"/>
  <c r="M100" i="9"/>
  <c r="L100" i="9"/>
  <c r="K100" i="9"/>
  <c r="N99" i="9"/>
  <c r="M99" i="9"/>
  <c r="L99" i="9"/>
  <c r="K99" i="9"/>
  <c r="N98" i="9"/>
  <c r="M98" i="9"/>
  <c r="L98" i="9"/>
  <c r="K98" i="9"/>
  <c r="N97" i="9"/>
  <c r="M97" i="9"/>
  <c r="L97" i="9"/>
  <c r="K97" i="9"/>
  <c r="N96" i="9"/>
  <c r="M96" i="9"/>
  <c r="L96" i="9"/>
  <c r="K96" i="9"/>
  <c r="N95" i="9"/>
  <c r="M95" i="9"/>
  <c r="L95" i="9"/>
  <c r="K95" i="9"/>
  <c r="N94" i="9"/>
  <c r="M94" i="9"/>
  <c r="L94" i="9"/>
  <c r="K94" i="9"/>
  <c r="N93" i="9"/>
  <c r="M93" i="9"/>
  <c r="L93" i="9"/>
  <c r="K93" i="9"/>
  <c r="N92" i="9"/>
  <c r="M92" i="9"/>
  <c r="L92" i="9"/>
  <c r="K92" i="9"/>
  <c r="N91" i="9"/>
  <c r="M91" i="9"/>
  <c r="L91" i="9"/>
  <c r="K91" i="9"/>
  <c r="N90" i="9"/>
  <c r="M90" i="9"/>
  <c r="L90" i="9"/>
  <c r="K90" i="9"/>
  <c r="N89" i="9"/>
  <c r="M89" i="9"/>
  <c r="L89" i="9"/>
  <c r="K89" i="9"/>
  <c r="N88" i="9"/>
  <c r="M88" i="9"/>
  <c r="L88" i="9"/>
  <c r="K88" i="9"/>
  <c r="N87" i="9"/>
  <c r="M87" i="9"/>
  <c r="L87" i="9"/>
  <c r="K87" i="9"/>
  <c r="N86" i="9"/>
  <c r="M86" i="9"/>
  <c r="L86" i="9"/>
  <c r="K86" i="9"/>
  <c r="N85" i="9"/>
  <c r="M85" i="9"/>
  <c r="L85" i="9"/>
  <c r="K85" i="9"/>
  <c r="N84" i="9"/>
  <c r="M84" i="9"/>
  <c r="L84" i="9"/>
  <c r="K84" i="9"/>
  <c r="N83" i="9"/>
  <c r="M83" i="9"/>
  <c r="L83" i="9"/>
  <c r="K83" i="9"/>
  <c r="N82" i="9"/>
  <c r="M82" i="9"/>
  <c r="L82" i="9"/>
  <c r="K82" i="9"/>
  <c r="N81" i="9"/>
  <c r="M81" i="9"/>
  <c r="L81" i="9"/>
  <c r="K81" i="9"/>
  <c r="N80" i="9"/>
  <c r="M80" i="9"/>
  <c r="L80" i="9"/>
  <c r="K80" i="9"/>
  <c r="N79" i="9"/>
  <c r="M79" i="9"/>
  <c r="L79" i="9"/>
  <c r="K79" i="9"/>
  <c r="N78" i="9"/>
  <c r="M78" i="9"/>
  <c r="L78" i="9"/>
  <c r="K78" i="9"/>
  <c r="N77" i="9"/>
  <c r="M77" i="9"/>
  <c r="L77" i="9"/>
  <c r="K77" i="9"/>
  <c r="N76" i="9"/>
  <c r="M76" i="9"/>
  <c r="L76" i="9"/>
  <c r="K76" i="9"/>
  <c r="N75" i="9"/>
  <c r="M75" i="9"/>
  <c r="L75" i="9"/>
  <c r="K75" i="9"/>
  <c r="N74" i="9"/>
  <c r="M74" i="9"/>
  <c r="L74" i="9"/>
  <c r="K74" i="9"/>
  <c r="N73" i="9"/>
  <c r="M73" i="9"/>
  <c r="L73" i="9"/>
  <c r="K73" i="9"/>
  <c r="N72" i="9"/>
  <c r="M72" i="9"/>
  <c r="L72" i="9"/>
  <c r="K72" i="9"/>
  <c r="N71" i="9"/>
  <c r="M71" i="9"/>
  <c r="L71" i="9"/>
  <c r="K71" i="9"/>
  <c r="N70" i="9"/>
  <c r="M70" i="9"/>
  <c r="L70" i="9"/>
  <c r="K70" i="9"/>
  <c r="N69" i="9"/>
  <c r="M69" i="9"/>
  <c r="L69" i="9"/>
  <c r="K69" i="9"/>
  <c r="N68" i="9"/>
  <c r="M68" i="9"/>
  <c r="L68" i="9"/>
  <c r="K68" i="9"/>
  <c r="N67" i="9"/>
  <c r="M67" i="9"/>
  <c r="L67" i="9"/>
  <c r="K67" i="9"/>
  <c r="N66" i="9"/>
  <c r="M66" i="9"/>
  <c r="L66" i="9"/>
  <c r="K66" i="9"/>
  <c r="N65" i="9"/>
  <c r="M65" i="9"/>
  <c r="L65" i="9"/>
  <c r="K65" i="9"/>
  <c r="N64" i="9"/>
  <c r="M64" i="9"/>
  <c r="L64" i="9"/>
  <c r="K64" i="9"/>
  <c r="N63" i="9"/>
  <c r="M63" i="9"/>
  <c r="L63" i="9"/>
  <c r="K63" i="9"/>
  <c r="N62" i="9"/>
  <c r="M62" i="9"/>
  <c r="L62" i="9"/>
  <c r="K62" i="9"/>
  <c r="N61" i="9"/>
  <c r="M61" i="9"/>
  <c r="L61" i="9"/>
  <c r="K61" i="9"/>
  <c r="N60" i="9"/>
  <c r="M60" i="9"/>
  <c r="L60" i="9"/>
  <c r="K60" i="9"/>
  <c r="N59" i="9"/>
  <c r="M59" i="9"/>
  <c r="L59" i="9"/>
  <c r="K59" i="9"/>
  <c r="N58" i="9"/>
  <c r="M58" i="9"/>
  <c r="L58" i="9"/>
  <c r="K58" i="9"/>
  <c r="N57" i="9"/>
  <c r="M57" i="9"/>
  <c r="L57" i="9"/>
  <c r="K57" i="9"/>
  <c r="N56" i="9"/>
  <c r="M56" i="9"/>
  <c r="L56" i="9"/>
  <c r="K56" i="9"/>
  <c r="N55" i="9"/>
  <c r="M55" i="9"/>
  <c r="L55" i="9"/>
  <c r="K55" i="9"/>
  <c r="N54" i="9"/>
  <c r="M54" i="9"/>
  <c r="L54" i="9"/>
  <c r="K54" i="9"/>
  <c r="N53" i="9"/>
  <c r="M53" i="9"/>
  <c r="L53" i="9"/>
  <c r="K53" i="9"/>
  <c r="N52" i="9"/>
  <c r="M52" i="9"/>
  <c r="L52" i="9"/>
  <c r="K52" i="9"/>
  <c r="N51" i="9"/>
  <c r="M51" i="9"/>
  <c r="L51" i="9"/>
  <c r="K51" i="9"/>
  <c r="N50" i="9"/>
  <c r="M50" i="9"/>
  <c r="L50" i="9"/>
  <c r="K50" i="9"/>
  <c r="N49" i="9"/>
  <c r="M49" i="9"/>
  <c r="L49" i="9"/>
  <c r="K49" i="9"/>
  <c r="N48" i="9"/>
  <c r="M48" i="9"/>
  <c r="L48" i="9"/>
  <c r="K48" i="9"/>
  <c r="N47" i="9"/>
  <c r="M47" i="9"/>
  <c r="L47" i="9"/>
  <c r="K47" i="9"/>
  <c r="N46" i="9"/>
  <c r="M46" i="9"/>
  <c r="L46" i="9"/>
  <c r="K46" i="9"/>
  <c r="N45" i="9"/>
  <c r="M45" i="9"/>
  <c r="L45" i="9"/>
  <c r="K45" i="9"/>
  <c r="N44" i="9"/>
  <c r="M44" i="9"/>
  <c r="L44" i="9"/>
  <c r="K44" i="9"/>
  <c r="N43" i="9"/>
  <c r="M43" i="9"/>
  <c r="L43" i="9"/>
  <c r="K43" i="9"/>
  <c r="N42" i="9"/>
  <c r="M42" i="9"/>
  <c r="L42" i="9"/>
  <c r="K42" i="9"/>
  <c r="N41" i="9"/>
  <c r="M41" i="9"/>
  <c r="L41" i="9"/>
  <c r="K41" i="9"/>
  <c r="N40" i="9"/>
  <c r="M40" i="9"/>
  <c r="L40" i="9"/>
  <c r="K40" i="9"/>
  <c r="N39" i="9"/>
  <c r="M39" i="9"/>
  <c r="L39" i="9"/>
  <c r="K39" i="9"/>
  <c r="N38" i="9"/>
  <c r="M38" i="9"/>
  <c r="L38" i="9"/>
  <c r="K38" i="9"/>
  <c r="N37" i="9"/>
  <c r="M37" i="9"/>
  <c r="L37" i="9"/>
  <c r="K37" i="9"/>
  <c r="N36" i="9"/>
  <c r="M36" i="9"/>
  <c r="L36" i="9"/>
  <c r="K36" i="9"/>
  <c r="N35" i="9"/>
  <c r="M35" i="9"/>
  <c r="L35" i="9"/>
  <c r="K35" i="9"/>
  <c r="N34" i="9"/>
  <c r="M34" i="9"/>
  <c r="L34" i="9"/>
  <c r="K34" i="9"/>
  <c r="N33" i="9"/>
  <c r="M33" i="9"/>
  <c r="L33" i="9"/>
  <c r="K33" i="9"/>
  <c r="N32" i="9"/>
  <c r="M32" i="9"/>
  <c r="L32" i="9"/>
  <c r="K32" i="9"/>
  <c r="N31" i="9"/>
  <c r="M31" i="9"/>
  <c r="L31" i="9"/>
  <c r="K31" i="9"/>
  <c r="N30" i="9"/>
  <c r="M30" i="9"/>
  <c r="L30" i="9"/>
  <c r="K30" i="9"/>
  <c r="N29" i="9"/>
  <c r="M29" i="9"/>
  <c r="L29" i="9"/>
  <c r="K29" i="9"/>
  <c r="N28" i="9"/>
  <c r="M28" i="9"/>
  <c r="L28" i="9"/>
  <c r="K28" i="9"/>
  <c r="N27" i="9"/>
  <c r="M27" i="9"/>
  <c r="L27" i="9"/>
  <c r="K27" i="9"/>
  <c r="N26" i="9"/>
  <c r="M26" i="9"/>
  <c r="L26" i="9"/>
  <c r="K26" i="9"/>
  <c r="N25" i="9"/>
  <c r="M25" i="9"/>
  <c r="L25" i="9"/>
  <c r="K25" i="9"/>
  <c r="N24" i="9"/>
  <c r="M24" i="9"/>
  <c r="L24" i="9"/>
  <c r="K24" i="9"/>
  <c r="N23" i="9"/>
  <c r="M23" i="9"/>
  <c r="L23" i="9"/>
  <c r="K23" i="9"/>
  <c r="N22" i="9"/>
  <c r="M22" i="9"/>
  <c r="L22" i="9"/>
  <c r="K22" i="9"/>
  <c r="N21" i="9"/>
  <c r="M21" i="9"/>
  <c r="L21" i="9"/>
  <c r="K21" i="9"/>
  <c r="N20" i="9"/>
  <c r="M20" i="9"/>
  <c r="L20" i="9"/>
  <c r="K20" i="9"/>
  <c r="N19" i="9"/>
  <c r="M19" i="9"/>
  <c r="L19" i="9"/>
  <c r="K19" i="9"/>
  <c r="N18" i="9"/>
  <c r="M18" i="9"/>
  <c r="L18" i="9"/>
  <c r="K18" i="9"/>
  <c r="N17" i="9"/>
  <c r="M17" i="9"/>
  <c r="L17" i="9"/>
  <c r="K17" i="9"/>
  <c r="N16" i="9"/>
  <c r="M16" i="9"/>
  <c r="L16" i="9"/>
  <c r="K16" i="9"/>
  <c r="N15" i="9"/>
  <c r="M15" i="9"/>
  <c r="L15" i="9"/>
  <c r="K15" i="9"/>
  <c r="N14" i="9"/>
  <c r="M14" i="9"/>
  <c r="L14" i="9"/>
  <c r="K14" i="9"/>
  <c r="N13" i="9"/>
  <c r="M13" i="9"/>
  <c r="L13" i="9"/>
  <c r="K13" i="9"/>
  <c r="N12" i="9"/>
  <c r="M12" i="9"/>
  <c r="L12" i="9"/>
  <c r="K12" i="9"/>
  <c r="N11" i="9"/>
  <c r="M11" i="9"/>
  <c r="L11" i="9"/>
  <c r="K11" i="9"/>
  <c r="N10" i="9"/>
  <c r="M10" i="9"/>
  <c r="L10" i="9"/>
  <c r="K10" i="9"/>
  <c r="N9" i="9"/>
  <c r="M9" i="9"/>
  <c r="L9" i="9"/>
  <c r="K9" i="9"/>
  <c r="N8" i="9"/>
  <c r="M8" i="9"/>
  <c r="L8" i="9"/>
  <c r="K8" i="9"/>
  <c r="N7" i="9"/>
  <c r="M7" i="9"/>
  <c r="L7" i="9"/>
  <c r="K7" i="9"/>
  <c r="N6" i="9"/>
  <c r="M6" i="9"/>
  <c r="L6" i="9"/>
  <c r="K6" i="9"/>
  <c r="N5" i="9"/>
  <c r="M5" i="9"/>
  <c r="L5" i="9"/>
  <c r="K5" i="9"/>
  <c r="N4" i="9"/>
  <c r="M4" i="9"/>
  <c r="L4" i="9"/>
  <c r="K4" i="9"/>
  <c r="N3" i="9"/>
  <c r="M3" i="9"/>
  <c r="L3" i="9"/>
  <c r="K3" i="9"/>
  <c r="N2" i="9"/>
  <c r="M2" i="9"/>
  <c r="L2" i="9"/>
  <c r="K2" i="9"/>
  <c r="L1089" i="7"/>
  <c r="K1089" i="7"/>
  <c r="L1088" i="7"/>
  <c r="K1088" i="7"/>
  <c r="L1087" i="7"/>
  <c r="K1087" i="7"/>
  <c r="L1086" i="7"/>
  <c r="K1086" i="7"/>
  <c r="L1085" i="7"/>
  <c r="K1085" i="7"/>
  <c r="L1084" i="7"/>
  <c r="K1084" i="7"/>
  <c r="L1083" i="7"/>
  <c r="K1083" i="7"/>
  <c r="L1082" i="7"/>
  <c r="K1082" i="7"/>
  <c r="L1081" i="7"/>
  <c r="K1081" i="7"/>
  <c r="L1080" i="7"/>
  <c r="K1080" i="7"/>
  <c r="L1079" i="7"/>
  <c r="K1079" i="7"/>
  <c r="L1078" i="7"/>
  <c r="K1078" i="7"/>
  <c r="L1077" i="7"/>
  <c r="K1077" i="7"/>
  <c r="L1076" i="7"/>
  <c r="K1076" i="7"/>
  <c r="L1075" i="7"/>
  <c r="K1075" i="7"/>
  <c r="L1074" i="7"/>
  <c r="K1074" i="7"/>
  <c r="L1073" i="7"/>
  <c r="K1073" i="7"/>
  <c r="L1072" i="7"/>
  <c r="K1072" i="7"/>
  <c r="L1071" i="7"/>
  <c r="K1071" i="7"/>
  <c r="L1070" i="7"/>
  <c r="K1070" i="7"/>
  <c r="L1069" i="7"/>
  <c r="K1069" i="7"/>
  <c r="L1068" i="7"/>
  <c r="K1068" i="7"/>
  <c r="L1067" i="7"/>
  <c r="K1067" i="7"/>
  <c r="L1066" i="7"/>
  <c r="K1066" i="7"/>
  <c r="L1065" i="7"/>
  <c r="K1065" i="7"/>
  <c r="L1064" i="7"/>
  <c r="K1064" i="7"/>
  <c r="L1063" i="7"/>
  <c r="K1063" i="7"/>
  <c r="L1062" i="7"/>
  <c r="K1062" i="7"/>
  <c r="L1061" i="7"/>
  <c r="K1061" i="7"/>
  <c r="L1060" i="7"/>
  <c r="K1060" i="7"/>
  <c r="L1059" i="7"/>
  <c r="K1059" i="7"/>
  <c r="L1058" i="7"/>
  <c r="K1058" i="7"/>
  <c r="L1057" i="7"/>
  <c r="K1057" i="7"/>
  <c r="L1056" i="7"/>
  <c r="K1056" i="7"/>
  <c r="L1055" i="7"/>
  <c r="K1055" i="7"/>
  <c r="L1054" i="7"/>
  <c r="K1054" i="7"/>
  <c r="L1053" i="7"/>
  <c r="K1053" i="7"/>
  <c r="L1052" i="7"/>
  <c r="K1052" i="7"/>
  <c r="L1051" i="7"/>
  <c r="K1051" i="7"/>
  <c r="L1050" i="7"/>
  <c r="K1050" i="7"/>
  <c r="L1049" i="7"/>
  <c r="K1049" i="7"/>
  <c r="L1048" i="7"/>
  <c r="K1048" i="7"/>
  <c r="L1047" i="7"/>
  <c r="K1047" i="7"/>
  <c r="L1046" i="7"/>
  <c r="K1046" i="7"/>
  <c r="L1045" i="7"/>
  <c r="K1045" i="7"/>
  <c r="L1044" i="7"/>
  <c r="K1044" i="7"/>
  <c r="L1043" i="7"/>
  <c r="K1043" i="7"/>
  <c r="L1042" i="7"/>
  <c r="K1042" i="7"/>
  <c r="L1041" i="7"/>
  <c r="K1041" i="7"/>
  <c r="L1040" i="7"/>
  <c r="K1040" i="7"/>
  <c r="L1039" i="7"/>
  <c r="K1039" i="7"/>
  <c r="L1038" i="7"/>
  <c r="K1038" i="7"/>
  <c r="L1037" i="7"/>
  <c r="K1037" i="7"/>
  <c r="L1036" i="7"/>
  <c r="K1036" i="7"/>
  <c r="L1035" i="7"/>
  <c r="K1035" i="7"/>
  <c r="L1034" i="7"/>
  <c r="K1034" i="7"/>
  <c r="L1033" i="7"/>
  <c r="K1033" i="7"/>
  <c r="L1032" i="7"/>
  <c r="K1032" i="7"/>
  <c r="L1031" i="7"/>
  <c r="K1031" i="7"/>
  <c r="L1030" i="7"/>
  <c r="K1030" i="7"/>
  <c r="L1029" i="7"/>
  <c r="K1029" i="7"/>
  <c r="L1028" i="7"/>
  <c r="K1028" i="7"/>
  <c r="L1027" i="7"/>
  <c r="K1027" i="7"/>
  <c r="L1026" i="7"/>
  <c r="K1026" i="7"/>
  <c r="L1025" i="7"/>
  <c r="K1025" i="7"/>
  <c r="L1024" i="7"/>
  <c r="K1024" i="7"/>
  <c r="L1023" i="7"/>
  <c r="K1023" i="7"/>
  <c r="L1022" i="7"/>
  <c r="K1022" i="7"/>
  <c r="L1021" i="7"/>
  <c r="K1021" i="7"/>
  <c r="L1020" i="7"/>
  <c r="K1020" i="7"/>
  <c r="L1019" i="7"/>
  <c r="K1019" i="7"/>
  <c r="L1018" i="7"/>
  <c r="K1018" i="7"/>
  <c r="L1017" i="7"/>
  <c r="K1017" i="7"/>
  <c r="L1016" i="7"/>
  <c r="K1016" i="7"/>
  <c r="L1015" i="7"/>
  <c r="K1015" i="7"/>
  <c r="L1014" i="7"/>
  <c r="K1014" i="7"/>
  <c r="L1013" i="7"/>
  <c r="K1013" i="7"/>
  <c r="L1012" i="7"/>
  <c r="K1012" i="7"/>
  <c r="L1011" i="7"/>
  <c r="K1011" i="7"/>
  <c r="L1010" i="7"/>
  <c r="K1010" i="7"/>
  <c r="L1009" i="7"/>
  <c r="K1009" i="7"/>
  <c r="L1008" i="7"/>
  <c r="K1008" i="7"/>
  <c r="L1007" i="7"/>
  <c r="K1007" i="7"/>
  <c r="L1006" i="7"/>
  <c r="K1006" i="7"/>
  <c r="L1005" i="7"/>
  <c r="K1005" i="7"/>
  <c r="L1004" i="7"/>
  <c r="K1004" i="7"/>
  <c r="L1003" i="7"/>
  <c r="K1003" i="7"/>
  <c r="L1002" i="7"/>
  <c r="K1002" i="7"/>
  <c r="L1001" i="7"/>
  <c r="K1001" i="7"/>
  <c r="L1000" i="7"/>
  <c r="K1000" i="7"/>
  <c r="L999" i="7"/>
  <c r="K999" i="7"/>
  <c r="L998" i="7"/>
  <c r="K998" i="7"/>
  <c r="L997" i="7"/>
  <c r="K997" i="7"/>
  <c r="L996" i="7"/>
  <c r="K996" i="7"/>
  <c r="L995" i="7"/>
  <c r="K995" i="7"/>
  <c r="L994" i="7"/>
  <c r="K994" i="7"/>
  <c r="L993" i="7"/>
  <c r="K993" i="7"/>
  <c r="L992" i="7"/>
  <c r="K992" i="7"/>
  <c r="L991" i="7"/>
  <c r="K991" i="7"/>
  <c r="L990" i="7"/>
  <c r="K990" i="7"/>
  <c r="L989" i="7"/>
  <c r="K989" i="7"/>
  <c r="L988" i="7"/>
  <c r="K988" i="7"/>
  <c r="L987" i="7"/>
  <c r="K987" i="7"/>
  <c r="L986" i="7"/>
  <c r="K986" i="7"/>
  <c r="L985" i="7"/>
  <c r="K985" i="7"/>
  <c r="L984" i="7"/>
  <c r="K984" i="7"/>
  <c r="L983" i="7"/>
  <c r="K983" i="7"/>
  <c r="L982" i="7"/>
  <c r="K982" i="7"/>
  <c r="L981" i="7"/>
  <c r="K981" i="7"/>
  <c r="L980" i="7"/>
  <c r="K980" i="7"/>
  <c r="L979" i="7"/>
  <c r="K979" i="7"/>
  <c r="L978" i="7"/>
  <c r="K978" i="7"/>
  <c r="L977" i="7"/>
  <c r="K977" i="7"/>
  <c r="L976" i="7"/>
  <c r="K976" i="7"/>
  <c r="L975" i="7"/>
  <c r="K975" i="7"/>
  <c r="L974" i="7"/>
  <c r="K974" i="7"/>
  <c r="L973" i="7"/>
  <c r="K973" i="7"/>
  <c r="L972" i="7"/>
  <c r="K972" i="7"/>
  <c r="L971" i="7"/>
  <c r="K971" i="7"/>
  <c r="L970" i="7"/>
  <c r="K970" i="7"/>
  <c r="L969" i="7"/>
  <c r="K969" i="7"/>
  <c r="L968" i="7"/>
  <c r="K968" i="7"/>
  <c r="L967" i="7"/>
  <c r="K967" i="7"/>
  <c r="L966" i="7"/>
  <c r="K966" i="7"/>
  <c r="L965" i="7"/>
  <c r="K965" i="7"/>
  <c r="L964" i="7"/>
  <c r="K964" i="7"/>
  <c r="L963" i="7"/>
  <c r="K963" i="7"/>
  <c r="L962" i="7"/>
  <c r="K962" i="7"/>
  <c r="L961" i="7"/>
  <c r="K961" i="7"/>
  <c r="L960" i="7"/>
  <c r="K960" i="7"/>
  <c r="L959" i="7"/>
  <c r="K959" i="7"/>
  <c r="L958" i="7"/>
  <c r="K958" i="7"/>
  <c r="L957" i="7"/>
  <c r="K957" i="7"/>
  <c r="L956" i="7"/>
  <c r="K956" i="7"/>
  <c r="L955" i="7"/>
  <c r="K955" i="7"/>
  <c r="L954" i="7"/>
  <c r="K954" i="7"/>
  <c r="L953" i="7"/>
  <c r="K953" i="7"/>
  <c r="L952" i="7"/>
  <c r="K952" i="7"/>
  <c r="L951" i="7"/>
  <c r="K951" i="7"/>
  <c r="L950" i="7"/>
  <c r="K950" i="7"/>
  <c r="L949" i="7"/>
  <c r="K949" i="7"/>
  <c r="L948" i="7"/>
  <c r="K948" i="7"/>
  <c r="L947" i="7"/>
  <c r="K947" i="7"/>
  <c r="L946" i="7"/>
  <c r="K946" i="7"/>
  <c r="L945" i="7"/>
  <c r="K945" i="7"/>
  <c r="L944" i="7"/>
  <c r="K944" i="7"/>
  <c r="L943" i="7"/>
  <c r="K943" i="7"/>
  <c r="L942" i="7"/>
  <c r="K942" i="7"/>
  <c r="L941" i="7"/>
  <c r="K941" i="7"/>
  <c r="L940" i="7"/>
  <c r="K940" i="7"/>
  <c r="L939" i="7"/>
  <c r="K939" i="7"/>
  <c r="L938" i="7"/>
  <c r="K938" i="7"/>
  <c r="L937" i="7"/>
  <c r="K937" i="7"/>
  <c r="L936" i="7"/>
  <c r="K936" i="7"/>
  <c r="L935" i="7"/>
  <c r="K935" i="7"/>
  <c r="L934" i="7"/>
  <c r="K934" i="7"/>
  <c r="L933" i="7"/>
  <c r="K933" i="7"/>
  <c r="L932" i="7"/>
  <c r="K932" i="7"/>
  <c r="L931" i="7"/>
  <c r="K931" i="7"/>
  <c r="L930" i="7"/>
  <c r="K930" i="7"/>
  <c r="L929" i="7"/>
  <c r="K929" i="7"/>
  <c r="L928" i="7"/>
  <c r="K928" i="7"/>
  <c r="L927" i="7"/>
  <c r="K927" i="7"/>
  <c r="L926" i="7"/>
  <c r="K926" i="7"/>
  <c r="L925" i="7"/>
  <c r="K925" i="7"/>
  <c r="L924" i="7"/>
  <c r="K924" i="7"/>
  <c r="L923" i="7"/>
  <c r="K923" i="7"/>
  <c r="L922" i="7"/>
  <c r="K922" i="7"/>
  <c r="L921" i="7"/>
  <c r="K921" i="7"/>
  <c r="L920" i="7"/>
  <c r="K920" i="7"/>
  <c r="L919" i="7"/>
  <c r="K919" i="7"/>
  <c r="L918" i="7"/>
  <c r="K918" i="7"/>
  <c r="L917" i="7"/>
  <c r="K917" i="7"/>
  <c r="L916" i="7"/>
  <c r="K916" i="7"/>
  <c r="L915" i="7"/>
  <c r="K915" i="7"/>
  <c r="L914" i="7"/>
  <c r="K914" i="7"/>
  <c r="L913" i="7"/>
  <c r="K913" i="7"/>
  <c r="L912" i="7"/>
  <c r="K912" i="7"/>
  <c r="L911" i="7"/>
  <c r="K911" i="7"/>
  <c r="L910" i="7"/>
  <c r="K910" i="7"/>
  <c r="L909" i="7"/>
  <c r="K909" i="7"/>
  <c r="L908" i="7"/>
  <c r="K908" i="7"/>
  <c r="L907" i="7"/>
  <c r="K907" i="7"/>
  <c r="L906" i="7"/>
  <c r="K906" i="7"/>
  <c r="L905" i="7"/>
  <c r="K905" i="7"/>
  <c r="L904" i="7"/>
  <c r="K904" i="7"/>
  <c r="L903" i="7"/>
  <c r="K903" i="7"/>
  <c r="L902" i="7"/>
  <c r="K902" i="7"/>
  <c r="L901" i="7"/>
  <c r="K901" i="7"/>
  <c r="L900" i="7"/>
  <c r="K900" i="7"/>
  <c r="L899" i="7"/>
  <c r="K899" i="7"/>
  <c r="L898" i="7"/>
  <c r="K898" i="7"/>
  <c r="L897" i="7"/>
  <c r="K897" i="7"/>
  <c r="L896" i="7"/>
  <c r="K896" i="7"/>
  <c r="L895" i="7"/>
  <c r="K895" i="7"/>
  <c r="L894" i="7"/>
  <c r="K894" i="7"/>
  <c r="L893" i="7"/>
  <c r="K893" i="7"/>
  <c r="L892" i="7"/>
  <c r="K892" i="7"/>
  <c r="L891" i="7"/>
  <c r="K891" i="7"/>
  <c r="L890" i="7"/>
  <c r="K890" i="7"/>
  <c r="L889" i="7"/>
  <c r="K889" i="7"/>
  <c r="L888" i="7"/>
  <c r="K888" i="7"/>
  <c r="L887" i="7"/>
  <c r="K887" i="7"/>
  <c r="L886" i="7"/>
  <c r="K886" i="7"/>
  <c r="L885" i="7"/>
  <c r="K885" i="7"/>
  <c r="L884" i="7"/>
  <c r="K884" i="7"/>
  <c r="L883" i="7"/>
  <c r="K883" i="7"/>
  <c r="L882" i="7"/>
  <c r="K882" i="7"/>
  <c r="L881" i="7"/>
  <c r="K881" i="7"/>
  <c r="L880" i="7"/>
  <c r="K880" i="7"/>
  <c r="L879" i="7"/>
  <c r="K879" i="7"/>
  <c r="L878" i="7"/>
  <c r="K878" i="7"/>
  <c r="L877" i="7"/>
  <c r="K877" i="7"/>
  <c r="L876" i="7"/>
  <c r="K876" i="7"/>
  <c r="L875" i="7"/>
  <c r="K875" i="7"/>
  <c r="L874" i="7"/>
  <c r="K874" i="7"/>
  <c r="L873" i="7"/>
  <c r="K873" i="7"/>
  <c r="L872" i="7"/>
  <c r="K872" i="7"/>
  <c r="L871" i="7"/>
  <c r="K871" i="7"/>
  <c r="L870" i="7"/>
  <c r="K870" i="7"/>
  <c r="L869" i="7"/>
  <c r="K869" i="7"/>
  <c r="L868" i="7"/>
  <c r="K868" i="7"/>
  <c r="L867" i="7"/>
  <c r="K867" i="7"/>
  <c r="L866" i="7"/>
  <c r="K866" i="7"/>
  <c r="L865" i="7"/>
  <c r="K865" i="7"/>
  <c r="L864" i="7"/>
  <c r="K864" i="7"/>
  <c r="L863" i="7"/>
  <c r="K863" i="7"/>
  <c r="L862" i="7"/>
  <c r="K862" i="7"/>
  <c r="L861" i="7"/>
  <c r="K861" i="7"/>
  <c r="L860" i="7"/>
  <c r="K860" i="7"/>
  <c r="L859" i="7"/>
  <c r="K859" i="7"/>
  <c r="L858" i="7"/>
  <c r="K858" i="7"/>
  <c r="L857" i="7"/>
  <c r="K857" i="7"/>
  <c r="L856" i="7"/>
  <c r="K856" i="7"/>
  <c r="L855" i="7"/>
  <c r="K855" i="7"/>
  <c r="L854" i="7"/>
  <c r="K854" i="7"/>
  <c r="L853" i="7"/>
  <c r="K853" i="7"/>
  <c r="L852" i="7"/>
  <c r="K852" i="7"/>
  <c r="L851" i="7"/>
  <c r="K851" i="7"/>
  <c r="L850" i="7"/>
  <c r="K850" i="7"/>
  <c r="L849" i="7"/>
  <c r="K849" i="7"/>
  <c r="L848" i="7"/>
  <c r="K848" i="7"/>
  <c r="L847" i="7"/>
  <c r="K847" i="7"/>
  <c r="L846" i="7"/>
  <c r="K846" i="7"/>
  <c r="L845" i="7"/>
  <c r="K845" i="7"/>
  <c r="L844" i="7"/>
  <c r="K844" i="7"/>
  <c r="L843" i="7"/>
  <c r="K843" i="7"/>
  <c r="L842" i="7"/>
  <c r="K842" i="7"/>
  <c r="L841" i="7"/>
  <c r="K841" i="7"/>
  <c r="L840" i="7"/>
  <c r="K840" i="7"/>
  <c r="L839" i="7"/>
  <c r="K839" i="7"/>
  <c r="L838" i="7"/>
  <c r="K838" i="7"/>
  <c r="L837" i="7"/>
  <c r="K837" i="7"/>
  <c r="L836" i="7"/>
  <c r="K836" i="7"/>
  <c r="L835" i="7"/>
  <c r="K835" i="7"/>
  <c r="L834" i="7"/>
  <c r="K834" i="7"/>
  <c r="L833" i="7"/>
  <c r="K833" i="7"/>
  <c r="L832" i="7"/>
  <c r="K832" i="7"/>
  <c r="L831" i="7"/>
  <c r="K831" i="7"/>
  <c r="L830" i="7"/>
  <c r="K830" i="7"/>
  <c r="L829" i="7"/>
  <c r="K829" i="7"/>
  <c r="L828" i="7"/>
  <c r="K828" i="7"/>
  <c r="L827" i="7"/>
  <c r="K827" i="7"/>
  <c r="L826" i="7"/>
  <c r="K826" i="7"/>
  <c r="L825" i="7"/>
  <c r="K825" i="7"/>
  <c r="L824" i="7"/>
  <c r="K824" i="7"/>
  <c r="L823" i="7"/>
  <c r="K823" i="7"/>
  <c r="L822" i="7"/>
  <c r="K822" i="7"/>
  <c r="L821" i="7"/>
  <c r="K821" i="7"/>
  <c r="L820" i="7"/>
  <c r="K820" i="7"/>
  <c r="L819" i="7"/>
  <c r="K819" i="7"/>
  <c r="L818" i="7"/>
  <c r="K818" i="7"/>
  <c r="L817" i="7"/>
  <c r="K817" i="7"/>
  <c r="L816" i="7"/>
  <c r="K816" i="7"/>
  <c r="L815" i="7"/>
  <c r="K815" i="7"/>
  <c r="L814" i="7"/>
  <c r="K814" i="7"/>
  <c r="L813" i="7"/>
  <c r="K813" i="7"/>
  <c r="L812" i="7"/>
  <c r="K812" i="7"/>
  <c r="L811" i="7"/>
  <c r="K811" i="7"/>
  <c r="L810" i="7"/>
  <c r="K810" i="7"/>
  <c r="L809" i="7"/>
  <c r="K809" i="7"/>
  <c r="L808" i="7"/>
  <c r="K808" i="7"/>
  <c r="L807" i="7"/>
  <c r="K807" i="7"/>
  <c r="L806" i="7"/>
  <c r="K806" i="7"/>
  <c r="L805" i="7"/>
  <c r="K805" i="7"/>
  <c r="L804" i="7"/>
  <c r="K804" i="7"/>
  <c r="L803" i="7"/>
  <c r="K803" i="7"/>
  <c r="L802" i="7"/>
  <c r="K802" i="7"/>
  <c r="L801" i="7"/>
  <c r="K801" i="7"/>
  <c r="L800" i="7"/>
  <c r="K800" i="7"/>
  <c r="L799" i="7"/>
  <c r="K799" i="7"/>
  <c r="L798" i="7"/>
  <c r="K798" i="7"/>
  <c r="L797" i="7"/>
  <c r="K797" i="7"/>
  <c r="L796" i="7"/>
  <c r="K796" i="7"/>
  <c r="L795" i="7"/>
  <c r="K795" i="7"/>
  <c r="L794" i="7"/>
  <c r="K794" i="7"/>
  <c r="L793" i="7"/>
  <c r="K793" i="7"/>
  <c r="L792" i="7"/>
  <c r="K792" i="7"/>
  <c r="L791" i="7"/>
  <c r="K791" i="7"/>
  <c r="L790" i="7"/>
  <c r="K790" i="7"/>
  <c r="L789" i="7"/>
  <c r="K789" i="7"/>
  <c r="L788" i="7"/>
  <c r="K788" i="7"/>
  <c r="L787" i="7"/>
  <c r="K787" i="7"/>
  <c r="L786" i="7"/>
  <c r="K786" i="7"/>
  <c r="L785" i="7"/>
  <c r="K785" i="7"/>
  <c r="L784" i="7"/>
  <c r="K784" i="7"/>
  <c r="L783" i="7"/>
  <c r="K783" i="7"/>
  <c r="L782" i="7"/>
  <c r="K782" i="7"/>
  <c r="L781" i="7"/>
  <c r="K781" i="7"/>
  <c r="L780" i="7"/>
  <c r="K780" i="7"/>
  <c r="L779" i="7"/>
  <c r="K779" i="7"/>
  <c r="L778" i="7"/>
  <c r="K778" i="7"/>
  <c r="L777" i="7"/>
  <c r="K777" i="7"/>
  <c r="L776" i="7"/>
  <c r="K776" i="7"/>
  <c r="L775" i="7"/>
  <c r="K775" i="7"/>
  <c r="L774" i="7"/>
  <c r="K774" i="7"/>
  <c r="L773" i="7"/>
  <c r="K773" i="7"/>
  <c r="L772" i="7"/>
  <c r="K772" i="7"/>
  <c r="L771" i="7"/>
  <c r="K771" i="7"/>
  <c r="L770" i="7"/>
  <c r="K770" i="7"/>
  <c r="L769" i="7"/>
  <c r="K769" i="7"/>
  <c r="L768" i="7"/>
  <c r="K768" i="7"/>
  <c r="L767" i="7"/>
  <c r="K767" i="7"/>
  <c r="L766" i="7"/>
  <c r="K766" i="7"/>
  <c r="L765" i="7"/>
  <c r="K765" i="7"/>
  <c r="L764" i="7"/>
  <c r="K764" i="7"/>
  <c r="L763" i="7"/>
  <c r="K763" i="7"/>
  <c r="L762" i="7"/>
  <c r="K762" i="7"/>
  <c r="L761" i="7"/>
  <c r="K761" i="7"/>
  <c r="L760" i="7"/>
  <c r="K760" i="7"/>
  <c r="L759" i="7"/>
  <c r="K759" i="7"/>
  <c r="L758" i="7"/>
  <c r="K758" i="7"/>
  <c r="L757" i="7"/>
  <c r="K757" i="7"/>
  <c r="L756" i="7"/>
  <c r="K756" i="7"/>
  <c r="L755" i="7"/>
  <c r="K755" i="7"/>
  <c r="L754" i="7"/>
  <c r="K754" i="7"/>
  <c r="L753" i="7"/>
  <c r="K753" i="7"/>
  <c r="L752" i="7"/>
  <c r="K752" i="7"/>
  <c r="L751" i="7"/>
  <c r="K751" i="7"/>
  <c r="L750" i="7"/>
  <c r="K750" i="7"/>
  <c r="L749" i="7"/>
  <c r="K749" i="7"/>
  <c r="L748" i="7"/>
  <c r="K748" i="7"/>
  <c r="L747" i="7"/>
  <c r="K747" i="7"/>
  <c r="L746" i="7"/>
  <c r="K746" i="7"/>
  <c r="L745" i="7"/>
  <c r="K745" i="7"/>
  <c r="L744" i="7"/>
  <c r="K744" i="7"/>
  <c r="L743" i="7"/>
  <c r="K743" i="7"/>
  <c r="L742" i="7"/>
  <c r="K742" i="7"/>
  <c r="L741" i="7"/>
  <c r="K741" i="7"/>
  <c r="L740" i="7"/>
  <c r="K740" i="7"/>
  <c r="L739" i="7"/>
  <c r="K739" i="7"/>
  <c r="L738" i="7"/>
  <c r="K738" i="7"/>
  <c r="L737" i="7"/>
  <c r="K737" i="7"/>
  <c r="L736" i="7"/>
  <c r="K736" i="7"/>
  <c r="L735" i="7"/>
  <c r="K735" i="7"/>
  <c r="L734" i="7"/>
  <c r="K734" i="7"/>
  <c r="L733" i="7"/>
  <c r="K733" i="7"/>
  <c r="L732" i="7"/>
  <c r="K732" i="7"/>
  <c r="L731" i="7"/>
  <c r="K731" i="7"/>
  <c r="L730" i="7"/>
  <c r="K730" i="7"/>
  <c r="L729" i="7"/>
  <c r="K729" i="7"/>
  <c r="L728" i="7"/>
  <c r="K728" i="7"/>
  <c r="L727" i="7"/>
  <c r="K727" i="7"/>
  <c r="L726" i="7"/>
  <c r="K726" i="7"/>
  <c r="L725" i="7"/>
  <c r="K725" i="7"/>
  <c r="L724" i="7"/>
  <c r="K724" i="7"/>
  <c r="L723" i="7"/>
  <c r="K723" i="7"/>
  <c r="L722" i="7"/>
  <c r="K722" i="7"/>
  <c r="L721" i="7"/>
  <c r="K721" i="7"/>
  <c r="L720" i="7"/>
  <c r="K720" i="7"/>
  <c r="L719" i="7"/>
  <c r="K719" i="7"/>
  <c r="L718" i="7"/>
  <c r="K718" i="7"/>
  <c r="L717" i="7"/>
  <c r="K717" i="7"/>
  <c r="L716" i="7"/>
  <c r="K716" i="7"/>
  <c r="L715" i="7"/>
  <c r="K715" i="7"/>
  <c r="L714" i="7"/>
  <c r="K714" i="7"/>
  <c r="L713" i="7"/>
  <c r="K713" i="7"/>
  <c r="L712" i="7"/>
  <c r="K712" i="7"/>
  <c r="L711" i="7"/>
  <c r="K711" i="7"/>
  <c r="L710" i="7"/>
  <c r="K710" i="7"/>
  <c r="L709" i="7"/>
  <c r="K709" i="7"/>
  <c r="L708" i="7"/>
  <c r="K708" i="7"/>
  <c r="L707" i="7"/>
  <c r="K707" i="7"/>
  <c r="L706" i="7"/>
  <c r="K706" i="7"/>
  <c r="L705" i="7"/>
  <c r="K705" i="7"/>
  <c r="L704" i="7"/>
  <c r="K704" i="7"/>
  <c r="L703" i="7"/>
  <c r="K703" i="7"/>
  <c r="L702" i="7"/>
  <c r="K702" i="7"/>
  <c r="L701" i="7"/>
  <c r="K701" i="7"/>
  <c r="L700" i="7"/>
  <c r="K700" i="7"/>
  <c r="L699" i="7"/>
  <c r="K699" i="7"/>
  <c r="L698" i="7"/>
  <c r="K698" i="7"/>
  <c r="L697" i="7"/>
  <c r="K697" i="7"/>
  <c r="L696" i="7"/>
  <c r="K696" i="7"/>
  <c r="L695" i="7"/>
  <c r="K695" i="7"/>
  <c r="L694" i="7"/>
  <c r="K694" i="7"/>
  <c r="L693" i="7"/>
  <c r="K693" i="7"/>
  <c r="L692" i="7"/>
  <c r="K692" i="7"/>
  <c r="L691" i="7"/>
  <c r="K691" i="7"/>
  <c r="L690" i="7"/>
  <c r="K690" i="7"/>
  <c r="L689" i="7"/>
  <c r="K689" i="7"/>
  <c r="L688" i="7"/>
  <c r="K688" i="7"/>
  <c r="L687" i="7"/>
  <c r="K687" i="7"/>
  <c r="L686" i="7"/>
  <c r="K686" i="7"/>
  <c r="L685" i="7"/>
  <c r="K685" i="7"/>
  <c r="L684" i="7"/>
  <c r="K684" i="7"/>
  <c r="L683" i="7"/>
  <c r="K683" i="7"/>
  <c r="L682" i="7"/>
  <c r="K682" i="7"/>
  <c r="L681" i="7"/>
  <c r="K681" i="7"/>
  <c r="L680" i="7"/>
  <c r="K680" i="7"/>
  <c r="L679" i="7"/>
  <c r="K679" i="7"/>
  <c r="L678" i="7"/>
  <c r="K678" i="7"/>
  <c r="L677" i="7"/>
  <c r="K677" i="7"/>
  <c r="L676" i="7"/>
  <c r="K676" i="7"/>
  <c r="L675" i="7"/>
  <c r="K675" i="7"/>
  <c r="L674" i="7"/>
  <c r="K674" i="7"/>
  <c r="L673" i="7"/>
  <c r="K673" i="7"/>
  <c r="L672" i="7"/>
  <c r="K672" i="7"/>
  <c r="L671" i="7"/>
  <c r="K671" i="7"/>
  <c r="L670" i="7"/>
  <c r="K670" i="7"/>
  <c r="L669" i="7"/>
  <c r="K669" i="7"/>
  <c r="L668" i="7"/>
  <c r="K668" i="7"/>
  <c r="L667" i="7"/>
  <c r="K667" i="7"/>
  <c r="L666" i="7"/>
  <c r="K666" i="7"/>
  <c r="L665" i="7"/>
  <c r="K665" i="7"/>
  <c r="L664" i="7"/>
  <c r="K664" i="7"/>
  <c r="L663" i="7"/>
  <c r="K663" i="7"/>
  <c r="L662" i="7"/>
  <c r="K662" i="7"/>
  <c r="L661" i="7"/>
  <c r="K661" i="7"/>
  <c r="L660" i="7"/>
  <c r="K660" i="7"/>
  <c r="L659" i="7"/>
  <c r="K659" i="7"/>
  <c r="L658" i="7"/>
  <c r="K658" i="7"/>
  <c r="L657" i="7"/>
  <c r="K657" i="7"/>
  <c r="L656" i="7"/>
  <c r="K656" i="7"/>
  <c r="L655" i="7"/>
  <c r="K655" i="7"/>
  <c r="L654" i="7"/>
  <c r="K654" i="7"/>
  <c r="L653" i="7"/>
  <c r="K653" i="7"/>
  <c r="L652" i="7"/>
  <c r="K652" i="7"/>
  <c r="L651" i="7"/>
  <c r="K651" i="7"/>
  <c r="L650" i="7"/>
  <c r="K650" i="7"/>
  <c r="L649" i="7"/>
  <c r="K649" i="7"/>
  <c r="L648" i="7"/>
  <c r="K648" i="7"/>
  <c r="L647" i="7"/>
  <c r="K647" i="7"/>
  <c r="L646" i="7"/>
  <c r="K646" i="7"/>
  <c r="L645" i="7"/>
  <c r="K645" i="7"/>
  <c r="L644" i="7"/>
  <c r="K644" i="7"/>
  <c r="L643" i="7"/>
  <c r="K643" i="7"/>
  <c r="L642" i="7"/>
  <c r="K642" i="7"/>
  <c r="L641" i="7"/>
  <c r="K641" i="7"/>
  <c r="L640" i="7"/>
  <c r="K640" i="7"/>
  <c r="L639" i="7"/>
  <c r="K639" i="7"/>
  <c r="L638" i="7"/>
  <c r="K638" i="7"/>
  <c r="L637" i="7"/>
  <c r="K637" i="7"/>
  <c r="L636" i="7"/>
  <c r="K636" i="7"/>
  <c r="L635" i="7"/>
  <c r="K635" i="7"/>
  <c r="L634" i="7"/>
  <c r="K634" i="7"/>
  <c r="L633" i="7"/>
  <c r="K633" i="7"/>
  <c r="L632" i="7"/>
  <c r="K632" i="7"/>
  <c r="L631" i="7"/>
  <c r="K631" i="7"/>
  <c r="L630" i="7"/>
  <c r="K630" i="7"/>
  <c r="L629" i="7"/>
  <c r="K629" i="7"/>
  <c r="L628" i="7"/>
  <c r="K628" i="7"/>
  <c r="L627" i="7"/>
  <c r="K627" i="7"/>
  <c r="L626" i="7"/>
  <c r="K626" i="7"/>
  <c r="L625" i="7"/>
  <c r="K625" i="7"/>
  <c r="L624" i="7"/>
  <c r="K624" i="7"/>
  <c r="L623" i="7"/>
  <c r="K623" i="7"/>
  <c r="L622" i="7"/>
  <c r="K622" i="7"/>
  <c r="L621" i="7"/>
  <c r="K621" i="7"/>
  <c r="L620" i="7"/>
  <c r="K620" i="7"/>
  <c r="L619" i="7"/>
  <c r="K619" i="7"/>
  <c r="L618" i="7"/>
  <c r="K618" i="7"/>
  <c r="L617" i="7"/>
  <c r="K617" i="7"/>
  <c r="L616" i="7"/>
  <c r="K616" i="7"/>
  <c r="L615" i="7"/>
  <c r="K615" i="7"/>
  <c r="L614" i="7"/>
  <c r="K614" i="7"/>
  <c r="L613" i="7"/>
  <c r="K613" i="7"/>
  <c r="L612" i="7"/>
  <c r="K612" i="7"/>
  <c r="L611" i="7"/>
  <c r="K611" i="7"/>
  <c r="L610" i="7"/>
  <c r="K610" i="7"/>
  <c r="L609" i="7"/>
  <c r="K609" i="7"/>
  <c r="L608" i="7"/>
  <c r="K608" i="7"/>
  <c r="L607" i="7"/>
  <c r="K607" i="7"/>
  <c r="L606" i="7"/>
  <c r="K606" i="7"/>
  <c r="L605" i="7"/>
  <c r="K605" i="7"/>
  <c r="L604" i="7"/>
  <c r="K604" i="7"/>
  <c r="L603" i="7"/>
  <c r="K603" i="7"/>
  <c r="L602" i="7"/>
  <c r="K602" i="7"/>
  <c r="L601" i="7"/>
  <c r="K601" i="7"/>
  <c r="L600" i="7"/>
  <c r="K600" i="7"/>
  <c r="L599" i="7"/>
  <c r="K599" i="7"/>
  <c r="L598" i="7"/>
  <c r="K598" i="7"/>
  <c r="L597" i="7"/>
  <c r="K597" i="7"/>
  <c r="L596" i="7"/>
  <c r="K596" i="7"/>
  <c r="L595" i="7"/>
  <c r="K595" i="7"/>
  <c r="L594" i="7"/>
  <c r="K594" i="7"/>
  <c r="L593" i="7"/>
  <c r="K593" i="7"/>
  <c r="L592" i="7"/>
  <c r="K592" i="7"/>
  <c r="L591" i="7"/>
  <c r="K591" i="7"/>
  <c r="L590" i="7"/>
  <c r="K590" i="7"/>
  <c r="L589" i="7"/>
  <c r="K589" i="7"/>
  <c r="L588" i="7"/>
  <c r="K588" i="7"/>
  <c r="L587" i="7"/>
  <c r="K587" i="7"/>
  <c r="L586" i="7"/>
  <c r="K586" i="7"/>
  <c r="L585" i="7"/>
  <c r="K585" i="7"/>
  <c r="L584" i="7"/>
  <c r="K584" i="7"/>
  <c r="L583" i="7"/>
  <c r="K583" i="7"/>
  <c r="L582" i="7"/>
  <c r="K582" i="7"/>
  <c r="L581" i="7"/>
  <c r="K581" i="7"/>
  <c r="L580" i="7"/>
  <c r="K580" i="7"/>
  <c r="L579" i="7"/>
  <c r="K579" i="7"/>
  <c r="L578" i="7"/>
  <c r="K578" i="7"/>
  <c r="L577" i="7"/>
  <c r="K577" i="7"/>
  <c r="L576" i="7"/>
  <c r="K576" i="7"/>
  <c r="L575" i="7"/>
  <c r="K575" i="7"/>
  <c r="L574" i="7"/>
  <c r="K574" i="7"/>
  <c r="L573" i="7"/>
  <c r="K573" i="7"/>
  <c r="L572" i="7"/>
  <c r="K572" i="7"/>
  <c r="L571" i="7"/>
  <c r="K571" i="7"/>
  <c r="L570" i="7"/>
  <c r="K570" i="7"/>
  <c r="L569" i="7"/>
  <c r="K569" i="7"/>
  <c r="L568" i="7"/>
  <c r="K568" i="7"/>
  <c r="L567" i="7"/>
  <c r="K567" i="7"/>
  <c r="L566" i="7"/>
  <c r="K566" i="7"/>
  <c r="L565" i="7"/>
  <c r="K565" i="7"/>
  <c r="L564" i="7"/>
  <c r="K564" i="7"/>
  <c r="L563" i="7"/>
  <c r="K563" i="7"/>
  <c r="L562" i="7"/>
  <c r="K562" i="7"/>
  <c r="L561" i="7"/>
  <c r="K561" i="7"/>
  <c r="L560" i="7"/>
  <c r="K560" i="7"/>
  <c r="L559" i="7"/>
  <c r="K559" i="7"/>
  <c r="L558" i="7"/>
  <c r="K558" i="7"/>
  <c r="L557" i="7"/>
  <c r="K557" i="7"/>
  <c r="L556" i="7"/>
  <c r="K556" i="7"/>
  <c r="L555" i="7"/>
  <c r="K555" i="7"/>
  <c r="L554" i="7"/>
  <c r="K554" i="7"/>
  <c r="L553" i="7"/>
  <c r="K553" i="7"/>
  <c r="L552" i="7"/>
  <c r="K552" i="7"/>
  <c r="L551" i="7"/>
  <c r="K551" i="7"/>
  <c r="L550" i="7"/>
  <c r="K550" i="7"/>
  <c r="L549" i="7"/>
  <c r="K549" i="7"/>
  <c r="L548" i="7"/>
  <c r="K548" i="7"/>
  <c r="L547" i="7"/>
  <c r="K547" i="7"/>
  <c r="L546" i="7"/>
  <c r="K546" i="7"/>
  <c r="L545" i="7"/>
  <c r="K545" i="7"/>
  <c r="L544" i="7"/>
  <c r="K544" i="7"/>
  <c r="L543" i="7"/>
  <c r="K543" i="7"/>
  <c r="L542" i="7"/>
  <c r="K542" i="7"/>
  <c r="L541" i="7"/>
  <c r="K541" i="7"/>
  <c r="L540" i="7"/>
  <c r="K540" i="7"/>
  <c r="L539" i="7"/>
  <c r="K539" i="7"/>
  <c r="L538" i="7"/>
  <c r="K538" i="7"/>
  <c r="L537" i="7"/>
  <c r="K537" i="7"/>
  <c r="L536" i="7"/>
  <c r="K536" i="7"/>
  <c r="L535" i="7"/>
  <c r="K535" i="7"/>
  <c r="L534" i="7"/>
  <c r="K534" i="7"/>
  <c r="L533" i="7"/>
  <c r="K533" i="7"/>
  <c r="L532" i="7"/>
  <c r="K532" i="7"/>
  <c r="L531" i="7"/>
  <c r="K531" i="7"/>
  <c r="L530" i="7"/>
  <c r="K530" i="7"/>
  <c r="L529" i="7"/>
  <c r="K529" i="7"/>
  <c r="L528" i="7"/>
  <c r="K528" i="7"/>
  <c r="L527" i="7"/>
  <c r="K527" i="7"/>
  <c r="L526" i="7"/>
  <c r="K526" i="7"/>
  <c r="L525" i="7"/>
  <c r="K525" i="7"/>
  <c r="L524" i="7"/>
  <c r="K524" i="7"/>
  <c r="L523" i="7"/>
  <c r="K523" i="7"/>
  <c r="L522" i="7"/>
  <c r="K522" i="7"/>
  <c r="L521" i="7"/>
  <c r="K521" i="7"/>
  <c r="L520" i="7"/>
  <c r="K520" i="7"/>
  <c r="L519" i="7"/>
  <c r="K519" i="7"/>
  <c r="L518" i="7"/>
  <c r="K518" i="7"/>
  <c r="L517" i="7"/>
  <c r="K517" i="7"/>
  <c r="L516" i="7"/>
  <c r="K516" i="7"/>
  <c r="L515" i="7"/>
  <c r="K515" i="7"/>
  <c r="L514" i="7"/>
  <c r="K514" i="7"/>
  <c r="L513" i="7"/>
  <c r="K513" i="7"/>
  <c r="L512" i="7"/>
  <c r="K512" i="7"/>
  <c r="L511" i="7"/>
  <c r="K511" i="7"/>
  <c r="L510" i="7"/>
  <c r="K510" i="7"/>
  <c r="L509" i="7"/>
  <c r="K509" i="7"/>
  <c r="L508" i="7"/>
  <c r="K508" i="7"/>
  <c r="L507" i="7"/>
  <c r="K507" i="7"/>
  <c r="L506" i="7"/>
  <c r="K506" i="7"/>
  <c r="L505" i="7"/>
  <c r="K505" i="7"/>
  <c r="L504" i="7"/>
  <c r="K504" i="7"/>
  <c r="L503" i="7"/>
  <c r="K503" i="7"/>
  <c r="L502" i="7"/>
  <c r="K502" i="7"/>
  <c r="L501" i="7"/>
  <c r="K501" i="7"/>
  <c r="L500" i="7"/>
  <c r="K500" i="7"/>
  <c r="L499" i="7"/>
  <c r="K499" i="7"/>
  <c r="L498" i="7"/>
  <c r="K498" i="7"/>
  <c r="L497" i="7"/>
  <c r="K497" i="7"/>
  <c r="L496" i="7"/>
  <c r="K496" i="7"/>
  <c r="L495" i="7"/>
  <c r="K495" i="7"/>
  <c r="L494" i="7"/>
  <c r="K494" i="7"/>
  <c r="L493" i="7"/>
  <c r="K493" i="7"/>
  <c r="L492" i="7"/>
  <c r="K492" i="7"/>
  <c r="L491" i="7"/>
  <c r="K491" i="7"/>
  <c r="L490" i="7"/>
  <c r="K490" i="7"/>
  <c r="L489" i="7"/>
  <c r="K489" i="7"/>
  <c r="L488" i="7"/>
  <c r="K488" i="7"/>
  <c r="L487" i="7"/>
  <c r="K487" i="7"/>
  <c r="L486" i="7"/>
  <c r="K486" i="7"/>
  <c r="L485" i="7"/>
  <c r="K485" i="7"/>
  <c r="L484" i="7"/>
  <c r="K484" i="7"/>
  <c r="L483" i="7"/>
  <c r="K483" i="7"/>
  <c r="L482" i="7"/>
  <c r="K482" i="7"/>
  <c r="L481" i="7"/>
  <c r="K481" i="7"/>
  <c r="L480" i="7"/>
  <c r="K480" i="7"/>
  <c r="L479" i="7"/>
  <c r="K479" i="7"/>
  <c r="L478" i="7"/>
  <c r="K478" i="7"/>
  <c r="L477" i="7"/>
  <c r="K477" i="7"/>
  <c r="L476" i="7"/>
  <c r="K476" i="7"/>
  <c r="L475" i="7"/>
  <c r="K475" i="7"/>
  <c r="L474" i="7"/>
  <c r="K474" i="7"/>
  <c r="L473" i="7"/>
  <c r="K473" i="7"/>
  <c r="L472" i="7"/>
  <c r="K472" i="7"/>
  <c r="L471" i="7"/>
  <c r="K471" i="7"/>
  <c r="L470" i="7"/>
  <c r="K470" i="7"/>
  <c r="L469" i="7"/>
  <c r="K469" i="7"/>
  <c r="L468" i="7"/>
  <c r="K468" i="7"/>
  <c r="L467" i="7"/>
  <c r="K467" i="7"/>
  <c r="L466" i="7"/>
  <c r="K466" i="7"/>
  <c r="L465" i="7"/>
  <c r="K465" i="7"/>
  <c r="L464" i="7"/>
  <c r="K464" i="7"/>
  <c r="L463" i="7"/>
  <c r="K463" i="7"/>
  <c r="L462" i="7"/>
  <c r="K462" i="7"/>
  <c r="L461" i="7"/>
  <c r="K461" i="7"/>
  <c r="L460" i="7"/>
  <c r="K460" i="7"/>
  <c r="L459" i="7"/>
  <c r="K459" i="7"/>
  <c r="L458" i="7"/>
  <c r="K458" i="7"/>
  <c r="L457" i="7"/>
  <c r="K457" i="7"/>
  <c r="L456" i="7"/>
  <c r="K456" i="7"/>
  <c r="L455" i="7"/>
  <c r="K455" i="7"/>
  <c r="L454" i="7"/>
  <c r="K454" i="7"/>
  <c r="L453" i="7"/>
  <c r="K453" i="7"/>
  <c r="L452" i="7"/>
  <c r="K452" i="7"/>
  <c r="L451" i="7"/>
  <c r="K451" i="7"/>
  <c r="L450" i="7"/>
  <c r="K450" i="7"/>
  <c r="L449" i="7"/>
  <c r="K449" i="7"/>
  <c r="L448" i="7"/>
  <c r="K448" i="7"/>
  <c r="L447" i="7"/>
  <c r="K447" i="7"/>
  <c r="L446" i="7"/>
  <c r="K446" i="7"/>
  <c r="L445" i="7"/>
  <c r="K445" i="7"/>
  <c r="L444" i="7"/>
  <c r="K444" i="7"/>
  <c r="L443" i="7"/>
  <c r="K443" i="7"/>
  <c r="L442" i="7"/>
  <c r="K442" i="7"/>
  <c r="L441" i="7"/>
  <c r="K441" i="7"/>
  <c r="L440" i="7"/>
  <c r="K440" i="7"/>
  <c r="L439" i="7"/>
  <c r="K439" i="7"/>
  <c r="L438" i="7"/>
  <c r="K438" i="7"/>
  <c r="L437" i="7"/>
  <c r="K437" i="7"/>
  <c r="L436" i="7"/>
  <c r="K436" i="7"/>
  <c r="L435" i="7"/>
  <c r="K435" i="7"/>
  <c r="L434" i="7"/>
  <c r="K434" i="7"/>
  <c r="L433" i="7"/>
  <c r="K433" i="7"/>
  <c r="L432" i="7"/>
  <c r="K432" i="7"/>
  <c r="L431" i="7"/>
  <c r="K431" i="7"/>
  <c r="L430" i="7"/>
  <c r="K430" i="7"/>
  <c r="L429" i="7"/>
  <c r="K429" i="7"/>
  <c r="L428" i="7"/>
  <c r="K428" i="7"/>
  <c r="L427" i="7"/>
  <c r="K427" i="7"/>
  <c r="L426" i="7"/>
  <c r="K426" i="7"/>
  <c r="L425" i="7"/>
  <c r="K425" i="7"/>
  <c r="L424" i="7"/>
  <c r="K424" i="7"/>
  <c r="L423" i="7"/>
  <c r="K423" i="7"/>
  <c r="L422" i="7"/>
  <c r="K422" i="7"/>
  <c r="L421" i="7"/>
  <c r="K421" i="7"/>
  <c r="L420" i="7"/>
  <c r="K420" i="7"/>
  <c r="L419" i="7"/>
  <c r="K419" i="7"/>
  <c r="L418" i="7"/>
  <c r="K418" i="7"/>
  <c r="L417" i="7"/>
  <c r="K417" i="7"/>
  <c r="L416" i="7"/>
  <c r="K416" i="7"/>
  <c r="L415" i="7"/>
  <c r="K415" i="7"/>
  <c r="L414" i="7"/>
  <c r="K414" i="7"/>
  <c r="L413" i="7"/>
  <c r="K413" i="7"/>
  <c r="L412" i="7"/>
  <c r="K412" i="7"/>
  <c r="L411" i="7"/>
  <c r="K411" i="7"/>
  <c r="L410" i="7"/>
  <c r="K410" i="7"/>
  <c r="L409" i="7"/>
  <c r="K409" i="7"/>
  <c r="L408" i="7"/>
  <c r="K408" i="7"/>
  <c r="L407" i="7"/>
  <c r="K407" i="7"/>
  <c r="L406" i="7"/>
  <c r="K406" i="7"/>
  <c r="L405" i="7"/>
  <c r="K405" i="7"/>
  <c r="L404" i="7"/>
  <c r="K404" i="7"/>
  <c r="L403" i="7"/>
  <c r="K403" i="7"/>
  <c r="L402" i="7"/>
  <c r="K402" i="7"/>
  <c r="L401" i="7"/>
  <c r="K401" i="7"/>
  <c r="L400" i="7"/>
  <c r="K400" i="7"/>
  <c r="L399" i="7"/>
  <c r="K399" i="7"/>
  <c r="L398" i="7"/>
  <c r="K398" i="7"/>
  <c r="L397" i="7"/>
  <c r="K397" i="7"/>
  <c r="L396" i="7"/>
  <c r="K396" i="7"/>
  <c r="L395" i="7"/>
  <c r="K395" i="7"/>
  <c r="L394" i="7"/>
  <c r="K394" i="7"/>
  <c r="L393" i="7"/>
  <c r="K393" i="7"/>
  <c r="L392" i="7"/>
  <c r="K392" i="7"/>
  <c r="L391" i="7"/>
  <c r="K391" i="7"/>
  <c r="L390" i="7"/>
  <c r="K390" i="7"/>
  <c r="L389" i="7"/>
  <c r="K389" i="7"/>
  <c r="L388" i="7"/>
  <c r="K388" i="7"/>
  <c r="L387" i="7"/>
  <c r="K387" i="7"/>
  <c r="L386" i="7"/>
  <c r="K386" i="7"/>
  <c r="L385" i="7"/>
  <c r="K385" i="7"/>
  <c r="L384" i="7"/>
  <c r="K384" i="7"/>
  <c r="L383" i="7"/>
  <c r="K383" i="7"/>
  <c r="L382" i="7"/>
  <c r="K382" i="7"/>
  <c r="L381" i="7"/>
  <c r="K381" i="7"/>
  <c r="L380" i="7"/>
  <c r="K380" i="7"/>
  <c r="L379" i="7"/>
  <c r="K379" i="7"/>
  <c r="L378" i="7"/>
  <c r="K378" i="7"/>
  <c r="L377" i="7"/>
  <c r="K377" i="7"/>
  <c r="L376" i="7"/>
  <c r="K376" i="7"/>
  <c r="L375" i="7"/>
  <c r="K375" i="7"/>
  <c r="L374" i="7"/>
  <c r="K374" i="7"/>
  <c r="L373" i="7"/>
  <c r="K373" i="7"/>
  <c r="L372" i="7"/>
  <c r="K372" i="7"/>
  <c r="L371" i="7"/>
  <c r="K371" i="7"/>
  <c r="L370" i="7"/>
  <c r="K370" i="7"/>
  <c r="L369" i="7"/>
  <c r="K369" i="7"/>
  <c r="L368" i="7"/>
  <c r="K368" i="7"/>
  <c r="L367" i="7"/>
  <c r="K367" i="7"/>
  <c r="L366" i="7"/>
  <c r="K366" i="7"/>
  <c r="L365" i="7"/>
  <c r="K365" i="7"/>
  <c r="L364" i="7"/>
  <c r="K364" i="7"/>
  <c r="L363" i="7"/>
  <c r="K363" i="7"/>
  <c r="L362" i="7"/>
  <c r="K362" i="7"/>
  <c r="L361" i="7"/>
  <c r="K361" i="7"/>
  <c r="L360" i="7"/>
  <c r="K360" i="7"/>
  <c r="L359" i="7"/>
  <c r="K359" i="7"/>
  <c r="L358" i="7"/>
  <c r="K358" i="7"/>
  <c r="L357" i="7"/>
  <c r="K357" i="7"/>
  <c r="L356" i="7"/>
  <c r="K356" i="7"/>
  <c r="L355" i="7"/>
  <c r="K355" i="7"/>
  <c r="L354" i="7"/>
  <c r="K354" i="7"/>
  <c r="L353" i="7"/>
  <c r="K353" i="7"/>
  <c r="L352" i="7"/>
  <c r="K352" i="7"/>
  <c r="L351" i="7"/>
  <c r="K351" i="7"/>
  <c r="L350" i="7"/>
  <c r="K350" i="7"/>
  <c r="L349" i="7"/>
  <c r="K349" i="7"/>
  <c r="L348" i="7"/>
  <c r="K348" i="7"/>
  <c r="L347" i="7"/>
  <c r="K347" i="7"/>
  <c r="L346" i="7"/>
  <c r="K346" i="7"/>
  <c r="L345" i="7"/>
  <c r="K345" i="7"/>
  <c r="L344" i="7"/>
  <c r="K344" i="7"/>
  <c r="L343" i="7"/>
  <c r="K343" i="7"/>
  <c r="L342" i="7"/>
  <c r="K342" i="7"/>
  <c r="L341" i="7"/>
  <c r="K341" i="7"/>
  <c r="L340" i="7"/>
  <c r="K340" i="7"/>
  <c r="L339" i="7"/>
  <c r="K339" i="7"/>
  <c r="L338" i="7"/>
  <c r="K338" i="7"/>
  <c r="L337" i="7"/>
  <c r="K337" i="7"/>
  <c r="L336" i="7"/>
  <c r="K336" i="7"/>
  <c r="L335" i="7"/>
  <c r="K335" i="7"/>
  <c r="L334" i="7"/>
  <c r="K334" i="7"/>
  <c r="L333" i="7"/>
  <c r="K333" i="7"/>
  <c r="L332" i="7"/>
  <c r="K332" i="7"/>
  <c r="L331" i="7"/>
  <c r="K331" i="7"/>
  <c r="L330" i="7"/>
  <c r="K330" i="7"/>
  <c r="L329" i="7"/>
  <c r="K329" i="7"/>
  <c r="L328" i="7"/>
  <c r="K328" i="7"/>
  <c r="L327" i="7"/>
  <c r="K327" i="7"/>
  <c r="L326" i="7"/>
  <c r="K326" i="7"/>
  <c r="L325" i="7"/>
  <c r="K325" i="7"/>
  <c r="L324" i="7"/>
  <c r="K324" i="7"/>
  <c r="L323" i="7"/>
  <c r="K323" i="7"/>
  <c r="L322" i="7"/>
  <c r="K322" i="7"/>
  <c r="L321" i="7"/>
  <c r="K321" i="7"/>
  <c r="L320" i="7"/>
  <c r="K320" i="7"/>
  <c r="L319" i="7"/>
  <c r="K319" i="7"/>
  <c r="L318" i="7"/>
  <c r="K318" i="7"/>
  <c r="L317" i="7"/>
  <c r="K317" i="7"/>
  <c r="L316" i="7"/>
  <c r="K316" i="7"/>
  <c r="L315" i="7"/>
  <c r="K315" i="7"/>
  <c r="L314" i="7"/>
  <c r="K314" i="7"/>
  <c r="L313" i="7"/>
  <c r="K313" i="7"/>
  <c r="L312" i="7"/>
  <c r="K312" i="7"/>
  <c r="L311" i="7"/>
  <c r="K311" i="7"/>
  <c r="L310" i="7"/>
  <c r="K310" i="7"/>
  <c r="L309" i="7"/>
  <c r="K309" i="7"/>
  <c r="L308" i="7"/>
  <c r="K308" i="7"/>
  <c r="L307" i="7"/>
  <c r="K307" i="7"/>
  <c r="L306" i="7"/>
  <c r="K306" i="7"/>
  <c r="L305" i="7"/>
  <c r="K305" i="7"/>
  <c r="L304" i="7"/>
  <c r="K304" i="7"/>
  <c r="L303" i="7"/>
  <c r="K303" i="7"/>
  <c r="L302" i="7"/>
  <c r="K302" i="7"/>
  <c r="L301" i="7"/>
  <c r="K301" i="7"/>
  <c r="L300" i="7"/>
  <c r="K300" i="7"/>
  <c r="L299" i="7"/>
  <c r="K299" i="7"/>
  <c r="L298" i="7"/>
  <c r="K298" i="7"/>
  <c r="L297" i="7"/>
  <c r="K297" i="7"/>
  <c r="L296" i="7"/>
  <c r="K296" i="7"/>
  <c r="L295" i="7"/>
  <c r="K295" i="7"/>
  <c r="L294" i="7"/>
  <c r="K294" i="7"/>
  <c r="L293" i="7"/>
  <c r="K293" i="7"/>
  <c r="L292" i="7"/>
  <c r="K292" i="7"/>
  <c r="L291" i="7"/>
  <c r="K291" i="7"/>
  <c r="L290" i="7"/>
  <c r="K290" i="7"/>
  <c r="L289" i="7"/>
  <c r="K289" i="7"/>
  <c r="L288" i="7"/>
  <c r="K288" i="7"/>
  <c r="L287" i="7"/>
  <c r="K287" i="7"/>
  <c r="L286" i="7"/>
  <c r="K286" i="7"/>
  <c r="L285" i="7"/>
  <c r="K285" i="7"/>
  <c r="L284" i="7"/>
  <c r="K284" i="7"/>
  <c r="L283" i="7"/>
  <c r="K283" i="7"/>
  <c r="L282" i="7"/>
  <c r="K282" i="7"/>
  <c r="L281" i="7"/>
  <c r="K281" i="7"/>
  <c r="L280" i="7"/>
  <c r="K280" i="7"/>
  <c r="L279" i="7"/>
  <c r="K279" i="7"/>
  <c r="L278" i="7"/>
  <c r="K278" i="7"/>
  <c r="L277" i="7"/>
  <c r="K277" i="7"/>
  <c r="L276" i="7"/>
  <c r="K276" i="7"/>
  <c r="L275" i="7"/>
  <c r="K275" i="7"/>
  <c r="L274" i="7"/>
  <c r="K274" i="7"/>
  <c r="L273" i="7"/>
  <c r="K273" i="7"/>
  <c r="L272" i="7"/>
  <c r="K272" i="7"/>
  <c r="L271" i="7"/>
  <c r="K271" i="7"/>
  <c r="L270" i="7"/>
  <c r="K270" i="7"/>
  <c r="L269" i="7"/>
  <c r="K269" i="7"/>
  <c r="L268" i="7"/>
  <c r="K268" i="7"/>
  <c r="L267" i="7"/>
  <c r="K267" i="7"/>
  <c r="L266" i="7"/>
  <c r="K266" i="7"/>
  <c r="L265" i="7"/>
  <c r="K265" i="7"/>
  <c r="L264" i="7"/>
  <c r="K264" i="7"/>
  <c r="L263" i="7"/>
  <c r="K263" i="7"/>
  <c r="L262" i="7"/>
  <c r="K262" i="7"/>
  <c r="L261" i="7"/>
  <c r="K261" i="7"/>
  <c r="L260" i="7"/>
  <c r="K260" i="7"/>
  <c r="L259" i="7"/>
  <c r="K259" i="7"/>
  <c r="L258" i="7"/>
  <c r="K258" i="7"/>
  <c r="L257" i="7"/>
  <c r="K257" i="7"/>
  <c r="L256" i="7"/>
  <c r="K256" i="7"/>
  <c r="L255" i="7"/>
  <c r="K255" i="7"/>
  <c r="L254" i="7"/>
  <c r="K254" i="7"/>
  <c r="L253" i="7"/>
  <c r="K253" i="7"/>
  <c r="L252" i="7"/>
  <c r="K252" i="7"/>
  <c r="L251" i="7"/>
  <c r="K251" i="7"/>
  <c r="L250" i="7"/>
  <c r="K250" i="7"/>
  <c r="L249" i="7"/>
  <c r="K249" i="7"/>
  <c r="L248" i="7"/>
  <c r="K248" i="7"/>
  <c r="L247" i="7"/>
  <c r="K247" i="7"/>
  <c r="L246" i="7"/>
  <c r="K246" i="7"/>
  <c r="L245" i="7"/>
  <c r="K245" i="7"/>
  <c r="L244" i="7"/>
  <c r="K244" i="7"/>
  <c r="L243" i="7"/>
  <c r="K243" i="7"/>
  <c r="L242" i="7"/>
  <c r="K242" i="7"/>
  <c r="L241" i="7"/>
  <c r="K241" i="7"/>
  <c r="L240" i="7"/>
  <c r="K240" i="7"/>
  <c r="L239" i="7"/>
  <c r="K239" i="7"/>
  <c r="L238" i="7"/>
  <c r="K238" i="7"/>
  <c r="L237" i="7"/>
  <c r="K237" i="7"/>
  <c r="L236" i="7"/>
  <c r="K236" i="7"/>
  <c r="L235" i="7"/>
  <c r="K235" i="7"/>
  <c r="L234" i="7"/>
  <c r="K234" i="7"/>
  <c r="L233" i="7"/>
  <c r="K233" i="7"/>
  <c r="L232" i="7"/>
  <c r="K232" i="7"/>
  <c r="L231" i="7"/>
  <c r="K231" i="7"/>
  <c r="L230" i="7"/>
  <c r="K230" i="7"/>
  <c r="L229" i="7"/>
  <c r="K229" i="7"/>
  <c r="L228" i="7"/>
  <c r="K228" i="7"/>
  <c r="L227" i="7"/>
  <c r="K227" i="7"/>
  <c r="L226" i="7"/>
  <c r="K226" i="7"/>
  <c r="L225" i="7"/>
  <c r="K225" i="7"/>
  <c r="L224" i="7"/>
  <c r="K224" i="7"/>
  <c r="L223" i="7"/>
  <c r="K223" i="7"/>
  <c r="L222" i="7"/>
  <c r="K222" i="7"/>
  <c r="L221" i="7"/>
  <c r="K221" i="7"/>
  <c r="L220" i="7"/>
  <c r="K220" i="7"/>
  <c r="L219" i="7"/>
  <c r="K219" i="7"/>
  <c r="L218" i="7"/>
  <c r="K218" i="7"/>
  <c r="L217" i="7"/>
  <c r="K217" i="7"/>
  <c r="L216" i="7"/>
  <c r="K216" i="7"/>
  <c r="L215" i="7"/>
  <c r="K215" i="7"/>
  <c r="L214" i="7"/>
  <c r="K214" i="7"/>
  <c r="L213" i="7"/>
  <c r="K213" i="7"/>
  <c r="L212" i="7"/>
  <c r="K212" i="7"/>
  <c r="L211" i="7"/>
  <c r="K211" i="7"/>
  <c r="L210" i="7"/>
  <c r="K210" i="7"/>
  <c r="L209" i="7"/>
  <c r="K209" i="7"/>
  <c r="L208" i="7"/>
  <c r="K208" i="7"/>
  <c r="L207" i="7"/>
  <c r="K207" i="7"/>
  <c r="L206" i="7"/>
  <c r="K206" i="7"/>
  <c r="L205" i="7"/>
  <c r="K205" i="7"/>
  <c r="L204" i="7"/>
  <c r="K204" i="7"/>
  <c r="L203" i="7"/>
  <c r="K203" i="7"/>
  <c r="L202" i="7"/>
  <c r="K202" i="7"/>
  <c r="L201" i="7"/>
  <c r="K201" i="7"/>
  <c r="L200" i="7"/>
  <c r="K200" i="7"/>
  <c r="L199" i="7"/>
  <c r="K199" i="7"/>
  <c r="L198" i="7"/>
  <c r="K198" i="7"/>
  <c r="L197" i="7"/>
  <c r="K197" i="7"/>
  <c r="L196" i="7"/>
  <c r="K196" i="7"/>
  <c r="L195" i="7"/>
  <c r="K195" i="7"/>
  <c r="L194" i="7"/>
  <c r="K194" i="7"/>
  <c r="L193" i="7"/>
  <c r="K193" i="7"/>
  <c r="L192" i="7"/>
  <c r="K192" i="7"/>
  <c r="L191" i="7"/>
  <c r="K191" i="7"/>
  <c r="L190" i="7"/>
  <c r="K190" i="7"/>
  <c r="L189" i="7"/>
  <c r="K189" i="7"/>
  <c r="L188" i="7"/>
  <c r="K188" i="7"/>
  <c r="L187" i="7"/>
  <c r="K187" i="7"/>
  <c r="L186" i="7"/>
  <c r="K186" i="7"/>
  <c r="L185" i="7"/>
  <c r="K185" i="7"/>
  <c r="L184" i="7"/>
  <c r="K184" i="7"/>
  <c r="L183" i="7"/>
  <c r="K183" i="7"/>
  <c r="L182" i="7"/>
  <c r="K182" i="7"/>
  <c r="L181" i="7"/>
  <c r="K181" i="7"/>
  <c r="L180" i="7"/>
  <c r="K180" i="7"/>
  <c r="L179" i="7"/>
  <c r="K179" i="7"/>
  <c r="L178" i="7"/>
  <c r="K178" i="7"/>
  <c r="L177" i="7"/>
  <c r="K177" i="7"/>
  <c r="L176" i="7"/>
  <c r="K176" i="7"/>
  <c r="L175" i="7"/>
  <c r="K175" i="7"/>
  <c r="L174" i="7"/>
  <c r="K174" i="7"/>
  <c r="L173" i="7"/>
  <c r="K173" i="7"/>
  <c r="L172" i="7"/>
  <c r="K172" i="7"/>
  <c r="L171" i="7"/>
  <c r="K171" i="7"/>
  <c r="L170" i="7"/>
  <c r="K170" i="7"/>
  <c r="L169" i="7"/>
  <c r="K169" i="7"/>
  <c r="L168" i="7"/>
  <c r="K168" i="7"/>
  <c r="L167" i="7"/>
  <c r="K167" i="7"/>
  <c r="L166" i="7"/>
  <c r="K166" i="7"/>
  <c r="L165" i="7"/>
  <c r="K165" i="7"/>
  <c r="L164" i="7"/>
  <c r="K164" i="7"/>
  <c r="L163" i="7"/>
  <c r="K163" i="7"/>
  <c r="L162" i="7"/>
  <c r="K162" i="7"/>
  <c r="L161" i="7"/>
  <c r="K161" i="7"/>
  <c r="L160" i="7"/>
  <c r="K160" i="7"/>
  <c r="L159" i="7"/>
  <c r="K159" i="7"/>
  <c r="L158" i="7"/>
  <c r="K158" i="7"/>
  <c r="L157" i="7"/>
  <c r="K157" i="7"/>
  <c r="L156" i="7"/>
  <c r="K156" i="7"/>
  <c r="L155" i="7"/>
  <c r="K155" i="7"/>
  <c r="L154" i="7"/>
  <c r="K154" i="7"/>
  <c r="L153" i="7"/>
  <c r="K153" i="7"/>
  <c r="L152" i="7"/>
  <c r="K152" i="7"/>
  <c r="L151" i="7"/>
  <c r="K151" i="7"/>
  <c r="L150" i="7"/>
  <c r="K150" i="7"/>
  <c r="L149" i="7"/>
  <c r="K149" i="7"/>
  <c r="L148" i="7"/>
  <c r="K148" i="7"/>
  <c r="L147" i="7"/>
  <c r="K147" i="7"/>
  <c r="L146" i="7"/>
  <c r="K146" i="7"/>
  <c r="L145" i="7"/>
  <c r="K145" i="7"/>
  <c r="L144" i="7"/>
  <c r="K144" i="7"/>
  <c r="L143" i="7"/>
  <c r="K143" i="7"/>
  <c r="L142" i="7"/>
  <c r="K142" i="7"/>
  <c r="L141" i="7"/>
  <c r="K141" i="7"/>
  <c r="L140" i="7"/>
  <c r="K140" i="7"/>
  <c r="L139" i="7"/>
  <c r="K139" i="7"/>
  <c r="L138" i="7"/>
  <c r="K138" i="7"/>
  <c r="L137" i="7"/>
  <c r="K137" i="7"/>
  <c r="L136" i="7"/>
  <c r="K136" i="7"/>
  <c r="L135" i="7"/>
  <c r="K135" i="7"/>
  <c r="L134" i="7"/>
  <c r="K134" i="7"/>
  <c r="L133" i="7"/>
  <c r="K133" i="7"/>
  <c r="L132" i="7"/>
  <c r="K132" i="7"/>
  <c r="L131" i="7"/>
  <c r="K131" i="7"/>
  <c r="L130" i="7"/>
  <c r="K130" i="7"/>
  <c r="L129" i="7"/>
  <c r="K129" i="7"/>
  <c r="L128" i="7"/>
  <c r="K128" i="7"/>
  <c r="L127" i="7"/>
  <c r="K127" i="7"/>
  <c r="L126" i="7"/>
  <c r="K126" i="7"/>
  <c r="L125" i="7"/>
  <c r="K125" i="7"/>
  <c r="L124" i="7"/>
  <c r="K124" i="7"/>
  <c r="L123" i="7"/>
  <c r="K123" i="7"/>
  <c r="L122" i="7"/>
  <c r="K122" i="7"/>
  <c r="L121" i="7"/>
  <c r="K121" i="7"/>
  <c r="L120" i="7"/>
  <c r="K120" i="7"/>
  <c r="L119" i="7"/>
  <c r="K119" i="7"/>
  <c r="L118" i="7"/>
  <c r="K118" i="7"/>
  <c r="L117" i="7"/>
  <c r="K117" i="7"/>
  <c r="L116" i="7"/>
  <c r="K116" i="7"/>
  <c r="L115" i="7"/>
  <c r="K115" i="7"/>
  <c r="L114" i="7"/>
  <c r="K114" i="7"/>
  <c r="L113" i="7"/>
  <c r="K113" i="7"/>
  <c r="L112" i="7"/>
  <c r="K112" i="7"/>
  <c r="L111" i="7"/>
  <c r="K111" i="7"/>
  <c r="L110" i="7"/>
  <c r="K110" i="7"/>
  <c r="L109" i="7"/>
  <c r="K109" i="7"/>
  <c r="L108" i="7"/>
  <c r="K108" i="7"/>
  <c r="L107" i="7"/>
  <c r="K107" i="7"/>
  <c r="L106" i="7"/>
  <c r="K106" i="7"/>
  <c r="L105" i="7"/>
  <c r="K105" i="7"/>
  <c r="L104" i="7"/>
  <c r="K104" i="7"/>
  <c r="L103" i="7"/>
  <c r="K103" i="7"/>
  <c r="L102" i="7"/>
  <c r="K102" i="7"/>
  <c r="L101" i="7"/>
  <c r="K101" i="7"/>
  <c r="L100" i="7"/>
  <c r="K100" i="7"/>
  <c r="L99" i="7"/>
  <c r="K99" i="7"/>
  <c r="L98" i="7"/>
  <c r="K98" i="7"/>
  <c r="L97" i="7"/>
  <c r="K97" i="7"/>
  <c r="L96" i="7"/>
  <c r="K96" i="7"/>
  <c r="L95" i="7"/>
  <c r="K95" i="7"/>
  <c r="L94" i="7"/>
  <c r="K94" i="7"/>
  <c r="L93" i="7"/>
  <c r="K93" i="7"/>
  <c r="L92" i="7"/>
  <c r="K92" i="7"/>
  <c r="L91" i="7"/>
  <c r="K91" i="7"/>
  <c r="L90" i="7"/>
  <c r="K90" i="7"/>
  <c r="L89" i="7"/>
  <c r="K89" i="7"/>
  <c r="L88" i="7"/>
  <c r="K88" i="7"/>
  <c r="L87" i="7"/>
  <c r="K87" i="7"/>
  <c r="L86" i="7"/>
  <c r="K86" i="7"/>
  <c r="L85" i="7"/>
  <c r="K85" i="7"/>
  <c r="L84" i="7"/>
  <c r="K84" i="7"/>
  <c r="L83" i="7"/>
  <c r="K83" i="7"/>
  <c r="L82" i="7"/>
  <c r="K82" i="7"/>
  <c r="L81" i="7"/>
  <c r="K81" i="7"/>
  <c r="L80" i="7"/>
  <c r="K80" i="7"/>
  <c r="L79" i="7"/>
  <c r="K79" i="7"/>
  <c r="L78" i="7"/>
  <c r="K78" i="7"/>
  <c r="L77" i="7"/>
  <c r="K77" i="7"/>
  <c r="L76" i="7"/>
  <c r="K76" i="7"/>
  <c r="L75" i="7"/>
  <c r="K75" i="7"/>
  <c r="L74" i="7"/>
  <c r="K74" i="7"/>
  <c r="L73" i="7"/>
  <c r="K73" i="7"/>
  <c r="L72" i="7"/>
  <c r="K72" i="7"/>
  <c r="L71" i="7"/>
  <c r="K71" i="7"/>
  <c r="L70" i="7"/>
  <c r="K70" i="7"/>
  <c r="L69" i="7"/>
  <c r="K69" i="7"/>
  <c r="L68" i="7"/>
  <c r="K68" i="7"/>
  <c r="L67" i="7"/>
  <c r="K67" i="7"/>
  <c r="L66" i="7"/>
  <c r="K66" i="7"/>
  <c r="L65" i="7"/>
  <c r="K65" i="7"/>
  <c r="L64" i="7"/>
  <c r="K64" i="7"/>
  <c r="L63" i="7"/>
  <c r="K63" i="7"/>
  <c r="L62" i="7"/>
  <c r="K62" i="7"/>
  <c r="L61" i="7"/>
  <c r="K61" i="7"/>
  <c r="L60" i="7"/>
  <c r="K60" i="7"/>
  <c r="L59" i="7"/>
  <c r="K59" i="7"/>
  <c r="L58" i="7"/>
  <c r="K58" i="7"/>
  <c r="L57" i="7"/>
  <c r="K57" i="7"/>
  <c r="L56" i="7"/>
  <c r="K56" i="7"/>
  <c r="L55" i="7"/>
  <c r="K55" i="7"/>
  <c r="L54" i="7"/>
  <c r="K54" i="7"/>
  <c r="L53" i="7"/>
  <c r="K53" i="7"/>
  <c r="L52" i="7"/>
  <c r="K52" i="7"/>
  <c r="L51" i="7"/>
  <c r="K51" i="7"/>
  <c r="L50" i="7"/>
  <c r="K50" i="7"/>
  <c r="L49" i="7"/>
  <c r="K49" i="7"/>
  <c r="L48" i="7"/>
  <c r="K48" i="7"/>
  <c r="L47" i="7"/>
  <c r="K47" i="7"/>
  <c r="L46" i="7"/>
  <c r="K46" i="7"/>
  <c r="L45" i="7"/>
  <c r="K45" i="7"/>
  <c r="L44" i="7"/>
  <c r="K44" i="7"/>
  <c r="L43" i="7"/>
  <c r="K43" i="7"/>
  <c r="L42" i="7"/>
  <c r="K42" i="7"/>
  <c r="L41" i="7"/>
  <c r="K41" i="7"/>
  <c r="L40" i="7"/>
  <c r="K40" i="7"/>
  <c r="L39" i="7"/>
  <c r="K39" i="7"/>
  <c r="L38" i="7"/>
  <c r="K38" i="7"/>
  <c r="L37" i="7"/>
  <c r="K37" i="7"/>
  <c r="L36" i="7"/>
  <c r="K36" i="7"/>
  <c r="L35" i="7"/>
  <c r="K35" i="7"/>
  <c r="L34" i="7"/>
  <c r="K34" i="7"/>
  <c r="L33" i="7"/>
  <c r="K33" i="7"/>
  <c r="L32" i="7"/>
  <c r="K32" i="7"/>
  <c r="L31" i="7"/>
  <c r="K31" i="7"/>
  <c r="L30" i="7"/>
  <c r="K30" i="7"/>
  <c r="L29" i="7"/>
  <c r="K29" i="7"/>
  <c r="L28" i="7"/>
  <c r="K28" i="7"/>
  <c r="L27" i="7"/>
  <c r="K27" i="7"/>
  <c r="L26" i="7"/>
  <c r="K26" i="7"/>
  <c r="L25" i="7"/>
  <c r="K25" i="7"/>
  <c r="L24" i="7"/>
  <c r="K24" i="7"/>
  <c r="L23" i="7"/>
  <c r="K23" i="7"/>
  <c r="L22" i="7"/>
  <c r="K22" i="7"/>
  <c r="L21" i="7"/>
  <c r="K21" i="7"/>
  <c r="L20" i="7"/>
  <c r="K20" i="7"/>
  <c r="L19" i="7"/>
  <c r="K19" i="7"/>
  <c r="L18" i="7"/>
  <c r="K18" i="7"/>
  <c r="L17" i="7"/>
  <c r="K17" i="7"/>
  <c r="L16" i="7"/>
  <c r="K16" i="7"/>
  <c r="L15" i="7"/>
  <c r="K15" i="7"/>
  <c r="L14" i="7"/>
  <c r="K14" i="7"/>
  <c r="L13" i="7"/>
  <c r="K13" i="7"/>
  <c r="L12" i="7"/>
  <c r="K12" i="7"/>
  <c r="L11" i="7"/>
  <c r="K11" i="7"/>
  <c r="L10" i="7"/>
  <c r="K10" i="7"/>
  <c r="L9" i="7"/>
  <c r="K9" i="7"/>
  <c r="L8" i="7"/>
  <c r="K8" i="7"/>
  <c r="L7" i="7"/>
  <c r="K7" i="7"/>
  <c r="L6" i="7"/>
  <c r="K6" i="7"/>
  <c r="L5" i="7"/>
  <c r="K5" i="7"/>
  <c r="L4" i="7"/>
  <c r="K4" i="7"/>
  <c r="L3" i="7"/>
  <c r="Q8" i="7" s="1"/>
  <c r="K3" i="7"/>
  <c r="Q5" i="7" s="1"/>
  <c r="L2" i="7"/>
  <c r="Q9" i="7" s="1"/>
  <c r="K2" i="7"/>
  <c r="Q3" i="7" s="1"/>
  <c r="O427" i="5"/>
  <c r="N427" i="5"/>
  <c r="M427" i="5"/>
  <c r="L427" i="5"/>
  <c r="K427" i="5"/>
  <c r="O426" i="5"/>
  <c r="N426" i="5"/>
  <c r="M426" i="5"/>
  <c r="L426" i="5"/>
  <c r="K426" i="5"/>
  <c r="O425" i="5"/>
  <c r="N425" i="5"/>
  <c r="M425" i="5"/>
  <c r="L425" i="5"/>
  <c r="K425" i="5"/>
  <c r="O424" i="5"/>
  <c r="N424" i="5"/>
  <c r="M424" i="5"/>
  <c r="L424" i="5"/>
  <c r="K424" i="5"/>
  <c r="O423" i="5"/>
  <c r="N423" i="5"/>
  <c r="M423" i="5"/>
  <c r="L423" i="5"/>
  <c r="K423" i="5"/>
  <c r="O422" i="5"/>
  <c r="N422" i="5"/>
  <c r="M422" i="5"/>
  <c r="L422" i="5"/>
  <c r="K422" i="5"/>
  <c r="O421" i="5"/>
  <c r="N421" i="5"/>
  <c r="M421" i="5"/>
  <c r="L421" i="5"/>
  <c r="K421" i="5"/>
  <c r="O420" i="5"/>
  <c r="N420" i="5"/>
  <c r="M420" i="5"/>
  <c r="L420" i="5"/>
  <c r="K420" i="5"/>
  <c r="O419" i="5"/>
  <c r="N419" i="5"/>
  <c r="M419" i="5"/>
  <c r="L419" i="5"/>
  <c r="K419" i="5"/>
  <c r="O418" i="5"/>
  <c r="N418" i="5"/>
  <c r="M418" i="5"/>
  <c r="L418" i="5"/>
  <c r="K418" i="5"/>
  <c r="O417" i="5"/>
  <c r="N417" i="5"/>
  <c r="M417" i="5"/>
  <c r="L417" i="5"/>
  <c r="K417" i="5"/>
  <c r="O416" i="5"/>
  <c r="N416" i="5"/>
  <c r="M416" i="5"/>
  <c r="L416" i="5"/>
  <c r="K416" i="5"/>
  <c r="O415" i="5"/>
  <c r="N415" i="5"/>
  <c r="M415" i="5"/>
  <c r="L415" i="5"/>
  <c r="K415" i="5"/>
  <c r="O414" i="5"/>
  <c r="N414" i="5"/>
  <c r="M414" i="5"/>
  <c r="L414" i="5"/>
  <c r="K414" i="5"/>
  <c r="O413" i="5"/>
  <c r="N413" i="5"/>
  <c r="M413" i="5"/>
  <c r="L413" i="5"/>
  <c r="K413" i="5"/>
  <c r="O412" i="5"/>
  <c r="N412" i="5"/>
  <c r="M412" i="5"/>
  <c r="L412" i="5"/>
  <c r="K412" i="5"/>
  <c r="O411" i="5"/>
  <c r="N411" i="5"/>
  <c r="M411" i="5"/>
  <c r="L411" i="5"/>
  <c r="K411" i="5"/>
  <c r="O410" i="5"/>
  <c r="N410" i="5"/>
  <c r="M410" i="5"/>
  <c r="L410" i="5"/>
  <c r="K410" i="5"/>
  <c r="O409" i="5"/>
  <c r="N409" i="5"/>
  <c r="M409" i="5"/>
  <c r="L409" i="5"/>
  <c r="K409" i="5"/>
  <c r="O408" i="5"/>
  <c r="N408" i="5"/>
  <c r="M408" i="5"/>
  <c r="L408" i="5"/>
  <c r="K408" i="5"/>
  <c r="O407" i="5"/>
  <c r="N407" i="5"/>
  <c r="M407" i="5"/>
  <c r="L407" i="5"/>
  <c r="K407" i="5"/>
  <c r="O406" i="5"/>
  <c r="N406" i="5"/>
  <c r="M406" i="5"/>
  <c r="L406" i="5"/>
  <c r="K406" i="5"/>
  <c r="O405" i="5"/>
  <c r="N405" i="5"/>
  <c r="M405" i="5"/>
  <c r="L405" i="5"/>
  <c r="K405" i="5"/>
  <c r="O404" i="5"/>
  <c r="N404" i="5"/>
  <c r="M404" i="5"/>
  <c r="L404" i="5"/>
  <c r="K404" i="5"/>
  <c r="O403" i="5"/>
  <c r="N403" i="5"/>
  <c r="M403" i="5"/>
  <c r="L403" i="5"/>
  <c r="K403" i="5"/>
  <c r="O402" i="5"/>
  <c r="N402" i="5"/>
  <c r="M402" i="5"/>
  <c r="L402" i="5"/>
  <c r="K402" i="5"/>
  <c r="O401" i="5"/>
  <c r="N401" i="5"/>
  <c r="M401" i="5"/>
  <c r="L401" i="5"/>
  <c r="K401" i="5"/>
  <c r="O400" i="5"/>
  <c r="N400" i="5"/>
  <c r="M400" i="5"/>
  <c r="L400" i="5"/>
  <c r="K400" i="5"/>
  <c r="O399" i="5"/>
  <c r="N399" i="5"/>
  <c r="M399" i="5"/>
  <c r="L399" i="5"/>
  <c r="K399" i="5"/>
  <c r="O398" i="5"/>
  <c r="N398" i="5"/>
  <c r="M398" i="5"/>
  <c r="L398" i="5"/>
  <c r="K398" i="5"/>
  <c r="O397" i="5"/>
  <c r="N397" i="5"/>
  <c r="M397" i="5"/>
  <c r="L397" i="5"/>
  <c r="K397" i="5"/>
  <c r="O396" i="5"/>
  <c r="N396" i="5"/>
  <c r="M396" i="5"/>
  <c r="L396" i="5"/>
  <c r="K396" i="5"/>
  <c r="O395" i="5"/>
  <c r="N395" i="5"/>
  <c r="M395" i="5"/>
  <c r="L395" i="5"/>
  <c r="K395" i="5"/>
  <c r="O394" i="5"/>
  <c r="N394" i="5"/>
  <c r="M394" i="5"/>
  <c r="L394" i="5"/>
  <c r="K394" i="5"/>
  <c r="O393" i="5"/>
  <c r="N393" i="5"/>
  <c r="M393" i="5"/>
  <c r="L393" i="5"/>
  <c r="K393" i="5"/>
  <c r="O392" i="5"/>
  <c r="N392" i="5"/>
  <c r="M392" i="5"/>
  <c r="L392" i="5"/>
  <c r="K392" i="5"/>
  <c r="O391" i="5"/>
  <c r="N391" i="5"/>
  <c r="M391" i="5"/>
  <c r="L391" i="5"/>
  <c r="K391" i="5"/>
  <c r="O390" i="5"/>
  <c r="N390" i="5"/>
  <c r="M390" i="5"/>
  <c r="L390" i="5"/>
  <c r="K390" i="5"/>
  <c r="O389" i="5"/>
  <c r="N389" i="5"/>
  <c r="M389" i="5"/>
  <c r="L389" i="5"/>
  <c r="K389" i="5"/>
  <c r="O388" i="5"/>
  <c r="N388" i="5"/>
  <c r="M388" i="5"/>
  <c r="L388" i="5"/>
  <c r="K388" i="5"/>
  <c r="O387" i="5"/>
  <c r="N387" i="5"/>
  <c r="M387" i="5"/>
  <c r="L387" i="5"/>
  <c r="K387" i="5"/>
  <c r="O386" i="5"/>
  <c r="N386" i="5"/>
  <c r="M386" i="5"/>
  <c r="L386" i="5"/>
  <c r="K386" i="5"/>
  <c r="O385" i="5"/>
  <c r="N385" i="5"/>
  <c r="M385" i="5"/>
  <c r="L385" i="5"/>
  <c r="K385" i="5"/>
  <c r="O384" i="5"/>
  <c r="N384" i="5"/>
  <c r="M384" i="5"/>
  <c r="L384" i="5"/>
  <c r="K384" i="5"/>
  <c r="O383" i="5"/>
  <c r="N383" i="5"/>
  <c r="M383" i="5"/>
  <c r="L383" i="5"/>
  <c r="K383" i="5"/>
  <c r="O382" i="5"/>
  <c r="N382" i="5"/>
  <c r="M382" i="5"/>
  <c r="L382" i="5"/>
  <c r="K382" i="5"/>
  <c r="O381" i="5"/>
  <c r="N381" i="5"/>
  <c r="M381" i="5"/>
  <c r="L381" i="5"/>
  <c r="K381" i="5"/>
  <c r="O380" i="5"/>
  <c r="N380" i="5"/>
  <c r="M380" i="5"/>
  <c r="L380" i="5"/>
  <c r="K380" i="5"/>
  <c r="O379" i="5"/>
  <c r="N379" i="5"/>
  <c r="M379" i="5"/>
  <c r="L379" i="5"/>
  <c r="K379" i="5"/>
  <c r="O378" i="5"/>
  <c r="N378" i="5"/>
  <c r="M378" i="5"/>
  <c r="L378" i="5"/>
  <c r="K378" i="5"/>
  <c r="O377" i="5"/>
  <c r="N377" i="5"/>
  <c r="M377" i="5"/>
  <c r="L377" i="5"/>
  <c r="K377" i="5"/>
  <c r="O376" i="5"/>
  <c r="N376" i="5"/>
  <c r="M376" i="5"/>
  <c r="L376" i="5"/>
  <c r="K376" i="5"/>
  <c r="O375" i="5"/>
  <c r="N375" i="5"/>
  <c r="M375" i="5"/>
  <c r="L375" i="5"/>
  <c r="K375" i="5"/>
  <c r="O374" i="5"/>
  <c r="N374" i="5"/>
  <c r="M374" i="5"/>
  <c r="L374" i="5"/>
  <c r="K374" i="5"/>
  <c r="O373" i="5"/>
  <c r="N373" i="5"/>
  <c r="M373" i="5"/>
  <c r="L373" i="5"/>
  <c r="K373" i="5"/>
  <c r="O372" i="5"/>
  <c r="N372" i="5"/>
  <c r="M372" i="5"/>
  <c r="L372" i="5"/>
  <c r="K372" i="5"/>
  <c r="O371" i="5"/>
  <c r="N371" i="5"/>
  <c r="M371" i="5"/>
  <c r="L371" i="5"/>
  <c r="K371" i="5"/>
  <c r="O370" i="5"/>
  <c r="N370" i="5"/>
  <c r="M370" i="5"/>
  <c r="L370" i="5"/>
  <c r="K370" i="5"/>
  <c r="O369" i="5"/>
  <c r="N369" i="5"/>
  <c r="M369" i="5"/>
  <c r="L369" i="5"/>
  <c r="K369" i="5"/>
  <c r="O368" i="5"/>
  <c r="N368" i="5"/>
  <c r="M368" i="5"/>
  <c r="L368" i="5"/>
  <c r="K368" i="5"/>
  <c r="O367" i="5"/>
  <c r="N367" i="5"/>
  <c r="M367" i="5"/>
  <c r="L367" i="5"/>
  <c r="K367" i="5"/>
  <c r="O366" i="5"/>
  <c r="N366" i="5"/>
  <c r="M366" i="5"/>
  <c r="L366" i="5"/>
  <c r="K366" i="5"/>
  <c r="O365" i="5"/>
  <c r="N365" i="5"/>
  <c r="M365" i="5"/>
  <c r="L365" i="5"/>
  <c r="K365" i="5"/>
  <c r="O364" i="5"/>
  <c r="N364" i="5"/>
  <c r="M364" i="5"/>
  <c r="L364" i="5"/>
  <c r="K364" i="5"/>
  <c r="O363" i="5"/>
  <c r="N363" i="5"/>
  <c r="M363" i="5"/>
  <c r="L363" i="5"/>
  <c r="K363" i="5"/>
  <c r="O362" i="5"/>
  <c r="N362" i="5"/>
  <c r="M362" i="5"/>
  <c r="L362" i="5"/>
  <c r="K362" i="5"/>
  <c r="O361" i="5"/>
  <c r="N361" i="5"/>
  <c r="M361" i="5"/>
  <c r="L361" i="5"/>
  <c r="K361" i="5"/>
  <c r="O360" i="5"/>
  <c r="N360" i="5"/>
  <c r="M360" i="5"/>
  <c r="L360" i="5"/>
  <c r="K360" i="5"/>
  <c r="O359" i="5"/>
  <c r="N359" i="5"/>
  <c r="M359" i="5"/>
  <c r="L359" i="5"/>
  <c r="K359" i="5"/>
  <c r="O358" i="5"/>
  <c r="N358" i="5"/>
  <c r="M358" i="5"/>
  <c r="L358" i="5"/>
  <c r="K358" i="5"/>
  <c r="O357" i="5"/>
  <c r="N357" i="5"/>
  <c r="M357" i="5"/>
  <c r="L357" i="5"/>
  <c r="K357" i="5"/>
  <c r="O356" i="5"/>
  <c r="N356" i="5"/>
  <c r="M356" i="5"/>
  <c r="L356" i="5"/>
  <c r="K356" i="5"/>
  <c r="O355" i="5"/>
  <c r="N355" i="5"/>
  <c r="M355" i="5"/>
  <c r="L355" i="5"/>
  <c r="K355" i="5"/>
  <c r="O354" i="5"/>
  <c r="N354" i="5"/>
  <c r="M354" i="5"/>
  <c r="L354" i="5"/>
  <c r="K354" i="5"/>
  <c r="O353" i="5"/>
  <c r="N353" i="5"/>
  <c r="M353" i="5"/>
  <c r="L353" i="5"/>
  <c r="K353" i="5"/>
  <c r="O352" i="5"/>
  <c r="N352" i="5"/>
  <c r="M352" i="5"/>
  <c r="L352" i="5"/>
  <c r="K352" i="5"/>
  <c r="O351" i="5"/>
  <c r="N351" i="5"/>
  <c r="M351" i="5"/>
  <c r="L351" i="5"/>
  <c r="K351" i="5"/>
  <c r="O350" i="5"/>
  <c r="N350" i="5"/>
  <c r="M350" i="5"/>
  <c r="L350" i="5"/>
  <c r="K350" i="5"/>
  <c r="O349" i="5"/>
  <c r="N349" i="5"/>
  <c r="M349" i="5"/>
  <c r="L349" i="5"/>
  <c r="K349" i="5"/>
  <c r="O348" i="5"/>
  <c r="N348" i="5"/>
  <c r="M348" i="5"/>
  <c r="L348" i="5"/>
  <c r="K348" i="5"/>
  <c r="O347" i="5"/>
  <c r="N347" i="5"/>
  <c r="M347" i="5"/>
  <c r="L347" i="5"/>
  <c r="K347" i="5"/>
  <c r="O346" i="5"/>
  <c r="N346" i="5"/>
  <c r="M346" i="5"/>
  <c r="L346" i="5"/>
  <c r="K346" i="5"/>
  <c r="O345" i="5"/>
  <c r="N345" i="5"/>
  <c r="M345" i="5"/>
  <c r="L345" i="5"/>
  <c r="K345" i="5"/>
  <c r="O344" i="5"/>
  <c r="N344" i="5"/>
  <c r="M344" i="5"/>
  <c r="L344" i="5"/>
  <c r="K344" i="5"/>
  <c r="O343" i="5"/>
  <c r="N343" i="5"/>
  <c r="M343" i="5"/>
  <c r="L343" i="5"/>
  <c r="K343" i="5"/>
  <c r="O342" i="5"/>
  <c r="N342" i="5"/>
  <c r="M342" i="5"/>
  <c r="L342" i="5"/>
  <c r="K342" i="5"/>
  <c r="O341" i="5"/>
  <c r="N341" i="5"/>
  <c r="M341" i="5"/>
  <c r="L341" i="5"/>
  <c r="K341" i="5"/>
  <c r="O340" i="5"/>
  <c r="N340" i="5"/>
  <c r="M340" i="5"/>
  <c r="L340" i="5"/>
  <c r="K340" i="5"/>
  <c r="O339" i="5"/>
  <c r="N339" i="5"/>
  <c r="M339" i="5"/>
  <c r="L339" i="5"/>
  <c r="K339" i="5"/>
  <c r="O338" i="5"/>
  <c r="N338" i="5"/>
  <c r="M338" i="5"/>
  <c r="L338" i="5"/>
  <c r="K338" i="5"/>
  <c r="O337" i="5"/>
  <c r="N337" i="5"/>
  <c r="M337" i="5"/>
  <c r="L337" i="5"/>
  <c r="K337" i="5"/>
  <c r="O336" i="5"/>
  <c r="N336" i="5"/>
  <c r="M336" i="5"/>
  <c r="L336" i="5"/>
  <c r="K336" i="5"/>
  <c r="O335" i="5"/>
  <c r="N335" i="5"/>
  <c r="M335" i="5"/>
  <c r="L335" i="5"/>
  <c r="K335" i="5"/>
  <c r="O334" i="5"/>
  <c r="N334" i="5"/>
  <c r="M334" i="5"/>
  <c r="L334" i="5"/>
  <c r="K334" i="5"/>
  <c r="O333" i="5"/>
  <c r="N333" i="5"/>
  <c r="M333" i="5"/>
  <c r="L333" i="5"/>
  <c r="K333" i="5"/>
  <c r="O332" i="5"/>
  <c r="N332" i="5"/>
  <c r="M332" i="5"/>
  <c r="L332" i="5"/>
  <c r="K332" i="5"/>
  <c r="O331" i="5"/>
  <c r="N331" i="5"/>
  <c r="M331" i="5"/>
  <c r="L331" i="5"/>
  <c r="K331" i="5"/>
  <c r="O330" i="5"/>
  <c r="N330" i="5"/>
  <c r="M330" i="5"/>
  <c r="L330" i="5"/>
  <c r="K330" i="5"/>
  <c r="O329" i="5"/>
  <c r="N329" i="5"/>
  <c r="M329" i="5"/>
  <c r="L329" i="5"/>
  <c r="K329" i="5"/>
  <c r="O328" i="5"/>
  <c r="N328" i="5"/>
  <c r="M328" i="5"/>
  <c r="L328" i="5"/>
  <c r="K328" i="5"/>
  <c r="O327" i="5"/>
  <c r="N327" i="5"/>
  <c r="M327" i="5"/>
  <c r="L327" i="5"/>
  <c r="K327" i="5"/>
  <c r="O326" i="5"/>
  <c r="N326" i="5"/>
  <c r="M326" i="5"/>
  <c r="L326" i="5"/>
  <c r="K326" i="5"/>
  <c r="O325" i="5"/>
  <c r="N325" i="5"/>
  <c r="M325" i="5"/>
  <c r="L325" i="5"/>
  <c r="K325" i="5"/>
  <c r="O324" i="5"/>
  <c r="N324" i="5"/>
  <c r="M324" i="5"/>
  <c r="L324" i="5"/>
  <c r="K324" i="5"/>
  <c r="O323" i="5"/>
  <c r="N323" i="5"/>
  <c r="M323" i="5"/>
  <c r="L323" i="5"/>
  <c r="K323" i="5"/>
  <c r="O322" i="5"/>
  <c r="N322" i="5"/>
  <c r="M322" i="5"/>
  <c r="L322" i="5"/>
  <c r="K322" i="5"/>
  <c r="O321" i="5"/>
  <c r="N321" i="5"/>
  <c r="M321" i="5"/>
  <c r="L321" i="5"/>
  <c r="K321" i="5"/>
  <c r="O320" i="5"/>
  <c r="N320" i="5"/>
  <c r="M320" i="5"/>
  <c r="L320" i="5"/>
  <c r="K320" i="5"/>
  <c r="O319" i="5"/>
  <c r="N319" i="5"/>
  <c r="M319" i="5"/>
  <c r="L319" i="5"/>
  <c r="K319" i="5"/>
  <c r="O318" i="5"/>
  <c r="N318" i="5"/>
  <c r="M318" i="5"/>
  <c r="L318" i="5"/>
  <c r="K318" i="5"/>
  <c r="O317" i="5"/>
  <c r="N317" i="5"/>
  <c r="M317" i="5"/>
  <c r="L317" i="5"/>
  <c r="K317" i="5"/>
  <c r="O316" i="5"/>
  <c r="N316" i="5"/>
  <c r="M316" i="5"/>
  <c r="L316" i="5"/>
  <c r="K316" i="5"/>
  <c r="O315" i="5"/>
  <c r="N315" i="5"/>
  <c r="M315" i="5"/>
  <c r="L315" i="5"/>
  <c r="K315" i="5"/>
  <c r="O314" i="5"/>
  <c r="N314" i="5"/>
  <c r="M314" i="5"/>
  <c r="L314" i="5"/>
  <c r="K314" i="5"/>
  <c r="O313" i="5"/>
  <c r="N313" i="5"/>
  <c r="M313" i="5"/>
  <c r="L313" i="5"/>
  <c r="K313" i="5"/>
  <c r="O312" i="5"/>
  <c r="N312" i="5"/>
  <c r="M312" i="5"/>
  <c r="L312" i="5"/>
  <c r="K312" i="5"/>
  <c r="O311" i="5"/>
  <c r="N311" i="5"/>
  <c r="M311" i="5"/>
  <c r="L311" i="5"/>
  <c r="K311" i="5"/>
  <c r="O310" i="5"/>
  <c r="N310" i="5"/>
  <c r="M310" i="5"/>
  <c r="L310" i="5"/>
  <c r="K310" i="5"/>
  <c r="O309" i="5"/>
  <c r="N309" i="5"/>
  <c r="M309" i="5"/>
  <c r="L309" i="5"/>
  <c r="K309" i="5"/>
  <c r="O308" i="5"/>
  <c r="N308" i="5"/>
  <c r="M308" i="5"/>
  <c r="L308" i="5"/>
  <c r="K308" i="5"/>
  <c r="O307" i="5"/>
  <c r="N307" i="5"/>
  <c r="M307" i="5"/>
  <c r="L307" i="5"/>
  <c r="K307" i="5"/>
  <c r="O306" i="5"/>
  <c r="N306" i="5"/>
  <c r="M306" i="5"/>
  <c r="L306" i="5"/>
  <c r="K306" i="5"/>
  <c r="O305" i="5"/>
  <c r="N305" i="5"/>
  <c r="M305" i="5"/>
  <c r="L305" i="5"/>
  <c r="K305" i="5"/>
  <c r="O304" i="5"/>
  <c r="N304" i="5"/>
  <c r="M304" i="5"/>
  <c r="L304" i="5"/>
  <c r="K304" i="5"/>
  <c r="O303" i="5"/>
  <c r="N303" i="5"/>
  <c r="M303" i="5"/>
  <c r="L303" i="5"/>
  <c r="K303" i="5"/>
  <c r="O302" i="5"/>
  <c r="N302" i="5"/>
  <c r="M302" i="5"/>
  <c r="L302" i="5"/>
  <c r="K302" i="5"/>
  <c r="O301" i="5"/>
  <c r="N301" i="5"/>
  <c r="M301" i="5"/>
  <c r="L301" i="5"/>
  <c r="K301" i="5"/>
  <c r="O300" i="5"/>
  <c r="N300" i="5"/>
  <c r="M300" i="5"/>
  <c r="L300" i="5"/>
  <c r="K300" i="5"/>
  <c r="O299" i="5"/>
  <c r="N299" i="5"/>
  <c r="M299" i="5"/>
  <c r="L299" i="5"/>
  <c r="K299" i="5"/>
  <c r="O298" i="5"/>
  <c r="N298" i="5"/>
  <c r="M298" i="5"/>
  <c r="L298" i="5"/>
  <c r="K298" i="5"/>
  <c r="O297" i="5"/>
  <c r="N297" i="5"/>
  <c r="M297" i="5"/>
  <c r="L297" i="5"/>
  <c r="K297" i="5"/>
  <c r="O296" i="5"/>
  <c r="N296" i="5"/>
  <c r="M296" i="5"/>
  <c r="L296" i="5"/>
  <c r="K296" i="5"/>
  <c r="O295" i="5"/>
  <c r="N295" i="5"/>
  <c r="M295" i="5"/>
  <c r="L295" i="5"/>
  <c r="K295" i="5"/>
  <c r="O294" i="5"/>
  <c r="N294" i="5"/>
  <c r="M294" i="5"/>
  <c r="L294" i="5"/>
  <c r="K294" i="5"/>
  <c r="O293" i="5"/>
  <c r="N293" i="5"/>
  <c r="M293" i="5"/>
  <c r="L293" i="5"/>
  <c r="K293" i="5"/>
  <c r="O292" i="5"/>
  <c r="N292" i="5"/>
  <c r="M292" i="5"/>
  <c r="L292" i="5"/>
  <c r="K292" i="5"/>
  <c r="O291" i="5"/>
  <c r="N291" i="5"/>
  <c r="M291" i="5"/>
  <c r="L291" i="5"/>
  <c r="K291" i="5"/>
  <c r="O290" i="5"/>
  <c r="N290" i="5"/>
  <c r="M290" i="5"/>
  <c r="L290" i="5"/>
  <c r="K290" i="5"/>
  <c r="O289" i="5"/>
  <c r="N289" i="5"/>
  <c r="M289" i="5"/>
  <c r="L289" i="5"/>
  <c r="K289" i="5"/>
  <c r="O288" i="5"/>
  <c r="N288" i="5"/>
  <c r="M288" i="5"/>
  <c r="L288" i="5"/>
  <c r="K288" i="5"/>
  <c r="O287" i="5"/>
  <c r="N287" i="5"/>
  <c r="M287" i="5"/>
  <c r="L287" i="5"/>
  <c r="K287" i="5"/>
  <c r="O286" i="5"/>
  <c r="N286" i="5"/>
  <c r="M286" i="5"/>
  <c r="L286" i="5"/>
  <c r="K286" i="5"/>
  <c r="O285" i="5"/>
  <c r="N285" i="5"/>
  <c r="M285" i="5"/>
  <c r="L285" i="5"/>
  <c r="K285" i="5"/>
  <c r="O284" i="5"/>
  <c r="N284" i="5"/>
  <c r="M284" i="5"/>
  <c r="L284" i="5"/>
  <c r="K284" i="5"/>
  <c r="O283" i="5"/>
  <c r="N283" i="5"/>
  <c r="M283" i="5"/>
  <c r="L283" i="5"/>
  <c r="K283" i="5"/>
  <c r="O282" i="5"/>
  <c r="N282" i="5"/>
  <c r="M282" i="5"/>
  <c r="L282" i="5"/>
  <c r="K282" i="5"/>
  <c r="O281" i="5"/>
  <c r="N281" i="5"/>
  <c r="M281" i="5"/>
  <c r="L281" i="5"/>
  <c r="K281" i="5"/>
  <c r="O280" i="5"/>
  <c r="N280" i="5"/>
  <c r="M280" i="5"/>
  <c r="L280" i="5"/>
  <c r="K280" i="5"/>
  <c r="O279" i="5"/>
  <c r="N279" i="5"/>
  <c r="M279" i="5"/>
  <c r="L279" i="5"/>
  <c r="K279" i="5"/>
  <c r="O278" i="5"/>
  <c r="N278" i="5"/>
  <c r="M278" i="5"/>
  <c r="L278" i="5"/>
  <c r="K278" i="5"/>
  <c r="O277" i="5"/>
  <c r="N277" i="5"/>
  <c r="M277" i="5"/>
  <c r="L277" i="5"/>
  <c r="K277" i="5"/>
  <c r="O276" i="5"/>
  <c r="N276" i="5"/>
  <c r="M276" i="5"/>
  <c r="L276" i="5"/>
  <c r="K276" i="5"/>
  <c r="O275" i="5"/>
  <c r="N275" i="5"/>
  <c r="M275" i="5"/>
  <c r="L275" i="5"/>
  <c r="K275" i="5"/>
  <c r="O274" i="5"/>
  <c r="N274" i="5"/>
  <c r="M274" i="5"/>
  <c r="L274" i="5"/>
  <c r="K274" i="5"/>
  <c r="O273" i="5"/>
  <c r="N273" i="5"/>
  <c r="M273" i="5"/>
  <c r="L273" i="5"/>
  <c r="K273" i="5"/>
  <c r="O272" i="5"/>
  <c r="N272" i="5"/>
  <c r="M272" i="5"/>
  <c r="L272" i="5"/>
  <c r="K272" i="5"/>
  <c r="O271" i="5"/>
  <c r="N271" i="5"/>
  <c r="M271" i="5"/>
  <c r="L271" i="5"/>
  <c r="K271" i="5"/>
  <c r="O270" i="5"/>
  <c r="N270" i="5"/>
  <c r="M270" i="5"/>
  <c r="L270" i="5"/>
  <c r="K270" i="5"/>
  <c r="O269" i="5"/>
  <c r="N269" i="5"/>
  <c r="M269" i="5"/>
  <c r="L269" i="5"/>
  <c r="K269" i="5"/>
  <c r="O268" i="5"/>
  <c r="N268" i="5"/>
  <c r="M268" i="5"/>
  <c r="L268" i="5"/>
  <c r="K268" i="5"/>
  <c r="O267" i="5"/>
  <c r="N267" i="5"/>
  <c r="M267" i="5"/>
  <c r="L267" i="5"/>
  <c r="K267" i="5"/>
  <c r="O266" i="5"/>
  <c r="N266" i="5"/>
  <c r="M266" i="5"/>
  <c r="L266" i="5"/>
  <c r="K266" i="5"/>
  <c r="O265" i="5"/>
  <c r="N265" i="5"/>
  <c r="M265" i="5"/>
  <c r="L265" i="5"/>
  <c r="K265" i="5"/>
  <c r="O264" i="5"/>
  <c r="N264" i="5"/>
  <c r="M264" i="5"/>
  <c r="L264" i="5"/>
  <c r="K264" i="5"/>
  <c r="O263" i="5"/>
  <c r="N263" i="5"/>
  <c r="M263" i="5"/>
  <c r="L263" i="5"/>
  <c r="K263" i="5"/>
  <c r="O262" i="5"/>
  <c r="N262" i="5"/>
  <c r="M262" i="5"/>
  <c r="L262" i="5"/>
  <c r="K262" i="5"/>
  <c r="O261" i="5"/>
  <c r="N261" i="5"/>
  <c r="M261" i="5"/>
  <c r="L261" i="5"/>
  <c r="K261" i="5"/>
  <c r="O260" i="5"/>
  <c r="N260" i="5"/>
  <c r="M260" i="5"/>
  <c r="L260" i="5"/>
  <c r="K260" i="5"/>
  <c r="O259" i="5"/>
  <c r="N259" i="5"/>
  <c r="M259" i="5"/>
  <c r="L259" i="5"/>
  <c r="K259" i="5"/>
  <c r="O258" i="5"/>
  <c r="N258" i="5"/>
  <c r="M258" i="5"/>
  <c r="L258" i="5"/>
  <c r="K258" i="5"/>
  <c r="O257" i="5"/>
  <c r="N257" i="5"/>
  <c r="M257" i="5"/>
  <c r="L257" i="5"/>
  <c r="K257" i="5"/>
  <c r="O256" i="5"/>
  <c r="N256" i="5"/>
  <c r="M256" i="5"/>
  <c r="L256" i="5"/>
  <c r="K256" i="5"/>
  <c r="O255" i="5"/>
  <c r="N255" i="5"/>
  <c r="M255" i="5"/>
  <c r="L255" i="5"/>
  <c r="K255" i="5"/>
  <c r="O254" i="5"/>
  <c r="N254" i="5"/>
  <c r="M254" i="5"/>
  <c r="L254" i="5"/>
  <c r="K254" i="5"/>
  <c r="O253" i="5"/>
  <c r="N253" i="5"/>
  <c r="M253" i="5"/>
  <c r="L253" i="5"/>
  <c r="K253" i="5"/>
  <c r="O252" i="5"/>
  <c r="N252" i="5"/>
  <c r="M252" i="5"/>
  <c r="L252" i="5"/>
  <c r="K252" i="5"/>
  <c r="O251" i="5"/>
  <c r="N251" i="5"/>
  <c r="M251" i="5"/>
  <c r="L251" i="5"/>
  <c r="K251" i="5"/>
  <c r="O250" i="5"/>
  <c r="N250" i="5"/>
  <c r="M250" i="5"/>
  <c r="L250" i="5"/>
  <c r="K250" i="5"/>
  <c r="O249" i="5"/>
  <c r="N249" i="5"/>
  <c r="M249" i="5"/>
  <c r="L249" i="5"/>
  <c r="K249" i="5"/>
  <c r="O248" i="5"/>
  <c r="N248" i="5"/>
  <c r="M248" i="5"/>
  <c r="L248" i="5"/>
  <c r="K248" i="5"/>
  <c r="O247" i="5"/>
  <c r="N247" i="5"/>
  <c r="M247" i="5"/>
  <c r="L247" i="5"/>
  <c r="K247" i="5"/>
  <c r="O246" i="5"/>
  <c r="N246" i="5"/>
  <c r="M246" i="5"/>
  <c r="L246" i="5"/>
  <c r="K246" i="5"/>
  <c r="O245" i="5"/>
  <c r="N245" i="5"/>
  <c r="M245" i="5"/>
  <c r="L245" i="5"/>
  <c r="K245" i="5"/>
  <c r="O244" i="5"/>
  <c r="N244" i="5"/>
  <c r="M244" i="5"/>
  <c r="L244" i="5"/>
  <c r="K244" i="5"/>
  <c r="O243" i="5"/>
  <c r="N243" i="5"/>
  <c r="M243" i="5"/>
  <c r="L243" i="5"/>
  <c r="K243" i="5"/>
  <c r="O242" i="5"/>
  <c r="N242" i="5"/>
  <c r="M242" i="5"/>
  <c r="L242" i="5"/>
  <c r="K242" i="5"/>
  <c r="O241" i="5"/>
  <c r="N241" i="5"/>
  <c r="M241" i="5"/>
  <c r="L241" i="5"/>
  <c r="K241" i="5"/>
  <c r="O240" i="5"/>
  <c r="N240" i="5"/>
  <c r="M240" i="5"/>
  <c r="L240" i="5"/>
  <c r="K240" i="5"/>
  <c r="O239" i="5"/>
  <c r="N239" i="5"/>
  <c r="M239" i="5"/>
  <c r="L239" i="5"/>
  <c r="K239" i="5"/>
  <c r="O238" i="5"/>
  <c r="N238" i="5"/>
  <c r="M238" i="5"/>
  <c r="L238" i="5"/>
  <c r="K238" i="5"/>
  <c r="O237" i="5"/>
  <c r="N237" i="5"/>
  <c r="M237" i="5"/>
  <c r="L237" i="5"/>
  <c r="K237" i="5"/>
  <c r="O236" i="5"/>
  <c r="N236" i="5"/>
  <c r="M236" i="5"/>
  <c r="L236" i="5"/>
  <c r="K236" i="5"/>
  <c r="O235" i="5"/>
  <c r="N235" i="5"/>
  <c r="M235" i="5"/>
  <c r="L235" i="5"/>
  <c r="K235" i="5"/>
  <c r="O234" i="5"/>
  <c r="N234" i="5"/>
  <c r="M234" i="5"/>
  <c r="L234" i="5"/>
  <c r="K234" i="5"/>
  <c r="O233" i="5"/>
  <c r="N233" i="5"/>
  <c r="M233" i="5"/>
  <c r="L233" i="5"/>
  <c r="K233" i="5"/>
  <c r="O232" i="5"/>
  <c r="N232" i="5"/>
  <c r="M232" i="5"/>
  <c r="L232" i="5"/>
  <c r="K232" i="5"/>
  <c r="O231" i="5"/>
  <c r="N231" i="5"/>
  <c r="M231" i="5"/>
  <c r="L231" i="5"/>
  <c r="K231" i="5"/>
  <c r="O230" i="5"/>
  <c r="N230" i="5"/>
  <c r="M230" i="5"/>
  <c r="L230" i="5"/>
  <c r="K230" i="5"/>
  <c r="O229" i="5"/>
  <c r="N229" i="5"/>
  <c r="M229" i="5"/>
  <c r="L229" i="5"/>
  <c r="K229" i="5"/>
  <c r="O228" i="5"/>
  <c r="N228" i="5"/>
  <c r="M228" i="5"/>
  <c r="L228" i="5"/>
  <c r="K228" i="5"/>
  <c r="O227" i="5"/>
  <c r="N227" i="5"/>
  <c r="M227" i="5"/>
  <c r="L227" i="5"/>
  <c r="K227" i="5"/>
  <c r="O226" i="5"/>
  <c r="N226" i="5"/>
  <c r="M226" i="5"/>
  <c r="L226" i="5"/>
  <c r="K226" i="5"/>
  <c r="O225" i="5"/>
  <c r="N225" i="5"/>
  <c r="M225" i="5"/>
  <c r="L225" i="5"/>
  <c r="K225" i="5"/>
  <c r="O224" i="5"/>
  <c r="N224" i="5"/>
  <c r="M224" i="5"/>
  <c r="L224" i="5"/>
  <c r="K224" i="5"/>
  <c r="O223" i="5"/>
  <c r="N223" i="5"/>
  <c r="M223" i="5"/>
  <c r="L223" i="5"/>
  <c r="K223" i="5"/>
  <c r="O222" i="5"/>
  <c r="N222" i="5"/>
  <c r="M222" i="5"/>
  <c r="L222" i="5"/>
  <c r="K222" i="5"/>
  <c r="O221" i="5"/>
  <c r="N221" i="5"/>
  <c r="M221" i="5"/>
  <c r="L221" i="5"/>
  <c r="K221" i="5"/>
  <c r="O220" i="5"/>
  <c r="N220" i="5"/>
  <c r="M220" i="5"/>
  <c r="L220" i="5"/>
  <c r="K220" i="5"/>
  <c r="O219" i="5"/>
  <c r="N219" i="5"/>
  <c r="M219" i="5"/>
  <c r="L219" i="5"/>
  <c r="K219" i="5"/>
  <c r="O218" i="5"/>
  <c r="N218" i="5"/>
  <c r="M218" i="5"/>
  <c r="L218" i="5"/>
  <c r="K218" i="5"/>
  <c r="O217" i="5"/>
  <c r="N217" i="5"/>
  <c r="M217" i="5"/>
  <c r="L217" i="5"/>
  <c r="K217" i="5"/>
  <c r="O216" i="5"/>
  <c r="N216" i="5"/>
  <c r="M216" i="5"/>
  <c r="L216" i="5"/>
  <c r="K216" i="5"/>
  <c r="O215" i="5"/>
  <c r="N215" i="5"/>
  <c r="M215" i="5"/>
  <c r="L215" i="5"/>
  <c r="K215" i="5"/>
  <c r="O214" i="5"/>
  <c r="N214" i="5"/>
  <c r="M214" i="5"/>
  <c r="L214" i="5"/>
  <c r="K214" i="5"/>
  <c r="O213" i="5"/>
  <c r="N213" i="5"/>
  <c r="M213" i="5"/>
  <c r="L213" i="5"/>
  <c r="K213" i="5"/>
  <c r="O212" i="5"/>
  <c r="N212" i="5"/>
  <c r="M212" i="5"/>
  <c r="L212" i="5"/>
  <c r="K212" i="5"/>
  <c r="O211" i="5"/>
  <c r="N211" i="5"/>
  <c r="M211" i="5"/>
  <c r="L211" i="5"/>
  <c r="K211" i="5"/>
  <c r="O210" i="5"/>
  <c r="N210" i="5"/>
  <c r="M210" i="5"/>
  <c r="L210" i="5"/>
  <c r="K210" i="5"/>
  <c r="O209" i="5"/>
  <c r="N209" i="5"/>
  <c r="M209" i="5"/>
  <c r="L209" i="5"/>
  <c r="K209" i="5"/>
  <c r="O208" i="5"/>
  <c r="N208" i="5"/>
  <c r="M208" i="5"/>
  <c r="L208" i="5"/>
  <c r="K208" i="5"/>
  <c r="O207" i="5"/>
  <c r="N207" i="5"/>
  <c r="M207" i="5"/>
  <c r="L207" i="5"/>
  <c r="K207" i="5"/>
  <c r="O206" i="5"/>
  <c r="N206" i="5"/>
  <c r="M206" i="5"/>
  <c r="L206" i="5"/>
  <c r="K206" i="5"/>
  <c r="O205" i="5"/>
  <c r="N205" i="5"/>
  <c r="M205" i="5"/>
  <c r="L205" i="5"/>
  <c r="K205" i="5"/>
  <c r="O204" i="5"/>
  <c r="N204" i="5"/>
  <c r="M204" i="5"/>
  <c r="L204" i="5"/>
  <c r="K204" i="5"/>
  <c r="O203" i="5"/>
  <c r="N203" i="5"/>
  <c r="M203" i="5"/>
  <c r="L203" i="5"/>
  <c r="K203" i="5"/>
  <c r="O202" i="5"/>
  <c r="N202" i="5"/>
  <c r="M202" i="5"/>
  <c r="L202" i="5"/>
  <c r="K202" i="5"/>
  <c r="O201" i="5"/>
  <c r="N201" i="5"/>
  <c r="M201" i="5"/>
  <c r="L201" i="5"/>
  <c r="K201" i="5"/>
  <c r="O200" i="5"/>
  <c r="N200" i="5"/>
  <c r="M200" i="5"/>
  <c r="L200" i="5"/>
  <c r="K200" i="5"/>
  <c r="O199" i="5"/>
  <c r="N199" i="5"/>
  <c r="M199" i="5"/>
  <c r="L199" i="5"/>
  <c r="K199" i="5"/>
  <c r="O198" i="5"/>
  <c r="N198" i="5"/>
  <c r="M198" i="5"/>
  <c r="L198" i="5"/>
  <c r="K198" i="5"/>
  <c r="O197" i="5"/>
  <c r="N197" i="5"/>
  <c r="M197" i="5"/>
  <c r="L197" i="5"/>
  <c r="K197" i="5"/>
  <c r="O196" i="5"/>
  <c r="N196" i="5"/>
  <c r="M196" i="5"/>
  <c r="L196" i="5"/>
  <c r="K196" i="5"/>
  <c r="O195" i="5"/>
  <c r="N195" i="5"/>
  <c r="M195" i="5"/>
  <c r="L195" i="5"/>
  <c r="K195" i="5"/>
  <c r="O194" i="5"/>
  <c r="N194" i="5"/>
  <c r="M194" i="5"/>
  <c r="L194" i="5"/>
  <c r="K194" i="5"/>
  <c r="O193" i="5"/>
  <c r="N193" i="5"/>
  <c r="M193" i="5"/>
  <c r="L193" i="5"/>
  <c r="K193" i="5"/>
  <c r="O192" i="5"/>
  <c r="N192" i="5"/>
  <c r="M192" i="5"/>
  <c r="L192" i="5"/>
  <c r="K192" i="5"/>
  <c r="O191" i="5"/>
  <c r="N191" i="5"/>
  <c r="M191" i="5"/>
  <c r="L191" i="5"/>
  <c r="K191" i="5"/>
  <c r="O190" i="5"/>
  <c r="N190" i="5"/>
  <c r="M190" i="5"/>
  <c r="L190" i="5"/>
  <c r="K190" i="5"/>
  <c r="O189" i="5"/>
  <c r="N189" i="5"/>
  <c r="M189" i="5"/>
  <c r="L189" i="5"/>
  <c r="K189" i="5"/>
  <c r="O188" i="5"/>
  <c r="N188" i="5"/>
  <c r="M188" i="5"/>
  <c r="L188" i="5"/>
  <c r="K188" i="5"/>
  <c r="O187" i="5"/>
  <c r="N187" i="5"/>
  <c r="M187" i="5"/>
  <c r="L187" i="5"/>
  <c r="K187" i="5"/>
  <c r="O186" i="5"/>
  <c r="N186" i="5"/>
  <c r="M186" i="5"/>
  <c r="L186" i="5"/>
  <c r="K186" i="5"/>
  <c r="O185" i="5"/>
  <c r="N185" i="5"/>
  <c r="M185" i="5"/>
  <c r="L185" i="5"/>
  <c r="K185" i="5"/>
  <c r="O184" i="5"/>
  <c r="N184" i="5"/>
  <c r="M184" i="5"/>
  <c r="L184" i="5"/>
  <c r="K184" i="5"/>
  <c r="O183" i="5"/>
  <c r="N183" i="5"/>
  <c r="M183" i="5"/>
  <c r="L183" i="5"/>
  <c r="K183" i="5"/>
  <c r="O182" i="5"/>
  <c r="N182" i="5"/>
  <c r="M182" i="5"/>
  <c r="L182" i="5"/>
  <c r="K182" i="5"/>
  <c r="O181" i="5"/>
  <c r="N181" i="5"/>
  <c r="M181" i="5"/>
  <c r="L181" i="5"/>
  <c r="K181" i="5"/>
  <c r="O180" i="5"/>
  <c r="N180" i="5"/>
  <c r="M180" i="5"/>
  <c r="L180" i="5"/>
  <c r="K180" i="5"/>
  <c r="O179" i="5"/>
  <c r="N179" i="5"/>
  <c r="M179" i="5"/>
  <c r="L179" i="5"/>
  <c r="K179" i="5"/>
  <c r="O178" i="5"/>
  <c r="N178" i="5"/>
  <c r="M178" i="5"/>
  <c r="L178" i="5"/>
  <c r="K178" i="5"/>
  <c r="O177" i="5"/>
  <c r="N177" i="5"/>
  <c r="M177" i="5"/>
  <c r="L177" i="5"/>
  <c r="K177" i="5"/>
  <c r="O176" i="5"/>
  <c r="N176" i="5"/>
  <c r="M176" i="5"/>
  <c r="L176" i="5"/>
  <c r="K176" i="5"/>
  <c r="O175" i="5"/>
  <c r="N175" i="5"/>
  <c r="M175" i="5"/>
  <c r="L175" i="5"/>
  <c r="K175" i="5"/>
  <c r="O174" i="5"/>
  <c r="N174" i="5"/>
  <c r="M174" i="5"/>
  <c r="L174" i="5"/>
  <c r="K174" i="5"/>
  <c r="O173" i="5"/>
  <c r="N173" i="5"/>
  <c r="M173" i="5"/>
  <c r="L173" i="5"/>
  <c r="K173" i="5"/>
  <c r="O172" i="5"/>
  <c r="N172" i="5"/>
  <c r="M172" i="5"/>
  <c r="L172" i="5"/>
  <c r="K172" i="5"/>
  <c r="O171" i="5"/>
  <c r="N171" i="5"/>
  <c r="M171" i="5"/>
  <c r="L171" i="5"/>
  <c r="K171" i="5"/>
  <c r="O170" i="5"/>
  <c r="N170" i="5"/>
  <c r="M170" i="5"/>
  <c r="L170" i="5"/>
  <c r="K170" i="5"/>
  <c r="O169" i="5"/>
  <c r="N169" i="5"/>
  <c r="M169" i="5"/>
  <c r="L169" i="5"/>
  <c r="K169" i="5"/>
  <c r="O168" i="5"/>
  <c r="N168" i="5"/>
  <c r="M168" i="5"/>
  <c r="L168" i="5"/>
  <c r="K168" i="5"/>
  <c r="O167" i="5"/>
  <c r="N167" i="5"/>
  <c r="M167" i="5"/>
  <c r="L167" i="5"/>
  <c r="K167" i="5"/>
  <c r="O166" i="5"/>
  <c r="N166" i="5"/>
  <c r="M166" i="5"/>
  <c r="L166" i="5"/>
  <c r="K166" i="5"/>
  <c r="O165" i="5"/>
  <c r="N165" i="5"/>
  <c r="M165" i="5"/>
  <c r="L165" i="5"/>
  <c r="K165" i="5"/>
  <c r="O164" i="5"/>
  <c r="N164" i="5"/>
  <c r="M164" i="5"/>
  <c r="L164" i="5"/>
  <c r="K164" i="5"/>
  <c r="O163" i="5"/>
  <c r="N163" i="5"/>
  <c r="M163" i="5"/>
  <c r="L163" i="5"/>
  <c r="K163" i="5"/>
  <c r="O162" i="5"/>
  <c r="N162" i="5"/>
  <c r="M162" i="5"/>
  <c r="L162" i="5"/>
  <c r="K162" i="5"/>
  <c r="O161" i="5"/>
  <c r="N161" i="5"/>
  <c r="M161" i="5"/>
  <c r="L161" i="5"/>
  <c r="K161" i="5"/>
  <c r="O160" i="5"/>
  <c r="N160" i="5"/>
  <c r="M160" i="5"/>
  <c r="L160" i="5"/>
  <c r="K160" i="5"/>
  <c r="O159" i="5"/>
  <c r="N159" i="5"/>
  <c r="M159" i="5"/>
  <c r="L159" i="5"/>
  <c r="K159" i="5"/>
  <c r="O158" i="5"/>
  <c r="N158" i="5"/>
  <c r="M158" i="5"/>
  <c r="L158" i="5"/>
  <c r="K158" i="5"/>
  <c r="O157" i="5"/>
  <c r="N157" i="5"/>
  <c r="M157" i="5"/>
  <c r="L157" i="5"/>
  <c r="K157" i="5"/>
  <c r="O156" i="5"/>
  <c r="N156" i="5"/>
  <c r="M156" i="5"/>
  <c r="L156" i="5"/>
  <c r="K156" i="5"/>
  <c r="O155" i="5"/>
  <c r="N155" i="5"/>
  <c r="M155" i="5"/>
  <c r="L155" i="5"/>
  <c r="K155" i="5"/>
  <c r="O154" i="5"/>
  <c r="N154" i="5"/>
  <c r="M154" i="5"/>
  <c r="L154" i="5"/>
  <c r="K154" i="5"/>
  <c r="O153" i="5"/>
  <c r="N153" i="5"/>
  <c r="M153" i="5"/>
  <c r="L153" i="5"/>
  <c r="K153" i="5"/>
  <c r="O152" i="5"/>
  <c r="N152" i="5"/>
  <c r="M152" i="5"/>
  <c r="L152" i="5"/>
  <c r="K152" i="5"/>
  <c r="O151" i="5"/>
  <c r="N151" i="5"/>
  <c r="M151" i="5"/>
  <c r="L151" i="5"/>
  <c r="K151" i="5"/>
  <c r="O150" i="5"/>
  <c r="N150" i="5"/>
  <c r="M150" i="5"/>
  <c r="L150" i="5"/>
  <c r="K150" i="5"/>
  <c r="O149" i="5"/>
  <c r="N149" i="5"/>
  <c r="M149" i="5"/>
  <c r="L149" i="5"/>
  <c r="K149" i="5"/>
  <c r="O148" i="5"/>
  <c r="N148" i="5"/>
  <c r="M148" i="5"/>
  <c r="L148" i="5"/>
  <c r="K148" i="5"/>
  <c r="O147" i="5"/>
  <c r="N147" i="5"/>
  <c r="M147" i="5"/>
  <c r="L147" i="5"/>
  <c r="K147" i="5"/>
  <c r="O146" i="5"/>
  <c r="N146" i="5"/>
  <c r="M146" i="5"/>
  <c r="L146" i="5"/>
  <c r="K146" i="5"/>
  <c r="O145" i="5"/>
  <c r="N145" i="5"/>
  <c r="M145" i="5"/>
  <c r="L145" i="5"/>
  <c r="K145" i="5"/>
  <c r="O144" i="5"/>
  <c r="N144" i="5"/>
  <c r="M144" i="5"/>
  <c r="L144" i="5"/>
  <c r="K144" i="5"/>
  <c r="O143" i="5"/>
  <c r="N143" i="5"/>
  <c r="M143" i="5"/>
  <c r="L143" i="5"/>
  <c r="K143" i="5"/>
  <c r="O142" i="5"/>
  <c r="N142" i="5"/>
  <c r="M142" i="5"/>
  <c r="L142" i="5"/>
  <c r="K142" i="5"/>
  <c r="O141" i="5"/>
  <c r="N141" i="5"/>
  <c r="M141" i="5"/>
  <c r="L141" i="5"/>
  <c r="K141" i="5"/>
  <c r="O140" i="5"/>
  <c r="N140" i="5"/>
  <c r="M140" i="5"/>
  <c r="L140" i="5"/>
  <c r="K140" i="5"/>
  <c r="O139" i="5"/>
  <c r="N139" i="5"/>
  <c r="M139" i="5"/>
  <c r="L139" i="5"/>
  <c r="K139" i="5"/>
  <c r="O138" i="5"/>
  <c r="N138" i="5"/>
  <c r="M138" i="5"/>
  <c r="L138" i="5"/>
  <c r="K138" i="5"/>
  <c r="O137" i="5"/>
  <c r="N137" i="5"/>
  <c r="M137" i="5"/>
  <c r="L137" i="5"/>
  <c r="K137" i="5"/>
  <c r="O136" i="5"/>
  <c r="N136" i="5"/>
  <c r="M136" i="5"/>
  <c r="L136" i="5"/>
  <c r="K136" i="5"/>
  <c r="O135" i="5"/>
  <c r="N135" i="5"/>
  <c r="M135" i="5"/>
  <c r="L135" i="5"/>
  <c r="K135" i="5"/>
  <c r="O134" i="5"/>
  <c r="N134" i="5"/>
  <c r="M134" i="5"/>
  <c r="L134" i="5"/>
  <c r="K134" i="5"/>
  <c r="O133" i="5"/>
  <c r="N133" i="5"/>
  <c r="M133" i="5"/>
  <c r="L133" i="5"/>
  <c r="K133" i="5"/>
  <c r="O132" i="5"/>
  <c r="N132" i="5"/>
  <c r="M132" i="5"/>
  <c r="L132" i="5"/>
  <c r="K132" i="5"/>
  <c r="O131" i="5"/>
  <c r="N131" i="5"/>
  <c r="M131" i="5"/>
  <c r="L131" i="5"/>
  <c r="K131" i="5"/>
  <c r="O130" i="5"/>
  <c r="N130" i="5"/>
  <c r="M130" i="5"/>
  <c r="L130" i="5"/>
  <c r="K130" i="5"/>
  <c r="O129" i="5"/>
  <c r="N129" i="5"/>
  <c r="M129" i="5"/>
  <c r="L129" i="5"/>
  <c r="K129" i="5"/>
  <c r="O128" i="5"/>
  <c r="N128" i="5"/>
  <c r="M128" i="5"/>
  <c r="L128" i="5"/>
  <c r="K128" i="5"/>
  <c r="O127" i="5"/>
  <c r="N127" i="5"/>
  <c r="M127" i="5"/>
  <c r="L127" i="5"/>
  <c r="K127" i="5"/>
  <c r="O126" i="5"/>
  <c r="N126" i="5"/>
  <c r="M126" i="5"/>
  <c r="L126" i="5"/>
  <c r="K126" i="5"/>
  <c r="O125" i="5"/>
  <c r="N125" i="5"/>
  <c r="M125" i="5"/>
  <c r="L125" i="5"/>
  <c r="K125" i="5"/>
  <c r="O124" i="5"/>
  <c r="N124" i="5"/>
  <c r="M124" i="5"/>
  <c r="L124" i="5"/>
  <c r="K124" i="5"/>
  <c r="O123" i="5"/>
  <c r="N123" i="5"/>
  <c r="M123" i="5"/>
  <c r="L123" i="5"/>
  <c r="K123" i="5"/>
  <c r="O122" i="5"/>
  <c r="N122" i="5"/>
  <c r="M122" i="5"/>
  <c r="L122" i="5"/>
  <c r="K122" i="5"/>
  <c r="O121" i="5"/>
  <c r="N121" i="5"/>
  <c r="M121" i="5"/>
  <c r="L121" i="5"/>
  <c r="K121" i="5"/>
  <c r="O120" i="5"/>
  <c r="N120" i="5"/>
  <c r="M120" i="5"/>
  <c r="L120" i="5"/>
  <c r="K120" i="5"/>
  <c r="O119" i="5"/>
  <c r="N119" i="5"/>
  <c r="M119" i="5"/>
  <c r="L119" i="5"/>
  <c r="K119" i="5"/>
  <c r="O118" i="5"/>
  <c r="N118" i="5"/>
  <c r="M118" i="5"/>
  <c r="L118" i="5"/>
  <c r="K118" i="5"/>
  <c r="O117" i="5"/>
  <c r="N117" i="5"/>
  <c r="M117" i="5"/>
  <c r="L117" i="5"/>
  <c r="K117" i="5"/>
  <c r="O116" i="5"/>
  <c r="N116" i="5"/>
  <c r="M116" i="5"/>
  <c r="L116" i="5"/>
  <c r="K116" i="5"/>
  <c r="O115" i="5"/>
  <c r="N115" i="5"/>
  <c r="M115" i="5"/>
  <c r="L115" i="5"/>
  <c r="K115" i="5"/>
  <c r="O114" i="5"/>
  <c r="N114" i="5"/>
  <c r="M114" i="5"/>
  <c r="L114" i="5"/>
  <c r="K114" i="5"/>
  <c r="O113" i="5"/>
  <c r="N113" i="5"/>
  <c r="M113" i="5"/>
  <c r="L113" i="5"/>
  <c r="K113" i="5"/>
  <c r="O112" i="5"/>
  <c r="N112" i="5"/>
  <c r="M112" i="5"/>
  <c r="L112" i="5"/>
  <c r="K112" i="5"/>
  <c r="O111" i="5"/>
  <c r="N111" i="5"/>
  <c r="M111" i="5"/>
  <c r="L111" i="5"/>
  <c r="K111" i="5"/>
  <c r="O110" i="5"/>
  <c r="N110" i="5"/>
  <c r="M110" i="5"/>
  <c r="L110" i="5"/>
  <c r="K110" i="5"/>
  <c r="O109" i="5"/>
  <c r="N109" i="5"/>
  <c r="M109" i="5"/>
  <c r="L109" i="5"/>
  <c r="K109" i="5"/>
  <c r="O108" i="5"/>
  <c r="N108" i="5"/>
  <c r="M108" i="5"/>
  <c r="L108" i="5"/>
  <c r="K108" i="5"/>
  <c r="O107" i="5"/>
  <c r="N107" i="5"/>
  <c r="M107" i="5"/>
  <c r="L107" i="5"/>
  <c r="K107" i="5"/>
  <c r="O106" i="5"/>
  <c r="N106" i="5"/>
  <c r="M106" i="5"/>
  <c r="L106" i="5"/>
  <c r="K106" i="5"/>
  <c r="O105" i="5"/>
  <c r="N105" i="5"/>
  <c r="M105" i="5"/>
  <c r="L105" i="5"/>
  <c r="K105" i="5"/>
  <c r="O104" i="5"/>
  <c r="N104" i="5"/>
  <c r="M104" i="5"/>
  <c r="L104" i="5"/>
  <c r="K104" i="5"/>
  <c r="O103" i="5"/>
  <c r="N103" i="5"/>
  <c r="M103" i="5"/>
  <c r="L103" i="5"/>
  <c r="K103" i="5"/>
  <c r="O102" i="5"/>
  <c r="N102" i="5"/>
  <c r="M102" i="5"/>
  <c r="L102" i="5"/>
  <c r="K102" i="5"/>
  <c r="O101" i="5"/>
  <c r="N101" i="5"/>
  <c r="M101" i="5"/>
  <c r="L101" i="5"/>
  <c r="K101" i="5"/>
  <c r="O100" i="5"/>
  <c r="N100" i="5"/>
  <c r="M100" i="5"/>
  <c r="L100" i="5"/>
  <c r="K100" i="5"/>
  <c r="O99" i="5"/>
  <c r="N99" i="5"/>
  <c r="M99" i="5"/>
  <c r="L99" i="5"/>
  <c r="K99" i="5"/>
  <c r="O98" i="5"/>
  <c r="N98" i="5"/>
  <c r="M98" i="5"/>
  <c r="L98" i="5"/>
  <c r="K98" i="5"/>
  <c r="O97" i="5"/>
  <c r="N97" i="5"/>
  <c r="M97" i="5"/>
  <c r="L97" i="5"/>
  <c r="K97" i="5"/>
  <c r="O96" i="5"/>
  <c r="N96" i="5"/>
  <c r="M96" i="5"/>
  <c r="L96" i="5"/>
  <c r="K96" i="5"/>
  <c r="O95" i="5"/>
  <c r="N95" i="5"/>
  <c r="M95" i="5"/>
  <c r="L95" i="5"/>
  <c r="K95" i="5"/>
  <c r="O94" i="5"/>
  <c r="N94" i="5"/>
  <c r="M94" i="5"/>
  <c r="L94" i="5"/>
  <c r="K94" i="5"/>
  <c r="O93" i="5"/>
  <c r="N93" i="5"/>
  <c r="M93" i="5"/>
  <c r="L93" i="5"/>
  <c r="K93" i="5"/>
  <c r="O92" i="5"/>
  <c r="N92" i="5"/>
  <c r="M92" i="5"/>
  <c r="L92" i="5"/>
  <c r="K92" i="5"/>
  <c r="O91" i="5"/>
  <c r="N91" i="5"/>
  <c r="M91" i="5"/>
  <c r="L91" i="5"/>
  <c r="K91" i="5"/>
  <c r="O90" i="5"/>
  <c r="N90" i="5"/>
  <c r="M90" i="5"/>
  <c r="L90" i="5"/>
  <c r="K90" i="5"/>
  <c r="O89" i="5"/>
  <c r="N89" i="5"/>
  <c r="M89" i="5"/>
  <c r="L89" i="5"/>
  <c r="K89" i="5"/>
  <c r="O88" i="5"/>
  <c r="N88" i="5"/>
  <c r="M88" i="5"/>
  <c r="L88" i="5"/>
  <c r="K88" i="5"/>
  <c r="O87" i="5"/>
  <c r="N87" i="5"/>
  <c r="M87" i="5"/>
  <c r="L87" i="5"/>
  <c r="K87" i="5"/>
  <c r="O86" i="5"/>
  <c r="N86" i="5"/>
  <c r="M86" i="5"/>
  <c r="L86" i="5"/>
  <c r="K86" i="5"/>
  <c r="O85" i="5"/>
  <c r="N85" i="5"/>
  <c r="M85" i="5"/>
  <c r="L85" i="5"/>
  <c r="K85" i="5"/>
  <c r="O84" i="5"/>
  <c r="N84" i="5"/>
  <c r="M84" i="5"/>
  <c r="L84" i="5"/>
  <c r="K84" i="5"/>
  <c r="O83" i="5"/>
  <c r="N83" i="5"/>
  <c r="M83" i="5"/>
  <c r="L83" i="5"/>
  <c r="K83" i="5"/>
  <c r="O82" i="5"/>
  <c r="N82" i="5"/>
  <c r="M82" i="5"/>
  <c r="L82" i="5"/>
  <c r="K82" i="5"/>
  <c r="O81" i="5"/>
  <c r="N81" i="5"/>
  <c r="M81" i="5"/>
  <c r="L81" i="5"/>
  <c r="K81" i="5"/>
  <c r="O80" i="5"/>
  <c r="N80" i="5"/>
  <c r="M80" i="5"/>
  <c r="L80" i="5"/>
  <c r="K80" i="5"/>
  <c r="O79" i="5"/>
  <c r="N79" i="5"/>
  <c r="M79" i="5"/>
  <c r="L79" i="5"/>
  <c r="K79" i="5"/>
  <c r="O78" i="5"/>
  <c r="N78" i="5"/>
  <c r="M78" i="5"/>
  <c r="L78" i="5"/>
  <c r="K78" i="5"/>
  <c r="O77" i="5"/>
  <c r="N77" i="5"/>
  <c r="M77" i="5"/>
  <c r="L77" i="5"/>
  <c r="K77" i="5"/>
  <c r="O76" i="5"/>
  <c r="N76" i="5"/>
  <c r="M76" i="5"/>
  <c r="L76" i="5"/>
  <c r="K76" i="5"/>
  <c r="O75" i="5"/>
  <c r="N75" i="5"/>
  <c r="M75" i="5"/>
  <c r="L75" i="5"/>
  <c r="K75" i="5"/>
  <c r="O74" i="5"/>
  <c r="N74" i="5"/>
  <c r="M74" i="5"/>
  <c r="L74" i="5"/>
  <c r="K74" i="5"/>
  <c r="O73" i="5"/>
  <c r="N73" i="5"/>
  <c r="M73" i="5"/>
  <c r="L73" i="5"/>
  <c r="K73" i="5"/>
  <c r="O72" i="5"/>
  <c r="N72" i="5"/>
  <c r="M72" i="5"/>
  <c r="L72" i="5"/>
  <c r="K72" i="5"/>
  <c r="O71" i="5"/>
  <c r="N71" i="5"/>
  <c r="M71" i="5"/>
  <c r="L71" i="5"/>
  <c r="K71" i="5"/>
  <c r="O70" i="5"/>
  <c r="N70" i="5"/>
  <c r="M70" i="5"/>
  <c r="L70" i="5"/>
  <c r="K70" i="5"/>
  <c r="O69" i="5"/>
  <c r="N69" i="5"/>
  <c r="M69" i="5"/>
  <c r="L69" i="5"/>
  <c r="K69" i="5"/>
  <c r="O68" i="5"/>
  <c r="N68" i="5"/>
  <c r="M68" i="5"/>
  <c r="L68" i="5"/>
  <c r="K68" i="5"/>
  <c r="O67" i="5"/>
  <c r="N67" i="5"/>
  <c r="M67" i="5"/>
  <c r="L67" i="5"/>
  <c r="K67" i="5"/>
  <c r="O66" i="5"/>
  <c r="N66" i="5"/>
  <c r="M66" i="5"/>
  <c r="L66" i="5"/>
  <c r="K66" i="5"/>
  <c r="O65" i="5"/>
  <c r="N65" i="5"/>
  <c r="M65" i="5"/>
  <c r="L65" i="5"/>
  <c r="K65" i="5"/>
  <c r="O64" i="5"/>
  <c r="N64" i="5"/>
  <c r="M64" i="5"/>
  <c r="L64" i="5"/>
  <c r="K64" i="5"/>
  <c r="O63" i="5"/>
  <c r="N63" i="5"/>
  <c r="M63" i="5"/>
  <c r="L63" i="5"/>
  <c r="K63" i="5"/>
  <c r="O62" i="5"/>
  <c r="N62" i="5"/>
  <c r="M62" i="5"/>
  <c r="L62" i="5"/>
  <c r="K62" i="5"/>
  <c r="O61" i="5"/>
  <c r="N61" i="5"/>
  <c r="M61" i="5"/>
  <c r="L61" i="5"/>
  <c r="K61" i="5"/>
  <c r="O60" i="5"/>
  <c r="N60" i="5"/>
  <c r="M60" i="5"/>
  <c r="L60" i="5"/>
  <c r="K60" i="5"/>
  <c r="O59" i="5"/>
  <c r="N59" i="5"/>
  <c r="M59" i="5"/>
  <c r="L59" i="5"/>
  <c r="K59" i="5"/>
  <c r="O58" i="5"/>
  <c r="N58" i="5"/>
  <c r="M58" i="5"/>
  <c r="L58" i="5"/>
  <c r="K58" i="5"/>
  <c r="O57" i="5"/>
  <c r="N57" i="5"/>
  <c r="M57" i="5"/>
  <c r="L57" i="5"/>
  <c r="K57" i="5"/>
  <c r="O56" i="5"/>
  <c r="N56" i="5"/>
  <c r="M56" i="5"/>
  <c r="L56" i="5"/>
  <c r="K56" i="5"/>
  <c r="O55" i="5"/>
  <c r="N55" i="5"/>
  <c r="M55" i="5"/>
  <c r="L55" i="5"/>
  <c r="K55" i="5"/>
  <c r="O54" i="5"/>
  <c r="N54" i="5"/>
  <c r="M54" i="5"/>
  <c r="L54" i="5"/>
  <c r="K54" i="5"/>
  <c r="O53" i="5"/>
  <c r="N53" i="5"/>
  <c r="M53" i="5"/>
  <c r="L53" i="5"/>
  <c r="K53" i="5"/>
  <c r="O52" i="5"/>
  <c r="N52" i="5"/>
  <c r="M52" i="5"/>
  <c r="L52" i="5"/>
  <c r="K52" i="5"/>
  <c r="O51" i="5"/>
  <c r="N51" i="5"/>
  <c r="M51" i="5"/>
  <c r="L51" i="5"/>
  <c r="K51" i="5"/>
  <c r="O50" i="5"/>
  <c r="N50" i="5"/>
  <c r="M50" i="5"/>
  <c r="L50" i="5"/>
  <c r="K50" i="5"/>
  <c r="O49" i="5"/>
  <c r="N49" i="5"/>
  <c r="M49" i="5"/>
  <c r="L49" i="5"/>
  <c r="K49" i="5"/>
  <c r="O48" i="5"/>
  <c r="N48" i="5"/>
  <c r="M48" i="5"/>
  <c r="L48" i="5"/>
  <c r="K48" i="5"/>
  <c r="O47" i="5"/>
  <c r="N47" i="5"/>
  <c r="M47" i="5"/>
  <c r="L47" i="5"/>
  <c r="K47" i="5"/>
  <c r="O46" i="5"/>
  <c r="N46" i="5"/>
  <c r="M46" i="5"/>
  <c r="L46" i="5"/>
  <c r="K46" i="5"/>
  <c r="O45" i="5"/>
  <c r="N45" i="5"/>
  <c r="M45" i="5"/>
  <c r="L45" i="5"/>
  <c r="K45" i="5"/>
  <c r="O44" i="5"/>
  <c r="N44" i="5"/>
  <c r="M44" i="5"/>
  <c r="L44" i="5"/>
  <c r="K44" i="5"/>
  <c r="O43" i="5"/>
  <c r="N43" i="5"/>
  <c r="M43" i="5"/>
  <c r="L43" i="5"/>
  <c r="K43" i="5"/>
  <c r="O42" i="5"/>
  <c r="N42" i="5"/>
  <c r="M42" i="5"/>
  <c r="L42" i="5"/>
  <c r="K42" i="5"/>
  <c r="O41" i="5"/>
  <c r="N41" i="5"/>
  <c r="M41" i="5"/>
  <c r="L41" i="5"/>
  <c r="K41" i="5"/>
  <c r="O40" i="5"/>
  <c r="N40" i="5"/>
  <c r="M40" i="5"/>
  <c r="L40" i="5"/>
  <c r="K40" i="5"/>
  <c r="O39" i="5"/>
  <c r="N39" i="5"/>
  <c r="M39" i="5"/>
  <c r="L39" i="5"/>
  <c r="K39" i="5"/>
  <c r="O38" i="5"/>
  <c r="N38" i="5"/>
  <c r="M38" i="5"/>
  <c r="L38" i="5"/>
  <c r="K38" i="5"/>
  <c r="O37" i="5"/>
  <c r="N37" i="5"/>
  <c r="M37" i="5"/>
  <c r="L37" i="5"/>
  <c r="K37" i="5"/>
  <c r="O36" i="5"/>
  <c r="N36" i="5"/>
  <c r="M36" i="5"/>
  <c r="L36" i="5"/>
  <c r="K36" i="5"/>
  <c r="O35" i="5"/>
  <c r="N35" i="5"/>
  <c r="M35" i="5"/>
  <c r="L35" i="5"/>
  <c r="K35" i="5"/>
  <c r="O34" i="5"/>
  <c r="N34" i="5"/>
  <c r="M34" i="5"/>
  <c r="L34" i="5"/>
  <c r="K34" i="5"/>
  <c r="O33" i="5"/>
  <c r="N33" i="5"/>
  <c r="M33" i="5"/>
  <c r="L33" i="5"/>
  <c r="K33" i="5"/>
  <c r="O32" i="5"/>
  <c r="N32" i="5"/>
  <c r="M32" i="5"/>
  <c r="L32" i="5"/>
  <c r="K32" i="5"/>
  <c r="O31" i="5"/>
  <c r="N31" i="5"/>
  <c r="M31" i="5"/>
  <c r="L31" i="5"/>
  <c r="K31" i="5"/>
  <c r="O30" i="5"/>
  <c r="N30" i="5"/>
  <c r="M30" i="5"/>
  <c r="L30" i="5"/>
  <c r="K30" i="5"/>
  <c r="O29" i="5"/>
  <c r="N29" i="5"/>
  <c r="M29" i="5"/>
  <c r="L29" i="5"/>
  <c r="K29" i="5"/>
  <c r="O28" i="5"/>
  <c r="N28" i="5"/>
  <c r="M28" i="5"/>
  <c r="L28" i="5"/>
  <c r="K28" i="5"/>
  <c r="O27" i="5"/>
  <c r="N27" i="5"/>
  <c r="M27" i="5"/>
  <c r="L27" i="5"/>
  <c r="K27" i="5"/>
  <c r="O26" i="5"/>
  <c r="N26" i="5"/>
  <c r="M26" i="5"/>
  <c r="L26" i="5"/>
  <c r="K26" i="5"/>
  <c r="O25" i="5"/>
  <c r="N25" i="5"/>
  <c r="M25" i="5"/>
  <c r="L25" i="5"/>
  <c r="K25" i="5"/>
  <c r="O24" i="5"/>
  <c r="N24" i="5"/>
  <c r="M24" i="5"/>
  <c r="L24" i="5"/>
  <c r="K24" i="5"/>
  <c r="O23" i="5"/>
  <c r="N23" i="5"/>
  <c r="M23" i="5"/>
  <c r="L23" i="5"/>
  <c r="K23" i="5"/>
  <c r="O22" i="5"/>
  <c r="N22" i="5"/>
  <c r="M22" i="5"/>
  <c r="L22" i="5"/>
  <c r="K22" i="5"/>
  <c r="O21" i="5"/>
  <c r="N21" i="5"/>
  <c r="M21" i="5"/>
  <c r="L21" i="5"/>
  <c r="K21" i="5"/>
  <c r="O20" i="5"/>
  <c r="N20" i="5"/>
  <c r="M20" i="5"/>
  <c r="L20" i="5"/>
  <c r="K20" i="5"/>
  <c r="O19" i="5"/>
  <c r="N19" i="5"/>
  <c r="M19" i="5"/>
  <c r="L19" i="5"/>
  <c r="K19" i="5"/>
  <c r="O18" i="5"/>
  <c r="N18" i="5"/>
  <c r="M18" i="5"/>
  <c r="L18" i="5"/>
  <c r="K18" i="5"/>
  <c r="O17" i="5"/>
  <c r="N17" i="5"/>
  <c r="M17" i="5"/>
  <c r="L17" i="5"/>
  <c r="K17" i="5"/>
  <c r="O16" i="5"/>
  <c r="N16" i="5"/>
  <c r="M16" i="5"/>
  <c r="L16" i="5"/>
  <c r="K16" i="5"/>
  <c r="O15" i="5"/>
  <c r="N15" i="5"/>
  <c r="M15" i="5"/>
  <c r="L15" i="5"/>
  <c r="K15" i="5"/>
  <c r="O14" i="5"/>
  <c r="N14" i="5"/>
  <c r="M14" i="5"/>
  <c r="L14" i="5"/>
  <c r="K14" i="5"/>
  <c r="O13" i="5"/>
  <c r="N13" i="5"/>
  <c r="M13" i="5"/>
  <c r="L13" i="5"/>
  <c r="K13" i="5"/>
  <c r="O12" i="5"/>
  <c r="N12" i="5"/>
  <c r="M12" i="5"/>
  <c r="L12" i="5"/>
  <c r="K12" i="5"/>
  <c r="O11" i="5"/>
  <c r="N11" i="5"/>
  <c r="M11" i="5"/>
  <c r="L11" i="5"/>
  <c r="K11" i="5"/>
  <c r="O10" i="5"/>
  <c r="N10" i="5"/>
  <c r="M10" i="5"/>
  <c r="L10" i="5"/>
  <c r="K10" i="5"/>
  <c r="O9" i="5"/>
  <c r="N9" i="5"/>
  <c r="M9" i="5"/>
  <c r="L9" i="5"/>
  <c r="K9" i="5"/>
  <c r="O8" i="5"/>
  <c r="N8" i="5"/>
  <c r="M8" i="5"/>
  <c r="L8" i="5"/>
  <c r="K8" i="5"/>
  <c r="O7" i="5"/>
  <c r="N7" i="5"/>
  <c r="M7" i="5"/>
  <c r="L7" i="5"/>
  <c r="K7" i="5"/>
  <c r="O6" i="5"/>
  <c r="N6" i="5"/>
  <c r="M6" i="5"/>
  <c r="L6" i="5"/>
  <c r="K6" i="5"/>
  <c r="O5" i="5"/>
  <c r="N5" i="5"/>
  <c r="M5" i="5"/>
  <c r="L5" i="5"/>
  <c r="K5" i="5"/>
  <c r="O4" i="5"/>
  <c r="N4" i="5"/>
  <c r="M4" i="5"/>
  <c r="L4" i="5"/>
  <c r="K4" i="5"/>
  <c r="O3" i="5"/>
  <c r="N3" i="5"/>
  <c r="M3" i="5"/>
  <c r="L3" i="5"/>
  <c r="K3" i="5"/>
  <c r="O2" i="5"/>
  <c r="N2" i="5"/>
  <c r="M2" i="5"/>
  <c r="L2" i="5"/>
  <c r="K2" i="5"/>
  <c r="P1190" i="4"/>
  <c r="N1190" i="4"/>
  <c r="M1190" i="4"/>
  <c r="P1189" i="4"/>
  <c r="N1189" i="4"/>
  <c r="M1189" i="4"/>
  <c r="P1188" i="4"/>
  <c r="N1188" i="4"/>
  <c r="M1188" i="4"/>
  <c r="P1187" i="4"/>
  <c r="N1187" i="4"/>
  <c r="M1187" i="4"/>
  <c r="P1186" i="4"/>
  <c r="N1186" i="4"/>
  <c r="M1186" i="4"/>
  <c r="P1185" i="4"/>
  <c r="N1185" i="4"/>
  <c r="M1185" i="4"/>
  <c r="P1184" i="4"/>
  <c r="N1184" i="4"/>
  <c r="M1184" i="4"/>
  <c r="P1183" i="4"/>
  <c r="N1183" i="4"/>
  <c r="M1183" i="4"/>
  <c r="P1182" i="4"/>
  <c r="N1182" i="4"/>
  <c r="M1182" i="4"/>
  <c r="P1181" i="4"/>
  <c r="N1181" i="4"/>
  <c r="M1181" i="4"/>
  <c r="P1180" i="4"/>
  <c r="N1180" i="4"/>
  <c r="M1180" i="4"/>
  <c r="P1179" i="4"/>
  <c r="N1179" i="4"/>
  <c r="M1179" i="4"/>
  <c r="P1178" i="4"/>
  <c r="N1178" i="4"/>
  <c r="M1178" i="4"/>
  <c r="P1177" i="4"/>
  <c r="N1177" i="4"/>
  <c r="M1177" i="4"/>
  <c r="P1176" i="4"/>
  <c r="N1176" i="4"/>
  <c r="M1176" i="4"/>
  <c r="P1175" i="4"/>
  <c r="N1175" i="4"/>
  <c r="M1175" i="4"/>
  <c r="P1174" i="4"/>
  <c r="N1174" i="4"/>
  <c r="M1174" i="4"/>
  <c r="P1173" i="4"/>
  <c r="N1173" i="4"/>
  <c r="M1173" i="4"/>
  <c r="P1172" i="4"/>
  <c r="N1172" i="4"/>
  <c r="M1172" i="4"/>
  <c r="P1171" i="4"/>
  <c r="N1171" i="4"/>
  <c r="M1171" i="4"/>
  <c r="P1170" i="4"/>
  <c r="N1170" i="4"/>
  <c r="M1170" i="4"/>
  <c r="P1169" i="4"/>
  <c r="N1169" i="4"/>
  <c r="M1169" i="4"/>
  <c r="P1168" i="4"/>
  <c r="N1168" i="4"/>
  <c r="M1168" i="4"/>
  <c r="P1167" i="4"/>
  <c r="N1167" i="4"/>
  <c r="M1167" i="4"/>
  <c r="P1166" i="4"/>
  <c r="N1166" i="4"/>
  <c r="M1166" i="4"/>
  <c r="P1165" i="4"/>
  <c r="N1165" i="4"/>
  <c r="M1165" i="4"/>
  <c r="P1164" i="4"/>
  <c r="N1164" i="4"/>
  <c r="M1164" i="4"/>
  <c r="P1163" i="4"/>
  <c r="N1163" i="4"/>
  <c r="M1163" i="4"/>
  <c r="P1162" i="4"/>
  <c r="N1162" i="4"/>
  <c r="M1162" i="4"/>
  <c r="P1161" i="4"/>
  <c r="N1161" i="4"/>
  <c r="M1161" i="4"/>
  <c r="P1160" i="4"/>
  <c r="N1160" i="4"/>
  <c r="M1160" i="4"/>
  <c r="P1159" i="4"/>
  <c r="N1159" i="4"/>
  <c r="M1159" i="4"/>
  <c r="P1158" i="4"/>
  <c r="N1158" i="4"/>
  <c r="M1158" i="4"/>
  <c r="P1157" i="4"/>
  <c r="N1157" i="4"/>
  <c r="M1157" i="4"/>
  <c r="P1156" i="4"/>
  <c r="N1156" i="4"/>
  <c r="M1156" i="4"/>
  <c r="P1155" i="4"/>
  <c r="N1155" i="4"/>
  <c r="M1155" i="4"/>
  <c r="P1154" i="4"/>
  <c r="N1154" i="4"/>
  <c r="M1154" i="4"/>
  <c r="P1153" i="4"/>
  <c r="N1153" i="4"/>
  <c r="M1153" i="4"/>
  <c r="P1152" i="4"/>
  <c r="N1152" i="4"/>
  <c r="M1152" i="4"/>
  <c r="P1151" i="4"/>
  <c r="N1151" i="4"/>
  <c r="M1151" i="4"/>
  <c r="P1150" i="4"/>
  <c r="N1150" i="4"/>
  <c r="M1150" i="4"/>
  <c r="P1149" i="4"/>
  <c r="N1149" i="4"/>
  <c r="M1149" i="4"/>
  <c r="P1148" i="4"/>
  <c r="N1148" i="4"/>
  <c r="M1148" i="4"/>
  <c r="P1147" i="4"/>
  <c r="N1147" i="4"/>
  <c r="M1147" i="4"/>
  <c r="P1146" i="4"/>
  <c r="N1146" i="4"/>
  <c r="M1146" i="4"/>
  <c r="P1145" i="4"/>
  <c r="N1145" i="4"/>
  <c r="M1145" i="4"/>
  <c r="P1144" i="4"/>
  <c r="N1144" i="4"/>
  <c r="M1144" i="4"/>
  <c r="P1143" i="4"/>
  <c r="N1143" i="4"/>
  <c r="M1143" i="4"/>
  <c r="P1142" i="4"/>
  <c r="N1142" i="4"/>
  <c r="M1142" i="4"/>
  <c r="P1141" i="4"/>
  <c r="N1141" i="4"/>
  <c r="M1141" i="4"/>
  <c r="P1140" i="4"/>
  <c r="N1140" i="4"/>
  <c r="M1140" i="4"/>
  <c r="P1139" i="4"/>
  <c r="N1139" i="4"/>
  <c r="M1139" i="4"/>
  <c r="P1138" i="4"/>
  <c r="N1138" i="4"/>
  <c r="M1138" i="4"/>
  <c r="P1137" i="4"/>
  <c r="N1137" i="4"/>
  <c r="M1137" i="4"/>
  <c r="P1136" i="4"/>
  <c r="N1136" i="4"/>
  <c r="M1136" i="4"/>
  <c r="P1135" i="4"/>
  <c r="N1135" i="4"/>
  <c r="M1135" i="4"/>
  <c r="P1134" i="4"/>
  <c r="N1134" i="4"/>
  <c r="M1134" i="4"/>
  <c r="P1133" i="4"/>
  <c r="N1133" i="4"/>
  <c r="M1133" i="4"/>
  <c r="P1132" i="4"/>
  <c r="N1132" i="4"/>
  <c r="M1132" i="4"/>
  <c r="P1131" i="4"/>
  <c r="N1131" i="4"/>
  <c r="M1131" i="4"/>
  <c r="P1130" i="4"/>
  <c r="N1130" i="4"/>
  <c r="M1130" i="4"/>
  <c r="P1129" i="4"/>
  <c r="N1129" i="4"/>
  <c r="M1129" i="4"/>
  <c r="P1128" i="4"/>
  <c r="N1128" i="4"/>
  <c r="M1128" i="4"/>
  <c r="P1127" i="4"/>
  <c r="N1127" i="4"/>
  <c r="M1127" i="4"/>
  <c r="P1126" i="4"/>
  <c r="N1126" i="4"/>
  <c r="M1126" i="4"/>
  <c r="P1125" i="4"/>
  <c r="N1125" i="4"/>
  <c r="M1125" i="4"/>
  <c r="P1124" i="4"/>
  <c r="N1124" i="4"/>
  <c r="M1124" i="4"/>
  <c r="P1123" i="4"/>
  <c r="N1123" i="4"/>
  <c r="M1123" i="4"/>
  <c r="P1122" i="4"/>
  <c r="N1122" i="4"/>
  <c r="M1122" i="4"/>
  <c r="P1121" i="4"/>
  <c r="N1121" i="4"/>
  <c r="M1121" i="4"/>
  <c r="P1120" i="4"/>
  <c r="N1120" i="4"/>
  <c r="M1120" i="4"/>
  <c r="P1119" i="4"/>
  <c r="N1119" i="4"/>
  <c r="M1119" i="4"/>
  <c r="P1118" i="4"/>
  <c r="N1118" i="4"/>
  <c r="M1118" i="4"/>
  <c r="P1117" i="4"/>
  <c r="N1117" i="4"/>
  <c r="M1117" i="4"/>
  <c r="P1116" i="4"/>
  <c r="N1116" i="4"/>
  <c r="M1116" i="4"/>
  <c r="P1115" i="4"/>
  <c r="N1115" i="4"/>
  <c r="M1115" i="4"/>
  <c r="P1114" i="4"/>
  <c r="N1114" i="4"/>
  <c r="M1114" i="4"/>
  <c r="P1113" i="4"/>
  <c r="N1113" i="4"/>
  <c r="M1113" i="4"/>
  <c r="P1112" i="4"/>
  <c r="N1112" i="4"/>
  <c r="M1112" i="4"/>
  <c r="P1111" i="4"/>
  <c r="N1111" i="4"/>
  <c r="M1111" i="4"/>
  <c r="P1110" i="4"/>
  <c r="N1110" i="4"/>
  <c r="M1110" i="4"/>
  <c r="P1109" i="4"/>
  <c r="N1109" i="4"/>
  <c r="M1109" i="4"/>
  <c r="P1108" i="4"/>
  <c r="N1108" i="4"/>
  <c r="M1108" i="4"/>
  <c r="P1107" i="4"/>
  <c r="N1107" i="4"/>
  <c r="M1107" i="4"/>
  <c r="P1106" i="4"/>
  <c r="N1106" i="4"/>
  <c r="M1106" i="4"/>
  <c r="P1105" i="4"/>
  <c r="N1105" i="4"/>
  <c r="M1105" i="4"/>
  <c r="P1104" i="4"/>
  <c r="N1104" i="4"/>
  <c r="M1104" i="4"/>
  <c r="P1103" i="4"/>
  <c r="N1103" i="4"/>
  <c r="M1103" i="4"/>
  <c r="P1102" i="4"/>
  <c r="N1102" i="4"/>
  <c r="M1102" i="4"/>
  <c r="P1101" i="4"/>
  <c r="N1101" i="4"/>
  <c r="M1101" i="4"/>
  <c r="P1100" i="4"/>
  <c r="N1100" i="4"/>
  <c r="M1100" i="4"/>
  <c r="P1099" i="4"/>
  <c r="N1099" i="4"/>
  <c r="M1099" i="4"/>
  <c r="P1098" i="4"/>
  <c r="N1098" i="4"/>
  <c r="M1098" i="4"/>
  <c r="P1097" i="4"/>
  <c r="N1097" i="4"/>
  <c r="M1097" i="4"/>
  <c r="P1096" i="4"/>
  <c r="N1096" i="4"/>
  <c r="M1096" i="4"/>
  <c r="P1095" i="4"/>
  <c r="N1095" i="4"/>
  <c r="M1095" i="4"/>
  <c r="P1094" i="4"/>
  <c r="N1094" i="4"/>
  <c r="M1094" i="4"/>
  <c r="P1093" i="4"/>
  <c r="N1093" i="4"/>
  <c r="M1093" i="4"/>
  <c r="P1092" i="4"/>
  <c r="N1092" i="4"/>
  <c r="M1092" i="4"/>
  <c r="P1091" i="4"/>
  <c r="N1091" i="4"/>
  <c r="M1091" i="4"/>
  <c r="P1090" i="4"/>
  <c r="N1090" i="4"/>
  <c r="M1090" i="4"/>
  <c r="P1089" i="4"/>
  <c r="N1089" i="4"/>
  <c r="M1089" i="4"/>
  <c r="P1088" i="4"/>
  <c r="N1088" i="4"/>
  <c r="M1088" i="4"/>
  <c r="P1087" i="4"/>
  <c r="N1087" i="4"/>
  <c r="M1087" i="4"/>
  <c r="P1086" i="4"/>
  <c r="N1086" i="4"/>
  <c r="M1086" i="4"/>
  <c r="P1085" i="4"/>
  <c r="N1085" i="4"/>
  <c r="M1085" i="4"/>
  <c r="P1084" i="4"/>
  <c r="N1084" i="4"/>
  <c r="M1084" i="4"/>
  <c r="P1083" i="4"/>
  <c r="N1083" i="4"/>
  <c r="M1083" i="4"/>
  <c r="P1082" i="4"/>
  <c r="N1082" i="4"/>
  <c r="M1082" i="4"/>
  <c r="P1081" i="4"/>
  <c r="N1081" i="4"/>
  <c r="M1081" i="4"/>
  <c r="P1080" i="4"/>
  <c r="N1080" i="4"/>
  <c r="M1080" i="4"/>
  <c r="P1079" i="4"/>
  <c r="N1079" i="4"/>
  <c r="M1079" i="4"/>
  <c r="P1078" i="4"/>
  <c r="N1078" i="4"/>
  <c r="M1078" i="4"/>
  <c r="P1077" i="4"/>
  <c r="N1077" i="4"/>
  <c r="M1077" i="4"/>
  <c r="P1076" i="4"/>
  <c r="N1076" i="4"/>
  <c r="M1076" i="4"/>
  <c r="P1075" i="4"/>
  <c r="N1075" i="4"/>
  <c r="M1075" i="4"/>
  <c r="P1074" i="4"/>
  <c r="N1074" i="4"/>
  <c r="M1074" i="4"/>
  <c r="P1073" i="4"/>
  <c r="N1073" i="4"/>
  <c r="M1073" i="4"/>
  <c r="P1072" i="4"/>
  <c r="N1072" i="4"/>
  <c r="M1072" i="4"/>
  <c r="P1071" i="4"/>
  <c r="N1071" i="4"/>
  <c r="M1071" i="4"/>
  <c r="P1070" i="4"/>
  <c r="N1070" i="4"/>
  <c r="M1070" i="4"/>
  <c r="P1069" i="4"/>
  <c r="N1069" i="4"/>
  <c r="M1069" i="4"/>
  <c r="P1068" i="4"/>
  <c r="N1068" i="4"/>
  <c r="M1068" i="4"/>
  <c r="P1067" i="4"/>
  <c r="N1067" i="4"/>
  <c r="M1067" i="4"/>
  <c r="P1066" i="4"/>
  <c r="N1066" i="4"/>
  <c r="M1066" i="4"/>
  <c r="P1065" i="4"/>
  <c r="N1065" i="4"/>
  <c r="M1065" i="4"/>
  <c r="P1064" i="4"/>
  <c r="N1064" i="4"/>
  <c r="M1064" i="4"/>
  <c r="P1063" i="4"/>
  <c r="N1063" i="4"/>
  <c r="M1063" i="4"/>
  <c r="P1062" i="4"/>
  <c r="N1062" i="4"/>
  <c r="M1062" i="4"/>
  <c r="P1061" i="4"/>
  <c r="N1061" i="4"/>
  <c r="M1061" i="4"/>
  <c r="P1060" i="4"/>
  <c r="N1060" i="4"/>
  <c r="M1060" i="4"/>
  <c r="P1059" i="4"/>
  <c r="N1059" i="4"/>
  <c r="M1059" i="4"/>
  <c r="P1058" i="4"/>
  <c r="N1058" i="4"/>
  <c r="M1058" i="4"/>
  <c r="P1057" i="4"/>
  <c r="N1057" i="4"/>
  <c r="M1057" i="4"/>
  <c r="P1056" i="4"/>
  <c r="N1056" i="4"/>
  <c r="M1056" i="4"/>
  <c r="P1055" i="4"/>
  <c r="N1055" i="4"/>
  <c r="M1055" i="4"/>
  <c r="P1054" i="4"/>
  <c r="N1054" i="4"/>
  <c r="M1054" i="4"/>
  <c r="P1053" i="4"/>
  <c r="N1053" i="4"/>
  <c r="M1053" i="4"/>
  <c r="P1052" i="4"/>
  <c r="N1052" i="4"/>
  <c r="M1052" i="4"/>
  <c r="P1051" i="4"/>
  <c r="N1051" i="4"/>
  <c r="M1051" i="4"/>
  <c r="P1050" i="4"/>
  <c r="N1050" i="4"/>
  <c r="M1050" i="4"/>
  <c r="P1049" i="4"/>
  <c r="N1049" i="4"/>
  <c r="M1049" i="4"/>
  <c r="P1048" i="4"/>
  <c r="N1048" i="4"/>
  <c r="M1048" i="4"/>
  <c r="P1047" i="4"/>
  <c r="N1047" i="4"/>
  <c r="M1047" i="4"/>
  <c r="P1046" i="4"/>
  <c r="N1046" i="4"/>
  <c r="M1046" i="4"/>
  <c r="P1045" i="4"/>
  <c r="N1045" i="4"/>
  <c r="M1045" i="4"/>
  <c r="P1044" i="4"/>
  <c r="N1044" i="4"/>
  <c r="M1044" i="4"/>
  <c r="P1043" i="4"/>
  <c r="N1043" i="4"/>
  <c r="M1043" i="4"/>
  <c r="P1042" i="4"/>
  <c r="N1042" i="4"/>
  <c r="M1042" i="4"/>
  <c r="P1041" i="4"/>
  <c r="N1041" i="4"/>
  <c r="M1041" i="4"/>
  <c r="P1040" i="4"/>
  <c r="N1040" i="4"/>
  <c r="M1040" i="4"/>
  <c r="P1039" i="4"/>
  <c r="N1039" i="4"/>
  <c r="M1039" i="4"/>
  <c r="P1038" i="4"/>
  <c r="N1038" i="4"/>
  <c r="M1038" i="4"/>
  <c r="P1037" i="4"/>
  <c r="N1037" i="4"/>
  <c r="M1037" i="4"/>
  <c r="P1036" i="4"/>
  <c r="N1036" i="4"/>
  <c r="M1036" i="4"/>
  <c r="P1035" i="4"/>
  <c r="N1035" i="4"/>
  <c r="M1035" i="4"/>
  <c r="P1034" i="4"/>
  <c r="N1034" i="4"/>
  <c r="M1034" i="4"/>
  <c r="P1033" i="4"/>
  <c r="N1033" i="4"/>
  <c r="M1033" i="4"/>
  <c r="P1032" i="4"/>
  <c r="N1032" i="4"/>
  <c r="M1032" i="4"/>
  <c r="P1031" i="4"/>
  <c r="N1031" i="4"/>
  <c r="M1031" i="4"/>
  <c r="P1030" i="4"/>
  <c r="N1030" i="4"/>
  <c r="M1030" i="4"/>
  <c r="P1029" i="4"/>
  <c r="N1029" i="4"/>
  <c r="M1029" i="4"/>
  <c r="P1028" i="4"/>
  <c r="N1028" i="4"/>
  <c r="M1028" i="4"/>
  <c r="P1027" i="4"/>
  <c r="N1027" i="4"/>
  <c r="M1027" i="4"/>
  <c r="P1026" i="4"/>
  <c r="N1026" i="4"/>
  <c r="M1026" i="4"/>
  <c r="P1025" i="4"/>
  <c r="N1025" i="4"/>
  <c r="M1025" i="4"/>
  <c r="P1024" i="4"/>
  <c r="N1024" i="4"/>
  <c r="M1024" i="4"/>
  <c r="P1023" i="4"/>
  <c r="N1023" i="4"/>
  <c r="M1023" i="4"/>
  <c r="P1022" i="4"/>
  <c r="N1022" i="4"/>
  <c r="M1022" i="4"/>
  <c r="P1021" i="4"/>
  <c r="N1021" i="4"/>
  <c r="M1021" i="4"/>
  <c r="P1020" i="4"/>
  <c r="N1020" i="4"/>
  <c r="M1020" i="4"/>
  <c r="P1019" i="4"/>
  <c r="N1019" i="4"/>
  <c r="M1019" i="4"/>
  <c r="P1018" i="4"/>
  <c r="N1018" i="4"/>
  <c r="M1018" i="4"/>
  <c r="P1017" i="4"/>
  <c r="N1017" i="4"/>
  <c r="M1017" i="4"/>
  <c r="P1016" i="4"/>
  <c r="N1016" i="4"/>
  <c r="M1016" i="4"/>
  <c r="P1015" i="4"/>
  <c r="N1015" i="4"/>
  <c r="M1015" i="4"/>
  <c r="P1014" i="4"/>
  <c r="N1014" i="4"/>
  <c r="M1014" i="4"/>
  <c r="P1013" i="4"/>
  <c r="N1013" i="4"/>
  <c r="M1013" i="4"/>
  <c r="P1012" i="4"/>
  <c r="N1012" i="4"/>
  <c r="M1012" i="4"/>
  <c r="P1011" i="4"/>
  <c r="N1011" i="4"/>
  <c r="M1011" i="4"/>
  <c r="P1010" i="4"/>
  <c r="N1010" i="4"/>
  <c r="M1010" i="4"/>
  <c r="P1009" i="4"/>
  <c r="N1009" i="4"/>
  <c r="M1009" i="4"/>
  <c r="P1008" i="4"/>
  <c r="N1008" i="4"/>
  <c r="M1008" i="4"/>
  <c r="P1007" i="4"/>
  <c r="N1007" i="4"/>
  <c r="M1007" i="4"/>
  <c r="P1006" i="4"/>
  <c r="N1006" i="4"/>
  <c r="M1006" i="4"/>
  <c r="P1005" i="4"/>
  <c r="N1005" i="4"/>
  <c r="M1005" i="4"/>
  <c r="P1004" i="4"/>
  <c r="N1004" i="4"/>
  <c r="M1004" i="4"/>
  <c r="P1003" i="4"/>
  <c r="N1003" i="4"/>
  <c r="M1003" i="4"/>
  <c r="P1002" i="4"/>
  <c r="N1002" i="4"/>
  <c r="M1002" i="4"/>
  <c r="P1001" i="4"/>
  <c r="N1001" i="4"/>
  <c r="M1001" i="4"/>
  <c r="P1000" i="4"/>
  <c r="N1000" i="4"/>
  <c r="M1000" i="4"/>
  <c r="P999" i="4"/>
  <c r="N999" i="4"/>
  <c r="M999" i="4"/>
  <c r="P998" i="4"/>
  <c r="N998" i="4"/>
  <c r="M998" i="4"/>
  <c r="P997" i="4"/>
  <c r="N997" i="4"/>
  <c r="M997" i="4"/>
  <c r="P996" i="4"/>
  <c r="N996" i="4"/>
  <c r="M996" i="4"/>
  <c r="P995" i="4"/>
  <c r="N995" i="4"/>
  <c r="M995" i="4"/>
  <c r="P994" i="4"/>
  <c r="N994" i="4"/>
  <c r="M994" i="4"/>
  <c r="P993" i="4"/>
  <c r="N993" i="4"/>
  <c r="M993" i="4"/>
  <c r="P992" i="4"/>
  <c r="N992" i="4"/>
  <c r="M992" i="4"/>
  <c r="P991" i="4"/>
  <c r="N991" i="4"/>
  <c r="M991" i="4"/>
  <c r="P990" i="4"/>
  <c r="N990" i="4"/>
  <c r="M990" i="4"/>
  <c r="P989" i="4"/>
  <c r="N989" i="4"/>
  <c r="M989" i="4"/>
  <c r="P988" i="4"/>
  <c r="N988" i="4"/>
  <c r="M988" i="4"/>
  <c r="P987" i="4"/>
  <c r="N987" i="4"/>
  <c r="M987" i="4"/>
  <c r="P986" i="4"/>
  <c r="N986" i="4"/>
  <c r="M986" i="4"/>
  <c r="P985" i="4"/>
  <c r="N985" i="4"/>
  <c r="M985" i="4"/>
  <c r="P984" i="4"/>
  <c r="N984" i="4"/>
  <c r="M984" i="4"/>
  <c r="P983" i="4"/>
  <c r="N983" i="4"/>
  <c r="M983" i="4"/>
  <c r="P982" i="4"/>
  <c r="N982" i="4"/>
  <c r="M982" i="4"/>
  <c r="P981" i="4"/>
  <c r="N981" i="4"/>
  <c r="M981" i="4"/>
  <c r="P980" i="4"/>
  <c r="N980" i="4"/>
  <c r="M980" i="4"/>
  <c r="P979" i="4"/>
  <c r="N979" i="4"/>
  <c r="M979" i="4"/>
  <c r="P978" i="4"/>
  <c r="N978" i="4"/>
  <c r="M978" i="4"/>
  <c r="P977" i="4"/>
  <c r="N977" i="4"/>
  <c r="M977" i="4"/>
  <c r="P976" i="4"/>
  <c r="N976" i="4"/>
  <c r="M976" i="4"/>
  <c r="P975" i="4"/>
  <c r="N975" i="4"/>
  <c r="M975" i="4"/>
  <c r="P974" i="4"/>
  <c r="N974" i="4"/>
  <c r="M974" i="4"/>
  <c r="P973" i="4"/>
  <c r="N973" i="4"/>
  <c r="M973" i="4"/>
  <c r="P972" i="4"/>
  <c r="N972" i="4"/>
  <c r="M972" i="4"/>
  <c r="P971" i="4"/>
  <c r="N971" i="4"/>
  <c r="M971" i="4"/>
  <c r="P970" i="4"/>
  <c r="N970" i="4"/>
  <c r="M970" i="4"/>
  <c r="P969" i="4"/>
  <c r="N969" i="4"/>
  <c r="M969" i="4"/>
  <c r="P968" i="4"/>
  <c r="N968" i="4"/>
  <c r="M968" i="4"/>
  <c r="P967" i="4"/>
  <c r="N967" i="4"/>
  <c r="M967" i="4"/>
  <c r="P966" i="4"/>
  <c r="N966" i="4"/>
  <c r="M966" i="4"/>
  <c r="P965" i="4"/>
  <c r="N965" i="4"/>
  <c r="M965" i="4"/>
  <c r="P964" i="4"/>
  <c r="N964" i="4"/>
  <c r="M964" i="4"/>
  <c r="P963" i="4"/>
  <c r="N963" i="4"/>
  <c r="M963" i="4"/>
  <c r="P962" i="4"/>
  <c r="N962" i="4"/>
  <c r="M962" i="4"/>
  <c r="P961" i="4"/>
  <c r="N961" i="4"/>
  <c r="M961" i="4"/>
  <c r="P960" i="4"/>
  <c r="N960" i="4"/>
  <c r="M960" i="4"/>
  <c r="P959" i="4"/>
  <c r="N959" i="4"/>
  <c r="M959" i="4"/>
  <c r="P958" i="4"/>
  <c r="N958" i="4"/>
  <c r="M958" i="4"/>
  <c r="P957" i="4"/>
  <c r="N957" i="4"/>
  <c r="M957" i="4"/>
  <c r="P956" i="4"/>
  <c r="N956" i="4"/>
  <c r="M956" i="4"/>
  <c r="P955" i="4"/>
  <c r="N955" i="4"/>
  <c r="M955" i="4"/>
  <c r="P954" i="4"/>
  <c r="N954" i="4"/>
  <c r="M954" i="4"/>
  <c r="P953" i="4"/>
  <c r="N953" i="4"/>
  <c r="M953" i="4"/>
  <c r="P952" i="4"/>
  <c r="N952" i="4"/>
  <c r="M952" i="4"/>
  <c r="P951" i="4"/>
  <c r="N951" i="4"/>
  <c r="M951" i="4"/>
  <c r="P950" i="4"/>
  <c r="N950" i="4"/>
  <c r="M950" i="4"/>
  <c r="P949" i="4"/>
  <c r="N949" i="4"/>
  <c r="M949" i="4"/>
  <c r="P948" i="4"/>
  <c r="N948" i="4"/>
  <c r="M948" i="4"/>
  <c r="P947" i="4"/>
  <c r="N947" i="4"/>
  <c r="M947" i="4"/>
  <c r="P946" i="4"/>
  <c r="N946" i="4"/>
  <c r="M946" i="4"/>
  <c r="P945" i="4"/>
  <c r="N945" i="4"/>
  <c r="M945" i="4"/>
  <c r="P944" i="4"/>
  <c r="N944" i="4"/>
  <c r="M944" i="4"/>
  <c r="P943" i="4"/>
  <c r="N943" i="4"/>
  <c r="M943" i="4"/>
  <c r="P942" i="4"/>
  <c r="N942" i="4"/>
  <c r="M942" i="4"/>
  <c r="P941" i="4"/>
  <c r="N941" i="4"/>
  <c r="M941" i="4"/>
  <c r="P940" i="4"/>
  <c r="N940" i="4"/>
  <c r="M940" i="4"/>
  <c r="P939" i="4"/>
  <c r="N939" i="4"/>
  <c r="M939" i="4"/>
  <c r="P938" i="4"/>
  <c r="N938" i="4"/>
  <c r="M938" i="4"/>
  <c r="P937" i="4"/>
  <c r="N937" i="4"/>
  <c r="M937" i="4"/>
  <c r="P936" i="4"/>
  <c r="N936" i="4"/>
  <c r="M936" i="4"/>
  <c r="P935" i="4"/>
  <c r="N935" i="4"/>
  <c r="M935" i="4"/>
  <c r="P934" i="4"/>
  <c r="N934" i="4"/>
  <c r="M934" i="4"/>
  <c r="P933" i="4"/>
  <c r="N933" i="4"/>
  <c r="M933" i="4"/>
  <c r="P932" i="4"/>
  <c r="N932" i="4"/>
  <c r="M932" i="4"/>
  <c r="P931" i="4"/>
  <c r="N931" i="4"/>
  <c r="M931" i="4"/>
  <c r="P930" i="4"/>
  <c r="N930" i="4"/>
  <c r="M930" i="4"/>
  <c r="P929" i="4"/>
  <c r="N929" i="4"/>
  <c r="M929" i="4"/>
  <c r="P928" i="4"/>
  <c r="N928" i="4"/>
  <c r="M928" i="4"/>
  <c r="P927" i="4"/>
  <c r="N927" i="4"/>
  <c r="M927" i="4"/>
  <c r="P926" i="4"/>
  <c r="N926" i="4"/>
  <c r="M926" i="4"/>
  <c r="P925" i="4"/>
  <c r="N925" i="4"/>
  <c r="M925" i="4"/>
  <c r="P924" i="4"/>
  <c r="N924" i="4"/>
  <c r="M924" i="4"/>
  <c r="P923" i="4"/>
  <c r="N923" i="4"/>
  <c r="M923" i="4"/>
  <c r="P922" i="4"/>
  <c r="N922" i="4"/>
  <c r="M922" i="4"/>
  <c r="P921" i="4"/>
  <c r="N921" i="4"/>
  <c r="M921" i="4"/>
  <c r="P920" i="4"/>
  <c r="N920" i="4"/>
  <c r="M920" i="4"/>
  <c r="P919" i="4"/>
  <c r="N919" i="4"/>
  <c r="M919" i="4"/>
  <c r="P918" i="4"/>
  <c r="N918" i="4"/>
  <c r="M918" i="4"/>
  <c r="P917" i="4"/>
  <c r="N917" i="4"/>
  <c r="M917" i="4"/>
  <c r="P916" i="4"/>
  <c r="N916" i="4"/>
  <c r="M916" i="4"/>
  <c r="P915" i="4"/>
  <c r="N915" i="4"/>
  <c r="M915" i="4"/>
  <c r="P914" i="4"/>
  <c r="N914" i="4"/>
  <c r="M914" i="4"/>
  <c r="P913" i="4"/>
  <c r="N913" i="4"/>
  <c r="M913" i="4"/>
  <c r="P912" i="4"/>
  <c r="N912" i="4"/>
  <c r="M912" i="4"/>
  <c r="P911" i="4"/>
  <c r="N911" i="4"/>
  <c r="M911" i="4"/>
  <c r="P910" i="4"/>
  <c r="N910" i="4"/>
  <c r="M910" i="4"/>
  <c r="P909" i="4"/>
  <c r="N909" i="4"/>
  <c r="M909" i="4"/>
  <c r="P908" i="4"/>
  <c r="N908" i="4"/>
  <c r="M908" i="4"/>
  <c r="P907" i="4"/>
  <c r="N907" i="4"/>
  <c r="M907" i="4"/>
  <c r="P906" i="4"/>
  <c r="N906" i="4"/>
  <c r="M906" i="4"/>
  <c r="P905" i="4"/>
  <c r="N905" i="4"/>
  <c r="M905" i="4"/>
  <c r="P904" i="4"/>
  <c r="N904" i="4"/>
  <c r="M904" i="4"/>
  <c r="P903" i="4"/>
  <c r="N903" i="4"/>
  <c r="M903" i="4"/>
  <c r="P902" i="4"/>
  <c r="N902" i="4"/>
  <c r="M902" i="4"/>
  <c r="P901" i="4"/>
  <c r="N901" i="4"/>
  <c r="M901" i="4"/>
  <c r="P900" i="4"/>
  <c r="N900" i="4"/>
  <c r="M900" i="4"/>
  <c r="P899" i="4"/>
  <c r="N899" i="4"/>
  <c r="M899" i="4"/>
  <c r="P898" i="4"/>
  <c r="N898" i="4"/>
  <c r="M898" i="4"/>
  <c r="P897" i="4"/>
  <c r="N897" i="4"/>
  <c r="M897" i="4"/>
  <c r="P896" i="4"/>
  <c r="N896" i="4"/>
  <c r="M896" i="4"/>
  <c r="P895" i="4"/>
  <c r="N895" i="4"/>
  <c r="M895" i="4"/>
  <c r="P894" i="4"/>
  <c r="N894" i="4"/>
  <c r="M894" i="4"/>
  <c r="P893" i="4"/>
  <c r="N893" i="4"/>
  <c r="M893" i="4"/>
  <c r="P892" i="4"/>
  <c r="N892" i="4"/>
  <c r="M892" i="4"/>
  <c r="P891" i="4"/>
  <c r="N891" i="4"/>
  <c r="M891" i="4"/>
  <c r="P890" i="4"/>
  <c r="N890" i="4"/>
  <c r="M890" i="4"/>
  <c r="P889" i="4"/>
  <c r="N889" i="4"/>
  <c r="M889" i="4"/>
  <c r="P888" i="4"/>
  <c r="N888" i="4"/>
  <c r="M888" i="4"/>
  <c r="P887" i="4"/>
  <c r="N887" i="4"/>
  <c r="M887" i="4"/>
  <c r="P886" i="4"/>
  <c r="N886" i="4"/>
  <c r="M886" i="4"/>
  <c r="P885" i="4"/>
  <c r="N885" i="4"/>
  <c r="M885" i="4"/>
  <c r="P884" i="4"/>
  <c r="N884" i="4"/>
  <c r="M884" i="4"/>
  <c r="P883" i="4"/>
  <c r="N883" i="4"/>
  <c r="M883" i="4"/>
  <c r="P882" i="4"/>
  <c r="N882" i="4"/>
  <c r="M882" i="4"/>
  <c r="P881" i="4"/>
  <c r="N881" i="4"/>
  <c r="M881" i="4"/>
  <c r="P880" i="4"/>
  <c r="N880" i="4"/>
  <c r="M880" i="4"/>
  <c r="P879" i="4"/>
  <c r="N879" i="4"/>
  <c r="M879" i="4"/>
  <c r="P878" i="4"/>
  <c r="N878" i="4"/>
  <c r="M878" i="4"/>
  <c r="P877" i="4"/>
  <c r="N877" i="4"/>
  <c r="M877" i="4"/>
  <c r="P876" i="4"/>
  <c r="N876" i="4"/>
  <c r="M876" i="4"/>
  <c r="P875" i="4"/>
  <c r="N875" i="4"/>
  <c r="M875" i="4"/>
  <c r="P874" i="4"/>
  <c r="N874" i="4"/>
  <c r="M874" i="4"/>
  <c r="P873" i="4"/>
  <c r="N873" i="4"/>
  <c r="M873" i="4"/>
  <c r="P872" i="4"/>
  <c r="N872" i="4"/>
  <c r="M872" i="4"/>
  <c r="P871" i="4"/>
  <c r="N871" i="4"/>
  <c r="M871" i="4"/>
  <c r="P870" i="4"/>
  <c r="N870" i="4"/>
  <c r="M870" i="4"/>
  <c r="P869" i="4"/>
  <c r="N869" i="4"/>
  <c r="M869" i="4"/>
  <c r="P868" i="4"/>
  <c r="N868" i="4"/>
  <c r="M868" i="4"/>
  <c r="P867" i="4"/>
  <c r="N867" i="4"/>
  <c r="M867" i="4"/>
  <c r="P866" i="4"/>
  <c r="N866" i="4"/>
  <c r="M866" i="4"/>
  <c r="P865" i="4"/>
  <c r="N865" i="4"/>
  <c r="M865" i="4"/>
  <c r="P864" i="4"/>
  <c r="N864" i="4"/>
  <c r="M864" i="4"/>
  <c r="P863" i="4"/>
  <c r="N863" i="4"/>
  <c r="M863" i="4"/>
  <c r="P862" i="4"/>
  <c r="N862" i="4"/>
  <c r="M862" i="4"/>
  <c r="P861" i="4"/>
  <c r="N861" i="4"/>
  <c r="M861" i="4"/>
  <c r="P860" i="4"/>
  <c r="N860" i="4"/>
  <c r="M860" i="4"/>
  <c r="P859" i="4"/>
  <c r="N859" i="4"/>
  <c r="M859" i="4"/>
  <c r="P858" i="4"/>
  <c r="N858" i="4"/>
  <c r="M858" i="4"/>
  <c r="P857" i="4"/>
  <c r="N857" i="4"/>
  <c r="M857" i="4"/>
  <c r="P856" i="4"/>
  <c r="N856" i="4"/>
  <c r="M856" i="4"/>
  <c r="P855" i="4"/>
  <c r="N855" i="4"/>
  <c r="M855" i="4"/>
  <c r="P854" i="4"/>
  <c r="N854" i="4"/>
  <c r="M854" i="4"/>
  <c r="P853" i="4"/>
  <c r="N853" i="4"/>
  <c r="M853" i="4"/>
  <c r="P852" i="4"/>
  <c r="N852" i="4"/>
  <c r="M852" i="4"/>
  <c r="P851" i="4"/>
  <c r="N851" i="4"/>
  <c r="M851" i="4"/>
  <c r="P850" i="4"/>
  <c r="N850" i="4"/>
  <c r="M850" i="4"/>
  <c r="P849" i="4"/>
  <c r="N849" i="4"/>
  <c r="M849" i="4"/>
  <c r="P848" i="4"/>
  <c r="N848" i="4"/>
  <c r="M848" i="4"/>
  <c r="P847" i="4"/>
  <c r="N847" i="4"/>
  <c r="M847" i="4"/>
  <c r="P846" i="4"/>
  <c r="N846" i="4"/>
  <c r="M846" i="4"/>
  <c r="P845" i="4"/>
  <c r="N845" i="4"/>
  <c r="M845" i="4"/>
  <c r="P844" i="4"/>
  <c r="N844" i="4"/>
  <c r="M844" i="4"/>
  <c r="P843" i="4"/>
  <c r="N843" i="4"/>
  <c r="M843" i="4"/>
  <c r="P842" i="4"/>
  <c r="N842" i="4"/>
  <c r="M842" i="4"/>
  <c r="P841" i="4"/>
  <c r="N841" i="4"/>
  <c r="M841" i="4"/>
  <c r="P840" i="4"/>
  <c r="N840" i="4"/>
  <c r="M840" i="4"/>
  <c r="P839" i="4"/>
  <c r="N839" i="4"/>
  <c r="M839" i="4"/>
  <c r="P838" i="4"/>
  <c r="N838" i="4"/>
  <c r="M838" i="4"/>
  <c r="P837" i="4"/>
  <c r="N837" i="4"/>
  <c r="M837" i="4"/>
  <c r="P836" i="4"/>
  <c r="N836" i="4"/>
  <c r="M836" i="4"/>
  <c r="P835" i="4"/>
  <c r="N835" i="4"/>
  <c r="M835" i="4"/>
  <c r="P834" i="4"/>
  <c r="N834" i="4"/>
  <c r="M834" i="4"/>
  <c r="P833" i="4"/>
  <c r="N833" i="4"/>
  <c r="M833" i="4"/>
  <c r="P832" i="4"/>
  <c r="N832" i="4"/>
  <c r="M832" i="4"/>
  <c r="P831" i="4"/>
  <c r="N831" i="4"/>
  <c r="M831" i="4"/>
  <c r="P830" i="4"/>
  <c r="N830" i="4"/>
  <c r="M830" i="4"/>
  <c r="P829" i="4"/>
  <c r="N829" i="4"/>
  <c r="M829" i="4"/>
  <c r="P828" i="4"/>
  <c r="N828" i="4"/>
  <c r="M828" i="4"/>
  <c r="P827" i="4"/>
  <c r="N827" i="4"/>
  <c r="M827" i="4"/>
  <c r="P826" i="4"/>
  <c r="N826" i="4"/>
  <c r="M826" i="4"/>
  <c r="P825" i="4"/>
  <c r="N825" i="4"/>
  <c r="M825" i="4"/>
  <c r="P824" i="4"/>
  <c r="N824" i="4"/>
  <c r="M824" i="4"/>
  <c r="P823" i="4"/>
  <c r="N823" i="4"/>
  <c r="M823" i="4"/>
  <c r="P822" i="4"/>
  <c r="N822" i="4"/>
  <c r="M822" i="4"/>
  <c r="P821" i="4"/>
  <c r="N821" i="4"/>
  <c r="M821" i="4"/>
  <c r="P820" i="4"/>
  <c r="N820" i="4"/>
  <c r="M820" i="4"/>
  <c r="P819" i="4"/>
  <c r="N819" i="4"/>
  <c r="M819" i="4"/>
  <c r="P818" i="4"/>
  <c r="N818" i="4"/>
  <c r="M818" i="4"/>
  <c r="P817" i="4"/>
  <c r="N817" i="4"/>
  <c r="M817" i="4"/>
  <c r="P816" i="4"/>
  <c r="N816" i="4"/>
  <c r="M816" i="4"/>
  <c r="P815" i="4"/>
  <c r="N815" i="4"/>
  <c r="M815" i="4"/>
  <c r="P814" i="4"/>
  <c r="N814" i="4"/>
  <c r="M814" i="4"/>
  <c r="P813" i="4"/>
  <c r="N813" i="4"/>
  <c r="M813" i="4"/>
  <c r="P812" i="4"/>
  <c r="N812" i="4"/>
  <c r="M812" i="4"/>
  <c r="P811" i="4"/>
  <c r="N811" i="4"/>
  <c r="M811" i="4"/>
  <c r="P810" i="4"/>
  <c r="N810" i="4"/>
  <c r="M810" i="4"/>
  <c r="P809" i="4"/>
  <c r="N809" i="4"/>
  <c r="M809" i="4"/>
  <c r="P808" i="4"/>
  <c r="N808" i="4"/>
  <c r="M808" i="4"/>
  <c r="P807" i="4"/>
  <c r="N807" i="4"/>
  <c r="M807" i="4"/>
  <c r="P806" i="4"/>
  <c r="N806" i="4"/>
  <c r="M806" i="4"/>
  <c r="P805" i="4"/>
  <c r="N805" i="4"/>
  <c r="M805" i="4"/>
  <c r="P804" i="4"/>
  <c r="N804" i="4"/>
  <c r="M804" i="4"/>
  <c r="P803" i="4"/>
  <c r="N803" i="4"/>
  <c r="M803" i="4"/>
  <c r="P802" i="4"/>
  <c r="N802" i="4"/>
  <c r="M802" i="4"/>
  <c r="P801" i="4"/>
  <c r="N801" i="4"/>
  <c r="M801" i="4"/>
  <c r="P800" i="4"/>
  <c r="N800" i="4"/>
  <c r="M800" i="4"/>
  <c r="P799" i="4"/>
  <c r="N799" i="4"/>
  <c r="M799" i="4"/>
  <c r="P798" i="4"/>
  <c r="N798" i="4"/>
  <c r="M798" i="4"/>
  <c r="P797" i="4"/>
  <c r="N797" i="4"/>
  <c r="M797" i="4"/>
  <c r="P796" i="4"/>
  <c r="N796" i="4"/>
  <c r="M796" i="4"/>
  <c r="P795" i="4"/>
  <c r="N795" i="4"/>
  <c r="M795" i="4"/>
  <c r="P794" i="4"/>
  <c r="N794" i="4"/>
  <c r="M794" i="4"/>
  <c r="P793" i="4"/>
  <c r="N793" i="4"/>
  <c r="M793" i="4"/>
  <c r="P792" i="4"/>
  <c r="N792" i="4"/>
  <c r="M792" i="4"/>
  <c r="P791" i="4"/>
  <c r="N791" i="4"/>
  <c r="M791" i="4"/>
  <c r="P790" i="4"/>
  <c r="N790" i="4"/>
  <c r="M790" i="4"/>
  <c r="P789" i="4"/>
  <c r="N789" i="4"/>
  <c r="M789" i="4"/>
  <c r="P788" i="4"/>
  <c r="N788" i="4"/>
  <c r="M788" i="4"/>
  <c r="P787" i="4"/>
  <c r="N787" i="4"/>
  <c r="M787" i="4"/>
  <c r="P786" i="4"/>
  <c r="N786" i="4"/>
  <c r="M786" i="4"/>
  <c r="P785" i="4"/>
  <c r="N785" i="4"/>
  <c r="M785" i="4"/>
  <c r="P784" i="4"/>
  <c r="N784" i="4"/>
  <c r="M784" i="4"/>
  <c r="P783" i="4"/>
  <c r="N783" i="4"/>
  <c r="M783" i="4"/>
  <c r="P782" i="4"/>
  <c r="N782" i="4"/>
  <c r="M782" i="4"/>
  <c r="P781" i="4"/>
  <c r="N781" i="4"/>
  <c r="M781" i="4"/>
  <c r="P780" i="4"/>
  <c r="N780" i="4"/>
  <c r="M780" i="4"/>
  <c r="P779" i="4"/>
  <c r="N779" i="4"/>
  <c r="M779" i="4"/>
  <c r="P778" i="4"/>
  <c r="N778" i="4"/>
  <c r="M778" i="4"/>
  <c r="P777" i="4"/>
  <c r="N777" i="4"/>
  <c r="M777" i="4"/>
  <c r="P776" i="4"/>
  <c r="N776" i="4"/>
  <c r="M776" i="4"/>
  <c r="P775" i="4"/>
  <c r="N775" i="4"/>
  <c r="M775" i="4"/>
  <c r="P774" i="4"/>
  <c r="N774" i="4"/>
  <c r="M774" i="4"/>
  <c r="P773" i="4"/>
  <c r="N773" i="4"/>
  <c r="M773" i="4"/>
  <c r="P772" i="4"/>
  <c r="N772" i="4"/>
  <c r="M772" i="4"/>
  <c r="P771" i="4"/>
  <c r="N771" i="4"/>
  <c r="M771" i="4"/>
  <c r="P770" i="4"/>
  <c r="N770" i="4"/>
  <c r="M770" i="4"/>
  <c r="P769" i="4"/>
  <c r="N769" i="4"/>
  <c r="M769" i="4"/>
  <c r="P768" i="4"/>
  <c r="N768" i="4"/>
  <c r="M768" i="4"/>
  <c r="P767" i="4"/>
  <c r="N767" i="4"/>
  <c r="M767" i="4"/>
  <c r="P766" i="4"/>
  <c r="N766" i="4"/>
  <c r="M766" i="4"/>
  <c r="P765" i="4"/>
  <c r="N765" i="4"/>
  <c r="M765" i="4"/>
  <c r="P764" i="4"/>
  <c r="N764" i="4"/>
  <c r="M764" i="4"/>
  <c r="P763" i="4"/>
  <c r="N763" i="4"/>
  <c r="M763" i="4"/>
  <c r="P762" i="4"/>
  <c r="N762" i="4"/>
  <c r="M762" i="4"/>
  <c r="P761" i="4"/>
  <c r="N761" i="4"/>
  <c r="M761" i="4"/>
  <c r="P760" i="4"/>
  <c r="N760" i="4"/>
  <c r="M760" i="4"/>
  <c r="P759" i="4"/>
  <c r="N759" i="4"/>
  <c r="M759" i="4"/>
  <c r="P758" i="4"/>
  <c r="N758" i="4"/>
  <c r="M758" i="4"/>
  <c r="P757" i="4"/>
  <c r="N757" i="4"/>
  <c r="M757" i="4"/>
  <c r="P756" i="4"/>
  <c r="N756" i="4"/>
  <c r="M756" i="4"/>
  <c r="P755" i="4"/>
  <c r="N755" i="4"/>
  <c r="M755" i="4"/>
  <c r="P754" i="4"/>
  <c r="N754" i="4"/>
  <c r="M754" i="4"/>
  <c r="P753" i="4"/>
  <c r="N753" i="4"/>
  <c r="M753" i="4"/>
  <c r="P752" i="4"/>
  <c r="N752" i="4"/>
  <c r="M752" i="4"/>
  <c r="P751" i="4"/>
  <c r="N751" i="4"/>
  <c r="M751" i="4"/>
  <c r="P750" i="4"/>
  <c r="N750" i="4"/>
  <c r="M750" i="4"/>
  <c r="P749" i="4"/>
  <c r="N749" i="4"/>
  <c r="M749" i="4"/>
  <c r="P748" i="4"/>
  <c r="N748" i="4"/>
  <c r="M748" i="4"/>
  <c r="P747" i="4"/>
  <c r="N747" i="4"/>
  <c r="M747" i="4"/>
  <c r="P746" i="4"/>
  <c r="N746" i="4"/>
  <c r="M746" i="4"/>
  <c r="P745" i="4"/>
  <c r="N745" i="4"/>
  <c r="M745" i="4"/>
  <c r="P744" i="4"/>
  <c r="N744" i="4"/>
  <c r="M744" i="4"/>
  <c r="P743" i="4"/>
  <c r="N743" i="4"/>
  <c r="M743" i="4"/>
  <c r="P742" i="4"/>
  <c r="N742" i="4"/>
  <c r="M742" i="4"/>
  <c r="P741" i="4"/>
  <c r="N741" i="4"/>
  <c r="M741" i="4"/>
  <c r="P740" i="4"/>
  <c r="N740" i="4"/>
  <c r="M740" i="4"/>
  <c r="P739" i="4"/>
  <c r="N739" i="4"/>
  <c r="M739" i="4"/>
  <c r="P738" i="4"/>
  <c r="N738" i="4"/>
  <c r="M738" i="4"/>
  <c r="P737" i="4"/>
  <c r="N737" i="4"/>
  <c r="M737" i="4"/>
  <c r="P736" i="4"/>
  <c r="N736" i="4"/>
  <c r="M736" i="4"/>
  <c r="P735" i="4"/>
  <c r="N735" i="4"/>
  <c r="M735" i="4"/>
  <c r="P734" i="4"/>
  <c r="N734" i="4"/>
  <c r="M734" i="4"/>
  <c r="P733" i="4"/>
  <c r="N733" i="4"/>
  <c r="M733" i="4"/>
  <c r="P732" i="4"/>
  <c r="N732" i="4"/>
  <c r="M732" i="4"/>
  <c r="P731" i="4"/>
  <c r="N731" i="4"/>
  <c r="M731" i="4"/>
  <c r="P730" i="4"/>
  <c r="N730" i="4"/>
  <c r="M730" i="4"/>
  <c r="P729" i="4"/>
  <c r="N729" i="4"/>
  <c r="M729" i="4"/>
  <c r="P728" i="4"/>
  <c r="N728" i="4"/>
  <c r="M728" i="4"/>
  <c r="P727" i="4"/>
  <c r="N727" i="4"/>
  <c r="M727" i="4"/>
  <c r="P726" i="4"/>
  <c r="N726" i="4"/>
  <c r="M726" i="4"/>
  <c r="P725" i="4"/>
  <c r="N725" i="4"/>
  <c r="M725" i="4"/>
  <c r="P724" i="4"/>
  <c r="N724" i="4"/>
  <c r="M724" i="4"/>
  <c r="P723" i="4"/>
  <c r="N723" i="4"/>
  <c r="M723" i="4"/>
  <c r="P722" i="4"/>
  <c r="N722" i="4"/>
  <c r="M722" i="4"/>
  <c r="P721" i="4"/>
  <c r="N721" i="4"/>
  <c r="M721" i="4"/>
  <c r="P720" i="4"/>
  <c r="N720" i="4"/>
  <c r="M720" i="4"/>
  <c r="P719" i="4"/>
  <c r="N719" i="4"/>
  <c r="M719" i="4"/>
  <c r="P718" i="4"/>
  <c r="N718" i="4"/>
  <c r="M718" i="4"/>
  <c r="P717" i="4"/>
  <c r="N717" i="4"/>
  <c r="M717" i="4"/>
  <c r="P716" i="4"/>
  <c r="N716" i="4"/>
  <c r="M716" i="4"/>
  <c r="P715" i="4"/>
  <c r="N715" i="4"/>
  <c r="M715" i="4"/>
  <c r="P714" i="4"/>
  <c r="N714" i="4"/>
  <c r="M714" i="4"/>
  <c r="P713" i="4"/>
  <c r="N713" i="4"/>
  <c r="M713" i="4"/>
  <c r="P712" i="4"/>
  <c r="N712" i="4"/>
  <c r="M712" i="4"/>
  <c r="P711" i="4"/>
  <c r="N711" i="4"/>
  <c r="M711" i="4"/>
  <c r="P710" i="4"/>
  <c r="N710" i="4"/>
  <c r="M710" i="4"/>
  <c r="P709" i="4"/>
  <c r="N709" i="4"/>
  <c r="M709" i="4"/>
  <c r="P708" i="4"/>
  <c r="N708" i="4"/>
  <c r="M708" i="4"/>
  <c r="P707" i="4"/>
  <c r="N707" i="4"/>
  <c r="M707" i="4"/>
  <c r="P706" i="4"/>
  <c r="N706" i="4"/>
  <c r="M706" i="4"/>
  <c r="P705" i="4"/>
  <c r="N705" i="4"/>
  <c r="M705" i="4"/>
  <c r="P704" i="4"/>
  <c r="N704" i="4"/>
  <c r="M704" i="4"/>
  <c r="P703" i="4"/>
  <c r="N703" i="4"/>
  <c r="M703" i="4"/>
  <c r="P702" i="4"/>
  <c r="N702" i="4"/>
  <c r="M702" i="4"/>
  <c r="P701" i="4"/>
  <c r="N701" i="4"/>
  <c r="M701" i="4"/>
  <c r="P700" i="4"/>
  <c r="N700" i="4"/>
  <c r="M700" i="4"/>
  <c r="P699" i="4"/>
  <c r="N699" i="4"/>
  <c r="M699" i="4"/>
  <c r="P698" i="4"/>
  <c r="N698" i="4"/>
  <c r="M698" i="4"/>
  <c r="P697" i="4"/>
  <c r="N697" i="4"/>
  <c r="M697" i="4"/>
  <c r="P696" i="4"/>
  <c r="N696" i="4"/>
  <c r="M696" i="4"/>
  <c r="P695" i="4"/>
  <c r="N695" i="4"/>
  <c r="M695" i="4"/>
  <c r="P694" i="4"/>
  <c r="N694" i="4"/>
  <c r="M694" i="4"/>
  <c r="P693" i="4"/>
  <c r="N693" i="4"/>
  <c r="M693" i="4"/>
  <c r="P692" i="4"/>
  <c r="N692" i="4"/>
  <c r="M692" i="4"/>
  <c r="P691" i="4"/>
  <c r="N691" i="4"/>
  <c r="M691" i="4"/>
  <c r="P690" i="4"/>
  <c r="N690" i="4"/>
  <c r="M690" i="4"/>
  <c r="P689" i="4"/>
  <c r="N689" i="4"/>
  <c r="M689" i="4"/>
  <c r="P688" i="4"/>
  <c r="N688" i="4"/>
  <c r="M688" i="4"/>
  <c r="P687" i="4"/>
  <c r="N687" i="4"/>
  <c r="M687" i="4"/>
  <c r="P686" i="4"/>
  <c r="N686" i="4"/>
  <c r="M686" i="4"/>
  <c r="P685" i="4"/>
  <c r="N685" i="4"/>
  <c r="M685" i="4"/>
  <c r="P684" i="4"/>
  <c r="N684" i="4"/>
  <c r="M684" i="4"/>
  <c r="P683" i="4"/>
  <c r="N683" i="4"/>
  <c r="M683" i="4"/>
  <c r="P682" i="4"/>
  <c r="N682" i="4"/>
  <c r="M682" i="4"/>
  <c r="P681" i="4"/>
  <c r="N681" i="4"/>
  <c r="M681" i="4"/>
  <c r="P680" i="4"/>
  <c r="N680" i="4"/>
  <c r="M680" i="4"/>
  <c r="P679" i="4"/>
  <c r="N679" i="4"/>
  <c r="M679" i="4"/>
  <c r="P678" i="4"/>
  <c r="N678" i="4"/>
  <c r="M678" i="4"/>
  <c r="P677" i="4"/>
  <c r="N677" i="4"/>
  <c r="M677" i="4"/>
  <c r="P676" i="4"/>
  <c r="N676" i="4"/>
  <c r="M676" i="4"/>
  <c r="P675" i="4"/>
  <c r="N675" i="4"/>
  <c r="M675" i="4"/>
  <c r="P674" i="4"/>
  <c r="N674" i="4"/>
  <c r="M674" i="4"/>
  <c r="P673" i="4"/>
  <c r="N673" i="4"/>
  <c r="M673" i="4"/>
  <c r="P672" i="4"/>
  <c r="N672" i="4"/>
  <c r="M672" i="4"/>
  <c r="P671" i="4"/>
  <c r="N671" i="4"/>
  <c r="M671" i="4"/>
  <c r="P670" i="4"/>
  <c r="N670" i="4"/>
  <c r="M670" i="4"/>
  <c r="P669" i="4"/>
  <c r="N669" i="4"/>
  <c r="M669" i="4"/>
  <c r="P668" i="4"/>
  <c r="N668" i="4"/>
  <c r="M668" i="4"/>
  <c r="P667" i="4"/>
  <c r="N667" i="4"/>
  <c r="M667" i="4"/>
  <c r="P666" i="4"/>
  <c r="N666" i="4"/>
  <c r="M666" i="4"/>
  <c r="P665" i="4"/>
  <c r="N665" i="4"/>
  <c r="M665" i="4"/>
  <c r="P664" i="4"/>
  <c r="N664" i="4"/>
  <c r="M664" i="4"/>
  <c r="P663" i="4"/>
  <c r="N663" i="4"/>
  <c r="M663" i="4"/>
  <c r="P662" i="4"/>
  <c r="N662" i="4"/>
  <c r="M662" i="4"/>
  <c r="P661" i="4"/>
  <c r="N661" i="4"/>
  <c r="M661" i="4"/>
  <c r="P660" i="4"/>
  <c r="N660" i="4"/>
  <c r="M660" i="4"/>
  <c r="P659" i="4"/>
  <c r="N659" i="4"/>
  <c r="M659" i="4"/>
  <c r="P658" i="4"/>
  <c r="N658" i="4"/>
  <c r="M658" i="4"/>
  <c r="P657" i="4"/>
  <c r="N657" i="4"/>
  <c r="M657" i="4"/>
  <c r="P656" i="4"/>
  <c r="N656" i="4"/>
  <c r="M656" i="4"/>
  <c r="P655" i="4"/>
  <c r="N655" i="4"/>
  <c r="M655" i="4"/>
  <c r="P654" i="4"/>
  <c r="N654" i="4"/>
  <c r="M654" i="4"/>
  <c r="P653" i="4"/>
  <c r="N653" i="4"/>
  <c r="M653" i="4"/>
  <c r="P652" i="4"/>
  <c r="N652" i="4"/>
  <c r="M652" i="4"/>
  <c r="P651" i="4"/>
  <c r="N651" i="4"/>
  <c r="M651" i="4"/>
  <c r="P650" i="4"/>
  <c r="N650" i="4"/>
  <c r="M650" i="4"/>
  <c r="P649" i="4"/>
  <c r="N649" i="4"/>
  <c r="M649" i="4"/>
  <c r="P648" i="4"/>
  <c r="N648" i="4"/>
  <c r="M648" i="4"/>
  <c r="P647" i="4"/>
  <c r="N647" i="4"/>
  <c r="M647" i="4"/>
  <c r="P646" i="4"/>
  <c r="N646" i="4"/>
  <c r="M646" i="4"/>
  <c r="P645" i="4"/>
  <c r="N645" i="4"/>
  <c r="M645" i="4"/>
  <c r="P644" i="4"/>
  <c r="N644" i="4"/>
  <c r="M644" i="4"/>
  <c r="P643" i="4"/>
  <c r="N643" i="4"/>
  <c r="M643" i="4"/>
  <c r="P642" i="4"/>
  <c r="N642" i="4"/>
  <c r="M642" i="4"/>
  <c r="P641" i="4"/>
  <c r="N641" i="4"/>
  <c r="M641" i="4"/>
  <c r="P640" i="4"/>
  <c r="N640" i="4"/>
  <c r="M640" i="4"/>
  <c r="P639" i="4"/>
  <c r="N639" i="4"/>
  <c r="M639" i="4"/>
  <c r="P638" i="4"/>
  <c r="N638" i="4"/>
  <c r="M638" i="4"/>
  <c r="P637" i="4"/>
  <c r="N637" i="4"/>
  <c r="M637" i="4"/>
  <c r="P636" i="4"/>
  <c r="N636" i="4"/>
  <c r="M636" i="4"/>
  <c r="P635" i="4"/>
  <c r="N635" i="4"/>
  <c r="M635" i="4"/>
  <c r="P634" i="4"/>
  <c r="N634" i="4"/>
  <c r="M634" i="4"/>
  <c r="P633" i="4"/>
  <c r="N633" i="4"/>
  <c r="M633" i="4"/>
  <c r="P632" i="4"/>
  <c r="N632" i="4"/>
  <c r="M632" i="4"/>
  <c r="P631" i="4"/>
  <c r="N631" i="4"/>
  <c r="M631" i="4"/>
  <c r="P630" i="4"/>
  <c r="N630" i="4"/>
  <c r="M630" i="4"/>
  <c r="P629" i="4"/>
  <c r="N629" i="4"/>
  <c r="M629" i="4"/>
  <c r="P628" i="4"/>
  <c r="N628" i="4"/>
  <c r="M628" i="4"/>
  <c r="P627" i="4"/>
  <c r="N627" i="4"/>
  <c r="M627" i="4"/>
  <c r="P626" i="4"/>
  <c r="N626" i="4"/>
  <c r="M626" i="4"/>
  <c r="P625" i="4"/>
  <c r="N625" i="4"/>
  <c r="M625" i="4"/>
  <c r="P624" i="4"/>
  <c r="N624" i="4"/>
  <c r="M624" i="4"/>
  <c r="P623" i="4"/>
  <c r="N623" i="4"/>
  <c r="M623" i="4"/>
  <c r="P622" i="4"/>
  <c r="N622" i="4"/>
  <c r="M622" i="4"/>
  <c r="P621" i="4"/>
  <c r="N621" i="4"/>
  <c r="M621" i="4"/>
  <c r="P620" i="4"/>
  <c r="N620" i="4"/>
  <c r="M620" i="4"/>
  <c r="P619" i="4"/>
  <c r="N619" i="4"/>
  <c r="M619" i="4"/>
  <c r="P618" i="4"/>
  <c r="N618" i="4"/>
  <c r="M618" i="4"/>
  <c r="P617" i="4"/>
  <c r="N617" i="4"/>
  <c r="M617" i="4"/>
  <c r="P616" i="4"/>
  <c r="N616" i="4"/>
  <c r="M616" i="4"/>
  <c r="P615" i="4"/>
  <c r="N615" i="4"/>
  <c r="M615" i="4"/>
  <c r="P614" i="4"/>
  <c r="N614" i="4"/>
  <c r="M614" i="4"/>
  <c r="P613" i="4"/>
  <c r="N613" i="4"/>
  <c r="M613" i="4"/>
  <c r="P612" i="4"/>
  <c r="N612" i="4"/>
  <c r="M612" i="4"/>
  <c r="P611" i="4"/>
  <c r="N611" i="4"/>
  <c r="M611" i="4"/>
  <c r="P610" i="4"/>
  <c r="N610" i="4"/>
  <c r="M610" i="4"/>
  <c r="P609" i="4"/>
  <c r="N609" i="4"/>
  <c r="M609" i="4"/>
  <c r="P608" i="4"/>
  <c r="N608" i="4"/>
  <c r="M608" i="4"/>
  <c r="P607" i="4"/>
  <c r="N607" i="4"/>
  <c r="M607" i="4"/>
  <c r="P606" i="4"/>
  <c r="N606" i="4"/>
  <c r="M606" i="4"/>
  <c r="P605" i="4"/>
  <c r="N605" i="4"/>
  <c r="M605" i="4"/>
  <c r="P604" i="4"/>
  <c r="N604" i="4"/>
  <c r="M604" i="4"/>
  <c r="P603" i="4"/>
  <c r="N603" i="4"/>
  <c r="M603" i="4"/>
  <c r="P602" i="4"/>
  <c r="N602" i="4"/>
  <c r="M602" i="4"/>
  <c r="P601" i="4"/>
  <c r="N601" i="4"/>
  <c r="M601" i="4"/>
  <c r="P600" i="4"/>
  <c r="N600" i="4"/>
  <c r="M600" i="4"/>
  <c r="P599" i="4"/>
  <c r="N599" i="4"/>
  <c r="M599" i="4"/>
  <c r="P598" i="4"/>
  <c r="N598" i="4"/>
  <c r="M598" i="4"/>
  <c r="P597" i="4"/>
  <c r="N597" i="4"/>
  <c r="M597" i="4"/>
  <c r="P596" i="4"/>
  <c r="N596" i="4"/>
  <c r="M596" i="4"/>
  <c r="P595" i="4"/>
  <c r="N595" i="4"/>
  <c r="M595" i="4"/>
  <c r="P594" i="4"/>
  <c r="N594" i="4"/>
  <c r="M594" i="4"/>
  <c r="P593" i="4"/>
  <c r="N593" i="4"/>
  <c r="M593" i="4"/>
  <c r="P592" i="4"/>
  <c r="N592" i="4"/>
  <c r="M592" i="4"/>
  <c r="P591" i="4"/>
  <c r="N591" i="4"/>
  <c r="M591" i="4"/>
  <c r="P590" i="4"/>
  <c r="N590" i="4"/>
  <c r="M590" i="4"/>
  <c r="P589" i="4"/>
  <c r="N589" i="4"/>
  <c r="M589" i="4"/>
  <c r="P588" i="4"/>
  <c r="N588" i="4"/>
  <c r="M588" i="4"/>
  <c r="P587" i="4"/>
  <c r="N587" i="4"/>
  <c r="M587" i="4"/>
  <c r="P586" i="4"/>
  <c r="N586" i="4"/>
  <c r="M586" i="4"/>
  <c r="P585" i="4"/>
  <c r="N585" i="4"/>
  <c r="M585" i="4"/>
  <c r="P584" i="4"/>
  <c r="N584" i="4"/>
  <c r="M584" i="4"/>
  <c r="P583" i="4"/>
  <c r="N583" i="4"/>
  <c r="M583" i="4"/>
  <c r="P582" i="4"/>
  <c r="N582" i="4"/>
  <c r="M582" i="4"/>
  <c r="P581" i="4"/>
  <c r="N581" i="4"/>
  <c r="M581" i="4"/>
  <c r="P580" i="4"/>
  <c r="N580" i="4"/>
  <c r="M580" i="4"/>
  <c r="P579" i="4"/>
  <c r="N579" i="4"/>
  <c r="M579" i="4"/>
  <c r="P578" i="4"/>
  <c r="N578" i="4"/>
  <c r="M578" i="4"/>
  <c r="P577" i="4"/>
  <c r="N577" i="4"/>
  <c r="M577" i="4"/>
  <c r="P576" i="4"/>
  <c r="N576" i="4"/>
  <c r="M576" i="4"/>
  <c r="P575" i="4"/>
  <c r="N575" i="4"/>
  <c r="M575" i="4"/>
  <c r="P574" i="4"/>
  <c r="N574" i="4"/>
  <c r="M574" i="4"/>
  <c r="P573" i="4"/>
  <c r="N573" i="4"/>
  <c r="M573" i="4"/>
  <c r="P572" i="4"/>
  <c r="N572" i="4"/>
  <c r="M572" i="4"/>
  <c r="P571" i="4"/>
  <c r="N571" i="4"/>
  <c r="M571" i="4"/>
  <c r="P570" i="4"/>
  <c r="N570" i="4"/>
  <c r="M570" i="4"/>
  <c r="P569" i="4"/>
  <c r="N569" i="4"/>
  <c r="M569" i="4"/>
  <c r="P568" i="4"/>
  <c r="N568" i="4"/>
  <c r="M568" i="4"/>
  <c r="P567" i="4"/>
  <c r="N567" i="4"/>
  <c r="M567" i="4"/>
  <c r="P566" i="4"/>
  <c r="N566" i="4"/>
  <c r="M566" i="4"/>
  <c r="P565" i="4"/>
  <c r="N565" i="4"/>
  <c r="M565" i="4"/>
  <c r="P564" i="4"/>
  <c r="N564" i="4"/>
  <c r="M564" i="4"/>
  <c r="P563" i="4"/>
  <c r="N563" i="4"/>
  <c r="M563" i="4"/>
  <c r="P562" i="4"/>
  <c r="N562" i="4"/>
  <c r="M562" i="4"/>
  <c r="P561" i="4"/>
  <c r="N561" i="4"/>
  <c r="M561" i="4"/>
  <c r="P560" i="4"/>
  <c r="N560" i="4"/>
  <c r="M560" i="4"/>
  <c r="P559" i="4"/>
  <c r="N559" i="4"/>
  <c r="M559" i="4"/>
  <c r="P558" i="4"/>
  <c r="N558" i="4"/>
  <c r="M558" i="4"/>
  <c r="P557" i="4"/>
  <c r="N557" i="4"/>
  <c r="M557" i="4"/>
  <c r="P556" i="4"/>
  <c r="N556" i="4"/>
  <c r="M556" i="4"/>
  <c r="P555" i="4"/>
  <c r="N555" i="4"/>
  <c r="M555" i="4"/>
  <c r="P554" i="4"/>
  <c r="N554" i="4"/>
  <c r="M554" i="4"/>
  <c r="P553" i="4"/>
  <c r="N553" i="4"/>
  <c r="M553" i="4"/>
  <c r="P552" i="4"/>
  <c r="N552" i="4"/>
  <c r="M552" i="4"/>
  <c r="P551" i="4"/>
  <c r="N551" i="4"/>
  <c r="M551" i="4"/>
  <c r="P550" i="4"/>
  <c r="N550" i="4"/>
  <c r="M550" i="4"/>
  <c r="P549" i="4"/>
  <c r="N549" i="4"/>
  <c r="M549" i="4"/>
  <c r="P548" i="4"/>
  <c r="N548" i="4"/>
  <c r="M548" i="4"/>
  <c r="P547" i="4"/>
  <c r="N547" i="4"/>
  <c r="M547" i="4"/>
  <c r="P546" i="4"/>
  <c r="N546" i="4"/>
  <c r="M546" i="4"/>
  <c r="P545" i="4"/>
  <c r="N545" i="4"/>
  <c r="M545" i="4"/>
  <c r="P544" i="4"/>
  <c r="N544" i="4"/>
  <c r="M544" i="4"/>
  <c r="P543" i="4"/>
  <c r="N543" i="4"/>
  <c r="M543" i="4"/>
  <c r="P542" i="4"/>
  <c r="N542" i="4"/>
  <c r="M542" i="4"/>
  <c r="P541" i="4"/>
  <c r="N541" i="4"/>
  <c r="M541" i="4"/>
  <c r="P540" i="4"/>
  <c r="N540" i="4"/>
  <c r="M540" i="4"/>
  <c r="P539" i="4"/>
  <c r="N539" i="4"/>
  <c r="M539" i="4"/>
  <c r="P538" i="4"/>
  <c r="N538" i="4"/>
  <c r="M538" i="4"/>
  <c r="P537" i="4"/>
  <c r="N537" i="4"/>
  <c r="M537" i="4"/>
  <c r="P536" i="4"/>
  <c r="N536" i="4"/>
  <c r="M536" i="4"/>
  <c r="P535" i="4"/>
  <c r="N535" i="4"/>
  <c r="M535" i="4"/>
  <c r="P534" i="4"/>
  <c r="N534" i="4"/>
  <c r="M534" i="4"/>
  <c r="P533" i="4"/>
  <c r="N533" i="4"/>
  <c r="M533" i="4"/>
  <c r="P532" i="4"/>
  <c r="N532" i="4"/>
  <c r="M532" i="4"/>
  <c r="P531" i="4"/>
  <c r="N531" i="4"/>
  <c r="M531" i="4"/>
  <c r="P530" i="4"/>
  <c r="N530" i="4"/>
  <c r="M530" i="4"/>
  <c r="P529" i="4"/>
  <c r="N529" i="4"/>
  <c r="M529" i="4"/>
  <c r="P528" i="4"/>
  <c r="N528" i="4"/>
  <c r="M528" i="4"/>
  <c r="P527" i="4"/>
  <c r="N527" i="4"/>
  <c r="M527" i="4"/>
  <c r="P526" i="4"/>
  <c r="N526" i="4"/>
  <c r="M526" i="4"/>
  <c r="P525" i="4"/>
  <c r="N525" i="4"/>
  <c r="M525" i="4"/>
  <c r="P524" i="4"/>
  <c r="N524" i="4"/>
  <c r="M524" i="4"/>
  <c r="P523" i="4"/>
  <c r="N523" i="4"/>
  <c r="M523" i="4"/>
  <c r="P522" i="4"/>
  <c r="N522" i="4"/>
  <c r="M522" i="4"/>
  <c r="P521" i="4"/>
  <c r="N521" i="4"/>
  <c r="M521" i="4"/>
  <c r="P520" i="4"/>
  <c r="N520" i="4"/>
  <c r="M520" i="4"/>
  <c r="P519" i="4"/>
  <c r="N519" i="4"/>
  <c r="M519" i="4"/>
  <c r="P518" i="4"/>
  <c r="N518" i="4"/>
  <c r="M518" i="4"/>
  <c r="P517" i="4"/>
  <c r="N517" i="4"/>
  <c r="M517" i="4"/>
  <c r="P516" i="4"/>
  <c r="N516" i="4"/>
  <c r="M516" i="4"/>
  <c r="P515" i="4"/>
  <c r="N515" i="4"/>
  <c r="M515" i="4"/>
  <c r="P514" i="4"/>
  <c r="N514" i="4"/>
  <c r="M514" i="4"/>
  <c r="P513" i="4"/>
  <c r="N513" i="4"/>
  <c r="M513" i="4"/>
  <c r="P512" i="4"/>
  <c r="N512" i="4"/>
  <c r="M512" i="4"/>
  <c r="P511" i="4"/>
  <c r="N511" i="4"/>
  <c r="M511" i="4"/>
  <c r="P510" i="4"/>
  <c r="N510" i="4"/>
  <c r="M510" i="4"/>
  <c r="P509" i="4"/>
  <c r="N509" i="4"/>
  <c r="M509" i="4"/>
  <c r="P508" i="4"/>
  <c r="N508" i="4"/>
  <c r="M508" i="4"/>
  <c r="P507" i="4"/>
  <c r="N507" i="4"/>
  <c r="M507" i="4"/>
  <c r="P506" i="4"/>
  <c r="N506" i="4"/>
  <c r="M506" i="4"/>
  <c r="P505" i="4"/>
  <c r="N505" i="4"/>
  <c r="M505" i="4"/>
  <c r="P504" i="4"/>
  <c r="N504" i="4"/>
  <c r="M504" i="4"/>
  <c r="P503" i="4"/>
  <c r="N503" i="4"/>
  <c r="M503" i="4"/>
  <c r="P502" i="4"/>
  <c r="N502" i="4"/>
  <c r="M502" i="4"/>
  <c r="P501" i="4"/>
  <c r="N501" i="4"/>
  <c r="M501" i="4"/>
  <c r="P500" i="4"/>
  <c r="N500" i="4"/>
  <c r="M500" i="4"/>
  <c r="P499" i="4"/>
  <c r="N499" i="4"/>
  <c r="M499" i="4"/>
  <c r="P498" i="4"/>
  <c r="N498" i="4"/>
  <c r="M498" i="4"/>
  <c r="P497" i="4"/>
  <c r="N497" i="4"/>
  <c r="M497" i="4"/>
  <c r="P496" i="4"/>
  <c r="N496" i="4"/>
  <c r="M496" i="4"/>
  <c r="P495" i="4"/>
  <c r="N495" i="4"/>
  <c r="M495" i="4"/>
  <c r="P494" i="4"/>
  <c r="N494" i="4"/>
  <c r="M494" i="4"/>
  <c r="P493" i="4"/>
  <c r="N493" i="4"/>
  <c r="M493" i="4"/>
  <c r="P492" i="4"/>
  <c r="N492" i="4"/>
  <c r="M492" i="4"/>
  <c r="P491" i="4"/>
  <c r="N491" i="4"/>
  <c r="M491" i="4"/>
  <c r="P490" i="4"/>
  <c r="N490" i="4"/>
  <c r="M490" i="4"/>
  <c r="P489" i="4"/>
  <c r="N489" i="4"/>
  <c r="M489" i="4"/>
  <c r="P488" i="4"/>
  <c r="N488" i="4"/>
  <c r="M488" i="4"/>
  <c r="P487" i="4"/>
  <c r="N487" i="4"/>
  <c r="M487" i="4"/>
  <c r="P486" i="4"/>
  <c r="N486" i="4"/>
  <c r="M486" i="4"/>
  <c r="P485" i="4"/>
  <c r="N485" i="4"/>
  <c r="M485" i="4"/>
  <c r="P484" i="4"/>
  <c r="N484" i="4"/>
  <c r="M484" i="4"/>
  <c r="P483" i="4"/>
  <c r="N483" i="4"/>
  <c r="M483" i="4"/>
  <c r="P482" i="4"/>
  <c r="N482" i="4"/>
  <c r="M482" i="4"/>
  <c r="P481" i="4"/>
  <c r="N481" i="4"/>
  <c r="M481" i="4"/>
  <c r="P480" i="4"/>
  <c r="N480" i="4"/>
  <c r="M480" i="4"/>
  <c r="P479" i="4"/>
  <c r="N479" i="4"/>
  <c r="M479" i="4"/>
  <c r="P478" i="4"/>
  <c r="N478" i="4"/>
  <c r="M478" i="4"/>
  <c r="P477" i="4"/>
  <c r="N477" i="4"/>
  <c r="M477" i="4"/>
  <c r="P476" i="4"/>
  <c r="N476" i="4"/>
  <c r="M476" i="4"/>
  <c r="P475" i="4"/>
  <c r="N475" i="4"/>
  <c r="M475" i="4"/>
  <c r="P474" i="4"/>
  <c r="N474" i="4"/>
  <c r="M474" i="4"/>
  <c r="P473" i="4"/>
  <c r="N473" i="4"/>
  <c r="M473" i="4"/>
  <c r="P472" i="4"/>
  <c r="N472" i="4"/>
  <c r="M472" i="4"/>
  <c r="P471" i="4"/>
  <c r="N471" i="4"/>
  <c r="M471" i="4"/>
  <c r="P470" i="4"/>
  <c r="N470" i="4"/>
  <c r="M470" i="4"/>
  <c r="P469" i="4"/>
  <c r="N469" i="4"/>
  <c r="M469" i="4"/>
  <c r="P468" i="4"/>
  <c r="N468" i="4"/>
  <c r="M468" i="4"/>
  <c r="P467" i="4"/>
  <c r="N467" i="4"/>
  <c r="M467" i="4"/>
  <c r="P466" i="4"/>
  <c r="N466" i="4"/>
  <c r="M466" i="4"/>
  <c r="P465" i="4"/>
  <c r="N465" i="4"/>
  <c r="M465" i="4"/>
  <c r="P464" i="4"/>
  <c r="N464" i="4"/>
  <c r="M464" i="4"/>
  <c r="P463" i="4"/>
  <c r="N463" i="4"/>
  <c r="M463" i="4"/>
  <c r="P462" i="4"/>
  <c r="N462" i="4"/>
  <c r="M462" i="4"/>
  <c r="P461" i="4"/>
  <c r="N461" i="4"/>
  <c r="M461" i="4"/>
  <c r="P460" i="4"/>
  <c r="N460" i="4"/>
  <c r="M460" i="4"/>
  <c r="P459" i="4"/>
  <c r="N459" i="4"/>
  <c r="M459" i="4"/>
  <c r="P458" i="4"/>
  <c r="N458" i="4"/>
  <c r="M458" i="4"/>
  <c r="P457" i="4"/>
  <c r="N457" i="4"/>
  <c r="M457" i="4"/>
  <c r="P456" i="4"/>
  <c r="N456" i="4"/>
  <c r="M456" i="4"/>
  <c r="P455" i="4"/>
  <c r="N455" i="4"/>
  <c r="M455" i="4"/>
  <c r="P454" i="4"/>
  <c r="N454" i="4"/>
  <c r="M454" i="4"/>
  <c r="P453" i="4"/>
  <c r="N453" i="4"/>
  <c r="M453" i="4"/>
  <c r="P452" i="4"/>
  <c r="N452" i="4"/>
  <c r="M452" i="4"/>
  <c r="P451" i="4"/>
  <c r="N451" i="4"/>
  <c r="M451" i="4"/>
  <c r="P450" i="4"/>
  <c r="N450" i="4"/>
  <c r="M450" i="4"/>
  <c r="P449" i="4"/>
  <c r="N449" i="4"/>
  <c r="M449" i="4"/>
  <c r="P448" i="4"/>
  <c r="N448" i="4"/>
  <c r="M448" i="4"/>
  <c r="P447" i="4"/>
  <c r="N447" i="4"/>
  <c r="M447" i="4"/>
  <c r="P446" i="4"/>
  <c r="N446" i="4"/>
  <c r="M446" i="4"/>
  <c r="P445" i="4"/>
  <c r="N445" i="4"/>
  <c r="M445" i="4"/>
  <c r="P444" i="4"/>
  <c r="N444" i="4"/>
  <c r="M444" i="4"/>
  <c r="P443" i="4"/>
  <c r="N443" i="4"/>
  <c r="M443" i="4"/>
  <c r="P442" i="4"/>
  <c r="N442" i="4"/>
  <c r="M442" i="4"/>
  <c r="P441" i="4"/>
  <c r="N441" i="4"/>
  <c r="M441" i="4"/>
  <c r="P440" i="4"/>
  <c r="N440" i="4"/>
  <c r="M440" i="4"/>
  <c r="P439" i="4"/>
  <c r="N439" i="4"/>
  <c r="M439" i="4"/>
  <c r="P438" i="4"/>
  <c r="N438" i="4"/>
  <c r="M438" i="4"/>
  <c r="P437" i="4"/>
  <c r="N437" i="4"/>
  <c r="M437" i="4"/>
  <c r="P436" i="4"/>
  <c r="N436" i="4"/>
  <c r="M436" i="4"/>
  <c r="P435" i="4"/>
  <c r="N435" i="4"/>
  <c r="M435" i="4"/>
  <c r="P434" i="4"/>
  <c r="N434" i="4"/>
  <c r="M434" i="4"/>
  <c r="P433" i="4"/>
  <c r="N433" i="4"/>
  <c r="M433" i="4"/>
  <c r="P432" i="4"/>
  <c r="N432" i="4"/>
  <c r="M432" i="4"/>
  <c r="P431" i="4"/>
  <c r="N431" i="4"/>
  <c r="M431" i="4"/>
  <c r="P430" i="4"/>
  <c r="N430" i="4"/>
  <c r="M430" i="4"/>
  <c r="P429" i="4"/>
  <c r="N429" i="4"/>
  <c r="M429" i="4"/>
  <c r="P428" i="4"/>
  <c r="N428" i="4"/>
  <c r="M428" i="4"/>
  <c r="P427" i="4"/>
  <c r="N427" i="4"/>
  <c r="M427" i="4"/>
  <c r="P426" i="4"/>
  <c r="N426" i="4"/>
  <c r="M426" i="4"/>
  <c r="P425" i="4"/>
  <c r="N425" i="4"/>
  <c r="M425" i="4"/>
  <c r="P424" i="4"/>
  <c r="N424" i="4"/>
  <c r="M424" i="4"/>
  <c r="P423" i="4"/>
  <c r="N423" i="4"/>
  <c r="M423" i="4"/>
  <c r="P422" i="4"/>
  <c r="N422" i="4"/>
  <c r="M422" i="4"/>
  <c r="P421" i="4"/>
  <c r="N421" i="4"/>
  <c r="M421" i="4"/>
  <c r="P420" i="4"/>
  <c r="N420" i="4"/>
  <c r="M420" i="4"/>
  <c r="P419" i="4"/>
  <c r="N419" i="4"/>
  <c r="M419" i="4"/>
  <c r="P418" i="4"/>
  <c r="N418" i="4"/>
  <c r="M418" i="4"/>
  <c r="P417" i="4"/>
  <c r="N417" i="4"/>
  <c r="M417" i="4"/>
  <c r="P416" i="4"/>
  <c r="N416" i="4"/>
  <c r="M416" i="4"/>
  <c r="P415" i="4"/>
  <c r="N415" i="4"/>
  <c r="M415" i="4"/>
  <c r="P414" i="4"/>
  <c r="N414" i="4"/>
  <c r="M414" i="4"/>
  <c r="P413" i="4"/>
  <c r="N413" i="4"/>
  <c r="M413" i="4"/>
  <c r="P412" i="4"/>
  <c r="N412" i="4"/>
  <c r="M412" i="4"/>
  <c r="P411" i="4"/>
  <c r="N411" i="4"/>
  <c r="M411" i="4"/>
  <c r="P410" i="4"/>
  <c r="N410" i="4"/>
  <c r="M410" i="4"/>
  <c r="P409" i="4"/>
  <c r="N409" i="4"/>
  <c r="M409" i="4"/>
  <c r="P408" i="4"/>
  <c r="N408" i="4"/>
  <c r="M408" i="4"/>
  <c r="P407" i="4"/>
  <c r="N407" i="4"/>
  <c r="M407" i="4"/>
  <c r="P406" i="4"/>
  <c r="N406" i="4"/>
  <c r="M406" i="4"/>
  <c r="P405" i="4"/>
  <c r="N405" i="4"/>
  <c r="M405" i="4"/>
  <c r="P404" i="4"/>
  <c r="N404" i="4"/>
  <c r="M404" i="4"/>
  <c r="P403" i="4"/>
  <c r="N403" i="4"/>
  <c r="M403" i="4"/>
  <c r="P402" i="4"/>
  <c r="N402" i="4"/>
  <c r="M402" i="4"/>
  <c r="P401" i="4"/>
  <c r="N401" i="4"/>
  <c r="M401" i="4"/>
  <c r="P400" i="4"/>
  <c r="N400" i="4"/>
  <c r="M400" i="4"/>
  <c r="P399" i="4"/>
  <c r="N399" i="4"/>
  <c r="M399" i="4"/>
  <c r="P398" i="4"/>
  <c r="N398" i="4"/>
  <c r="M398" i="4"/>
  <c r="P397" i="4"/>
  <c r="N397" i="4"/>
  <c r="M397" i="4"/>
  <c r="P396" i="4"/>
  <c r="N396" i="4"/>
  <c r="M396" i="4"/>
  <c r="P395" i="4"/>
  <c r="N395" i="4"/>
  <c r="M395" i="4"/>
  <c r="P394" i="4"/>
  <c r="N394" i="4"/>
  <c r="M394" i="4"/>
  <c r="P393" i="4"/>
  <c r="N393" i="4"/>
  <c r="M393" i="4"/>
  <c r="P392" i="4"/>
  <c r="N392" i="4"/>
  <c r="M392" i="4"/>
  <c r="P391" i="4"/>
  <c r="N391" i="4"/>
  <c r="M391" i="4"/>
  <c r="P390" i="4"/>
  <c r="N390" i="4"/>
  <c r="M390" i="4"/>
  <c r="P389" i="4"/>
  <c r="N389" i="4"/>
  <c r="M389" i="4"/>
  <c r="P388" i="4"/>
  <c r="N388" i="4"/>
  <c r="M388" i="4"/>
  <c r="P387" i="4"/>
  <c r="N387" i="4"/>
  <c r="M387" i="4"/>
  <c r="P386" i="4"/>
  <c r="N386" i="4"/>
  <c r="M386" i="4"/>
  <c r="P385" i="4"/>
  <c r="N385" i="4"/>
  <c r="M385" i="4"/>
  <c r="P384" i="4"/>
  <c r="N384" i="4"/>
  <c r="M384" i="4"/>
  <c r="P383" i="4"/>
  <c r="N383" i="4"/>
  <c r="M383" i="4"/>
  <c r="P382" i="4"/>
  <c r="N382" i="4"/>
  <c r="M382" i="4"/>
  <c r="P381" i="4"/>
  <c r="N381" i="4"/>
  <c r="M381" i="4"/>
  <c r="P380" i="4"/>
  <c r="N380" i="4"/>
  <c r="M380" i="4"/>
  <c r="P379" i="4"/>
  <c r="N379" i="4"/>
  <c r="M379" i="4"/>
  <c r="P378" i="4"/>
  <c r="N378" i="4"/>
  <c r="M378" i="4"/>
  <c r="P377" i="4"/>
  <c r="N377" i="4"/>
  <c r="M377" i="4"/>
  <c r="P376" i="4"/>
  <c r="N376" i="4"/>
  <c r="M376" i="4"/>
  <c r="P375" i="4"/>
  <c r="N375" i="4"/>
  <c r="M375" i="4"/>
  <c r="P374" i="4"/>
  <c r="N374" i="4"/>
  <c r="M374" i="4"/>
  <c r="P373" i="4"/>
  <c r="N373" i="4"/>
  <c r="M373" i="4"/>
  <c r="P372" i="4"/>
  <c r="N372" i="4"/>
  <c r="M372" i="4"/>
  <c r="P371" i="4"/>
  <c r="N371" i="4"/>
  <c r="M371" i="4"/>
  <c r="P370" i="4"/>
  <c r="N370" i="4"/>
  <c r="M370" i="4"/>
  <c r="P369" i="4"/>
  <c r="N369" i="4"/>
  <c r="M369" i="4"/>
  <c r="P368" i="4"/>
  <c r="N368" i="4"/>
  <c r="M368" i="4"/>
  <c r="P367" i="4"/>
  <c r="N367" i="4"/>
  <c r="M367" i="4"/>
  <c r="P366" i="4"/>
  <c r="N366" i="4"/>
  <c r="M366" i="4"/>
  <c r="P365" i="4"/>
  <c r="N365" i="4"/>
  <c r="M365" i="4"/>
  <c r="P364" i="4"/>
  <c r="N364" i="4"/>
  <c r="M364" i="4"/>
  <c r="P363" i="4"/>
  <c r="N363" i="4"/>
  <c r="M363" i="4"/>
  <c r="P362" i="4"/>
  <c r="N362" i="4"/>
  <c r="M362" i="4"/>
  <c r="P361" i="4"/>
  <c r="N361" i="4"/>
  <c r="M361" i="4"/>
  <c r="P360" i="4"/>
  <c r="N360" i="4"/>
  <c r="M360" i="4"/>
  <c r="P359" i="4"/>
  <c r="N359" i="4"/>
  <c r="M359" i="4"/>
  <c r="P358" i="4"/>
  <c r="N358" i="4"/>
  <c r="M358" i="4"/>
  <c r="P357" i="4"/>
  <c r="N357" i="4"/>
  <c r="M357" i="4"/>
  <c r="P356" i="4"/>
  <c r="N356" i="4"/>
  <c r="M356" i="4"/>
  <c r="P355" i="4"/>
  <c r="N355" i="4"/>
  <c r="M355" i="4"/>
  <c r="P354" i="4"/>
  <c r="N354" i="4"/>
  <c r="M354" i="4"/>
  <c r="P353" i="4"/>
  <c r="N353" i="4"/>
  <c r="M353" i="4"/>
  <c r="P352" i="4"/>
  <c r="N352" i="4"/>
  <c r="M352" i="4"/>
  <c r="P351" i="4"/>
  <c r="N351" i="4"/>
  <c r="M351" i="4"/>
  <c r="P350" i="4"/>
  <c r="N350" i="4"/>
  <c r="M350" i="4"/>
  <c r="P349" i="4"/>
  <c r="N349" i="4"/>
  <c r="M349" i="4"/>
  <c r="P348" i="4"/>
  <c r="N348" i="4"/>
  <c r="M348" i="4"/>
  <c r="P347" i="4"/>
  <c r="N347" i="4"/>
  <c r="M347" i="4"/>
  <c r="P346" i="4"/>
  <c r="N346" i="4"/>
  <c r="M346" i="4"/>
  <c r="P345" i="4"/>
  <c r="N345" i="4"/>
  <c r="M345" i="4"/>
  <c r="P344" i="4"/>
  <c r="N344" i="4"/>
  <c r="M344" i="4"/>
  <c r="P343" i="4"/>
  <c r="N343" i="4"/>
  <c r="M343" i="4"/>
  <c r="P342" i="4"/>
  <c r="N342" i="4"/>
  <c r="M342" i="4"/>
  <c r="P341" i="4"/>
  <c r="N341" i="4"/>
  <c r="M341" i="4"/>
  <c r="P340" i="4"/>
  <c r="N340" i="4"/>
  <c r="M340" i="4"/>
  <c r="P339" i="4"/>
  <c r="N339" i="4"/>
  <c r="M339" i="4"/>
  <c r="P338" i="4"/>
  <c r="N338" i="4"/>
  <c r="M338" i="4"/>
  <c r="P337" i="4"/>
  <c r="N337" i="4"/>
  <c r="M337" i="4"/>
  <c r="P336" i="4"/>
  <c r="N336" i="4"/>
  <c r="M336" i="4"/>
  <c r="P335" i="4"/>
  <c r="N335" i="4"/>
  <c r="M335" i="4"/>
  <c r="P334" i="4"/>
  <c r="N334" i="4"/>
  <c r="M334" i="4"/>
  <c r="P333" i="4"/>
  <c r="N333" i="4"/>
  <c r="M333" i="4"/>
  <c r="P332" i="4"/>
  <c r="N332" i="4"/>
  <c r="M332" i="4"/>
  <c r="P331" i="4"/>
  <c r="N331" i="4"/>
  <c r="M331" i="4"/>
  <c r="P330" i="4"/>
  <c r="N330" i="4"/>
  <c r="M330" i="4"/>
  <c r="P329" i="4"/>
  <c r="N329" i="4"/>
  <c r="M329" i="4"/>
  <c r="P328" i="4"/>
  <c r="N328" i="4"/>
  <c r="M328" i="4"/>
  <c r="P327" i="4"/>
  <c r="N327" i="4"/>
  <c r="M327" i="4"/>
  <c r="P326" i="4"/>
  <c r="N326" i="4"/>
  <c r="M326" i="4"/>
  <c r="P325" i="4"/>
  <c r="N325" i="4"/>
  <c r="M325" i="4"/>
  <c r="P324" i="4"/>
  <c r="N324" i="4"/>
  <c r="M324" i="4"/>
  <c r="P323" i="4"/>
  <c r="N323" i="4"/>
  <c r="M323" i="4"/>
  <c r="P322" i="4"/>
  <c r="N322" i="4"/>
  <c r="M322" i="4"/>
  <c r="P321" i="4"/>
  <c r="N321" i="4"/>
  <c r="M321" i="4"/>
  <c r="P320" i="4"/>
  <c r="N320" i="4"/>
  <c r="M320" i="4"/>
  <c r="P319" i="4"/>
  <c r="N319" i="4"/>
  <c r="M319" i="4"/>
  <c r="P318" i="4"/>
  <c r="N318" i="4"/>
  <c r="M318" i="4"/>
  <c r="P317" i="4"/>
  <c r="N317" i="4"/>
  <c r="M317" i="4"/>
  <c r="P316" i="4"/>
  <c r="N316" i="4"/>
  <c r="M316" i="4"/>
  <c r="P315" i="4"/>
  <c r="N315" i="4"/>
  <c r="M315" i="4"/>
  <c r="P314" i="4"/>
  <c r="N314" i="4"/>
  <c r="M314" i="4"/>
  <c r="P313" i="4"/>
  <c r="N313" i="4"/>
  <c r="M313" i="4"/>
  <c r="P312" i="4"/>
  <c r="N312" i="4"/>
  <c r="M312" i="4"/>
  <c r="P311" i="4"/>
  <c r="N311" i="4"/>
  <c r="M311" i="4"/>
  <c r="P310" i="4"/>
  <c r="N310" i="4"/>
  <c r="M310" i="4"/>
  <c r="P309" i="4"/>
  <c r="N309" i="4"/>
  <c r="M309" i="4"/>
  <c r="P308" i="4"/>
  <c r="N308" i="4"/>
  <c r="M308" i="4"/>
  <c r="P307" i="4"/>
  <c r="N307" i="4"/>
  <c r="M307" i="4"/>
  <c r="P306" i="4"/>
  <c r="N306" i="4"/>
  <c r="M306" i="4"/>
  <c r="P305" i="4"/>
  <c r="N305" i="4"/>
  <c r="M305" i="4"/>
  <c r="P304" i="4"/>
  <c r="N304" i="4"/>
  <c r="M304" i="4"/>
  <c r="P303" i="4"/>
  <c r="N303" i="4"/>
  <c r="M303" i="4"/>
  <c r="P302" i="4"/>
  <c r="N302" i="4"/>
  <c r="M302" i="4"/>
  <c r="P301" i="4"/>
  <c r="N301" i="4"/>
  <c r="M301" i="4"/>
  <c r="P300" i="4"/>
  <c r="N300" i="4"/>
  <c r="M300" i="4"/>
  <c r="P299" i="4"/>
  <c r="N299" i="4"/>
  <c r="M299" i="4"/>
  <c r="P298" i="4"/>
  <c r="N298" i="4"/>
  <c r="M298" i="4"/>
  <c r="P297" i="4"/>
  <c r="N297" i="4"/>
  <c r="M297" i="4"/>
  <c r="P296" i="4"/>
  <c r="N296" i="4"/>
  <c r="M296" i="4"/>
  <c r="P295" i="4"/>
  <c r="N295" i="4"/>
  <c r="M295" i="4"/>
  <c r="P294" i="4"/>
  <c r="N294" i="4"/>
  <c r="M294" i="4"/>
  <c r="P293" i="4"/>
  <c r="N293" i="4"/>
  <c r="M293" i="4"/>
  <c r="P292" i="4"/>
  <c r="N292" i="4"/>
  <c r="M292" i="4"/>
  <c r="P291" i="4"/>
  <c r="N291" i="4"/>
  <c r="M291" i="4"/>
  <c r="P290" i="4"/>
  <c r="N290" i="4"/>
  <c r="M290" i="4"/>
  <c r="P289" i="4"/>
  <c r="N289" i="4"/>
  <c r="M289" i="4"/>
  <c r="P288" i="4"/>
  <c r="N288" i="4"/>
  <c r="M288" i="4"/>
  <c r="P287" i="4"/>
  <c r="N287" i="4"/>
  <c r="M287" i="4"/>
  <c r="P286" i="4"/>
  <c r="N286" i="4"/>
  <c r="M286" i="4"/>
  <c r="P285" i="4"/>
  <c r="N285" i="4"/>
  <c r="M285" i="4"/>
  <c r="P284" i="4"/>
  <c r="N284" i="4"/>
  <c r="M284" i="4"/>
  <c r="P283" i="4"/>
  <c r="N283" i="4"/>
  <c r="M283" i="4"/>
  <c r="P282" i="4"/>
  <c r="N282" i="4"/>
  <c r="M282" i="4"/>
  <c r="P281" i="4"/>
  <c r="N281" i="4"/>
  <c r="M281" i="4"/>
  <c r="P280" i="4"/>
  <c r="N280" i="4"/>
  <c r="M280" i="4"/>
  <c r="P279" i="4"/>
  <c r="N279" i="4"/>
  <c r="M279" i="4"/>
  <c r="P278" i="4"/>
  <c r="N278" i="4"/>
  <c r="M278" i="4"/>
  <c r="P277" i="4"/>
  <c r="N277" i="4"/>
  <c r="M277" i="4"/>
  <c r="P276" i="4"/>
  <c r="N276" i="4"/>
  <c r="M276" i="4"/>
  <c r="P275" i="4"/>
  <c r="N275" i="4"/>
  <c r="M275" i="4"/>
  <c r="P274" i="4"/>
  <c r="N274" i="4"/>
  <c r="M274" i="4"/>
  <c r="P273" i="4"/>
  <c r="N273" i="4"/>
  <c r="M273" i="4"/>
  <c r="P272" i="4"/>
  <c r="N272" i="4"/>
  <c r="M272" i="4"/>
  <c r="P271" i="4"/>
  <c r="N271" i="4"/>
  <c r="M271" i="4"/>
  <c r="P270" i="4"/>
  <c r="N270" i="4"/>
  <c r="M270" i="4"/>
  <c r="P269" i="4"/>
  <c r="N269" i="4"/>
  <c r="M269" i="4"/>
  <c r="P268" i="4"/>
  <c r="N268" i="4"/>
  <c r="M268" i="4"/>
  <c r="P267" i="4"/>
  <c r="N267" i="4"/>
  <c r="M267" i="4"/>
  <c r="P266" i="4"/>
  <c r="N266" i="4"/>
  <c r="M266" i="4"/>
  <c r="P265" i="4"/>
  <c r="N265" i="4"/>
  <c r="M265" i="4"/>
  <c r="P264" i="4"/>
  <c r="N264" i="4"/>
  <c r="M264" i="4"/>
  <c r="P263" i="4"/>
  <c r="N263" i="4"/>
  <c r="M263" i="4"/>
  <c r="P262" i="4"/>
  <c r="N262" i="4"/>
  <c r="M262" i="4"/>
  <c r="P261" i="4"/>
  <c r="N261" i="4"/>
  <c r="M261" i="4"/>
  <c r="P260" i="4"/>
  <c r="N260" i="4"/>
  <c r="M260" i="4"/>
  <c r="P259" i="4"/>
  <c r="N259" i="4"/>
  <c r="M259" i="4"/>
  <c r="P258" i="4"/>
  <c r="N258" i="4"/>
  <c r="M258" i="4"/>
  <c r="P257" i="4"/>
  <c r="N257" i="4"/>
  <c r="M257" i="4"/>
  <c r="P256" i="4"/>
  <c r="N256" i="4"/>
  <c r="M256" i="4"/>
  <c r="P255" i="4"/>
  <c r="N255" i="4"/>
  <c r="M255" i="4"/>
  <c r="P254" i="4"/>
  <c r="N254" i="4"/>
  <c r="M254" i="4"/>
  <c r="P253" i="4"/>
  <c r="N253" i="4"/>
  <c r="M253" i="4"/>
  <c r="P252" i="4"/>
  <c r="N252" i="4"/>
  <c r="M252" i="4"/>
  <c r="P251" i="4"/>
  <c r="N251" i="4"/>
  <c r="M251" i="4"/>
  <c r="P250" i="4"/>
  <c r="N250" i="4"/>
  <c r="M250" i="4"/>
  <c r="P249" i="4"/>
  <c r="N249" i="4"/>
  <c r="M249" i="4"/>
  <c r="P248" i="4"/>
  <c r="N248" i="4"/>
  <c r="M248" i="4"/>
  <c r="P247" i="4"/>
  <c r="N247" i="4"/>
  <c r="M247" i="4"/>
  <c r="P246" i="4"/>
  <c r="N246" i="4"/>
  <c r="M246" i="4"/>
  <c r="P245" i="4"/>
  <c r="N245" i="4"/>
  <c r="M245" i="4"/>
  <c r="P244" i="4"/>
  <c r="N244" i="4"/>
  <c r="M244" i="4"/>
  <c r="P243" i="4"/>
  <c r="N243" i="4"/>
  <c r="M243" i="4"/>
  <c r="P242" i="4"/>
  <c r="N242" i="4"/>
  <c r="M242" i="4"/>
  <c r="P241" i="4"/>
  <c r="N241" i="4"/>
  <c r="M241" i="4"/>
  <c r="P240" i="4"/>
  <c r="N240" i="4"/>
  <c r="M240" i="4"/>
  <c r="P239" i="4"/>
  <c r="N239" i="4"/>
  <c r="M239" i="4"/>
  <c r="P238" i="4"/>
  <c r="N238" i="4"/>
  <c r="M238" i="4"/>
  <c r="P237" i="4"/>
  <c r="N237" i="4"/>
  <c r="M237" i="4"/>
  <c r="P236" i="4"/>
  <c r="N236" i="4"/>
  <c r="M236" i="4"/>
  <c r="P235" i="4"/>
  <c r="N235" i="4"/>
  <c r="M235" i="4"/>
  <c r="P234" i="4"/>
  <c r="N234" i="4"/>
  <c r="M234" i="4"/>
  <c r="P233" i="4"/>
  <c r="N233" i="4"/>
  <c r="M233" i="4"/>
  <c r="P232" i="4"/>
  <c r="N232" i="4"/>
  <c r="M232" i="4"/>
  <c r="P231" i="4"/>
  <c r="N231" i="4"/>
  <c r="M231" i="4"/>
  <c r="P230" i="4"/>
  <c r="N230" i="4"/>
  <c r="M230" i="4"/>
  <c r="P229" i="4"/>
  <c r="N229" i="4"/>
  <c r="M229" i="4"/>
  <c r="P228" i="4"/>
  <c r="N228" i="4"/>
  <c r="M228" i="4"/>
  <c r="P227" i="4"/>
  <c r="N227" i="4"/>
  <c r="M227" i="4"/>
  <c r="P226" i="4"/>
  <c r="N226" i="4"/>
  <c r="M226" i="4"/>
  <c r="P225" i="4"/>
  <c r="N225" i="4"/>
  <c r="M225" i="4"/>
  <c r="P224" i="4"/>
  <c r="N224" i="4"/>
  <c r="M224" i="4"/>
  <c r="P223" i="4"/>
  <c r="N223" i="4"/>
  <c r="M223" i="4"/>
  <c r="P222" i="4"/>
  <c r="N222" i="4"/>
  <c r="M222" i="4"/>
  <c r="P221" i="4"/>
  <c r="N221" i="4"/>
  <c r="M221" i="4"/>
  <c r="P220" i="4"/>
  <c r="N220" i="4"/>
  <c r="M220" i="4"/>
  <c r="P219" i="4"/>
  <c r="N219" i="4"/>
  <c r="M219" i="4"/>
  <c r="P218" i="4"/>
  <c r="N218" i="4"/>
  <c r="M218" i="4"/>
  <c r="P217" i="4"/>
  <c r="N217" i="4"/>
  <c r="M217" i="4"/>
  <c r="P216" i="4"/>
  <c r="N216" i="4"/>
  <c r="M216" i="4"/>
  <c r="P215" i="4"/>
  <c r="N215" i="4"/>
  <c r="M215" i="4"/>
  <c r="P214" i="4"/>
  <c r="N214" i="4"/>
  <c r="M214" i="4"/>
  <c r="P213" i="4"/>
  <c r="N213" i="4"/>
  <c r="M213" i="4"/>
  <c r="P212" i="4"/>
  <c r="N212" i="4"/>
  <c r="M212" i="4"/>
  <c r="P211" i="4"/>
  <c r="N211" i="4"/>
  <c r="M211" i="4"/>
  <c r="P210" i="4"/>
  <c r="N210" i="4"/>
  <c r="M210" i="4"/>
  <c r="P209" i="4"/>
  <c r="N209" i="4"/>
  <c r="M209" i="4"/>
  <c r="P208" i="4"/>
  <c r="N208" i="4"/>
  <c r="M208" i="4"/>
  <c r="P207" i="4"/>
  <c r="N207" i="4"/>
  <c r="M207" i="4"/>
  <c r="P206" i="4"/>
  <c r="N206" i="4"/>
  <c r="M206" i="4"/>
  <c r="P205" i="4"/>
  <c r="N205" i="4"/>
  <c r="M205" i="4"/>
  <c r="P204" i="4"/>
  <c r="N204" i="4"/>
  <c r="M204" i="4"/>
  <c r="P203" i="4"/>
  <c r="N203" i="4"/>
  <c r="M203" i="4"/>
  <c r="P202" i="4"/>
  <c r="N202" i="4"/>
  <c r="M202" i="4"/>
  <c r="P201" i="4"/>
  <c r="N201" i="4"/>
  <c r="M201" i="4"/>
  <c r="P200" i="4"/>
  <c r="N200" i="4"/>
  <c r="M200" i="4"/>
  <c r="P199" i="4"/>
  <c r="N199" i="4"/>
  <c r="M199" i="4"/>
  <c r="P198" i="4"/>
  <c r="N198" i="4"/>
  <c r="M198" i="4"/>
  <c r="P197" i="4"/>
  <c r="N197" i="4"/>
  <c r="M197" i="4"/>
  <c r="P196" i="4"/>
  <c r="N196" i="4"/>
  <c r="M196" i="4"/>
  <c r="P195" i="4"/>
  <c r="N195" i="4"/>
  <c r="M195" i="4"/>
  <c r="P194" i="4"/>
  <c r="N194" i="4"/>
  <c r="M194" i="4"/>
  <c r="P193" i="4"/>
  <c r="N193" i="4"/>
  <c r="M193" i="4"/>
  <c r="P192" i="4"/>
  <c r="N192" i="4"/>
  <c r="M192" i="4"/>
  <c r="P191" i="4"/>
  <c r="N191" i="4"/>
  <c r="M191" i="4"/>
  <c r="P190" i="4"/>
  <c r="N190" i="4"/>
  <c r="M190" i="4"/>
  <c r="P189" i="4"/>
  <c r="N189" i="4"/>
  <c r="M189" i="4"/>
  <c r="P188" i="4"/>
  <c r="N188" i="4"/>
  <c r="M188" i="4"/>
  <c r="P187" i="4"/>
  <c r="N187" i="4"/>
  <c r="M187" i="4"/>
  <c r="P186" i="4"/>
  <c r="N186" i="4"/>
  <c r="M186" i="4"/>
  <c r="P185" i="4"/>
  <c r="N185" i="4"/>
  <c r="M185" i="4"/>
  <c r="P184" i="4"/>
  <c r="N184" i="4"/>
  <c r="M184" i="4"/>
  <c r="P183" i="4"/>
  <c r="N183" i="4"/>
  <c r="M183" i="4"/>
  <c r="P182" i="4"/>
  <c r="N182" i="4"/>
  <c r="M182" i="4"/>
  <c r="P181" i="4"/>
  <c r="N181" i="4"/>
  <c r="M181" i="4"/>
  <c r="P180" i="4"/>
  <c r="N180" i="4"/>
  <c r="M180" i="4"/>
  <c r="P179" i="4"/>
  <c r="N179" i="4"/>
  <c r="M179" i="4"/>
  <c r="P178" i="4"/>
  <c r="N178" i="4"/>
  <c r="M178" i="4"/>
  <c r="P177" i="4"/>
  <c r="N177" i="4"/>
  <c r="M177" i="4"/>
  <c r="P176" i="4"/>
  <c r="N176" i="4"/>
  <c r="M176" i="4"/>
  <c r="P175" i="4"/>
  <c r="N175" i="4"/>
  <c r="M175" i="4"/>
  <c r="P174" i="4"/>
  <c r="N174" i="4"/>
  <c r="M174" i="4"/>
  <c r="P173" i="4"/>
  <c r="N173" i="4"/>
  <c r="M173" i="4"/>
  <c r="P172" i="4"/>
  <c r="N172" i="4"/>
  <c r="M172" i="4"/>
  <c r="P171" i="4"/>
  <c r="N171" i="4"/>
  <c r="M171" i="4"/>
  <c r="P170" i="4"/>
  <c r="N170" i="4"/>
  <c r="M170" i="4"/>
  <c r="P169" i="4"/>
  <c r="N169" i="4"/>
  <c r="M169" i="4"/>
  <c r="P168" i="4"/>
  <c r="N168" i="4"/>
  <c r="M168" i="4"/>
  <c r="P167" i="4"/>
  <c r="N167" i="4"/>
  <c r="M167" i="4"/>
  <c r="P166" i="4"/>
  <c r="N166" i="4"/>
  <c r="M166" i="4"/>
  <c r="P165" i="4"/>
  <c r="N165" i="4"/>
  <c r="M165" i="4"/>
  <c r="P164" i="4"/>
  <c r="N164" i="4"/>
  <c r="M164" i="4"/>
  <c r="P163" i="4"/>
  <c r="N163" i="4"/>
  <c r="M163" i="4"/>
  <c r="P162" i="4"/>
  <c r="N162" i="4"/>
  <c r="M162" i="4"/>
  <c r="P161" i="4"/>
  <c r="N161" i="4"/>
  <c r="M161" i="4"/>
  <c r="P160" i="4"/>
  <c r="N160" i="4"/>
  <c r="M160" i="4"/>
  <c r="P159" i="4"/>
  <c r="N159" i="4"/>
  <c r="M159" i="4"/>
  <c r="P158" i="4"/>
  <c r="N158" i="4"/>
  <c r="M158" i="4"/>
  <c r="P157" i="4"/>
  <c r="N157" i="4"/>
  <c r="M157" i="4"/>
  <c r="P156" i="4"/>
  <c r="N156" i="4"/>
  <c r="M156" i="4"/>
  <c r="P155" i="4"/>
  <c r="N155" i="4"/>
  <c r="M155" i="4"/>
  <c r="P154" i="4"/>
  <c r="N154" i="4"/>
  <c r="M154" i="4"/>
  <c r="P153" i="4"/>
  <c r="N153" i="4"/>
  <c r="M153" i="4"/>
  <c r="P152" i="4"/>
  <c r="N152" i="4"/>
  <c r="M152" i="4"/>
  <c r="P151" i="4"/>
  <c r="N151" i="4"/>
  <c r="M151" i="4"/>
  <c r="P150" i="4"/>
  <c r="N150" i="4"/>
  <c r="M150" i="4"/>
  <c r="P149" i="4"/>
  <c r="N149" i="4"/>
  <c r="M149" i="4"/>
  <c r="P148" i="4"/>
  <c r="N148" i="4"/>
  <c r="M148" i="4"/>
  <c r="P147" i="4"/>
  <c r="N147" i="4"/>
  <c r="M147" i="4"/>
  <c r="P146" i="4"/>
  <c r="N146" i="4"/>
  <c r="M146" i="4"/>
  <c r="P145" i="4"/>
  <c r="N145" i="4"/>
  <c r="M145" i="4"/>
  <c r="P144" i="4"/>
  <c r="N144" i="4"/>
  <c r="M144" i="4"/>
  <c r="P143" i="4"/>
  <c r="N143" i="4"/>
  <c r="M143" i="4"/>
  <c r="P142" i="4"/>
  <c r="N142" i="4"/>
  <c r="M142" i="4"/>
  <c r="P141" i="4"/>
  <c r="N141" i="4"/>
  <c r="M141" i="4"/>
  <c r="P140" i="4"/>
  <c r="N140" i="4"/>
  <c r="M140" i="4"/>
  <c r="P139" i="4"/>
  <c r="N139" i="4"/>
  <c r="M139" i="4"/>
  <c r="P138" i="4"/>
  <c r="N138" i="4"/>
  <c r="M138" i="4"/>
  <c r="P137" i="4"/>
  <c r="N137" i="4"/>
  <c r="M137" i="4"/>
  <c r="P136" i="4"/>
  <c r="N136" i="4"/>
  <c r="M136" i="4"/>
  <c r="P135" i="4"/>
  <c r="N135" i="4"/>
  <c r="M135" i="4"/>
  <c r="P134" i="4"/>
  <c r="N134" i="4"/>
  <c r="M134" i="4"/>
  <c r="P133" i="4"/>
  <c r="N133" i="4"/>
  <c r="M133" i="4"/>
  <c r="P132" i="4"/>
  <c r="N132" i="4"/>
  <c r="M132" i="4"/>
  <c r="P131" i="4"/>
  <c r="N131" i="4"/>
  <c r="M131" i="4"/>
  <c r="P130" i="4"/>
  <c r="N130" i="4"/>
  <c r="M130" i="4"/>
  <c r="P129" i="4"/>
  <c r="N129" i="4"/>
  <c r="M129" i="4"/>
  <c r="P128" i="4"/>
  <c r="N128" i="4"/>
  <c r="M128" i="4"/>
  <c r="P127" i="4"/>
  <c r="N127" i="4"/>
  <c r="M127" i="4"/>
  <c r="P126" i="4"/>
  <c r="N126" i="4"/>
  <c r="M126" i="4"/>
  <c r="P125" i="4"/>
  <c r="N125" i="4"/>
  <c r="M125" i="4"/>
  <c r="P124" i="4"/>
  <c r="N124" i="4"/>
  <c r="M124" i="4"/>
  <c r="P123" i="4"/>
  <c r="N123" i="4"/>
  <c r="M123" i="4"/>
  <c r="P122" i="4"/>
  <c r="N122" i="4"/>
  <c r="M122" i="4"/>
  <c r="P121" i="4"/>
  <c r="N121" i="4"/>
  <c r="M121" i="4"/>
  <c r="P120" i="4"/>
  <c r="N120" i="4"/>
  <c r="M120" i="4"/>
  <c r="P119" i="4"/>
  <c r="N119" i="4"/>
  <c r="M119" i="4"/>
  <c r="P118" i="4"/>
  <c r="N118" i="4"/>
  <c r="M118" i="4"/>
  <c r="P117" i="4"/>
  <c r="N117" i="4"/>
  <c r="M117" i="4"/>
  <c r="P116" i="4"/>
  <c r="N116" i="4"/>
  <c r="M116" i="4"/>
  <c r="P115" i="4"/>
  <c r="N115" i="4"/>
  <c r="M115" i="4"/>
  <c r="P114" i="4"/>
  <c r="N114" i="4"/>
  <c r="M114" i="4"/>
  <c r="P113" i="4"/>
  <c r="N113" i="4"/>
  <c r="M113" i="4"/>
  <c r="P112" i="4"/>
  <c r="N112" i="4"/>
  <c r="M112" i="4"/>
  <c r="P111" i="4"/>
  <c r="N111" i="4"/>
  <c r="M111" i="4"/>
  <c r="P110" i="4"/>
  <c r="N110" i="4"/>
  <c r="M110" i="4"/>
  <c r="P109" i="4"/>
  <c r="N109" i="4"/>
  <c r="M109" i="4"/>
  <c r="P108" i="4"/>
  <c r="N108" i="4"/>
  <c r="M108" i="4"/>
  <c r="P107" i="4"/>
  <c r="N107" i="4"/>
  <c r="M107" i="4"/>
  <c r="P106" i="4"/>
  <c r="N106" i="4"/>
  <c r="M106" i="4"/>
  <c r="P105" i="4"/>
  <c r="N105" i="4"/>
  <c r="M105" i="4"/>
  <c r="P104" i="4"/>
  <c r="N104" i="4"/>
  <c r="M104" i="4"/>
  <c r="P103" i="4"/>
  <c r="N103" i="4"/>
  <c r="M103" i="4"/>
  <c r="P102" i="4"/>
  <c r="N102" i="4"/>
  <c r="M102" i="4"/>
  <c r="P101" i="4"/>
  <c r="N101" i="4"/>
  <c r="M101" i="4"/>
  <c r="P100" i="4"/>
  <c r="N100" i="4"/>
  <c r="M100" i="4"/>
  <c r="P99" i="4"/>
  <c r="N99" i="4"/>
  <c r="M99" i="4"/>
  <c r="P98" i="4"/>
  <c r="N98" i="4"/>
  <c r="M98" i="4"/>
  <c r="P97" i="4"/>
  <c r="N97" i="4"/>
  <c r="M97" i="4"/>
  <c r="P96" i="4"/>
  <c r="N96" i="4"/>
  <c r="M96" i="4"/>
  <c r="P95" i="4"/>
  <c r="N95" i="4"/>
  <c r="M95" i="4"/>
  <c r="P94" i="4"/>
  <c r="N94" i="4"/>
  <c r="M94" i="4"/>
  <c r="P93" i="4"/>
  <c r="N93" i="4"/>
  <c r="M93" i="4"/>
  <c r="P92" i="4"/>
  <c r="N92" i="4"/>
  <c r="M92" i="4"/>
  <c r="P91" i="4"/>
  <c r="N91" i="4"/>
  <c r="M91" i="4"/>
  <c r="P90" i="4"/>
  <c r="N90" i="4"/>
  <c r="M90" i="4"/>
  <c r="P89" i="4"/>
  <c r="N89" i="4"/>
  <c r="M89" i="4"/>
  <c r="P88" i="4"/>
  <c r="N88" i="4"/>
  <c r="M88" i="4"/>
  <c r="P87" i="4"/>
  <c r="N87" i="4"/>
  <c r="M87" i="4"/>
  <c r="P86" i="4"/>
  <c r="N86" i="4"/>
  <c r="M86" i="4"/>
  <c r="P85" i="4"/>
  <c r="N85" i="4"/>
  <c r="M85" i="4"/>
  <c r="P84" i="4"/>
  <c r="N84" i="4"/>
  <c r="M84" i="4"/>
  <c r="P83" i="4"/>
  <c r="N83" i="4"/>
  <c r="M83" i="4"/>
  <c r="P82" i="4"/>
  <c r="N82" i="4"/>
  <c r="M82" i="4"/>
  <c r="P81" i="4"/>
  <c r="N81" i="4"/>
  <c r="M81" i="4"/>
  <c r="P80" i="4"/>
  <c r="N80" i="4"/>
  <c r="M80" i="4"/>
  <c r="P79" i="4"/>
  <c r="N79" i="4"/>
  <c r="M79" i="4"/>
  <c r="P78" i="4"/>
  <c r="N78" i="4"/>
  <c r="M78" i="4"/>
  <c r="P77" i="4"/>
  <c r="N77" i="4"/>
  <c r="M77" i="4"/>
  <c r="P76" i="4"/>
  <c r="N76" i="4"/>
  <c r="M76" i="4"/>
  <c r="P75" i="4"/>
  <c r="N75" i="4"/>
  <c r="M75" i="4"/>
  <c r="P74" i="4"/>
  <c r="N74" i="4"/>
  <c r="M74" i="4"/>
  <c r="P73" i="4"/>
  <c r="N73" i="4"/>
  <c r="M73" i="4"/>
  <c r="P72" i="4"/>
  <c r="N72" i="4"/>
  <c r="M72" i="4"/>
  <c r="P71" i="4"/>
  <c r="N71" i="4"/>
  <c r="M71" i="4"/>
  <c r="P70" i="4"/>
  <c r="N70" i="4"/>
  <c r="M70" i="4"/>
  <c r="P69" i="4"/>
  <c r="N69" i="4"/>
  <c r="M69" i="4"/>
  <c r="P68" i="4"/>
  <c r="N68" i="4"/>
  <c r="M68" i="4"/>
  <c r="P67" i="4"/>
  <c r="N67" i="4"/>
  <c r="M67" i="4"/>
  <c r="P66" i="4"/>
  <c r="N66" i="4"/>
  <c r="M66" i="4"/>
  <c r="P65" i="4"/>
  <c r="N65" i="4"/>
  <c r="M65" i="4"/>
  <c r="P64" i="4"/>
  <c r="N64" i="4"/>
  <c r="M64" i="4"/>
  <c r="P63" i="4"/>
  <c r="N63" i="4"/>
  <c r="M63" i="4"/>
  <c r="P62" i="4"/>
  <c r="N62" i="4"/>
  <c r="M62" i="4"/>
  <c r="P61" i="4"/>
  <c r="N61" i="4"/>
  <c r="M61" i="4"/>
  <c r="P60" i="4"/>
  <c r="N60" i="4"/>
  <c r="M60" i="4"/>
  <c r="P59" i="4"/>
  <c r="N59" i="4"/>
  <c r="M59" i="4"/>
  <c r="P58" i="4"/>
  <c r="N58" i="4"/>
  <c r="M58" i="4"/>
  <c r="P57" i="4"/>
  <c r="N57" i="4"/>
  <c r="M57" i="4"/>
  <c r="P56" i="4"/>
  <c r="N56" i="4"/>
  <c r="M56" i="4"/>
  <c r="P55" i="4"/>
  <c r="N55" i="4"/>
  <c r="M55" i="4"/>
  <c r="P54" i="4"/>
  <c r="N54" i="4"/>
  <c r="M54" i="4"/>
  <c r="P53" i="4"/>
  <c r="N53" i="4"/>
  <c r="M53" i="4"/>
  <c r="P52" i="4"/>
  <c r="N52" i="4"/>
  <c r="M52" i="4"/>
  <c r="P51" i="4"/>
  <c r="N51" i="4"/>
  <c r="M51" i="4"/>
  <c r="P50" i="4"/>
  <c r="N50" i="4"/>
  <c r="M50" i="4"/>
  <c r="P49" i="4"/>
  <c r="N49" i="4"/>
  <c r="M49" i="4"/>
  <c r="P48" i="4"/>
  <c r="N48" i="4"/>
  <c r="M48" i="4"/>
  <c r="P47" i="4"/>
  <c r="N47" i="4"/>
  <c r="M47" i="4"/>
  <c r="P46" i="4"/>
  <c r="N46" i="4"/>
  <c r="M46" i="4"/>
  <c r="P45" i="4"/>
  <c r="N45" i="4"/>
  <c r="M45" i="4"/>
  <c r="P44" i="4"/>
  <c r="N44" i="4"/>
  <c r="M44" i="4"/>
  <c r="P43" i="4"/>
  <c r="N43" i="4"/>
  <c r="M43" i="4"/>
  <c r="P42" i="4"/>
  <c r="N42" i="4"/>
  <c r="M42" i="4"/>
  <c r="P41" i="4"/>
  <c r="N41" i="4"/>
  <c r="M41" i="4"/>
  <c r="P40" i="4"/>
  <c r="N40" i="4"/>
  <c r="M40" i="4"/>
  <c r="P39" i="4"/>
  <c r="N39" i="4"/>
  <c r="M39" i="4"/>
  <c r="P38" i="4"/>
  <c r="N38" i="4"/>
  <c r="M38" i="4"/>
  <c r="P37" i="4"/>
  <c r="N37" i="4"/>
  <c r="M37" i="4"/>
  <c r="P36" i="4"/>
  <c r="N36" i="4"/>
  <c r="M36" i="4"/>
  <c r="P35" i="4"/>
  <c r="N35" i="4"/>
  <c r="M35" i="4"/>
  <c r="P34" i="4"/>
  <c r="N34" i="4"/>
  <c r="M34" i="4"/>
  <c r="P33" i="4"/>
  <c r="N33" i="4"/>
  <c r="M33" i="4"/>
  <c r="P32" i="4"/>
  <c r="N32" i="4"/>
  <c r="M32" i="4"/>
  <c r="P31" i="4"/>
  <c r="N31" i="4"/>
  <c r="M31" i="4"/>
  <c r="P30" i="4"/>
  <c r="N30" i="4"/>
  <c r="M30" i="4"/>
  <c r="P29" i="4"/>
  <c r="N29" i="4"/>
  <c r="M29" i="4"/>
  <c r="P28" i="4"/>
  <c r="N28" i="4"/>
  <c r="M28" i="4"/>
  <c r="P27" i="4"/>
  <c r="N27" i="4"/>
  <c r="M27" i="4"/>
  <c r="P26" i="4"/>
  <c r="N26" i="4"/>
  <c r="M26" i="4"/>
  <c r="P25" i="4"/>
  <c r="N25" i="4"/>
  <c r="M25" i="4"/>
  <c r="P24" i="4"/>
  <c r="N24" i="4"/>
  <c r="M24" i="4"/>
  <c r="P23" i="4"/>
  <c r="N23" i="4"/>
  <c r="M23" i="4"/>
  <c r="P22" i="4"/>
  <c r="N22" i="4"/>
  <c r="M22" i="4"/>
  <c r="P21" i="4"/>
  <c r="N21" i="4"/>
  <c r="M21" i="4"/>
  <c r="P20" i="4"/>
  <c r="N20" i="4"/>
  <c r="M20" i="4"/>
  <c r="P19" i="4"/>
  <c r="N19" i="4"/>
  <c r="M19" i="4"/>
  <c r="P18" i="4"/>
  <c r="N18" i="4"/>
  <c r="M18" i="4"/>
  <c r="P17" i="4"/>
  <c r="N17" i="4"/>
  <c r="M17" i="4"/>
  <c r="P16" i="4"/>
  <c r="N16" i="4"/>
  <c r="M16" i="4"/>
  <c r="P15" i="4"/>
  <c r="N15" i="4"/>
  <c r="M15" i="4"/>
  <c r="P14" i="4"/>
  <c r="N14" i="4"/>
  <c r="M14" i="4"/>
  <c r="P13" i="4"/>
  <c r="N13" i="4"/>
  <c r="M13" i="4"/>
  <c r="P12" i="4"/>
  <c r="N12" i="4"/>
  <c r="M12" i="4"/>
  <c r="P11" i="4"/>
  <c r="N11" i="4"/>
  <c r="M11" i="4"/>
  <c r="P10" i="4"/>
  <c r="N10" i="4"/>
  <c r="M10" i="4"/>
  <c r="P9" i="4"/>
  <c r="N9" i="4"/>
  <c r="M9" i="4"/>
  <c r="P8" i="4"/>
  <c r="N8" i="4"/>
  <c r="M8" i="4"/>
  <c r="P7" i="4"/>
  <c r="N7" i="4"/>
  <c r="M7" i="4"/>
  <c r="P6" i="4"/>
  <c r="N6" i="4"/>
  <c r="M6" i="4"/>
  <c r="P5" i="4"/>
  <c r="N5" i="4"/>
  <c r="M5" i="4"/>
  <c r="P4" i="4"/>
  <c r="N4" i="4"/>
  <c r="M4" i="4"/>
  <c r="P3" i="4"/>
  <c r="N3" i="4"/>
  <c r="M3" i="4"/>
  <c r="P2" i="4"/>
  <c r="N2" i="4"/>
  <c r="M2" i="4"/>
  <c r="T332" i="3"/>
  <c r="S332" i="3"/>
  <c r="R332" i="3"/>
  <c r="Q332" i="3"/>
  <c r="P332" i="3"/>
  <c r="O332" i="3"/>
  <c r="N332" i="3"/>
  <c r="M332" i="3"/>
  <c r="T331" i="3"/>
  <c r="S331" i="3"/>
  <c r="R331" i="3"/>
  <c r="Q331" i="3"/>
  <c r="P331" i="3"/>
  <c r="O331" i="3"/>
  <c r="N331" i="3"/>
  <c r="M331" i="3"/>
  <c r="T330" i="3"/>
  <c r="S330" i="3"/>
  <c r="R330" i="3"/>
  <c r="Q330" i="3"/>
  <c r="P330" i="3"/>
  <c r="O330" i="3"/>
  <c r="N330" i="3"/>
  <c r="M330" i="3"/>
  <c r="T329" i="3"/>
  <c r="S329" i="3"/>
  <c r="R329" i="3"/>
  <c r="Q329" i="3"/>
  <c r="P329" i="3"/>
  <c r="O329" i="3"/>
  <c r="N329" i="3"/>
  <c r="M329" i="3"/>
  <c r="T328" i="3"/>
  <c r="S328" i="3"/>
  <c r="R328" i="3"/>
  <c r="Q328" i="3"/>
  <c r="P328" i="3"/>
  <c r="O328" i="3"/>
  <c r="N328" i="3"/>
  <c r="M328" i="3"/>
  <c r="T327" i="3"/>
  <c r="S327" i="3"/>
  <c r="R327" i="3"/>
  <c r="Q327" i="3"/>
  <c r="P327" i="3"/>
  <c r="O327" i="3"/>
  <c r="N327" i="3"/>
  <c r="M327" i="3"/>
  <c r="T326" i="3"/>
  <c r="S326" i="3"/>
  <c r="R326" i="3"/>
  <c r="Q326" i="3"/>
  <c r="P326" i="3"/>
  <c r="O326" i="3"/>
  <c r="N326" i="3"/>
  <c r="M326" i="3"/>
  <c r="T325" i="3"/>
  <c r="S325" i="3"/>
  <c r="R325" i="3"/>
  <c r="Q325" i="3"/>
  <c r="P325" i="3"/>
  <c r="O325" i="3"/>
  <c r="N325" i="3"/>
  <c r="M325" i="3"/>
  <c r="T324" i="3"/>
  <c r="S324" i="3"/>
  <c r="R324" i="3"/>
  <c r="Q324" i="3"/>
  <c r="P324" i="3"/>
  <c r="O324" i="3"/>
  <c r="N324" i="3"/>
  <c r="M324" i="3"/>
  <c r="T323" i="3"/>
  <c r="S323" i="3"/>
  <c r="R323" i="3"/>
  <c r="Q323" i="3"/>
  <c r="P323" i="3"/>
  <c r="O323" i="3"/>
  <c r="N323" i="3"/>
  <c r="M323" i="3"/>
  <c r="T322" i="3"/>
  <c r="S322" i="3"/>
  <c r="R322" i="3"/>
  <c r="Q322" i="3"/>
  <c r="P322" i="3"/>
  <c r="O322" i="3"/>
  <c r="N322" i="3"/>
  <c r="M322" i="3"/>
  <c r="T321" i="3"/>
  <c r="S321" i="3"/>
  <c r="R321" i="3"/>
  <c r="Q321" i="3"/>
  <c r="P321" i="3"/>
  <c r="O321" i="3"/>
  <c r="N321" i="3"/>
  <c r="M321" i="3"/>
  <c r="T320" i="3"/>
  <c r="S320" i="3"/>
  <c r="R320" i="3"/>
  <c r="Q320" i="3"/>
  <c r="P320" i="3"/>
  <c r="O320" i="3"/>
  <c r="N320" i="3"/>
  <c r="M320" i="3"/>
  <c r="T319" i="3"/>
  <c r="S319" i="3"/>
  <c r="R319" i="3"/>
  <c r="Q319" i="3"/>
  <c r="P319" i="3"/>
  <c r="O319" i="3"/>
  <c r="N319" i="3"/>
  <c r="M319" i="3"/>
  <c r="T318" i="3"/>
  <c r="S318" i="3"/>
  <c r="R318" i="3"/>
  <c r="Q318" i="3"/>
  <c r="P318" i="3"/>
  <c r="O318" i="3"/>
  <c r="N318" i="3"/>
  <c r="M318" i="3"/>
  <c r="T317" i="3"/>
  <c r="S317" i="3"/>
  <c r="R317" i="3"/>
  <c r="Q317" i="3"/>
  <c r="P317" i="3"/>
  <c r="O317" i="3"/>
  <c r="N317" i="3"/>
  <c r="M317" i="3"/>
  <c r="T316" i="3"/>
  <c r="S316" i="3"/>
  <c r="R316" i="3"/>
  <c r="Q316" i="3"/>
  <c r="P316" i="3"/>
  <c r="O316" i="3"/>
  <c r="N316" i="3"/>
  <c r="M316" i="3"/>
  <c r="T315" i="3"/>
  <c r="S315" i="3"/>
  <c r="R315" i="3"/>
  <c r="Q315" i="3"/>
  <c r="P315" i="3"/>
  <c r="O315" i="3"/>
  <c r="N315" i="3"/>
  <c r="M315" i="3"/>
  <c r="T314" i="3"/>
  <c r="S314" i="3"/>
  <c r="R314" i="3"/>
  <c r="Q314" i="3"/>
  <c r="P314" i="3"/>
  <c r="O314" i="3"/>
  <c r="N314" i="3"/>
  <c r="M314" i="3"/>
  <c r="T313" i="3"/>
  <c r="S313" i="3"/>
  <c r="R313" i="3"/>
  <c r="Q313" i="3"/>
  <c r="P313" i="3"/>
  <c r="O313" i="3"/>
  <c r="N313" i="3"/>
  <c r="M313" i="3"/>
  <c r="T312" i="3"/>
  <c r="S312" i="3"/>
  <c r="R312" i="3"/>
  <c r="Q312" i="3"/>
  <c r="P312" i="3"/>
  <c r="O312" i="3"/>
  <c r="N312" i="3"/>
  <c r="M312" i="3"/>
  <c r="T311" i="3"/>
  <c r="S311" i="3"/>
  <c r="R311" i="3"/>
  <c r="Q311" i="3"/>
  <c r="P311" i="3"/>
  <c r="O311" i="3"/>
  <c r="N311" i="3"/>
  <c r="M311" i="3"/>
  <c r="T310" i="3"/>
  <c r="S310" i="3"/>
  <c r="R310" i="3"/>
  <c r="Q310" i="3"/>
  <c r="P310" i="3"/>
  <c r="O310" i="3"/>
  <c r="N310" i="3"/>
  <c r="M310" i="3"/>
  <c r="T309" i="3"/>
  <c r="S309" i="3"/>
  <c r="R309" i="3"/>
  <c r="Q309" i="3"/>
  <c r="P309" i="3"/>
  <c r="O309" i="3"/>
  <c r="N309" i="3"/>
  <c r="M309" i="3"/>
  <c r="T308" i="3"/>
  <c r="S308" i="3"/>
  <c r="R308" i="3"/>
  <c r="Q308" i="3"/>
  <c r="P308" i="3"/>
  <c r="O308" i="3"/>
  <c r="N308" i="3"/>
  <c r="M308" i="3"/>
  <c r="T307" i="3"/>
  <c r="S307" i="3"/>
  <c r="R307" i="3"/>
  <c r="Q307" i="3"/>
  <c r="P307" i="3"/>
  <c r="O307" i="3"/>
  <c r="N307" i="3"/>
  <c r="M307" i="3"/>
  <c r="T306" i="3"/>
  <c r="S306" i="3"/>
  <c r="R306" i="3"/>
  <c r="Q306" i="3"/>
  <c r="P306" i="3"/>
  <c r="O306" i="3"/>
  <c r="N306" i="3"/>
  <c r="M306" i="3"/>
  <c r="T305" i="3"/>
  <c r="S305" i="3"/>
  <c r="R305" i="3"/>
  <c r="Q305" i="3"/>
  <c r="P305" i="3"/>
  <c r="O305" i="3"/>
  <c r="N305" i="3"/>
  <c r="M305" i="3"/>
  <c r="T304" i="3"/>
  <c r="S304" i="3"/>
  <c r="R304" i="3"/>
  <c r="Q304" i="3"/>
  <c r="P304" i="3"/>
  <c r="O304" i="3"/>
  <c r="N304" i="3"/>
  <c r="M304" i="3"/>
  <c r="T303" i="3"/>
  <c r="S303" i="3"/>
  <c r="R303" i="3"/>
  <c r="Q303" i="3"/>
  <c r="P303" i="3"/>
  <c r="O303" i="3"/>
  <c r="N303" i="3"/>
  <c r="M303" i="3"/>
  <c r="T302" i="3"/>
  <c r="S302" i="3"/>
  <c r="R302" i="3"/>
  <c r="Q302" i="3"/>
  <c r="P302" i="3"/>
  <c r="O302" i="3"/>
  <c r="N302" i="3"/>
  <c r="M302" i="3"/>
  <c r="T301" i="3"/>
  <c r="S301" i="3"/>
  <c r="R301" i="3"/>
  <c r="Q301" i="3"/>
  <c r="P301" i="3"/>
  <c r="O301" i="3"/>
  <c r="N301" i="3"/>
  <c r="M301" i="3"/>
  <c r="T300" i="3"/>
  <c r="S300" i="3"/>
  <c r="R300" i="3"/>
  <c r="Q300" i="3"/>
  <c r="P300" i="3"/>
  <c r="O300" i="3"/>
  <c r="N300" i="3"/>
  <c r="M300" i="3"/>
  <c r="T299" i="3"/>
  <c r="S299" i="3"/>
  <c r="R299" i="3"/>
  <c r="Q299" i="3"/>
  <c r="P299" i="3"/>
  <c r="O299" i="3"/>
  <c r="N299" i="3"/>
  <c r="M299" i="3"/>
  <c r="T298" i="3"/>
  <c r="S298" i="3"/>
  <c r="R298" i="3"/>
  <c r="Q298" i="3"/>
  <c r="P298" i="3"/>
  <c r="O298" i="3"/>
  <c r="N298" i="3"/>
  <c r="M298" i="3"/>
  <c r="T297" i="3"/>
  <c r="S297" i="3"/>
  <c r="R297" i="3"/>
  <c r="Q297" i="3"/>
  <c r="P297" i="3"/>
  <c r="O297" i="3"/>
  <c r="N297" i="3"/>
  <c r="M297" i="3"/>
  <c r="T296" i="3"/>
  <c r="S296" i="3"/>
  <c r="R296" i="3"/>
  <c r="Q296" i="3"/>
  <c r="P296" i="3"/>
  <c r="O296" i="3"/>
  <c r="N296" i="3"/>
  <c r="M296" i="3"/>
  <c r="T295" i="3"/>
  <c r="S295" i="3"/>
  <c r="R295" i="3"/>
  <c r="Q295" i="3"/>
  <c r="P295" i="3"/>
  <c r="O295" i="3"/>
  <c r="N295" i="3"/>
  <c r="M295" i="3"/>
  <c r="T294" i="3"/>
  <c r="S294" i="3"/>
  <c r="R294" i="3"/>
  <c r="Q294" i="3"/>
  <c r="P294" i="3"/>
  <c r="O294" i="3"/>
  <c r="N294" i="3"/>
  <c r="M294" i="3"/>
  <c r="T293" i="3"/>
  <c r="S293" i="3"/>
  <c r="R293" i="3"/>
  <c r="Q293" i="3"/>
  <c r="P293" i="3"/>
  <c r="O293" i="3"/>
  <c r="N293" i="3"/>
  <c r="M293" i="3"/>
  <c r="T292" i="3"/>
  <c r="S292" i="3"/>
  <c r="R292" i="3"/>
  <c r="Q292" i="3"/>
  <c r="P292" i="3"/>
  <c r="O292" i="3"/>
  <c r="N292" i="3"/>
  <c r="M292" i="3"/>
  <c r="T291" i="3"/>
  <c r="S291" i="3"/>
  <c r="R291" i="3"/>
  <c r="Q291" i="3"/>
  <c r="P291" i="3"/>
  <c r="O291" i="3"/>
  <c r="N291" i="3"/>
  <c r="M291" i="3"/>
  <c r="T290" i="3"/>
  <c r="S290" i="3"/>
  <c r="R290" i="3"/>
  <c r="Q290" i="3"/>
  <c r="P290" i="3"/>
  <c r="O290" i="3"/>
  <c r="N290" i="3"/>
  <c r="M290" i="3"/>
  <c r="T289" i="3"/>
  <c r="S289" i="3"/>
  <c r="R289" i="3"/>
  <c r="Q289" i="3"/>
  <c r="P289" i="3"/>
  <c r="O289" i="3"/>
  <c r="N289" i="3"/>
  <c r="M289" i="3"/>
  <c r="T288" i="3"/>
  <c r="S288" i="3"/>
  <c r="R288" i="3"/>
  <c r="Q288" i="3"/>
  <c r="P288" i="3"/>
  <c r="O288" i="3"/>
  <c r="N288" i="3"/>
  <c r="M288" i="3"/>
  <c r="T287" i="3"/>
  <c r="S287" i="3"/>
  <c r="R287" i="3"/>
  <c r="Q287" i="3"/>
  <c r="P287" i="3"/>
  <c r="O287" i="3"/>
  <c r="N287" i="3"/>
  <c r="M287" i="3"/>
  <c r="T286" i="3"/>
  <c r="S286" i="3"/>
  <c r="R286" i="3"/>
  <c r="Q286" i="3"/>
  <c r="P286" i="3"/>
  <c r="O286" i="3"/>
  <c r="N286" i="3"/>
  <c r="M286" i="3"/>
  <c r="T285" i="3"/>
  <c r="S285" i="3"/>
  <c r="R285" i="3"/>
  <c r="Q285" i="3"/>
  <c r="P285" i="3"/>
  <c r="O285" i="3"/>
  <c r="N285" i="3"/>
  <c r="M285" i="3"/>
  <c r="T284" i="3"/>
  <c r="S284" i="3"/>
  <c r="R284" i="3"/>
  <c r="Q284" i="3"/>
  <c r="P284" i="3"/>
  <c r="O284" i="3"/>
  <c r="N284" i="3"/>
  <c r="M284" i="3"/>
  <c r="T283" i="3"/>
  <c r="S283" i="3"/>
  <c r="R283" i="3"/>
  <c r="Q283" i="3"/>
  <c r="P283" i="3"/>
  <c r="O283" i="3"/>
  <c r="N283" i="3"/>
  <c r="M283" i="3"/>
  <c r="T282" i="3"/>
  <c r="S282" i="3"/>
  <c r="R282" i="3"/>
  <c r="Q282" i="3"/>
  <c r="P282" i="3"/>
  <c r="O282" i="3"/>
  <c r="N282" i="3"/>
  <c r="M282" i="3"/>
  <c r="T281" i="3"/>
  <c r="S281" i="3"/>
  <c r="R281" i="3"/>
  <c r="Q281" i="3"/>
  <c r="P281" i="3"/>
  <c r="O281" i="3"/>
  <c r="N281" i="3"/>
  <c r="M281" i="3"/>
  <c r="T280" i="3"/>
  <c r="S280" i="3"/>
  <c r="R280" i="3"/>
  <c r="Q280" i="3"/>
  <c r="P280" i="3"/>
  <c r="O280" i="3"/>
  <c r="N280" i="3"/>
  <c r="M280" i="3"/>
  <c r="T279" i="3"/>
  <c r="S279" i="3"/>
  <c r="R279" i="3"/>
  <c r="Q279" i="3"/>
  <c r="P279" i="3"/>
  <c r="O279" i="3"/>
  <c r="N279" i="3"/>
  <c r="M279" i="3"/>
  <c r="T278" i="3"/>
  <c r="S278" i="3"/>
  <c r="R278" i="3"/>
  <c r="Q278" i="3"/>
  <c r="P278" i="3"/>
  <c r="O278" i="3"/>
  <c r="N278" i="3"/>
  <c r="M278" i="3"/>
  <c r="T277" i="3"/>
  <c r="S277" i="3"/>
  <c r="R277" i="3"/>
  <c r="Q277" i="3"/>
  <c r="P277" i="3"/>
  <c r="O277" i="3"/>
  <c r="N277" i="3"/>
  <c r="M277" i="3"/>
  <c r="T276" i="3"/>
  <c r="S276" i="3"/>
  <c r="R276" i="3"/>
  <c r="Q276" i="3"/>
  <c r="P276" i="3"/>
  <c r="O276" i="3"/>
  <c r="N276" i="3"/>
  <c r="M276" i="3"/>
  <c r="T275" i="3"/>
  <c r="S275" i="3"/>
  <c r="R275" i="3"/>
  <c r="Q275" i="3"/>
  <c r="P275" i="3"/>
  <c r="O275" i="3"/>
  <c r="N275" i="3"/>
  <c r="M275" i="3"/>
  <c r="T274" i="3"/>
  <c r="S274" i="3"/>
  <c r="R274" i="3"/>
  <c r="Q274" i="3"/>
  <c r="P274" i="3"/>
  <c r="O274" i="3"/>
  <c r="N274" i="3"/>
  <c r="M274" i="3"/>
  <c r="T273" i="3"/>
  <c r="S273" i="3"/>
  <c r="R273" i="3"/>
  <c r="Q273" i="3"/>
  <c r="P273" i="3"/>
  <c r="O273" i="3"/>
  <c r="N273" i="3"/>
  <c r="M273" i="3"/>
  <c r="T272" i="3"/>
  <c r="S272" i="3"/>
  <c r="R272" i="3"/>
  <c r="Q272" i="3"/>
  <c r="P272" i="3"/>
  <c r="O272" i="3"/>
  <c r="N272" i="3"/>
  <c r="M272" i="3"/>
  <c r="T271" i="3"/>
  <c r="S271" i="3"/>
  <c r="R271" i="3"/>
  <c r="Q271" i="3"/>
  <c r="P271" i="3"/>
  <c r="O271" i="3"/>
  <c r="N271" i="3"/>
  <c r="M271" i="3"/>
  <c r="T270" i="3"/>
  <c r="S270" i="3"/>
  <c r="R270" i="3"/>
  <c r="Q270" i="3"/>
  <c r="P270" i="3"/>
  <c r="O270" i="3"/>
  <c r="N270" i="3"/>
  <c r="M270" i="3"/>
  <c r="T269" i="3"/>
  <c r="S269" i="3"/>
  <c r="R269" i="3"/>
  <c r="Q269" i="3"/>
  <c r="P269" i="3"/>
  <c r="O269" i="3"/>
  <c r="N269" i="3"/>
  <c r="M269" i="3"/>
  <c r="T268" i="3"/>
  <c r="S268" i="3"/>
  <c r="R268" i="3"/>
  <c r="Q268" i="3"/>
  <c r="P268" i="3"/>
  <c r="O268" i="3"/>
  <c r="N268" i="3"/>
  <c r="M268" i="3"/>
  <c r="T267" i="3"/>
  <c r="S267" i="3"/>
  <c r="R267" i="3"/>
  <c r="Q267" i="3"/>
  <c r="P267" i="3"/>
  <c r="O267" i="3"/>
  <c r="N267" i="3"/>
  <c r="M267" i="3"/>
  <c r="T266" i="3"/>
  <c r="S266" i="3"/>
  <c r="R266" i="3"/>
  <c r="Q266" i="3"/>
  <c r="P266" i="3"/>
  <c r="O266" i="3"/>
  <c r="N266" i="3"/>
  <c r="M266" i="3"/>
  <c r="T265" i="3"/>
  <c r="S265" i="3"/>
  <c r="R265" i="3"/>
  <c r="Q265" i="3"/>
  <c r="P265" i="3"/>
  <c r="O265" i="3"/>
  <c r="N265" i="3"/>
  <c r="M265" i="3"/>
  <c r="T264" i="3"/>
  <c r="S264" i="3"/>
  <c r="R264" i="3"/>
  <c r="Q264" i="3"/>
  <c r="P264" i="3"/>
  <c r="O264" i="3"/>
  <c r="N264" i="3"/>
  <c r="M264" i="3"/>
  <c r="T263" i="3"/>
  <c r="S263" i="3"/>
  <c r="R263" i="3"/>
  <c r="Q263" i="3"/>
  <c r="P263" i="3"/>
  <c r="O263" i="3"/>
  <c r="N263" i="3"/>
  <c r="M263" i="3"/>
  <c r="T262" i="3"/>
  <c r="S262" i="3"/>
  <c r="R262" i="3"/>
  <c r="Q262" i="3"/>
  <c r="P262" i="3"/>
  <c r="O262" i="3"/>
  <c r="N262" i="3"/>
  <c r="M262" i="3"/>
  <c r="T261" i="3"/>
  <c r="S261" i="3"/>
  <c r="R261" i="3"/>
  <c r="Q261" i="3"/>
  <c r="P261" i="3"/>
  <c r="O261" i="3"/>
  <c r="N261" i="3"/>
  <c r="M261" i="3"/>
  <c r="T260" i="3"/>
  <c r="S260" i="3"/>
  <c r="R260" i="3"/>
  <c r="Q260" i="3"/>
  <c r="P260" i="3"/>
  <c r="O260" i="3"/>
  <c r="N260" i="3"/>
  <c r="M260" i="3"/>
  <c r="T259" i="3"/>
  <c r="S259" i="3"/>
  <c r="R259" i="3"/>
  <c r="Q259" i="3"/>
  <c r="P259" i="3"/>
  <c r="O259" i="3"/>
  <c r="N259" i="3"/>
  <c r="M259" i="3"/>
  <c r="T258" i="3"/>
  <c r="S258" i="3"/>
  <c r="R258" i="3"/>
  <c r="Q258" i="3"/>
  <c r="P258" i="3"/>
  <c r="O258" i="3"/>
  <c r="N258" i="3"/>
  <c r="M258" i="3"/>
  <c r="T257" i="3"/>
  <c r="S257" i="3"/>
  <c r="R257" i="3"/>
  <c r="Q257" i="3"/>
  <c r="P257" i="3"/>
  <c r="O257" i="3"/>
  <c r="N257" i="3"/>
  <c r="M257" i="3"/>
  <c r="T256" i="3"/>
  <c r="S256" i="3"/>
  <c r="R256" i="3"/>
  <c r="Q256" i="3"/>
  <c r="P256" i="3"/>
  <c r="O256" i="3"/>
  <c r="N256" i="3"/>
  <c r="M256" i="3"/>
  <c r="T255" i="3"/>
  <c r="S255" i="3"/>
  <c r="R255" i="3"/>
  <c r="Q255" i="3"/>
  <c r="P255" i="3"/>
  <c r="O255" i="3"/>
  <c r="N255" i="3"/>
  <c r="M255" i="3"/>
  <c r="T254" i="3"/>
  <c r="S254" i="3"/>
  <c r="R254" i="3"/>
  <c r="Q254" i="3"/>
  <c r="P254" i="3"/>
  <c r="O254" i="3"/>
  <c r="N254" i="3"/>
  <c r="M254" i="3"/>
  <c r="T253" i="3"/>
  <c r="S253" i="3"/>
  <c r="R253" i="3"/>
  <c r="Q253" i="3"/>
  <c r="P253" i="3"/>
  <c r="O253" i="3"/>
  <c r="N253" i="3"/>
  <c r="M253" i="3"/>
  <c r="T252" i="3"/>
  <c r="S252" i="3"/>
  <c r="R252" i="3"/>
  <c r="Q252" i="3"/>
  <c r="P252" i="3"/>
  <c r="O252" i="3"/>
  <c r="N252" i="3"/>
  <c r="M252" i="3"/>
  <c r="T251" i="3"/>
  <c r="S251" i="3"/>
  <c r="R251" i="3"/>
  <c r="Q251" i="3"/>
  <c r="P251" i="3"/>
  <c r="O251" i="3"/>
  <c r="N251" i="3"/>
  <c r="M251" i="3"/>
  <c r="T250" i="3"/>
  <c r="S250" i="3"/>
  <c r="R250" i="3"/>
  <c r="Q250" i="3"/>
  <c r="P250" i="3"/>
  <c r="O250" i="3"/>
  <c r="N250" i="3"/>
  <c r="M250" i="3"/>
  <c r="T249" i="3"/>
  <c r="S249" i="3"/>
  <c r="R249" i="3"/>
  <c r="Q249" i="3"/>
  <c r="P249" i="3"/>
  <c r="O249" i="3"/>
  <c r="N249" i="3"/>
  <c r="M249" i="3"/>
  <c r="T248" i="3"/>
  <c r="S248" i="3"/>
  <c r="R248" i="3"/>
  <c r="Q248" i="3"/>
  <c r="P248" i="3"/>
  <c r="O248" i="3"/>
  <c r="N248" i="3"/>
  <c r="M248" i="3"/>
  <c r="T247" i="3"/>
  <c r="S247" i="3"/>
  <c r="R247" i="3"/>
  <c r="Q247" i="3"/>
  <c r="P247" i="3"/>
  <c r="O247" i="3"/>
  <c r="N247" i="3"/>
  <c r="M247" i="3"/>
  <c r="T246" i="3"/>
  <c r="S246" i="3"/>
  <c r="R246" i="3"/>
  <c r="Q246" i="3"/>
  <c r="P246" i="3"/>
  <c r="O246" i="3"/>
  <c r="N246" i="3"/>
  <c r="M246" i="3"/>
  <c r="T245" i="3"/>
  <c r="S245" i="3"/>
  <c r="R245" i="3"/>
  <c r="Q245" i="3"/>
  <c r="P245" i="3"/>
  <c r="O245" i="3"/>
  <c r="N245" i="3"/>
  <c r="M245" i="3"/>
  <c r="T244" i="3"/>
  <c r="S244" i="3"/>
  <c r="R244" i="3"/>
  <c r="Q244" i="3"/>
  <c r="P244" i="3"/>
  <c r="O244" i="3"/>
  <c r="N244" i="3"/>
  <c r="M244" i="3"/>
  <c r="T243" i="3"/>
  <c r="S243" i="3"/>
  <c r="R243" i="3"/>
  <c r="Q243" i="3"/>
  <c r="P243" i="3"/>
  <c r="O243" i="3"/>
  <c r="N243" i="3"/>
  <c r="M243" i="3"/>
  <c r="T242" i="3"/>
  <c r="S242" i="3"/>
  <c r="R242" i="3"/>
  <c r="Q242" i="3"/>
  <c r="P242" i="3"/>
  <c r="O242" i="3"/>
  <c r="N242" i="3"/>
  <c r="M242" i="3"/>
  <c r="T241" i="3"/>
  <c r="S241" i="3"/>
  <c r="R241" i="3"/>
  <c r="Q241" i="3"/>
  <c r="P241" i="3"/>
  <c r="O241" i="3"/>
  <c r="N241" i="3"/>
  <c r="M241" i="3"/>
  <c r="T240" i="3"/>
  <c r="S240" i="3"/>
  <c r="R240" i="3"/>
  <c r="Q240" i="3"/>
  <c r="P240" i="3"/>
  <c r="O240" i="3"/>
  <c r="N240" i="3"/>
  <c r="M240" i="3"/>
  <c r="T239" i="3"/>
  <c r="S239" i="3"/>
  <c r="R239" i="3"/>
  <c r="Q239" i="3"/>
  <c r="P239" i="3"/>
  <c r="O239" i="3"/>
  <c r="N239" i="3"/>
  <c r="M239" i="3"/>
  <c r="T238" i="3"/>
  <c r="S238" i="3"/>
  <c r="R238" i="3"/>
  <c r="Q238" i="3"/>
  <c r="P238" i="3"/>
  <c r="O238" i="3"/>
  <c r="N238" i="3"/>
  <c r="M238" i="3"/>
  <c r="T237" i="3"/>
  <c r="S237" i="3"/>
  <c r="R237" i="3"/>
  <c r="Q237" i="3"/>
  <c r="P237" i="3"/>
  <c r="O237" i="3"/>
  <c r="N237" i="3"/>
  <c r="M237" i="3"/>
  <c r="T236" i="3"/>
  <c r="S236" i="3"/>
  <c r="R236" i="3"/>
  <c r="Q236" i="3"/>
  <c r="P236" i="3"/>
  <c r="O236" i="3"/>
  <c r="N236" i="3"/>
  <c r="M236" i="3"/>
  <c r="T235" i="3"/>
  <c r="S235" i="3"/>
  <c r="R235" i="3"/>
  <c r="Q235" i="3"/>
  <c r="P235" i="3"/>
  <c r="O235" i="3"/>
  <c r="N235" i="3"/>
  <c r="M235" i="3"/>
  <c r="T234" i="3"/>
  <c r="S234" i="3"/>
  <c r="R234" i="3"/>
  <c r="Q234" i="3"/>
  <c r="P234" i="3"/>
  <c r="O234" i="3"/>
  <c r="N234" i="3"/>
  <c r="M234" i="3"/>
  <c r="T233" i="3"/>
  <c r="S233" i="3"/>
  <c r="R233" i="3"/>
  <c r="Q233" i="3"/>
  <c r="P233" i="3"/>
  <c r="O233" i="3"/>
  <c r="N233" i="3"/>
  <c r="M233" i="3"/>
  <c r="T232" i="3"/>
  <c r="S232" i="3"/>
  <c r="R232" i="3"/>
  <c r="Q232" i="3"/>
  <c r="P232" i="3"/>
  <c r="O232" i="3"/>
  <c r="N232" i="3"/>
  <c r="M232" i="3"/>
  <c r="T231" i="3"/>
  <c r="S231" i="3"/>
  <c r="R231" i="3"/>
  <c r="Q231" i="3"/>
  <c r="P231" i="3"/>
  <c r="O231" i="3"/>
  <c r="N231" i="3"/>
  <c r="M231" i="3"/>
  <c r="T230" i="3"/>
  <c r="S230" i="3"/>
  <c r="R230" i="3"/>
  <c r="Q230" i="3"/>
  <c r="P230" i="3"/>
  <c r="O230" i="3"/>
  <c r="N230" i="3"/>
  <c r="M230" i="3"/>
  <c r="T229" i="3"/>
  <c r="S229" i="3"/>
  <c r="R229" i="3"/>
  <c r="Q229" i="3"/>
  <c r="P229" i="3"/>
  <c r="O229" i="3"/>
  <c r="N229" i="3"/>
  <c r="M229" i="3"/>
  <c r="T228" i="3"/>
  <c r="S228" i="3"/>
  <c r="R228" i="3"/>
  <c r="Q228" i="3"/>
  <c r="P228" i="3"/>
  <c r="O228" i="3"/>
  <c r="N228" i="3"/>
  <c r="M228" i="3"/>
  <c r="T227" i="3"/>
  <c r="S227" i="3"/>
  <c r="R227" i="3"/>
  <c r="Q227" i="3"/>
  <c r="P227" i="3"/>
  <c r="O227" i="3"/>
  <c r="N227" i="3"/>
  <c r="M227" i="3"/>
  <c r="T226" i="3"/>
  <c r="S226" i="3"/>
  <c r="R226" i="3"/>
  <c r="Q226" i="3"/>
  <c r="P226" i="3"/>
  <c r="O226" i="3"/>
  <c r="N226" i="3"/>
  <c r="M226" i="3"/>
  <c r="T225" i="3"/>
  <c r="S225" i="3"/>
  <c r="R225" i="3"/>
  <c r="Q225" i="3"/>
  <c r="P225" i="3"/>
  <c r="O225" i="3"/>
  <c r="N225" i="3"/>
  <c r="M225" i="3"/>
  <c r="T224" i="3"/>
  <c r="S224" i="3"/>
  <c r="R224" i="3"/>
  <c r="Q224" i="3"/>
  <c r="P224" i="3"/>
  <c r="O224" i="3"/>
  <c r="N224" i="3"/>
  <c r="M224" i="3"/>
  <c r="T223" i="3"/>
  <c r="S223" i="3"/>
  <c r="R223" i="3"/>
  <c r="Q223" i="3"/>
  <c r="P223" i="3"/>
  <c r="O223" i="3"/>
  <c r="N223" i="3"/>
  <c r="M223" i="3"/>
  <c r="T222" i="3"/>
  <c r="S222" i="3"/>
  <c r="R222" i="3"/>
  <c r="Q222" i="3"/>
  <c r="P222" i="3"/>
  <c r="O222" i="3"/>
  <c r="N222" i="3"/>
  <c r="M222" i="3"/>
  <c r="T221" i="3"/>
  <c r="S221" i="3"/>
  <c r="R221" i="3"/>
  <c r="Q221" i="3"/>
  <c r="P221" i="3"/>
  <c r="O221" i="3"/>
  <c r="N221" i="3"/>
  <c r="M221" i="3"/>
  <c r="T220" i="3"/>
  <c r="S220" i="3"/>
  <c r="R220" i="3"/>
  <c r="Q220" i="3"/>
  <c r="P220" i="3"/>
  <c r="O220" i="3"/>
  <c r="N220" i="3"/>
  <c r="M220" i="3"/>
  <c r="T219" i="3"/>
  <c r="S219" i="3"/>
  <c r="R219" i="3"/>
  <c r="Q219" i="3"/>
  <c r="P219" i="3"/>
  <c r="O219" i="3"/>
  <c r="N219" i="3"/>
  <c r="M219" i="3"/>
  <c r="T218" i="3"/>
  <c r="S218" i="3"/>
  <c r="R218" i="3"/>
  <c r="Q218" i="3"/>
  <c r="P218" i="3"/>
  <c r="O218" i="3"/>
  <c r="N218" i="3"/>
  <c r="M218" i="3"/>
  <c r="T217" i="3"/>
  <c r="S217" i="3"/>
  <c r="R217" i="3"/>
  <c r="Q217" i="3"/>
  <c r="P217" i="3"/>
  <c r="O217" i="3"/>
  <c r="N217" i="3"/>
  <c r="M217" i="3"/>
  <c r="T216" i="3"/>
  <c r="S216" i="3"/>
  <c r="R216" i="3"/>
  <c r="Q216" i="3"/>
  <c r="P216" i="3"/>
  <c r="O216" i="3"/>
  <c r="N216" i="3"/>
  <c r="M216" i="3"/>
  <c r="T215" i="3"/>
  <c r="S215" i="3"/>
  <c r="R215" i="3"/>
  <c r="Q215" i="3"/>
  <c r="P215" i="3"/>
  <c r="O215" i="3"/>
  <c r="N215" i="3"/>
  <c r="M215" i="3"/>
  <c r="T214" i="3"/>
  <c r="S214" i="3"/>
  <c r="R214" i="3"/>
  <c r="Q214" i="3"/>
  <c r="P214" i="3"/>
  <c r="O214" i="3"/>
  <c r="N214" i="3"/>
  <c r="M214" i="3"/>
  <c r="T213" i="3"/>
  <c r="S213" i="3"/>
  <c r="R213" i="3"/>
  <c r="Q213" i="3"/>
  <c r="P213" i="3"/>
  <c r="O213" i="3"/>
  <c r="N213" i="3"/>
  <c r="M213" i="3"/>
  <c r="T212" i="3"/>
  <c r="S212" i="3"/>
  <c r="R212" i="3"/>
  <c r="Q212" i="3"/>
  <c r="P212" i="3"/>
  <c r="O212" i="3"/>
  <c r="N212" i="3"/>
  <c r="M212" i="3"/>
  <c r="T211" i="3"/>
  <c r="S211" i="3"/>
  <c r="R211" i="3"/>
  <c r="Q211" i="3"/>
  <c r="P211" i="3"/>
  <c r="O211" i="3"/>
  <c r="N211" i="3"/>
  <c r="M211" i="3"/>
  <c r="T210" i="3"/>
  <c r="S210" i="3"/>
  <c r="R210" i="3"/>
  <c r="Q210" i="3"/>
  <c r="P210" i="3"/>
  <c r="O210" i="3"/>
  <c r="N210" i="3"/>
  <c r="M210" i="3"/>
  <c r="T209" i="3"/>
  <c r="S209" i="3"/>
  <c r="R209" i="3"/>
  <c r="Q209" i="3"/>
  <c r="P209" i="3"/>
  <c r="O209" i="3"/>
  <c r="N209" i="3"/>
  <c r="M209" i="3"/>
  <c r="T208" i="3"/>
  <c r="S208" i="3"/>
  <c r="R208" i="3"/>
  <c r="Q208" i="3"/>
  <c r="P208" i="3"/>
  <c r="O208" i="3"/>
  <c r="N208" i="3"/>
  <c r="M208" i="3"/>
  <c r="T207" i="3"/>
  <c r="S207" i="3"/>
  <c r="R207" i="3"/>
  <c r="Q207" i="3"/>
  <c r="P207" i="3"/>
  <c r="O207" i="3"/>
  <c r="N207" i="3"/>
  <c r="M207" i="3"/>
  <c r="T206" i="3"/>
  <c r="S206" i="3"/>
  <c r="R206" i="3"/>
  <c r="Q206" i="3"/>
  <c r="P206" i="3"/>
  <c r="O206" i="3"/>
  <c r="N206" i="3"/>
  <c r="M206" i="3"/>
  <c r="T205" i="3"/>
  <c r="S205" i="3"/>
  <c r="R205" i="3"/>
  <c r="Q205" i="3"/>
  <c r="P205" i="3"/>
  <c r="O205" i="3"/>
  <c r="N205" i="3"/>
  <c r="M205" i="3"/>
  <c r="T204" i="3"/>
  <c r="S204" i="3"/>
  <c r="R204" i="3"/>
  <c r="Q204" i="3"/>
  <c r="P204" i="3"/>
  <c r="O204" i="3"/>
  <c r="N204" i="3"/>
  <c r="M204" i="3"/>
  <c r="T203" i="3"/>
  <c r="S203" i="3"/>
  <c r="R203" i="3"/>
  <c r="Q203" i="3"/>
  <c r="P203" i="3"/>
  <c r="O203" i="3"/>
  <c r="N203" i="3"/>
  <c r="M203" i="3"/>
  <c r="T202" i="3"/>
  <c r="S202" i="3"/>
  <c r="R202" i="3"/>
  <c r="Q202" i="3"/>
  <c r="P202" i="3"/>
  <c r="O202" i="3"/>
  <c r="N202" i="3"/>
  <c r="M202" i="3"/>
  <c r="T201" i="3"/>
  <c r="S201" i="3"/>
  <c r="R201" i="3"/>
  <c r="Q201" i="3"/>
  <c r="P201" i="3"/>
  <c r="O201" i="3"/>
  <c r="N201" i="3"/>
  <c r="M201" i="3"/>
  <c r="T200" i="3"/>
  <c r="S200" i="3"/>
  <c r="R200" i="3"/>
  <c r="Q200" i="3"/>
  <c r="P200" i="3"/>
  <c r="O200" i="3"/>
  <c r="N200" i="3"/>
  <c r="M200" i="3"/>
  <c r="T199" i="3"/>
  <c r="S199" i="3"/>
  <c r="R199" i="3"/>
  <c r="Q199" i="3"/>
  <c r="P199" i="3"/>
  <c r="O199" i="3"/>
  <c r="N199" i="3"/>
  <c r="M199" i="3"/>
  <c r="T198" i="3"/>
  <c r="S198" i="3"/>
  <c r="R198" i="3"/>
  <c r="Q198" i="3"/>
  <c r="P198" i="3"/>
  <c r="O198" i="3"/>
  <c r="N198" i="3"/>
  <c r="M198" i="3"/>
  <c r="T197" i="3"/>
  <c r="S197" i="3"/>
  <c r="R197" i="3"/>
  <c r="Q197" i="3"/>
  <c r="P197" i="3"/>
  <c r="O197" i="3"/>
  <c r="N197" i="3"/>
  <c r="M197" i="3"/>
  <c r="T196" i="3"/>
  <c r="S196" i="3"/>
  <c r="R196" i="3"/>
  <c r="Q196" i="3"/>
  <c r="P196" i="3"/>
  <c r="O196" i="3"/>
  <c r="N196" i="3"/>
  <c r="M196" i="3"/>
  <c r="T195" i="3"/>
  <c r="S195" i="3"/>
  <c r="R195" i="3"/>
  <c r="Q195" i="3"/>
  <c r="P195" i="3"/>
  <c r="O195" i="3"/>
  <c r="N195" i="3"/>
  <c r="M195" i="3"/>
  <c r="T194" i="3"/>
  <c r="S194" i="3"/>
  <c r="R194" i="3"/>
  <c r="Q194" i="3"/>
  <c r="P194" i="3"/>
  <c r="O194" i="3"/>
  <c r="N194" i="3"/>
  <c r="M194" i="3"/>
  <c r="T193" i="3"/>
  <c r="S193" i="3"/>
  <c r="R193" i="3"/>
  <c r="Q193" i="3"/>
  <c r="P193" i="3"/>
  <c r="O193" i="3"/>
  <c r="N193" i="3"/>
  <c r="M193" i="3"/>
  <c r="T192" i="3"/>
  <c r="S192" i="3"/>
  <c r="R192" i="3"/>
  <c r="Q192" i="3"/>
  <c r="P192" i="3"/>
  <c r="O192" i="3"/>
  <c r="N192" i="3"/>
  <c r="M192" i="3"/>
  <c r="T191" i="3"/>
  <c r="S191" i="3"/>
  <c r="R191" i="3"/>
  <c r="Q191" i="3"/>
  <c r="P191" i="3"/>
  <c r="O191" i="3"/>
  <c r="N191" i="3"/>
  <c r="M191" i="3"/>
  <c r="T190" i="3"/>
  <c r="S190" i="3"/>
  <c r="R190" i="3"/>
  <c r="Q190" i="3"/>
  <c r="P190" i="3"/>
  <c r="O190" i="3"/>
  <c r="N190" i="3"/>
  <c r="M190" i="3"/>
  <c r="T189" i="3"/>
  <c r="S189" i="3"/>
  <c r="R189" i="3"/>
  <c r="Q189" i="3"/>
  <c r="P189" i="3"/>
  <c r="O189" i="3"/>
  <c r="N189" i="3"/>
  <c r="M189" i="3"/>
  <c r="T188" i="3"/>
  <c r="S188" i="3"/>
  <c r="R188" i="3"/>
  <c r="Q188" i="3"/>
  <c r="P188" i="3"/>
  <c r="O188" i="3"/>
  <c r="N188" i="3"/>
  <c r="M188" i="3"/>
  <c r="T187" i="3"/>
  <c r="S187" i="3"/>
  <c r="R187" i="3"/>
  <c r="Q187" i="3"/>
  <c r="P187" i="3"/>
  <c r="O187" i="3"/>
  <c r="N187" i="3"/>
  <c r="M187" i="3"/>
  <c r="T186" i="3"/>
  <c r="S186" i="3"/>
  <c r="R186" i="3"/>
  <c r="Q186" i="3"/>
  <c r="P186" i="3"/>
  <c r="O186" i="3"/>
  <c r="N186" i="3"/>
  <c r="M186" i="3"/>
  <c r="T185" i="3"/>
  <c r="S185" i="3"/>
  <c r="R185" i="3"/>
  <c r="Q185" i="3"/>
  <c r="P185" i="3"/>
  <c r="O185" i="3"/>
  <c r="N185" i="3"/>
  <c r="M185" i="3"/>
  <c r="T184" i="3"/>
  <c r="S184" i="3"/>
  <c r="R184" i="3"/>
  <c r="Q184" i="3"/>
  <c r="P184" i="3"/>
  <c r="O184" i="3"/>
  <c r="N184" i="3"/>
  <c r="M184" i="3"/>
  <c r="T183" i="3"/>
  <c r="S183" i="3"/>
  <c r="R183" i="3"/>
  <c r="Q183" i="3"/>
  <c r="P183" i="3"/>
  <c r="O183" i="3"/>
  <c r="N183" i="3"/>
  <c r="M183" i="3"/>
  <c r="T182" i="3"/>
  <c r="S182" i="3"/>
  <c r="R182" i="3"/>
  <c r="Q182" i="3"/>
  <c r="P182" i="3"/>
  <c r="O182" i="3"/>
  <c r="N182" i="3"/>
  <c r="M182" i="3"/>
  <c r="T181" i="3"/>
  <c r="S181" i="3"/>
  <c r="R181" i="3"/>
  <c r="Q181" i="3"/>
  <c r="P181" i="3"/>
  <c r="O181" i="3"/>
  <c r="N181" i="3"/>
  <c r="M181" i="3"/>
  <c r="T180" i="3"/>
  <c r="S180" i="3"/>
  <c r="R180" i="3"/>
  <c r="Q180" i="3"/>
  <c r="P180" i="3"/>
  <c r="O180" i="3"/>
  <c r="N180" i="3"/>
  <c r="M180" i="3"/>
  <c r="T179" i="3"/>
  <c r="S179" i="3"/>
  <c r="R179" i="3"/>
  <c r="Q179" i="3"/>
  <c r="P179" i="3"/>
  <c r="O179" i="3"/>
  <c r="N179" i="3"/>
  <c r="M179" i="3"/>
  <c r="T178" i="3"/>
  <c r="S178" i="3"/>
  <c r="R178" i="3"/>
  <c r="Q178" i="3"/>
  <c r="P178" i="3"/>
  <c r="O178" i="3"/>
  <c r="N178" i="3"/>
  <c r="M178" i="3"/>
  <c r="T177" i="3"/>
  <c r="S177" i="3"/>
  <c r="R177" i="3"/>
  <c r="Q177" i="3"/>
  <c r="P177" i="3"/>
  <c r="O177" i="3"/>
  <c r="N177" i="3"/>
  <c r="M177" i="3"/>
  <c r="T176" i="3"/>
  <c r="S176" i="3"/>
  <c r="R176" i="3"/>
  <c r="Q176" i="3"/>
  <c r="P176" i="3"/>
  <c r="O176" i="3"/>
  <c r="N176" i="3"/>
  <c r="M176" i="3"/>
  <c r="T175" i="3"/>
  <c r="S175" i="3"/>
  <c r="R175" i="3"/>
  <c r="Q175" i="3"/>
  <c r="P175" i="3"/>
  <c r="O175" i="3"/>
  <c r="N175" i="3"/>
  <c r="M175" i="3"/>
  <c r="T174" i="3"/>
  <c r="S174" i="3"/>
  <c r="R174" i="3"/>
  <c r="Q174" i="3"/>
  <c r="P174" i="3"/>
  <c r="O174" i="3"/>
  <c r="N174" i="3"/>
  <c r="M174" i="3"/>
  <c r="T173" i="3"/>
  <c r="S173" i="3"/>
  <c r="R173" i="3"/>
  <c r="Q173" i="3"/>
  <c r="P173" i="3"/>
  <c r="O173" i="3"/>
  <c r="N173" i="3"/>
  <c r="M173" i="3"/>
  <c r="T172" i="3"/>
  <c r="S172" i="3"/>
  <c r="R172" i="3"/>
  <c r="Q172" i="3"/>
  <c r="P172" i="3"/>
  <c r="O172" i="3"/>
  <c r="N172" i="3"/>
  <c r="M172" i="3"/>
  <c r="T171" i="3"/>
  <c r="S171" i="3"/>
  <c r="R171" i="3"/>
  <c r="Q171" i="3"/>
  <c r="P171" i="3"/>
  <c r="O171" i="3"/>
  <c r="N171" i="3"/>
  <c r="M171" i="3"/>
  <c r="T170" i="3"/>
  <c r="S170" i="3"/>
  <c r="R170" i="3"/>
  <c r="Q170" i="3"/>
  <c r="P170" i="3"/>
  <c r="O170" i="3"/>
  <c r="N170" i="3"/>
  <c r="M170" i="3"/>
  <c r="T169" i="3"/>
  <c r="S169" i="3"/>
  <c r="R169" i="3"/>
  <c r="Q169" i="3"/>
  <c r="P169" i="3"/>
  <c r="O169" i="3"/>
  <c r="N169" i="3"/>
  <c r="M169" i="3"/>
  <c r="T168" i="3"/>
  <c r="S168" i="3"/>
  <c r="R168" i="3"/>
  <c r="Q168" i="3"/>
  <c r="P168" i="3"/>
  <c r="O168" i="3"/>
  <c r="N168" i="3"/>
  <c r="M168" i="3"/>
  <c r="T167" i="3"/>
  <c r="S167" i="3"/>
  <c r="R167" i="3"/>
  <c r="Q167" i="3"/>
  <c r="P167" i="3"/>
  <c r="O167" i="3"/>
  <c r="N167" i="3"/>
  <c r="M167" i="3"/>
  <c r="T166" i="3"/>
  <c r="S166" i="3"/>
  <c r="R166" i="3"/>
  <c r="Q166" i="3"/>
  <c r="P166" i="3"/>
  <c r="O166" i="3"/>
  <c r="N166" i="3"/>
  <c r="M166" i="3"/>
  <c r="T165" i="3"/>
  <c r="S165" i="3"/>
  <c r="R165" i="3"/>
  <c r="Q165" i="3"/>
  <c r="P165" i="3"/>
  <c r="O165" i="3"/>
  <c r="N165" i="3"/>
  <c r="M165" i="3"/>
  <c r="T164" i="3"/>
  <c r="S164" i="3"/>
  <c r="R164" i="3"/>
  <c r="Q164" i="3"/>
  <c r="P164" i="3"/>
  <c r="O164" i="3"/>
  <c r="N164" i="3"/>
  <c r="M164" i="3"/>
  <c r="T163" i="3"/>
  <c r="S163" i="3"/>
  <c r="R163" i="3"/>
  <c r="Q163" i="3"/>
  <c r="P163" i="3"/>
  <c r="O163" i="3"/>
  <c r="N163" i="3"/>
  <c r="M163" i="3"/>
  <c r="T162" i="3"/>
  <c r="S162" i="3"/>
  <c r="R162" i="3"/>
  <c r="Q162" i="3"/>
  <c r="P162" i="3"/>
  <c r="O162" i="3"/>
  <c r="N162" i="3"/>
  <c r="M162" i="3"/>
  <c r="T161" i="3"/>
  <c r="S161" i="3"/>
  <c r="R161" i="3"/>
  <c r="Q161" i="3"/>
  <c r="P161" i="3"/>
  <c r="O161" i="3"/>
  <c r="N161" i="3"/>
  <c r="M161" i="3"/>
  <c r="T160" i="3"/>
  <c r="S160" i="3"/>
  <c r="R160" i="3"/>
  <c r="Q160" i="3"/>
  <c r="P160" i="3"/>
  <c r="O160" i="3"/>
  <c r="N160" i="3"/>
  <c r="M160" i="3"/>
  <c r="T159" i="3"/>
  <c r="S159" i="3"/>
  <c r="R159" i="3"/>
  <c r="Q159" i="3"/>
  <c r="P159" i="3"/>
  <c r="O159" i="3"/>
  <c r="N159" i="3"/>
  <c r="M159" i="3"/>
  <c r="T158" i="3"/>
  <c r="S158" i="3"/>
  <c r="R158" i="3"/>
  <c r="Q158" i="3"/>
  <c r="P158" i="3"/>
  <c r="O158" i="3"/>
  <c r="N158" i="3"/>
  <c r="M158" i="3"/>
  <c r="T157" i="3"/>
  <c r="S157" i="3"/>
  <c r="R157" i="3"/>
  <c r="Q157" i="3"/>
  <c r="P157" i="3"/>
  <c r="O157" i="3"/>
  <c r="N157" i="3"/>
  <c r="M157" i="3"/>
  <c r="T156" i="3"/>
  <c r="S156" i="3"/>
  <c r="R156" i="3"/>
  <c r="Q156" i="3"/>
  <c r="P156" i="3"/>
  <c r="O156" i="3"/>
  <c r="N156" i="3"/>
  <c r="M156" i="3"/>
  <c r="T155" i="3"/>
  <c r="S155" i="3"/>
  <c r="R155" i="3"/>
  <c r="Q155" i="3"/>
  <c r="P155" i="3"/>
  <c r="O155" i="3"/>
  <c r="N155" i="3"/>
  <c r="M155" i="3"/>
  <c r="T154" i="3"/>
  <c r="S154" i="3"/>
  <c r="R154" i="3"/>
  <c r="Q154" i="3"/>
  <c r="P154" i="3"/>
  <c r="O154" i="3"/>
  <c r="N154" i="3"/>
  <c r="M154" i="3"/>
  <c r="T153" i="3"/>
  <c r="S153" i="3"/>
  <c r="R153" i="3"/>
  <c r="Q153" i="3"/>
  <c r="P153" i="3"/>
  <c r="O153" i="3"/>
  <c r="N153" i="3"/>
  <c r="M153" i="3"/>
  <c r="T152" i="3"/>
  <c r="S152" i="3"/>
  <c r="R152" i="3"/>
  <c r="Q152" i="3"/>
  <c r="P152" i="3"/>
  <c r="O152" i="3"/>
  <c r="N152" i="3"/>
  <c r="M152" i="3"/>
  <c r="T151" i="3"/>
  <c r="S151" i="3"/>
  <c r="R151" i="3"/>
  <c r="Q151" i="3"/>
  <c r="P151" i="3"/>
  <c r="O151" i="3"/>
  <c r="N151" i="3"/>
  <c r="M151" i="3"/>
  <c r="T150" i="3"/>
  <c r="S150" i="3"/>
  <c r="R150" i="3"/>
  <c r="Q150" i="3"/>
  <c r="P150" i="3"/>
  <c r="O150" i="3"/>
  <c r="N150" i="3"/>
  <c r="M150" i="3"/>
  <c r="T149" i="3"/>
  <c r="S149" i="3"/>
  <c r="R149" i="3"/>
  <c r="Q149" i="3"/>
  <c r="P149" i="3"/>
  <c r="O149" i="3"/>
  <c r="N149" i="3"/>
  <c r="M149" i="3"/>
  <c r="T148" i="3"/>
  <c r="S148" i="3"/>
  <c r="R148" i="3"/>
  <c r="Q148" i="3"/>
  <c r="P148" i="3"/>
  <c r="O148" i="3"/>
  <c r="N148" i="3"/>
  <c r="M148" i="3"/>
  <c r="T147" i="3"/>
  <c r="S147" i="3"/>
  <c r="R147" i="3"/>
  <c r="Q147" i="3"/>
  <c r="P147" i="3"/>
  <c r="O147" i="3"/>
  <c r="N147" i="3"/>
  <c r="M147" i="3"/>
  <c r="T146" i="3"/>
  <c r="S146" i="3"/>
  <c r="R146" i="3"/>
  <c r="Q146" i="3"/>
  <c r="P146" i="3"/>
  <c r="O146" i="3"/>
  <c r="N146" i="3"/>
  <c r="M146" i="3"/>
  <c r="T145" i="3"/>
  <c r="S145" i="3"/>
  <c r="R145" i="3"/>
  <c r="Q145" i="3"/>
  <c r="P145" i="3"/>
  <c r="O145" i="3"/>
  <c r="N145" i="3"/>
  <c r="M145" i="3"/>
  <c r="T144" i="3"/>
  <c r="S144" i="3"/>
  <c r="R144" i="3"/>
  <c r="Q144" i="3"/>
  <c r="P144" i="3"/>
  <c r="O144" i="3"/>
  <c r="N144" i="3"/>
  <c r="M144" i="3"/>
  <c r="T143" i="3"/>
  <c r="S143" i="3"/>
  <c r="R143" i="3"/>
  <c r="Q143" i="3"/>
  <c r="P143" i="3"/>
  <c r="O143" i="3"/>
  <c r="N143" i="3"/>
  <c r="M143" i="3"/>
  <c r="T142" i="3"/>
  <c r="S142" i="3"/>
  <c r="R142" i="3"/>
  <c r="Q142" i="3"/>
  <c r="P142" i="3"/>
  <c r="O142" i="3"/>
  <c r="N142" i="3"/>
  <c r="M142" i="3"/>
  <c r="T141" i="3"/>
  <c r="S141" i="3"/>
  <c r="R141" i="3"/>
  <c r="Q141" i="3"/>
  <c r="P141" i="3"/>
  <c r="O141" i="3"/>
  <c r="N141" i="3"/>
  <c r="M141" i="3"/>
  <c r="T140" i="3"/>
  <c r="S140" i="3"/>
  <c r="R140" i="3"/>
  <c r="Q140" i="3"/>
  <c r="P140" i="3"/>
  <c r="O140" i="3"/>
  <c r="N140" i="3"/>
  <c r="M140" i="3"/>
  <c r="T139" i="3"/>
  <c r="S139" i="3"/>
  <c r="R139" i="3"/>
  <c r="Q139" i="3"/>
  <c r="P139" i="3"/>
  <c r="O139" i="3"/>
  <c r="N139" i="3"/>
  <c r="M139" i="3"/>
  <c r="T138" i="3"/>
  <c r="S138" i="3"/>
  <c r="R138" i="3"/>
  <c r="Q138" i="3"/>
  <c r="P138" i="3"/>
  <c r="O138" i="3"/>
  <c r="N138" i="3"/>
  <c r="M138" i="3"/>
  <c r="T137" i="3"/>
  <c r="S137" i="3"/>
  <c r="R137" i="3"/>
  <c r="Q137" i="3"/>
  <c r="P137" i="3"/>
  <c r="O137" i="3"/>
  <c r="N137" i="3"/>
  <c r="M137" i="3"/>
  <c r="T136" i="3"/>
  <c r="S136" i="3"/>
  <c r="R136" i="3"/>
  <c r="Q136" i="3"/>
  <c r="P136" i="3"/>
  <c r="O136" i="3"/>
  <c r="N136" i="3"/>
  <c r="M136" i="3"/>
  <c r="T135" i="3"/>
  <c r="S135" i="3"/>
  <c r="R135" i="3"/>
  <c r="Q135" i="3"/>
  <c r="P135" i="3"/>
  <c r="O135" i="3"/>
  <c r="N135" i="3"/>
  <c r="M135" i="3"/>
  <c r="T134" i="3"/>
  <c r="S134" i="3"/>
  <c r="R134" i="3"/>
  <c r="Q134" i="3"/>
  <c r="P134" i="3"/>
  <c r="O134" i="3"/>
  <c r="N134" i="3"/>
  <c r="M134" i="3"/>
  <c r="T133" i="3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B17" i="2" s="1"/>
  <c r="R2" i="3"/>
  <c r="Q2" i="3"/>
  <c r="B15" i="2" s="1"/>
  <c r="P2" i="3"/>
  <c r="O2" i="3"/>
  <c r="N2" i="3"/>
  <c r="M2" i="3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3" i="2"/>
  <c r="D23" i="2"/>
  <c r="C23" i="2"/>
  <c r="B23" i="2"/>
  <c r="E22" i="2"/>
  <c r="D22" i="2"/>
  <c r="C22" i="2"/>
  <c r="B22" i="2"/>
  <c r="E21" i="2"/>
  <c r="D21" i="2"/>
  <c r="C21" i="2"/>
  <c r="B21" i="2"/>
  <c r="E18" i="2"/>
  <c r="D18" i="2"/>
  <c r="C18" i="2"/>
  <c r="B18" i="2"/>
  <c r="E17" i="2"/>
  <c r="C17" i="2"/>
  <c r="E16" i="2"/>
  <c r="D16" i="2"/>
  <c r="C16" i="2"/>
  <c r="B16" i="2"/>
  <c r="E15" i="2"/>
  <c r="C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B7" i="2"/>
  <c r="B6" i="2"/>
  <c r="B5" i="2"/>
  <c r="B4" i="2"/>
  <c r="Q4" i="7" l="1"/>
  <c r="D15" i="2"/>
  <c r="D17" i="2"/>
  <c r="Q7" i="7"/>
  <c r="Q2" i="7"/>
  <c r="Q6" i="7"/>
</calcChain>
</file>

<file path=xl/sharedStrings.xml><?xml version="1.0" encoding="utf-8"?>
<sst xmlns="http://schemas.openxmlformats.org/spreadsheetml/2006/main" count="31465" uniqueCount="7260">
  <si>
    <t>Metric</t>
  </si>
  <si>
    <t>Definition</t>
  </si>
  <si>
    <t>Formula / source</t>
  </si>
  <si>
    <t>— Sheets overview —</t>
  </si>
  <si>
    <t>Incoming Trains</t>
  </si>
  <si>
    <t>One row per inbound train, full lifecycle on a single line (identity, timestamps, derived waits/durations).</t>
  </si>
  <si>
    <t>tab 2; built by build_incoming_trains_sheet.</t>
  </si>
  <si>
    <t>Wagon Groups</t>
  </si>
  <si>
    <t>One row per wagon group, full lifecycle (parent train → classification → parent OBT → departure).</t>
  </si>
  <si>
    <t>tab 3; built by build_wagon_groups_sheet.</t>
  </si>
  <si>
    <t>Outbound Trains</t>
  </si>
  <si>
    <t>One row per outbound train (OBT), full lifecycle on the classification side (OBTP, exit gate, DEPD).</t>
  </si>
  <si>
    <t>tab 4; built by build_outbound_trains_sheet.</t>
  </si>
  <si>
    <t>WG Yard Times</t>
  </si>
  <si>
    <t>Per-WG cross-check of arrival-yard and classification-yard dwell times, with all the supporting timestamps shown.</t>
  </si>
  <si>
    <t>built by build_wg_yard_times_sheet.</t>
  </si>
  <si>
    <t>Activities (raw)</t>
  </si>
  <si>
    <t>One row per completed activity instance. Identity (type, id, entity, length), drive context (from/to/distance), timestamps (initialized/started/completed), duration.</t>
  </si>
  <si>
    <t>built by build_activities_raw_sheet.</t>
  </si>
  <si>
    <t>OBTs (raw) / WGs (raw)</t>
  </si>
  <si>
    <t>Flat rows for outbound trains and classified wagon groups; redundant with the per-entity sheets but kept for legacy cross-references.</t>
  </si>
  <si>
    <t>built by build_obts_raw_sheet / build_wgs_raw_sheet.</t>
  </si>
  <si>
    <t>— Incoming Trains KPIs —</t>
  </si>
  <si>
    <t>Entry Queue wait (hh:mm:ss)</t>
  </si>
  <si>
    <t>Time the train sat in the entry queue waiting for an arrival track to free up. Pure queue time — does NOT include the drive.</t>
  </si>
  <si>
    <t>Incoming Trains!M = (E − D)  = ArrivalDriveStart − EntryToStation</t>
  </si>
  <si>
    <t>Arrival drive duration (hh:mm:ss)</t>
  </si>
  <si>
    <t>Time the train spent physically driving from the entry gate to its assigned arrival track.</t>
  </si>
  <si>
    <t>Incoming Trains!N = (F − E)  = AtArrivalTrack − ArrivalDriveStart</t>
  </si>
  <si>
    <t>ITP wait (hh:mm:ss)</t>
  </si>
  <si>
    <t>Time between ITP being submitted to ResourceCU and the work actually commencing. Captures worker + shunt-loco allocation + travel-to-site time.</t>
  </si>
  <si>
    <t>Incoming Trains!O = (H − G)  = ITP_Starts − ITP_Init</t>
  </si>
  <si>
    <t>ITP duration (hh:mm:ss)</t>
  </si>
  <si>
    <t>Time the ITP work itself ran, once resources arrived.</t>
  </si>
  <si>
    <t>Incoming Trains!P = (I − H)  = ITP_Ends − ITP_Starts</t>
  </si>
  <si>
    <t>PushOff wait (hh:mm:ss)</t>
  </si>
  <si>
    <t>Time between PushOff being submitted and the work actually commencing. Captures worker re-allocation + passage-track wait.</t>
  </si>
  <si>
    <t>Incoming Trains!Q = (K − J)  = PushOff_Starts − PushOff_Init</t>
  </si>
  <si>
    <t>PushOff duration (hh:mm:ss)</t>
  </si>
  <si>
    <t>Time the entire PushOff envelope ran (all sub-drives + loco pull-backs between them).</t>
  </si>
  <si>
    <t>Incoming Trains!R = (L − K)  = PushOff_Ends − PushOff_Starts</t>
  </si>
  <si>
    <t>Total in arrival yard (hh:mm:ss)</t>
  </si>
  <si>
    <t>Total time the inbound train physically occupied an arrival track (from arrival to last WG pushed off).</t>
  </si>
  <si>
    <t>Incoming Trains!S = (L − F)  = PushOff_Ends − AtArrivalTrack</t>
  </si>
  <si>
    <t>Total in system (hh:mm:ss)</t>
  </si>
  <si>
    <t>End-to-end inbound time: from entry-queue arrival until PushOff completed.</t>
  </si>
  <si>
    <t>Incoming Trains!T = (L − D)  = PushOff_Ends − EntryToStation</t>
  </si>
  <si>
    <t>— Wagon Groups KPIs —</t>
  </si>
  <si>
    <t>Time in arrival yard (hh:mm:ss)</t>
  </si>
  <si>
    <t>Time the WG was on the arrival track as part of its parent train, from arrival to being pushed off.</t>
  </si>
  <si>
    <t>Wagon Groups!M = (G − E)  = PushOffDriveEnds − AtArrivalTrack</t>
  </si>
  <si>
    <t>Time in classification yard (hh:mm:ss)</t>
  </si>
  <si>
    <t>Time the WG sat on its classification track, from arriving there (= PushOffDrive ends) until the parent OBT physically departed.</t>
  </si>
  <si>
    <t>Wagon Groups!N = (L − G)  = DepartureDriveEnds − PushOffDriveEnds</t>
  </si>
  <si>
    <t>Idle time on classification track (hh:mm:ss)</t>
  </si>
  <si>
    <t>Time the WG waits after getting coupled or secured until the OBTP activity starts — the 'doing nothing' window after its own prep is done but before OBT-wide work begins.</t>
  </si>
  <si>
    <t>Wagon Groups!P = (I − O)  = OBTP_Starts − SEC/COP_End</t>
  </si>
  <si>
    <t>Classification context</t>
  </si>
  <si>
    <t>Plain-language narrative of the WG's time on the classification track: how it joined (secured first, or coupled to the sibling already there), the wait before each later sibling coupled, the OBTP window, and departure.</t>
  </si>
  <si>
    <t>Wagon Groups!Q; built in parse_wagon_groups.</t>
  </si>
  <si>
    <t>— Outbound Trains KPIs —</t>
  </si>
  <si>
    <t>OBTP wait (hh:mm:ss)</t>
  </si>
  <si>
    <t>Time between OBTP being submitted and actually starting. Captures worker + train-loco allocation + travel.</t>
  </si>
  <si>
    <t>Outbound Trains!K = (F − E)  = OBTP_Starts − OBTP_Init</t>
  </si>
  <si>
    <t>OBTP duration (hh:mm:ss)</t>
  </si>
  <si>
    <t>Time the OBTP work itself ran.</t>
  </si>
  <si>
    <t>Outbound Trains!L = (G − F)  = OBTP_Ends − OBTP_Starts</t>
  </si>
  <si>
    <t>DEPD gate wait (hh:mm:ss)</t>
  </si>
  <si>
    <t>Time the OBT was ready to depart (DEPD submitted) but stuck waiting for the single exit-gate resource. Headline bottleneck metric given exitGateCount = 1.</t>
  </si>
  <si>
    <t>Outbound Trains!M = (I − H)  = DEPD_Starts − DEPD_Init</t>
  </si>
  <si>
    <t>DEPD duration (hh:mm:ss)</t>
  </si>
  <si>
    <t>Time the train spent physically driving from its classification track to the exit gate.</t>
  </si>
  <si>
    <t>Outbound Trains!N = (J − I)  = DEPD_Ends − DEPD_Starts</t>
  </si>
  <si>
    <t>Total on classification track (hh:mm:ss)</t>
  </si>
  <si>
    <t>End-to-end outbound time, from OBT-creation moment (≈ OBTP init) until DEPD completes.</t>
  </si>
  <si>
    <t>Outbound Trains!O = (J − E)  = DEPD_Ends − OBTP_Init</t>
  </si>
  <si>
    <t>— Activities (raw) reference —</t>
  </si>
  <si>
    <t>Activity row</t>
  </si>
  <si>
    <t>One row per completed activity (Started AND Completed present). Pending / cancelled activities are excluded from this sheet.</t>
  </si>
  <si>
    <t>parse_activity_durations in analytics.py.</t>
  </si>
  <si>
    <t>From / To / Drive length</t>
  </si>
  <si>
    <t>Populated only for the three driving activity types (ArrivalDrive, DepartureDrive, PushOffDrive). Distance values come from static maps near the top of analytics.py (ported from C# Models/*DriveActivity.cs and Models/PushOffActivity.cs).</t>
  </si>
  <si>
    <t>ARRIVAL_DRIVE_DISTANCES + DEPARTURE_DRIVE_DISTANCES + PUSH_ARRIVAL_LEG + PUSH_CLASS_LEG (in analytics.py).</t>
  </si>
  <si>
    <t>Duration (hh:mm:ss)</t>
  </si>
  <si>
    <t>Wall-clock time the activity spent in its 'running' state. Rendered as hh:mm:ss across the whole workbook.</t>
  </si>
  <si>
    <t>Activities (raw)!K = Completed − Started</t>
  </si>
  <si>
    <t>— Activity type glossary —</t>
  </si>
  <si>
    <t>Activity type abbreviations</t>
  </si>
  <si>
    <t>ARRD = ArrivalDrive (train enters yard on own loco); ITP = IncomingTrainPreparation (workers prep arriving train); PO = PushOff (parent envelope); POD = PushOffDrive (one sub-drive per consecutive-same-destination cut of WGs); SEC = Securing (first WG on a classification track); COP = Coupling (joining WG to existing WGs on track); OBTP = OutboundTrainPreparation (workers + train loco prep OBT); DEPD = DepartureDrive (OBT exits through gate).</t>
  </si>
  <si>
    <t>(reference — see Models/Activity.cs GetActivityAbbreviation).</t>
  </si>
  <si>
    <t>— WG → OBT matching —</t>
  </si>
  <si>
    <t>How parent OBT is derived for a WG</t>
  </si>
  <si>
    <t>WGs are matched to OBTs by classification track + time window: an OBT created at time T on track X owns every WG that arrived on track X at or before T and wasn't already claimed by an earlier OBT on the same track. Greedy, earliest-OBT-first.</t>
  </si>
  <si>
    <t>parse_obts_and_wgs in analytics.py.</t>
  </si>
  <si>
    <t>Wiener Neustadt Shunting Yard — Overview</t>
  </si>
  <si>
    <t>— Run summary —</t>
  </si>
  <si>
    <t>Value</t>
  </si>
  <si>
    <t>Inbound trains processed</t>
  </si>
  <si>
    <t>OBTs created</t>
  </si>
  <si>
    <t>WGs classified</t>
  </si>
  <si>
    <t>Activity instances logged</t>
  </si>
  <si>
    <t>Sim duration (hh:mm:ss)</t>
  </si>
  <si>
    <t>— Incoming Trains KPIs (per-train averages) —</t>
  </si>
  <si>
    <t>Mean</t>
  </si>
  <si>
    <t>Min</t>
  </si>
  <si>
    <t>Max</t>
  </si>
  <si>
    <t>Median</t>
  </si>
  <si>
    <t>Entry Queue wait</t>
  </si>
  <si>
    <t>Arrival drive duration</t>
  </si>
  <si>
    <t>ITP wait</t>
  </si>
  <si>
    <t>ITP duration</t>
  </si>
  <si>
    <t>PushOff wait</t>
  </si>
  <si>
    <t>PushOff duration</t>
  </si>
  <si>
    <t>Total in arrival yard</t>
  </si>
  <si>
    <t>Total in system</t>
  </si>
  <si>
    <t>— Wagon Groups KPIs (per-WG averages) —</t>
  </si>
  <si>
    <t>Time in arrival yard</t>
  </si>
  <si>
    <t>Time in classification yard</t>
  </si>
  <si>
    <t>Idle time on classification track</t>
  </si>
  <si>
    <t>— Outbound Trains KPIs (per-OBT averages) —</t>
  </si>
  <si>
    <t>OBTP wait</t>
  </si>
  <si>
    <t>OBTP duration</t>
  </si>
  <si>
    <t>DEPD gate wait</t>
  </si>
  <si>
    <t>DEPD duration</t>
  </si>
  <si>
    <t>Total on classification track</t>
  </si>
  <si>
    <t>ID</t>
  </si>
  <si>
    <t>Length (m)</t>
  </si>
  <si>
    <t>Track</t>
  </si>
  <si>
    <t>Entry to station</t>
  </si>
  <si>
    <t>Arrival drive start</t>
  </si>
  <si>
    <t>At arrival track</t>
  </si>
  <si>
    <t>ITP init</t>
  </si>
  <si>
    <t>ITP starts</t>
  </si>
  <si>
    <t>ITP ends</t>
  </si>
  <si>
    <t>PushOff init</t>
  </si>
  <si>
    <t>PushOff starts</t>
  </si>
  <si>
    <t>PushOff ends</t>
  </si>
  <si>
    <t>Arrival drive dur (hh:mm:ss)</t>
  </si>
  <si>
    <t>10001</t>
  </si>
  <si>
    <t>703</t>
  </si>
  <si>
    <t>10002</t>
  </si>
  <si>
    <t>10003</t>
  </si>
  <si>
    <t>727</t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</si>
  <si>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</si>
  <si>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</si>
  <si>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</si>
  <si>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</si>
  <si>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</si>
  <si>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</si>
  <si>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</si>
  <si>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</si>
  <si>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</si>
  <si>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</si>
  <si>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</si>
  <si>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</si>
  <si>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</si>
  <si>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</si>
  <si>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</si>
  <si>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</si>
  <si>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</si>
  <si>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</si>
  <si>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</si>
  <si>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</si>
  <si>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</si>
  <si>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731</t>
  </si>
  <si>
    <t>10025</t>
  </si>
  <si>
    <t>10026</t>
  </si>
  <si>
    <t>10027</t>
  </si>
  <si>
    <t>10028</t>
  </si>
  <si>
    <t>725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</si>
  <si>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</si>
  <si>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</si>
  <si>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</si>
  <si>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</si>
  <si>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</si>
  <si>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</si>
  <si>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</si>
  <si>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</si>
  <si>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</si>
  <si>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</si>
  <si>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</si>
  <si>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</si>
  <si>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</si>
  <si>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10042</t>
  </si>
  <si>
    <t>10043</t>
  </si>
  <si>
    <t>10044</t>
  </si>
  <si>
    <t>10045</t>
  </si>
  <si>
    <t>10046</t>
  </si>
  <si>
    <t>10047</t>
  </si>
  <si>
    <t>10048</t>
  </si>
  <si>
    <t>10049</t>
  </si>
  <si>
    <t>10050</t>
  </si>
  <si>
    <t>10051</t>
  </si>
  <si>
    <t>10052</t>
  </si>
  <si>
    <t>10053</t>
  </si>
  <si>
    <t>10054</t>
  </si>
  <si>
    <t>10055</t>
  </si>
  <si>
    <t>10056</t>
  </si>
  <si>
    <t>10057</t>
  </si>
  <si>
    <t>10058</t>
  </si>
  <si>
    <t>10059</t>
  </si>
  <si>
    <t>10060</t>
  </si>
  <si>
    <t>10061</t>
  </si>
  <si>
    <t>10062</t>
  </si>
  <si>
    <t>10063</t>
  </si>
  <si>
    <t>10064</t>
  </si>
  <si>
    <t>10065</t>
  </si>
  <si>
    <t>10066</t>
  </si>
  <si>
    <t>10067</t>
  </si>
  <si>
    <t>10068</t>
  </si>
  <si>
    <t>10069</t>
  </si>
  <si>
    <t>10070</t>
  </si>
  <si>
    <t>10071</t>
  </si>
  <si>
    <t>10072</t>
  </si>
  <si>
    <t>10073</t>
  </si>
  <si>
    <t>10074</t>
  </si>
  <si>
    <t>10075</t>
  </si>
  <si>
    <t>10076</t>
  </si>
  <si>
    <t>10077</t>
  </si>
  <si>
    <t>10078</t>
  </si>
  <si>
    <t>10079</t>
  </si>
  <si>
    <t>10080</t>
  </si>
  <si>
    <t>10081</t>
  </si>
  <si>
    <t>10082</t>
  </si>
  <si>
    <t>10083</t>
  </si>
  <si>
    <t>10084</t>
  </si>
  <si>
    <t>10085</t>
  </si>
  <si>
    <t>10086</t>
  </si>
  <si>
    <t>10087</t>
  </si>
  <si>
    <t>10088</t>
  </si>
  <si>
    <t>10089</t>
  </si>
  <si>
    <t>10090</t>
  </si>
  <si>
    <t>10091</t>
  </si>
  <si>
    <t>10092</t>
  </si>
  <si>
    <t>10093</t>
  </si>
  <si>
    <t>10094</t>
  </si>
  <si>
    <t>10095</t>
  </si>
  <si>
    <t>10096</t>
  </si>
  <si>
    <t>10097</t>
  </si>
  <si>
    <t>10098</t>
  </si>
  <si>
    <t>10099</t>
  </si>
  <si>
    <t>10100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</si>
  <si>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</si>
  <si>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</si>
  <si>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</si>
  <si>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</si>
  <si>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</si>
  <si>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</si>
  <si>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</si>
  <si>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</si>
  <si>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</si>
  <si>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</si>
  <si>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</si>
  <si>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</si>
  <si>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</si>
  <si>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</si>
  <si>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</si>
  <si>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</si>
  <si>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</si>
  <si>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</si>
  <si>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</si>
  <si>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</si>
  <si>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</si>
  <si>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</si>
  <si>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</si>
  <si>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</si>
  <si>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</si>
  <si>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</si>
  <si>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10127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</si>
  <si>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</si>
  <si>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</si>
  <si>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</si>
  <si>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</si>
  <si>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</si>
  <si>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</si>
  <si>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</si>
  <si>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</si>
  <si>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10136</t>
  </si>
  <si>
    <t>10137</t>
  </si>
  <si>
    <t>10138</t>
  </si>
  <si>
    <t>10139</t>
  </si>
  <si>
    <t>10140</t>
  </si>
  <si>
    <t>10141</t>
  </si>
  <si>
    <t>10142</t>
  </si>
  <si>
    <t>10143</t>
  </si>
  <si>
    <t>10144</t>
  </si>
  <si>
    <t>10145</t>
  </si>
  <si>
    <t>10146</t>
  </si>
  <si>
    <t>10147</t>
  </si>
  <si>
    <t>10148</t>
  </si>
  <si>
    <t>10149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</si>
  <si>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</si>
  <si>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</si>
  <si>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</si>
  <si>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</si>
  <si>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</si>
  <si>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</si>
  <si>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</si>
  <si>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</si>
  <si>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</si>
  <si>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</si>
  <si>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</si>
  <si>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10161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</si>
  <si>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</si>
  <si>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</si>
  <si>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</si>
  <si>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</si>
  <si>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</si>
  <si>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</si>
  <si>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</si>
  <si>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</si>
  <si>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</si>
  <si>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</si>
  <si>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</si>
  <si>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</si>
  <si>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</si>
  <si>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</si>
  <si>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</si>
  <si>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</si>
  <si>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</si>
  <si>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</si>
  <si>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10180</t>
  </si>
  <si>
    <t>10181</t>
  </si>
  <si>
    <t>10182</t>
  </si>
  <si>
    <t>10183</t>
  </si>
  <si>
    <t>10184</t>
  </si>
  <si>
    <t>10185</t>
  </si>
  <si>
    <t>10186</t>
  </si>
  <si>
    <t>10187</t>
  </si>
  <si>
    <t>10188</t>
  </si>
  <si>
    <t>10189</t>
  </si>
  <si>
    <t>10190</t>
  </si>
  <si>
    <t>10191</t>
  </si>
  <si>
    <t>10192</t>
  </si>
  <si>
    <t>10193</t>
  </si>
  <si>
    <t>10194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</si>
  <si>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</si>
  <si>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</si>
  <si>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</si>
  <si>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</si>
  <si>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</si>
  <si>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</si>
  <si>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</si>
  <si>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</si>
  <si>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</si>
  <si>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</si>
  <si>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</si>
  <si>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</si>
  <si>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</si>
  <si>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</si>
  <si>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</si>
  <si>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</si>
  <si>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</si>
  <si>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</si>
  <si>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</si>
  <si>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</si>
  <si>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10215</t>
  </si>
  <si>
    <t>10216</t>
  </si>
  <si>
    <t>10217</t>
  </si>
  <si>
    <t>10218</t>
  </si>
  <si>
    <t>10219</t>
  </si>
  <si>
    <t>10220</t>
  </si>
  <si>
    <t>10221</t>
  </si>
  <si>
    <t>10222</t>
  </si>
  <si>
    <t>10223</t>
  </si>
  <si>
    <t>10224</t>
  </si>
  <si>
    <t>10225</t>
  </si>
  <si>
    <t>10226</t>
  </si>
  <si>
    <t>10227</t>
  </si>
  <si>
    <t>10228</t>
  </si>
  <si>
    <t>10229</t>
  </si>
  <si>
    <t>10230</t>
  </si>
  <si>
    <t>10231</t>
  </si>
  <si>
    <t>10232</t>
  </si>
  <si>
    <t>10233</t>
  </si>
  <si>
    <t>10234</t>
  </si>
  <si>
    <t>10235</t>
  </si>
  <si>
    <t>10236</t>
  </si>
  <si>
    <t>10237</t>
  </si>
  <si>
    <t>10238</t>
  </si>
  <si>
    <t>10239</t>
  </si>
  <si>
    <t>10240</t>
  </si>
  <si>
    <t>10241</t>
  </si>
  <si>
    <t>10242</t>
  </si>
  <si>
    <t>10243</t>
  </si>
  <si>
    <t>10244</t>
  </si>
  <si>
    <t>10245</t>
  </si>
  <si>
    <t>10246</t>
  </si>
  <si>
    <t>10247</t>
  </si>
  <si>
    <t>10248</t>
  </si>
  <si>
    <t>10249</t>
  </si>
  <si>
    <t>10250</t>
  </si>
  <si>
    <t>10251</t>
  </si>
  <si>
    <t>10252</t>
  </si>
  <si>
    <t>10253</t>
  </si>
  <si>
    <t>10254</t>
  </si>
  <si>
    <t>10255</t>
  </si>
  <si>
    <t>10256</t>
  </si>
  <si>
    <t>10257</t>
  </si>
  <si>
    <t>10258</t>
  </si>
  <si>
    <t>10259</t>
  </si>
  <si>
    <t>10260</t>
  </si>
  <si>
    <t>10261</t>
  </si>
  <si>
    <t>10262</t>
  </si>
  <si>
    <t>10263</t>
  </si>
  <si>
    <t>10264</t>
  </si>
  <si>
    <t>10265</t>
  </si>
  <si>
    <t>10266</t>
  </si>
  <si>
    <t>10267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</si>
  <si>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</si>
  <si>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</si>
  <si>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</si>
  <si>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</si>
  <si>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</si>
  <si>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</si>
  <si>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</si>
  <si>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</si>
  <si>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</si>
  <si>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</si>
  <si>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</si>
  <si>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</si>
  <si>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</si>
  <si>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</si>
  <si>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</si>
  <si>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10283</t>
  </si>
  <si>
    <t>10284</t>
  </si>
  <si>
    <t>10285</t>
  </si>
  <si>
    <t>10286</t>
  </si>
  <si>
    <t>10287</t>
  </si>
  <si>
    <t>10288</t>
  </si>
  <si>
    <t>10289</t>
  </si>
  <si>
    <t>10290</t>
  </si>
  <si>
    <t>10291</t>
  </si>
  <si>
    <t>10292</t>
  </si>
  <si>
    <t>10293</t>
  </si>
  <si>
    <t>10294</t>
  </si>
  <si>
    <t>10295</t>
  </si>
  <si>
    <t>10296</t>
  </si>
  <si>
    <t>10297</t>
  </si>
  <si>
    <t>10298</t>
  </si>
  <si>
    <t>10299</t>
  </si>
  <si>
    <t>10300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</si>
  <si>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</si>
  <si>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</si>
  <si>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</si>
  <si>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</si>
  <si>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</si>
  <si>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</si>
  <si>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</si>
  <si>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</si>
  <si>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</si>
  <si>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</si>
  <si>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</si>
  <si>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</si>
  <si>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</si>
  <si>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</si>
  <si>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10315</t>
  </si>
  <si>
    <t>10316</t>
  </si>
  <si>
    <t>10317</t>
  </si>
  <si>
    <t>10318</t>
  </si>
  <si>
    <t>10319</t>
  </si>
  <si>
    <t>10320</t>
  </si>
  <si>
    <t>10321</t>
  </si>
  <si>
    <t>10322</t>
  </si>
  <si>
    <t>10323</t>
  </si>
  <si>
    <t>10324</t>
  </si>
  <si>
    <t>10325</t>
  </si>
  <si>
    <t>10326</t>
  </si>
  <si>
    <t>10327</t>
  </si>
  <si>
    <t>10328</t>
  </si>
  <si>
    <t>10329</t>
  </si>
  <si>
    <t>10330</t>
  </si>
  <si>
    <t>10331</t>
  </si>
  <si>
    <t>Parent incoming train</t>
  </si>
  <si>
    <t>Destination</t>
  </si>
  <si>
    <t>PushOffDrive starts</t>
  </si>
  <si>
    <t>PushOffDrive ends</t>
  </si>
  <si>
    <t>Parent outbound train</t>
  </si>
  <si>
    <t>OBTP starts</t>
  </si>
  <si>
    <t>OBTP ends</t>
  </si>
  <si>
    <t>Departure drive starts</t>
  </si>
  <si>
    <t>Departure drive ends</t>
  </si>
  <si>
    <t>SEC/COP end</t>
  </si>
  <si>
    <t>1000101</t>
  </si>
  <si>
    <t>Other sidings south</t>
  </si>
  <si>
    <t>OBT030125061555-Other sidings south</t>
  </si>
  <si>
    <t>WG 1000101 entered track and got secured then waited 4:47:39 for WG 1000301 to get coupled then waited 10:33:50 for WG 1001201 to get coupled then waited 8:42:56 for WG 1001402 to get coupled then waited 0:04:13 for WG 1001404 to get coupled then waited 3:08:11 for WG 1001604 to get coupled, OBTP started on 06:18:17 finished on 06:43:58 and then left at 06:44:59</t>
  </si>
  <si>
    <t>1000102</t>
  </si>
  <si>
    <t>Neunkirchen (loading tracks)</t>
  </si>
  <si>
    <t>OBT020125030112-Neunkirchen (loading tracks)</t>
  </si>
  <si>
    <t>WG 1000102 entered track and got secured, OBTP started on 03:02:27 finished on 03:28:25 and then left at 03:29:23</t>
  </si>
  <si>
    <t>1000103</t>
  </si>
  <si>
    <t>Ternitz (Schoeller-Bleckmann)</t>
  </si>
  <si>
    <t>OBT020125152222-Ternitz (Schoeller-Bleckmann)</t>
  </si>
  <si>
    <t>WG 1000103 entered track and got secured then waited 4:51:04 for WG 1000304 to get coupled then waited 1:47:17 for WG 1000606 to get coupled then waited 5:39:51 for WG 1001101 to get coupled, OBTP started on 15:23:36 finished on 16:54:27 and then left at 16:56:24</t>
  </si>
  <si>
    <t>1000104</t>
  </si>
  <si>
    <t>Gloggnitz</t>
  </si>
  <si>
    <t>OBT030125063005-Gloggnitz</t>
  </si>
  <si>
    <t>WG 1000104 entered track and got secured then waited 6:47:00 for WG 1000610 to get coupled then waited 8:29:19 for WG 1001202 to get coupled then waited 2:22:59 for WG 1001302 to get coupled then waited 9:43:40 for WG 1001609 to get coupled, OBTP started on 06:39:21 finished on 07:30:31 and then left at 07:31:55</t>
  </si>
  <si>
    <t>1000201</t>
  </si>
  <si>
    <t>Wien Kledering</t>
  </si>
  <si>
    <t>OBT020125064334-Wien Kledering</t>
  </si>
  <si>
    <t>WG 1000201 entered track and got secured, OBTP started on 06:44:47 finished on 07:30:27 and then left at 07:31:41</t>
  </si>
  <si>
    <t>1000301</t>
  </si>
  <si>
    <t>WG 1000301 entered track and got coupled to WG 1000101 then waited 10:33:50 for WG 1001201 to get coupled then waited 8:42:56 for WG 1001402 to get coupled then waited 0:04:13 for WG 1001404 to get coupled then waited 3:08:11 for WG 1001604 to get coupled, OBTP started on 06:18:17 finished on 06:43:58 and then left at 06:44:59</t>
  </si>
  <si>
    <t>1000302</t>
  </si>
  <si>
    <t>Pitten (Hamburger)</t>
  </si>
  <si>
    <t>OBT020125074750-Pitten (Hamburger)</t>
  </si>
  <si>
    <t>WG 1000302 entered track and got secured, OBTP started on 07:49:15 finished on 08:55:24 and then left at 08:57:09</t>
  </si>
  <si>
    <t>1000303</t>
  </si>
  <si>
    <t>OBT020125184418-Neunkirchen (loading tracks)</t>
  </si>
  <si>
    <t>WG 1000303 entered track and got secured then waited 0:17:26 for WG 1000309 to get coupled then waited 7:40:59 for WG 1001007 to get coupled then waited 2:55:35 for WG 1001210 to get coupled, OBTP started on 18:49:02 finished on 19:14:44 and then left at 19:15:51</t>
  </si>
  <si>
    <t>1000304</t>
  </si>
  <si>
    <t>WG 1000304 entered track and got coupled to WG 1000103 then waited 1:47:17 for WG 1000606 to get coupled then waited 5:39:51 for WG 1001101 to get coupled, OBTP started on 15:23:36 finished on 16:54:27 and then left at 16:56:24</t>
  </si>
  <si>
    <t>1000305</t>
  </si>
  <si>
    <t>Other sidings north</t>
  </si>
  <si>
    <t>OBT020125093208-Other sidings north</t>
  </si>
  <si>
    <t>WG 1000305 entered track and got secured then waited 1:36:05 for WG 1000603 to get coupled, OBTP started on 09:56:37 finished on 10:30:10 and then left at 10:31:25</t>
  </si>
  <si>
    <t>1000306</t>
  </si>
  <si>
    <t>Neudörfl (FunderMax)</t>
  </si>
  <si>
    <t>OBT020125154035-Neudörfl (FunderMax)</t>
  </si>
  <si>
    <t>WG 1000306 entered track and got secured then waited 0:14:38 for WG 1000311 to get coupled then waited 1:11:18 for WG 1000601 to get coupled then waited 0:09:45 for WG 1000604 to get coupled then waited 6:04:58 for WG 1001004 to get coupled, OBTP started on 15:53:17 finished on 16:21:59 and then left at 16:23:06</t>
  </si>
  <si>
    <t>1000307</t>
  </si>
  <si>
    <t>Other sidings local</t>
  </si>
  <si>
    <t>OBT030125205107-Other sidings local</t>
  </si>
  <si>
    <t>WG 1000307 entered track and got secured then waited 1:27:56 for WG 1000602 to get coupled then waited 8:58:50 for WG 1001204 to get coupled then waited 11:41:53 for WG 1001601 to get coupled then waited 1:49:03 for WG 1001807 to get coupled then waited 12:52:38 for WG 1002807 to get coupled, OBTP started on 21:28:27 finished on 21:57:12 and then left at 21:58:27</t>
  </si>
  <si>
    <t>1000308</t>
  </si>
  <si>
    <t>Wr. Neustadt (Hödlmayr)</t>
  </si>
  <si>
    <t>OBT020125093825-Wr. Neustadt (Hödlmayr)</t>
  </si>
  <si>
    <t>WG 1000308 entered track and got secured then waited 1:33:47 for WG 1000605 to get coupled, OBTP started on 09:59:45 finished on 10:26:45 and then left at 10:27:53</t>
  </si>
  <si>
    <t>1000309</t>
  </si>
  <si>
    <t>WG 1000309 entered track and got coupled to WG 1000303 then waited 7:40:59 for WG 1001007 to get coupled then waited 2:55:35 for WG 1001210 to get coupled, OBTP started on 18:49:02 finished on 19:14:44 and then left at 19:15:51</t>
  </si>
  <si>
    <t>1000310</t>
  </si>
  <si>
    <t>Ebenfurth (beet loading)</t>
  </si>
  <si>
    <t>OBT020125205242-Ebenfurth (beet loading)</t>
  </si>
  <si>
    <t>WG 1000310 entered track and got secured then waited 1:35:21 for WG 1000607 to get coupled then waited 6:02:07 for WG 1001006 to get coupled then waited 2:45:53 for WG 1001206 to get coupled then waited 2:20:01 for WG 1001305 to get coupled, OBTP started on 20:53:57 finished on 21:33:18 and then left at 21:34:31</t>
  </si>
  <si>
    <t>1000311</t>
  </si>
  <si>
    <t>WG 1000311 entered track and got coupled to WG 1000306 then waited 1:11:18 for WG 1000601 to get coupled then waited 0:09:45 for WG 1000604 to get coupled then waited 6:04:58 for WG 1001004 to get coupled, OBTP started on 15:53:17 finished on 16:21:59 and then left at 16:23:06</t>
  </si>
  <si>
    <t>1000312</t>
  </si>
  <si>
    <t>Wr. Neustadt Ausfahrbf (Furtenbach)</t>
  </si>
  <si>
    <t>OBT030125160132-Wr. Neustadt Ausfahrbf (Furtenbach)</t>
  </si>
  <si>
    <t>WG 1000312 entered track and got secured then waited 12:50:45 for WG 1001310 to get coupled then waited 18:51:18 for WG 1002508 to get coupled then waited 0:05:27 for WG 1002510 to get coupled, OBTP started on 16:02:47 finished on 16:32:38 and then left at 16:33:49</t>
  </si>
  <si>
    <t>1000401</t>
  </si>
  <si>
    <t>OBT020125073857-Wien Kledering</t>
  </si>
  <si>
    <t>WG 1000401 entered track and got secured, OBTP started on 07:40:09 finished on 08:27:23 and then left at 08:28:48</t>
  </si>
  <si>
    <t>1000501</t>
  </si>
  <si>
    <t>OBT020125082044-Wien Kledering</t>
  </si>
  <si>
    <t>WG 1000501 entered track and got secured, OBTP started on 08:23:12 finished on 10:02:21 and then left at 10:04:17</t>
  </si>
  <si>
    <t>1000601</t>
  </si>
  <si>
    <t>WG 1000601 entered track and got coupled to WG 1000311 then waited 0:09:45 for WG 1000604 to get coupled then waited 6:04:58 for WG 1001004 to get coupled, OBTP started on 15:53:17 finished on 16:21:59 and then left at 16:23:06</t>
  </si>
  <si>
    <t>1000602</t>
  </si>
  <si>
    <t>WG 1000602 entered track and got coupled to WG 1000307 then waited 8:58:50 for WG 1001204 to get coupled then waited 11:41:53 for WG 1001601 to get coupled then waited 1:49:03 for WG 1001807 to get coupled then waited 12:52:38 for WG 1002807 to get coupled, OBTP started on 21:28:27 finished on 21:57:12 and then left at 21:58:27</t>
  </si>
  <si>
    <t>1000603</t>
  </si>
  <si>
    <t>WG 1000603 entered track and got coupled to WG 1000305, OBTP started on 09:56:37 finished on 10:30:10 and then left at 10:31:25</t>
  </si>
  <si>
    <t>1000604</t>
  </si>
  <si>
    <t>WG 1000604 entered track and got coupled to WG 1000601 then waited 6:04:58 for WG 1001004 to get coupled, OBTP started on 15:53:17 finished on 16:21:59 and then left at 16:23:06</t>
  </si>
  <si>
    <t>1000605</t>
  </si>
  <si>
    <t>WG 1000605 entered track and got coupled to WG 1000308, OBTP started on 09:59:45 finished on 10:26:45 and then left at 10:27:53</t>
  </si>
  <si>
    <t>1000606</t>
  </si>
  <si>
    <t>WG 1000606 entered track and got coupled to WG 1000304 then waited 5:39:51 for WG 1001101 to get coupled, OBTP started on 15:23:36 finished on 16:54:27 and then left at 16:56:24</t>
  </si>
  <si>
    <t>1000607</t>
  </si>
  <si>
    <t>WG 1000607 entered track and got coupled to WG 1000310 then waited 6:02:07 for WG 1001006 to get coupled then waited 2:45:53 for WG 1001206 to get coupled then waited 2:20:01 for WG 1001305 to get coupled, OBTP started on 20:53:57 finished on 21:33:18 and then left at 21:34:31</t>
  </si>
  <si>
    <t>1000608</t>
  </si>
  <si>
    <t>Felixdorf/Sollenau (Bundesheer, Maba)</t>
  </si>
  <si>
    <t>OBT030125075311-Felixdorf/Sollenau (Bundesheer, Maba)</t>
  </si>
  <si>
    <t>WG 1000608 entered track and got secured then waited 8:54:37 for WG 1001209 to get coupled then waited 13:11:21 for WG 1001805 to get coupled, OBTP started on 07:55:38 finished on 08:41:40 and then left at 08:43:04</t>
  </si>
  <si>
    <t>1000609</t>
  </si>
  <si>
    <t>OBT020125094857-Pitten (Hamburger)</t>
  </si>
  <si>
    <t>WG 1000609 entered track and got secured, OBTP started on 10:04:51 finished on 10:53:23 and then left at 10:54:35</t>
  </si>
  <si>
    <t>1000610</t>
  </si>
  <si>
    <t>WG 1000610 entered track and got coupled to WG 1000104 then waited 8:29:19 for WG 1001202 to get coupled then waited 2:22:59 for WG 1001302 to get coupled then waited 9:43:40 for WG 1001609 to get coupled, OBTP started on 06:39:21 finished on 07:30:31 and then left at 07:31:55</t>
  </si>
  <si>
    <t>1000701</t>
  </si>
  <si>
    <t>St. Veit an der Glan</t>
  </si>
  <si>
    <t>OBT030125090715-St. Veit an der Glan</t>
  </si>
  <si>
    <t>WG 1000701 entered track and got secured then waited 1:37:22 for WG 1000802 to get coupled then waited 22:12:29 for WG 1002101 to get coupled, OBTP started on 09:09:45 finished on 10:05:11 and then left at 10:08:05</t>
  </si>
  <si>
    <t>1000702</t>
  </si>
  <si>
    <t>OBT020125092035-Wien Kledering</t>
  </si>
  <si>
    <t>WG 1000702 entered track and got secured, OBTP started on 09:21:47 finished on 09:57:20 and then left at 09:58:21</t>
  </si>
  <si>
    <t>1000801</t>
  </si>
  <si>
    <t>OBT020125105809-Wien Kledering</t>
  </si>
  <si>
    <t>WG 1000801 entered track and got secured then waited 0:07:34 for WG 1000803 to get coupled, OBTP started on 10:59:24 finished on 12:31:12 and then left at 12:33:02</t>
  </si>
  <si>
    <t>1000802</t>
  </si>
  <si>
    <t>WG 1000802 entered track and got coupled to WG 1000701 then waited 22:12:29 for WG 1002101 to get coupled, OBTP started on 09:09:45 finished on 10:05:11 and then left at 10:08:05</t>
  </si>
  <si>
    <t>1000803</t>
  </si>
  <si>
    <t>WG 1000803 entered track and got coupled to WG 1000801, OBTP started on 10:59:24 finished on 12:31:12 and then left at 12:33:02</t>
  </si>
  <si>
    <t>1000901</t>
  </si>
  <si>
    <t>OBT020125145206-Wien Kledering</t>
  </si>
  <si>
    <t>WG 1000901 entered track and got secured, OBTP started on 14:53:21 finished on 16:05:08 and then left at 16:06:42</t>
  </si>
  <si>
    <t>1001001</t>
  </si>
  <si>
    <t>OBT020125183042-Wr. Neustadt (Hödlmayr)</t>
  </si>
  <si>
    <t>WG 1001001 entered track and got secured then waited 2:59:21 for WG 1001205 to get coupled, OBTP started on 18:31:54 finished on 19:25:54 and then left at 19:27:24</t>
  </si>
  <si>
    <t>1001002</t>
  </si>
  <si>
    <t>OBT020125183645-Pitten (Hamburger)</t>
  </si>
  <si>
    <t>WG 1001002 entered track and got secured then waited 3:02:43 for WG 1001208 to get coupled, OBTP started on 18:38:00 finished on 19:26:32 and then left at 19:28:37</t>
  </si>
  <si>
    <t>1001003</t>
  </si>
  <si>
    <t>Wr. Neustadt (Brenntag)</t>
  </si>
  <si>
    <t>OBT090125074546-Wr. Neustadt (Brenntag)</t>
  </si>
  <si>
    <t>WG 1001003 entered track and got secured then waited 5:11:53 for WG 1001303 to get coupled then waited 114:58:04 for WG 1004406 to get coupled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</si>
  <si>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1001004</t>
  </si>
  <si>
    <t>WG 1001004 entered track and got coupled to WG 1000604, OBTP started on 15:53:17 finished on 16:21:59 and then left at 16:23:06</t>
  </si>
  <si>
    <t>1001005</t>
  </si>
  <si>
    <t>OBT020125154208-Pitten (Hamburger)</t>
  </si>
  <si>
    <t>WG 1001005 entered track and got secured, OBTP started on 16:07:38 finished on 17:11:55 and then left at 17:13:19</t>
  </si>
  <si>
    <t>1001006</t>
  </si>
  <si>
    <t>WG 1001006 entered track and got coupled to WG 1000607 then waited 2:45:53 for WG 1001206 to get coupled then waited 2:20:01 for WG 1001305 to get coupled, OBTP started on 20:53:57 finished on 21:33:18 and then left at 21:34:31</t>
  </si>
  <si>
    <t>1001007</t>
  </si>
  <si>
    <t>WG 1001007 entered track and got coupled to WG 1000309 then waited 2:55:35 for WG 1001210 to get coupled, OBTP started on 18:49:02 finished on 19:14:44 and then left at 19:15:51</t>
  </si>
  <si>
    <t>1001008</t>
  </si>
  <si>
    <t>OBT020125155102-Other sidings north</t>
  </si>
  <si>
    <t>WG 1001008 entered track and got secured, OBTP started on 16:24:15 finished on 16:53:41 and then left at 16:54:38</t>
  </si>
  <si>
    <t>1001101</t>
  </si>
  <si>
    <t>WG 1001101 entered track and got coupled to WG 1000606, OBTP started on 15:23:36 finished on 16:54:27 and then left at 16:56:24</t>
  </si>
  <si>
    <t>1001201</t>
  </si>
  <si>
    <t>WG 1001201 entered track and got coupled to WG 1000301 then waited 8:42:56 for WG 1001402 to get coupled then waited 0:04:13 for WG 1001404 to get coupled then waited 3:08:11 for WG 1001604 to get coupled, OBTP started on 06:18:17 finished on 06:43:58 and then left at 06:44:59</t>
  </si>
  <si>
    <t>1001202</t>
  </si>
  <si>
    <t>WG 1001202 entered track and got coupled to WG 1000610 then waited 2:22:59 for WG 1001302 to get coupled then waited 9:43:40 for WG 1001609 to get coupled, OBTP started on 06:39:21 finished on 07:30:31 and then left at 07:31:55</t>
  </si>
  <si>
    <t>1001203</t>
  </si>
  <si>
    <t>OBT020125210709-Neudörfl (FunderMax)</t>
  </si>
  <si>
    <t>WG 1001203 entered track and got secured then waited 2:27:26 for WG 1001304 to get coupled then waited 0:16:38 for WG 1001311 to get coupled, OBTP started on 21:09:39 finished on 21:35:04 and then left at 21:36:02</t>
  </si>
  <si>
    <t>1001204</t>
  </si>
  <si>
    <t>WG 1001204 entered track and got coupled to WG 1000602 then waited 11:41:53 for WG 1001601 to get coupled then waited 1:49:03 for WG 1001807 to get coupled then waited 12:52:38 for WG 1002807 to get coupled, OBTP started on 21:28:27 finished on 21:57:12 and then left at 21:58:27</t>
  </si>
  <si>
    <t>1001205</t>
  </si>
  <si>
    <t>WG 1001205 entered track and got coupled to WG 1001001, OBTP started on 18:31:54 finished on 19:25:54 and then left at 19:27:24</t>
  </si>
  <si>
    <t>1001206</t>
  </si>
  <si>
    <t>WG 1001206 entered track and got coupled to WG 1001006 then waited 2:20:01 for WG 1001305 to get coupled, OBTP started on 20:53:57 finished on 21:33:18 and then left at 21:34:31</t>
  </si>
  <si>
    <t>1001207</t>
  </si>
  <si>
    <t>OBT020125210324-Other sidings north</t>
  </si>
  <si>
    <t>WG 1001207 entered track and got secured then waited 2:29:56 for WG 1001309 to get coupled, OBTP started on 21:05:51 finished on 21:35:17 and then left at 21:36:58</t>
  </si>
  <si>
    <t>1001208</t>
  </si>
  <si>
    <t>WG 1001208 entered track and got secured, OBTP started on 18:38:00 finished on 19:26:32 and then left at 19:28:37</t>
  </si>
  <si>
    <t>1001209</t>
  </si>
  <si>
    <t>WG 1001209 entered track and got coupled to WG 1000608 then waited 13:11:21 for WG 1001805 to get coupled, OBTP started on 07:55:38 finished on 08:41:40 and then left at 08:43:04</t>
  </si>
  <si>
    <t>1001210</t>
  </si>
  <si>
    <t>WG 1001210 entered track and got coupled to WG 1001007, OBTP started on 18:49:02 finished on 19:14:44 and then left at 19:15:51</t>
  </si>
  <si>
    <t>1001211</t>
  </si>
  <si>
    <t>OBT030125030120-Pitten (Hamburger)</t>
  </si>
  <si>
    <t>WG 1001211 entered track and got secured then waited 1:54:27 for WG 1001301 to get coupled then waited 6:20:21 for WG 1001401 to get coupled, OBTP started on 03:02:32 finished on 03:36:09 and then left at 03:37:09</t>
  </si>
  <si>
    <t>1001301</t>
  </si>
  <si>
    <t>WG 1001301 entered track and got secured then waited 6:20:21 for WG 1001401 to get coupled, OBTP started on 03:02:32 finished on 03:36:09 and then left at 03:37:09</t>
  </si>
  <si>
    <t>1001302</t>
  </si>
  <si>
    <t>WG 1001302 entered track and got coupled to WG 1001202 then waited 9:43:40 for WG 1001609 to get coupled, OBTP started on 06:39:21 finished on 07:30:31 and then left at 07:31:55</t>
  </si>
  <si>
    <t>1001303</t>
  </si>
  <si>
    <t>WG 1001303 entered track and got coupled to WG 1001003 then waited 114:58:04 for WG 1004406 to get coupled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</si>
  <si>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1001304</t>
  </si>
  <si>
    <t>WG 1001304 entered track and got coupled to WG 1001203 then waited 0:16:38 for WG 1001311 to get coupled, OBTP started on 21:09:39 finished on 21:35:04 and then left at 21:36:02</t>
  </si>
  <si>
    <t>1001305</t>
  </si>
  <si>
    <t>WG 1001305 entered track and got coupled to WG 1001206, OBTP started on 20:53:57 finished on 21:33:18 and then left at 21:34:31</t>
  </si>
  <si>
    <t>1001306</t>
  </si>
  <si>
    <t>OBT030125070748-Neunkirchen (loading tracks)</t>
  </si>
  <si>
    <t>WG 1001306 entered track and got secured then waited 6:13:18 for WG 1001403 to get coupled then waited 3:08:44 for WG 1001603 to get coupled then waited 0:53:02 for WG 1001701 to get coupled, OBTP started on 07:25:03 finished on 08:54:47 and then left at 08:56:45</t>
  </si>
  <si>
    <t>1001307</t>
  </si>
  <si>
    <t>OBT030125063655-Wr. Neustadt (Hödlmayr)</t>
  </si>
  <si>
    <t>WG 1001307 entered track and got secured then waited 9:24:51 for WG 1001606 to get coupled then waited 0:16:07 for WG 1001611 to get coupled, OBTP started on 07:10:15 finished on 07:37:15 and then left at 07:38:24</t>
  </si>
  <si>
    <t>1001308</t>
  </si>
  <si>
    <t>Steinabrückl/Wöllersdorf</t>
  </si>
  <si>
    <t>OBT090125184210-Steinabrückl/Wöllersdorf</t>
  </si>
  <si>
    <t>WG 1001308 entered track and got secured then waited 114:39:05 for WG 1004402 to get coupled then waited 2:43:11 for WG 1004710 to get coupled then waited 25:54:36 for WG 1006403 to get coupled then waited 22:06:13 for WG 1007703 to get coupled then waited 0:20:37 for WG 1007902 to get coupled, OBTP started on 19:07:49 finished on 19:35:22 and then left at 19:37:08</t>
  </si>
  <si>
    <t>1001309</t>
  </si>
  <si>
    <t>WG 1001309 entered track and got coupled to WG 1001207, OBTP started on 21:05:51 finished on 21:35:17 and then left at 21:36:58</t>
  </si>
  <si>
    <t>1001310</t>
  </si>
  <si>
    <t>WG 1001310 entered track and got coupled to WG 1000312 then waited 18:51:18 for WG 1002508 to get coupled then waited 0:05:27 for WG 1002510 to get coupled, OBTP started on 16:02:47 finished on 16:32:38 and then left at 16:33:49</t>
  </si>
  <si>
    <t>1001311</t>
  </si>
  <si>
    <t>WG 1001311 entered track and got coupled to WG 1001304, OBTP started on 21:09:39 finished on 21:35:04 and then left at 21:36:02</t>
  </si>
  <si>
    <t>1001401</t>
  </si>
  <si>
    <t>WG 1001401 entered track and got coupled to WG 1001301, OBTP started on 03:02:32 finished on 03:36:09 and then left at 03:37:09</t>
  </si>
  <si>
    <t>1001402</t>
  </si>
  <si>
    <t>WG 1001402 entered track and got coupled to WG 1001201 then waited 0:04:13 for WG 1001404 to get coupled then waited 3:08:11 for WG 1001604 to get coupled, OBTP started on 06:18:17 finished on 06:43:58 and then left at 06:44:59</t>
  </si>
  <si>
    <t>1001403</t>
  </si>
  <si>
    <t>WG 1001403 entered track and got coupled to WG 1001306 then waited 3:08:44 for WG 1001603 to get coupled then waited 0:53:02 for WG 1001701 to get coupled, OBTP started on 07:25:03 finished on 08:54:47 and then left at 08:56:45</t>
  </si>
  <si>
    <t>1001404</t>
  </si>
  <si>
    <t>WG 1001404 entered track and got coupled to WG 1001402 then waited 3:08:11 for WG 1001604 to get coupled, OBTP started on 06:18:17 finished on 06:43:58 and then left at 06:44:59</t>
  </si>
  <si>
    <t>1001501</t>
  </si>
  <si>
    <t>OBT030125045529-Neudörfl (FunderMax)</t>
  </si>
  <si>
    <t>WG 1001501 entered track and got secured, OBTP started on 04:56:44 finished on 07:00:59 and then left at 07:03:15</t>
  </si>
  <si>
    <t>1001601</t>
  </si>
  <si>
    <t>WG 1001601 entered track and got coupled to WG 1001204 then waited 1:49:03 for WG 1001807 to get coupled then waited 12:52:38 for WG 1002807 to get coupled, OBTP started on 21:28:27 finished on 21:57:12 and then left at 21:58:27</t>
  </si>
  <si>
    <t>1001602</t>
  </si>
  <si>
    <t>OBT030125063320-Ternitz (Schoeller-Bleckmann)</t>
  </si>
  <si>
    <t>WG 1001602 entered track and got secured then waited 0:17:22 for WG 1001608 to get coupled then waited 0:06:16 for WG 1001610 to get coupled, OBTP started on 06:46:28 finished on 07:22:33 and then left at 07:23:36</t>
  </si>
  <si>
    <t>1001603</t>
  </si>
  <si>
    <t>WG 1001603 entered track and got coupled to WG 1001403 then waited 0:53:02 for WG 1001701 to get coupled, OBTP started on 07:25:03 finished on 08:54:47 and then left at 08:56:45</t>
  </si>
  <si>
    <t>1001604</t>
  </si>
  <si>
    <t>WG 1001604 entered track and got coupled to WG 1001404, OBTP started on 06:18:17 finished on 06:43:58 and then left at 06:44:59</t>
  </si>
  <si>
    <t>1001605</t>
  </si>
  <si>
    <t>OBT030125220232-Neudörfl (FunderMax)</t>
  </si>
  <si>
    <t>WG 1001605 entered track and got secured then waited 9:32:23 for WG 1002505 to get coupled then waited 5:03:11 for WG 1002808 to get coupled then waited 1:03:56 for WG 1002907 to get coupled then waited 0:06:48 for WG 1002911 to get coupled, OBTP started on 22:03:47 finished on 22:31:21 and then left at 22:32:25</t>
  </si>
  <si>
    <t>1001606</t>
  </si>
  <si>
    <t>WG 1001606 entered track and got coupled to WG 1001307 then waited 0:16:07 for WG 1001611 to get coupled, OBTP started on 07:10:15 finished on 07:37:15 and then left at 07:38:24</t>
  </si>
  <si>
    <t>1001607</t>
  </si>
  <si>
    <t>OBT030125203217-Other sidings north</t>
  </si>
  <si>
    <t>WG 1001607 entered track and got secured then waited 1:22:01 for WG 1001801 to get coupled then waited 8:10:52 for WG 1002507 to get coupled then waited 4:37:34 for WG 1002801 to get coupled, OBTP started on 20:33:32 finished on 21:01:06 and then left at 21:02:01</t>
  </si>
  <si>
    <t>1001608</t>
  </si>
  <si>
    <t>WG 1001608 entered track and got coupled to WG 1001602 then waited 0:06:16 for WG 1001610 to get coupled, OBTP started on 06:46:28 finished on 07:22:33 and then left at 07:23:36</t>
  </si>
  <si>
    <t>1001609</t>
  </si>
  <si>
    <t>WG 1001609 entered track and got coupled to WG 1001302, OBTP started on 06:39:21 finished on 07:30:31 and then left at 07:31:55</t>
  </si>
  <si>
    <t>1001610</t>
  </si>
  <si>
    <t>WG 1001610 entered track and got coupled to WG 1001608, OBTP started on 06:46:28 finished on 07:22:33 and then left at 07:23:36</t>
  </si>
  <si>
    <t>1001611</t>
  </si>
  <si>
    <t>WG 1001611 entered track and got coupled to WG 1001606, OBTP started on 07:10:15 finished on 07:37:15 and then left at 07:38:24</t>
  </si>
  <si>
    <t>1001701</t>
  </si>
  <si>
    <t>WG 1001701 entered track and got coupled to WG 1001603, OBTP started on 07:25:03 finished on 08:54:47 and then left at 08:56:45</t>
  </si>
  <si>
    <t>1001801</t>
  </si>
  <si>
    <t>WG 1001801 entered track and got coupled to WG 1001607 then waited 8:10:52 for WG 1002507 to get coupled then waited 4:37:34 for WG 1002801 to get coupled, OBTP started on 20:33:32 finished on 21:01:06 and then left at 21:02:01</t>
  </si>
  <si>
    <t>1001802</t>
  </si>
  <si>
    <t>OBT030125220353-Other sidings south</t>
  </si>
  <si>
    <t>WG 1001802 entered track and got secured then waited 14:19:13 for WG 1002910 to get coupled then waited 0:01:18 for WG 1002912 to get coupled, OBTP started on 22:05:06 finished on 22:42:36 and then left at 22:43:46</t>
  </si>
  <si>
    <t>1001803</t>
  </si>
  <si>
    <t>OBT070125031735-Neunkirchen (loading tracks)</t>
  </si>
  <si>
    <t>WG 1001803 entered track and got secured then waited 8:15:36 for WG 1002511 to get coupled then waited 5:54:47 for WG 1002908 to get coupled then waited 77:21:16 for WG 1003404 to get coupled, OBTP started on 03:18:47 finished on 04:25:40 and then left at 04:27:20</t>
  </si>
  <si>
    <t>1001804</t>
  </si>
  <si>
    <t>OBT030125203727-Wr. Neustadt (Hödlmayr)</t>
  </si>
  <si>
    <t>WG 1001804 entered track and got secured then waited 7:56:48 for WG 1002503 to get coupled then waited 4:53:07 for WG 1002803 to get coupled, OBTP started on 20:38:42 finished on 21:25:57 and then left at 21:27:12</t>
  </si>
  <si>
    <t>1001805</t>
  </si>
  <si>
    <t>WG 1001805 entered track and got coupled to WG 1001209, OBTP started on 07:55:38 finished on 08:41:40 and then left at 08:43:04</t>
  </si>
  <si>
    <t>1001806</t>
  </si>
  <si>
    <t>OBT030125090958-Ebenfurth (beet loading)</t>
  </si>
  <si>
    <t>WG 1001806 entered track and got secured then waited 1:16:17 for WG 1002102 to get coupled, OBTP started on 09:12:18 finished on 10:04:59 and then left at 10:06:29</t>
  </si>
  <si>
    <t>1001807</t>
  </si>
  <si>
    <t>WG 1001807 entered track and got coupled to WG 1001601 then waited 12:52:38 for WG 1002807 to get coupled, OBTP started on 21:28:27 finished on 21:57:12 and then left at 21:58:27</t>
  </si>
  <si>
    <t>1001901</t>
  </si>
  <si>
    <t>OBT030125080046-Wien Kledering</t>
  </si>
  <si>
    <t>WG 1001901 entered track and got secured, OBTP started on 08:03:08 finished on 09:07:21 and then left at 09:08:47</t>
  </si>
  <si>
    <t>1002001</t>
  </si>
  <si>
    <t>OBT030125084617-Wien Kledering</t>
  </si>
  <si>
    <t>WG 1002001 entered track and got secured, OBTP started on 08:48:44 finished on 10:27:53 and then left at 10:29:55</t>
  </si>
  <si>
    <t>1002101</t>
  </si>
  <si>
    <t>WG 1002101 entered track and got coupled to WG 1000802, OBTP started on 09:09:45 finished on 10:05:11 and then left at 10:08:05</t>
  </si>
  <si>
    <t>1002102</t>
  </si>
  <si>
    <t>WG 1002102 entered track and got coupled to WG 1001806, OBTP started on 09:12:18 finished on 10:04:59 and then left at 10:06:29</t>
  </si>
  <si>
    <t>1002201</t>
  </si>
  <si>
    <t>OBT030125105420-Wien Kledering</t>
  </si>
  <si>
    <t>WG 1002201 entered track and got secured, OBTP started on 10:55:33 finished on 12:02:09 and then left at 12:03:37</t>
  </si>
  <si>
    <t>1002202</t>
  </si>
  <si>
    <t>OBT070125084545-St. Veit an der Glan</t>
  </si>
  <si>
    <t>WG 1002202 entered track and got secured then waited 5:02:18 for WG 1002509 to get coupled then waited 83:11:42 for WG 1003402 to get coupled then waited 5:34:31 for WG 1003902 to get coupled, OBTP started on 09:44:09 finished on 10:29:19 and then left at 10:30:39</t>
  </si>
  <si>
    <t>1002203</t>
  </si>
  <si>
    <t>OBT030125110012-Wien Kledering</t>
  </si>
  <si>
    <t>WG 1002203 entered track and got secured, OBTP started on 11:01:27 finished on 11:38:01 and then left at 11:39:22</t>
  </si>
  <si>
    <t>1002301</t>
  </si>
  <si>
    <t>OBT030125131727-Wien Kledering</t>
  </si>
  <si>
    <t>WG 1002301 entered track and got secured, OBTP started on 13:18:42 finished on 14:28:13 and then left at 14:29:42</t>
  </si>
  <si>
    <t>1002401</t>
  </si>
  <si>
    <t>OBT030125160747-Wien Kledering</t>
  </si>
  <si>
    <t>WG 1002401 entered track and got secured then waited 1:34:11 for WG 1002601 to get coupled, OBTP started on 16:10:09 finished on 16:41:37 and then left at 16:42:54</t>
  </si>
  <si>
    <t>1002501</t>
  </si>
  <si>
    <t>OBT030125204417-Ebenfurth (beet loading)</t>
  </si>
  <si>
    <t>WG 1002501 entered track and got secured then waited 0:10:07 for WG 1002504 to get coupled then waited 4:57:10 for WG 1002805 to get coupled, OBTP started on 20:54:08 finished on 21:37:25 and then left at 21:38:47</t>
  </si>
  <si>
    <t>1002502</t>
  </si>
  <si>
    <t>OBT030125154014-Pitten (Hamburger)</t>
  </si>
  <si>
    <t>WG 1002502 entered track and got secured, OBTP started on 15:41:26 finished on 16:22:28 and then left at 16:23:35</t>
  </si>
  <si>
    <t>1002503</t>
  </si>
  <si>
    <t>WG 1002503 entered track and got coupled to WG 1001804 then waited 4:53:07 for WG 1002803 to get coupled, OBTP started on 20:38:42 finished on 21:25:57 and then left at 21:27:12</t>
  </si>
  <si>
    <t>1002504</t>
  </si>
  <si>
    <t>WG 1002504 entered track and got coupled to WG 1002501 then waited 4:57:10 for WG 1002805 to get coupled, OBTP started on 20:54:08 finished on 21:37:25 and then left at 21:38:47</t>
  </si>
  <si>
    <t>1002505</t>
  </si>
  <si>
    <t>WG 1002505 entered track and got coupled to WG 1001605 then waited 5:03:11 for WG 1002808 to get coupled then waited 1:03:56 for WG 1002907 to get coupled then waited 0:06:48 for WG 1002911 to get coupled, OBTP started on 22:03:47 finished on 22:31:21 and then left at 22:32:25</t>
  </si>
  <si>
    <t>1002506</t>
  </si>
  <si>
    <t>OBT080125153109-Felixdorf/Sollenau (Bundesheer, Maba)</t>
  </si>
  <si>
    <t>WG 1002506 entered track and got secured then waited 4:45:40 for WG 1002802 to get coupled then waited 1:21:43 for WG 1002909 to get coupled then waited 92:22:16 for WG 1004709 to get coupled then waited 13:46:11 for WG 1005302 to get coupled then waited 7:25:32 for WG 1006001 to get coupled, OBTP started on 15:33:39 finished on 16:08:28 and then left at 16:09:43</t>
  </si>
  <si>
    <t>1002507</t>
  </si>
  <si>
    <t>WG 1002507 entered track and got coupled to WG 1001801 then waited 4:37:34 for WG 1002801 to get coupled, OBTP started on 20:33:32 finished on 21:01:06 and then left at 21:02:01</t>
  </si>
  <si>
    <t>1002508</t>
  </si>
  <si>
    <t>WG 1002508 entered track and got coupled to WG 1001310 then waited 0:05:27 for WG 1002510 to get coupled, OBTP started on 16:02:47 finished on 16:32:38 and then left at 16:33:49</t>
  </si>
  <si>
    <t>1002509</t>
  </si>
  <si>
    <t>WG 1002509 entered track and got coupled to WG 1002202 then waited 83:11:42 for WG 1003402 to get coupled then waited 5:34:31 for WG 1003902 to get coupled, OBTP started on 09:44:09 finished on 10:29:19 and then left at 10:30:39</t>
  </si>
  <si>
    <t>1002510</t>
  </si>
  <si>
    <t>WG 1002510 entered track and got coupled to WG 1002508, OBTP started on 16:02:47 finished on 16:32:38 and then left at 16:33:49</t>
  </si>
  <si>
    <t>1002511</t>
  </si>
  <si>
    <t>WG 1002511 entered track and got secured then waited 5:54:47 for WG 1002908 to get coupled then waited 77:21:16 for WG 1003404 to get coupled, OBTP started on 03:18:47 finished on 04:25:40 and then left at 04:27:20</t>
  </si>
  <si>
    <t>1002601</t>
  </si>
  <si>
    <t>WG 1002601 entered track and got coupled to WG 1002401, OBTP started on 16:10:09 finished on 16:41:37 and then left at 16:42:54</t>
  </si>
  <si>
    <t>1002701</t>
  </si>
  <si>
    <t>OBT030125173012-Wien Kledering</t>
  </si>
  <si>
    <t>WG 1002701 entered track and got secured, OBTP started on 17:31:25 finished on 18:41:08 and then left at 18:42:38</t>
  </si>
  <si>
    <t>1002801</t>
  </si>
  <si>
    <t>WG 1002801 entered track and got coupled to WG 1002507, OBTP started on 20:33:32 finished on 21:01:06 and then left at 21:02:01</t>
  </si>
  <si>
    <t>1002802</t>
  </si>
  <si>
    <t>WG 1002802 entered track and got coupled to WG 1002506 then waited 1:21:43 for WG 1002909 to get coupled then waited 92:22:16 for WG 1004709 to get coupled then waited 13:46:11 for WG 1005302 to get coupled then waited 7:25:32 for WG 1006001 to get coupled, OBTP started on 15:33:39 finished on 16:08:28 and then left at 16:09:43</t>
  </si>
  <si>
    <t>1002803</t>
  </si>
  <si>
    <t>WG 1002803 entered track and got coupled to WG 1002503, OBTP started on 20:38:42 finished on 21:25:57 and then left at 21:27:12</t>
  </si>
  <si>
    <t>1002804</t>
  </si>
  <si>
    <t>OBT030125204535-Pitten (Hamburger)</t>
  </si>
  <si>
    <t>WG 1002804 entered track and got secured then waited 0:07:53 for WG 1002806 to get coupled, OBTP started on 21:03:36 finished on 21:50:16 and then left at 21:51:27</t>
  </si>
  <si>
    <t>1002805</t>
  </si>
  <si>
    <t>WG 1002805 entered track and got coupled to WG 1002504, OBTP started on 20:54:08 finished on 21:37:25 and then left at 21:38:47</t>
  </si>
  <si>
    <t>1002806</t>
  </si>
  <si>
    <t>WG 1002806 entered track and got coupled to WG 1002804, OBTP started on 21:03:36 finished on 21:50:16 and then left at 21:51:27</t>
  </si>
  <si>
    <t>1002807</t>
  </si>
  <si>
    <t>WG 1002807 entered track and got coupled to WG 1001807, OBTP started on 21:28:27 finished on 21:57:12 and then left at 21:58:27</t>
  </si>
  <si>
    <t>1002808</t>
  </si>
  <si>
    <t>WG 1002808 entered track and got coupled to WG 1002505 then waited 1:03:56 for WG 1002907 to get coupled then waited 0:06:48 for WG 1002911 to get coupled, OBTP started on 22:03:47 finished on 22:31:21 and then left at 22:32:25</t>
  </si>
  <si>
    <t>1002901</t>
  </si>
  <si>
    <t>OBT070125180657-Wr. Neustadt Ausfahrbf (Furtenbach)</t>
  </si>
  <si>
    <t>WG 1002901 entered track and got secured then waited 82:13:33 for WG 1003602 to get coupled then waited 1:42:24 for WG 1004005 to get coupled then waited 6:21:25 for WG 1004411 to get coupled then waited 2:07:56 for WG 1004705 to get coupled, OBTP started on 18:08:11 finished on 18:43:00 and then left at 18:44:19</t>
  </si>
  <si>
    <t>1002902</t>
  </si>
  <si>
    <t>OBT050125180143-Pitten (Hamburger)</t>
  </si>
  <si>
    <t>WG 1002902 entered track and got secured then waited 0:06:50 for WG 1002904 to get coupled then waited 8:15:02 for WG 1003003 to get coupled then waited 35:57:47 for WG 1003102 to get coupled, OBTP started on 18:02:58 finished on 19:42:17 and then left at 19:44:24</t>
  </si>
  <si>
    <t>1002903</t>
  </si>
  <si>
    <t>OBT070125075235-Neudörfl (FunderMax)</t>
  </si>
  <si>
    <t>WG 1002903 entered track and got secured then waited 46:47:52 for WG 1003202 to get coupled then waited 30:35:03 for WG 1003401 to get coupled then waited 0:05:40 for WG 1003403 to get coupled then waited 4:38:08 for WG 1003601 to get coupled, OBTP started on 08:10:25 finished on 08:38:51 and then left at 08:39:47</t>
  </si>
  <si>
    <t>1002904</t>
  </si>
  <si>
    <t>WG 1002904 entered track and got coupled to WG 1002902 then waited 8:15:02 for WG 1003003 to get coupled then waited 35:57:47 for WG 1003102 to get coupled, OBTP started on 18:02:58 finished on 19:42:17 and then left at 19:44:24</t>
  </si>
  <si>
    <t>1002905</t>
  </si>
  <si>
    <t>OBT070125080206-Other sidings north</t>
  </si>
  <si>
    <t>WG 1002905 entered track and got secured then waited 0:07:00 for WG 1002906 to get coupled then waited 82:02:19 for WG 1003603 to get coupled then waited 0:02:42 for WG 1003604 to get coupled, OBTP started on 08:48:15 finished on 09:41:46 and then left at 09:43:16</t>
  </si>
  <si>
    <t>1002906</t>
  </si>
  <si>
    <t>WG 1002906 entered track and got coupled to WG 1002905 then waited 82:02:19 for WG 1003603 to get coupled then waited 0:02:42 for WG 1003604 to get coupled, OBTP started on 08:48:15 finished on 09:41:46 and then left at 09:43:16</t>
  </si>
  <si>
    <t>1002907</t>
  </si>
  <si>
    <t>WG 1002907 entered track and got coupled to WG 1002808 then waited 0:06:48 for WG 1002911 to get coupled, OBTP started on 22:03:47 finished on 22:31:21 and then left at 22:32:25</t>
  </si>
  <si>
    <t>1002908</t>
  </si>
  <si>
    <t>WG 1002908 entered track and got coupled to WG 1002511 then waited 77:21:16 for WG 1003404 to get coupled, OBTP started on 03:18:47 finished on 04:25:40 and then left at 04:27:20</t>
  </si>
  <si>
    <t>1002909</t>
  </si>
  <si>
    <t>WG 1002909 entered track and got coupled to WG 1002802 then waited 92:22:16 for WG 1004709 to get coupled then waited 13:46:11 for WG 1005302 to get coupled then waited 7:25:32 for WG 1006001 to get coupled, OBTP started on 15:33:39 finished on 16:08:28 and then left at 16:09:43</t>
  </si>
  <si>
    <t>1002910</t>
  </si>
  <si>
    <t>WG 1002910 entered track and got coupled to WG 1001802 then waited 0:01:18 for WG 1002912 to get coupled, OBTP started on 22:05:06 finished on 22:42:36 and then left at 22:43:46</t>
  </si>
  <si>
    <t>1002911</t>
  </si>
  <si>
    <t>WG 1002911 entered track and got coupled to WG 1002907, OBTP started on 22:03:47 finished on 22:31:21 and then left at 22:32:25</t>
  </si>
  <si>
    <t>1002912</t>
  </si>
  <si>
    <t>WG 1002912 entered track and got coupled to WG 1002910, OBTP started on 22:05:06 finished on 22:42:36 and then left at 22:43:46</t>
  </si>
  <si>
    <t>1003001</t>
  </si>
  <si>
    <t>OBT040125055908-Ebenfurth (beet loading)</t>
  </si>
  <si>
    <t>WG 1003001 entered track and got secured, OBTP started on 06:00:21 finished on 06:55:26 and then left at 06:56:50</t>
  </si>
  <si>
    <t>1003002</t>
  </si>
  <si>
    <t>OBT050125180350-Neudörfl (FunderMax)</t>
  </si>
  <si>
    <t>WG 1003002 entered track and got secured then waited 36:02:49 for WG 1003103 to get coupled, OBTP started on 18:05:02 finished on 18:34:35 and then left at 18:35:36</t>
  </si>
  <si>
    <t>1003003</t>
  </si>
  <si>
    <t>WG 1003003 entered track and got secured then waited 35:57:47 for WG 1003102 to get coupled, OBTP started on 18:02:58 finished on 19:42:17 and then left at 19:44:24</t>
  </si>
  <si>
    <t>1003101</t>
  </si>
  <si>
    <t>OBT070125031850-Ebenfurth (beet loading)</t>
  </si>
  <si>
    <t>WG 1003101 entered track and got secured then waited 33:23:08 for WG 1003405 to get coupled, OBTP started on 03:20:05 finished on 03:54:28 and then left at 03:55:36</t>
  </si>
  <si>
    <t>1003102</t>
  </si>
  <si>
    <t>WG 1003102 entered track and got coupled to WG 1003003, OBTP started on 18:02:58 finished on 19:42:17 and then left at 19:44:24</t>
  </si>
  <si>
    <t>1003103</t>
  </si>
  <si>
    <t>WG 1003103 entered track and got coupled to WG 1003002, OBTP started on 18:05:02 finished on 18:34:35 and then left at 18:35:36</t>
  </si>
  <si>
    <t>1003201</t>
  </si>
  <si>
    <t>OBT050125203113-Pitten (Hamburger)</t>
  </si>
  <si>
    <t>WG 1003201 entered track and got secured, OBTP started on 20:32:25 finished on 22:19:37 and then left at 22:21:39</t>
  </si>
  <si>
    <t>1003202</t>
  </si>
  <si>
    <t>WG 1003202 entered track and got secured then waited 30:35:03 for WG 1003401 to get coupled then waited 0:05:40 for WG 1003403 to get coupled then waited 4:38:08 for WG 1003601 to get coupled, OBTP started on 08:10:25 finished on 08:38:51 and then left at 08:39:47</t>
  </si>
  <si>
    <t>1003203</t>
  </si>
  <si>
    <t>OBT050125203708-Pitten (Hamburger)</t>
  </si>
  <si>
    <t>WG 1003203 entered track and got secured, OBTP started on 20:38:23 finished on 21:03:41 and then left at 21:04:48</t>
  </si>
  <si>
    <t>1003301</t>
  </si>
  <si>
    <t>OBT060125175612-Pitten (Hamburger)</t>
  </si>
  <si>
    <t>WG 1003301 entered track and got secured, OBTP started on 17:57:27 finished on 18:57:48 and then left at 18:59:13</t>
  </si>
  <si>
    <t>1003401</t>
  </si>
  <si>
    <t>WG 1003401 entered track and got coupled to WG 1003202 then waited 0:05:40 for WG 1003403 to get coupled then waited 4:38:08 for WG 1003601 to get coupled, OBTP started on 08:10:25 finished on 08:38:51 and then left at 08:39:47</t>
  </si>
  <si>
    <t>1003402</t>
  </si>
  <si>
    <t>WG 1003402 entered track and got coupled to WG 1002509 then waited 5:34:31 for WG 1003902 to get coupled, OBTP started on 09:44:09 finished on 10:29:19 and then left at 10:30:39</t>
  </si>
  <si>
    <t>1003403</t>
  </si>
  <si>
    <t>WG 1003403 entered track and got coupled to WG 1003401 then waited 4:38:08 for WG 1003601 to get coupled, OBTP started on 08:10:25 finished on 08:38:51 and then left at 08:39:47</t>
  </si>
  <si>
    <t>1003404</t>
  </si>
  <si>
    <t>WG 1003404 entered track and got coupled to WG 1002908, OBTP started on 03:18:47 finished on 04:25:40 and then left at 04:27:20</t>
  </si>
  <si>
    <t>1003405</t>
  </si>
  <si>
    <t>WG 1003405 entered track and got coupled to WG 1003101, OBTP started on 03:20:05 finished on 03:54:28 and then left at 03:55:36</t>
  </si>
  <si>
    <t>1003501</t>
  </si>
  <si>
    <t>OBT070125064820-Wien Kledering</t>
  </si>
  <si>
    <t>WG 1003501 entered track and got secured, OBTP started on 06:49:35 finished on 08:03:50 and then left at 08:05:29</t>
  </si>
  <si>
    <t>1003601</t>
  </si>
  <si>
    <t>WG 1003601 entered track and got coupled to WG 1003403, OBTP started on 08:10:25 finished on 08:38:51 and then left at 08:39:47</t>
  </si>
  <si>
    <t>1003602</t>
  </si>
  <si>
    <t>WG 1003602 entered track and got coupled to WG 1002901 then waited 1:42:24 for WG 1004005 to get coupled then waited 6:21:25 for WG 1004411 to get coupled then waited 2:07:56 for WG 1004705 to get coupled, OBTP started on 18:08:11 finished on 18:43:00 and then left at 18:44:19</t>
  </si>
  <si>
    <t>1003603</t>
  </si>
  <si>
    <t>WG 1003603 entered track and got coupled to WG 1002906 then waited 0:02:42 for WG 1003604 to get coupled, OBTP started on 08:48:15 finished on 09:41:46 and then left at 09:43:16</t>
  </si>
  <si>
    <t>1003604</t>
  </si>
  <si>
    <t>WG 1003604 entered track and got coupled to WG 1003603, OBTP started on 08:48:15 finished on 09:41:46 and then left at 09:43:16</t>
  </si>
  <si>
    <t>1003605</t>
  </si>
  <si>
    <t>OBT070125155207-Pitten (Hamburger)</t>
  </si>
  <si>
    <t>WG 1003605 entered track and got secured then waited 1:25:36 for WG 1004002 to get coupled then waited 0:18:19 for WG 1004008 to get coupled then waited 5:56:02 for WG 1004405 to get coupled then waited 0:08:09 for WG 1004409 to get coupled, OBTP started on 16:24:42 finished on 16:54:41 and then left at 16:55:42</t>
  </si>
  <si>
    <t>1003606</t>
  </si>
  <si>
    <t>OBT070125084304-Wien Kledering</t>
  </si>
  <si>
    <t>WG 1003606 entered track and got secured then waited 0:36:16 for WG 1003901 to get coupled, OBTP started on 08:56:26 finished on 10:06:47 and then left at 10:08:23</t>
  </si>
  <si>
    <t>1003607</t>
  </si>
  <si>
    <t>OBT080125032215-Other sidings south</t>
  </si>
  <si>
    <t>WG 1003607 entered track and got secured then waited 1:28:24 for WG 1004004 to get coupled then waited 6:19:34 for WG 1004410 to get coupled then waited 2:07:07 for WG 1004703 to get coupled then waited 9:19:07 for WG 1005005 to get coupled, OBTP started on 03:43:38 finished on 04:19:04 and then left at 04:20:19</t>
  </si>
  <si>
    <t>1003701</t>
  </si>
  <si>
    <t>OBT070125074225-Wien Kledering</t>
  </si>
  <si>
    <t>WG 1003701 entered track and got secured, OBTP started on 07:43:38 finished on 09:22:47 and then left at 09:24:53</t>
  </si>
  <si>
    <t>1003801</t>
  </si>
  <si>
    <t>OBT070125074625-Wien Kledering</t>
  </si>
  <si>
    <t>WG 1003801 entered track and got secured, OBTP started on 08:06:28 finished on 08:53:56 and then left at 08:55:25</t>
  </si>
  <si>
    <t>1003901</t>
  </si>
  <si>
    <t>WG 1003901 entered track and got secured, OBTP started on 08:56:26 finished on 10:06:47 and then left at 10:08:23</t>
  </si>
  <si>
    <t>1003902</t>
  </si>
  <si>
    <t>WG 1003902 entered track and got coupled to WG 1003402, OBTP started on 09:44:09 finished on 10:29:19 and then left at 10:30:39</t>
  </si>
  <si>
    <t>1004001</t>
  </si>
  <si>
    <t>OBT080125041024-Neudörfl (FunderMax)</t>
  </si>
  <si>
    <t>WG 1004001 entered track and got secured then waited 6:22:42 for WG 1004408 to get coupled then waited 2:07:58 for WG 1004701 to get coupled then waited 10:12:41 for WG 1005101 to get coupled, OBTP started on 04:11:37 finished on 06:39:48 and then left at 06:42:28</t>
  </si>
  <si>
    <t>1004002</t>
  </si>
  <si>
    <t>WG 1004002 entered track and got coupled to WG 1003605 then waited 0:18:19 for WG 1004008 to get coupled then waited 5:56:02 for WG 1004405 to get coupled then waited 0:08:09 for WG 1004409 to get coupled, OBTP started on 16:24:42 finished on 16:54:41 and then left at 16:55:42</t>
  </si>
  <si>
    <t>1004003</t>
  </si>
  <si>
    <t>OBT070125105541-Wien Kledering</t>
  </si>
  <si>
    <t>WG 1004003 entered track and got secured then waited 1:24:22 for WG 1004101 to get coupled, OBTP started on 10:56:54 finished on 12:10:07 and then left at 12:11:46</t>
  </si>
  <si>
    <t>1004004</t>
  </si>
  <si>
    <t>WG 1004004 entered track and got coupled to WG 1003607 then waited 6:19:34 for WG 1004410 to get coupled then waited 2:07:07 for WG 1004703 to get coupled then waited 9:19:07 for WG 1005005 to get coupled, OBTP started on 03:43:38 finished on 04:19:04 and then left at 04:20:19</t>
  </si>
  <si>
    <t>1004005</t>
  </si>
  <si>
    <t>WG 1004005 entered track and got coupled to WG 1003602 then waited 6:21:25 for WG 1004411 to get coupled then waited 2:07:56 for WG 1004705 to get coupled, OBTP started on 18:08:11 finished on 18:43:00 and then left at 18:44:19</t>
  </si>
  <si>
    <t>1004006</t>
  </si>
  <si>
    <t>OBT070125154601-Other sidings north</t>
  </si>
  <si>
    <t>WG 1004006 entered track and got secured then waited 6:04:55 for WG 1004407 to get coupled, OBTP started on 16:02:41 finished on 16:28:10 and then left at 16:29:18</t>
  </si>
  <si>
    <t>1004007</t>
  </si>
  <si>
    <t>OBT070125154136-Wr. Neustadt (Hödlmayr)</t>
  </si>
  <si>
    <t>WG 1004007 entered track and got secured then waited 5:59:44 for WG 1004404 to get coupled, OBTP started on 15:48:37 finished on 16:22:22 and then left at 16:23:22</t>
  </si>
  <si>
    <t>1004008</t>
  </si>
  <si>
    <t>WG 1004008 entered track and got coupled to WG 1004002 then waited 5:56:02 for WG 1004405 to get coupled then waited 0:08:09 for WG 1004409 to get coupled, OBTP started on 16:24:42 finished on 16:54:41 and then left at 16:55:42</t>
  </si>
  <si>
    <t>1004101</t>
  </si>
  <si>
    <t>WG 1004101 entered track and got secured, OBTP started on 10:56:54 finished on 12:10:07 and then left at 12:11:46</t>
  </si>
  <si>
    <t>1004102</t>
  </si>
  <si>
    <t>OBT070125162217-St. Veit an der Glan</t>
  </si>
  <si>
    <t>WG 1004102 entered track and got secured then waited 5:23:56 for WG 1004602 to get coupled, OBTP started on 16:30:40 finished on 16:55:47 and then left at 16:56:41</t>
  </si>
  <si>
    <t>1004103</t>
  </si>
  <si>
    <t>OBT070125131825-Wien Kledering</t>
  </si>
  <si>
    <t>WG 1004103 entered track and got secured then waited 2:16:38 for WG 1004201 to get coupled, OBTP started on 13:19:40 finished on 14:25:44 and then left at 14:27:20</t>
  </si>
  <si>
    <t>1004201</t>
  </si>
  <si>
    <t>WG 1004201 entered track and got coupled to WG 1004103, OBTP started on 13:19:40 finished on 14:25:44 and then left at 14:27:20</t>
  </si>
  <si>
    <t>1004301</t>
  </si>
  <si>
    <t>OBT070125143346-Wien Kledering</t>
  </si>
  <si>
    <t>WG 1004301 entered track and got secured, OBTP started on 14:34:59 finished on 16:14:29 and then left at 16:16:29</t>
  </si>
  <si>
    <t>1004401</t>
  </si>
  <si>
    <t>OBT080125031718-Other sidings local</t>
  </si>
  <si>
    <t>WG 1004401 entered track and got secured then waited 2:27:34 for WG 1004702 to get coupled then waited 0:12:25 for WG 1004707 to get coupled then waited 8:58:59 for WG 1005001 to get coupled then waited 0:05:47 for WG 1005003 to get coupled, OBTP started on 03:19:56 finished on 03:48:31 and then left at 03:49:38</t>
  </si>
  <si>
    <t>1004402</t>
  </si>
  <si>
    <t>WG 1004402 entered track and got coupled to WG 1001308 then waited 2:43:11 for WG 1004710 to get coupled then waited 25:54:36 for WG 1006403 to get coupled then waited 22:06:13 for WG 1007703 to get coupled then waited 0:20:37 for WG 1007902 to get coupled, OBTP started on 19:07:49 finished on 19:35:22 and then left at 19:37:08</t>
  </si>
  <si>
    <t>1004403</t>
  </si>
  <si>
    <t>OBT080125081724-Other sidings north</t>
  </si>
  <si>
    <t>WG 1004403 entered track and got secured then waited 2:25:40 for WG 1004704 to get coupled then waited 0:24:56 for WG 1004712 to get coupled then waited 0:05:36 for WG 1004713 to get coupled then waited 13:44:10 for WG 1005307 to get coupled, OBTP started on 08:18:39 finished on 08:51:10 and then left at 08:52:16</t>
  </si>
  <si>
    <t>1004404</t>
  </si>
  <si>
    <t>WG 1004404 entered track and got coupled to WG 1004007, OBTP started on 15:48:37 finished on 16:22:22 and then left at 16:23:22</t>
  </si>
  <si>
    <t>1004405</t>
  </si>
  <si>
    <t>WG 1004405 entered track and got coupled to WG 1004008 then waited 0:08:09 for WG 1004409 to get coupled, OBTP started on 16:24:42 finished on 16:54:41 and then left at 16:55:42</t>
  </si>
  <si>
    <t>1004406</t>
  </si>
  <si>
    <t>WG 1004406 entered track and got coupled to WG 1001303 then waited 16:53:04 for WG 1005315 to get coupled then waited 7:19:41 for WG 1006011 to get coupled then waited 15:42:16 for WG 1007001 to get coupled then waited 0:04:38 for WG 1006902 to get coupled, OBTP started on 07:48:07 finished on 09:30:21 and then left at 09:32:30</t>
  </si>
  <si>
    <t>1004407</t>
  </si>
  <si>
    <t>WG 1004407 entered track and got secured, OBTP started on 16:02:41 finished on 16:28:10 and then left at 16:29:18</t>
  </si>
  <si>
    <t>1004408</t>
  </si>
  <si>
    <t>WG 1004408 entered track and got coupled to WG 1004001 then waited 2:07:58 for WG 1004701 to get coupled then waited 10:12:41 for WG 1005101 to get coupled, OBTP started on 04:11:37 finished on 06:39:48 and then left at 06:42:28</t>
  </si>
  <si>
    <t>1004409</t>
  </si>
  <si>
    <t>WG 1004409 entered track and got coupled to WG 1004405, OBTP started on 16:24:42 finished on 16:54:41 and then left at 16:55:42</t>
  </si>
  <si>
    <t>1004410</t>
  </si>
  <si>
    <t>WG 1004410 entered track and got coupled to WG 1004004 then waited 2:07:07 for WG 1004703 to get coupled then waited 9:19:07 for WG 1005005 to get coupled, OBTP started on 03:43:38 finished on 04:19:04 and then left at 04:20:19</t>
  </si>
  <si>
    <t>1004411</t>
  </si>
  <si>
    <t>WG 1004411 entered track and got coupled to WG 1004005 then waited 2:07:56 for WG 1004705 to get coupled, OBTP started on 18:08:11 finished on 18:43:00 and then left at 18:44:19</t>
  </si>
  <si>
    <t>1004501</t>
  </si>
  <si>
    <t>OBT070125160018-Wien Kledering</t>
  </si>
  <si>
    <t>WG 1004501 entered track and got secured, OBTP started on 16:24:52 finished on 18:03:14 and then left at 18:05:20</t>
  </si>
  <si>
    <t>1004601</t>
  </si>
  <si>
    <t>OBT070125183432-Wien Kledering</t>
  </si>
  <si>
    <t>WG 1004601 entered track and got secured then waited 2:15:49 for WG 1004801 to get coupled, OBTP started on 18:37:02 finished on 19:53:28 and then left at 19:55:21</t>
  </si>
  <si>
    <t>1004602</t>
  </si>
  <si>
    <t>WG 1004602 entered track and got coupled to WG 1004102, OBTP started on 16:30:40 finished on 16:55:47 and then left at 16:56:41</t>
  </si>
  <si>
    <t>1004701</t>
  </si>
  <si>
    <t>WG 1004701 entered track and got coupled to WG 1004408 then waited 10:12:41 for WG 1005101 to get coupled, OBTP started on 04:11:37 finished on 06:39:48 and then left at 06:42:28</t>
  </si>
  <si>
    <t>1004702</t>
  </si>
  <si>
    <t>WG 1004702 entered track and got coupled to WG 1004401 then waited 0:12:25 for WG 1004707 to get coupled then waited 8:58:59 for WG 1005001 to get coupled then waited 0:05:47 for WG 1005003 to get coupled, OBTP started on 03:19:56 finished on 03:48:31 and then left at 03:49:38</t>
  </si>
  <si>
    <t>1004703</t>
  </si>
  <si>
    <t>WG 1004703 entered track and got coupled to WG 1004410 then waited 9:19:07 for WG 1005005 to get coupled, OBTP started on 03:43:38 finished on 04:19:04 and then left at 04:20:19</t>
  </si>
  <si>
    <t>1004704</t>
  </si>
  <si>
    <t>WG 1004704 entered track and got secured then waited 0:24:56 for WG 1004712 to get coupled then waited 0:05:36 for WG 1004713 to get coupled then waited 13:44:10 for WG 1005307 to get coupled, OBTP started on 08:18:39 finished on 08:51:10 and then left at 08:52:16</t>
  </si>
  <si>
    <t>1004705</t>
  </si>
  <si>
    <t>WG 1004705 entered track and got coupled to WG 1004411, OBTP started on 18:08:11 finished on 18:43:00 and then left at 18:44:19</t>
  </si>
  <si>
    <t>1004706</t>
  </si>
  <si>
    <t>OBT070125180725-Wr. Neustadt (Hödlmayr)</t>
  </si>
  <si>
    <t>WG 1004706 entered track and got secured, OBTP started on 18:09:14 finished on 18:36:14 and then left at 18:37:12</t>
  </si>
  <si>
    <t>1004707</t>
  </si>
  <si>
    <t>WG 1004707 entered track and got coupled to WG 1004702 then waited 8:58:59 for WG 1005001 to get coupled then waited 0:05:47 for WG 1005003 to get coupled, OBTP started on 03:19:56 finished on 03:48:31 and then left at 03:49:38</t>
  </si>
  <si>
    <t>1004708</t>
  </si>
  <si>
    <t>OBT080125031418-Pitten (Hamburger)</t>
  </si>
  <si>
    <t>WG 1004708 entered track and got secured then waited 0:13:10 for WG 1004711 to get coupled then waited 8:47:58 for WG 1005002 to get coupled, OBTP started on 03:15:30 finished on 03:41:13 and then left at 03:42:07</t>
  </si>
  <si>
    <t>1004709</t>
  </si>
  <si>
    <t>WG 1004709 entered track and got coupled to WG 1002909 then waited 13:46:11 for WG 1005302 to get coupled then waited 7:25:32 for WG 1006001 to get coupled, OBTP started on 15:33:39 finished on 16:08:28 and then left at 16:09:43</t>
  </si>
  <si>
    <t>1004710</t>
  </si>
  <si>
    <t>WG 1004710 entered track and got coupled to WG 1004402 then waited 25:54:36 for WG 1006403 to get coupled then waited 22:06:13 for WG 1007703 to get coupled then waited 0:20:37 for WG 1007902 to get coupled, OBTP started on 19:07:49 finished on 19:35:22 and then left at 19:37:08</t>
  </si>
  <si>
    <t>1004711</t>
  </si>
  <si>
    <t>WG 1004711 entered track and got coupled to WG 1004708 then waited 8:47:58 for WG 1005002 to get coupled, OBTP started on 03:15:30 finished on 03:41:13 and then left at 03:42:07</t>
  </si>
  <si>
    <t>1004712</t>
  </si>
  <si>
    <t>WG 1004712 entered track and got coupled to WG 1004704 then waited 0:05:36 for WG 1004713 to get coupled then waited 13:44:10 for WG 1005307 to get coupled, OBTP started on 08:18:39 finished on 08:51:10 and then left at 08:52:16</t>
  </si>
  <si>
    <t>1004713</t>
  </si>
  <si>
    <t>WG 1004713 entered track and got coupled to WG 1004712 then waited 13:44:10 for WG 1005307 to get coupled, OBTP started on 08:18:39 finished on 08:51:10 and then left at 08:52:16</t>
  </si>
  <si>
    <t>1004801</t>
  </si>
  <si>
    <t>WG 1004801 entered track and got coupled to WG 1004601, OBTP started on 18:37:02 finished on 19:53:28 and then left at 19:55:21</t>
  </si>
  <si>
    <t>1004901</t>
  </si>
  <si>
    <t>OBT070125212007-Wien Kledering</t>
  </si>
  <si>
    <t>WG 1004901 entered track and got secured, OBTP started on 21:21:22 finished on 22:58:38 and then left at 23:00:32</t>
  </si>
  <si>
    <t>1005001</t>
  </si>
  <si>
    <t>WG 1005001 entered track and got coupled to WG 1004707 then waited 0:05:47 for WG 1005003 to get coupled, OBTP started on 03:19:56 finished on 03:48:31 and then left at 03:49:38</t>
  </si>
  <si>
    <t>1005002</t>
  </si>
  <si>
    <t>WG 1005002 entered track and got coupled to WG 1004711, OBTP started on 03:15:30 finished on 03:41:13 and then left at 03:42:07</t>
  </si>
  <si>
    <t>1005003</t>
  </si>
  <si>
    <t>WG 1005003 entered track and got coupled to WG 1005001, OBTP started on 03:19:56 finished on 03:48:31 and then left at 03:49:38</t>
  </si>
  <si>
    <t>1005004</t>
  </si>
  <si>
    <t>OBT080125031726-Neunkirchen (loading tracks)</t>
  </si>
  <si>
    <t>WG 1005004 entered track and got secured, OBTP started on 03:24:41 finished on 04:06:25 and then left at 04:07:35</t>
  </si>
  <si>
    <t>1005005</t>
  </si>
  <si>
    <t>WG 1005005 entered track and got coupled to WG 1004703, OBTP started on 03:43:38 finished on 04:19:04 and then left at 04:20:19</t>
  </si>
  <si>
    <t>1005006</t>
  </si>
  <si>
    <t>OBT080125061845-Wien Kledering</t>
  </si>
  <si>
    <t>WG 1005006 entered track and got secured then waited 2:57:11 for WG 1005201 to get coupled, OBTP started on 06:20:00 finished on 07:34:15 and then left at 07:35:52</t>
  </si>
  <si>
    <t>1005101</t>
  </si>
  <si>
    <t>WG 1005101 entered track and got coupled to WG 1004701, OBTP started on 04:11:37 finished on 06:39:48 and then left at 06:42:28</t>
  </si>
  <si>
    <t>1005201</t>
  </si>
  <si>
    <t>WG 1005201 entered track and got secured, OBTP started on 06:20:00 finished on 07:34:15 and then left at 07:35:52</t>
  </si>
  <si>
    <t>1005301</t>
  </si>
  <si>
    <t>OBT080125083220-Pitten (Hamburger)</t>
  </si>
  <si>
    <t>WG 1005301 entered track and got secured then waited 0:07:41 for WG 1005303 to get coupled then waited 0:23:58 for WG 1005312 to get coupled, OBTP started on 08:46:45 finished on 09:17:52 and then left at 09:18:51</t>
  </si>
  <si>
    <t>1005302</t>
  </si>
  <si>
    <t>WG 1005302 entered track and got coupled to WG 1004709 then waited 7:25:32 for WG 1006001 to get coupled, OBTP started on 15:33:39 finished on 16:08:28 and then left at 16:09:43</t>
  </si>
  <si>
    <t>1005303</t>
  </si>
  <si>
    <t>WG 1005303 entered track and got coupled to WG 1005301 then waited 0:23:58 for WG 1005312 to get coupled, OBTP started on 08:46:45 finished on 09:17:52 and then left at 09:18:51</t>
  </si>
  <si>
    <t>1005304</t>
  </si>
  <si>
    <t>OBT090125031241-Neunkirchen (loading tracks)</t>
  </si>
  <si>
    <t>WG 1005304 entered track and got secured then waited 0:16:35 for WG 1005310 to get coupled then waited 11:52:27 for WG 1006404 to get coupled then waited 6:54:27 for WG 1006603 to get coupled, OBTP started on 03:13:56 finished on 04:03:11 and then left at 04:04:34</t>
  </si>
  <si>
    <t>1005305</t>
  </si>
  <si>
    <t>OBT090125075601-Wr. Neustadt Ausfahrbf (Furtenbach)</t>
  </si>
  <si>
    <t>WG 1005305 entered track and got secured then waited 0:25:54 for WG 1005314 to get coupled then waited 7:11:43 for WG 1006008 to get coupled then waited 4:38:40 for WG 1006408 to get coupled then waited 11:28:07 for WG 1006905 to get coupled, OBTP started on 07:58:31 finished on 08:28:22 and then left at 08:29:37</t>
  </si>
  <si>
    <t>1005306</t>
  </si>
  <si>
    <t>OBT080125084420-Ternitz (Schoeller-Bleckmann)</t>
  </si>
  <si>
    <t>WG 1005306 entered track and got secured then waited 0:30:53 for WG 1005501 to get coupled, OBTP started on 08:51:29 finished on 10:31:56 and then left at 10:33:54</t>
  </si>
  <si>
    <t>1005307</t>
  </si>
  <si>
    <t>WG 1005307 entered track and got coupled to WG 1004713, OBTP started on 08:18:39 finished on 08:51:10 and then left at 08:52:16</t>
  </si>
  <si>
    <t>1005308</t>
  </si>
  <si>
    <t>OBT100125031522-Other sidings south</t>
  </si>
  <si>
    <t>WG 1005308 entered track and got secured then waited 7:23:00 for WG 1006005 to get coupled then waited 11:28:53 for WG 1006602 to get coupled then waited 3:51:01 for WG 1006709 to get coupled then waited 20:14:50 for WG 1008104 to get coupled, OBTP started on 03:16:37 finished on 03:49:09 and then left at 03:50:22</t>
  </si>
  <si>
    <t>1005309</t>
  </si>
  <si>
    <t>OBT080125082044-Wr. Neustadt (Hödlmayr)</t>
  </si>
  <si>
    <t>WG 1005309 entered track and got secured, OBTP started on 08:21:59 finished on 08:48:59 and then left at 08:50:07</t>
  </si>
  <si>
    <t>1005310</t>
  </si>
  <si>
    <t>WG 1005310 entered track and got coupled to WG 1005304 then waited 11:52:27 for WG 1006404 to get coupled then waited 6:54:27 for WG 1006603 to get coupled, OBTP started on 03:13:56 finished on 04:03:11 and then left at 04:04:34</t>
  </si>
  <si>
    <t>1005311</t>
  </si>
  <si>
    <t>OBT080125091709-Wien Kledering</t>
  </si>
  <si>
    <t>WG 1005311 entered track and got secured then waited 0:51:39 for WG 1005601 to get coupled, OBTP started on 09:20:19 finished on 09:49:01 and then left at 09:50:04</t>
  </si>
  <si>
    <t>1005312</t>
  </si>
  <si>
    <t>WG 1005312 entered track and got coupled to WG 1005303, OBTP started on 08:46:45 finished on 09:17:52 and then left at 09:18:51</t>
  </si>
  <si>
    <t>1005313</t>
  </si>
  <si>
    <t>Obereggendorf (Hofer)</t>
  </si>
  <si>
    <t>OBT090125184904-Obereggendorf (Hofer)</t>
  </si>
  <si>
    <t>WG 1005313 entered track and got secured then waited 7:02:42 for WG 1006002 to get coupled then waited 4:39:54 for WG 1006402 to get coupled then waited 0:16:24 for WG 1006409 to get coupled then waited 19:09:11 for WG 1007505 to get coupled then waited 3:10:10 for WG 1007904 to get coupled, OBTP started on 19:09:20 finished on 19:34:49 and then left at 19:36:01</t>
  </si>
  <si>
    <t>1005314</t>
  </si>
  <si>
    <t>WG 1005314 entered track and got coupled to WG 1005305 then waited 7:11:43 for WG 1006008 to get coupled then waited 4:38:40 for WG 1006408 to get coupled then waited 11:28:07 for WG 1006905 to get coupled, OBTP started on 07:58:31 finished on 08:28:22 and then left at 08:29:37</t>
  </si>
  <si>
    <t>1005315</t>
  </si>
  <si>
    <t>WG 1005315 entered track and got coupled to WG 1004406 then waited 7:19:41 for WG 1006011 to get coupled then waited 15:42:16 for WG 1007001 to get coupled then waited 0:04:38 for WG 1006902 to get coupled, OBTP started on 07:48:07 finished on 09:30:21 and then left at 09:32:30</t>
  </si>
  <si>
    <t>1005401</t>
  </si>
  <si>
    <t>OBT080125073527-Wien Kledering</t>
  </si>
  <si>
    <t>WG 1005401 entered track and got secured, OBTP started on 07:36:40 finished on 08:15:51 and then left at 08:17:05</t>
  </si>
  <si>
    <t>1005501</t>
  </si>
  <si>
    <t>WG 1005501 entered track and got coupled to WG 1005306, OBTP started on 08:51:29 finished on 10:31:56 and then left at 10:33:54</t>
  </si>
  <si>
    <t>1005601</t>
  </si>
  <si>
    <t>WG 1005601 entered track and got secured, OBTP started on 09:20:19 finished on 09:49:01 and then left at 09:50:04</t>
  </si>
  <si>
    <t>1005602</t>
  </si>
  <si>
    <t>OBT080125092000-St. Veit an der Glan</t>
  </si>
  <si>
    <t>WG 1005602 entered track and got secured, OBTP started on 09:22:21 finished on 09:52:27 and then left at 09:53:39</t>
  </si>
  <si>
    <t>1005701</t>
  </si>
  <si>
    <t>OBT080125103559-Wien Kledering</t>
  </si>
  <si>
    <t>WG 1005701 entered track and got secured, OBTP started on 10:37:14 finished on 11:08:27 and then left at 11:09:32</t>
  </si>
  <si>
    <t>1005702</t>
  </si>
  <si>
    <t>OBT090125091140-St. Veit an der Glan</t>
  </si>
  <si>
    <t>WG 1005702 entered track and got secured then waited 22:33:13 for WG 1007202 to get coupled, OBTP started on 09:32:46 finished on 10:38:58 and then left at 10:40:25</t>
  </si>
  <si>
    <t>1005703</t>
  </si>
  <si>
    <t>OBT080125104132-Wien Kledering</t>
  </si>
  <si>
    <t>WG 1005703 entered track and got secured, OBTP started on 10:42:40 finished on 11:56:59 and then left at 11:58:35</t>
  </si>
  <si>
    <t>1005801</t>
  </si>
  <si>
    <t>OBT080125130420-Wien Kledering</t>
  </si>
  <si>
    <t>WG 1005801 entered track and got secured, OBTP started on 13:05:35 finished on 14:19:47 and then left at 14:21:27</t>
  </si>
  <si>
    <t>1005901</t>
  </si>
  <si>
    <t>OBT080125144539-Wien Kledering</t>
  </si>
  <si>
    <t>WG 1005901 entered track and got secured, OBTP started on 14:46:47 finished on 16:18:15 and then left at 16:20:08</t>
  </si>
  <si>
    <t>1006001</t>
  </si>
  <si>
    <t>WG 1006001 entered track and got coupled to WG 1005302, OBTP started on 15:33:39 finished on 16:08:28 and then left at 16:09:43</t>
  </si>
  <si>
    <t>1006002</t>
  </si>
  <si>
    <t>WG 1006002 entered track and got coupled to WG 1005313 then waited 4:39:54 for WG 1006402 to get coupled then waited 0:16:24 for WG 1006409 to get coupled then waited 19:09:11 for WG 1007505 to get coupled then waited 3:10:10 for WG 1007904 to get coupled, OBTP started on 19:09:20 finished on 19:34:49 and then left at 19:36:01</t>
  </si>
  <si>
    <t>1006003</t>
  </si>
  <si>
    <t>OBT090125030658-Wr. Neustadt (Hödlmayr)</t>
  </si>
  <si>
    <t>WG 1006003 entered track and got secured then waited 0:14:20 for WG 1006007 to get coupled then waited 4:34:34 for WG 1006406 to get coupled then waited 6:44:57 for WG 1006601 to get coupled, OBTP started on 03:08:06 finished on 03:35:37 and then left at 03:36:36</t>
  </si>
  <si>
    <t>1006004</t>
  </si>
  <si>
    <t>OBT090125064202-Other sidings north</t>
  </si>
  <si>
    <t>WG 1006004 entered track and got secured then waited 0:18:19 for WG 1006010 to get coupled then waited 4:28:44 for WG 1006407 to get coupled then waited 10:17:14 for WG 1006702 to get coupled, OBTP started on 06:44:11 finished on 07:28:08 and then left at 07:29:31</t>
  </si>
  <si>
    <t>1006005</t>
  </si>
  <si>
    <t>WG 1006005 entered track and got coupled to WG 1005308 then waited 11:28:53 for WG 1006602 to get coupled then waited 3:51:01 for WG 1006709 to get coupled then waited 20:14:50 for WG 1008104 to get coupled, OBTP started on 03:16:37 finished on 03:49:09 and then left at 03:50:22</t>
  </si>
  <si>
    <t>1006006</t>
  </si>
  <si>
    <t>OBT080125173713-Wien Kledering</t>
  </si>
  <si>
    <t>WG 1006006 entered track and got secured then waited 1:54:50 for WG 1006201 to get coupled, OBTP started on 17:38:25 finished on 18:30:42 and then left at 18:32:04</t>
  </si>
  <si>
    <t>1006007</t>
  </si>
  <si>
    <t>WG 1006007 entered track and got coupled to WG 1006003 then waited 4:34:34 for WG 1006406 to get coupled then waited 6:44:57 for WG 1006601 to get coupled, OBTP started on 03:08:06 finished on 03:35:37 and then left at 03:36:36</t>
  </si>
  <si>
    <t>1006008</t>
  </si>
  <si>
    <t>WG 1006008 entered track and got coupled to WG 1005314 then waited 4:38:40 for WG 1006408 to get coupled then waited 11:28:07 for WG 1006905 to get coupled, OBTP started on 07:58:31 finished on 08:28:22 and then left at 08:29:37</t>
  </si>
  <si>
    <t>1006009</t>
  </si>
  <si>
    <t>OBT090125075111-Pitten (Hamburger)</t>
  </si>
  <si>
    <t>WG 1006009 entered track and got secured then waited 4:18:27 for WG 1006401 to get coupled then waited 10:44:13 for WG 1006707 to get coupled then waited 0:56:28 for WG 1006904 to get coupled, OBTP started on 07:58:03 finished on 08:31:25 and then left at 08:32:33</t>
  </si>
  <si>
    <t>1006010</t>
  </si>
  <si>
    <t>WG 1006010 entered track and got coupled to WG 1006004 then waited 4:28:44 for WG 1006407 to get coupled then waited 10:17:14 for WG 1006702 to get coupled, OBTP started on 06:44:11 finished on 07:28:08 and then left at 07:29:31</t>
  </si>
  <si>
    <t>1006011</t>
  </si>
  <si>
    <t>WG 1006011 entered track and got coupled to WG 1005315 then waited 15:42:16 for WG 1007001 to get coupled then waited 0:04:38 for WG 1006902 to get coupled, OBTP started on 07:48:07 finished on 09:30:21 and then left at 09:32:30</t>
  </si>
  <si>
    <t>1006101</t>
  </si>
  <si>
    <t>OBT080125160042-Wien Kledering</t>
  </si>
  <si>
    <t>WG 1006101 entered track and got secured, OBTP started on 16:03:09 finished on 17:33:39 and then left at 17:35:39</t>
  </si>
  <si>
    <t>1006201</t>
  </si>
  <si>
    <t>WG 1006201 entered track and got secured, OBTP started on 17:38:25 finished on 18:30:42 and then left at 18:32:04</t>
  </si>
  <si>
    <t>1006301</t>
  </si>
  <si>
    <t>OBT080125203302-Wien Kledering</t>
  </si>
  <si>
    <t>WG 1006301 entered track and got secured then waited 2:20:30 for WG 1006501 to get coupled, OBTP started on 20:34:17 finished on 21:03:05 and then left at 21:04:16</t>
  </si>
  <si>
    <t>1006401</t>
  </si>
  <si>
    <t>WG 1006401 entered track and got coupled to WG 1006009 then waited 10:44:13 for WG 1006707 to get coupled then waited 0:56:28 for WG 1006904 to get coupled, OBTP started on 07:58:03 finished on 08:31:25 and then left at 08:32:33</t>
  </si>
  <si>
    <t>1006402</t>
  </si>
  <si>
    <t>WG 1006402 entered track and got coupled to WG 1006002 then waited 0:16:24 for WG 1006409 to get coupled then waited 19:09:11 for WG 1007505 to get coupled then waited 3:10:10 for WG 1007904 to get coupled, OBTP started on 19:09:20 finished on 19:34:49 and then left at 19:36:01</t>
  </si>
  <si>
    <t>1006403</t>
  </si>
  <si>
    <t>WG 1006403 entered track and got coupled to WG 1004710 then waited 22:06:13 for WG 1007703 to get coupled then waited 0:20:37 for WG 1007902 to get coupled, OBTP started on 19:07:49 finished on 19:35:22 and then left at 19:37:08</t>
  </si>
  <si>
    <t>1006404</t>
  </si>
  <si>
    <t>WG 1006404 entered track and got coupled to WG 1005310 then waited 6:54:27 for WG 1006603 to get coupled, OBTP started on 03:13:56 finished on 04:03:11 and then left at 04:04:34</t>
  </si>
  <si>
    <t>1006405</t>
  </si>
  <si>
    <t>OBT090125063820-Ebenfurth (beet loading)</t>
  </si>
  <si>
    <t>WG 1006405 entered track and got secured then waited 10:19:55 for WG 1006701 to get coupled, OBTP started on 06:39:33 finished on 07:14:58 and then left at 07:16:06</t>
  </si>
  <si>
    <t>1006406</t>
  </si>
  <si>
    <t>WG 1006406 entered track and got coupled to WG 1006007 then waited 6:44:57 for WG 1006601 to get coupled, OBTP started on 03:08:06 finished on 03:35:37 and then left at 03:36:36</t>
  </si>
  <si>
    <t>1006407</t>
  </si>
  <si>
    <t>WG 1006407 entered track and got coupled to WG 1006010 then waited 10:17:14 for WG 1006702 to get coupled, OBTP started on 06:44:11 finished on 07:28:08 and then left at 07:29:31</t>
  </si>
  <si>
    <t>1006408</t>
  </si>
  <si>
    <t>WG 1006408 entered track and got coupled to WG 1006008 then waited 11:28:07 for WG 1006905 to get coupled, OBTP started on 07:58:31 finished on 08:28:22 and then left at 08:29:37</t>
  </si>
  <si>
    <t>1006409</t>
  </si>
  <si>
    <t>WG 1006409 entered track and got coupled to WG 1006402 then waited 19:09:11 for WG 1007505 to get coupled then waited 3:10:10 for WG 1007904 to get coupled, OBTP started on 19:09:20 finished on 19:34:49 and then left at 19:36:01</t>
  </si>
  <si>
    <t>1006501</t>
  </si>
  <si>
    <t>WG 1006501 entered track and got coupled to WG 1006301, OBTP started on 20:34:17 finished on 21:03:05 and then left at 21:04:16</t>
  </si>
  <si>
    <t>1006601</t>
  </si>
  <si>
    <t>WG 1006601 entered track and got coupled to WG 1006406, OBTP started on 03:08:06 finished on 03:35:37 and then left at 03:36:36</t>
  </si>
  <si>
    <t>1006602</t>
  </si>
  <si>
    <t>WG 1006602 entered track and got coupled to WG 1006005 then waited 3:51:01 for WG 1006709 to get coupled then waited 20:14:50 for WG 1008104 to get coupled, OBTP started on 03:16:37 finished on 03:49:09 and then left at 03:50:22</t>
  </si>
  <si>
    <t>1006603</t>
  </si>
  <si>
    <t>WG 1006603 entered track and got coupled to WG 1006404, OBTP started on 03:13:56 finished on 04:03:11 and then left at 04:04:34</t>
  </si>
  <si>
    <t>1006701</t>
  </si>
  <si>
    <t>WG 1006701 entered track and got coupled to WG 1006405, OBTP started on 06:39:33 finished on 07:14:58 and then left at 07:16:06</t>
  </si>
  <si>
    <t>1006702</t>
  </si>
  <si>
    <t>WG 1006702 entered track and got coupled to WG 1006407, OBTP started on 06:44:11 finished on 07:28:08 and then left at 07:29:31</t>
  </si>
  <si>
    <t>1006703</t>
  </si>
  <si>
    <t>OBT090125182822-Neunkirchen (loading tracks)</t>
  </si>
  <si>
    <t>WG 1006703 entered track and got secured then waited 0:07:15 for WG 1006705 to get coupled then waited 1:06:47 for WG 1006906 to get coupled then waited 10:20:25 for WG 1007701 to get coupled then waited 0:12:14 for WG 1007706 to get coupled, OBTP started on 18:58:46 finished on 19:25:42 and then left at 19:26:40</t>
  </si>
  <si>
    <t>1006704</t>
  </si>
  <si>
    <t>OBT090125204342-Felixdorf/Sollenau (Bundesheer, Maba)</t>
  </si>
  <si>
    <t>WG 1006704 entered track and got secured then waited 11:34:16 for WG 1007702 to get coupled then waited 2:22:34 for WG 1008005 to get coupled then waited 0:02:35 for WG 1008006 to get coupled, OBTP started on 20:44:57 finished on 21:15:37 and then left at 21:16:45</t>
  </si>
  <si>
    <t>1006705</t>
  </si>
  <si>
    <t>WG 1006705 entered track and got coupled to WG 1006703 then waited 1:06:47 for WG 1006906 to get coupled then waited 10:20:25 for WG 1007701 to get coupled then waited 0:12:14 for WG 1007706 to get coupled, OBTP started on 18:58:46 finished on 19:25:42 and then left at 19:26:40</t>
  </si>
  <si>
    <t>1006706</t>
  </si>
  <si>
    <t>OBT130125092620-Ternitz (Schoeller-Bleckmann)</t>
  </si>
  <si>
    <t>WG 1006706 entered track and got secured then waited 20:18:03 for WG 1008101 to get coupled then waited 6:29:52 for WG 1008704 to get coupled then waited 71:49:55 for WG 1010602 to get coupled, OBTP started on 09:27:35 finished on 10:13:18 and then left at 10:14:42</t>
  </si>
  <si>
    <t>1006707</t>
  </si>
  <si>
    <t>WG 1006707 entered track and got coupled to WG 1006401 then waited 0:56:28 for WG 1006904 to get coupled, OBTP started on 07:58:03 finished on 08:31:25 and then left at 08:32:33</t>
  </si>
  <si>
    <t>1006708</t>
  </si>
  <si>
    <t>OBT090125152828-Neudörfl (FunderMax)</t>
  </si>
  <si>
    <t>WG 1006708 entered track and got secured then waited 0:55:29 for WG 1006903 to get coupled then waited 7:39:21 for WG 1007501 to get coupled, OBTP started on 15:29:41 finished on 15:58:56 and then left at 16:00:06</t>
  </si>
  <si>
    <t>1006709</t>
  </si>
  <si>
    <t>WG 1006709 entered track and got coupled to WG 1006602 then waited 20:14:50 for WG 1008104 to get coupled, OBTP started on 03:16:37 finished on 03:49:09 and then left at 03:50:22</t>
  </si>
  <si>
    <t>1006801</t>
  </si>
  <si>
    <t>OBT090125070004-Wien Kledering</t>
  </si>
  <si>
    <t>WG 1006801 entered track and got secured, OBTP started on 07:03:02 finished on 07:49:30 and then left at 07:50:40</t>
  </si>
  <si>
    <t>1006901</t>
  </si>
  <si>
    <t>OBT090125153646-Ebenfurth (beet loading)</t>
  </si>
  <si>
    <t>WG 1006901 entered track and got secured then waited 7:54:50 for WG 1007504 to get coupled, OBTP started on 15:59:55 finished on 16:43:12 and then left at 16:44:27</t>
  </si>
  <si>
    <t>1006902</t>
  </si>
  <si>
    <t>WG 1006902 entered track and got coupled to WG 1007001, OBTP started on 07:48:07 finished on 09:30:21 and then left at 09:32:30</t>
  </si>
  <si>
    <t>1006903</t>
  </si>
  <si>
    <t>WG 1006903 entered track and got coupled to WG 1006708 then waited 7:39:21 for WG 1007501 to get coupled, OBTP started on 15:29:41 finished on 15:58:56 and then left at 16:00:06</t>
  </si>
  <si>
    <t>1006904</t>
  </si>
  <si>
    <t>WG 1006904 entered track and got coupled to WG 1006707, OBTP started on 07:58:03 finished on 08:31:25 and then left at 08:32:33</t>
  </si>
  <si>
    <t>1006905</t>
  </si>
  <si>
    <t>WG 1006905 entered track and got coupled to WG 1006408, OBTP started on 07:58:31 finished on 08:28:22 and then left at 08:29:37</t>
  </si>
  <si>
    <t>1006906</t>
  </si>
  <si>
    <t>WG 1006906 entered track and got coupled to WG 1006705 then waited 10:20:25 for WG 1007701 to get coupled then waited 0:12:14 for WG 1007706 to get coupled, OBTP started on 18:58:46 finished on 19:25:42 and then left at 19:26:40</t>
  </si>
  <si>
    <t>1006907</t>
  </si>
  <si>
    <t>OBT090125153241-Pitten (Hamburger)</t>
  </si>
  <si>
    <t>WG 1006907 entered track and got secured then waited 7:37:04 for WG 1007503 to get coupled, OBTP started on 15:41:16 finished on 16:14:15 and then left at 16:15:23</t>
  </si>
  <si>
    <t>1007001</t>
  </si>
  <si>
    <t>WG 1007001 entered track and got coupled to WG 1006011 then waited 0:04:38 for WG 1006902 to get coupled, OBTP started on 07:48:07 finished on 09:30:21 and then left at 09:32:30</t>
  </si>
  <si>
    <t>1007101</t>
  </si>
  <si>
    <t>OBT090125083304-Wien Kledering</t>
  </si>
  <si>
    <t>WG 1007101 entered track and got secured, OBTP started on 08:34:17 finished on 10:09:40 and then left at 10:11:44</t>
  </si>
  <si>
    <t>1007201</t>
  </si>
  <si>
    <t>OBT090125090557-Wien Kledering</t>
  </si>
  <si>
    <t>WG 1007201 entered track and got secured, OBTP started on 09:14:10 finished on 09:43:43 and then left at 09:44:58</t>
  </si>
  <si>
    <t>1007202</t>
  </si>
  <si>
    <t>WG 1007202 entered track and got coupled to WG 1005702, OBTP started on 09:32:46 finished on 10:38:58 and then left at 10:40:25</t>
  </si>
  <si>
    <t>1007301</t>
  </si>
  <si>
    <t>OBT100125092212-St. Veit an der Glan</t>
  </si>
  <si>
    <t>WG 1007301 entered track and got secured then waited 7:50:20 for WG 1007910 to get coupled then waited 8:07:08 for WG 1008102 to get coupled then waited 4:05:35 for WG 1008402 to get coupled then waited 2:07:15 for WG 1008802 to get coupled, OBTP started on 09:23:27 finished on 09:57:45 and then left at 09:58:47</t>
  </si>
  <si>
    <t>1007302</t>
  </si>
  <si>
    <t>OBT090125111603-Wien Kledering</t>
  </si>
  <si>
    <t>WG 1007302 entered track and got secured, OBTP started on 11:17:16 finished on 13:00:56 and then left at 13:03:10</t>
  </si>
  <si>
    <t>1007401</t>
  </si>
  <si>
    <t>OBT090125145115-Wien Kledering</t>
  </si>
  <si>
    <t>WG 1007401 entered track and got secured, OBTP started on 14:52:30 finished on 15:52:51 and then left at 15:54:31</t>
  </si>
  <si>
    <t>1007501</t>
  </si>
  <si>
    <t>WG 1007501 entered track and got coupled to WG 1006903, OBTP started on 15:29:41 finished on 15:58:56 and then left at 16:00:06</t>
  </si>
  <si>
    <t>1007502</t>
  </si>
  <si>
    <t>OBT090125182601-Other sidings north</t>
  </si>
  <si>
    <t>WG 1007502 entered track and got secured then waited 2:56:09 for WG 1007705 to get coupled, OBTP started on 18:28:22 finished on 19:06:54 and then left at 19:08:12</t>
  </si>
  <si>
    <t>1007503</t>
  </si>
  <si>
    <t>WG 1007503 entered track and got secured, OBTP started on 15:41:16 finished on 16:14:15 and then left at 16:15:23</t>
  </si>
  <si>
    <t>1007504</t>
  </si>
  <si>
    <t>WG 1007504 entered track and got coupled to WG 1006901, OBTP started on 15:59:55 finished on 16:43:12 and then left at 16:44:27</t>
  </si>
  <si>
    <t>1007505</t>
  </si>
  <si>
    <t>WG 1007505 entered track and got coupled to WG 1006409 then waited 3:10:10 for WG 1007904 to get coupled, OBTP started on 19:09:20 finished on 19:34:49 and then left at 19:36:01</t>
  </si>
  <si>
    <t>1007601</t>
  </si>
  <si>
    <t>OBT090125155728-Wien Kledering</t>
  </si>
  <si>
    <t>WG 1007601 entered track and got secured, OBTP started on 16:01:22 finished on 17:20:04 and then left at 17:21:54</t>
  </si>
  <si>
    <t>1007701</t>
  </si>
  <si>
    <t>WG 1007701 entered track and got coupled to WG 1006906 then waited 0:12:14 for WG 1007706 to get coupled, OBTP started on 18:58:46 finished on 19:25:42 and then left at 19:26:40</t>
  </si>
  <si>
    <t>1007702</t>
  </si>
  <si>
    <t>WG 1007702 entered track and got coupled to WG 1006704 then waited 2:22:34 for WG 1008005 to get coupled then waited 0:02:35 for WG 1008006 to get coupled, OBTP started on 20:44:57 finished on 21:15:37 and then left at 21:16:45</t>
  </si>
  <si>
    <t>1007703</t>
  </si>
  <si>
    <t>WG 1007703 entered track and got coupled to WG 1006403 then waited 0:20:37 for WG 1007902 to get coupled, OBTP started on 19:07:49 finished on 19:35:22 and then left at 19:37:08</t>
  </si>
  <si>
    <t>1007704</t>
  </si>
  <si>
    <t>OBT090125182121-Pitten (Hamburger)</t>
  </si>
  <si>
    <t>WG 1007704 entered track and got secured, OBTP started on 18:22:34 finished on 18:51:48 and then left at 18:52:51</t>
  </si>
  <si>
    <t>1007705</t>
  </si>
  <si>
    <t>WG 1007705 entered track and got coupled to WG 1007502, OBTP started on 18:28:22 finished on 19:06:54 and then left at 19:08:12</t>
  </si>
  <si>
    <t>1007706</t>
  </si>
  <si>
    <t>WG 1007706 entered track and got coupled to WG 1007701, OBTP started on 18:58:46 finished on 19:25:42 and then left at 19:26:40</t>
  </si>
  <si>
    <t>1007707</t>
  </si>
  <si>
    <t>OBT090125185836-Wr. Neustadt (Brenntag)</t>
  </si>
  <si>
    <t>WG 1007707 entered track and got secured then waited 0:06:54 for WG 1007709 to get coupled then waited 0:14:06 for WG 1007905 to get coupled then waited 0:09:14 for WG 1007909 to get coupled, OBTP started on 19:28:12 finished on 19:58:22 and then left at 19:59:33</t>
  </si>
  <si>
    <t>1007708</t>
  </si>
  <si>
    <t>OBT090125190525-Neudörfl (FunderMax)</t>
  </si>
  <si>
    <t>WG 1007708 entered track and got secured then waited 0:22:54 for WG 1007906 to get coupled then waited 0:09:27 for WG 1007911 to get coupled, OBTP started on 19:37:16 finished on 20:11:36 and then left at 20:12:55</t>
  </si>
  <si>
    <t>1007709</t>
  </si>
  <si>
    <t>WG 1007709 entered track and got coupled to WG 1007707 then waited 0:14:06 for WG 1007905 to get coupled then waited 0:09:14 for WG 1007909 to get coupled, OBTP started on 19:28:12 finished on 19:58:22 and then left at 19:59:33</t>
  </si>
  <si>
    <t>1007801</t>
  </si>
  <si>
    <t>OBT100125060642-Wien Kledering</t>
  </si>
  <si>
    <t>WG 1007801 entered track and got secured then waited 12:06:14 for WG 1008301 to get coupled, OBTP started on 06:07:55 finished on 07:34:13 and then left at 07:36:04</t>
  </si>
  <si>
    <t>1007901</t>
  </si>
  <si>
    <t>OBT100125031244-Neunkirchen (loading tracks)</t>
  </si>
  <si>
    <t>WG 1007901 entered track and got secured then waited 0:18:30 for WG 1007907 to get coupled then waited 8:16:28 for WG 1008103 to get coupled, OBTP started on 03:13:57 finished on 04:09:30 and then left at 04:11:01</t>
  </si>
  <si>
    <t>1007902</t>
  </si>
  <si>
    <t>WG 1007902 entered track and got coupled to WG 1007703, OBTP started on 19:07:49 finished on 19:35:22 and then left at 19:37:08</t>
  </si>
  <si>
    <t>1007903</t>
  </si>
  <si>
    <t>OBT090125204925-Other sidings north</t>
  </si>
  <si>
    <t>WG 1007903 entered track and got secured then waited 2:06:57 for WG 1008008 to get coupled, OBTP started on 20:50:37 finished on 21:22:07 and then left at 21:23:05</t>
  </si>
  <si>
    <t>1007904</t>
  </si>
  <si>
    <t>WG 1007904 entered track and got coupled to WG 1007505, OBTP started on 19:09:20 finished on 19:34:49 and then left at 19:36:01</t>
  </si>
  <si>
    <t>1007905</t>
  </si>
  <si>
    <t>WG 1007905 entered track and got coupled to WG 1007709 then waited 0:09:14 for WG 1007909 to get coupled, OBTP started on 19:28:12 finished on 19:58:22 and then left at 19:59:33</t>
  </si>
  <si>
    <t>1007906</t>
  </si>
  <si>
    <t>WG 1007906 entered track and got coupled to WG 1007708 then waited 0:09:27 for WG 1007911 to get coupled, OBTP started on 19:37:16 finished on 20:11:36 and then left at 20:12:55</t>
  </si>
  <si>
    <t>1007907</t>
  </si>
  <si>
    <t>WG 1007907 entered track and got coupled to WG 1007901 then waited 8:16:28 for WG 1008103 to get coupled, OBTP started on 03:13:57 finished on 04:09:30 and then left at 04:11:01</t>
  </si>
  <si>
    <t>1007908</t>
  </si>
  <si>
    <t>OBT100125071706-Wr. Neustadt (Hödlmayr)</t>
  </si>
  <si>
    <t>WG 1007908 entered track and got secured then waited 1:33:45 for WG 1008001 to get coupled then waited 0:05:45 for WG 1008003 to get coupled then waited 10:41:35 for WG 1008403 to get coupled, OBTP started on 07:19:36 finished on 07:57:49 and then left at 07:58:57</t>
  </si>
  <si>
    <t>1007909</t>
  </si>
  <si>
    <t>WG 1007909 entered track and got coupled to WG 1007905, OBTP started on 19:28:12 finished on 19:58:22 and then left at 19:59:33</t>
  </si>
  <si>
    <t>1007910</t>
  </si>
  <si>
    <t>WG 1007910 entered track and got coupled to WG 1007301 then waited 8:07:08 for WG 1008102 to get coupled then waited 4:05:35 for WG 1008402 to get coupled then waited 2:07:15 for WG 1008802 to get coupled, OBTP started on 09:23:27 finished on 09:57:45 and then left at 09:58:47</t>
  </si>
  <si>
    <t>1007911</t>
  </si>
  <si>
    <t>WG 1007911 entered track and got coupled to WG 1007906, OBTP started on 19:37:16 finished on 20:11:36 and then left at 20:12:55</t>
  </si>
  <si>
    <t>1008001</t>
  </si>
  <si>
    <t>WG 1008001 entered track and got secured then waited 0:05:45 for WG 1008003 to get coupled then waited 10:41:35 for WG 1008403 to get coupled, OBTP started on 07:19:36 finished on 07:57:49 and then left at 07:58:57</t>
  </si>
  <si>
    <t>1008002</t>
  </si>
  <si>
    <t>OBT100125045052-Neudörfl (FunderMax)</t>
  </si>
  <si>
    <t>WG 1008002 entered track and got secured then waited 8:19:42 for WG 1008201 to get coupled, OBTP started on 04:52:07 finished on 05:52:14 and then left at 05:53:42</t>
  </si>
  <si>
    <t>1008003</t>
  </si>
  <si>
    <t>WG 1008003 entered track and got coupled to WG 1008001 then waited 10:41:35 for WG 1008403 to get coupled, OBTP started on 07:19:36 finished on 07:57:49 and then left at 07:58:57</t>
  </si>
  <si>
    <t>1008004</t>
  </si>
  <si>
    <t>OBT100125071957-Pitten (Hamburger)</t>
  </si>
  <si>
    <t>WG 1008004 entered track and got secured then waited 10:44:15 for WG 1008404 to get coupled, OBTP started on 07:34:02 finished on 08:20:41 and then left at 08:22:10</t>
  </si>
  <si>
    <t>1008005</t>
  </si>
  <si>
    <t>WG 1008005 entered track and got coupled to WG 1007702 then waited 0:02:35 for WG 1008006 to get coupled, OBTP started on 20:44:57 finished on 21:15:37 and then left at 21:16:45</t>
  </si>
  <si>
    <t>1008006</t>
  </si>
  <si>
    <t>WG 1008006 entered track and got coupled to WG 1008005, OBTP started on 20:44:57 finished on 21:15:37 and then left at 21:16:45</t>
  </si>
  <si>
    <t>1008007</t>
  </si>
  <si>
    <t>OBT140125093209-Obereggendorf (Hofer)</t>
  </si>
  <si>
    <t>WG 1008007 entered track and got secured then waited 83:17:18 for WG 1010501 to get coupled then waited 7:25:03 for WG 1011103 to get coupled then waited 18:05:30 for WG 1012202 to get coupled, OBTP started on 09:33:24 finished on 10:59:16 and then left at 11:01:44</t>
  </si>
  <si>
    <t>1008008</t>
  </si>
  <si>
    <t>WG 1008008 entered track and got coupled to WG 1007903, OBTP started on 20:50:37 finished on 21:22:07 and then left at 21:23:05</t>
  </si>
  <si>
    <t>1008101</t>
  </si>
  <si>
    <t>WG 1008101 entered track and got coupled to WG 1006706 then waited 6:29:52 for WG 1008704 to get coupled then waited 71:49:55 for WG 1010602 to get coupled, OBTP started on 09:27:35 finished on 10:13:18 and then left at 10:14:42</t>
  </si>
  <si>
    <t>1008102</t>
  </si>
  <si>
    <t>WG 1008102 entered track and got coupled to WG 1007910 then waited 4:05:35 for WG 1008402 to get coupled then waited 2:07:15 for WG 1008802 to get coupled, OBTP started on 09:23:27 finished on 09:57:45 and then left at 09:58:47</t>
  </si>
  <si>
    <t>1008103</t>
  </si>
  <si>
    <t>WG 1008103 entered track and got coupled to WG 1007907, OBTP started on 03:13:57 finished on 04:09:30 and then left at 04:11:01</t>
  </si>
  <si>
    <t>1008104</t>
  </si>
  <si>
    <t>WG 1008104 entered track and got coupled to WG 1006709, OBTP started on 03:16:37 finished on 03:49:09 and then left at 03:50:22</t>
  </si>
  <si>
    <t>1008201</t>
  </si>
  <si>
    <t>WG 1008201 entered track and got coupled to WG 1008002, OBTP started on 04:52:07 finished on 05:52:14 and then left at 05:53:42</t>
  </si>
  <si>
    <t>1008301</t>
  </si>
  <si>
    <t>WG 1008301 entered track and got coupled to WG 1007801, OBTP started on 06:07:55 finished on 07:34:13 and then left at 07:36:04</t>
  </si>
  <si>
    <t>1008401</t>
  </si>
  <si>
    <t>OBT100125095359-Felixdorf/Sollenau (Bundesheer, Maba)</t>
  </si>
  <si>
    <t>WG 1008401 entered track and got secured then waited 0:15:17 for WG 1008406 to get coupled then waited 2:28:40 for WG 1008710 to get coupled, OBTP started on 10:37:47 finished on 11:06:29 and then left at 11:07:35</t>
  </si>
  <si>
    <t>1008402</t>
  </si>
  <si>
    <t>WG 1008402 entered track and got coupled to WG 1008102 then waited 2:07:15 for WG 1008802 to get coupled, OBTP started on 09:23:27 finished on 09:57:45 and then left at 09:58:47</t>
  </si>
  <si>
    <t>1008403</t>
  </si>
  <si>
    <t>WG 1008403 entered track and got coupled to WG 1008003, OBTP started on 07:19:36 finished on 07:57:49 and then left at 07:58:57</t>
  </si>
  <si>
    <t>1008404</t>
  </si>
  <si>
    <t>WG 1008404 entered track and got coupled to WG 1008004, OBTP started on 07:34:02 finished on 08:20:41 and then left at 08:22:10</t>
  </si>
  <si>
    <t>1008405</t>
  </si>
  <si>
    <t>OBT130125093830-Other sidings local</t>
  </si>
  <si>
    <t>WG 1008405 entered track and got secured then waited 2:28:49 for WG 1008708 to get coupled then waited 8:51:58 for WG 1009408 to get coupled then waited 61:50:18 for WG 1010513 to get coupled then waited 1:08:20 for WG 1010702 to get coupled, OBTP started on 10:04:56 finished on 10:30:05 and then left at 10:31:05</t>
  </si>
  <si>
    <t>1008406</t>
  </si>
  <si>
    <t>WG 1008406 entered track and got coupled to WG 1008401 then waited 2:28:40 for WG 1008710 to get coupled, OBTP started on 10:37:47 finished on 11:06:29 and then left at 11:07:35</t>
  </si>
  <si>
    <t>1008407</t>
  </si>
  <si>
    <t>OBT100125094326-Other sidings north</t>
  </si>
  <si>
    <t>WG 1008407 entered track and got secured then waited 0:06:42 for WG 1008409 to get coupled then waited 1:54:49 for WG 1008701 to get coupled then waited 0:16:57 for WG 1008707 to get coupled, OBTP started on 10:01:51 finished on 10:34:11 and then left at 10:35:29</t>
  </si>
  <si>
    <t>1008408</t>
  </si>
  <si>
    <t>OBT100125205342-Other sidings south</t>
  </si>
  <si>
    <t>WG 1008408 entered track and got secured then waited 2:03:13 for WG 1008703 to get coupled then waited 0:26:30 for WG 1008712 to get coupled then waited 8:46:42 for WG 1009410 to get coupled then waited 2:07:37 for WG 1009506 to get coupled, OBTP started on 20:56:12 finished on 21:24:48 and then left at 21:25:58</t>
  </si>
  <si>
    <t>1008409</t>
  </si>
  <si>
    <t>WG 1008409 entered track and got coupled to WG 1008407 then waited 1:54:49 for WG 1008701 to get coupled then waited 0:16:57 for WG 1008707 to get coupled, OBTP started on 10:01:51 finished on 10:34:11 and then left at 10:35:29</t>
  </si>
  <si>
    <t>1008501</t>
  </si>
  <si>
    <t>OBT100125074357-Wien Kledering</t>
  </si>
  <si>
    <t>WG 1008501 entered track and got secured, OBTP started on 07:46:24 finished on 08:34:41 and then left at 08:36:07</t>
  </si>
  <si>
    <t>1008601</t>
  </si>
  <si>
    <t>OBT100125081531-Wien Kledering</t>
  </si>
  <si>
    <t>WG 1008601 entered track and got secured, OBTP started on 08:18:01 finished on 09:53:13 and then left at 09:55:13</t>
  </si>
  <si>
    <t>1008701</t>
  </si>
  <si>
    <t>WG 1008701 entered track and got secured then waited 0:16:57 for WG 1008707 to get coupled, OBTP started on 10:01:51 finished on 10:34:11 and then left at 10:35:29</t>
  </si>
  <si>
    <t>1008702</t>
  </si>
  <si>
    <t>OBT100125092935-Ebenfurth (beet loading)</t>
  </si>
  <si>
    <t>WG 1008702 entered track and got secured, OBTP started on 10:00:00 finished on 10:35:25 and then left at 10:36:34</t>
  </si>
  <si>
    <t>1008703</t>
  </si>
  <si>
    <t>WG 1008703 entered track and got coupled to WG 1008408 then waited 0:26:30 for WG 1008712 to get coupled then waited 8:46:42 for WG 1009410 to get coupled then waited 2:07:37 for WG 1009506 to get coupled, OBTP started on 20:56:12 finished on 21:24:48 and then left at 21:25:58</t>
  </si>
  <si>
    <t>1008704</t>
  </si>
  <si>
    <t>WG 1008704 entered track and got coupled to WG 1008101 then waited 71:49:55 for WG 1010602 to get coupled, OBTP started on 09:27:35 finished on 10:13:18 and then left at 10:14:42</t>
  </si>
  <si>
    <t>1008705</t>
  </si>
  <si>
    <t>OBT100125142646-Wien Kledering</t>
  </si>
  <si>
    <t>WG 1008705 entered track and got secured then waited 3:42:01 for WG 1009001 to get coupled then waited 1:07:35 for WG 1009101 to get coupled, OBTP started on 14:28:01 finished on 14:57:40 and then left at 14:58:41</t>
  </si>
  <si>
    <t>1008706</t>
  </si>
  <si>
    <t>OBT100125103849-Wien Kledering</t>
  </si>
  <si>
    <t>WG 1008706 entered track and got secured then waited 0:57:45 for WG 1008901 to get coupled, OBTP started on 10:40:19 finished on 11:45:14 and then left at 11:46:40</t>
  </si>
  <si>
    <t>1008707</t>
  </si>
  <si>
    <t>WG 1008707 entered track and got coupled to WG 1008701, OBTP started on 10:01:51 finished on 10:34:11 and then left at 10:35:29</t>
  </si>
  <si>
    <t>1008708</t>
  </si>
  <si>
    <t>WG 1008708 entered track and got coupled to WG 1008405 then waited 8:51:58 for WG 1009408 to get coupled then waited 61:50:18 for WG 1010513 to get coupled then waited 1:08:20 for WG 1010702 to get coupled, OBTP started on 10:04:56 finished on 10:30:05 and then left at 10:31:05</t>
  </si>
  <si>
    <t>1008709</t>
  </si>
  <si>
    <t>OBT100125185219-Neunkirchen (loading tracks)</t>
  </si>
  <si>
    <t>WG 1008709 entered track and got secured then waited 9:04:37 for WG 1009412 to get coupled, OBTP started on 19:20:06 finished on 19:55:45 and then left at 19:57:01</t>
  </si>
  <si>
    <t>1008710</t>
  </si>
  <si>
    <t>WG 1008710 entered track and got coupled to WG 1008406, OBTP started on 10:37:47 finished on 11:06:29 and then left at 11:07:35</t>
  </si>
  <si>
    <t>1008711</t>
  </si>
  <si>
    <t>OBT100125183853-Wr. Neustadt Ausfahrbf (Furtenbach)</t>
  </si>
  <si>
    <t>WG 1008711 entered track and got secured then waited 8:28:03 for WG 1009401 to get coupled then waited 0:13:03 for WG 1009406 to get coupled then waited 0:05:14 for WG 1009407 to get coupled, OBTP started on 19:06:23 finished on 19:39:44 and then left at 19:40:57</t>
  </si>
  <si>
    <t>1008712</t>
  </si>
  <si>
    <t>WG 1008712 entered track and got coupled to WG 1008703 then waited 8:46:42 for WG 1009410 to get coupled then waited 2:07:37 for WG 1009506 to get coupled, OBTP started on 20:56:12 finished on 21:24:48 and then left at 21:25:58</t>
  </si>
  <si>
    <t>1008801</t>
  </si>
  <si>
    <t>OBT100125092457-Wien Kledering</t>
  </si>
  <si>
    <t>WG 1008801 entered track and got secured then waited 0:07:17 for WG 1008803 to get coupled, OBTP started on 09:55:43 finished on 10:37:55 and then left at 10:39:10</t>
  </si>
  <si>
    <t>1008802</t>
  </si>
  <si>
    <t>WG 1008802 entered track and got coupled to WG 1008402, OBTP started on 09:23:27 finished on 09:57:45 and then left at 09:58:47</t>
  </si>
  <si>
    <t>1008803</t>
  </si>
  <si>
    <t>WG 1008803 entered track and got coupled to WG 1008801, OBTP started on 09:55:43 finished on 10:37:55 and then left at 10:39:10</t>
  </si>
  <si>
    <t>1008901</t>
  </si>
  <si>
    <t>WG 1008901 entered track and got secured, OBTP started on 10:40:19 finished on 11:45:14 and then left at 11:46:40</t>
  </si>
  <si>
    <t>1009001</t>
  </si>
  <si>
    <t>WG 1009001 entered track and got secured then waited 1:07:35 for WG 1009101 to get coupled, OBTP started on 14:28:01 finished on 14:57:40 and then left at 14:58:41</t>
  </si>
  <si>
    <t>1009101</t>
  </si>
  <si>
    <t>WG 1009101 entered track and got coupled to WG 1009001, OBTP started on 14:28:01 finished on 14:57:40 and then left at 14:58:41</t>
  </si>
  <si>
    <t>1009201</t>
  </si>
  <si>
    <t>OBT100125150940-Wien Kledering</t>
  </si>
  <si>
    <t>WG 1009201 entered track and got secured, OBTP started on 15:10:52 finished on 16:49:15 and then left at 16:51:07</t>
  </si>
  <si>
    <t>1009301</t>
  </si>
  <si>
    <t>OBT100125174706-Wien Kledering</t>
  </si>
  <si>
    <t>WG 1009301 entered track and got secured, OBTP started on 17:48:21 finished on 19:03:53 and then left at 19:05:31</t>
  </si>
  <si>
    <t>1009401</t>
  </si>
  <si>
    <t>WG 1009401 entered track and got coupled to WG 1008711 then waited 0:13:03 for WG 1009406 to get coupled then waited 0:05:14 for WG 1009407 to get coupled, OBTP started on 19:06:23 finished on 19:39:44 and then left at 19:40:57</t>
  </si>
  <si>
    <t>1009402</t>
  </si>
  <si>
    <t>OBT100125182130-Pitten (Hamburger)</t>
  </si>
  <si>
    <t>WG 1009402 entered track and got secured, OBTP started on 18:23:04 finished on 19:17:36 and then left at 19:18:53</t>
  </si>
  <si>
    <t>1009403</t>
  </si>
  <si>
    <t>OBT100125183202-Other sidings north</t>
  </si>
  <si>
    <t>WG 1009403 entered track and got secured then waited 0:07:47 for WG 1009405 to get coupled, OBTP started on 18:54:38 finished on 19:22:11 and then left at 19:23:25</t>
  </si>
  <si>
    <t>1009404</t>
  </si>
  <si>
    <t>OBT120125180841-Neudörfl (FunderMax)</t>
  </si>
  <si>
    <t>WG 1009404 entered track and got secured then waited 10:57:56 for WG 1009602 to get coupled then waited 0:31:07 for WG 1009701 to get coupled then waited 0:07:58 for WG 1009704 to get coupled then waited 36:04:50 for WG 1009801 to get coupled, OBTP started on 18:09:56 finished on 19:16:59 and then left at 19:18:36</t>
  </si>
  <si>
    <t>1009405</t>
  </si>
  <si>
    <t>WG 1009405 entered track and got coupled to WG 1009403, OBTP started on 18:54:38 finished on 19:22:11 and then left at 19:23:25</t>
  </si>
  <si>
    <t>1009406</t>
  </si>
  <si>
    <t>WG 1009406 entered track and got coupled to WG 1009401 then waited 0:05:14 for WG 1009407 to get coupled, OBTP started on 19:06:23 finished on 19:39:44 and then left at 19:40:57</t>
  </si>
  <si>
    <t>1009407</t>
  </si>
  <si>
    <t>WG 1009407 entered track and got coupled to WG 1009406, OBTP started on 19:06:23 finished on 19:39:44 and then left at 19:40:57</t>
  </si>
  <si>
    <t>1009408</t>
  </si>
  <si>
    <t>WG 1009408 entered track and got coupled to WG 1008708 then waited 61:50:18 for WG 1010513 to get coupled then waited 1:08:20 for WG 1010702 to get coupled, OBTP started on 10:04:56 finished on 10:30:05 and then left at 10:31:05</t>
  </si>
  <si>
    <t>1009409</t>
  </si>
  <si>
    <t>OBT140125102839-Wr. Neustadt (Brenntag)</t>
  </si>
  <si>
    <t>WG 1009409 entered track and got secured then waited 1:58:47 for WG 1009502 to get coupled then waited 60:55:02 for WG 1010701 to get coupled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</si>
  <si>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1009410</t>
  </si>
  <si>
    <t>WG 1009410 entered track and got coupled to WG 1008712 then waited 2:07:37 for WG 1009506 to get coupled, OBTP started on 20:56:12 finished on 21:24:48 and then left at 21:25:58</t>
  </si>
  <si>
    <t>1009411</t>
  </si>
  <si>
    <t>OBT100125205103-Pitten (Hamburger)</t>
  </si>
  <si>
    <t>WG 1009411 entered track and got secured then waited 1:51:25 for WG 1009501 to get coupled then waited 0:11:28 for WG 1009505 to get coupled, OBTP started on 20:52:18 finished on 21:20:25 and then left at 21:21:25</t>
  </si>
  <si>
    <t>1009412</t>
  </si>
  <si>
    <t>WG 1009412 entered track and got coupled to WG 1008709, OBTP started on 19:20:06 finished on 19:55:45 and then left at 19:57:01</t>
  </si>
  <si>
    <t>1009501</t>
  </si>
  <si>
    <t>WG 1009501 entered track and got secured then waited 0:11:28 for WG 1009505 to get coupled, OBTP started on 20:52:18 finished on 21:20:25 and then left at 21:21:25</t>
  </si>
  <si>
    <t>1009502</t>
  </si>
  <si>
    <t>WG 1009502 entered track and got secured then waited 60:55:02 for WG 1010701 to get coupled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</si>
  <si>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1009503</t>
  </si>
  <si>
    <t>OBT130125155039-Wr. Neustadt Ausfahrbf (Furtenbach)</t>
  </si>
  <si>
    <t>WG 1009503 entered track and got secured then waited 59:23:59 for WG 1010504 to get coupled then waited 7:42:09 for WG 1011111 to get coupled, OBTP started on 15:53:20 finished on 16:23:11 and then left at 16:24:22</t>
  </si>
  <si>
    <t>1009504</t>
  </si>
  <si>
    <t>OBT130125024918-Neunkirchen (loading tracks)</t>
  </si>
  <si>
    <t>WG 1009504 entered track and got secured then waited 54:02:20 for WG 1010001 to get coupled, OBTP started on 02:50:33 finished on 03:37:15 and then left at 03:38:44</t>
  </si>
  <si>
    <t>1009505</t>
  </si>
  <si>
    <t>WG 1009505 entered track and got coupled to WG 1009501, OBTP started on 20:52:18 finished on 21:20:25 and then left at 21:21:25</t>
  </si>
  <si>
    <t>1009506</t>
  </si>
  <si>
    <t>WG 1009506 entered track and got coupled to WG 1009410, OBTP started on 20:56:12 finished on 21:24:48 and then left at 21:25:58</t>
  </si>
  <si>
    <t>1009507</t>
  </si>
  <si>
    <t>OBT130125082326-Wr. Neustadt (Hödlmayr)</t>
  </si>
  <si>
    <t>WG 1009507 entered track and got secured then waited 59:23:54 for WG 1010507 to get coupled then waited 0:05:33 for WG 1010510 to get coupled, OBTP started on 08:28:48 finished on 09:09:18 and then left at 09:10:35</t>
  </si>
  <si>
    <t>1009508</t>
  </si>
  <si>
    <t>OBT110125052224-Ebenfurth (beet loading)</t>
  </si>
  <si>
    <t>WG 1009508 entered track and got secured then waited 8:25:26 for WG 1009601 to get coupled, OBTP started on 05:23:37 finished on 05:51:09 and then left at 05:52:19</t>
  </si>
  <si>
    <t>1009601</t>
  </si>
  <si>
    <t>WG 1009601 entered track and got coupled to WG 1009508, OBTP started on 05:23:37 finished on 05:51:09 and then left at 05:52:19</t>
  </si>
  <si>
    <t>1009602</t>
  </si>
  <si>
    <t>WG 1009602 entered track and got coupled to WG 1009404 then waited 0:31:07 for WG 1009701 to get coupled then waited 0:07:58 for WG 1009704 to get coupled then waited 36:04:50 for WG 1009801 to get coupled, OBTP started on 18:09:56 finished on 19:16:59 and then left at 19:18:36</t>
  </si>
  <si>
    <t>1009603</t>
  </si>
  <si>
    <t>OBT110125052552-Pitten (Hamburger)</t>
  </si>
  <si>
    <t>WG 1009603 entered track and got secured, OBTP started on 05:27:07 finished on 06:42:50 and then left at 06:44:27</t>
  </si>
  <si>
    <t>1009701</t>
  </si>
  <si>
    <t>WG 1009701 entered track and got coupled to WG 1009602 then waited 0:07:58 for WG 1009704 to get coupled then waited 36:04:50 for WG 1009801 to get coupled, OBTP started on 18:09:56 finished on 19:16:59 and then left at 19:18:36</t>
  </si>
  <si>
    <t>1009702</t>
  </si>
  <si>
    <t>OBT110125055616-Ebenfurth (beet loading)</t>
  </si>
  <si>
    <t>WG 1009702 entered track and got secured, OBTP started on 05:58:18 finished on 06:25:51 and then left at 06:26:59</t>
  </si>
  <si>
    <t>1009703</t>
  </si>
  <si>
    <t>OBT110125055912-Pitten (Hamburger)</t>
  </si>
  <si>
    <t>WG 1009703 entered track and got secured, OBTP started on 06:06:12 finished on 06:58:52 and then left at 07:00:16</t>
  </si>
  <si>
    <t>1009704</t>
  </si>
  <si>
    <t>WG 1009704 entered track and got coupled to WG 1009701 then waited 36:04:50 for WG 1009801 to get coupled, OBTP started on 18:09:56 finished on 19:16:59 and then left at 19:18:36</t>
  </si>
  <si>
    <t>1009801</t>
  </si>
  <si>
    <t>WG 1009801 entered track and got coupled to WG 1009704, OBTP started on 18:09:56 finished on 19:16:59 and then left at 19:18:36</t>
  </si>
  <si>
    <t>1009802</t>
  </si>
  <si>
    <t>OBT120125180921-Pitten (Hamburger)</t>
  </si>
  <si>
    <t>WG 1009802 entered track and got secured, OBTP started on 18:11:11 finished on 19:38:31 and then left at 19:40:18</t>
  </si>
  <si>
    <t>1009803</t>
  </si>
  <si>
    <t>OBT140125153639-Ebenfurth (beet loading)</t>
  </si>
  <si>
    <t>WG 1009803 entered track and got secured then waited 14:13:35 for WG 1010511 to get coupled then waited 7:06:40 for WG 1011105 to get coupled then waited 18:46:50 for WG 1012111 to get coupled then waited 5:17:40 for WG 1012603 to get coupled, OBTP started on 15:40:28 finished on 16:15:53 and then left at 16:17:08</t>
  </si>
  <si>
    <t>1009901</t>
  </si>
  <si>
    <t>OBT120125201952-Neudörfl (FunderMax)</t>
  </si>
  <si>
    <t>WG 1009901 entered track and got secured, OBTP started on 20:21:07 finished on 20:47:50 and then left at 20:48:49</t>
  </si>
  <si>
    <t>1009902</t>
  </si>
  <si>
    <t>OBT120125202320-Pitten (Hamburger)</t>
  </si>
  <si>
    <t>WG 1009902 entered track and got secured, OBTP started on 20:24:28 finished on 20:49:46 and then left at 20:50:50</t>
  </si>
  <si>
    <t>1010001</t>
  </si>
  <si>
    <t>WG 1010001 entered track and got coupled to WG 1009504, OBTP started on 02:50:33 finished on 03:37:15 and then left at 03:38:44</t>
  </si>
  <si>
    <t>1010002</t>
  </si>
  <si>
    <t>OBT130125094410-Other sidings south</t>
  </si>
  <si>
    <t>WG 1010002 entered track and got secured then waited 5:19:45 for WG 1010503 to get coupled then waited 0:23:37 for WG 1010514 to get coupled then waited 1:12:09 for WG 1010703 to get coupled, OBTP started on 10:15:48 finished on 10:47:07 and then left at 10:48:09</t>
  </si>
  <si>
    <t>1010101</t>
  </si>
  <si>
    <t>OBT130125044756-Neudörfl (FunderMax)</t>
  </si>
  <si>
    <t>WG 1010101 entered track and got secured, OBTP started on 04:49:09 finished on 06:04:27 and then left at 06:06:11</t>
  </si>
  <si>
    <t>1010201</t>
  </si>
  <si>
    <t>OBT130125062348-Wien Kledering</t>
  </si>
  <si>
    <t>WG 1010201 entered track and got secured, OBTP started on 06:25:03 finished on 07:39:33 and then left at 07:41:15</t>
  </si>
  <si>
    <t>1010301</t>
  </si>
  <si>
    <t>OBT130125071902-Wien Kledering</t>
  </si>
  <si>
    <t>WG 1010301 entered track and got secured, OBTP started on 07:20:14 finished on 08:11:37 and then left at 08:13:09</t>
  </si>
  <si>
    <t>1010401</t>
  </si>
  <si>
    <t>OBT130125073501-Wien Kledering</t>
  </si>
  <si>
    <t>WG 1010401 entered track and got secured, OBTP started on 07:37:23 finished on 09:16:43 and then left at 09:18:49</t>
  </si>
  <si>
    <t>1010501</t>
  </si>
  <si>
    <t>WG 1010501 entered track and got coupled to WG 1008007 then waited 7:25:03 for WG 1011103 to get coupled then waited 18:05:30 for WG 1012202 to get coupled, OBTP started on 09:33:24 finished on 10:59:16 and then left at 11:01:44</t>
  </si>
  <si>
    <t>1010502</t>
  </si>
  <si>
    <t>OBT130125095539-Pitten (Hamburger)</t>
  </si>
  <si>
    <t>WG 1010502 entered track and got secured then waited 0:19:08 for WG 1010509 to get coupled then waited 1:34:58 for WG 1010707 to get coupled, OBTP started on 10:39:30 finished on 11:34:02 and then left at 11:35:28</t>
  </si>
  <si>
    <t>1010503</t>
  </si>
  <si>
    <t>WG 1010503 entered track and got coupled to WG 1010002 then waited 0:23:37 for WG 1010514 to get coupled then waited 1:12:09 for WG 1010703 to get coupled, OBTP started on 10:15:48 finished on 10:47:07 and then left at 10:48:09</t>
  </si>
  <si>
    <t>1010504</t>
  </si>
  <si>
    <t>WG 1010504 entered track and got coupled to WG 1009503 then waited 7:42:09 for WG 1011111 to get coupled, OBTP started on 15:53:20 finished on 16:23:11 and then left at 16:24:22</t>
  </si>
  <si>
    <t>1010505</t>
  </si>
  <si>
    <t>OBT140125181252-Steinabrückl/Wöllersdorf</t>
  </si>
  <si>
    <t>WG 1010505 entered track and got secured then waited 1:49:27 for WG 1010710 to get coupled then waited 5:41:16 for WG 1011109 to get coupled then waited 26:29:07 for WG 1012901 to get coupled, OBTP started on 18:38:08 finished on 19:09:37 and then left at 19:10:48</t>
  </si>
  <si>
    <t>1010506</t>
  </si>
  <si>
    <t>OBT130125095519-Other sidings north</t>
  </si>
  <si>
    <t>WG 1010506 entered track and got secured then waited 0:13:06 for WG 1010512 to get coupled then waited 1:18:28 for WG 1010704 to get coupled then waited 0:10:33 for WG 1010708 to get coupled, OBTP started on 10:36:44 finished on 11:13:29 and then left at 11:14:50</t>
  </si>
  <si>
    <t>1010507</t>
  </si>
  <si>
    <t>WG 1010507 entered track and got coupled to WG 1009507 then waited 0:05:33 for WG 1010510 to get coupled, OBTP started on 08:28:48 finished on 09:09:18 and then left at 09:10:35</t>
  </si>
  <si>
    <t>1010508</t>
  </si>
  <si>
    <t>OBT140125070727-Neudörfl (FunderMax)</t>
  </si>
  <si>
    <t>WG 1010508 entered track and got secured then waited 1:45:10 for WG 1010709 to get coupled then waited 5:44:41 for WG 1011110 to get coupled then waited 15:21:11 for WG 1011801 to get coupled, OBTP started on 07:09:53 finished on 07:56:47 and then left at 07:57:58</t>
  </si>
  <si>
    <t>1010509</t>
  </si>
  <si>
    <t>WG 1010509 entered track and got coupled to WG 1010502 then waited 1:34:58 for WG 1010707 to get coupled, OBTP started on 10:39:30 finished on 11:34:02 and then left at 11:35:28</t>
  </si>
  <si>
    <t>1010510</t>
  </si>
  <si>
    <t>WG 1010510 entered track and got coupled to WG 1010507, OBTP started on 08:28:48 finished on 09:09:18 and then left at 09:10:35</t>
  </si>
  <si>
    <t>1010511</t>
  </si>
  <si>
    <t>WG 1010511 entered track and got coupled to WG 1009803 then waited 7:06:40 for WG 1011105 to get coupled then waited 18:46:50 for WG 1012111 to get coupled then waited 5:17:40 for WG 1012603 to get coupled, OBTP started on 15:40:28 finished on 16:15:53 and then left at 16:17:08</t>
  </si>
  <si>
    <t>1010512</t>
  </si>
  <si>
    <t>WG 1010512 entered track and got secured then waited 1:18:28 for WG 1010704 to get coupled then waited 0:10:33 for WG 1010708 to get coupled, OBTP started on 10:36:44 finished on 11:13:29 and then left at 11:14:50</t>
  </si>
  <si>
    <t>1010513</t>
  </si>
  <si>
    <t>WG 1010513 entered track and got coupled to WG 1009408 then waited 1:08:20 for WG 1010702 to get coupled, OBTP started on 10:04:56 finished on 10:30:05 and then left at 10:31:05</t>
  </si>
  <si>
    <t>1010514</t>
  </si>
  <si>
    <t>WG 1010514 entered track and got coupled to WG 1010503 then waited 1:12:09 for WG 1010703 to get coupled, OBTP started on 10:15:48 finished on 10:47:07 and then left at 10:48:09</t>
  </si>
  <si>
    <t>1010601</t>
  </si>
  <si>
    <t>OBT130125092157-Wien Kledering</t>
  </si>
  <si>
    <t>WG 1010601 entered track and got secured, OBTP started on 09:23:12 finished on 10:32:57 and then left at 10:34:36</t>
  </si>
  <si>
    <t>1010602</t>
  </si>
  <si>
    <t>WG 1010602 entered track and got coupled to WG 1008704, OBTP started on 09:27:35 finished on 10:13:18 and then left at 10:14:42</t>
  </si>
  <si>
    <t>1010701</t>
  </si>
  <si>
    <t>WG 1010701 entered track and got coupled to WG 1009502 then waited 5:57:31 for WG 1011106 to get coupled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</si>
  <si>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1010702</t>
  </si>
  <si>
    <t>WG 1010702 entered track and got coupled to WG 1010513, OBTP started on 10:04:56 finished on 10:30:05 and then left at 10:31:05</t>
  </si>
  <si>
    <t>1010703</t>
  </si>
  <si>
    <t>WG 1010703 entered track and got coupled to WG 1010514, OBTP started on 10:15:48 finished on 10:47:07 and then left at 10:48:09</t>
  </si>
  <si>
    <t>1010704</t>
  </si>
  <si>
    <t>WG 1010704 entered track and got coupled to WG 1010512 then waited 0:10:33 for WG 1010708 to get coupled, OBTP started on 10:36:44 finished on 11:13:29 and then left at 11:14:50</t>
  </si>
  <si>
    <t>1010705</t>
  </si>
  <si>
    <t>OBT130125144644-Wien Kledering</t>
  </si>
  <si>
    <t>WG 1010705 entered track and got secured then waited 4:57:56 for WG 1011001 to get coupled, OBTP started on 14:47:59 finished on 16:25:04 and then left at 16:27:02</t>
  </si>
  <si>
    <t>1010706</t>
  </si>
  <si>
    <t>OBT130125123545-Wien Kledering</t>
  </si>
  <si>
    <t>WG 1010706 entered track and got secured then waited 0:48:08 for WG 1010803 to get coupled then waited 1:58:35 for WG 1010901 to get coupled, OBTP started on 12:36:58 finished on 14:00:34 and then left at 14:02:28</t>
  </si>
  <si>
    <t>1010707</t>
  </si>
  <si>
    <t>WG 1010707 entered track and got coupled to WG 1010509, OBTP started on 10:39:30 finished on 11:34:02 and then left at 11:35:28</t>
  </si>
  <si>
    <t>1010708</t>
  </si>
  <si>
    <t>WG 1010708 entered track and got coupled to WG 1010704, OBTP started on 10:36:44 finished on 11:13:29 and then left at 11:14:50</t>
  </si>
  <si>
    <t>1010709</t>
  </si>
  <si>
    <t>WG 1010709 entered track and got coupled to WG 1010508 then waited 5:44:41 for WG 1011110 to get coupled then waited 15:21:11 for WG 1011801 to get coupled, OBTP started on 07:09:53 finished on 07:56:47 and then left at 07:57:58</t>
  </si>
  <si>
    <t>1010710</t>
  </si>
  <si>
    <t>WG 1010710 entered track and got coupled to WG 1010505 then waited 5:41:16 for WG 1011109 to get coupled then waited 26:29:07 for WG 1012901 to get coupled, OBTP started on 18:38:08 finished on 19:09:37 and then left at 19:10:48</t>
  </si>
  <si>
    <t>1010801</t>
  </si>
  <si>
    <t>OBT130125103421-Wien Kledering</t>
  </si>
  <si>
    <t>WG 1010801 entered track and got secured, OBTP started on 10:49:37 finished on 11:56:30 and then left at 11:58:11</t>
  </si>
  <si>
    <t>1010802</t>
  </si>
  <si>
    <t>OBT130125163000-St. Veit an der Glan</t>
  </si>
  <si>
    <t>WG 1010802 entered track and got secured then waited 5:55:17 for WG 1011301 to get coupled, OBTP started on 16:32:27 finished on 17:22:09 and then left at 17:23:33</t>
  </si>
  <si>
    <t>1010803</t>
  </si>
  <si>
    <t>WG 1010803 entered track and got secured then waited 1:58:35 for WG 1010901 to get coupled, OBTP started on 12:36:58 finished on 14:00:34 and then left at 14:02:28</t>
  </si>
  <si>
    <t>1010901</t>
  </si>
  <si>
    <t>WG 1010901 entered track and got coupled to WG 1010803, OBTP started on 12:36:58 finished on 14:00:34 and then left at 14:02:28</t>
  </si>
  <si>
    <t>1011001</t>
  </si>
  <si>
    <t>WG 1011001 entered track and got secured, OBTP started on 14:47:59 finished on 16:25:04 and then left at 16:27:02</t>
  </si>
  <si>
    <t>1011101</t>
  </si>
  <si>
    <t>OBT140125070928-Pitten (Hamburger)</t>
  </si>
  <si>
    <t>WG 1011101 entered track and got secured then waited 15:50:35 for WG 1011802 to get coupled, OBTP started on 07:24:58 finished on 07:50:27 and then left at 07:51:24</t>
  </si>
  <si>
    <t>1011102</t>
  </si>
  <si>
    <t>OBT130125152935-Wr. Neustadt (Hödlmayr)</t>
  </si>
  <si>
    <t>WG 1011102 entered track and got secured then waited 0:07:33 for WG 1011104 to get coupled, OBTP started on 15:32:02 finished on 15:57:15 and then left at 15:58:19</t>
  </si>
  <si>
    <t>1011103</t>
  </si>
  <si>
    <t>WG 1011103 entered track and got coupled to WG 1010501 then waited 18:05:30 for WG 1012202 to get coupled, OBTP started on 09:33:24 finished on 10:59:16 and then left at 11:01:44</t>
  </si>
  <si>
    <t>1011104</t>
  </si>
  <si>
    <t>WG 1011104 entered track and got coupled to WG 1011102, OBTP started on 15:32:02 finished on 15:57:15 and then left at 15:58:19</t>
  </si>
  <si>
    <t>1011105</t>
  </si>
  <si>
    <t>WG 1011105 entered track and got coupled to WG 1010511 then waited 18:46:50 for WG 1012111 to get coupled then waited 5:17:40 for WG 1012603 to get coupled, OBTP started on 15:40:28 finished on 16:15:53 and then left at 16:17:08</t>
  </si>
  <si>
    <t>1011106</t>
  </si>
  <si>
    <t>WG 1011106 entered track and got coupled to WG 1010701 then waited 11:22:34 for WG 1011604 to get coupled then waited 7:12:44 for WG 1012103 to get coupled then waited 0:15:38 for WG 1012109 to get coupled then waited 0:02:52 for WG 1012113 to get coupled, OBTP started on 11:01:46 finished on 11:31:05 and then left at 11:32:02</t>
  </si>
  <si>
    <t>1011107</t>
  </si>
  <si>
    <t>OBT140125024930-Neunkirchen (loading tracks)</t>
  </si>
  <si>
    <t>WG 1011107 entered track and got secured then waited 11:12:39 for WG 1011601 to get coupled, OBTP started on 02:50:43 finished on 03:21:56 and then left at 03:23:13</t>
  </si>
  <si>
    <t>1011108</t>
  </si>
  <si>
    <t>OBT150125025656-Other sidings south</t>
  </si>
  <si>
    <t>WG 1011108 entered track and got secured then waited 11:15:11 for WG 1011603 to get coupled then waited 7:21:26 for WG 1012106 to get coupled then waited 16:40:51 for WG 1013204 to get coupled, OBTP started on 02:58:08 finished on 03:42:29 and then left at 03:44:50</t>
  </si>
  <si>
    <t>1011109</t>
  </si>
  <si>
    <t>WG 1011109 entered track and got coupled to WG 1010710 then waited 26:29:07 for WG 1012901 to get coupled, OBTP started on 18:38:08 finished on 19:09:37 and then left at 19:10:48</t>
  </si>
  <si>
    <t>1011110</t>
  </si>
  <si>
    <t>WG 1011110 entered track and got coupled to WG 1010709 then waited 15:21:11 for WG 1011801 to get coupled, OBTP started on 07:09:53 finished on 07:56:47 and then left at 07:57:58</t>
  </si>
  <si>
    <t>1011111</t>
  </si>
  <si>
    <t>WG 1011111 entered track and got coupled to WG 1010504, OBTP started on 15:53:20 finished on 16:23:11 and then left at 16:24:22</t>
  </si>
  <si>
    <t>1011201</t>
  </si>
  <si>
    <t>OBT130125155053-Wien Kledering</t>
  </si>
  <si>
    <t>WG 1011201 entered track and got secured, OBTP started on 15:59:42 finished on 17:38:04 and then left at 17:40:05</t>
  </si>
  <si>
    <t>1011301</t>
  </si>
  <si>
    <t>WG 1011301 entered track and got coupled to WG 1010802, OBTP started on 16:32:27 finished on 17:22:09 and then left at 17:23:33</t>
  </si>
  <si>
    <t>1011302</t>
  </si>
  <si>
    <t>OBT130125162753-Wien Kledering</t>
  </si>
  <si>
    <t>WG 1011302 entered track and got secured, OBTP started on 16:29:08 finished on 17:26:34 and then left at 17:28:03</t>
  </si>
  <si>
    <t>1011401</t>
  </si>
  <si>
    <t>OBT130125174233-Wien Kledering</t>
  </si>
  <si>
    <t>WG 1011401 entered track and got secured, OBTP started on 17:43:48 finished on 18:30:17 and then left at 18:31:35</t>
  </si>
  <si>
    <t>1011501</t>
  </si>
  <si>
    <t>OBT130125212354-Wien Kledering</t>
  </si>
  <si>
    <t>WG 1011501 entered track and got secured, OBTP started on 21:25:09 finished on 23:02:25 and then left at 23:04:23</t>
  </si>
  <si>
    <t>1011601</t>
  </si>
  <si>
    <t>WG 1011601 entered track and got coupled to WG 1011107, OBTP started on 02:50:43 finished on 03:21:56 and then left at 03:23:13</t>
  </si>
  <si>
    <t>1011602</t>
  </si>
  <si>
    <t>OBT140125181642-Ternitz (Schoeller-Bleckmann)</t>
  </si>
  <si>
    <t>WG 1011602 entered track and got secured then waited 4:26:39 for WG 1011805 to get coupled then waited 8:15:30 for WG 1012601 to get coupled then waited 0:16:47 for WG 1012608 to get coupled then waited 2:28:07 for WG 1012903 to get coupled, OBTP started on 18:38:29 finished on 19:04:24 and then left at 19:05:32</t>
  </si>
  <si>
    <t>1011603</t>
  </si>
  <si>
    <t>WG 1011603 entered track and got coupled to WG 1011108 then waited 7:21:26 for WG 1012106 to get coupled then waited 16:40:51 for WG 1013204 to get coupled, OBTP started on 02:58:08 finished on 03:42:29 and then left at 03:44:50</t>
  </si>
  <si>
    <t>1011604</t>
  </si>
  <si>
    <t>WG 1011604 entered track and got coupled to WG 1011106 then waited 7:12:44 for WG 1012103 to get coupled then waited 0:15:38 for WG 1012109 to get coupled then waited 0:02:52 for WG 1012113 to get coupled, OBTP started on 11:01:46 finished on 11:31:05 and then left at 11:32:02</t>
  </si>
  <si>
    <t>1011701</t>
  </si>
  <si>
    <t>OBT140125064740-Wien Kledering</t>
  </si>
  <si>
    <t>WG 1011701 entered track and got secured, OBTP started on 06:48:55 finished on 08:03:10 and then left at 08:04:50</t>
  </si>
  <si>
    <t>1011801</t>
  </si>
  <si>
    <t>WG 1011801 entered track and got coupled to WG 1011110, OBTP started on 07:09:53 finished on 07:56:47 and then left at 07:57:58</t>
  </si>
  <si>
    <t>1011802</t>
  </si>
  <si>
    <t>WG 1011802 entered track and got coupled to WG 1011101, OBTP started on 07:24:58 finished on 07:50:27 and then left at 07:51:24</t>
  </si>
  <si>
    <t>1011803</t>
  </si>
  <si>
    <t>OBT140125101210-Wr. Neustadt (Hödlmayr)</t>
  </si>
  <si>
    <t>WG 1011803 entered track and got secured then waited 0:11:07 for WG 1011806 to get coupled then waited 2:51:06 for WG 1012104 to get coupled, OBTP started on 10:28:24 finished on 11:15:39 and then left at 11:17:00</t>
  </si>
  <si>
    <t>1011804</t>
  </si>
  <si>
    <t>OBT140125101947-Other sidings north</t>
  </si>
  <si>
    <t>WG 1011804 entered track and got secured then waited 0:08:25 for WG 1011807 to get coupled then waited 2:42:47 for WG 1012101 to get coupled then waited 0:14:25 for WG 1012110 to get coupled, OBTP started on 10:31:09 finished on 10:58:31 and then left at 10:59:44</t>
  </si>
  <si>
    <t>1011805</t>
  </si>
  <si>
    <t>WG 1011805 entered track and got coupled to WG 1011602 then waited 8:15:30 for WG 1012601 to get coupled then waited 0:16:47 for WG 1012608 to get coupled then waited 2:28:07 for WG 1012903 to get coupled, OBTP started on 18:38:29 finished on 19:04:24 and then left at 19:05:32</t>
  </si>
  <si>
    <t>1011806</t>
  </si>
  <si>
    <t>WG 1011806 entered track and got coupled to WG 1011803 then waited 2:51:06 for WG 1012104 to get coupled, OBTP started on 10:28:24 finished on 11:15:39 and then left at 11:17:00</t>
  </si>
  <si>
    <t>1011807</t>
  </si>
  <si>
    <t>WG 1011807 entered track and got coupled to WG 1011804 then waited 2:42:47 for WG 1012101 to get coupled then waited 0:14:25 for WG 1012110 to get coupled, OBTP started on 10:31:09 finished on 10:58:31 and then left at 10:59:44</t>
  </si>
  <si>
    <t>1011901</t>
  </si>
  <si>
    <t>OBT140125075443-Wien Kledering</t>
  </si>
  <si>
    <t>WG 1011901 entered track and got secured, OBTP started on 07:57:07 finished on 08:50:34 and then left at 08:52:01</t>
  </si>
  <si>
    <t>1012001</t>
  </si>
  <si>
    <t>OBT140125081951-Wien Kledering</t>
  </si>
  <si>
    <t>WG 1012001 entered track and got secured, OBTP started on 08:21:06 finished on 09:58:33 and then left at 10:00:28</t>
  </si>
  <si>
    <t>1012101</t>
  </si>
  <si>
    <t>WG 1012101 entered track and got coupled to WG 1011807 then waited 0:14:25 for WG 1012110 to get coupled, OBTP started on 10:31:09 finished on 10:58:31 and then left at 10:59:44</t>
  </si>
  <si>
    <t>1012102</t>
  </si>
  <si>
    <t>OBT140125153802-Neudörfl (FunderMax)</t>
  </si>
  <si>
    <t>WG 1012102 entered track and got secured then waited 0:18:30 for WG 1012108 to get coupled then waited 5:16:17 for WG 1012604 to get coupled, OBTP started on 16:04:05 finished on 16:37:11 and then left at 16:38:18</t>
  </si>
  <si>
    <t>1012103</t>
  </si>
  <si>
    <t>WG 1012103 entered track and got coupled to WG 1011604 then waited 0:15:38 for WG 1012109 to get coupled then waited 0:02:52 for WG 1012113 to get coupled, OBTP started on 11:01:46 finished on 11:31:05 and then left at 11:32:02</t>
  </si>
  <si>
    <t>1012104</t>
  </si>
  <si>
    <t>WG 1012104 entered track and got coupled to WG 1011806, OBTP started on 10:28:24 finished on 11:15:39 and then left at 11:17:00</t>
  </si>
  <si>
    <t>1012105</t>
  </si>
  <si>
    <t>OBT150125024833-Neunkirchen (loading tracks)</t>
  </si>
  <si>
    <t>WG 1012105 entered track and got secured then waited 16:35:02 for WG 1013201 to get coupled, OBTP started on 02:49:48 finished on 03:42:01 and then left at 03:43:27</t>
  </si>
  <si>
    <t>1012106</t>
  </si>
  <si>
    <t>WG 1012106 entered track and got coupled to WG 1011603 then waited 16:40:51 for WG 1013204 to get coupled, OBTP started on 02:58:08 finished on 03:42:29 and then left at 03:44:50</t>
  </si>
  <si>
    <t>1012107</t>
  </si>
  <si>
    <t>OBT140125153402-Felixdorf/Sollenau (Bundesheer, Maba)</t>
  </si>
  <si>
    <t>WG 1012107 entered track and got secured then waited 0:11:13 for WG 1012301 to get coupled then waited 5:07:58 for WG 1012602 to get coupled, OBTP started on 15:36:30 finished on 16:01:39 and then left at 16:02:46</t>
  </si>
  <si>
    <t>1012108</t>
  </si>
  <si>
    <t>WG 1012108 entered track and got coupled to WG 1012102 then waited 5:16:17 for WG 1012604 to get coupled, OBTP started on 16:04:05 finished on 16:37:11 and then left at 16:38:18</t>
  </si>
  <si>
    <t>1012109</t>
  </si>
  <si>
    <t>WG 1012109 entered track and got coupled to WG 1012103 then waited 0:02:52 for WG 1012113 to get coupled, OBTP started on 11:01:46 finished on 11:31:05 and then left at 11:32:02</t>
  </si>
  <si>
    <t>1012110</t>
  </si>
  <si>
    <t>WG 1012110 entered track and got coupled to WG 1012101, OBTP started on 10:31:09 finished on 10:58:31 and then left at 10:59:44</t>
  </si>
  <si>
    <t>1012111</t>
  </si>
  <si>
    <t>WG 1012111 entered track and got coupled to WG 1011105 then waited 5:17:40 for WG 1012603 to get coupled, OBTP started on 15:40:28 finished on 16:15:53 and then left at 16:17:08</t>
  </si>
  <si>
    <t>1012112</t>
  </si>
  <si>
    <t>OBT140125102734-Pitten (Hamburger)</t>
  </si>
  <si>
    <t>WG 1012112 entered track and got secured then waited 0:06:51 for WG 1012302 to get coupled, OBTP started on 11:01:01 finished on 13:43:58 and then left at 13:46:50</t>
  </si>
  <si>
    <t>1012113</t>
  </si>
  <si>
    <t>WG 1012113 entered track and got coupled to WG 1012109, OBTP started on 11:01:46 finished on 11:31:05 and then left at 11:32:02</t>
  </si>
  <si>
    <t>1012201</t>
  </si>
  <si>
    <t>OBT140125093437-St. Veit an der Glan</t>
  </si>
  <si>
    <t>WG 1012201 entered track and got secured then waited 0:08:06 for WG 1012203 to get coupled, OBTP started on 09:36:58 finished on 10:09:15 and then left at 10:10:13</t>
  </si>
  <si>
    <t>1012202</t>
  </si>
  <si>
    <t>WG 1012202 entered track and got coupled to WG 1011103, OBTP started on 09:33:24 finished on 10:59:16 and then left at 11:01:44</t>
  </si>
  <si>
    <t>1012203</t>
  </si>
  <si>
    <t>WG 1012203 entered track and got coupled to WG 1012201, OBTP started on 09:36:58 finished on 10:09:15 and then left at 10:10:13</t>
  </si>
  <si>
    <t>1012301</t>
  </si>
  <si>
    <t>WG 1012301 entered track and got coupled to WG 1012107 then waited 5:07:58 for WG 1012602 to get coupled, OBTP started on 15:36:30 finished on 16:01:39 and then left at 16:02:46</t>
  </si>
  <si>
    <t>1012302</t>
  </si>
  <si>
    <t>WG 1012302 entered track and got coupled to WG 1012112, OBTP started on 11:01:01 finished on 13:43:58 and then left at 13:46:50</t>
  </si>
  <si>
    <t>1012401</t>
  </si>
  <si>
    <t>OBT140125130928-Wien Kledering</t>
  </si>
  <si>
    <t>WG 1012401 entered track and got secured, OBTP started on 13:10:40 finished on 14:25:07 and then left at 14:26:48</t>
  </si>
  <si>
    <t>1012501</t>
  </si>
  <si>
    <t>OBT140125144027-Wien Kledering</t>
  </si>
  <si>
    <t>WG 1012501 entered track and got secured, OBTP started on 14:41:39 finished on 15:38:04 and then left at 15:39:31</t>
  </si>
  <si>
    <t>1012601</t>
  </si>
  <si>
    <t>WG 1012601 entered track and got coupled to WG 1011805 then waited 0:16:47 for WG 1012608 to get coupled then waited 2:28:07 for WG 1012903 to get coupled, OBTP started on 18:38:29 finished on 19:04:24 and then left at 19:05:32</t>
  </si>
  <si>
    <t>1012602</t>
  </si>
  <si>
    <t>WG 1012602 entered track and got coupled to WG 1012301, OBTP started on 15:36:30 finished on 16:01:39 and then left at 16:02:46</t>
  </si>
  <si>
    <t>1012603</t>
  </si>
  <si>
    <t>WG 1012603 entered track and got coupled to WG 1012111, OBTP started on 15:40:28 finished on 16:15:53 and then left at 16:17:08</t>
  </si>
  <si>
    <t>1012604</t>
  </si>
  <si>
    <t>WG 1012604 entered track and got coupled to WG 1012108, OBTP started on 16:04:05 finished on 16:37:11 and then left at 16:38:18</t>
  </si>
  <si>
    <t>1012605</t>
  </si>
  <si>
    <t>OBT140125155553-Gloggnitz</t>
  </si>
  <si>
    <t>WG 1012605 entered track and got secured then waited 0:06:54 for WG 1012607 to get coupled then waited 0:06:54 for WG 1012609 to get coupled then waited 0:00:44 for WG 1012610 to get coupled, OBTP started on 16:18:18 finished on 16:53:10 and then left at 16:54:12</t>
  </si>
  <si>
    <t>1012606</t>
  </si>
  <si>
    <t>OBT140125154219-Pitten (Hamburger)</t>
  </si>
  <si>
    <t>WG 1012606 entered track and got secured, OBTP started on 16:07:03 finished on 16:47:54 and then left at 16:49:04</t>
  </si>
  <si>
    <t>1012607</t>
  </si>
  <si>
    <t>WG 1012607 entered track and got coupled to WG 1012605 then waited 0:06:54 for WG 1012609 to get coupled then waited 0:00:44 for WG 1012610 to get coupled, OBTP started on 16:18:18 finished on 16:53:10 and then left at 16:54:12</t>
  </si>
  <si>
    <t>1012608</t>
  </si>
  <si>
    <t>WG 1012608 entered track and got coupled to WG 1012601 then waited 2:28:07 for WG 1012903 to get coupled, OBTP started on 18:38:29 finished on 19:04:24 and then left at 19:05:32</t>
  </si>
  <si>
    <t>1012609</t>
  </si>
  <si>
    <t>WG 1012609 entered track and got coupled to WG 1012607 then waited 0:00:44 for WG 1012610 to get coupled, OBTP started on 16:18:18 finished on 16:53:10 and then left at 16:54:12</t>
  </si>
  <si>
    <t>1012610</t>
  </si>
  <si>
    <t>WG 1012610 entered track and got coupled to WG 1012609, OBTP started on 16:18:18 finished on 16:53:10 and then left at 16:54:12</t>
  </si>
  <si>
    <t>1012611</t>
  </si>
  <si>
    <t>OBT150125075736-Other sidings north</t>
  </si>
  <si>
    <t>WG 1012611 entered track and got secured then waited 2:19:50 for WG 1012904 to get coupled then waited 13:37:55 for WG 1013507 to get coupled, OBTP started on 08:08:30 finished on 08:44:46 and then left at 08:45:58</t>
  </si>
  <si>
    <t>1012701</t>
  </si>
  <si>
    <t>OBT140125160010-Wien Kledering</t>
  </si>
  <si>
    <t>WG 1012701 entered track and got secured, OBTP started on 16:39:38 finished on 17:22:55 and then left at 17:24:21</t>
  </si>
  <si>
    <t>1012801</t>
  </si>
  <si>
    <t>OBT140125180846-Wien Kledering</t>
  </si>
  <si>
    <t>WG 1012801 entered track and got secured then waited 2:04:13 for WG 1013001 to get coupled, OBTP started on 18:10:01 finished on 18:35:59 and then left at 18:37:11</t>
  </si>
  <si>
    <t>1012901</t>
  </si>
  <si>
    <t>WG 1012901 entered track and got coupled to WG 1011109, OBTP started on 18:38:08 finished on 19:09:37 and then left at 19:10:48</t>
  </si>
  <si>
    <t>1012902</t>
  </si>
  <si>
    <t>OBT140125181221-Wr. Neustadt (Hödlmayr)</t>
  </si>
  <si>
    <t>WG 1012902 entered track and got secured, OBTP started on 18:14:43 finished on 18:41:43 and then left at 18:42:45</t>
  </si>
  <si>
    <t>1012903</t>
  </si>
  <si>
    <t>WG 1012903 entered track and got coupled to WG 1012608, OBTP started on 18:38:29 finished on 19:04:24 and then left at 19:05:32</t>
  </si>
  <si>
    <t>1012904</t>
  </si>
  <si>
    <t>WG 1012904 entered track and got coupled to WG 1012611 then waited 13:37:55 for WG 1013507 to get coupled, OBTP started on 08:08:30 finished on 08:44:46 and then left at 08:45:58</t>
  </si>
  <si>
    <t>1012905</t>
  </si>
  <si>
    <t>OBT160125102340-Wr. Neustadt Ausfahrbf (Furtenbach)</t>
  </si>
  <si>
    <t>WG 1012905 entered track and got secured then waited 37:36:43 for WG 1014804 to get coupled then waited 0:02:35 for WG 1014806 to get coupled then waited 2:21:25 for WG 1015109 to get coupled then waited 0:01:37 for WG 1015110 to get coupled, OBTP started on 13:02:06 finished on 14:21:31 and then left at 14:23:11</t>
  </si>
  <si>
    <t>1012906</t>
  </si>
  <si>
    <t>OBT150125074216-Ebenfurth (beet loading)</t>
  </si>
  <si>
    <t>WG 1012906 entered track and got secured then waited 8:27:07 for WG 1013202 to get coupled then waited 4:50:52 for WG 1013501 to get coupled, OBTP started on 07:43:31 finished on 08:11:04 and then left at 08:12:00</t>
  </si>
  <si>
    <t>1012907</t>
  </si>
  <si>
    <t>OBT140125183542-Pitten (Hamburger)</t>
  </si>
  <si>
    <t>WG 1012907 entered track and got secured then waited 0:09:44 for WG 1012910 to get coupled, OBTP started on 19:06:54 finished on 19:40:04 and then left at 19:41:22</t>
  </si>
  <si>
    <t>1012908</t>
  </si>
  <si>
    <t>OBT140125182854-Neudörfl (FunderMax)</t>
  </si>
  <si>
    <t>WG 1012908 entered track and got secured, OBTP started on 18:44:13 finished on 19:12:04 and then left at 19:13:13</t>
  </si>
  <si>
    <t>1012909</t>
  </si>
  <si>
    <t>OBT150125101800-Felixdorf/Sollenau (Bundesheer, Maba)</t>
  </si>
  <si>
    <t>WG 1012909 entered track and got secured then waited 15:18:18 for WG 1013902 to get coupled then waited 0:29:05 for WG 1014001 to get coupled, OBTP started on 10:20:27 finished on 10:49:09 and then left at 10:50:18</t>
  </si>
  <si>
    <t>1012910</t>
  </si>
  <si>
    <t>WG 1012910 entered track and got coupled to WG 1012907, OBTP started on 19:06:54 finished on 19:40:04 and then left at 19:41:22</t>
  </si>
  <si>
    <t>1013001</t>
  </si>
  <si>
    <t>WG 1013001 entered track and got coupled to WG 1012801, OBTP started on 18:10:01 finished on 18:35:59 and then left at 18:37:11</t>
  </si>
  <si>
    <t>1013101</t>
  </si>
  <si>
    <t>OBT150125064840-Wien Kledering</t>
  </si>
  <si>
    <t>WG 1013101 entered track and got secured then waited 10:48:27 for WG 1013401 to get coupled, OBTP started on 06:49:55 finished on 08:08:21 and then left at 08:10:04</t>
  </si>
  <si>
    <t>1013201</t>
  </si>
  <si>
    <t>WG 1013201 entered track and got coupled to WG 1012105, OBTP started on 02:49:48 finished on 03:42:01 and then left at 03:43:27</t>
  </si>
  <si>
    <t>1013202</t>
  </si>
  <si>
    <t>WG 1013202 entered track and got coupled to WG 1012906 then waited 4:50:52 for WG 1013501 to get coupled, OBTP started on 07:43:31 finished on 08:11:04 and then left at 08:12:00</t>
  </si>
  <si>
    <t>1013203</t>
  </si>
  <si>
    <t>OBT160125081022-Ternitz (Schoeller-Bleckmann)</t>
  </si>
  <si>
    <t>WG 1013203 entered track and got secured then waited 4:59:14 for WG 1013504 to get coupled then waited 8:06:31 for WG 1014207 to get coupled then waited 11:06:12 for WG 1014602 to get coupled then waited 5:07:03 for WG 1014810 to get coupled, OBTP started on 08:11:34 finished on 08:38:32 and then left at 08:39:45</t>
  </si>
  <si>
    <t>1013204</t>
  </si>
  <si>
    <t>WG 1013204 entered track and got coupled to WG 1012106, OBTP started on 02:58:08 finished on 03:42:29 and then left at 03:44:50</t>
  </si>
  <si>
    <t>1013301</t>
  </si>
  <si>
    <t>OBT150125045827-Neudörfl (FunderMax)</t>
  </si>
  <si>
    <t>WG 1013301 entered track and got secured, OBTP started on 04:59:40 finished on 07:10:08 and then left at 07:12:39</t>
  </si>
  <si>
    <t>1013401</t>
  </si>
  <si>
    <t>WG 1013401 entered track and got coupled to WG 1013101, OBTP started on 06:49:55 finished on 08:08:21 and then left at 08:10:04</t>
  </si>
  <si>
    <t>1013501</t>
  </si>
  <si>
    <t>WG 1013501 entered track and got coupled to WG 1013202, OBTP started on 07:43:31 finished on 08:11:04 and then left at 08:12:00</t>
  </si>
  <si>
    <t>1013502</t>
  </si>
  <si>
    <t>OBT150125092356-Pitten (Hamburger)</t>
  </si>
  <si>
    <t>WG 1013502 entered track and got secured then waited 0:18:39 for WG 1013508 to get coupled then waited 1:21:54 for WG 1013801 to get coupled, OBTP started on 09:28:18 finished on 09:55:29 and then left at 09:56:38</t>
  </si>
  <si>
    <t>1013503</t>
  </si>
  <si>
    <t>OBT150125160356-Neudörfl (FunderMax)</t>
  </si>
  <si>
    <t>WG 1013503 entered track and got secured then waited 1:44:03 for WG 1013804 to get coupled then waited 6:33:20 for WG 1014210 to get coupled, OBTP started on 16:07:39 finished on 17:03:38 and then left at 17:05:07</t>
  </si>
  <si>
    <t>1013504</t>
  </si>
  <si>
    <t>WG 1013504 entered track and got coupled to WG 1013203 then waited 8:06:31 for WG 1014207 to get coupled then waited 11:06:12 for WG 1014602 to get coupled then waited 5:07:03 for WG 1014810 to get coupled, OBTP started on 08:11:34 finished on 08:38:32 and then left at 08:39:45</t>
  </si>
  <si>
    <t>1013505</t>
  </si>
  <si>
    <t>OBT150125182201-Neunkirchen (loading tracks)</t>
  </si>
  <si>
    <t>WG 1013505 entered track and got secured then waited 1:34:59 for WG 1013802 to get coupled then waited 0:16:17 for WG 1013808 to get coupled then waited 5:58:05 for WG 1014201 to get coupled then waited 0:14:28 for WG 1014206 to get coupled then waited 2:27:23 for WG 1014504 to get coupled, OBTP started on 18:40:49 finished on 19:10:27 and then left at 19:11:43</t>
  </si>
  <si>
    <t>1013506</t>
  </si>
  <si>
    <t>OBT200125083327-Wr. Neustadt (Brenntag)</t>
  </si>
  <si>
    <t>WG 1013506 entered track and got secured then waited 10:21:36 for WG 1014502 to get coupled then waited 15:47:00 for WG 1015102 to get coupled then waited 10:24:59 for WG 1016001 to get coupled then waited 12:58:29 for WG 1016706 to get coupled then waited 71:06:10 for WG 1018316 to get coupled, OBTP started on 17:16:44 finished on 17:48:14 and then left at 17:49:21</t>
  </si>
  <si>
    <t>1013507</t>
  </si>
  <si>
    <t>WG 1013507 entered track and got coupled to WG 1012904, OBTP started on 08:08:30 finished on 08:44:46 and then left at 08:45:58</t>
  </si>
  <si>
    <t>1013508</t>
  </si>
  <si>
    <t>WG 1013508 entered track and got coupled to WG 1013502 then waited 1:21:54 for WG 1013801 to get coupled, OBTP started on 09:28:18 finished on 09:55:29 and then left at 09:56:38</t>
  </si>
  <si>
    <t>1013509</t>
  </si>
  <si>
    <t>OBT150125080153-Wr. Neustadt (Hödlmayr)</t>
  </si>
  <si>
    <t>WG 1013509 entered track and got secured, OBTP started on 08:10:51 finished on 08:37:51 and then left at 08:39:00</t>
  </si>
  <si>
    <t>1013601</t>
  </si>
  <si>
    <t>OBT150125080609-Wien Kledering</t>
  </si>
  <si>
    <t>WG 1013601 entered track and got secured, OBTP started on 08:13:34 finished on 09:17:49 and then left at 09:19:27</t>
  </si>
  <si>
    <t>1013701</t>
  </si>
  <si>
    <t>OBT150125084204-Wien Kledering</t>
  </si>
  <si>
    <t>WG 1013701 entered track and got secured, OBTP started on 08:44:26 finished on 10:17:57 and then left at 10:19:58</t>
  </si>
  <si>
    <t>1013801</t>
  </si>
  <si>
    <t>WG 1013801 entered track and got coupled to WG 1013508, OBTP started on 09:28:18 finished on 09:55:29 and then left at 09:56:38</t>
  </si>
  <si>
    <t>1013802</t>
  </si>
  <si>
    <t>WG 1013802 entered track and got coupled to WG 1013505 then waited 0:16:17 for WG 1013808 to get coupled then waited 5:58:05 for WG 1014201 to get coupled then waited 0:14:28 for WG 1014206 to get coupled then waited 2:27:23 for WG 1014504 to get coupled, OBTP started on 18:40:49 finished on 19:10:27 and then left at 19:11:43</t>
  </si>
  <si>
    <t>1013803</t>
  </si>
  <si>
    <t>OBT150125155826-Other sidings north</t>
  </si>
  <si>
    <t>WG 1013803 entered track and got secured then waited 0:06:30 for WG 1013805 to get coupled then waited 6:26:08 for WG 1014208 to get coupled, OBTP started on 16:00:47 finished on 16:26:29 and then left at 16:27:29</t>
  </si>
  <si>
    <t>1013804</t>
  </si>
  <si>
    <t>WG 1013804 entered track and got coupled to WG 1013503 then waited 6:33:20 for WG 1014210 to get coupled, OBTP started on 16:07:39 finished on 17:03:38 and then left at 17:05:07</t>
  </si>
  <si>
    <t>1013805</t>
  </si>
  <si>
    <t>WG 1013805 entered track and got coupled to WG 1013803 then waited 6:26:08 for WG 1014208 to get coupled, OBTP started on 16:00:47 finished on 16:26:29 and then left at 16:27:29</t>
  </si>
  <si>
    <t>1013806</t>
  </si>
  <si>
    <t>OBT150125183815-Ebenfurth (beet loading)</t>
  </si>
  <si>
    <t>WG 1013806 entered track and got secured then waited 6:08:10 for WG 1014202 to get coupled then waited 2:31:27 for WG 1014501 to get coupled then waited 0:23:24 for WG 1014510 to get coupled, OBTP started on 18:52:04 finished on 19:23:32 and then left at 19:24:31</t>
  </si>
  <si>
    <t>1013807</t>
  </si>
  <si>
    <t>OBT150125154642-Wr. Neustadt (Hödlmayr)</t>
  </si>
  <si>
    <t>WG 1013807 entered track and got secured then waited 6:09:47 for WG 1014203 to get coupled, OBTP started on 15:47:57 finished on 16:35:12 and then left at 16:36:33</t>
  </si>
  <si>
    <t>1013808</t>
  </si>
  <si>
    <t>WG 1013808 entered track and got coupled to WG 1013802 then waited 5:58:05 for WG 1014201 to get coupled then waited 0:14:28 for WG 1014206 to get coupled then waited 2:27:23 for WG 1014504 to get coupled, OBTP started on 18:40:49 finished on 19:10:27 and then left at 19:11:43</t>
  </si>
  <si>
    <t>1013901</t>
  </si>
  <si>
    <t>OBT150125094220-Wien Kledering</t>
  </si>
  <si>
    <t>WG 1013901 entered track and got secured, OBTP started on 09:51:21 finished on 11:01:42 and then left at 11:03:26</t>
  </si>
  <si>
    <t>1013902</t>
  </si>
  <si>
    <t>WG 1013902 entered track and got coupled to WG 1012909 then waited 0:29:05 for WG 1014001 to get coupled, OBTP started on 10:20:27 finished on 10:49:09 and then left at 10:50:18</t>
  </si>
  <si>
    <t>1014001</t>
  </si>
  <si>
    <t>WG 1014001 entered track and got coupled to WG 1013902, OBTP started on 10:20:27 finished on 10:49:09 and then left at 10:50:18</t>
  </si>
  <si>
    <t>1014002</t>
  </si>
  <si>
    <t>OBT150125101848-Wien Kledering</t>
  </si>
  <si>
    <t>WG 1014002 entered track and got secured, OBTP started on 10:21:11 finished on 11:24:20 and then left at 11:25:57</t>
  </si>
  <si>
    <t>1014101</t>
  </si>
  <si>
    <t>OBT150125131431-Wien Kledering</t>
  </si>
  <si>
    <t>WG 1014101 entered track and got secured, OBTP started on 13:15:46 finished on 13:45:59 and then left at 13:47:10</t>
  </si>
  <si>
    <t>1014201</t>
  </si>
  <si>
    <t>WG 1014201 entered track and got coupled to WG 1013808 then waited 0:14:28 for WG 1014206 to get coupled then waited 2:27:23 for WG 1014504 to get coupled, OBTP started on 18:40:49 finished on 19:10:27 and then left at 19:11:43</t>
  </si>
  <si>
    <t>1014202</t>
  </si>
  <si>
    <t>WG 1014202 entered track and got coupled to WG 1013806 then waited 2:31:27 for WG 1014501 to get coupled then waited 0:23:24 for WG 1014510 to get coupled, OBTP started on 18:52:04 finished on 19:23:32 and then left at 19:24:31</t>
  </si>
  <si>
    <t>1014203</t>
  </si>
  <si>
    <t>WG 1014203 entered track and got coupled to WG 1013807, OBTP started on 15:47:57 finished on 16:35:12 and then left at 16:36:33</t>
  </si>
  <si>
    <t>1014204</t>
  </si>
  <si>
    <t>OBT170125081922-Steinabrückl/Wöllersdorf</t>
  </si>
  <si>
    <t>WG 1014204 entered track and got secured then waited 18:23:58 for WG 1015103 to get coupled then waited 10:26:00 for WG 1016004 to get coupled then waited 11:00:09 for WG 1016403 to get coupled then waited 0:42:30 for WG 1016601 to get coupled, OBTP started on 20:49:43 finished on 22:17:25 and then left at 22:19:22</t>
  </si>
  <si>
    <t>1014205</t>
  </si>
  <si>
    <t>OBT150125181910-Pitten (Hamburger)</t>
  </si>
  <si>
    <t>WG 1014205 entered track and got secured then waited 2:29:03 for WG 1014503 to get coupled, OBTP started on 18:20:23 finished on 18:49:37 and then left at 18:50:48</t>
  </si>
  <si>
    <t>1014206</t>
  </si>
  <si>
    <t>WG 1014206 entered track and got coupled to WG 1014201 then waited 2:27:23 for WG 1014504 to get coupled, OBTP started on 18:40:49 finished on 19:10:27 and then left at 19:11:43</t>
  </si>
  <si>
    <t>1014207</t>
  </si>
  <si>
    <t>WG 1014207 entered track and got coupled to WG 1013504 then waited 11:06:12 for WG 1014602 to get coupled then waited 5:07:03 for WG 1014810 to get coupled, OBTP started on 08:11:34 finished on 08:38:32 and then left at 08:39:45</t>
  </si>
  <si>
    <t>1014208</t>
  </si>
  <si>
    <t>WG 1014208 entered track and got coupled to WG 1013805, OBTP started on 16:00:47 finished on 16:26:29 and then left at 16:27:29</t>
  </si>
  <si>
    <t>1014209</t>
  </si>
  <si>
    <t>OBT170125031540-Other sidings south</t>
  </si>
  <si>
    <t>WG 1014209 entered track and got secured then waited 2:34:41 for WG 1014508 to get coupled then waited 15:46:08 for WG 1015108 to get coupled then waited 5:00:31 for WG 1015604 to get coupled then waited 5:13:54 for WG 1016003 to get coupled then waited 6:41:30 for WG 1016104 to get coupled, OBTP started on 08:19:29 finished on 08:53:04 and then left at 08:54:18</t>
  </si>
  <si>
    <t>1014210</t>
  </si>
  <si>
    <t>WG 1014210 entered track and got coupled to WG 1013804, OBTP started on 16:07:39 finished on 17:03:38 and then left at 17:05:07</t>
  </si>
  <si>
    <t>1014301</t>
  </si>
  <si>
    <t>OBT150125160509-Wien Kledering</t>
  </si>
  <si>
    <t>WG 1014301 entered track and got secured, OBTP started on 16:28:55 finished on 16:56:28 and then left at 16:57:37</t>
  </si>
  <si>
    <t>1014401</t>
  </si>
  <si>
    <t>OBT150125173247-Wien Kledering</t>
  </si>
  <si>
    <t>WG 1014401 entered track and got secured, OBTP started on 17:34:02 finished on 18:55:23 and then left at 18:57:08</t>
  </si>
  <si>
    <t>1014501</t>
  </si>
  <si>
    <t>WG 1014501 entered track and got coupled to WG 1014202 then waited 0:23:24 for WG 1014510 to get coupled, OBTP started on 18:52:04 finished on 19:23:32 and then left at 19:24:31</t>
  </si>
  <si>
    <t>1014502</t>
  </si>
  <si>
    <t>WG 1014502 entered track and got coupled to WG 1013506 then waited 15:47:00 for WG 1015102 to get coupled then waited 10:24:59 for WG 1016001 to get coupled then waited 12:58:29 for WG 1016706 to get coupled then waited 71:06:10 for WG 1018316 to get coupled, OBTP started on 17:16:44 finished on 17:48:14 and then left at 17:49:21</t>
  </si>
  <si>
    <t>1014503</t>
  </si>
  <si>
    <t>WG 1014503 entered track and got coupled to WG 1014205, OBTP started on 18:20:23 finished on 18:49:37 and then left at 18:50:48</t>
  </si>
  <si>
    <t>1014504</t>
  </si>
  <si>
    <t>WG 1014504 entered track and got coupled to WG 1014206, OBTP started on 18:40:49 finished on 19:10:27 and then left at 19:11:43</t>
  </si>
  <si>
    <t>1014505</t>
  </si>
  <si>
    <t>OBT160125101737-Wr. Neustadt (Hödlmayr)</t>
  </si>
  <si>
    <t>WG 1014505 entered track and got secured then waited 13:39:05 for WG 1014807 to get coupled then waited 0:10:48 for WG 1014811 to get coupled then waited 2:04:18 for WG 1015105 to get coupled, OBTP started on 10:20:07 finished on 10:47:07 and then left at 10:48:11</t>
  </si>
  <si>
    <t>1014506</t>
  </si>
  <si>
    <t>OBT160125075109-Pitten (Hamburger)</t>
  </si>
  <si>
    <t>WG 1014506 entered track and got secured then waited 13:24:26 for WG 1014802 to get coupled, OBTP started on 08:03:09 finished on 08:34:16 and then left at 08:35:27</t>
  </si>
  <si>
    <t>1014507</t>
  </si>
  <si>
    <t>OBT160125025835-Neunkirchen (loading tracks)</t>
  </si>
  <si>
    <t>WG 1014507 entered track and got secured then waited 8:30:52 for WG 1014601 to get coupled, OBTP started on 02:59:43 finished on 03:35:55 and then left at 03:37:04</t>
  </si>
  <si>
    <t>1014508</t>
  </si>
  <si>
    <t>WG 1014508 entered track and got coupled to WG 1014209 then waited 15:46:08 for WG 1015108 to get coupled then waited 5:00:31 for WG 1015604 to get coupled then waited 5:13:54 for WG 1016003 to get coupled then waited 6:41:30 for WG 1016104 to get coupled, OBTP started on 08:19:29 finished on 08:53:04 and then left at 08:54:18</t>
  </si>
  <si>
    <t>1014509</t>
  </si>
  <si>
    <t>OBT170125073030-Other sidings north</t>
  </si>
  <si>
    <t>WG 1014509 entered track and got secured then waited 13:33:04 for WG 1014808 to get coupled then waited 23:25:27 for WG 1016401 to get coupled, OBTP started on 10:32:37 finished on 11:06:11 and then left at 11:07:22</t>
  </si>
  <si>
    <t>1014510</t>
  </si>
  <si>
    <t>WG 1014510 entered track and got coupled to WG 1014501, OBTP started on 18:52:04 finished on 19:23:32 and then left at 19:24:31</t>
  </si>
  <si>
    <t>1014511</t>
  </si>
  <si>
    <t>OBT160125101737-Neudörfl (FunderMax)</t>
  </si>
  <si>
    <t>WG 1014511 entered track and got secured then waited 13:22:24 for WG 1014805 to get coupled then waited 2:16:54 for WG 1015106 to get coupled, OBTP started on 10:57:23 finished on 11:22:31 and then left at 11:23:38</t>
  </si>
  <si>
    <t>1014601</t>
  </si>
  <si>
    <t>WG 1014601 entered track and got secured, OBTP started on 02:59:43 finished on 03:35:55 and then left at 03:37:04</t>
  </si>
  <si>
    <t>1014602</t>
  </si>
  <si>
    <t>WG 1014602 entered track and got coupled to WG 1014207 then waited 5:07:03 for WG 1014810 to get coupled, OBTP started on 08:11:34 finished on 08:38:32 and then left at 08:39:45</t>
  </si>
  <si>
    <t>1014603</t>
  </si>
  <si>
    <t>OBT170125093600-Gloggnitz</t>
  </si>
  <si>
    <t>WG 1014603 entered track and got secured then waited 4:49:58 for WG 1014803 to get coupled then waited 2:25:18 for WG 1015107 to get coupled then waited 5:04:22 for WG 1015605 to get coupled then waited 11:47:04 for WG 1016102 to get coupled then waited 6:25:24 for WG 1016709 to get coupled, OBTP started on 07:12:51 finished on 07:52:47 and then left at 07:53:52</t>
  </si>
  <si>
    <t>1014701</t>
  </si>
  <si>
    <t>OBT160125063851-Wien Kledering</t>
  </si>
  <si>
    <t>WG 1014701 entered track and got secured, OBTP started on 06:40:06 finished on 07:54:21 and then left at 07:56:01</t>
  </si>
  <si>
    <t>1014801</t>
  </si>
  <si>
    <t>OBT160125204054-Ebenfurth (beet loading)</t>
  </si>
  <si>
    <t>WG 1014801 entered track and got secured then waited 2:18:00 for WG 1015101 to get coupled then waited 5:14:44 for WG 1015603 to get coupled then waited 5:22:21 for WG 1016006 to get coupled, OBTP started on 07:49:33 finished on 08:17:06 and then left at 08:18:20</t>
  </si>
  <si>
    <t>1014802</t>
  </si>
  <si>
    <t>WG 1014802 entered track and got coupled to WG 1014506, OBTP started on 08:03:09 finished on 08:34:16 and then left at 08:35:27</t>
  </si>
  <si>
    <t>1014803</t>
  </si>
  <si>
    <t>WG 1014803 entered track and got coupled to WG 1014603 then waited 2:25:18 for WG 1015107 to get coupled then waited 5:04:22 for WG 1015605 to get coupled then waited 11:47:04 for WG 1016102 to get coupled then waited 6:25:24 for WG 1016709 to get coupled, OBTP started on 07:12:51 finished on 07:52:47 and then left at 07:53:52</t>
  </si>
  <si>
    <t>1014804</t>
  </si>
  <si>
    <t>WG 1014804 entered track and got coupled to WG 1012905 then waited 0:02:35 for WG 1014806 to get coupled then waited 2:21:25 for WG 1015109 to get coupled then waited 0:01:37 for WG 1015110 to get coupled, OBTP started on 13:02:06 finished on 14:21:31 and then left at 14:23:11</t>
  </si>
  <si>
    <t>1014805</t>
  </si>
  <si>
    <t>WG 1014805 entered track and got coupled to WG 1014511 then waited 2:16:54 for WG 1015106 to get coupled, OBTP started on 10:57:23 finished on 11:22:31 and then left at 11:23:38</t>
  </si>
  <si>
    <t>1014806</t>
  </si>
  <si>
    <t>WG 1014806 entered track and got coupled to WG 1014804 then waited 2:21:25 for WG 1015109 to get coupled then waited 0:01:37 for WG 1015110 to get coupled, OBTP started on 13:02:06 finished on 14:21:31 and then left at 14:23:11</t>
  </si>
  <si>
    <t>1014807</t>
  </si>
  <si>
    <t>WG 1014807 entered track and got coupled to WG 1014505 then waited 0:10:48 for WG 1014811 to get coupled then waited 2:04:18 for WG 1015105 to get coupled, OBTP started on 10:20:07 finished on 10:47:07 and then left at 10:48:11</t>
  </si>
  <si>
    <t>1014808</t>
  </si>
  <si>
    <t>WG 1014808 entered track and got coupled to WG 1014509 then waited 23:25:27 for WG 1016401 to get coupled, OBTP started on 10:32:37 finished on 11:06:11 and then left at 11:07:22</t>
  </si>
  <si>
    <t>1014809</t>
  </si>
  <si>
    <t>OBT160125175803-Neunkirchen (loading tracks)</t>
  </si>
  <si>
    <t>WG 1014809 entered track and got secured then waited 2:04:25 for WG 1015104 to get coupled then waited 5:03:12 for WG 1015601 to get coupled then waited 2:44:08 for WG 1015902 to get coupled, OBTP started on 20:40:48 finished on 21:12:18 and then left at 21:13:16</t>
  </si>
  <si>
    <t>1014810</t>
  </si>
  <si>
    <t>WG 1014810 entered track and got coupled to WG 1014602, OBTP started on 08:11:34 finished on 08:38:32 and then left at 08:39:45</t>
  </si>
  <si>
    <t>1014811</t>
  </si>
  <si>
    <t>WG 1014811 entered track and got coupled to WG 1014807 then waited 2:04:18 for WG 1015105 to get coupled, OBTP started on 10:20:07 finished on 10:47:07 and then left at 10:48:11</t>
  </si>
  <si>
    <t>1014901</t>
  </si>
  <si>
    <t>OBT160125072923-Wien Kledering</t>
  </si>
  <si>
    <t>WG 1014901 entered track and got secured, OBTP started on 07:30:35 finished on 08:02:05 and then left at 08:03:18</t>
  </si>
  <si>
    <t>1015001</t>
  </si>
  <si>
    <t>OBT160125081516-Wien Kledering</t>
  </si>
  <si>
    <t>WG 1015001 entered track and got secured, OBTP started on 08:17:46 finished on 09:56:55 and then left at 09:58:54</t>
  </si>
  <si>
    <t>1015101</t>
  </si>
  <si>
    <t>WG 1015101 entered track and got coupled to WG 1014801 then waited 5:14:44 for WG 1015603 to get coupled then waited 5:22:21 for WG 1016006 to get coupled, OBTP started on 07:49:33 finished on 08:17:06 and then left at 08:18:20</t>
  </si>
  <si>
    <t>1015102</t>
  </si>
  <si>
    <t>WG 1015102 entered track and got coupled to WG 1014502 then waited 10:24:59 for WG 1016001 to get coupled then waited 12:58:29 for WG 1016706 to get coupled then waited 71:06:10 for WG 1018316 to get coupled, OBTP started on 17:16:44 finished on 17:48:14 and then left at 17:49:21</t>
  </si>
  <si>
    <t>1015103</t>
  </si>
  <si>
    <t>WG 1015103 entered track and got coupled to WG 1014204 then waited 10:26:00 for WG 1016004 to get coupled then waited 11:00:09 for WG 1016403 to get coupled then waited 0:42:30 for WG 1016601 to get coupled, OBTP started on 20:49:43 finished on 22:17:25 and then left at 22:19:22</t>
  </si>
  <si>
    <t>1015104</t>
  </si>
  <si>
    <t>WG 1015104 entered track and got coupled to WG 1014809 then waited 5:03:12 for WG 1015601 to get coupled then waited 2:44:08 for WG 1015902 to get coupled, OBTP started on 20:40:48 finished on 21:12:18 and then left at 21:13:16</t>
  </si>
  <si>
    <t>1015105</t>
  </si>
  <si>
    <t>WG 1015105 entered track and got coupled to WG 1014811, OBTP started on 10:20:07 finished on 10:47:07 and then left at 10:48:11</t>
  </si>
  <si>
    <t>1015106</t>
  </si>
  <si>
    <t>WG 1015106 entered track and got coupled to WG 1014805, OBTP started on 10:57:23 finished on 11:22:31 and then left at 11:23:38</t>
  </si>
  <si>
    <t>1015107</t>
  </si>
  <si>
    <t>WG 1015107 entered track and got coupled to WG 1014803 then waited 5:04:22 for WG 1015605 to get coupled then waited 11:47:04 for WG 1016102 to get coupled then waited 6:25:24 for WG 1016709 to get coupled, OBTP started on 07:12:51 finished on 07:52:47 and then left at 07:53:52</t>
  </si>
  <si>
    <t>1015108</t>
  </si>
  <si>
    <t>WG 1015108 entered track and got coupled to WG 1014508 then waited 5:00:31 for WG 1015604 to get coupled then waited 5:13:54 for WG 1016003 to get coupled then waited 6:41:30 for WG 1016104 to get coupled, OBTP started on 08:19:29 finished on 08:53:04 and then left at 08:54:18</t>
  </si>
  <si>
    <t>1015109</t>
  </si>
  <si>
    <t>WG 1015109 entered track and got coupled to WG 1014806 then waited 0:01:37 for WG 1015110 to get coupled, OBTP started on 13:02:06 finished on 14:21:31 and then left at 14:23:11</t>
  </si>
  <si>
    <t>1015110</t>
  </si>
  <si>
    <t>WG 1015110 entered track and got coupled to WG 1015109, OBTP started on 13:02:06 finished on 14:21:31 and then left at 14:23:11</t>
  </si>
  <si>
    <t>1015201</t>
  </si>
  <si>
    <t>OBT160125092224-St. Veit an der Glan</t>
  </si>
  <si>
    <t>WG 1015201 entered track and got secured, OBTP started on 09:23:37 finished on 10:15:46 and then left at 10:17:19</t>
  </si>
  <si>
    <t>1015202</t>
  </si>
  <si>
    <t>OBT160125092526-Wien Kledering</t>
  </si>
  <si>
    <t>WG 1015202 entered track and got secured, OBTP started on 09:27:45 finished on 10:12:57 and then left at 10:14:20</t>
  </si>
  <si>
    <t>1015301</t>
  </si>
  <si>
    <t>OBT170125073842-St. Veit an der Glan</t>
  </si>
  <si>
    <t>WG 1015301 entered track and got secured then waited 5:28:57 for WG 1015801 to get coupled then waited 15:14:58 for WG 1016404 to get coupled, OBTP started on 15:49:46 finished on 16:23:20 and then left at 16:24:27</t>
  </si>
  <si>
    <t>1015302</t>
  </si>
  <si>
    <t>OBT160125105820-Wien Kledering</t>
  </si>
  <si>
    <t>WG 1015302 entered track and got secured, OBTP started on 14:47:02 finished on 16:11:37 and then left at 16:13:36</t>
  </si>
  <si>
    <t>1015401</t>
  </si>
  <si>
    <t>OBT160125130303-Wien Kledering</t>
  </si>
  <si>
    <t>WG 1015401 entered track and got secured, OBTP started on 15:26:02 finished on 16:09:16 and then left at 16:10:34</t>
  </si>
  <si>
    <t>1015501</t>
  </si>
  <si>
    <t>OBT160125144759-Wien Kledering</t>
  </si>
  <si>
    <t>WG 1015501 entered track and got secured, OBTP started on 15:43:32 finished on 16:42:01 and then left at 16:43:24</t>
  </si>
  <si>
    <t>1015601</t>
  </si>
  <si>
    <t>WG 1015601 entered track and got coupled to WG 1015104 then waited 2:44:08 for WG 1015902 to get coupled, OBTP started on 20:40:48 finished on 21:12:18 and then left at 21:13:16</t>
  </si>
  <si>
    <t>1015602</t>
  </si>
  <si>
    <t>OBT160125151346-Pitten (Hamburger)</t>
  </si>
  <si>
    <t>WG 1015602 entered track and got secured, OBTP started on 16:23:34 finished on 17:06:29 and then left at 17:07:40</t>
  </si>
  <si>
    <t>1015603</t>
  </si>
  <si>
    <t>WG 1015603 entered track and got coupled to WG 1015101 then waited 5:22:21 for WG 1016006 to get coupled, OBTP started on 07:49:33 finished on 08:17:06 and then left at 08:18:20</t>
  </si>
  <si>
    <t>1015604</t>
  </si>
  <si>
    <t>WG 1015604 entered track and got coupled to WG 1015108 then waited 5:13:54 for WG 1016003 to get coupled then waited 6:41:30 for WG 1016104 to get coupled, OBTP started on 08:19:29 finished on 08:53:04 and then left at 08:54:18</t>
  </si>
  <si>
    <t>1015605</t>
  </si>
  <si>
    <t>WG 1015605 entered track and got coupled to WG 1015107 then waited 11:47:04 for WG 1016102 to get coupled then waited 6:25:24 for WG 1016709 to get coupled, OBTP started on 07:12:51 finished on 07:52:47 and then left at 07:53:52</t>
  </si>
  <si>
    <t>1015606</t>
  </si>
  <si>
    <t>OBT170125044950-Neudörfl (FunderMax)</t>
  </si>
  <si>
    <t>WG 1015606 entered track and got secured then waited 2:39:21 for WG 1015904 to get coupled then waited 10:46:22 for WG 1016201 to get coupled, OBTP started on 09:05:58 finished on 11:29:29 and then left at 11:32:12</t>
  </si>
  <si>
    <t>1015607</t>
  </si>
  <si>
    <t>OBT160125203907-Wr. Neustadt (Hödlmayr)</t>
  </si>
  <si>
    <t>WG 1015607 entered track and got secured then waited 2:28:53 for WG 1015901 to get coupled then waited 2:44:25 for WG 1016005 to get coupled, OBTP started on 06:45:23 finished on 07:12:23 and then left at 07:13:32</t>
  </si>
  <si>
    <t>1015701</t>
  </si>
  <si>
    <t>OBT160125162643-Wien Kledering</t>
  </si>
  <si>
    <t>WG 1015701 entered track and got secured then waited 0:45:31 for WG 1015802 to get coupled, OBTP started on 18:02:41 finished on 18:32:46 and then left at 18:33:57</t>
  </si>
  <si>
    <t>1015801</t>
  </si>
  <si>
    <t>WG 1015801 entered track and got coupled to WG 1015301 then waited 15:14:58 for WG 1016404 to get coupled, OBTP started on 15:49:46 finished on 16:23:20 and then left at 16:24:27</t>
  </si>
  <si>
    <t>1015802</t>
  </si>
  <si>
    <t>WG 1015802 entered track and got coupled to WG 1015701, OBTP started on 18:02:41 finished on 18:32:46 and then left at 18:33:57</t>
  </si>
  <si>
    <t>1015901</t>
  </si>
  <si>
    <t>WG 1015901 entered track and got coupled to WG 1015607 then waited 2:44:25 for WG 1016005 to get coupled, OBTP started on 06:45:23 finished on 07:12:23 and then left at 07:13:32</t>
  </si>
  <si>
    <t>1015902</t>
  </si>
  <si>
    <t>WG 1015902 entered track and got coupled to WG 1015601, OBTP started on 20:40:48 finished on 21:12:18 and then left at 21:13:16</t>
  </si>
  <si>
    <t>1015903</t>
  </si>
  <si>
    <t>OBT160125175833-Pitten (Hamburger)</t>
  </si>
  <si>
    <t>WG 1015903 entered track and got secured, OBTP started on 03:12:31 finished on 04:45:51 and then left at 04:47:42</t>
  </si>
  <si>
    <t>1015904</t>
  </si>
  <si>
    <t>WG 1015904 entered track and got coupled to WG 1015606 then waited 10:46:22 for WG 1016201 to get coupled, OBTP started on 09:05:58 finished on 11:29:29 and then left at 11:32:12</t>
  </si>
  <si>
    <t>1015905</t>
  </si>
  <si>
    <t>OBT170125064600-Wien Kledering</t>
  </si>
  <si>
    <t>WG 1015905 entered track and got secured then waited 12:42:43 for WG 1016301 to get coupled, OBTP started on 09:35:34 finished on 10:49:49 and then left at 10:51:25</t>
  </si>
  <si>
    <t>1016001</t>
  </si>
  <si>
    <t>WG 1016001 entered track and got coupled to WG 1015102 then waited 12:58:29 for WG 1016706 to get coupled then waited 71:06:10 for WG 1018316 to get coupled, OBTP started on 17:16:44 finished on 17:48:14 and then left at 17:49:21</t>
  </si>
  <si>
    <t>1016002</t>
  </si>
  <si>
    <t>OBT160125203020-Pitten (Hamburger)</t>
  </si>
  <si>
    <t>WG 1016002 entered track and got secured, OBTP started on 04:47:13 finished on 05:14:24 and then left at 05:15:29</t>
  </si>
  <si>
    <t>1016003</t>
  </si>
  <si>
    <t>WG 1016003 entered track and got coupled to WG 1015604 then waited 6:41:30 for WG 1016104 to get coupled, OBTP started on 08:19:29 finished on 08:53:04 and then left at 08:54:18</t>
  </si>
  <si>
    <t>1016004</t>
  </si>
  <si>
    <t>WG 1016004 entered track and got coupled to WG 1015103 then waited 11:00:09 for WG 1016403 to get coupled then waited 0:42:30 for WG 1016601 to get coupled, OBTP started on 20:49:43 finished on 22:17:25 and then left at 22:19:22</t>
  </si>
  <si>
    <t>1016005</t>
  </si>
  <si>
    <t>WG 1016005 entered track and got coupled to WG 1015901, OBTP started on 06:45:23 finished on 07:12:23 and then left at 07:13:32</t>
  </si>
  <si>
    <t>1016006</t>
  </si>
  <si>
    <t>WG 1016006 entered track and got coupled to WG 1015603, OBTP started on 07:49:33 finished on 08:17:06 and then left at 08:18:20</t>
  </si>
  <si>
    <t>1016007</t>
  </si>
  <si>
    <t>OBT170125030753-Neunkirchen (loading tracks)</t>
  </si>
  <si>
    <t>WG 1016007 entered track and got secured then waited 6:26:27 for WG 1016101 to get coupled, OBTP started on 07:53:37 finished on 08:35:04 and then left at 08:36:28</t>
  </si>
  <si>
    <t>1016101</t>
  </si>
  <si>
    <t>WG 1016101 entered track and got coupled to WG 1016007, OBTP started on 07:53:37 finished on 08:35:04 and then left at 08:36:28</t>
  </si>
  <si>
    <t>1016102</t>
  </si>
  <si>
    <t>WG 1016102 entered track and got coupled to WG 1015605 then waited 6:25:24 for WG 1016709 to get coupled, OBTP started on 07:12:51 finished on 07:52:47 and then left at 07:53:52</t>
  </si>
  <si>
    <t>1016103</t>
  </si>
  <si>
    <t>OBT170125075244-Ternitz (Schoeller-Bleckmann)</t>
  </si>
  <si>
    <t>WG 1016103 entered track and got secured then waited 4:39:00 for WG 1016408 to get coupled then waited 0:02:50 for WG 1016409 to get coupled, OBTP started on 17:46:51 finished on 18:22:06 and then left at 18:23:21</t>
  </si>
  <si>
    <t>1016104</t>
  </si>
  <si>
    <t>WG 1016104 entered track and got coupled to WG 1016003, OBTP started on 08:19:29 finished on 08:53:04 and then left at 08:54:18</t>
  </si>
  <si>
    <t>1016201</t>
  </si>
  <si>
    <t>WG 1016201 entered track and got coupled to WG 1015904, OBTP started on 09:05:58 finished on 11:29:29 and then left at 11:32:12</t>
  </si>
  <si>
    <t>1016301</t>
  </si>
  <si>
    <t>WG 1016301 entered track and got secured, OBTP started on 09:35:34 finished on 10:49:49 and then left at 10:51:25</t>
  </si>
  <si>
    <t>1016401</t>
  </si>
  <si>
    <t>WG 1016401 entered track and got coupled to WG 1014808, OBTP started on 10:32:37 finished on 11:06:11 and then left at 11:07:22</t>
  </si>
  <si>
    <t>1016402</t>
  </si>
  <si>
    <t>OBT170125073211-Pitten (Hamburger)</t>
  </si>
  <si>
    <t>WG 1016402 entered track and got secured, OBTP started on 13:05:27 finished on 13:42:23 and then left at 13:43:35</t>
  </si>
  <si>
    <t>1016403</t>
  </si>
  <si>
    <t>WG 1016403 entered track and got coupled to WG 1016004 then waited 0:42:30 for WG 1016601 to get coupled, OBTP started on 20:49:43 finished on 22:17:25 and then left at 22:19:22</t>
  </si>
  <si>
    <t>1016404</t>
  </si>
  <si>
    <t>WG 1016404 entered track and got coupled to WG 1015801, OBTP started on 15:49:46 finished on 16:23:20 and then left at 16:24:27</t>
  </si>
  <si>
    <t>1016405</t>
  </si>
  <si>
    <t>OBT170125091546-Pitten (Hamburger)</t>
  </si>
  <si>
    <t>WG 1016405 entered track and got secured then waited 1:36:56 for WG 1016702 to get coupled, OBTP started on 06:06:21 finished on 07:06:30 and then left at 07:08:10</t>
  </si>
  <si>
    <t>1016406</t>
  </si>
  <si>
    <t>OBT170125093812-Neudörfl (FunderMax)</t>
  </si>
  <si>
    <t>WG 1016406 entered track and got secured then waited 1:51:20 for WG 1016708 to get coupled then waited 0:05:08 for WG 1016710 to get coupled, OBTP started on 17:57:00 finished on 18:43:09 and then left at 18:44:18</t>
  </si>
  <si>
    <t>1016407</t>
  </si>
  <si>
    <t>OBT170125181531-Wien Kledering</t>
  </si>
  <si>
    <t>WG 1016407 entered track and got secured then waited 1:38:17 for WG 1016704 to get coupled then waited 8:52:39 for WG 1017301 to get coupled, OBTP started on 06:10:11 finished on 06:37:43 and then left at 06:38:53</t>
  </si>
  <si>
    <t>1016408</t>
  </si>
  <si>
    <t>WG 1016408 entered track and got coupled to WG 1016103 then waited 0:02:50 for WG 1016409 to get coupled, OBTP started on 17:46:51 finished on 18:22:06 and then left at 18:23:21</t>
  </si>
  <si>
    <t>1016409</t>
  </si>
  <si>
    <t>WG 1016409 entered track and got coupled to WG 1016408, OBTP started on 17:46:51 finished on 18:22:06 and then left at 18:23:21</t>
  </si>
  <si>
    <t>1016501</t>
  </si>
  <si>
    <t>OBT170125075431-Wien Kledering</t>
  </si>
  <si>
    <t>WG 1016501 entered track and got secured, OBTP started on 18:14:34 finished on 19:39:32 and then left at 19:41:27</t>
  </si>
  <si>
    <t>1016601</t>
  </si>
  <si>
    <t>WG 1016601 entered track and got coupled to WG 1016403, OBTP started on 20:49:43 finished on 22:17:25 and then left at 22:19:22</t>
  </si>
  <si>
    <t>1016701</t>
  </si>
  <si>
    <t>OBT220125073335-Other sidings local</t>
  </si>
  <si>
    <t>WG 1016701 entered track and got secured then waited 70:57:56 for WG 1018304 to get coupled then waited 23:45:54 for WG 1019805 to get coupled then waited 0:05:22 for WG 1019808 to get coupled then waited 7:25:36 for WG 1020508 to get coupled then waited 16:06:03 for WG 1021105 to get coupled, OBTP started on 07:21:22 finished on 07:48:06 and then left at 07:50:14</t>
  </si>
  <si>
    <t>1016702</t>
  </si>
  <si>
    <t>WG 1016702 entered track and got secured, OBTP started on 06:06:21 finished on 07:06:30 and then left at 07:08:10</t>
  </si>
  <si>
    <t>1016703</t>
  </si>
  <si>
    <t>OBT220125180146-Felixdorf/Sollenau (Bundesheer, Maba)</t>
  </si>
  <si>
    <t>WG 1016703 entered track and got secured then waited 11:34:55 for WG 1017407 to get coupled then waited 66:48:34 for WG 1019101 to get coupled then waited 23:30:38 for WG 1020502 to get coupled then waited 18:47:48 for WG 1021507 to get coupled then waited 8:01:57 for WG 1021902 to get coupled, OBTP started on 15:37:07 finished on 16:06:58 and then left at 16:08:09</t>
  </si>
  <si>
    <t>1016704</t>
  </si>
  <si>
    <t>WG 1016704 entered track and got coupled to WG 1016407 then waited 8:52:39 for WG 1017301 to get coupled, OBTP started on 06:10:11 finished on 06:37:43 and then left at 06:38:53</t>
  </si>
  <si>
    <t>1016705</t>
  </si>
  <si>
    <t>OBT170125155040-Wien Kledering</t>
  </si>
  <si>
    <t>WG 1016705 entered track and got secured then waited 6:27:01 for WG 1017101 to get coupled, OBTP started on 02:56:44 finished on 03:51:49 and then left at 03:53:17</t>
  </si>
  <si>
    <t>1016706</t>
  </si>
  <si>
    <t>WG 1016706 entered track and got coupled to WG 1016001 then waited 71:06:10 for WG 1018316 to get coupled, OBTP started on 17:16:44 finished on 17:48:14 and then left at 17:49:21</t>
  </si>
  <si>
    <t>1016707</t>
  </si>
  <si>
    <t>OBT190125203519-Neudörfl (FunderMax)</t>
  </si>
  <si>
    <t>WG 1016707 entered track and got secured then waited 56:30:04 for WG 1017802 to get coupled then waited 2:37:22 for WG 1017902 to get coupled, OBTP started on 12:58:55 finished on 13:25:55 and then left at 13:27:08</t>
  </si>
  <si>
    <t>1016708</t>
  </si>
  <si>
    <t>WG 1016708 entered track and got coupled to WG 1016406 then waited 0:05:08 for WG 1016710 to get coupled, OBTP started on 17:57:00 finished on 18:43:09 and then left at 18:44:18</t>
  </si>
  <si>
    <t>1016709</t>
  </si>
  <si>
    <t>WG 1016709 entered track and got coupled to WG 1016102, OBTP started on 07:12:51 finished on 07:52:47 and then left at 07:53:52</t>
  </si>
  <si>
    <t>1016710</t>
  </si>
  <si>
    <t>WG 1016710 entered track and got coupled to WG 1016708, OBTP started on 17:57:00 finished on 18:43:09 and then left at 18:44:18</t>
  </si>
  <si>
    <t>1016801</t>
  </si>
  <si>
    <t>1016802</t>
  </si>
  <si>
    <t>OBT170125090658-St. Veit an der Glan</t>
  </si>
  <si>
    <t>WG 1016802 entered track and got secured, OBTP started on 00:52:28 finished on 01:35:47 and then left at 01:37:02</t>
  </si>
  <si>
    <t>1016901</t>
  </si>
  <si>
    <t>OBT170125174751-Wien Kledering</t>
  </si>
  <si>
    <t>WG 1016901 entered track and got secured then waited 7:17:38 for WG 1017201 to get coupled, OBTP started on 04:49:55 finished on 06:05:27 and then left at 06:07:07</t>
  </si>
  <si>
    <t>1016902</t>
  </si>
  <si>
    <t>1017001</t>
  </si>
  <si>
    <t>OBT170125130627-Wien Kledering</t>
  </si>
  <si>
    <t>WG 1017001 entered track and got secured, OBTP started on 20:32:10 finished on 21:31:47 and then left at 21:33:11</t>
  </si>
  <si>
    <t>1017101</t>
  </si>
  <si>
    <t>WG 1017101 entered track and got secured, OBTP started on 02:56:44 finished on 03:51:49 and then left at 03:53:17</t>
  </si>
  <si>
    <t>1017201</t>
  </si>
  <si>
    <t>WG 1017201 entered track and got secured, OBTP started on 04:49:55 finished on 06:05:27 and then left at 06:07:07</t>
  </si>
  <si>
    <t>1017301</t>
  </si>
  <si>
    <t>WG 1017301 entered track and got secured, OBTP started on 06:10:11 finished on 06:37:43 and then left at 06:38:53</t>
  </si>
  <si>
    <t>1017401</t>
  </si>
  <si>
    <t>OBT200125045059-Neudörfl (FunderMax)</t>
  </si>
  <si>
    <t>WG 1017401 entered track and got secured then waited 9:32:32 for WG 1017601 to get coupled then waited 0:53:12 for WG 1017701 to get coupled then waited 45:50:13 for WG 1018101 to get coupled, OBTP started on 15:59:05 finished on 17:21:30 and then left at 17:23:20</t>
  </si>
  <si>
    <t>1017402</t>
  </si>
  <si>
    <t>OBT180125005504-Neudörfl (FunderMax)</t>
  </si>
  <si>
    <t>WG 1017402 entered track and got secured then waited 4:15:42 for WG 1017502 to get coupled then waited 0:02:04 for WG 1017504 to get coupled, OBTP started on 08:31:27 finished on 09:07:17 and then left at 09:08:29</t>
  </si>
  <si>
    <t>1017403</t>
  </si>
  <si>
    <t>OBT170125205009-Ternitz (Schoeller-Bleckmann)</t>
  </si>
  <si>
    <t>WG 1017403 entered track and got secured then waited 0:09:44 for WG 1017406 to get coupled, OBTP started on 07:42:36 finished on 08:26:33 and then left at 08:27:55</t>
  </si>
  <si>
    <t>1017404</t>
  </si>
  <si>
    <t>OBT200125080717-Wr. Neustadt (Hödlmayr)</t>
  </si>
  <si>
    <t>WG 1017404 entered track and got secured then waited 10:29:28 for WG 1017706 to get coupled then waited 48:55:43 for WG 1018303 to get coupled, OBTP started on 16:08:01 finished on 16:41:46 and then left at 16:43:00</t>
  </si>
  <si>
    <t>1017405</t>
  </si>
  <si>
    <t>OBT190125203024-Pitten (Hamburger)</t>
  </si>
  <si>
    <t>WG 1017405 entered track and got secured then waited 10:29:16 for WG 1017707 to get coupled then waited 37:15:58 for WG 1017901 to get coupled, OBTP started on 10:57:50 finished on 11:31:00 and then left at 11:32:00</t>
  </si>
  <si>
    <t>1017406</t>
  </si>
  <si>
    <t>WG 1017406 entered track and got coupled to WG 1017403, OBTP started on 07:42:36 finished on 08:26:33 and then left at 08:27:55</t>
  </si>
  <si>
    <t>1017407</t>
  </si>
  <si>
    <t>WG 1017407 entered track and got coupled to WG 1016703 then waited 66:48:34 for WG 1019101 to get coupled then waited 23:30:38 for WG 1020502 to get coupled then waited 18:47:48 for WG 1021507 to get coupled then waited 8:01:57 for WG 1021902 to get coupled, OBTP started on 15:37:07 finished on 16:06:58 and then left at 16:08:09</t>
  </si>
  <si>
    <t>1017408</t>
  </si>
  <si>
    <t>1017501</t>
  </si>
  <si>
    <t>OBT180125004751-Pitten (Hamburger)</t>
  </si>
  <si>
    <t>WG 1017501 entered track and got secured, OBTP started on 07:44:51 finished on 08:29:39 and then left at 08:31:01</t>
  </si>
  <si>
    <t>1017502</t>
  </si>
  <si>
    <t>WG 1017502 entered track and got coupled to WG 1017402 then waited 0:02:04 for WG 1017504 to get coupled, OBTP started on 08:31:27 finished on 09:07:17 and then left at 09:08:29</t>
  </si>
  <si>
    <t>1017503</t>
  </si>
  <si>
    <t>1017504</t>
  </si>
  <si>
    <t>WG 1017504 entered track and got coupled to WG 1017502, OBTP started on 08:31:27 finished on 09:07:17 and then left at 09:08:29</t>
  </si>
  <si>
    <t>1017601</t>
  </si>
  <si>
    <t>WG 1017601 entered track and got coupled to WG 1017401 then waited 0:53:12 for WG 1017701 to get coupled then waited 45:50:13 for WG 1018101 to get coupled, OBTP started on 15:59:05 finished on 17:21:30 and then left at 17:23:20</t>
  </si>
  <si>
    <t>1017602</t>
  </si>
  <si>
    <t>OBT180125071607-Neudörfl (FunderMax)</t>
  </si>
  <si>
    <t>WG 1017602 entered track and got secured then waited 1:09:08 for WG 1017709 to get coupled, OBTP started on 09:17:40 finished on 09:45:14 and then left at 09:46:17</t>
  </si>
  <si>
    <t>1017603</t>
  </si>
  <si>
    <t>1017701</t>
  </si>
  <si>
    <t>WG 1017701 entered track and got coupled to WG 1017601 then waited 45:50:13 for WG 1018101 to get coupled, OBTP started on 15:59:05 finished on 17:21:30 and then left at 17:23:20</t>
  </si>
  <si>
    <t>1017702</t>
  </si>
  <si>
    <t>1017703</t>
  </si>
  <si>
    <t>OBT190125175511-Pitten (Hamburger)</t>
  </si>
  <si>
    <t>WG 1017703 entered track and got secured then waited 34:53:18 for WG 1017801 to get coupled, OBTP started on 09:49:25 finished on 11:59:51 and then left at 12:02:09</t>
  </si>
  <si>
    <t>1017704</t>
  </si>
  <si>
    <t>OBT200125094944-Neudörfl (FunderMax)</t>
  </si>
  <si>
    <t>WG 1017704 entered track and got secured then waited 43:51:50 for WG 1018003 to get coupled then waited 5:07:21 for WG 1018302 to get coupled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</si>
  <si>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1017705</t>
  </si>
  <si>
    <t>OBT200125093149-Wr. Neustadt (Hödlmayr)</t>
  </si>
  <si>
    <t>WG 1017705 entered track and got secured then waited 43:44:17 for WG 1018001 to get coupled then waited 6:40:01 for WG 1018603 to get coupled, OBTP started on 03:22:34 finished on 03:56:19 and then left at 03:57:33</t>
  </si>
  <si>
    <t>1017706</t>
  </si>
  <si>
    <t>WG 1017706 entered track and got coupled to WG 1017404 then waited 48:55:43 for WG 1018303 to get coupled, OBTP started on 16:08:01 finished on 16:41:46 and then left at 16:43:00</t>
  </si>
  <si>
    <t>1017707</t>
  </si>
  <si>
    <t>WG 1017707 entered track and got coupled to WG 1017405 then waited 37:15:58 for WG 1017901 to get coupled, OBTP started on 10:57:50 finished on 11:31:00 and then left at 11:32:00</t>
  </si>
  <si>
    <t>1017708</t>
  </si>
  <si>
    <t>1017709</t>
  </si>
  <si>
    <t>WG 1017709 entered track and got coupled to WG 1017602, OBTP started on 09:17:40 finished on 09:45:14 and then left at 09:46:17</t>
  </si>
  <si>
    <t>1017710</t>
  </si>
  <si>
    <t>1017801</t>
  </si>
  <si>
    <t>WG 1017801 entered track and got secured, OBTP started on 09:49:25 finished on 11:59:51 and then left at 12:02:09</t>
  </si>
  <si>
    <t>1017802</t>
  </si>
  <si>
    <t>WG 1017802 entered track and got secured then waited 2:37:22 for WG 1017902 to get coupled, OBTP started on 12:58:55 finished on 13:25:55 and then left at 13:27:08</t>
  </si>
  <si>
    <t>1017901</t>
  </si>
  <si>
    <t>WG 1017901 entered track and got secured, OBTP started on 10:57:50 finished on 11:31:00 and then left at 11:32:00</t>
  </si>
  <si>
    <t>1017902</t>
  </si>
  <si>
    <t>WG 1017902 entered track and got coupled to WG 1017802, OBTP started on 12:58:55 finished on 13:25:55 and then left at 13:27:08</t>
  </si>
  <si>
    <t>1018001</t>
  </si>
  <si>
    <t>WG 1018001 entered track and got coupled to WG 1017705 then waited 6:40:01 for WG 1018603 to get coupled, OBTP started on 03:22:34 finished on 03:56:19 and then left at 03:57:33</t>
  </si>
  <si>
    <t>1018002</t>
  </si>
  <si>
    <t>OBT200125025157-Neunkirchen (loading tracks)</t>
  </si>
  <si>
    <t>WG 1018002 entered track and got secured, OBTP started on 14:42:14 finished on 15:23:41 and then left at 15:24:51</t>
  </si>
  <si>
    <t>1018003</t>
  </si>
  <si>
    <t>WG 1018003 entered track and got coupled to WG 1017704 then waited 5:07:21 for WG 1018302 to get coupled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</si>
  <si>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1018004</t>
  </si>
  <si>
    <t>OBT200125125954-Wien Kledering</t>
  </si>
  <si>
    <t>WG 1018004 entered track and got secured then waited 5:20:03 for WG 1018308 to get coupled then waited 1:18:31 for WG 1018604 to get coupled then waited 3:23:39 for WG 1018901 to get coupled, OBTP started on 08:10:22 finished on 08:36:36 and then left at 08:37:31</t>
  </si>
  <si>
    <t>1018101</t>
  </si>
  <si>
    <t>WG 1018101 entered track and got secured, OBTP started on 15:59:05 finished on 17:21:30 and then left at 17:23:20</t>
  </si>
  <si>
    <t>1018201</t>
  </si>
  <si>
    <t>1018301</t>
  </si>
  <si>
    <t>OBT200125080054-Neunkirchen (loading tracks)</t>
  </si>
  <si>
    <t>WG 1018301 entered track and got secured, OBTP started on 16:01:18 finished on 16:27:00 and then left at 16:28:00</t>
  </si>
  <si>
    <t>1018302</t>
  </si>
  <si>
    <t>WG 1018302 entered track and got secured then waited 0:18:19 for WG 1018310 to get coupled then waited 0:10:15 for WG 1018315 to get coupled then waited 1:07:15 for WG 1018605 to get coupled then waited 0:10:05 for WG 1018611 to get coupled, OBTP started on 06:51:57 finished on 07:26:00 and then left at 07:27:14</t>
  </si>
  <si>
    <t>1018303</t>
  </si>
  <si>
    <t>WG 1018303 entered track and got coupled to WG 1017706, OBTP started on 16:08:01 finished on 16:41:46 and then left at 16:43:00</t>
  </si>
  <si>
    <t>1018304</t>
  </si>
  <si>
    <t>WG 1018304 entered track and got coupled to WG 1016701 then waited 23:45:54 for WG 1019805 to get coupled then waited 0:05:22 for WG 1019808 to get coupled then waited 7:25:36 for WG 1020508 to get coupled then waited 16:06:03 for WG 1021105 to get coupled, OBTP started on 07:21:22 finished on 07:48:06 and then left at 07:50:14</t>
  </si>
  <si>
    <t>1018305</t>
  </si>
  <si>
    <t>OBT200125212137-Wien Kledering</t>
  </si>
  <si>
    <t>WG 1018305 entered track and got secured then waited 0:17:28 for WG 1018314 to get coupled then waited 1:01:49 for WG 1018602 to get coupled then waited 11:50:49 for WG 1019501 to get coupled, OBTP started on 15:24:19 finished on 17:03:49 and then left at 17:05:52</t>
  </si>
  <si>
    <t>1018306</t>
  </si>
  <si>
    <t>OBT210125032545-Neunkirchen (loading tracks)</t>
  </si>
  <si>
    <t>WG 1018306 entered track and got secured then waited 1:27:09 for WG 1018607 to get coupled then waited 6:02:17 for WG 1019103 to get coupled then waited 0:14:50 for WG 1019109 to get coupled then waited 11:18:15 for WG 1019602 to get coupled then waited 0:07:56 for WG 1019605 to get coupled, OBTP started on 15:32:13 finished on 16:46:08 and then left at 16:47:40</t>
  </si>
  <si>
    <t>1018307</t>
  </si>
  <si>
    <t>1018308</t>
  </si>
  <si>
    <t>WG 1018308 entered track and got coupled to WG 1018004 then waited 1:18:31 for WG 1018604 to get coupled then waited 3:23:39 for WG 1018901 to get coupled, OBTP started on 08:10:22 finished on 08:36:36 and then left at 08:37:31</t>
  </si>
  <si>
    <t>1018309</t>
  </si>
  <si>
    <t>1018310</t>
  </si>
  <si>
    <t>WG 1018310 entered track and got coupled to WG 1018302 then waited 0:10:15 for WG 1018315 to get coupled then waited 1:07:15 for WG 1018605 to get coupled then waited 0:10:05 for WG 1018611 to get coupled, OBTP started on 06:51:57 finished on 07:26:00 and then left at 07:27:14</t>
  </si>
  <si>
    <t>1018311</t>
  </si>
  <si>
    <t>OBT200125155402-Pitten (Hamburger)</t>
  </si>
  <si>
    <t>WG 1018311 entered track and got secured then waited 1:03:38 for WG 1018601 to get coupled then waited 0:21:15 for WG 1018610 to get coupled then waited 6:04:29 for WG 1019106 to get coupled then waited 0:02:43 for WG 1019107 to get coupled, OBTP started on 09:38:46 finished on 10:13:49 and then left at 10:15:03</t>
  </si>
  <si>
    <t>1018312</t>
  </si>
  <si>
    <t>1018313</t>
  </si>
  <si>
    <t>OBT200125144313-Wien Kledering</t>
  </si>
  <si>
    <t>WG 1018313 entered track and got secured then waited 6:17:02 for WG 1019001 to get coupled, OBTP started on 09:18:43 finished on 10:55:59 and then left at 10:58:08</t>
  </si>
  <si>
    <t>1018314</t>
  </si>
  <si>
    <t>WG 1018314 entered track and got coupled to WG 1018305 then waited 1:01:49 for WG 1018602 to get coupled then waited 11:50:49 for WG 1019501 to get coupled, OBTP started on 15:24:19 finished on 17:03:49 and then left at 17:05:52</t>
  </si>
  <si>
    <t>1018315</t>
  </si>
  <si>
    <t>WG 1018315 entered track and got coupled to WG 1018310 then waited 1:07:15 for WG 1018605 to get coupled then waited 0:10:05 for WG 1018611 to get coupled, OBTP started on 06:51:57 finished on 07:26:00 and then left at 07:27:14</t>
  </si>
  <si>
    <t>1018316</t>
  </si>
  <si>
    <t>WG 1018316 entered track and got coupled to WG 1016706, OBTP started on 17:16:44 finished on 17:48:14 and then left at 17:49:21</t>
  </si>
  <si>
    <t>1018401</t>
  </si>
  <si>
    <t>1018501</t>
  </si>
  <si>
    <t>1018601</t>
  </si>
  <si>
    <t>WG 1018601 entered track and got secured then waited 0:21:15 for WG 1018610 to get coupled then waited 6:04:29 for WG 1019106 to get coupled then waited 0:02:43 for WG 1019107 to get coupled, OBTP started on 09:38:46 finished on 10:13:49 and then left at 10:15:03</t>
  </si>
  <si>
    <t>1018602</t>
  </si>
  <si>
    <t>WG 1018602 entered track and got coupled to WG 1018314 then waited 11:50:49 for WG 1019501 to get coupled, OBTP started on 15:24:19 finished on 17:03:49 and then left at 17:05:52</t>
  </si>
  <si>
    <t>1018603</t>
  </si>
  <si>
    <t>WG 1018603 entered track and got secured, OBTP started on 03:22:34 finished on 03:56:19 and then left at 03:57:33</t>
  </si>
  <si>
    <t>1018604</t>
  </si>
  <si>
    <t>WG 1018604 entered track and got coupled to WG 1018308 then waited 3:23:39 for WG 1018901 to get coupled, OBTP started on 08:10:22 finished on 08:36:36 and then left at 08:37:31</t>
  </si>
  <si>
    <t>1018605</t>
  </si>
  <si>
    <t>WG 1018605 entered track and got coupled to WG 1018315 then waited 0:10:05 for WG 1018611 to get coupled, OBTP started on 06:51:57 finished on 07:26:00 and then left at 07:27:14</t>
  </si>
  <si>
    <t>1018606</t>
  </si>
  <si>
    <t>1018607</t>
  </si>
  <si>
    <t>WG 1018607 entered track and got coupled to WG 1018306 then waited 6:02:17 for WG 1019103 to get coupled then waited 0:14:50 for WG 1019109 to get coupled then waited 11:18:15 for WG 1019602 to get coupled then waited 0:07:56 for WG 1019605 to get coupled, OBTP started on 15:32:13 finished on 16:46:08 and then left at 16:47:40</t>
  </si>
  <si>
    <t>1018608</t>
  </si>
  <si>
    <t>OBT220125180607-Wr. Neustadt Ausfahrbf (Furtenbach)</t>
  </si>
  <si>
    <t>WG 1018608 entered track and got secured then waited 6:04:50 for WG 1019105 to get coupled then waited 16:01:31 for WG 1019802 to get coupled then waited 1:36:52 for WG 1020101 to get coupled then waited 32:41:07 for WG 1021904 to get coupled, OBTP started on 16:09:28 finished on 16:49:16 and then left at 16:50:25</t>
  </si>
  <si>
    <t>1018609</t>
  </si>
  <si>
    <t>1018610</t>
  </si>
  <si>
    <t>WG 1018610 entered track and got coupled to WG 1018601 then waited 6:04:29 for WG 1019106 to get coupled then waited 0:02:43 for WG 1019107 to get coupled, OBTP started on 09:38:46 finished on 10:13:49 and then left at 10:15:03</t>
  </si>
  <si>
    <t>1018611</t>
  </si>
  <si>
    <t>WG 1018611 entered track and got coupled to WG 1018605, OBTP started on 06:51:57 finished on 07:26:00 and then left at 07:27:14</t>
  </si>
  <si>
    <t>1018612</t>
  </si>
  <si>
    <t>OBT210125075153-Pitten (Hamburger)</t>
  </si>
  <si>
    <t>WG 1018612 entered track and got secured then waited 17:32:03 for WG 1019604 to get coupled then waited 4:29:31 for WG 1019804 to get coupled, OBTP started on 02:57:08 finished on 03:26:22 and then left at 03:27:32</t>
  </si>
  <si>
    <t>1018613</t>
  </si>
  <si>
    <t>1018701</t>
  </si>
  <si>
    <t>1018702</t>
  </si>
  <si>
    <t>OBT200125091839-St. Veit an der Glan</t>
  </si>
  <si>
    <t>WG 1018702 entered track and got secured, OBTP started on 21:20:40 finished on 21:57:04 and then left at 21:58:13</t>
  </si>
  <si>
    <t>1018801</t>
  </si>
  <si>
    <t>OBT200125105804-Wien Kledering</t>
  </si>
  <si>
    <t>WG 1018801 entered track and got secured then waited 0:03:56 for WG 1018802 to get coupled, OBTP started on 07:35:35 finished on 08:17:02 and then left at 08:18:16</t>
  </si>
  <si>
    <t>1018802</t>
  </si>
  <si>
    <t>WG 1018802 entered track and got coupled to WG 1018801, OBTP started on 07:35:35 finished on 08:17:02 and then left at 08:18:16</t>
  </si>
  <si>
    <t>1018803</t>
  </si>
  <si>
    <t>OBT200125105846-Wien Kledering</t>
  </si>
  <si>
    <t>WG 1018803 entered track and got secured, OBTP started on 08:01:59 finished on 08:40:27 and then left at 08:41:42</t>
  </si>
  <si>
    <t>1018901</t>
  </si>
  <si>
    <t>WG 1018901 entered track and got secured, OBTP started on 08:10:22 finished on 08:36:36 and then left at 08:37:31</t>
  </si>
  <si>
    <t>1019001</t>
  </si>
  <si>
    <t>WG 1019001 entered track and got secured, OBTP started on 09:18:43 finished on 10:55:59 and then left at 10:58:08</t>
  </si>
  <si>
    <t>1019101</t>
  </si>
  <si>
    <t>WG 1019101 entered track and got coupled to WG 1017407 then waited 23:30:38 for WG 1020502 to get coupled then waited 18:47:48 for WG 1021507 to get coupled then waited 8:01:57 for WG 1021902 to get coupled, OBTP started on 15:37:07 finished on 16:06:58 and then left at 16:08:09</t>
  </si>
  <si>
    <t>1019102</t>
  </si>
  <si>
    <t>OBT210125080256-Neudörfl (FunderMax)</t>
  </si>
  <si>
    <t>WG 1019102 entered track and got secured then waited 16:20:58 for WG 1019809 to get coupled, OBTP started on 04:52:58 finished on 05:22:15 and then left at 05:23:25</t>
  </si>
  <si>
    <t>1019103</t>
  </si>
  <si>
    <t>WG 1019103 entered track and got secured then waited 0:14:50 for WG 1019109 to get coupled then waited 11:18:15 for WG 1019602 to get coupled then waited 0:07:56 for WG 1019605 to get coupled, OBTP started on 15:32:13 finished on 16:46:08 and then left at 16:47:40</t>
  </si>
  <si>
    <t>1019104</t>
  </si>
  <si>
    <t>1019105</t>
  </si>
  <si>
    <t>WG 1019105 entered track and got secured then waited 16:01:31 for WG 1019802 to get coupled then waited 1:36:52 for WG 1020101 to get coupled then waited 32:41:07 for WG 1021904 to get coupled, OBTP started on 16:09:28 finished on 16:49:16 and then left at 16:50:25</t>
  </si>
  <si>
    <t>1019106</t>
  </si>
  <si>
    <t>WG 1019106 entered track and got coupled to WG 1018610 then waited 0:02:43 for WG 1019107 to get coupled, OBTP started on 09:38:46 finished on 10:13:49 and then left at 10:15:03</t>
  </si>
  <si>
    <t>1019107</t>
  </si>
  <si>
    <t>WG 1019107 entered track and got coupled to WG 1019106, OBTP started on 09:38:46 finished on 10:13:49 and then left at 10:15:03</t>
  </si>
  <si>
    <t>1019108</t>
  </si>
  <si>
    <t>OBT210125093910-Neudörfl (FunderMax)</t>
  </si>
  <si>
    <t>WG 1019108 entered track and got secured then waited 0:07:49 for WG 1019110 to get coupled then waited 11:12:37 for WG 1019601 to get coupled then waited 6:14:05 for WG 1020104 to get coupled then waited 0:10:07 for WG 1020108 to get coupled, OBTP started on 08:11:47 finished on 08:39:38 and then left at 08:40:34</t>
  </si>
  <si>
    <t>1019109</t>
  </si>
  <si>
    <t>WG 1019109 entered track and got coupled to WG 1019103 then waited 11:18:15 for WG 1019602 to get coupled then waited 0:07:56 for WG 1019605 to get coupled, OBTP started on 15:32:13 finished on 16:46:08 and then left at 16:47:40</t>
  </si>
  <si>
    <t>1019110</t>
  </si>
  <si>
    <t>WG 1019110 entered track and got coupled to WG 1019108 then waited 11:12:37 for WG 1019601 to get coupled then waited 6:14:05 for WG 1020104 to get coupled then waited 0:10:07 for WG 1020108 to get coupled, OBTP started on 08:11:47 finished on 08:39:38 and then left at 08:40:34</t>
  </si>
  <si>
    <t>1019201</t>
  </si>
  <si>
    <t>OBT200125160533-St. Veit an der Glan</t>
  </si>
  <si>
    <t>WG 1019201 entered track and got secured, OBTP started on 10:31:18 finished on 11:09:23 and then left at 11:10:34</t>
  </si>
  <si>
    <t>1019202</t>
  </si>
  <si>
    <t>1019301</t>
  </si>
  <si>
    <t>1019401</t>
  </si>
  <si>
    <t>OBT200125171741-Wien Kledering</t>
  </si>
  <si>
    <t>WG 1019401 entered track and got secured, OBTP started on 14:46:57 finished on 16:08:17 and then left at 16:10:02</t>
  </si>
  <si>
    <t>1019501</t>
  </si>
  <si>
    <t>WG 1019501 entered track and got secured, OBTP started on 15:24:19 finished on 17:03:49 and then left at 17:05:52</t>
  </si>
  <si>
    <t>1019601</t>
  </si>
  <si>
    <t>WG 1019601 entered track and got coupled to WG 1019110 then waited 6:14:05 for WG 1020104 to get coupled then waited 0:10:07 for WG 1020108 to get coupled, OBTP started on 08:11:47 finished on 08:39:38 and then left at 08:40:34</t>
  </si>
  <si>
    <t>1019602</t>
  </si>
  <si>
    <t>WG 1019602 entered track and got coupled to WG 1019109 then waited 0:07:56 for WG 1019605 to get coupled, OBTP started on 15:32:13 finished on 16:46:08 and then left at 16:47:40</t>
  </si>
  <si>
    <t>1019603</t>
  </si>
  <si>
    <t>OBT210125092833-St. Veit an der Glan</t>
  </si>
  <si>
    <t>WG 1019603 entered track and got secured then waited 6:02:23 for WG 1020202 to get coupled then waited 0:07:09 for WG 1020102 to get coupled then waited 0:01:42 for WG 1020103 to get coupled, OBTP started on 07:44:37 finished on 08:20:31 and then left at 08:21:39</t>
  </si>
  <si>
    <t>1019604</t>
  </si>
  <si>
    <t>WG 1019604 entered track and got coupled to WG 1018612 then waited 4:29:31 for WG 1019804 to get coupled, OBTP started on 02:57:08 finished on 03:26:22 and then left at 03:27:32</t>
  </si>
  <si>
    <t>1019605</t>
  </si>
  <si>
    <t>WG 1019605 entered track and got coupled to WG 1019602, OBTP started on 15:32:13 finished on 16:46:08 and then left at 16:47:40</t>
  </si>
  <si>
    <t>1019701</t>
  </si>
  <si>
    <t>OBT210125065252-Wien Kledering</t>
  </si>
  <si>
    <t>WG 1019701 entered track and got secured, OBTP started on 21:06:23 finished on 22:04:40 and then left at 22:06:08</t>
  </si>
  <si>
    <t>1019801</t>
  </si>
  <si>
    <t>OBT210125150922-Neunkirchen (loading tracks)</t>
  </si>
  <si>
    <t>WG 1019801 entered track and got secured then waited 1:51:44 for WG 1020107 to get coupled then waited 5:33:31 for WG 1020501 to get coupled, OBTP started on 10:41:56 finished on 11:07:22 and then left at 11:08:29</t>
  </si>
  <si>
    <t>1019802</t>
  </si>
  <si>
    <t>WG 1019802 entered track and got coupled to WG 1019105 then waited 1:36:52 for WG 1020101 to get coupled then waited 32:41:07 for WG 1021904 to get coupled, OBTP started on 16:09:28 finished on 16:49:16 and then left at 16:50:25</t>
  </si>
  <si>
    <t>1019803</t>
  </si>
  <si>
    <t>OBT220125100316-Neudörfl (FunderMax)</t>
  </si>
  <si>
    <t>WG 1019803 entered track and got secured then waited 1:53:08 for WG 1020109 to get coupled then waited 5:39:47 for WG 1020506 to get coupled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</si>
  <si>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1019804</t>
  </si>
  <si>
    <t>WG 1019804 entered track and got secured, OBTP started on 02:57:08 finished on 03:26:22 and then left at 03:27:32</t>
  </si>
  <si>
    <t>1019805</t>
  </si>
  <si>
    <t>WG 1019805 entered track and got coupled to WG 1018304 then waited 0:05:22 for WG 1019808 to get coupled then waited 7:25:36 for WG 1020508 to get coupled then waited 16:06:03 for WG 1021105 to get coupled, OBTP started on 07:21:22 finished on 07:48:06 and then left at 07:50:14</t>
  </si>
  <si>
    <t>1019806</t>
  </si>
  <si>
    <t>1019807</t>
  </si>
  <si>
    <t>OBT220125045357-Neudörfl (FunderMax)</t>
  </si>
  <si>
    <t>WG 1019807 entered track and got secured then waited 20:56:40 for WG 1020901 to get coupled, OBTP started on 03:09:58 finished on 04:41:37 and then left at 04:43:33</t>
  </si>
  <si>
    <t>1019808</t>
  </si>
  <si>
    <t>WG 1019808 entered track and got coupled to WG 1019805 then waited 7:25:36 for WG 1020508 to get coupled then waited 16:06:03 for WG 1021105 to get coupled, OBTP started on 07:21:22 finished on 07:48:06 and then left at 07:50:14</t>
  </si>
  <si>
    <t>1019809</t>
  </si>
  <si>
    <t>WG 1019809 entered track and got secured, OBTP started on 04:52:58 finished on 05:22:15 and then left at 05:23:25</t>
  </si>
  <si>
    <t>1019810</t>
  </si>
  <si>
    <t>1019901</t>
  </si>
  <si>
    <t>1020001</t>
  </si>
  <si>
    <t>OBT210125080752-Wien Kledering</t>
  </si>
  <si>
    <t>WG 1020001 entered track and got secured, OBTP started on 06:38:49 finished on 08:03:36 and then left at 08:05:31</t>
  </si>
  <si>
    <t>1020101</t>
  </si>
  <si>
    <t>WG 1020101 entered track and got coupled to WG 1019802 then waited 32:41:07 for WG 1021904 to get coupled, OBTP started on 16:09:28 finished on 16:49:16 and then left at 16:50:25</t>
  </si>
  <si>
    <t>1020102</t>
  </si>
  <si>
    <t>WG 1020102 entered track and got coupled to WG 1020202 then waited 0:01:42 for WG 1020103 to get coupled, OBTP started on 07:44:37 finished on 08:20:31 and then left at 08:21:39</t>
  </si>
  <si>
    <t>1020103</t>
  </si>
  <si>
    <t>WG 1020103 entered track and got coupled to WG 1020102, OBTP started on 07:44:37 finished on 08:20:31 and then left at 08:21:39</t>
  </si>
  <si>
    <t>1020104</t>
  </si>
  <si>
    <t>WG 1020104 entered track and got secured then waited 0:10:07 for WG 1020108 to get coupled, OBTP started on 08:11:47 finished on 08:39:38 and then left at 08:40:34</t>
  </si>
  <si>
    <t>1020105</t>
  </si>
  <si>
    <t>1020106</t>
  </si>
  <si>
    <t>OBT210125093211-Wr. Neustadt (Hödlmayr)</t>
  </si>
  <si>
    <t>WG 1020106 entered track and got secured, OBTP started on 07:47:51 finished on 08:14:51 and then left at 08:15:57</t>
  </si>
  <si>
    <t>1020107</t>
  </si>
  <si>
    <t>WG 1020107 entered track and got coupled to WG 1019801 then waited 5:33:31 for WG 1020501 to get coupled, OBTP started on 10:41:56 finished on 11:07:22 and then left at 11:08:29</t>
  </si>
  <si>
    <t>1020108</t>
  </si>
  <si>
    <t>WG 1020108 entered track and got coupled to WG 1020104, OBTP started on 08:11:47 finished on 08:39:38 and then left at 08:40:34</t>
  </si>
  <si>
    <t>1020109</t>
  </si>
  <si>
    <t>WG 1020109 entered track and got coupled to WG 1019803 then waited 5:39:47 for WG 1020506 to get coupled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</si>
  <si>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1020201</t>
  </si>
  <si>
    <t>OBT210125103404-Wien Kledering</t>
  </si>
  <si>
    <t>WG 1020201 entered track and got secured then waited 1:11:12 for WG 1020301 to get coupled then waited 0:04:52 for WG 1020303 to get coupled, OBTP started on 08:42:39 finished on 10:36:20 and then left at 10:38:39</t>
  </si>
  <si>
    <t>1020202</t>
  </si>
  <si>
    <t>WG 1020202 entered track and got secured then waited 0:07:09 for WG 1020102 to get coupled then waited 0:01:42 for WG 1020103 to get coupled, OBTP started on 07:44:37 finished on 08:20:31 and then left at 08:21:39</t>
  </si>
  <si>
    <t>1020301</t>
  </si>
  <si>
    <t>WG 1020301 entered track and got coupled to WG 1020201 then waited 0:04:52 for WG 1020303 to get coupled, OBTP started on 08:42:39 finished on 10:36:20 and then left at 10:38:39</t>
  </si>
  <si>
    <t>1020302</t>
  </si>
  <si>
    <t>OBT210125151409-Neudörfl (FunderMax)</t>
  </si>
  <si>
    <t>WG 1020302 entered track and got secured then waited 4:45:21 for WG 1020504 to get coupled, OBTP started on 13:11:54 finished on 13:55:14 and then left at 13:56:29</t>
  </si>
  <si>
    <t>1020303</t>
  </si>
  <si>
    <t>WG 1020303 entered track and got coupled to WG 1020301, OBTP started on 08:42:39 finished on 10:36:20 and then left at 10:38:39</t>
  </si>
  <si>
    <t>1020401</t>
  </si>
  <si>
    <t>OBT210125144735-Wien Kledering</t>
  </si>
  <si>
    <t>WG 1020401 entered track and got secured, OBTP started on 10:05:43 finished on 11:45:14 and then left at 11:47:21</t>
  </si>
  <si>
    <t>1020501</t>
  </si>
  <si>
    <t>WG 1020501 entered track and got coupled to WG 1020107, OBTP started on 10:41:56 finished on 11:07:22 and then left at 11:08:29</t>
  </si>
  <si>
    <t>1020502</t>
  </si>
  <si>
    <t>WG 1020502 entered track and got coupled to WG 1019101 then waited 18:47:48 for WG 1021507 to get coupled then waited 8:01:57 for WG 1021902 to get coupled, OBTP started on 15:37:07 finished on 16:06:58 and then left at 16:08:09</t>
  </si>
  <si>
    <t>1020503</t>
  </si>
  <si>
    <t>OBT210125151926-Steinabrückl/Wöllersdorf</t>
  </si>
  <si>
    <t>WG 1020503 entered track and got secured then waited 0:07:09 for WG 1020505 to get coupled, OBTP started on 15:24:40 finished on 15:55:36 and then left at 15:56:48</t>
  </si>
  <si>
    <t>1020504</t>
  </si>
  <si>
    <t>WG 1020504 entered track and got secured, OBTP started on 13:11:54 finished on 13:55:14 and then left at 13:56:29</t>
  </si>
  <si>
    <t>1020505</t>
  </si>
  <si>
    <t>WG 1020505 entered track and got coupled to WG 1020503, OBTP started on 15:24:40 finished on 15:55:36 and then left at 15:56:48</t>
  </si>
  <si>
    <t>1020506</t>
  </si>
  <si>
    <t>WG 1020506 entered track and got coupled to WG 1020109 then waited 16:06:54 for WG 1021104 to get coupled then waited 0:13:34 for WG 1021109 to get coupled then waited 2:02:36 for WG 1021501 to get coupled then waited 0:18:33 for WG 1021508 to get coupled, OBTP started on 10:52:36 finished on 11:25:48 and then left at 11:26:47</t>
  </si>
  <si>
    <t>1020507</t>
  </si>
  <si>
    <t>OBT210125152253-Pitten (Hamburger)</t>
  </si>
  <si>
    <t>WG 1020507 entered track and got secured, OBTP started on 17:50:03 finished on 18:42:32 and then left at 18:44:05</t>
  </si>
  <si>
    <t>1020508</t>
  </si>
  <si>
    <t>WG 1020508 entered track and got coupled to WG 1019808 then waited 16:06:03 for WG 1021105 to get coupled, OBTP started on 07:21:22 finished on 07:48:06 and then left at 07:50:14</t>
  </si>
  <si>
    <t>1020601</t>
  </si>
  <si>
    <t>OBT210125152947-Wien Kledering</t>
  </si>
  <si>
    <t>WG 1020601 entered track and got secured, OBTP started on 18:18:39 finished on 18:50:07 and then left at 18:51:20</t>
  </si>
  <si>
    <t>1020701</t>
  </si>
  <si>
    <t>OBT210125210727-Wien Kledering</t>
  </si>
  <si>
    <t>WG 1020701 entered track and got secured, OBTP started on 18:22:06 finished on 19:08:57 and then left at 19:10:21</t>
  </si>
  <si>
    <t>1020801</t>
  </si>
  <si>
    <t>OBT220125025432-Other sidings south</t>
  </si>
  <si>
    <t>WG 1020801 entered track and got secured then waited 0:04:35 for WG 1020802 to get coupled, OBTP started on 20:47:00 finished on 21:41:51 and then left at 21:43:15</t>
  </si>
  <si>
    <t>1020802</t>
  </si>
  <si>
    <t>WG 1020802 entered track and got coupled to WG 1020801, OBTP started on 20:47:00 finished on 21:41:51 and then left at 21:43:15</t>
  </si>
  <si>
    <t>1020803</t>
  </si>
  <si>
    <t>OBT220125094552-Pitten (Hamburger)</t>
  </si>
  <si>
    <t>WG 1020803 entered track and got secured then waited 6:50:58 for WG 1021502 to get coupled, OBTP started on 07:55:12 finished on 08:40:00 and then left at 08:41:10</t>
  </si>
  <si>
    <t>1020804</t>
  </si>
  <si>
    <t>OBT220125095350-Neunkirchen (loading tracks)</t>
  </si>
  <si>
    <t>WG 1020804 entered track and got secured then waited 4:25:42 for WG 1021102 to get coupled then waited 0:12:25 for WG 1021106 to get coupled then waited 2:15:10 for WG 1021503 to get coupled then waited 0:02:48 for WG 1021504 to get coupled, OBTP started on 09:03:26 finished on 09:32:08 and then left at 09:33:18</t>
  </si>
  <si>
    <t>1020901</t>
  </si>
  <si>
    <t>WG 1020901 entered track and got secured, OBTP started on 03:09:58 finished on 04:41:37 and then left at 04:43:33</t>
  </si>
  <si>
    <t>1021001</t>
  </si>
  <si>
    <t>OBT220125063948-Wien Kledering</t>
  </si>
  <si>
    <t>WG 1021001 entered track and got secured, OBTP started on 06:34:20 finished on 07:47:15 and then left at 07:49:01</t>
  </si>
  <si>
    <t>1021101</t>
  </si>
  <si>
    <t>OBT220125095549-Wr. Neustadt (Hödlmayr)</t>
  </si>
  <si>
    <t>WG 1021101 entered track and got secured then waited 2:34:51 for WG 1021505 to get coupled, OBTP started on 10:03:16 finished on 10:30:16 and then left at 10:31:19</t>
  </si>
  <si>
    <t>1021102</t>
  </si>
  <si>
    <t>WG 1021102 entered track and got secured then waited 0:12:25 for WG 1021106 to get coupled then waited 2:15:10 for WG 1021503 to get coupled then waited 0:02:48 for WG 1021504 to get coupled, OBTP started on 09:03:26 finished on 09:32:08 and then left at 09:33:18</t>
  </si>
  <si>
    <t>1021103</t>
  </si>
  <si>
    <t>OBT230125175458-Wr. Neustadt Ausfahrbf (Furtenbach)</t>
  </si>
  <si>
    <t>WG 1021103 entered track and got secured then waited 2:32:04 for WG 1021506 to get coupled then waited 8:15:35 for WG 1021907 to get coupled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</si>
  <si>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1021104</t>
  </si>
  <si>
    <t>WG 1021104 entered track and got secured then waited 0:13:34 for WG 1021109 to get coupled then waited 2:02:36 for WG 1021501 to get coupled then waited 0:18:33 for WG 1021508 to get coupled, OBTP started on 10:52:36 finished on 11:25:48 and then left at 11:26:47</t>
  </si>
  <si>
    <t>1021105</t>
  </si>
  <si>
    <t>WG 1021105 entered track and got coupled to WG 1020508, OBTP started on 07:21:22 finished on 07:48:06 and then left at 07:50:14</t>
  </si>
  <si>
    <t>1021106</t>
  </si>
  <si>
    <t>WG 1021106 entered track and got coupled to WG 1021102 then waited 2:15:10 for WG 1021503 to get coupled then waited 0:02:48 for WG 1021504 to get coupled, OBTP started on 09:03:26 finished on 09:32:08 and then left at 09:33:18</t>
  </si>
  <si>
    <t>1021107</t>
  </si>
  <si>
    <t>OBT230125063522-Wien Kledering</t>
  </si>
  <si>
    <t>WG 1021107 entered track and got secured then waited 0:07:24 for WG 1021110 to get coupled then waited 10:24:30 for WG 1021905 to get coupled then waited 12:26:23 for WG 1022401 to get coupled, OBTP started on 07:13:21 finished on 07:49:28 and then left at 07:50:40</t>
  </si>
  <si>
    <t>1021108</t>
  </si>
  <si>
    <t>1021109</t>
  </si>
  <si>
    <t>WG 1021109 entered track and got coupled to WG 1021104 then waited 2:02:36 for WG 1021501 to get coupled then waited 0:18:33 for WG 1021508 to get coupled, OBTP started on 10:52:36 finished on 11:25:48 and then left at 11:26:47</t>
  </si>
  <si>
    <t>1021110</t>
  </si>
  <si>
    <t>WG 1021110 entered track and got coupled to WG 1021107 then waited 10:24:30 for WG 1021905 to get coupled then waited 12:26:23 for WG 1022401 to get coupled, OBTP started on 07:13:21 finished on 07:49:28 and then left at 07:50:40</t>
  </si>
  <si>
    <t>1021111</t>
  </si>
  <si>
    <t>OBT220125204226-Neunkirchen (loading tracks)</t>
  </si>
  <si>
    <t>WG 1021111 entered track and got secured then waited 10:23:37 for WG 1021906 to get coupled then waited 0:10:30 for WG 1021909 to get coupled then waited 2:22:58 for WG 1022205 to get coupled, OBTP started on 21:11:19 finished on 21:37:01 and then left at 21:38:08</t>
  </si>
  <si>
    <t>1021201</t>
  </si>
  <si>
    <t>1021301</t>
  </si>
  <si>
    <t>1021401</t>
  </si>
  <si>
    <t>OBT220125084547-St. Veit an der Glan</t>
  </si>
  <si>
    <t>WG 1021401 entered track and got secured then waited 0:04:30 for WG 1021402 to get coupled, OBTP started on 07:27:03 finished on 08:49:51 and then left at 08:51:38</t>
  </si>
  <si>
    <t>1021402</t>
  </si>
  <si>
    <t>WG 1021402 entered track and got coupled to WG 1021401, OBTP started on 07:27:03 finished on 08:49:51 and then left at 08:51:38</t>
  </si>
  <si>
    <t>1021501</t>
  </si>
  <si>
    <t>WG 1021501 entered track and got coupled to WG 1021109 then waited 0:18:33 for WG 1021508 to get coupled, OBTP started on 10:52:36 finished on 11:25:48 and then left at 11:26:47</t>
  </si>
  <si>
    <t>1021502</t>
  </si>
  <si>
    <t>WG 1021502 entered track and got secured, OBTP started on 07:55:12 finished on 08:40:00 and then left at 08:41:10</t>
  </si>
  <si>
    <t>1021503</t>
  </si>
  <si>
    <t>WG 1021503 entered track and got coupled to WG 1021106 then waited 0:02:48 for WG 1021504 to get coupled, OBTP started on 09:03:26 finished on 09:32:08 and then left at 09:33:18</t>
  </si>
  <si>
    <t>1021504</t>
  </si>
  <si>
    <t>WG 1021504 entered track and got coupled to WG 1021503, OBTP started on 09:03:26 finished on 09:32:08 and then left at 09:33:18</t>
  </si>
  <si>
    <t>1021505</t>
  </si>
  <si>
    <t>WG 1021505 entered track and got coupled to WG 1021101, OBTP started on 10:03:16 finished on 10:30:16 and then left at 10:31:19</t>
  </si>
  <si>
    <t>1021506</t>
  </si>
  <si>
    <t>WG 1021506 entered track and got coupled to WG 1021103 then waited 8:15:35 for WG 1021907 to get coupled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</si>
  <si>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1021507</t>
  </si>
  <si>
    <t>WG 1021507 entered track and got coupled to WG 1020502 then waited 8:01:57 for WG 1021902 to get coupled, OBTP started on 15:37:07 finished on 16:06:58 and then left at 16:08:09</t>
  </si>
  <si>
    <t>1021508</t>
  </si>
  <si>
    <t>WG 1021508 entered track and got coupled to WG 1021501, OBTP started on 10:52:36 finished on 11:25:48 and then left at 11:26:47</t>
  </si>
  <si>
    <t>1021509</t>
  </si>
  <si>
    <t>OBT220125181516-Pitten (Hamburger)</t>
  </si>
  <si>
    <t>WG 1021509 entered track and got secured then waited 8:11:13 for WG 1021908 to get coupled, OBTP started on 18:00:05 finished on 19:13:55 and then left at 19:15:41</t>
  </si>
  <si>
    <t>1021510</t>
  </si>
  <si>
    <t>OBT220125205009-Other sidings local</t>
  </si>
  <si>
    <t>WG 1021510 entered track and got secured then waited 7:53:46 for WG 1021901 to get coupled then waited 2:50:03 for WG 1022208 to get coupled, OBTP started on 03:11:18 finished on 03:39:37 and then left at 03:40:43</t>
  </si>
  <si>
    <t>1021601</t>
  </si>
  <si>
    <t>OBT220125104258-Wien Kledering</t>
  </si>
  <si>
    <t>WG 1021601 entered track and got secured, OBTP started on 14:45:34 finished on 16:37:07 and then left at 16:39:17</t>
  </si>
  <si>
    <t>1021701</t>
  </si>
  <si>
    <t>OBT220125175314-Wien Kledering</t>
  </si>
  <si>
    <t>WG 1021701 entered track and got secured then waited 2:12:26 for WG 1021801 to get coupled then waited 2:27:55 for WG 1022001 to get coupled, OBTP started on 15:21:42 finished on 16:58:47 and then left at 17:00:45</t>
  </si>
  <si>
    <t>1021801</t>
  </si>
  <si>
    <t>WG 1021801 entered track and got secured then waited 2:27:55 for WG 1022001 to get coupled, OBTP started on 15:21:42 finished on 16:58:47 and then left at 17:00:45</t>
  </si>
  <si>
    <t>1021901</t>
  </si>
  <si>
    <t>WG 1021901 entered track and got coupled to WG 1021510 then waited 2:50:03 for WG 1022208 to get coupled, OBTP started on 03:11:18 finished on 03:39:37 and then left at 03:40:43</t>
  </si>
  <si>
    <t>1021902</t>
  </si>
  <si>
    <t>WG 1021902 entered track and got coupled to WG 1021507, OBTP started on 15:37:07 finished on 16:06:58 and then left at 16:08:09</t>
  </si>
  <si>
    <t>1021903</t>
  </si>
  <si>
    <t>OBT230125030314-Neunkirchen (loading tracks)</t>
  </si>
  <si>
    <t>WG 1021903 entered track and got secured then waited 9:01:24 for WG 1022301 to get coupled, OBTP started on 04:46:26 finished on 05:17:23 and then left at 05:18:28</t>
  </si>
  <si>
    <t>1021904</t>
  </si>
  <si>
    <t>WG 1021904 entered track and got coupled to WG 1020101, OBTP started on 16:09:28 finished on 16:49:16 and then left at 16:50:25</t>
  </si>
  <si>
    <t>1021905</t>
  </si>
  <si>
    <t>WG 1021905 entered track and got coupled to WG 1021110 then waited 12:26:23 for WG 1022401 to get coupled, OBTP started on 07:13:21 finished on 07:49:28 and then left at 07:50:40</t>
  </si>
  <si>
    <t>1021906</t>
  </si>
  <si>
    <t>WG 1021906 entered track and got secured then waited 0:10:30 for WG 1021909 to get coupled then waited 2:22:58 for WG 1022205 to get coupled, OBTP started on 21:11:19 finished on 21:37:01 and then left at 21:38:08</t>
  </si>
  <si>
    <t>1021907</t>
  </si>
  <si>
    <t>WG 1021907 entered track and got coupled to WG 1021506 then waited 2:18:45 for WG 1022202 to get coupled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</si>
  <si>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1021908</t>
  </si>
  <si>
    <t>WG 1021908 entered track and got secured, OBTP started on 18:00:05 finished on 19:13:55 and then left at 19:15:41</t>
  </si>
  <si>
    <t>1021909</t>
  </si>
  <si>
    <t>WG 1021909 entered track and got coupled to WG 1021906 then waited 2:22:58 for WG 1022205 to get coupled, OBTP started on 21:11:19 finished on 21:37:01 and then left at 21:38:08</t>
  </si>
  <si>
    <t>1021910</t>
  </si>
  <si>
    <t>OBT230125095448-Neudörfl (FunderMax)</t>
  </si>
  <si>
    <t>WG 1021910 entered track and got secured then waited 2:19:38 for WG 1022204 to get coupled then waited 10:42:26 for WG 1022505 to get coupled then waited 2:33:08 for WG 1022907 to get coupled, OBTP started on 09:37:07 finished on 10:15:11 and then left at 10:16:29</t>
  </si>
  <si>
    <t>1022001</t>
  </si>
  <si>
    <t>WG 1022001 entered track and got coupled to WG 1021801, OBTP started on 15:21:42 finished on 16:58:47 and then left at 17:00:45</t>
  </si>
  <si>
    <t>1022101</t>
  </si>
  <si>
    <t>1022201</t>
  </si>
  <si>
    <t>OBT220125203751-Pitten (Hamburger)</t>
  </si>
  <si>
    <t>WG 1022201 entered track and got secured then waited 0:07:21 for WG 1022203 to get coupled, OBTP started on 18:04:07 finished on 18:30:52 and then left at 18:32:01</t>
  </si>
  <si>
    <t>1022202</t>
  </si>
  <si>
    <t>WG 1022202 entered track and got secured then waited 0:14:35 for WG 1022207 to get coupled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</si>
  <si>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1022203</t>
  </si>
  <si>
    <t>WG 1022203 entered track and got coupled to WG 1022201, OBTP started on 18:04:07 finished on 18:30:52 and then left at 18:32:01</t>
  </si>
  <si>
    <t>1022204</t>
  </si>
  <si>
    <t>WG 1022204 entered track and got coupled to WG 1021910 then waited 10:42:26 for WG 1022505 to get coupled then waited 2:33:08 for WG 1022907 to get coupled, OBTP started on 09:37:07 finished on 10:15:11 and then left at 10:16:29</t>
  </si>
  <si>
    <t>1022205</t>
  </si>
  <si>
    <t>WG 1022205 entered track and got coupled to WG 1021909, OBTP started on 21:11:19 finished on 21:37:01 and then left at 21:38:08</t>
  </si>
  <si>
    <t>1022206</t>
  </si>
  <si>
    <t>OBT230125100554-Pitten (Hamburger)</t>
  </si>
  <si>
    <t>WG 1022206 entered track and got secured then waited 10:41:27 for cut 1022506+1022508 to get coupled then waited 2:36:54 for WG 1022910 to get coupled then waited 0:04:27 for WG 1022911 to get coupled, OBTP started on 13:16:36 finished on 14:00:50 and then left at 14:02:13</t>
  </si>
  <si>
    <t>1022207</t>
  </si>
  <si>
    <t>WG 1022207 entered track and got coupled to WG 1022202 then waited 13:00:33 for WG 1022904 to get coupled then waited 0:02:14 for WG 1022905 to get coupled then waited 7:57:19 for WG 1023505 to get coupled then waited 0:07:46 for WG 1023508 to get coupled, OBTP started on 17:43:41 finished on 18:10:25 and then left at 18:11:38</t>
  </si>
  <si>
    <t>1022208</t>
  </si>
  <si>
    <t>WG 1022208 entered track and got coupled to WG 1021901, OBTP started on 03:11:18 finished on 03:39:37 and then left at 03:40:43</t>
  </si>
  <si>
    <t>1022301</t>
  </si>
  <si>
    <t>WG 1022301 entered track and got secured, OBTP started on 04:46:26 finished on 05:17:23 and then left at 05:18:28</t>
  </si>
  <si>
    <t>1022302</t>
  </si>
  <si>
    <t>OBT230125030603-Ternitz (Schoeller-Bleckmann)</t>
  </si>
  <si>
    <t>WG 1022302 entered track and got secured, OBTP started on 06:27:50 finished on 06:54:48 and then left at 06:55:56</t>
  </si>
  <si>
    <t>1022303</t>
  </si>
  <si>
    <t>OBT230125090110-Wien Kledering</t>
  </si>
  <si>
    <t>WG 1022303 entered track and got secured then waited 5:52:03 for WG 1022801 to get coupled, OBTP started on 07:59:01 finished on 08:43:28 and then left at 08:44:38</t>
  </si>
  <si>
    <t>1022304</t>
  </si>
  <si>
    <t>OBT230125071649-Other sidings south</t>
  </si>
  <si>
    <t>WG 1022304 entered track and got secured then waited 4:06:11 for WG 1022503 to get coupled, OBTP started on 07:32:57 finished on 08:02:24 and then left at 08:03:27</t>
  </si>
  <si>
    <t>1022401</t>
  </si>
  <si>
    <t>WG 1022401 entered track and got secured, OBTP started on 07:13:21 finished on 07:49:28 and then left at 07:50:40</t>
  </si>
  <si>
    <t>1022501</t>
  </si>
  <si>
    <t>1022502</t>
  </si>
  <si>
    <t>OBT230125105334-Wien Kledering</t>
  </si>
  <si>
    <t>WG 1022502 entered track and got secured then waited 3:40:47 for cut 1023001+1023003+1023005 to get coupled, OBTP started on 14:46:08 finished on 16:28:05 and then left at 16:30:13</t>
  </si>
  <si>
    <t>1022503</t>
  </si>
  <si>
    <t>WG 1022503 entered track and got coupled to WG 1022304, OBTP started on 07:32:57 finished on 08:02:24 and then left at 08:03:27</t>
  </si>
  <si>
    <t>1022504</t>
  </si>
  <si>
    <t>OBT230125095729-Other sidings north</t>
  </si>
  <si>
    <t>WG 1022504 entered track and got secured then waited 2:34:49 for WG 1022906 to get coupled then waited 0:05:10 for WG 1022908 to get coupled, OBTP started on 10:11:42 finished on 10:52:57 and then left at 10:54:03</t>
  </si>
  <si>
    <t>1022505</t>
  </si>
  <si>
    <t>WG 1022505 entered track and got coupled to WG 1022204 then waited 2:33:08 for WG 1022907 to get coupled, OBTP started on 09:37:07 finished on 10:15:11 and then left at 10:16:29</t>
  </si>
  <si>
    <t>1022506</t>
  </si>
  <si>
    <t>WG 1022506 (already coupled to WG 1022508 from the inbound train) entered track and got coupled to WG 1022206 then waited 2:36:54 for WG 1022910 to get coupled then waited 0:04:27 for WG 1022911 to get coupled, OBTP started on 13:16:36 finished on 14:00:50 and then left at 14:02:13</t>
  </si>
  <si>
    <t>1022507</t>
  </si>
  <si>
    <t>1022508</t>
  </si>
  <si>
    <t>WG 1022508 (already coupled to WG 1022506 from the inbound train) entered track and got coupled to WG 1022206 then waited 2:36:54 for WG 1022910 to get coupled then waited 0:04:27 for WG 1022911 to get coupled, OBTP started on 13:16:36 finished on 14:00:50 and then left at 14:02:13</t>
  </si>
  <si>
    <t>1022601</t>
  </si>
  <si>
    <t>1022701</t>
  </si>
  <si>
    <t>1022801</t>
  </si>
  <si>
    <t>WG 1022801 entered track and got secured, OBTP started on 07:59:01 finished on 08:43:28 and then left at 08:44:38</t>
  </si>
  <si>
    <t>1022802</t>
  </si>
  <si>
    <t>OBT230125090423-St. Veit an der Glan</t>
  </si>
  <si>
    <t>WG 1022802 entered track and got secured, OBTP started on 09:04:17 finished on 09:58:58 and then left at 10:00:33</t>
  </si>
  <si>
    <t>1022901</t>
  </si>
  <si>
    <t>OBT240125031427-Wr. Neustadt (Hödlmayr)</t>
  </si>
  <si>
    <t>WG 1022901 entered track and got secured then waited 0:05:50 for WG 1022903 to get coupled then waited 7:57:32 for WG 1023504 to get coupled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</si>
  <si>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1022902</t>
  </si>
  <si>
    <t>OBT240125044723-Neudörfl (FunderMax)</t>
  </si>
  <si>
    <t>WG 1022902 entered track and got secured then waited 5:37:47 for WG 1023204 to get coupled then waited 2:30:00 for WG 1023506 to get coupled then waited 10:58:11 for WG 1023901 to get coupled, OBTP started on 04:48:32 finished on 05:18:05 and then left at 05:19:16</t>
  </si>
  <si>
    <t>1022903</t>
  </si>
  <si>
    <t>WG 1022903 entered track and got coupled to WG 1022901 then waited 7:57:32 for WG 1023504 to get coupled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</si>
  <si>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1022904</t>
  </si>
  <si>
    <t>WG 1022904 entered track and got coupled to WG 1022207 then waited 0:02:14 for WG 1022905 to get coupled then waited 7:57:19 for WG 1023505 to get coupled then waited 0:07:46 for WG 1023508 to get coupled, OBTP started on 17:43:41 finished on 18:10:25 and then left at 18:11:38</t>
  </si>
  <si>
    <t>1022905</t>
  </si>
  <si>
    <t>WG 1022905 entered track and got coupled to WG 1022904 then waited 7:57:19 for WG 1023505 to get coupled then waited 0:07:46 for WG 1023508 to get coupled, OBTP started on 17:43:41 finished on 18:10:25 and then left at 18:11:38</t>
  </si>
  <si>
    <t>1022906</t>
  </si>
  <si>
    <t>WG 1022906 entered track and got coupled to WG 1022504 then waited 0:05:10 for WG 1022908 to get coupled, OBTP started on 10:11:42 finished on 10:52:57 and then left at 10:54:03</t>
  </si>
  <si>
    <t>1022907</t>
  </si>
  <si>
    <t>WG 1022907 entered track and got coupled to WG 1022505, OBTP started on 09:37:07 finished on 10:15:11 and then left at 10:16:29</t>
  </si>
  <si>
    <t>1022908</t>
  </si>
  <si>
    <t>WG 1022908 entered track and got coupled to WG 1022906, OBTP started on 10:11:42 finished on 10:52:57 and then left at 10:54:03</t>
  </si>
  <si>
    <t>1022909</t>
  </si>
  <si>
    <t>OBT240125093343-Pitten (Hamburger)</t>
  </si>
  <si>
    <t>WG 1022909 entered track and got secured then waited 7:54:44 for WG 1023507 to get coupled then waited 15:41:07 for WG 1024503 to get coupled, OBTP started on 08:09:06 finished on 08:53:42 and then left at 08:55:01</t>
  </si>
  <si>
    <t>1022910</t>
  </si>
  <si>
    <t>WG 1022910 entered track and got secured then waited 0:04:27 for WG 1022911 to get coupled, OBTP started on 13:16:36 finished on 14:00:50 and then left at 14:02:13</t>
  </si>
  <si>
    <t>1022911</t>
  </si>
  <si>
    <t>WG 1022911 entered track and got coupled to WG 1022910, OBTP started on 13:16:36 finished on 14:00:50 and then left at 14:02:13</t>
  </si>
  <si>
    <t>1022912</t>
  </si>
  <si>
    <t>1023001</t>
  </si>
  <si>
    <t>WG 1023001 (already coupled to WG 1023003, WG 1023005 from the inbound train) entered track and got secured, OBTP started on 14:46:08 finished on 16:28:05 and then left at 16:30:13</t>
  </si>
  <si>
    <t>1023002</t>
  </si>
  <si>
    <t>1023003</t>
  </si>
  <si>
    <t>WG 1023003 (already coupled to WG 1023001, WG 1023005 from the inbound train) entered track and got secured, OBTP started on 14:46:08 finished on 16:28:05 and then left at 16:30:13</t>
  </si>
  <si>
    <t>1023004</t>
  </si>
  <si>
    <t>1023005</t>
  </si>
  <si>
    <t>WG 1023005 (already coupled to WG 1023001, WG 1023003 from the inbound train) entered track and got secured, OBTP started on 14:46:08 finished on 16:28:05 and then left at 16:30:13</t>
  </si>
  <si>
    <t>1023101</t>
  </si>
  <si>
    <t>OBT230125144630-Wien Kledering</t>
  </si>
  <si>
    <t>WG 1023101 entered track and got secured, OBTP started on 15:37:01 finished on 17:16:09 and then left at 17:18:10</t>
  </si>
  <si>
    <t>1023201</t>
  </si>
  <si>
    <t>OBT230125174306-Other sidings north</t>
  </si>
  <si>
    <t>WG 1023201 entered track and got secured then waited 0:07:44 for WG 1023203 to get coupled then waited 0:05:20 for WG 1023205 to get coupled then waited 2:21:06 for WG 1023503 to get coupled, OBTP started on 15:42:27 finished on 16:14:59 and then left at 16:15:58</t>
  </si>
  <si>
    <t>1023202</t>
  </si>
  <si>
    <t>OBT240125174924-Wien Kledering</t>
  </si>
  <si>
    <t>WG 1023202 entered track and got secured then waited 12:00:19 for WG 1023804 to get coupled then waited 4:37:31 for WG 1024202 to get coupled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</si>
  <si>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1023203</t>
  </si>
  <si>
    <t>WG 1023203 entered track and got coupled to WG 1023201 then waited 0:05:20 for WG 1023205 to get coupled then waited 2:21:06 for WG 1023503 to get coupled, OBTP started on 15:42:27 finished on 16:14:59 and then left at 16:15:58</t>
  </si>
  <si>
    <t>1023204</t>
  </si>
  <si>
    <t>WG 1023204 entered track and got coupled to WG 1022902 then waited 2:30:00 for WG 1023506 to get coupled then waited 10:58:11 for WG 1023901 to get coupled, OBTP started on 04:48:32 finished on 05:18:05 and then left at 05:19:16</t>
  </si>
  <si>
    <t>1023205</t>
  </si>
  <si>
    <t>WG 1023205 entered track and got coupled to WG 1023203 then waited 2:21:06 for WG 1023503 to get coupled, OBTP started on 15:42:27 finished on 16:14:59 and then left at 16:15:58</t>
  </si>
  <si>
    <t>1023206</t>
  </si>
  <si>
    <t>OBT240125090519-Wien Kledering</t>
  </si>
  <si>
    <t>WG 1023206 entered track and got secured then waited 2:17:51 for WG 1023502 to get coupled then waited 9:23:57 for WG 1023801 to get coupled then waited 6:01:03 for WG 1024402 to get coupled, OBTP started on 07:48:44 finished on 08:16:35 and then left at 08:17:31</t>
  </si>
  <si>
    <t>1023207</t>
  </si>
  <si>
    <t>1023208</t>
  </si>
  <si>
    <t>1023209</t>
  </si>
  <si>
    <t>1023301</t>
  </si>
  <si>
    <t>1023401</t>
  </si>
  <si>
    <t>1023402</t>
  </si>
  <si>
    <t>1023501</t>
  </si>
  <si>
    <t>OBT240125030555-Neunkirchen (loading tracks)</t>
  </si>
  <si>
    <t>WG 1023501 entered track and got secured then waited 9:30:36 for WG 1023802 to get coupled, OBTP started on 18:15:16 finished on 18:56:27 and then left at 18:57:47</t>
  </si>
  <si>
    <t>1023502</t>
  </si>
  <si>
    <t>WG 1023502 entered track and got coupled to WG 1023206 then waited 9:23:57 for WG 1023801 to get coupled then waited 6:01:03 for WG 1024402 to get coupled, OBTP started on 07:48:44 finished on 08:16:35 and then left at 08:17:31</t>
  </si>
  <si>
    <t>1023503</t>
  </si>
  <si>
    <t>WG 1023503 entered track and got coupled to WG 1023205, OBTP started on 15:42:27 finished on 16:14:59 and then left at 16:15:58</t>
  </si>
  <si>
    <t>1023504</t>
  </si>
  <si>
    <t>WG 1023504 entered track and got secured then waited 0:13:46 for WG 1023509 to get coupled then waited 0:06:36 for WG 1023512 to get coupled then waited 9:07:05 for WG 1023803 to get coupled then waited 0:04:39 for WG 1023805 to get coupled, OBTP started on 03:05:01 finished on 03:40:57 and then left at 03:42:06</t>
  </si>
  <si>
    <t>1023505</t>
  </si>
  <si>
    <t>WG 1023505 entered track and got coupled to WG 1022905 then waited 0:07:46 for WG 1023508 to get coupled, OBTP started on 17:43:41 finished on 18:10:25 and then left at 18:11:38</t>
  </si>
  <si>
    <t>1023506</t>
  </si>
  <si>
    <t>WG 1023506 entered track and got coupled to WG 1023204 then waited 10:58:11 for WG 1023901 to get coupled, OBTP started on 04:48:32 finished on 05:18:05 and then left at 05:19:16</t>
  </si>
  <si>
    <t>1023507</t>
  </si>
  <si>
    <t>WG 1023507 entered track and got coupled to WG 1022909 then waited 15:41:07 for WG 1024503 to get coupled, OBTP started on 08:09:06 finished on 08:53:42 and then left at 08:55:01</t>
  </si>
  <si>
    <t>1023508</t>
  </si>
  <si>
    <t>WG 1023508 entered track and got coupled to WG 1023505, OBTP started on 17:43:41 finished on 18:10:25 and then left at 18:11:38</t>
  </si>
  <si>
    <t>1023509</t>
  </si>
  <si>
    <t>WG 1023509 entered track and got coupled to WG 1023504 then waited 0:06:36 for WG 1023512 to get coupled then waited 9:07:05 for WG 1023803 to get coupled then waited 0:04:39 for WG 1023805 to get coupled, OBTP started on 03:05:01 finished on 03:40:57 and then left at 03:42:06</t>
  </si>
  <si>
    <t>1023510</t>
  </si>
  <si>
    <t>OBT240125152920-Pitten (Hamburger)</t>
  </si>
  <si>
    <t>WG 1023510 entered track and got secured then waited 21:32:09 for WG 1024904 to get coupled, OBTP started on 12:57:27 finished on 13:22:56 and then left at 13:23:50</t>
  </si>
  <si>
    <t>1023511</t>
  </si>
  <si>
    <t>OBT230125175919-Pitten (Hamburger)</t>
  </si>
  <si>
    <t>WG 1023511 entered track and got secured, OBTP started on 17:48:27 finished on 18:17:52 and then left at 18:18:52</t>
  </si>
  <si>
    <t>1023512</t>
  </si>
  <si>
    <t>WG 1023512 entered track and got coupled to WG 1023509 then waited 9:07:05 for WG 1023803 to get coupled then waited 0:04:39 for WG 1023805 to get coupled, OBTP started on 03:05:01 finished on 03:40:57 and then left at 03:42:06</t>
  </si>
  <si>
    <t>1023601</t>
  </si>
  <si>
    <t>OBT230125211356-Wien Kledering</t>
  </si>
  <si>
    <t>WG 1023601 entered track and got secured then waited 3:08:54 for WG 1023701 to get coupled, OBTP started on 02:10:14 finished on 02:45:17 and then left at 02:46:31</t>
  </si>
  <si>
    <t>1023701</t>
  </si>
  <si>
    <t>WG 1023701 entered track and got coupled to WG 1023601, OBTP started on 02:10:14 finished on 02:45:17 and then left at 02:46:31</t>
  </si>
  <si>
    <t>1023801</t>
  </si>
  <si>
    <t>WG 1023801 entered track and got coupled to WG 1023502 then waited 6:01:03 for WG 1024402 to get coupled, OBTP started on 07:48:44 finished on 08:16:35 and then left at 08:17:31</t>
  </si>
  <si>
    <t>1023802</t>
  </si>
  <si>
    <t>WG 1023802 entered track and got secured, OBTP started on 18:15:16 finished on 18:56:27 and then left at 18:57:47</t>
  </si>
  <si>
    <t>1023803</t>
  </si>
  <si>
    <t>WG 1023803 entered track and got coupled to WG 1023512 then waited 0:04:39 for WG 1023805 to get coupled, OBTP started on 03:05:01 finished on 03:40:57 and then left at 03:42:06</t>
  </si>
  <si>
    <t>1023804</t>
  </si>
  <si>
    <t>WG 1023804 entered track and got coupled to WG 1023202 then waited 4:37:31 for WG 1024202 to get coupled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</si>
  <si>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1023805</t>
  </si>
  <si>
    <t>WG 1023805 entered track and got coupled to WG 1023803, OBTP started on 03:05:01 finished on 03:40:57 and then left at 03:42:06</t>
  </si>
  <si>
    <t>1023901</t>
  </si>
  <si>
    <t>WG 1023901 entered track and got secured, OBTP started on 04:48:32 finished on 05:18:05 and then left at 05:19:16</t>
  </si>
  <si>
    <t>1024001</t>
  </si>
  <si>
    <t>OBT240125062847-Wien Kledering</t>
  </si>
  <si>
    <t>WG 1024001 entered track and got secured, OBTP started on 06:52:07 finished on 08:06:22 and then left at 08:08:02</t>
  </si>
  <si>
    <t>1024101</t>
  </si>
  <si>
    <t>OBT240125071418-Wien Kledering</t>
  </si>
  <si>
    <t>WG 1024101 entered track and got secured, OBTP started on 07:45:37 finished on 08:45:43 and then left at 08:47:15</t>
  </si>
  <si>
    <t>1024201</t>
  </si>
  <si>
    <t>OBT240125101450-St. Veit an der Glan</t>
  </si>
  <si>
    <t>WG 1024201 entered track and got secured then waited 0:06:49 for WG 1024206 to get coupled then waited 1:08:02 for WG 1024401 to get coupled then waited 0:28:03 for WG 1024501 to get coupled then waited 0:07:32 for WG 1024505 to get coupled then waited 0:37:19 for WG 1024601 to get coupled, OBTP started on 08:45:54 finished on 09:20:44 and then left at 09:21:52</t>
  </si>
  <si>
    <t>1024202</t>
  </si>
  <si>
    <t>WG 1024202 entered track and got secured then waited 0:07:01 for WG 1024208 to get coupled then waited 7:32:10 for WG 1024903 to get coupled then waited 0:08:05 for WG 1024906 to get coupled then waited 2:12:30 for WG 1025101 to get coupled, OBTP started on 15:38:45 finished on 16:36:51 and then left at 16:38:24</t>
  </si>
  <si>
    <t>1024203</t>
  </si>
  <si>
    <t>1024204</t>
  </si>
  <si>
    <t>1024205</t>
  </si>
  <si>
    <t>1024206</t>
  </si>
  <si>
    <t>WG 1024206 entered track and got coupled to WG 1024201 then waited 1:08:02 for WG 1024401 to get coupled then waited 0:28:03 for WG 1024501 to get coupled then waited 0:07:32 for WG 1024505 to get coupled then waited 0:37:19 for WG 1024601 to get coupled, OBTP started on 08:45:54 finished on 09:20:44 and then left at 09:21:52</t>
  </si>
  <si>
    <t>1024207</t>
  </si>
  <si>
    <t>1024208</t>
  </si>
  <si>
    <t>WG 1024208 entered track and got coupled to WG 1024202 then waited 7:32:10 for WG 1024903 to get coupled then waited 0:08:05 for WG 1024906 to get coupled then waited 2:12:30 for WG 1025101 to get coupled, OBTP started on 15:38:45 finished on 16:36:51 and then left at 16:38:24</t>
  </si>
  <si>
    <t>1024209</t>
  </si>
  <si>
    <t>1024210</t>
  </si>
  <si>
    <t>OBT270125065248-Wien Kledering</t>
  </si>
  <si>
    <t>WG 1024210 entered track and got secured then waited 1:35:47 for WG 1024502 to get coupled then waited 6:07:30 for WG 1024908 to get coupled then waited 63:12:51 for WG 1025701 to get coupled, OBTP started on 07:49:00 finished on 09:00:12 and then left at 09:01:56</t>
  </si>
  <si>
    <t>1024211</t>
  </si>
  <si>
    <t>1024212</t>
  </si>
  <si>
    <t>1024213</t>
  </si>
  <si>
    <t>OBT260125181754-Neudörfl (FunderMax)</t>
  </si>
  <si>
    <t>WG 1024213 entered track and got secured then waited 18:08:24 for WG 1025302 to get coupled then waited 40:04:43 for WG 1025401 to get coupled then waited 0:05:27 for WG 1025403 to get coupled, OBTP started on 21:17:34 finished on 21:52:04 and then left at 21:53:24</t>
  </si>
  <si>
    <t>1024301</t>
  </si>
  <si>
    <t>1024401</t>
  </si>
  <si>
    <t>WG 1024401 entered track and got secured then waited 0:28:03 for WG 1024501 to get coupled then waited 0:07:32 for WG 1024505 to get coupled then waited 0:37:19 for WG 1024601 to get coupled, OBTP started on 08:45:54 finished on 09:20:44 and then left at 09:21:52</t>
  </si>
  <si>
    <t>1024402</t>
  </si>
  <si>
    <t>WG 1024402 entered track and got secured, OBTP started on 07:48:44 finished on 08:16:35 and then left at 08:17:31</t>
  </si>
  <si>
    <t>1024501</t>
  </si>
  <si>
    <t>WG 1024501 entered track and got coupled to WG 1024401 then waited 0:07:32 for WG 1024505 to get coupled then waited 0:37:19 for WG 1024601 to get coupled, OBTP started on 08:45:54 finished on 09:20:44 and then left at 09:21:52</t>
  </si>
  <si>
    <t>1024502</t>
  </si>
  <si>
    <t>WG 1024502 entered track and got coupled to WG 1024210 then waited 6:07:30 for WG 1024908 to get coupled then waited 63:12:51 for WG 1025701 to get coupled, OBTP started on 07:49:00 finished on 09:00:12 and then left at 09:01:56</t>
  </si>
  <si>
    <t>1024503</t>
  </si>
  <si>
    <t>WG 1024503 entered track and got secured, OBTP started on 08:09:06 finished on 08:53:42 and then left at 08:55:01</t>
  </si>
  <si>
    <t>1024504</t>
  </si>
  <si>
    <t>1024505</t>
  </si>
  <si>
    <t>WG 1024505 entered track and got coupled to WG 1024501 then waited 0:37:19 for WG 1024601 to get coupled, OBTP started on 08:45:54 finished on 09:20:44 and then left at 09:21:52</t>
  </si>
  <si>
    <t>1024506</t>
  </si>
  <si>
    <t>1024507</t>
  </si>
  <si>
    <t>OBT270125092111-Pitten (Hamburger)</t>
  </si>
  <si>
    <t>WG 1024507 entered track and got secured then waited 5:56:34 for WG 1024905 to get coupled then waited 59:25:30 for WG 1025501 to get coupled then waited 6:16:39 for WG 1026105 to get coupled then waited 0:04:27 for WG 1026108 to get coupled, OBTP started on 08:03:50 finished on 08:52:34 and then left at 08:53:46</t>
  </si>
  <si>
    <t>1024508</t>
  </si>
  <si>
    <t>1024601</t>
  </si>
  <si>
    <t>WG 1024601 entered track and got coupled to WG 1024505, OBTP started on 08:45:54 finished on 09:20:44 and then left at 09:21:52</t>
  </si>
  <si>
    <t>1024602</t>
  </si>
  <si>
    <t>1024701</t>
  </si>
  <si>
    <t>OBT240125131735-Wien Kledering</t>
  </si>
  <si>
    <t>WG 1024701 entered track and got secured, OBTP started on 09:25:20 finished on 10:09:43 and then left at 10:11:10</t>
  </si>
  <si>
    <t>1024801</t>
  </si>
  <si>
    <t>OBT240125144703-Wien Kledering</t>
  </si>
  <si>
    <t>WG 1024801 entered track and got secured, OBTP started on 10:53:19 finished on 12:07:20 and then left at 12:09:07</t>
  </si>
  <si>
    <t>1024901</t>
  </si>
  <si>
    <t>OBT270125030450-Neunkirchen (loading tracks)</t>
  </si>
  <si>
    <t>WG 1024901 entered track and got secured then waited 59:42:53 for WG 1025503 to get coupled, OBTP started on 03:15:09 finished on 04:11:32 and then left at 04:13:04</t>
  </si>
  <si>
    <t>1024902</t>
  </si>
  <si>
    <t>OBT270125044934-Neudörfl (FunderMax)</t>
  </si>
  <si>
    <t>WG 1024902 entered track and got secured then waited 61:26:06 for WG 1025601 to get coupled, OBTP started on 06:46:47 finished on 08:01:20 and then left at 08:03:00</t>
  </si>
  <si>
    <t>1024903</t>
  </si>
  <si>
    <t>WG 1024903 entered track and got coupled to WG 1024208 then waited 0:08:05 for WG 1024906 to get coupled then waited 2:12:30 for WG 1025101 to get coupled, OBTP started on 15:38:45 finished on 16:36:51 and then left at 16:38:24</t>
  </si>
  <si>
    <t>1024904</t>
  </si>
  <si>
    <t>WG 1024904 entered track and got secured, OBTP started on 12:57:27 finished on 13:22:56 and then left at 13:23:50</t>
  </si>
  <si>
    <t>1024905</t>
  </si>
  <si>
    <t>WG 1024905 entered track and got coupled to WG 1024507 then waited 59:25:30 for WG 1025501 to get coupled then waited 6:16:39 for WG 1026105 to get coupled then waited 0:04:27 for WG 1026108 to get coupled, OBTP started on 08:03:50 finished on 08:52:34 and then left at 08:53:46</t>
  </si>
  <si>
    <t>1024906</t>
  </si>
  <si>
    <t>WG 1024906 entered track and got coupled to WG 1024903 then waited 2:12:30 for WG 1025101 to get coupled, OBTP started on 15:38:45 finished on 16:36:51 and then left at 16:38:24</t>
  </si>
  <si>
    <t>1024907</t>
  </si>
  <si>
    <t>1024908</t>
  </si>
  <si>
    <t>WG 1024908 entered track and got coupled to WG 1024502 then waited 63:12:51 for WG 1025701 to get coupled, OBTP started on 07:49:00 finished on 09:00:12 and then left at 09:01:56</t>
  </si>
  <si>
    <t>1024909</t>
  </si>
  <si>
    <t>1025001</t>
  </si>
  <si>
    <t>1025101</t>
  </si>
  <si>
    <t>WG 1025101 entered track and got secured, OBTP started on 15:38:45 finished on 16:36:51 and then left at 16:38:24</t>
  </si>
  <si>
    <t>1025201</t>
  </si>
  <si>
    <t>OBT240125174436-Wien Kledering</t>
  </si>
  <si>
    <t>WG 1025201 entered track and got secured, OBTP started on 14:40:11 finished on 15:13:51 and then left at 15:15:00</t>
  </si>
  <si>
    <t>1025301</t>
  </si>
  <si>
    <t>OBT250125020542-Pitten (Hamburger)</t>
  </si>
  <si>
    <t>WG 1025301 entered track and got secured, OBTP started on 16:18:19 finished on 17:55:35 and then left at 17:57:29</t>
  </si>
  <si>
    <t>1025302</t>
  </si>
  <si>
    <t>WG 1025302 entered track and got secured then waited 40:04:43 for WG 1025401 to get coupled then waited 0:05:27 for WG 1025403 to get coupled, OBTP started on 21:17:34 finished on 21:52:04 and then left at 21:53:24</t>
  </si>
  <si>
    <t>1025303</t>
  </si>
  <si>
    <t>OBT250125021114-Pitten (Hamburger)</t>
  </si>
  <si>
    <t>WG 1025303 entered track and got secured, OBTP started on 17:47:41 finished on 18:26:40 and then left at 18:27:44</t>
  </si>
  <si>
    <t>1025401</t>
  </si>
  <si>
    <t>WG 1025401 entered track and got coupled to WG 1025302 then waited 0:05:27 for WG 1025403 to get coupled, OBTP started on 21:17:34 finished on 21:52:04 and then left at 21:53:24</t>
  </si>
  <si>
    <t>1025402</t>
  </si>
  <si>
    <t>OBT260125181348-Pitten (Hamburger)</t>
  </si>
  <si>
    <t>WG 1025402 entered track and got secured, OBTP started on 18:08:00 finished on 20:02:53 and then left at 20:05:11</t>
  </si>
  <si>
    <t>1025403</t>
  </si>
  <si>
    <t>WG 1025403 entered track and got coupled to WG 1025401, OBTP started on 21:17:34 finished on 21:52:04 and then left at 21:53:24</t>
  </si>
  <si>
    <t>1025501</t>
  </si>
  <si>
    <t>WG 1025501 entered track and got coupled to WG 1024905 then waited 6:16:39 for WG 1026105 to get coupled then waited 0:04:27 for WG 1026108 to get coupled, OBTP started on 08:03:50 finished on 08:52:34 and then left at 08:53:46</t>
  </si>
  <si>
    <t>1025502</t>
  </si>
  <si>
    <t>OBT270125144049-Wien Kledering</t>
  </si>
  <si>
    <t>WG 1025502 entered track and got secured then waited 4:42:21 for WG 1025802 to get coupled then waited 1:32:04 for WG 1026104 to get coupled then waited 5:25:38 for WG 1026501 to get coupled, OBTP started on 10:55:47 finished on 12:31:11 and then left at 12:33:14</t>
  </si>
  <si>
    <t>1025503</t>
  </si>
  <si>
    <t>WG 1025503 entered track and got coupled to WG 1024901, OBTP started on 03:15:09 finished on 04:11:32 and then left at 04:13:04</t>
  </si>
  <si>
    <t>1025504</t>
  </si>
  <si>
    <t>OBT280125031334-St. Veit an der Glan</t>
  </si>
  <si>
    <t>WG 1025504 entered track and got secured then waited 6:21:58 for WG 1026112 to get coupled then waited 8:39:07 for WG 1026902 to get coupled then waited 9:06:29 for WG 1027101 to get coupled, OBTP started on 03:12:16 finished on 03:39:18 and then left at 03:40:26</t>
  </si>
  <si>
    <t>1025601</t>
  </si>
  <si>
    <t>WG 1025601 entered track and got secured, OBTP started on 06:46:47 finished on 08:01:20 and then left at 08:03:00</t>
  </si>
  <si>
    <t>1025701</t>
  </si>
  <si>
    <t>WG 1025701 entered track and got secured, OBTP started on 07:49:00 finished on 09:00:12 and then left at 09:01:56</t>
  </si>
  <si>
    <t>1025801</t>
  </si>
  <si>
    <t>OBT270125105122-Wien Kledering</t>
  </si>
  <si>
    <t>WG 1025801 entered track and got secured then waited 1:28:15 for WG 1026101 to get coupled then waited 0:06:26 for WG 1026103 to get coupled then waited 0:12:44 for WG 1026110 to get coupled then waited 1:26:12 for WG 1026301 to get coupled, OBTP started on 09:26:34 finished on 11:05:13 and then left at 11:07:12</t>
  </si>
  <si>
    <t>1025802</t>
  </si>
  <si>
    <t>WG 1025802 entered track and got coupled to WG 1025502 then waited 1:32:04 for WG 1026104 to get coupled then waited 5:25:38 for WG 1026501 to get coupled, OBTP started on 10:55:47 finished on 12:31:11 and then left at 12:33:14</t>
  </si>
  <si>
    <t>1025803</t>
  </si>
  <si>
    <t>1025804</t>
  </si>
  <si>
    <t>1025805</t>
  </si>
  <si>
    <t>OBT270125074356-Other sidings local</t>
  </si>
  <si>
    <t>WG 1025805 entered track and got secured, OBTP started on 07:54:38 finished on 08:21:22 and then left at 08:22:16</t>
  </si>
  <si>
    <t>1025806</t>
  </si>
  <si>
    <t>OBT280125064741-Wien Kledering</t>
  </si>
  <si>
    <t>WG 1025806 entered track and got secured then waited 1:37:41 for WG 1026109 to get coupled then waited 21:23:44 for WG 1027201 to get coupled, OBTP started on 04:32:19 finished on 05:46:34 and then left at 05:48:24</t>
  </si>
  <si>
    <t>1025807</t>
  </si>
  <si>
    <t>1025808</t>
  </si>
  <si>
    <t>1025901</t>
  </si>
  <si>
    <t>1026001</t>
  </si>
  <si>
    <t>1026101</t>
  </si>
  <si>
    <t>WG 1026101 entered track and got secured then waited 0:06:26 for WG 1026103 to get coupled then waited 0:12:44 for WG 1026110 to get coupled then waited 1:26:12 for WG 1026301 to get coupled, OBTP started on 09:26:34 finished on 11:05:13 and then left at 11:07:12</t>
  </si>
  <si>
    <t>1026102</t>
  </si>
  <si>
    <t>OBT270125180405-Wien Kledering</t>
  </si>
  <si>
    <t>WG 1026102 entered track and got secured then waited 8:55:03 for WG 1026901 to get coupled, OBTP started on 15:40:49 finished on 16:58:28 and then left at 17:00:03</t>
  </si>
  <si>
    <t>1026103</t>
  </si>
  <si>
    <t>WG 1026103 entered track and got coupled to WG 1026101 then waited 0:12:44 for WG 1026110 to get coupled then waited 1:26:12 for WG 1026301 to get coupled, OBTP started on 09:26:34 finished on 11:05:13 and then left at 11:07:12</t>
  </si>
  <si>
    <t>1026104</t>
  </si>
  <si>
    <t>WG 1026104 entered track and got coupled to WG 1025802 then waited 5:25:38 for WG 1026501 to get coupled, OBTP started on 10:55:47 finished on 12:31:11 and then left at 12:33:14</t>
  </si>
  <si>
    <t>1026105</t>
  </si>
  <si>
    <t>WG 1026105 entered track and got secured then waited 0:04:27 for WG 1026108 to get coupled, OBTP started on 08:03:50 finished on 08:52:34 and then left at 08:53:46</t>
  </si>
  <si>
    <t>1026106</t>
  </si>
  <si>
    <t>1026107</t>
  </si>
  <si>
    <t>1026108</t>
  </si>
  <si>
    <t>WG 1026108 entered track and got coupled to WG 1026105, OBTP started on 08:03:50 finished on 08:52:34 and then left at 08:53:46</t>
  </si>
  <si>
    <t>1026109</t>
  </si>
  <si>
    <t>WG 1026109 entered track and got coupled to WG 1025806 then waited 21:23:44 for WG 1027201 to get coupled, OBTP started on 04:32:19 finished on 05:46:34 and then left at 05:48:24</t>
  </si>
  <si>
    <t>1026110</t>
  </si>
  <si>
    <t>WG 1026110 entered track and got coupled to WG 1026103 then waited 1:26:12 for WG 1026301 to get coupled, OBTP started on 09:26:34 finished on 11:05:13 and then left at 11:07:12</t>
  </si>
  <si>
    <t>1026111</t>
  </si>
  <si>
    <t>1026112</t>
  </si>
  <si>
    <t>WG 1026112 entered track and got coupled to WG 1025504 then waited 8:39:07 for WG 1026902 to get coupled then waited 9:06:29 for WG 1027101 to get coupled, OBTP started on 03:12:16 finished on 03:39:18 and then left at 03:40:26</t>
  </si>
  <si>
    <t>1026201</t>
  </si>
  <si>
    <t>1026202</t>
  </si>
  <si>
    <t>1026301</t>
  </si>
  <si>
    <t>WG 1026301 entered track and got secured, OBTP started on 09:26:34 finished on 11:05:13 and then left at 11:07:12</t>
  </si>
  <si>
    <t>1026302</t>
  </si>
  <si>
    <t>OBT270125161730-St. Veit an der Glan</t>
  </si>
  <si>
    <t>WG 1026302 entered track and got secured then waited 5:23:09 for WG 1026701 to get coupled, OBTP started on 13:12:20 finished on 13:41:53 and then left at 13:43:00</t>
  </si>
  <si>
    <t>1026401</t>
  </si>
  <si>
    <t>OBT270125125831-Wien Kledering</t>
  </si>
  <si>
    <t>WG 1026401 entered track and got secured, OBTP started on 09:55:45 finished on 10:48:47 and then left at 10:50:21</t>
  </si>
  <si>
    <t>1026501</t>
  </si>
  <si>
    <t>WG 1026501 entered track and got secured, OBTP started on 10:55:47 finished on 12:31:11 and then left at 12:33:14</t>
  </si>
  <si>
    <t>1026601</t>
  </si>
  <si>
    <t>OBT270125162126-Wien Kledering</t>
  </si>
  <si>
    <t>WG 1026601 entered track and got secured then waited 0:42:03 for WG 1026702 to get coupled, OBTP started on 14:35:08 finished on 15:55:31 and then left at 15:57:20</t>
  </si>
  <si>
    <t>1026701</t>
  </si>
  <si>
    <t>WG 1026701 entered track and got coupled to WG 1026302, OBTP started on 13:12:20 finished on 13:41:53 and then left at 13:43:00</t>
  </si>
  <si>
    <t>1026702</t>
  </si>
  <si>
    <t>WG 1026702 entered track and got coupled to WG 1026601, OBTP started on 14:35:08 finished on 15:55:31 and then left at 15:57:20</t>
  </si>
  <si>
    <t>1026801</t>
  </si>
  <si>
    <t>OBT270125174840-Wien Kledering</t>
  </si>
  <si>
    <t>WG 1026801 entered track and got secured, OBTP started on 15:12:55 finished on 16:11:01 and then left at 16:12:29</t>
  </si>
  <si>
    <t>1026901</t>
  </si>
  <si>
    <t>WG 1026901 entered track and got secured, OBTP started on 15:40:49 finished on 16:58:28 and then left at 17:00:03</t>
  </si>
  <si>
    <t>1026902</t>
  </si>
  <si>
    <t>WG 1026902 entered track and got secured then waited 9:06:29 for WG 1027101 to get coupled, OBTP started on 03:12:16 finished on 03:39:18 and then left at 03:40:26</t>
  </si>
  <si>
    <t>1026903</t>
  </si>
  <si>
    <t>OBT270125212041-Wien Kledering</t>
  </si>
  <si>
    <t>WG 1026903 entered track and got secured then waited 3:11:41 for WG 1027001 to get coupled, OBTP started on 19:45:18 finished on 21:37:28 and then left at 21:39:35</t>
  </si>
  <si>
    <t>1027001</t>
  </si>
  <si>
    <t>WG 1027001 entered track and got coupled to WG 1026903, OBTP started on 19:45:18 finished on 21:37:28 and then left at 21:39:35</t>
  </si>
  <si>
    <t>1027101</t>
  </si>
  <si>
    <t>WG 1027101 entered track and got coupled to WG 1026902, OBTP started on 03:12:16 finished on 03:39:18 and then left at 03:40:26</t>
  </si>
  <si>
    <t>1027102</t>
  </si>
  <si>
    <t>OBT280125031301-Neunkirchen (loading tracks)</t>
  </si>
  <si>
    <t>WG 1027102 entered track and got secured, OBTP started on 21:17:47 finished on 21:43:12 and then left at 21:44:13</t>
  </si>
  <si>
    <t>1027103</t>
  </si>
  <si>
    <t>OBT290125093729-Other sidings south</t>
  </si>
  <si>
    <t>WG 1027103 entered track and got secured then waited 6:28:19 for WG 1027606 to get coupled then waited 0:11:40 for WG 1027612 to get coupled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</si>
  <si>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1027201</t>
  </si>
  <si>
    <t>WG 1027201 entered track and got secured, OBTP started on 04:32:19 finished on 05:46:34 and then left at 05:48:24</t>
  </si>
  <si>
    <t>1027301</t>
  </si>
  <si>
    <t>OBT280125095318-Wr. Neustadt (Hödlmayr)</t>
  </si>
  <si>
    <t>WG 1027301 entered track and got secured then waited 0:03:26 for WG 1027302 to get coupled then waited 1:48:43 for WG 1027601 to get coupled then waited 0:06:04 for WG 1027603 to get coupled then waited 0:12:25 for WG 1027608 to get coupled then waited 0:04:20 for WG 1027611 to get coupled, OBTP started on 07:43:51 finished on 08:11:30 and then left at 08:12:32</t>
  </si>
  <si>
    <t>1027302</t>
  </si>
  <si>
    <t>WG 1027302 entered track and got coupled to WG 1027301 then waited 1:48:43 for WG 1027601 to get coupled then waited 0:06:04 for WG 1027603 to get coupled then waited 0:12:25 for WG 1027608 to get coupled then waited 0:04:20 for WG 1027611 to get coupled, OBTP started on 07:43:51 finished on 08:11:30 and then left at 08:12:32</t>
  </si>
  <si>
    <t>1027303</t>
  </si>
  <si>
    <t>OBT280125095752-Neudörfl (FunderMax)</t>
  </si>
  <si>
    <t>WG 1027303 entered track and got secured then waited 2:15:33 for WG 1027614 to get coupled, OBTP started on 08:35:54 finished on 09:05:43 and then left at 09:06:54</t>
  </si>
  <si>
    <t>1027304</t>
  </si>
  <si>
    <t>OBT300125081010-Wr. Neustadt (Brenntag)</t>
  </si>
  <si>
    <t>WG 1027304 entered track and got secured then waited 1:57:29 for WG 1027605 to get coupled then waited 23:57:36 for WG 1029102 to get coupled then waited 5:53:36 for WG 1029503 to get coupled then waited 2:41:35 for WG 1029802 to get coupled then waited 13:55:43 for WG 1030310 to get coupled, OBTP started on 07:13:24 finished on 07:48:24 and then left at 07:49:40</t>
  </si>
  <si>
    <t>1027305</t>
  </si>
  <si>
    <t>OBT280125075210-Pitten (Hamburger)</t>
  </si>
  <si>
    <t>WG 1027305 entered track and got secured then waited 0:04:55 for WG 1027307 to get coupled, OBTP started on 06:32:09 finished on 07:00:57 and then left at 07:01:53</t>
  </si>
  <si>
    <t>1027306</t>
  </si>
  <si>
    <t>1027307</t>
  </si>
  <si>
    <t>WG 1027307 entered track and got coupled to WG 1027305, OBTP started on 06:32:09 finished on 07:00:57 and then left at 07:01:53</t>
  </si>
  <si>
    <t>1027401</t>
  </si>
  <si>
    <t>1027501</t>
  </si>
  <si>
    <t>1027601</t>
  </si>
  <si>
    <t>WG 1027601 entered track and got secured then waited 0:06:04 for WG 1027603 to get coupled then waited 0:12:25 for WG 1027608 to get coupled then waited 0:04:20 for WG 1027611 to get coupled, OBTP started on 07:43:51 finished on 08:11:30 and then left at 08:12:32</t>
  </si>
  <si>
    <t>1027602</t>
  </si>
  <si>
    <t>OBT280125105241-Wien Kledering</t>
  </si>
  <si>
    <t>WG 1027602 entered track and got coupled to WG 1027701 then waited 1:17:14 for WG 1027801 to get coupled, OBTP started on 09:49:05 finished on 10:37:44 and then left at 10:38:57</t>
  </si>
  <si>
    <t>1027603</t>
  </si>
  <si>
    <t>WG 1027603 entered track and got coupled to WG 1027601 then waited 0:12:25 for WG 1027608 to get coupled then waited 0:04:20 for WG 1027611 to get coupled, OBTP started on 07:43:51 finished on 08:11:30 and then left at 08:12:32</t>
  </si>
  <si>
    <t>1027604</t>
  </si>
  <si>
    <t>OBT290125073710-Wien Kledering</t>
  </si>
  <si>
    <t>WG 1027604 entered track and got secured then waited 1:18:24 for WG 1027802 to get coupled then waited 20:41:10 for WG 1028801 to get coupled, OBTP started on 07:10:41 finished on 08:50:00 and then left at 08:52:33</t>
  </si>
  <si>
    <t>1027605</t>
  </si>
  <si>
    <t>WG 1027605 entered track and got coupled to WG 1027304 then waited 23:57:36 for WG 1029102 to get coupled then waited 5:53:36 for WG 1029503 to get coupled then waited 2:41:35 for WG 1029802 to get coupled then waited 13:55:43 for WG 1030310 to get coupled, OBTP started on 07:13:24 finished on 07:48:24 and then left at 07:49:40</t>
  </si>
  <si>
    <t>1027606</t>
  </si>
  <si>
    <t>WG 1027606 entered track and got coupled to WG 1027103 then waited 0:11:40 for WG 1027612 to get coupled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</si>
  <si>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1027607</t>
  </si>
  <si>
    <t>OBT280125151006-Other sidings local</t>
  </si>
  <si>
    <t>WG 1027607 entered track and got secured then waited 0:06:21 for WG 1027609 to get coupled then waited 5:18:56 for WG 1028104 to get coupled, OBTP started on 15:45:53 finished on 16:16:37 and then left at 16:17:34</t>
  </si>
  <si>
    <t>1027608</t>
  </si>
  <si>
    <t>WG 1027608 entered track and got coupled to WG 1027603 then waited 0:04:20 for WG 1027611 to get coupled, OBTP started on 07:43:51 finished on 08:11:30 and then left at 08:12:32</t>
  </si>
  <si>
    <t>1027609</t>
  </si>
  <si>
    <t>WG 1027609 entered track and got coupled to WG 1027607 then waited 5:18:56 for WG 1028104 to get coupled, OBTP started on 15:45:53 finished on 16:16:37 and then left at 16:17:34</t>
  </si>
  <si>
    <t>1027610</t>
  </si>
  <si>
    <t>1027611</t>
  </si>
  <si>
    <t>WG 1027611 entered track and got coupled to WG 1027608, OBTP started on 07:43:51 finished on 08:11:30 and then left at 08:12:32</t>
  </si>
  <si>
    <t>1027612</t>
  </si>
  <si>
    <t>WG 1027612 entered track and got coupled to WG 1027606 then waited 5:06:11 for WG 1028102 to get coupled then waited 0:04:57 for WG 1028103 to get coupled then waited 12:05:28 for WG 1028503 to get coupled then waited 6:24:47 for WG 1029101 to get coupled, OBTP started on 08:21:43 finished on 08:49:17 and then left at 08:50:27</t>
  </si>
  <si>
    <t>1027613</t>
  </si>
  <si>
    <t>1027614</t>
  </si>
  <si>
    <t>WG 1027614 entered track and got coupled to WG 1027303, OBTP started on 08:35:54 finished on 09:05:43 and then left at 09:06:54</t>
  </si>
  <si>
    <t>1027701</t>
  </si>
  <si>
    <t>WG 1027701 entered track and got secured then waited 0:11:14 for WG 1027602 to get coupled then waited 1:17:14 for WG 1027801 to get coupled, OBTP started on 09:49:05 finished on 10:37:44 and then left at 10:38:57</t>
  </si>
  <si>
    <t>1027702</t>
  </si>
  <si>
    <t>OBT280125092731-St. Veit an der Glan</t>
  </si>
  <si>
    <t>WG 1027702 entered track and got secured, OBTP started on 07:36:15 finished on 08:13:28 and then left at 08:14:45</t>
  </si>
  <si>
    <t>1027801</t>
  </si>
  <si>
    <t>WG 1027801 entered track and got coupled to WG 1027602, OBTP started on 09:49:05 finished on 10:37:44 and then left at 10:38:57</t>
  </si>
  <si>
    <t>1027802</t>
  </si>
  <si>
    <t>WG 1027802 entered track and got coupled to WG 1027604 then waited 20:41:10 for WG 1028801 to get coupled, OBTP started on 07:10:41 finished on 08:50:00 and then left at 08:52:33</t>
  </si>
  <si>
    <t>1027803</t>
  </si>
  <si>
    <t>OBT280125105646-Wien Kledering</t>
  </si>
  <si>
    <t>WG 1027803 entered track and got secured, OBTP started on 10:49:58 finished on 11:26:43 and then left at 11:28:04</t>
  </si>
  <si>
    <t>1027901</t>
  </si>
  <si>
    <t>OBT280125131319-Wien Kledering</t>
  </si>
  <si>
    <t>WG 1027901 entered track and got secured, OBTP started on 13:20:40 finished on 14:33:38 and then left at 14:35:17</t>
  </si>
  <si>
    <t>1028001</t>
  </si>
  <si>
    <t>OBT280125143604-Wien Kledering</t>
  </si>
  <si>
    <t>WG 1028001 entered track and got secured, OBTP started on 14:47:34 finished on 16:25:01 and then left at 16:27:02</t>
  </si>
  <si>
    <t>1028101</t>
  </si>
  <si>
    <t>OBT290125152804-Other sidings north</t>
  </si>
  <si>
    <t>WG 1028101 entered track and got secured then waited 18:52:45 for WG 1029110 to get coupled then waited 5:35:50 for WG 1029501 to get coupled, OBTP started on 14:45:05 finished on 15:12:38 and then left at 15:13:47</t>
  </si>
  <si>
    <t>1028102</t>
  </si>
  <si>
    <t>WG 1028102 entered track and got secured then waited 0:04:57 for WG 1028103 to get coupled then waited 12:05:28 for WG 1028503 to get coupled then waited 6:24:47 for WG 1029101 to get coupled, OBTP started on 08:21:43 finished on 08:49:17 and then left at 08:50:27</t>
  </si>
  <si>
    <t>1028103</t>
  </si>
  <si>
    <t>WG 1028103 entered track and got coupled to WG 1028102 then waited 12:05:28 for WG 1028503 to get coupled then waited 6:24:47 for WG 1029101 to get coupled, OBTP started on 08:21:43 finished on 08:49:17 and then left at 08:50:27</t>
  </si>
  <si>
    <t>1028104</t>
  </si>
  <si>
    <t>WG 1028104 entered track and got coupled to WG 1027609, OBTP started on 15:45:53 finished on 16:16:37 and then left at 16:17:34</t>
  </si>
  <si>
    <t>1028105</t>
  </si>
  <si>
    <t>1028106</t>
  </si>
  <si>
    <t>OBT290125063308-Wien Kledering</t>
  </si>
  <si>
    <t>WG 1028106 entered track and got secured then waited 15:23:15 for WG 1028701 to get coupled, OBTP started on 06:34:35 finished on 07:48:50 and then left at 07:50:41</t>
  </si>
  <si>
    <t>1028107</t>
  </si>
  <si>
    <t>OBT280125151602-Neunkirchen (loading tracks)</t>
  </si>
  <si>
    <t>WG 1028107 entered track and got secured then waited 0:04:14 for WG 1028108 to get coupled, OBTP started on 15:57:52 finished on 16:36:52 and then left at 16:38:04</t>
  </si>
  <si>
    <t>1028108</t>
  </si>
  <si>
    <t>WG 1028108 entered track and got coupled to WG 1028107, OBTP started on 15:57:52 finished on 16:36:52 and then left at 16:38:04</t>
  </si>
  <si>
    <t>1028109</t>
  </si>
  <si>
    <t>1028201</t>
  </si>
  <si>
    <t>1028301</t>
  </si>
  <si>
    <t>OBT280125194613-Wien Kledering</t>
  </si>
  <si>
    <t>WG 1028301 entered track and got secured, OBTP started on 17:45:56 finished on 18:44:06 and then left at 18:45:36</t>
  </si>
  <si>
    <t>1028401</t>
  </si>
  <si>
    <t>OBT280125211842-Wien Kledering</t>
  </si>
  <si>
    <t>WG 1028401 entered track and got secured, OBTP started on 18:33:18 finished on 20:12:38 and then left at 20:14:39</t>
  </si>
  <si>
    <t>1028501</t>
  </si>
  <si>
    <t>OBT290125074446-Wien Kledering</t>
  </si>
  <si>
    <t>WG 1028501 entered track and got secured then waited 0:10:05 for WG 1028504 to get coupled then waited 4:29:18 for WG 1028901 to get coupled, OBTP started on 08:12:29 finished on 08:44:49 and then left at 08:45:47</t>
  </si>
  <si>
    <t>1028502</t>
  </si>
  <si>
    <t>OBT290125030733-Neunkirchen (loading tracks)</t>
  </si>
  <si>
    <t>WG 1028502 entered track and got secured, OBTP started on 21:05:30 finished on 21:46:57 and then left at 21:48:11</t>
  </si>
  <si>
    <t>1028503</t>
  </si>
  <si>
    <t>WG 1028503 entered track and got coupled to WG 1028103 then waited 6:24:47 for WG 1029101 to get coupled, OBTP started on 08:21:43 finished on 08:49:17 and then left at 08:50:27</t>
  </si>
  <si>
    <t>1028504</t>
  </si>
  <si>
    <t>WG 1028504 entered track and got coupled to WG 1028501 then waited 4:29:18 for WG 1028901 to get coupled, OBTP started on 08:12:29 finished on 08:44:49 and then left at 08:45:47</t>
  </si>
  <si>
    <t>1028601</t>
  </si>
  <si>
    <t>OBT290125043313-Neudörfl (FunderMax)</t>
  </si>
  <si>
    <t>WG 1028601 entered track and got secured, OBTP started on 03:11:43 finished on 03:38:27 and then left at 03:39:25</t>
  </si>
  <si>
    <t>1028701</t>
  </si>
  <si>
    <t>WG 1028701 entered track and got secured, OBTP started on 06:34:35 finished on 07:48:50 and then left at 07:50:41</t>
  </si>
  <si>
    <t>1028801</t>
  </si>
  <si>
    <t>WG 1028801 entered track and got secured, OBTP started on 07:10:41 finished on 08:50:00 and then left at 08:52:33</t>
  </si>
  <si>
    <t>1028901</t>
  </si>
  <si>
    <t>WG 1028901 entered track and got secured, OBTP started on 08:12:29 finished on 08:44:49 and then left at 08:45:47</t>
  </si>
  <si>
    <t>1029001</t>
  </si>
  <si>
    <t>OBT300125085102-St. Veit an der Glan</t>
  </si>
  <si>
    <t>WG 1029001 entered track and got secured then waited 1:11:47 for WG 1029107 to get coupled then waited 1:04:00 for WG 1029201 to get coupled then waited 7:29:40 for WG 1029804 to get coupled then waited 14:30:34 for cut 1030501+1030503 to get coupled, OBTP started on 08:20:00 finished on 08:51:36 and then left at 08:52:47</t>
  </si>
  <si>
    <t>1029002</t>
  </si>
  <si>
    <t>OBT290125094134-Wien Kledering</t>
  </si>
  <si>
    <t>WG 1029002 entered track and got secured then waited 1:04:46 for WG 1029104 to get coupled, OBTP started on 08:51:38 finished on 09:54:38 and then left at 09:56:08</t>
  </si>
  <si>
    <t>1029101</t>
  </si>
  <si>
    <t>WG 1029101 entered track and got coupled to WG 1028503, OBTP started on 08:21:43 finished on 08:49:17 and then left at 08:50:27</t>
  </si>
  <si>
    <t>1029102</t>
  </si>
  <si>
    <t>WG 1029102 entered track and got coupled to WG 1027605 then waited 5:53:36 for WG 1029503 to get coupled then waited 2:41:35 for WG 1029802 to get coupled then waited 13:55:43 for WG 1030310 to get coupled, OBTP started on 07:13:24 finished on 07:48:24 and then left at 07:49:40</t>
  </si>
  <si>
    <t>1029103</t>
  </si>
  <si>
    <t>1029104</t>
  </si>
  <si>
    <t>WG 1029104 entered track and got coupled to WG 1029002, OBTP started on 08:51:38 finished on 09:54:38 and then left at 09:56:08</t>
  </si>
  <si>
    <t>1029105</t>
  </si>
  <si>
    <t>1029106</t>
  </si>
  <si>
    <t>OBT300125081913-Wr. Neustadt Ausfahrbf (Furtenbach)</t>
  </si>
  <si>
    <t>WG 1029106 entered track and got secured then waited 8:49:03 for WG 1029808 to get coupled then waited 13:41:02 for WG 1030312 to get coupled then waited 0:07:19 for WG 1030401 to get coupled, OBTP started on 07:58:35 finished on 09:43:44 and then left at 09:46:00</t>
  </si>
  <si>
    <t>1029107</t>
  </si>
  <si>
    <t>WG 1029107 entered track and got coupled to WG 1029001 then waited 1:04:00 for WG 1029201 to get coupled then waited 7:29:40 for WG 1029804 to get coupled then waited 14:30:34 for cut 1030501+1030503 to get coupled, OBTP started on 08:20:00 finished on 08:51:36 and then left at 08:52:47</t>
  </si>
  <si>
    <t>1029108</t>
  </si>
  <si>
    <t>1029109</t>
  </si>
  <si>
    <t>OBT310125080145-Wr. Neustadt (Brenntag)</t>
  </si>
  <si>
    <t>WG 1029109 entered track and got secured then waited 5:56:00 for WG 1029507 to get coupled then waited 17:53:49 for WG 1030602 to get coupled then waited 5:49:19 for WG 1031003 to get coupled then waited 16:26:39 for WG 1031907 to get coupled then waited 0:08:31 for WG 1031911 to get coupled, OBTP started on 20:44:28 finished on 21:13:23 and then left at 21:14:34</t>
  </si>
  <si>
    <t>1029110</t>
  </si>
  <si>
    <t>WG 1029110 entered track and got coupled to WG 1028101 then waited 5:35:50 for WG 1029501 to get coupled, OBTP started on 14:45:05 finished on 15:12:38 and then left at 15:13:47</t>
  </si>
  <si>
    <t>1029201</t>
  </si>
  <si>
    <t>WG 1029201 entered track and got coupled to WG 1029107 then waited 7:29:40 for WG 1029804 to get coupled then waited 14:30:34 for cut 1030501+1030503 to get coupled, OBTP started on 08:20:00 finished on 08:51:36 and then left at 08:52:47</t>
  </si>
  <si>
    <t>1029202</t>
  </si>
  <si>
    <t>OBT290125105057-Wien Kledering</t>
  </si>
  <si>
    <t>WG 1029202 entered track and got secured, OBTP started on 09:45:07 finished on 10:40:11 and then left at 10:41:35</t>
  </si>
  <si>
    <t>1029301</t>
  </si>
  <si>
    <t>OBT290125132135-Wien Kledering</t>
  </si>
  <si>
    <t>WG 1029301 entered track and got secured, OBTP started on 10:12:18 finished on 11:17:13 and then left at 11:18:45</t>
  </si>
  <si>
    <t>1029401</t>
  </si>
  <si>
    <t>OBT290125144829-Wien Kledering</t>
  </si>
  <si>
    <t>WG 1029401 entered track and got secured, OBTP started on 13:13:25 finished on 14:52:55 and then left at 14:54:55</t>
  </si>
  <si>
    <t>1029501</t>
  </si>
  <si>
    <t>WG 1029501 entered track and got coupled to WG 1029110, OBTP started on 14:45:05 finished on 15:12:38 and then left at 15:13:47</t>
  </si>
  <si>
    <t>1029502</t>
  </si>
  <si>
    <t>OBT290125154754-Wr. Neustadt (Hödlmayr)</t>
  </si>
  <si>
    <t>WG 1029502 entered track and got secured then waited 0:19:23 for WG 1029511 to get coupled, OBTP started on 15:35:09 finished on 16:03:16 and then left at 16:04:13</t>
  </si>
  <si>
    <t>1029503</t>
  </si>
  <si>
    <t>WG 1029503 entered track and got coupled to WG 1029102 then waited 2:41:35 for WG 1029802 to get coupled then waited 13:55:43 for WG 1030310 to get coupled, OBTP started on 07:13:24 finished on 07:48:24 and then left at 07:49:40</t>
  </si>
  <si>
    <t>1029504</t>
  </si>
  <si>
    <t>OBT300125153454-Other sidings south</t>
  </si>
  <si>
    <t>WG 1029504 entered track and got secured then waited 3:02:45 for WG 1029810 to get coupled then waited 8:32:17 for WG 1030002 to get coupled then waited 4:55:50 for WG 1030306 to get coupled then waited 7:31:11 for WG 1031007 to get coupled, OBTP started on 12:43:25 finished on 13:18:51 and then left at 13:20:11</t>
  </si>
  <si>
    <t>1029505</t>
  </si>
  <si>
    <t>OBT300125030547-Neunkirchen (loading tracks)</t>
  </si>
  <si>
    <t>WG 1029505 entered track and got secured then waited 2:50:21 for WG 1029807 to get coupled then waited 0:07:22 for WG 1029809 to get coupled then waited 8:32:08 for WG 1030001 to get coupled, OBTP started on 20:44:59 finished on 21:10:41 and then left at 21:11:34</t>
  </si>
  <si>
    <t>1029506</t>
  </si>
  <si>
    <t>OBT290125182252-Pitten (Hamburger)</t>
  </si>
  <si>
    <t>WG 1029506 entered track and got secured then waited 0:07:19 for WG 1029508 to get coupled then waited 2:37:16 for WG 1029805 to get coupled, OBTP started on 17:34:36 finished on 18:21:27 and then left at 18:22:51</t>
  </si>
  <si>
    <t>1029507</t>
  </si>
  <si>
    <t>WG 1029507 entered track and got coupled to WG 1029109 then waited 17:53:49 for WG 1030602 to get coupled then waited 5:49:19 for WG 1031003 to get coupled then waited 16:26:39 for WG 1031907 to get coupled then waited 0:08:31 for WG 1031911 to get coupled, OBTP started on 20:44:28 finished on 21:13:23 and then left at 21:14:34</t>
  </si>
  <si>
    <t>1029508</t>
  </si>
  <si>
    <t>WG 1029508 entered track and got coupled to WG 1029506 then waited 2:37:16 for WG 1029805 to get coupled, OBTP started on 17:34:36 finished on 18:21:27 and then left at 18:22:51</t>
  </si>
  <si>
    <t>1029509</t>
  </si>
  <si>
    <t>1029510</t>
  </si>
  <si>
    <t>1029511</t>
  </si>
  <si>
    <t>WG 1029511 entered track and got coupled to WG 1029502, OBTP started on 15:35:09 finished on 16:03:16 and then left at 16:04:13</t>
  </si>
  <si>
    <t>1029601</t>
  </si>
  <si>
    <t>1029701</t>
  </si>
  <si>
    <t>OBT290125174650-Wien Kledering</t>
  </si>
  <si>
    <t>WG 1029701 entered track and got secured, OBTP started on 15:44:42 finished on 17:00:14 and then left at 17:01:55</t>
  </si>
  <si>
    <t>1029801</t>
  </si>
  <si>
    <t>1029802</t>
  </si>
  <si>
    <t>WG 1029802 entered track and got coupled to WG 1029503 then waited 13:55:43 for WG 1030310 to get coupled, OBTP started on 07:13:24 finished on 07:48:24 and then left at 07:49:40</t>
  </si>
  <si>
    <t>1029803</t>
  </si>
  <si>
    <t>OBT300125075751-Wr. Neustadt (Hödlmayr)</t>
  </si>
  <si>
    <t>WG 1029803 entered track and got secured then waited 0:09:41 for WG 1029806 to get coupled then waited 13:32:39 for WG 1030302 to get coupled, OBTP started on 04:39:52 finished on 05:54:07 and then left at 05:55:40</t>
  </si>
  <si>
    <t>1029804</t>
  </si>
  <si>
    <t>WG 1029804 entered track and got coupled to WG 1029201 then waited 14:30:34 for cut 1030501+1030503 to get coupled, OBTP started on 08:20:00 finished on 08:51:36 and then left at 08:52:47</t>
  </si>
  <si>
    <t>1029805</t>
  </si>
  <si>
    <t>WG 1029805 entered track and got coupled to WG 1029508, OBTP started on 17:34:36 finished on 18:21:27 and then left at 18:22:51</t>
  </si>
  <si>
    <t>1029806</t>
  </si>
  <si>
    <t>WG 1029806 entered track and got coupled to WG 1029803 then waited 13:32:39 for WG 1030302 to get coupled, OBTP started on 04:39:52 finished on 05:54:07 and then left at 05:55:40</t>
  </si>
  <si>
    <t>1029807</t>
  </si>
  <si>
    <t>WG 1029807 entered track and got secured then waited 0:07:22 for WG 1029809 to get coupled then waited 8:32:08 for WG 1030001 to get coupled, OBTP started on 20:44:59 finished on 21:10:41 and then left at 21:11:34</t>
  </si>
  <si>
    <t>1029808</t>
  </si>
  <si>
    <t>WG 1029808 entered track and got coupled to WG 1029106 then waited 13:41:02 for WG 1030312 to get coupled then waited 0:07:19 for WG 1030401 to get coupled, OBTP started on 07:58:35 finished on 09:43:44 and then left at 09:46:00</t>
  </si>
  <si>
    <t>1029809</t>
  </si>
  <si>
    <t>WG 1029809 entered track and got coupled to WG 1029807 then waited 8:32:08 for WG 1030001 to get coupled, OBTP started on 20:44:59 finished on 21:10:41 and then left at 21:11:34</t>
  </si>
  <si>
    <t>1029810</t>
  </si>
  <si>
    <t>WG 1029810 entered track and got coupled to WG 1029504 then waited 8:32:17 for WG 1030002 to get coupled then waited 4:55:50 for WG 1030306 to get coupled then waited 7:31:11 for WG 1031007 to get coupled, OBTP started on 12:43:25 finished on 13:18:51 and then left at 13:20:11</t>
  </si>
  <si>
    <t>1029811</t>
  </si>
  <si>
    <t>1029901</t>
  </si>
  <si>
    <t>OBT290125210626-Wien Kledering</t>
  </si>
  <si>
    <t>WG 1029901 entered track and got secured, OBTP started on 19:56:56 finished on 21:32:09 and then left at 21:34:09</t>
  </si>
  <si>
    <t>1030001</t>
  </si>
  <si>
    <t>WG 1030001 entered track and got coupled to WG 1029809, OBTP started on 20:44:59 finished on 21:10:41 and then left at 21:11:34</t>
  </si>
  <si>
    <t>1030002</t>
  </si>
  <si>
    <t>WG 1030002 entered track and got coupled to WG 1029810 then waited 4:55:50 for WG 1030306 to get coupled then waited 7:31:11 for WG 1031007 to get coupled, OBTP started on 12:43:25 finished on 13:18:51 and then left at 13:20:11</t>
  </si>
  <si>
    <t>1030003</t>
  </si>
  <si>
    <t>OBT300125131403-Wien Kledering</t>
  </si>
  <si>
    <t>WG 1030003 entered track and got secured then waited 5:04:20 for WG 1030311 to get coupled then waited 5:01:50 for WG 1030801 to get coupled, OBTP started on 09:46:06 finished on 10:59:02 and then left at 11:00:40</t>
  </si>
  <si>
    <t>1030004</t>
  </si>
  <si>
    <t>OBT310125075821-Ternitz (Schoeller-Bleckmann)</t>
  </si>
  <si>
    <t>WG 1030004 entered track and got secured then waited 4:43:26 for WG 1030301 to get coupled then waited 1:51:59 for WG 1030605 to get coupled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</si>
  <si>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1030005</t>
  </si>
  <si>
    <t>OBT300125080541-Neunkirchen (loading tracks)</t>
  </si>
  <si>
    <t>WG 1030005 entered track and got secured then waited 4:46:30 for WG 1030303 to get coupled then waited 0:06:33 for WG 1030307 to get coupled, OBTP started on 06:13:59 finished on 06:39:24 and then left at 06:40:27</t>
  </si>
  <si>
    <t>1030101</t>
  </si>
  <si>
    <t>OBT300125063532-Wien Kledering</t>
  </si>
  <si>
    <t>WG 1030101 entered track and got secured, OBTP started on 03:17:29 finished on 04:31:44 and then left at 04:33:20</t>
  </si>
  <si>
    <t>1030201</t>
  </si>
  <si>
    <t>1030301</t>
  </si>
  <si>
    <t>WG 1030301 entered track and got coupled to WG 1030004 then waited 1:51:59 for WG 1030605 to get coupled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</si>
  <si>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1030302</t>
  </si>
  <si>
    <t>WG 1030302 entered track and got coupled to WG 1029806, OBTP started on 04:39:52 finished on 05:54:07 and then left at 05:55:40</t>
  </si>
  <si>
    <t>1030303</t>
  </si>
  <si>
    <t>WG 1030303 entered track and got coupled to WG 1030005 then waited 0:06:33 for WG 1030307 to get coupled, OBTP started on 06:13:59 finished on 06:39:24 and then left at 06:40:27</t>
  </si>
  <si>
    <t>1030304</t>
  </si>
  <si>
    <t>1030305</t>
  </si>
  <si>
    <t>OBT310125161451-Steinabrückl/Wöllersdorf</t>
  </si>
  <si>
    <t>WG 1030305 entered track and got secured then waited 7:22:21 for WG 1031002 to get coupled then waited 18:10:58 for WG 1032203 to get coupled then waited 0:06:17 for WG 1032205 to get coupled then waited 5:59:51 for WG 1032604 to get coupled then waited 0:35:40 for WG 1032707 to get coupled, OBTP started on ? finished on ? and then left at ?</t>
  </si>
  <si>
    <t>1030306</t>
  </si>
  <si>
    <t>WG 1030306 entered track and got coupled to WG 1030002 then waited 7:31:11 for WG 1031007 to get coupled, OBTP started on 12:43:25 finished on 13:18:51 and then left at 13:20:11</t>
  </si>
  <si>
    <t>1030307</t>
  </si>
  <si>
    <t>WG 1030307 entered track and got coupled to WG 1030303, OBTP started on 06:13:59 finished on 06:39:24 and then left at 06:40:27</t>
  </si>
  <si>
    <t>1030308</t>
  </si>
  <si>
    <t>1030309</t>
  </si>
  <si>
    <t>1030310</t>
  </si>
  <si>
    <t>WG 1030310 entered track and got coupled to WG 1029802, OBTP started on 07:13:24 finished on 07:48:24 and then left at 07:49:40</t>
  </si>
  <si>
    <t>1030311</t>
  </si>
  <si>
    <t>WG 1030311 entered track and got coupled to WG 1030003 then waited 5:01:50 for WG 1030801 to get coupled, OBTP started on 09:46:06 finished on 10:59:02 and then left at 11:00:40</t>
  </si>
  <si>
    <t>1030312</t>
  </si>
  <si>
    <t>WG 1030312 entered track and got secured then waited 0:07:19 for WG 1030401 to get coupled, OBTP started on 07:58:35 finished on 09:43:44 and then left at 09:46:00</t>
  </si>
  <si>
    <t>1030401</t>
  </si>
  <si>
    <t>WG 1030401 entered track and got coupled to WG 1030312, OBTP started on 07:58:35 finished on 09:43:44 and then left at 09:46:00</t>
  </si>
  <si>
    <t>1030501</t>
  </si>
  <si>
    <t>WG 1030501 (already coupled to WG 1030503 from the inbound train) entered track and got coupled to WG 1029804, OBTP started on 08:20:00 finished on 08:51:36 and then left at 08:52:47</t>
  </si>
  <si>
    <t>1030502</t>
  </si>
  <si>
    <t>1030503</t>
  </si>
  <si>
    <t>WG 1030503 (already coupled to WG 1030501 from the inbound train) entered track and got coupled to WG 1029804, OBTP started on 08:20:00 finished on 08:51:36 and then left at 08:52:47</t>
  </si>
  <si>
    <t>1030601</t>
  </si>
  <si>
    <t>OBT300125093406-Wr. Neustadt (Hödlmayr)</t>
  </si>
  <si>
    <t>WG 1030601 entered track and got secured, OBTP started on 09:12:10 finished on 09:45:55 and then left at 09:47:01</t>
  </si>
  <si>
    <t>1030602</t>
  </si>
  <si>
    <t>WG 1030602 entered track and got secured then waited 5:49:19 for WG 1031003 to get coupled then waited 16:26:39 for WG 1031907 to get coupled then waited 0:08:31 for WG 1031911 to get coupled, OBTP started on 20:44:28 finished on 21:13:23 and then left at 21:14:34</t>
  </si>
  <si>
    <t>1030603</t>
  </si>
  <si>
    <t>1030604</t>
  </si>
  <si>
    <t>OBT300125153249-Neudörfl (FunderMax)</t>
  </si>
  <si>
    <t>WG 1030604 entered track and got secured then waited 5:46:42 for WG 1031004 to get coupled then waited 0:02:55 for WG 1031005 to get coupled, OBTP started on 11:00:36 finished on 11:37:38 and then left at 11:38:55</t>
  </si>
  <si>
    <t>1030605</t>
  </si>
  <si>
    <t>WG 1030605 entered track and got secured then waited 5:35:37 for WG 1031001 to get coupled then waited 11:56:26 for WG 1031505 to get coupled then waited 4:29:34 for WG 1031904 to get coupled then waited 0:10:40 for WG 1031910 to get coupled, OBTP started on 18:01:02 finished on 18:30:47 and then left at 18:31:43</t>
  </si>
  <si>
    <t>1030606</t>
  </si>
  <si>
    <t>1030701</t>
  </si>
  <si>
    <t>1030702</t>
  </si>
  <si>
    <t>1030703</t>
  </si>
  <si>
    <t>1030801</t>
  </si>
  <si>
    <t>WG 1030801 entered track and got secured, OBTP started on 09:46:06 finished on 10:59:02 and then left at 11:00:40</t>
  </si>
  <si>
    <t>1030901</t>
  </si>
  <si>
    <t>1031001</t>
  </si>
  <si>
    <t>WG 1031001 entered track and got coupled to WG 1030605 then waited 11:56:26 for WG 1031505 to get coupled then waited 4:29:34 for WG 1031904 to get coupled then waited 0:10:40 for WG 1031910 to get coupled, OBTP started on 18:01:02 finished on 18:30:47 and then left at 18:31:43</t>
  </si>
  <si>
    <t>1031002</t>
  </si>
  <si>
    <t>WG 1031002 entered track and got secured then waited 18:10:58 for WG 1032203 to get coupled then waited 0:06:17 for WG 1032205 to get coupled then waited 5:59:51 for WG 1032604 to get coupled then waited 0:35:40 for WG 1032707 to get coupled, OBTP started on ? finished on ? and then left at ?</t>
  </si>
  <si>
    <t>1031003</t>
  </si>
  <si>
    <t>WG 1031003 entered track and got coupled to WG 1030602 then waited 16:26:39 for WG 1031907 to get coupled then waited 0:08:31 for WG 1031911 to get coupled, OBTP started on 20:44:28 finished on 21:13:23 and then left at 21:14:34</t>
  </si>
  <si>
    <t>1031004</t>
  </si>
  <si>
    <t>WG 1031004 entered track and got coupled to WG 1030604 then waited 0:02:55 for WG 1031005 to get coupled, OBTP started on 11:00:36 finished on 11:37:38 and then left at 11:38:55</t>
  </si>
  <si>
    <t>1031005</t>
  </si>
  <si>
    <t>WG 1031005 entered track and got coupled to WG 1031004, OBTP started on 11:00:36 finished on 11:37:38 and then left at 11:38:55</t>
  </si>
  <si>
    <t>1031006</t>
  </si>
  <si>
    <t>1031007</t>
  </si>
  <si>
    <t>WG 1031007 entered track and got coupled to WG 1030306, OBTP started on 12:43:25 finished on 13:18:51 and then left at 13:20:11</t>
  </si>
  <si>
    <t>1031008</t>
  </si>
  <si>
    <t>OBT300125204557-Wien Kledering</t>
  </si>
  <si>
    <t>WG 1031008 entered track and got secured then waited 5:09:51 for WG 1031401 to get coupled, OBTP started on 15:44:25 finished on 17:21:41 and then left at 17:23:33</t>
  </si>
  <si>
    <t>1031101</t>
  </si>
  <si>
    <t>OBT300125200005-Wien Kledering</t>
  </si>
  <si>
    <t>WG 1031101 entered track and got secured then waited 1:49:36 for WG 1031201 to get coupled then waited 2:24:52 for WG 1031301 to get coupled, OBTP started on 14:26:52 finished on 15:12:27 and then left at 15:13:44</t>
  </si>
  <si>
    <t>1031201</t>
  </si>
  <si>
    <t>WG 1031201 entered track and got secured then waited 2:24:52 for WG 1031301 to get coupled, OBTP started on 14:26:52 finished on 15:12:27 and then left at 15:13:44</t>
  </si>
  <si>
    <t>1031301</t>
  </si>
  <si>
    <t>WG 1031301 entered track and got coupled to WG 1031201, OBTP started on 14:26:52 finished on 15:12:27 and then left at 15:13:44</t>
  </si>
  <si>
    <t>1031401</t>
  </si>
  <si>
    <t>WG 1031401 entered track and got secured, OBTP started on 15:44:25 finished on 17:21:41 and then left at 17:23:33</t>
  </si>
  <si>
    <t>1031501</t>
  </si>
  <si>
    <t>OBT310125142730-Wien Kledering</t>
  </si>
  <si>
    <t>WG 1031501 entered track and got secured then waited 0:08:50 for WG 1031504 to get coupled then waited 11:09:43 for WG 1032501 to get coupled, OBTP started on ? finished on ? and then left at ?</t>
  </si>
  <si>
    <t>1031502</t>
  </si>
  <si>
    <t>OBT310125075536-Neunkirchen (loading tracks)</t>
  </si>
  <si>
    <t>WG 1031502 entered track and got secured then waited 4:44:15 for WG 1031908 to get coupled, OBTP started on 17:48:20 finished on 18:44:26 and then left at 18:45:55</t>
  </si>
  <si>
    <t>1031503</t>
  </si>
  <si>
    <t>OBT310125162356-Other sidings south</t>
  </si>
  <si>
    <t>WG 1031503 entered track and got secured then waited 6:29:28 for WG 1032206 to get coupled then waited 6:40:31 for WG 1032711 to get coupled, OBTP started on ? finished on ? and then left at ?</t>
  </si>
  <si>
    <t>1031504</t>
  </si>
  <si>
    <t>WG 1031504 entered track and got coupled to WG 1031501 then waited 11:09:43 for WG 1032501 to get coupled, OBTP started on ? finished on ? and then left at ?</t>
  </si>
  <si>
    <t>1031505</t>
  </si>
  <si>
    <t>WG 1031505 entered track and got secured then waited 4:29:34 for WG 1031904 to get coupled then waited 0:10:40 for WG 1031910 to get coupled, OBTP started on 18:01:02 finished on 18:30:47 and then left at 18:31:43</t>
  </si>
  <si>
    <t>1031601</t>
  </si>
  <si>
    <t>1031701</t>
  </si>
  <si>
    <t>OBT310125061436-Wien Kledering</t>
  </si>
  <si>
    <t>WG 1031701 entered track and got secured, OBTP started on 15:45:37 finished on 16:59:52 and then left at 17:01:29</t>
  </si>
  <si>
    <t>1031801</t>
  </si>
  <si>
    <t>OBT310125074214-Wien Kledering</t>
  </si>
  <si>
    <t>WG 1031801 entered track and got secured then waited 0:27:53 for WG 1031902 to get coupled, OBTP started on 16:26:26 finished on 17:12:05 and then left at 17:13:16</t>
  </si>
  <si>
    <t>1031901</t>
  </si>
  <si>
    <t>OBT310125155832-Neudörfl (FunderMax)</t>
  </si>
  <si>
    <t>WG 1031901 entered track and got secured then waited 0:07:19 for WG 1031903 to get coupled then waited 8:13:43 for WG 1032702 to get coupled, OBTP started on ? finished on ? and then left at ?</t>
  </si>
  <si>
    <t>1031902</t>
  </si>
  <si>
    <t>WG 1031902 entered track and got coupled to WG 1031801, OBTP started on 16:26:26 finished on 17:12:05 and then left at 17:13:16</t>
  </si>
  <si>
    <t>1031903</t>
  </si>
  <si>
    <t>WG 1031903 entered track and got coupled to WG 1031901 then waited 8:13:43 for WG 1032702 to get coupled, OBTP started on ? finished on ? and then left at ?</t>
  </si>
  <si>
    <t>1031904</t>
  </si>
  <si>
    <t>WG 1031904 entered track and got coupled to WG 1031505 then waited 0:10:40 for WG 1031910 to get coupled, OBTP started on 18:01:02 finished on 18:30:47 and then left at 18:31:43</t>
  </si>
  <si>
    <t>1031905</t>
  </si>
  <si>
    <t>OBT310125155632-Pitten (Hamburger)</t>
  </si>
  <si>
    <t>WG 1031905 entered track and got secured then waited 1:40:50 for WG 1032201 to get coupled then waited 0:16:46 for WG 1032208 to get coupled then waited 5:49:23 for WG 1032603 to get coupled then waited 0:12:33 for WG 1032607 to get coupled then waited 0:09:00 for WG 1032701 to get coupled, OBTP started on ? finished on ? and then left at ?</t>
  </si>
  <si>
    <t>1031906</t>
  </si>
  <si>
    <t>1031907</t>
  </si>
  <si>
    <t>WG 1031907 entered track and got coupled to WG 1031003 then waited 0:08:31 for WG 1031911 to get coupled, OBTP started on 20:44:28 finished on 21:13:23 and then left at 21:14:34</t>
  </si>
  <si>
    <t>1031908</t>
  </si>
  <si>
    <t>WG 1031908 entered track and got coupled to WG 1031502, OBTP started on 17:48:20 finished on 18:44:26 and then left at 18:45:55</t>
  </si>
  <si>
    <t>1031909</t>
  </si>
  <si>
    <t>1031910</t>
  </si>
  <si>
    <t>WG 1031910 entered track and got coupled to WG 1031904, OBTP started on 18:01:02 finished on 18:30:47 and then left at 18:31:43</t>
  </si>
  <si>
    <t>1031911</t>
  </si>
  <si>
    <t>WG 1031911 entered track and got coupled to WG 1031907, OBTP started on 20:44:28 finished on 21:13:23 and then left at 21:14:34</t>
  </si>
  <si>
    <t>1032001</t>
  </si>
  <si>
    <t>OBT310125082055-Wien Kledering</t>
  </si>
  <si>
    <t>WG 1032001 entered track and got secured, OBTP started on ? finished on ? and then left at ?</t>
  </si>
  <si>
    <t>1032101</t>
  </si>
  <si>
    <t>OBT310125091105-Wien Kledering</t>
  </si>
  <si>
    <t>WG 1032101 entered track and got secured, OBTP started on ? finished on ? and then left at ?</t>
  </si>
  <si>
    <t>1032102</t>
  </si>
  <si>
    <t>OBT310125110109-St. Veit an der Glan</t>
  </si>
  <si>
    <t>WG 1032102 entered track and got secured then waited 1:48:20 for WG 1032302 to get coupled, OBTP started on ? finished on ? and then left at ?</t>
  </si>
  <si>
    <t>1032201</t>
  </si>
  <si>
    <t>WG 1032201 entered track and got secured then waited 0:16:46 for WG 1032208 to get coupled then waited 5:49:23 for WG 1032603 to get coupled then waited 0:12:33 for WG 1032607 to get coupled then waited 0:09:00 for WG 1032701 to get coupled, OBTP started on ? finished on ? and then left at ?</t>
  </si>
  <si>
    <t>1032202</t>
  </si>
  <si>
    <t>1032203</t>
  </si>
  <si>
    <t>WG 1032203 entered track and got coupled to WG 1031002 then waited 0:06:17 for WG 1032205 to get coupled then waited 5:59:51 for WG 1032604 to get coupled then waited 0:35:40 for WG 1032707 to get coupled, OBTP started on ? finished on ? and then left at ?</t>
  </si>
  <si>
    <t>1032204</t>
  </si>
  <si>
    <t>1032205</t>
  </si>
  <si>
    <t>WG 1032205 entered track and got coupled to WG 1032203 then waited 5:59:51 for WG 1032604 to get coupled then waited 0:35:40 for WG 1032707 to get coupled, OBTP started on ? finished on ? and then left at ?</t>
  </si>
  <si>
    <t>1032206</t>
  </si>
  <si>
    <t>WG 1032206 entered track and got coupled to WG 1031503 then waited 6:40:31 for WG 1032711 to get coupled, OBTP started on ? finished on ? and then left at ?</t>
  </si>
  <si>
    <t>1032207</t>
  </si>
  <si>
    <t>1032208</t>
  </si>
  <si>
    <t>WG 1032208 entered track and got coupled to WG 1032201 then waited 5:49:23 for WG 1032603 to get coupled then waited 0:12:33 for WG 1032607 to get coupled then waited 0:09:00 for WG 1032701 to get coupled, OBTP started on ? finished on ? and then left at ?</t>
  </si>
  <si>
    <t>1032301</t>
  </si>
  <si>
    <t>OBT310125105654-Wien Kledering</t>
  </si>
  <si>
    <t>WG 1032301 entered track and got secured, OBTP started on ? finished on ? and then left at ?</t>
  </si>
  <si>
    <t>1032302</t>
  </si>
  <si>
    <t>WG 1032302 entered track and got coupled to WG 1032102, OBTP started on ? finished on ? and then left at ?</t>
  </si>
  <si>
    <t>1032303</t>
  </si>
  <si>
    <t>OBT310125124603-Wien Kledering</t>
  </si>
  <si>
    <t>WG 1032303 entered track and got secured then waited 1:44:49 for WG 1032401 to get coupled, OBTP started on ? finished on ? and then left at ?</t>
  </si>
  <si>
    <t>1032401</t>
  </si>
  <si>
    <t>WG 1032401 entered track and got coupled to WG 1032303, OBTP started on ? finished on ? and then left at ?</t>
  </si>
  <si>
    <t>1032501</t>
  </si>
  <si>
    <t>WG 1032501 entered track and got secured, OBTP started on ? finished on ? and then left at ?</t>
  </si>
  <si>
    <t>1032601</t>
  </si>
  <si>
    <t>OBT310125160801-Other sidings north</t>
  </si>
  <si>
    <t>WG 1032601 entered track and got secured then waited 0:38:39 for WG 1032705 to get coupled, OBTP started on ? finished on ? and then left at ?</t>
  </si>
  <si>
    <t>1032602</t>
  </si>
  <si>
    <t>1032603</t>
  </si>
  <si>
    <t>WG 1032603 entered track and got secured then waited 0:12:33 for WG 1032607 to get coupled then waited 0:09:00 for WG 1032701 to get coupled, OBTP started on ? finished on ? and then left at ?</t>
  </si>
  <si>
    <t>1032604</t>
  </si>
  <si>
    <t>WG 1032604 entered track and got coupled to WG 1032205 then waited 0:35:40 for WG 1032707 to get coupled, OBTP started on ? finished on ? and then left at ?</t>
  </si>
  <si>
    <t>1032605</t>
  </si>
  <si>
    <t>1032606</t>
  </si>
  <si>
    <t>1032607</t>
  </si>
  <si>
    <t>WG 1032607 entered track and got coupled to WG 1032603 then waited 0:09:00 for WG 1032701 to get coupled, OBTP started on ? finished on ? and then left at ?</t>
  </si>
  <si>
    <t>1032608</t>
  </si>
  <si>
    <t>1032701</t>
  </si>
  <si>
    <t>WG 1032701 entered track and got coupled to WG 1032607, OBTP started on ? finished on ? and then left at ?</t>
  </si>
  <si>
    <t>1032702</t>
  </si>
  <si>
    <t>WG 1032702 entered track and got coupled to WG 1031903, OBTP started on ? finished on ? and then left at ?</t>
  </si>
  <si>
    <t>1032703</t>
  </si>
  <si>
    <t>1032704</t>
  </si>
  <si>
    <t>1032705</t>
  </si>
  <si>
    <t>WG 1032705 entered track and got coupled to WG 1032601, OBTP started on ? finished on ? and then left at ?</t>
  </si>
  <si>
    <t>1032706</t>
  </si>
  <si>
    <t>OBT310125203626-Pitten (Hamburger)</t>
  </si>
  <si>
    <t>WG 1032706 entered track and got secured then waited 0:06:54 for WG 1032709 to get coupled then waited 4:19:24 for WG 1033102 to get coupled, OBTP started on ? finished on ? and then left at ?</t>
  </si>
  <si>
    <t>1032707</t>
  </si>
  <si>
    <t>WG 1032707 entered track and got coupled to WG 1032604, OBTP started on ? finished on ? and then left at ?</t>
  </si>
  <si>
    <t>1032708</t>
  </si>
  <si>
    <t>1032709</t>
  </si>
  <si>
    <t>WG 1032709 entered track and got coupled to WG 1032706 then waited 4:19:24 for WG 1033102 to get coupled, OBTP started on ? finished on ? and then left at ?</t>
  </si>
  <si>
    <t>1032710</t>
  </si>
  <si>
    <t>1032711</t>
  </si>
  <si>
    <t>WG 1032711 entered track and got coupled to WG 1032206, OBTP started on ? finished on ? and then left at ?</t>
  </si>
  <si>
    <t>1032801</t>
  </si>
  <si>
    <t>1032901</t>
  </si>
  <si>
    <t>OBT310125174917-Wien Kledering</t>
  </si>
  <si>
    <t>WG 1032901 entered track and got secured, OBTP started on ? finished on ? and then left at ?</t>
  </si>
  <si>
    <t>1033001</t>
  </si>
  <si>
    <t>OBT310125180201-Wien Kledering</t>
  </si>
  <si>
    <t>WG 1033001 entered track and got secured, OBTP started on ? finished on ? and then left at ?</t>
  </si>
  <si>
    <t>1033101</t>
  </si>
  <si>
    <t>OBT310125203154-Wr. Neustadt (Hödlmayr)</t>
  </si>
  <si>
    <t>WG 1033101 entered track and got secured, OBTP started on ? finished on ? and then left at ?</t>
  </si>
  <si>
    <t>1033102</t>
  </si>
  <si>
    <t>WG 1033102 entered track and got coupled to WG 1032709, OBTP started on ? finished on ? and then left at ?</t>
  </si>
  <si>
    <t>1033103</t>
  </si>
  <si>
    <t>1033104</t>
  </si>
  <si>
    <t>OBT310125204436-Other sidings south</t>
  </si>
  <si>
    <t>WG 1033104 entered track and got secured then waited 0:04:44 for WG 1033105 to get coupled, OBTP started on ? finished on ? and then left at ?</t>
  </si>
  <si>
    <t>1033105</t>
  </si>
  <si>
    <t>WG 1033105 entered track and got coupled to WG 1033104, OBTP started on ? finished on ? and then left at ?</t>
  </si>
  <si>
    <t>1033106</t>
  </si>
  <si>
    <t>OBTP init</t>
  </si>
  <si>
    <t>Departure drive init</t>
  </si>
  <si>
    <t>613</t>
  </si>
  <si>
    <t>621</t>
  </si>
  <si>
    <t>605</t>
  </si>
  <si>
    <t>629</t>
  </si>
  <si>
    <t>619</t>
  </si>
  <si>
    <t>609</t>
  </si>
  <si>
    <t>627</t>
  </si>
  <si>
    <t>606</t>
  </si>
  <si>
    <t>623</t>
  </si>
  <si>
    <t>611</t>
  </si>
  <si>
    <t>615</t>
  </si>
  <si>
    <t>625</t>
  </si>
  <si>
    <t>617</t>
  </si>
  <si>
    <t>607</t>
  </si>
  <si>
    <t>Activity Type</t>
  </si>
  <si>
    <t>From</t>
  </si>
  <si>
    <t>To</t>
  </si>
  <si>
    <t>Count</t>
  </si>
  <si>
    <t>Mean Dist (m)</t>
  </si>
  <si>
    <t>Min Dist (m)</t>
  </si>
  <si>
    <t>Max Dist (m)</t>
  </si>
  <si>
    <t>Mean Duration (hh:mm:ss)</t>
  </si>
  <si>
    <t>Min Duration (hh:mm:ss)</t>
  </si>
  <si>
    <t>Max Duration (hh:mm:ss)</t>
  </si>
  <si>
    <t>Mean Speed (km/h)</t>
  </si>
  <si>
    <t>Min Speed (km/h)</t>
  </si>
  <si>
    <t>Max Speed (km/h)</t>
  </si>
  <si>
    <t>Speed Std (km/h)</t>
  </si>
  <si>
    <t>ArrivalDrive</t>
  </si>
  <si>
    <t>Entry gate</t>
  </si>
  <si>
    <t>DepartureDrive</t>
  </si>
  <si>
    <t>Exit gate</t>
  </si>
  <si>
    <t>PushOffDrive</t>
  </si>
  <si>
    <t>WG Id</t>
  </si>
  <si>
    <t>Parent Train</t>
  </si>
  <si>
    <t>Train Spawn</t>
  </si>
  <si>
    <t>Train Arrived Track</t>
  </si>
  <si>
    <t>WG PushOff Drive Start</t>
  </si>
  <si>
    <t>WG Arrived Classif</t>
  </si>
  <si>
    <t>Parent OBT</t>
  </si>
  <si>
    <t>OBT Formed</t>
  </si>
  <si>
    <t>OBT Leaves Classif (DEPD start)</t>
  </si>
  <si>
    <t>Train Exits Station</t>
  </si>
  <si>
    <t>Arrival Yard (hh:mm:ss)</t>
  </si>
  <si>
    <t>Classif Yard (hh:mm:ss)</t>
  </si>
  <si>
    <t>Summary (hh:mm:ss)</t>
  </si>
  <si>
    <t>Arrival yard mean</t>
  </si>
  <si>
    <t>Arrival yard median</t>
  </si>
  <si>
    <t>Arrival yard min</t>
  </si>
  <si>
    <t>Arrival yard max</t>
  </si>
  <si>
    <t>Classif yard mean</t>
  </si>
  <si>
    <t>Classif yard median</t>
  </si>
  <si>
    <t>Classif yard min</t>
  </si>
  <si>
    <t>Classif yard max</t>
  </si>
  <si>
    <t>ActivityType</t>
  </si>
  <si>
    <t>ActivityId</t>
  </si>
  <si>
    <t>Entity</t>
  </si>
  <si>
    <t>Drive length (m)</t>
  </si>
  <si>
    <t>InitializedAt</t>
  </si>
  <si>
    <t>StartedAt</t>
  </si>
  <si>
    <t>CompletedAt</t>
  </si>
  <si>
    <t>Number of separation joints</t>
  </si>
  <si>
    <t>Act_ARRD_10001_023944_703</t>
  </si>
  <si>
    <t>Act_ARRD_10002_062740_703</t>
  </si>
  <si>
    <t>Act_ARRD_10003_070901_727</t>
  </si>
  <si>
    <t>Act_ARRD_10004_072151_703</t>
  </si>
  <si>
    <t>Act_ARRD_10005_080044_703</t>
  </si>
  <si>
    <t>Act_ARRD_10006_084833_703</t>
  </si>
  <si>
    <t>Act_ARRD_10007_090010_727</t>
  </si>
  <si>
    <t>Act_ARRD_10008_102903_703</t>
  </si>
  <si>
    <t>Act_ARRD_10009_143420_703</t>
  </si>
  <si>
    <t>Act_ARRD_10010_145932_727</t>
  </si>
  <si>
    <t>Act_ARRD_10011_150203_703</t>
  </si>
  <si>
    <t>Act_ARRD_10012_174135_727</t>
  </si>
  <si>
    <t>Act_ARRD_10013_200722_703</t>
  </si>
  <si>
    <t>Act_ARRD_10014_023916_703</t>
  </si>
  <si>
    <t>Act_ARRD_10015_043353_703</t>
  </si>
  <si>
    <t>Act_ARRD_10016_053328_703</t>
  </si>
  <si>
    <t>Act_ARRD_10017_063132_703</t>
  </si>
  <si>
    <t>Act_ARRD_10018_071446_703</t>
  </si>
  <si>
    <t>Act_ARRD_10019_072641_727</t>
  </si>
  <si>
    <t>Act_ARRD_10020_075718_703</t>
  </si>
  <si>
    <t>Act_ARRD_10021_084554_703</t>
  </si>
  <si>
    <t>Act_ARRD_10022_102943_703</t>
  </si>
  <si>
    <t>Act_ARRD_10023_125900_703</t>
  </si>
  <si>
    <t>Act_ARRD_10024_141909_731</t>
  </si>
  <si>
    <t>Act_ARRD_10025_150338_703</t>
  </si>
  <si>
    <t>Act_ARRD_10026_153433_731</t>
  </si>
  <si>
    <t>Act_ARRD_10027_171118_703</t>
  </si>
  <si>
    <t>Act_ARRD_10028_195943_725</t>
  </si>
  <si>
    <t>Act_ARRD_10029_205423_727</t>
  </si>
  <si>
    <t>Act_ARRD_10030_053841_703</t>
  </si>
  <si>
    <t>Act_ARRD_10031_173202_727</t>
  </si>
  <si>
    <t>Act_ARRD_10032_200618_727</t>
  </si>
  <si>
    <t>Act_ARRD_10033_173858_703</t>
  </si>
  <si>
    <t>Act_ARRD_10034_024250_703</t>
  </si>
  <si>
    <t>Act_ARRD_10035_063013_703</t>
  </si>
  <si>
    <t>Act_ARRD_10036_071436_703</t>
  </si>
  <si>
    <t>Act_ARRD_10037_072044_727</t>
  </si>
  <si>
    <t>Act_ARRD_10038_072439_725</t>
  </si>
  <si>
    <t>Act_ARRD_10039_081616_703</t>
  </si>
  <si>
    <t>Act_ARRD_10040_083647_727</t>
  </si>
  <si>
    <t>Act_ARRD_10041_103151_703</t>
  </si>
  <si>
    <t>Act_ARRD_10042_125933_703</t>
  </si>
  <si>
    <t>Act_ARRD_10043_141400_703</t>
  </si>
  <si>
    <t>Act_ARRD_10044_145836_703</t>
  </si>
  <si>
    <t>Act_ARRD_10045_152128_727</t>
  </si>
  <si>
    <t>Act_ARRD_10046_160039_703</t>
  </si>
  <si>
    <t>Act_ARRD_10047_172029_703</t>
  </si>
  <si>
    <t>Act_ARRD_10048_180408_727</t>
  </si>
  <si>
    <t>Act_ARRD_10049_210022_703</t>
  </si>
  <si>
    <t>Act_ARRD_10050_024330_703</t>
  </si>
  <si>
    <t>Act_ARRD_10051_034546_703</t>
  </si>
  <si>
    <t>Act_ARRD_10052_060114_703</t>
  </si>
  <si>
    <t>Act_ARRD_10053_071621_727</t>
  </si>
  <si>
    <t>Act_ARRD_10054_072011_703</t>
  </si>
  <si>
    <t>Act_ARRD_10055_080128_703</t>
  </si>
  <si>
    <t>Act_ARRD_10056_085847_703</t>
  </si>
  <si>
    <t>Act_ARRD_10057_101327_703</t>
  </si>
  <si>
    <t>Act_ARRD_10058_124621_703</t>
  </si>
  <si>
    <t>Act_ARRD_10059_142626_703</t>
  </si>
  <si>
    <t>Act_ARRD_10060_145342_703</t>
  </si>
  <si>
    <t>Act_ARRD_10061_151140_727</t>
  </si>
  <si>
    <t>Act_ARRD_10062_172117_703</t>
  </si>
  <si>
    <t>Act_ARRD_10063_175949_731</t>
  </si>
  <si>
    <t>Act_ARRD_10064_194024_703</t>
  </si>
  <si>
    <t>Act_ARRD_10065_200359_727</t>
  </si>
  <si>
    <t>Act_ARRD_10066_024636_703</t>
  </si>
  <si>
    <t>Act_ARRD_10067_060630_703</t>
  </si>
  <si>
    <t>Act_ARRD_10068_063158_727</t>
  </si>
  <si>
    <t>Act_ARRD_10069_071258_703</t>
  </si>
  <si>
    <t>Act_ARRD_10070_072052_727</t>
  </si>
  <si>
    <t>Act_ARRD_10071_075120_727</t>
  </si>
  <si>
    <t>Act_ARRD_10072_084511_703</t>
  </si>
  <si>
    <t>Act_ARRD_10073_105021_703</t>
  </si>
  <si>
    <t>Act_ARRD_10074_143346_703</t>
  </si>
  <si>
    <t>Act_ARRD_10075_150030_703</t>
  </si>
  <si>
    <t>Act_ARRD_10076_152654_727</t>
  </si>
  <si>
    <t>Act_ARRD_10077_174321_703</t>
  </si>
  <si>
    <t>Act_ARRD_10078_174538_731</t>
  </si>
  <si>
    <t>Act_ARRD_10079_174716_727</t>
  </si>
  <si>
    <t>Act_ARRD_10080_200209_703</t>
  </si>
  <si>
    <t>Act_ARRD_10081_024142_703</t>
  </si>
  <si>
    <t>Act_ARRD_10082_043217_703</t>
  </si>
  <si>
    <t>Act_ARRD_10083_054559_703</t>
  </si>
  <si>
    <t>Act_ARRD_10084_063932_703</t>
  </si>
  <si>
    <t>Act_ARRD_10085_072638_703</t>
  </si>
  <si>
    <t>Act_ARRD_10086_075521_703</t>
  </si>
  <si>
    <t>Act_ARRD_10087_084524_727</t>
  </si>
  <si>
    <t>Act_ARRD_10088_085839_703</t>
  </si>
  <si>
    <t>Act_ARRD_10089_101840_703</t>
  </si>
  <si>
    <t>Act_ARRD_10090_130447_703</t>
  </si>
  <si>
    <t>Act_ARRD_10091_141132_731</t>
  </si>
  <si>
    <t>Act_ARRD_10092_144906_703</t>
  </si>
  <si>
    <t>Act_ARRD_10093_172841_703</t>
  </si>
  <si>
    <t>Act_ARRD_10094_173841_727</t>
  </si>
  <si>
    <t>Act_ARRD_10095_201111_703</t>
  </si>
  <si>
    <t>Act_ARRD_10096_045749_703</t>
  </si>
  <si>
    <t>Act_ARRD_10097_052922_703</t>
  </si>
  <si>
    <t>Act_ARRD_10098_174128_727</t>
  </si>
  <si>
    <t>Act_ARRD_10099_200223_703</t>
  </si>
  <si>
    <t>Act_ARRD_10100_022856_703</t>
  </si>
  <si>
    <t>Act_ARRD_10101_042834_703</t>
  </si>
  <si>
    <t>Act_ARRD_10102_060450_703</t>
  </si>
  <si>
    <t>Act_ARRD_10103_070211_703</t>
  </si>
  <si>
    <t>Act_ARRD_10104_071503_727</t>
  </si>
  <si>
    <t>Act_ARRD_10105_071830_703</t>
  </si>
  <si>
    <t>Act_ARRD_10106_090006_703</t>
  </si>
  <si>
    <t>Act_ARRD_10107_090130_727</t>
  </si>
  <si>
    <t>Act_ARRD_10108_100322_703</t>
  </si>
  <si>
    <t>Act_ARRD_10109_121636_703</t>
  </si>
  <si>
    <t>Act_ARRD_10110_142653_703</t>
  </si>
  <si>
    <t>Act_ARRD_10111_144615_703</t>
  </si>
  <si>
    <t>Act_ARRD_10112_152046_727</t>
  </si>
  <si>
    <t>Act_ARRD_10113_160043_703</t>
  </si>
  <si>
    <t>Act_ARRD_10114_172639_703</t>
  </si>
  <si>
    <t>Act_ARRD_10115_210359_703</t>
  </si>
  <si>
    <t>Act_ARRD_10116_022734_703</t>
  </si>
  <si>
    <t>Act_ARRD_10117_062931_703</t>
  </si>
  <si>
    <t>Act_ARRD_10118_063758_727</t>
  </si>
  <si>
    <t>Act_ARRD_10119_071942_703</t>
  </si>
  <si>
    <t>Act_ARRD_10120_080030_703</t>
  </si>
  <si>
    <t>Act_ARRD_10121_090003_727</t>
  </si>
  <si>
    <t>Act_ARRD_10122_090434_703</t>
  </si>
  <si>
    <t>Act_ARRD_10123_094919_703</t>
  </si>
  <si>
    <t>Act_ARRD_10124_125059_703</t>
  </si>
  <si>
    <t>Act_ARRD_10125_142326_703</t>
  </si>
  <si>
    <t>Act_ARRD_10126_145229_727</t>
  </si>
  <si>
    <t>Act_ARRD_10127_152723_703</t>
  </si>
  <si>
    <t>Act_ARRD_10128_153907_731</t>
  </si>
  <si>
    <t>Act_ARRD_10129_173114_703</t>
  </si>
  <si>
    <t>Act_ARRD_10130_175213_731</t>
  </si>
  <si>
    <t>Act_ARRD_10131_194740_731</t>
  </si>
  <si>
    <t>Act_ARRD_10132_022346_703</t>
  </si>
  <si>
    <t>Act_ARRD_10133_043513_703</t>
  </si>
  <si>
    <t>Act_ARRD_10134_062841_703</t>
  </si>
  <si>
    <t>Act_ARRD_10135_070740_703</t>
  </si>
  <si>
    <t>Act_ARRD_10136_072838_727</t>
  </si>
  <si>
    <t>Act_ARRD_10137_080259_703</t>
  </si>
  <si>
    <t>Act_ARRD_10138_085316_703</t>
  </si>
  <si>
    <t>Act_ARRD_10139_090523_727</t>
  </si>
  <si>
    <t>Act_ARRD_10140_095659_703</t>
  </si>
  <si>
    <t>Act_ARRD_10141_125855_703</t>
  </si>
  <si>
    <t>Act_ARRD_10142_150329_703</t>
  </si>
  <si>
    <t>Act_ARRD_10143_153247_727</t>
  </si>
  <si>
    <t>Act_ARRD_10144_171422_703</t>
  </si>
  <si>
    <t>Act_ARRD_10145_173858_703</t>
  </si>
  <si>
    <t>Act_ARRD_10146_023908_703</t>
  </si>
  <si>
    <t>Act_ARRD_10147_062111_703</t>
  </si>
  <si>
    <t>Act_ARRD_10148_071331_703</t>
  </si>
  <si>
    <t>Act_ARRD_10149_071354_727</t>
  </si>
  <si>
    <t>Act_ARRD_10150_075624_727</t>
  </si>
  <si>
    <t>Act_ARRD_10151_090035_703</t>
  </si>
  <si>
    <t>Act_ARRD_10152_090141_727</t>
  </si>
  <si>
    <t>Act_ARRD_10153_103516_703</t>
  </si>
  <si>
    <t>Act_ARRD_10154_124610_703</t>
  </si>
  <si>
    <t>Act_ARRD_10155_143102_703</t>
  </si>
  <si>
    <t>Act_ARRD_10156_144442_703</t>
  </si>
  <si>
    <t>Act_ARRD_10157_152645_731</t>
  </si>
  <si>
    <t>Act_ARRD_10158_160539_703</t>
  </si>
  <si>
    <t>Act_ARRD_10159_172630_703</t>
  </si>
  <si>
    <t>Act_ARRD_10160_200236_703</t>
  </si>
  <si>
    <t>Act_ARRD_10161_024406_703</t>
  </si>
  <si>
    <t>Act_ARRD_10162_042528_703</t>
  </si>
  <si>
    <t>Act_ARRD_10163_062814_703</t>
  </si>
  <si>
    <t>Act_ARRD_10164_065707_703</t>
  </si>
  <si>
    <t>Act_ARRD_10165_072830_727</t>
  </si>
  <si>
    <t>Act_ARRD_10166_075829_703</t>
  </si>
  <si>
    <t>Act_ARRD_10167_083734_727</t>
  </si>
  <si>
    <t>Act_ARRD_10168_084738_703</t>
  </si>
  <si>
    <t>Act_ARRD_10169_100910_703</t>
  </si>
  <si>
    <t>Act_ARRD_10170_124927_703</t>
  </si>
  <si>
    <t>Act_ARRD_10171_153237_703</t>
  </si>
  <si>
    <t>Act_ARRD_10172_172953_703</t>
  </si>
  <si>
    <t>Act_ARRD_10173_175939_703</t>
  </si>
  <si>
    <t>Act_ARRD_10174_200604_703</t>
  </si>
  <si>
    <t>Act_ARRD_10175_002317_703</t>
  </si>
  <si>
    <t>Act_ARRD_10176_054234_703</t>
  </si>
  <si>
    <t>Act_ARRD_10177_062608_703</t>
  </si>
  <si>
    <t>Act_ARRD_10178_173047_727</t>
  </si>
  <si>
    <t>Act_ARRD_10179_201214_703</t>
  </si>
  <si>
    <t>Act_ARRD_10180_022743_703</t>
  </si>
  <si>
    <t>Act_ARRD_10181_043047_703</t>
  </si>
  <si>
    <t>Act_ARRD_10182_055555_703</t>
  </si>
  <si>
    <t>Act_ARRD_10183_071510_725</t>
  </si>
  <si>
    <t>Act_ARRD_10184_072603_703</t>
  </si>
  <si>
    <t>Act_ARRD_10185_073010_727</t>
  </si>
  <si>
    <t>Act_ARRD_10186_084400_703</t>
  </si>
  <si>
    <t>Act_ARRD_10187_085906_727</t>
  </si>
  <si>
    <t>Act_ARRD_10188_103322_703</t>
  </si>
  <si>
    <t>Act_ARRD_10189_124414_703</t>
  </si>
  <si>
    <t>Act_ARRD_10190_142304_703</t>
  </si>
  <si>
    <t>Act_ARRD_10191_150657_703</t>
  </si>
  <si>
    <t>Act_ARRD_10192_154643_727</t>
  </si>
  <si>
    <t>Act_ARRD_10193_154914_725</t>
  </si>
  <si>
    <t>Act_ARRD_10194_165917_703</t>
  </si>
  <si>
    <t>Act_ARRD_10195_210033_703</t>
  </si>
  <si>
    <t>Act_ARRD_10196_024840_703</t>
  </si>
  <si>
    <t>Act_ARRD_10197_063544_703</t>
  </si>
  <si>
    <t>Act_ARRD_10198_071231_703</t>
  </si>
  <si>
    <t>Act_ARRD_10199_072035_727</t>
  </si>
  <si>
    <t>Act_ARRD_10200_073217_725</t>
  </si>
  <si>
    <t>Act_ARRD_10201_084630_703</t>
  </si>
  <si>
    <t>Act_ARRD_10202_090127_727</t>
  </si>
  <si>
    <t>Act_ARRD_10203_100258_703</t>
  </si>
  <si>
    <t>Act_ARRD_10204_142704_703</t>
  </si>
  <si>
    <t>Act_ARRD_10205_143626_727</t>
  </si>
  <si>
    <t>Act_ARRD_10206_150037_703</t>
  </si>
  <si>
    <t>Act_ARRD_10207_205018_703</t>
  </si>
  <si>
    <t>Act_ARRD_10208_022816_703</t>
  </si>
  <si>
    <t>Act_ARRD_10209_043327_703</t>
  </si>
  <si>
    <t>Act_ARRD_10210_062042_703</t>
  </si>
  <si>
    <t>Act_ARRD_10211_064551_703</t>
  </si>
  <si>
    <t>Act_ARRD_10212_072837_727</t>
  </si>
  <si>
    <t>Act_ARRD_10213_075712_703</t>
  </si>
  <si>
    <t>Act_ARRD_10214_082214_703</t>
  </si>
  <si>
    <t>Act_ARRD_10215_090554_703</t>
  </si>
  <si>
    <t>Act_ARRD_10216_102238_703</t>
  </si>
  <si>
    <t>Act_ARRD_10217_125946_731</t>
  </si>
  <si>
    <t>Act_ARRD_10218_151156_731</t>
  </si>
  <si>
    <t>Act_ARRD_10219_172051_727</t>
  </si>
  <si>
    <t>Act_ARRD_10220_173247_703</t>
  </si>
  <si>
    <t>Act_ARRD_10221_174823_703</t>
  </si>
  <si>
    <t>Act_ARRD_10222_200226_703</t>
  </si>
  <si>
    <t>Act_ARRD_10223_024132_703</t>
  </si>
  <si>
    <t>Act_ARRD_10224_061901_703</t>
  </si>
  <si>
    <t>Act_ARRD_10225_064518_703</t>
  </si>
  <si>
    <t>Act_ARRD_10226_070511_727</t>
  </si>
  <si>
    <t>Act_ARRD_10227_073929_703</t>
  </si>
  <si>
    <t>Act_ARRD_10228_084015_703</t>
  </si>
  <si>
    <t>Act_ARRD_10229_090159_727</t>
  </si>
  <si>
    <t>Act_ARRD_10230_102605_703</t>
  </si>
  <si>
    <t>Act_ARRD_10231_142648_703</t>
  </si>
  <si>
    <t>Act_ARRD_10232_144038_727</t>
  </si>
  <si>
    <t>Act_ARRD_10233_152549_703</t>
  </si>
  <si>
    <t>Act_ARRD_10234_154307_703</t>
  </si>
  <si>
    <t>Act_ARRD_10235_170019_703</t>
  </si>
  <si>
    <t>Act_ARRD_10236_173553_731</t>
  </si>
  <si>
    <t>Act_ARRD_10237_205740_703</t>
  </si>
  <si>
    <t>Act_ARRD_10238_023909_703</t>
  </si>
  <si>
    <t>Act_ARRD_10239_043150_703</t>
  </si>
  <si>
    <t>Act_ARRD_10240_061106_703</t>
  </si>
  <si>
    <t>Act_ARRD_10241_065639_703</t>
  </si>
  <si>
    <t>Act_ARRD_10242_071150_703</t>
  </si>
  <si>
    <t>Act_ARRD_10243_071757_727</t>
  </si>
  <si>
    <t>Act_ARRD_10244_084546_703</t>
  </si>
  <si>
    <t>Act_ARRD_10245_090032_727</t>
  </si>
  <si>
    <t>Act_ARRD_10246_095145_703</t>
  </si>
  <si>
    <t>Act_ARRD_10247_130055_703</t>
  </si>
  <si>
    <t>Act_ARRD_10248_142754_703</t>
  </si>
  <si>
    <t>Act_ARRD_10249_145231_703</t>
  </si>
  <si>
    <t>Act_ARRD_10250_151107_731</t>
  </si>
  <si>
    <t>Act_ARRD_10251_172900_703</t>
  </si>
  <si>
    <t>Act_ARRD_10252_173000_727</t>
  </si>
  <si>
    <t>Act_ARRD_10253_014027_727</t>
  </si>
  <si>
    <t>Act_ARRD_10254_174607_727</t>
  </si>
  <si>
    <t>Act_ARRD_10255_023536_703</t>
  </si>
  <si>
    <t>Act_ARRD_10256_043133_703</t>
  </si>
  <si>
    <t>Act_ARRD_10257_063426_703</t>
  </si>
  <si>
    <t>Act_ARRD_10258_070653_727</t>
  </si>
  <si>
    <t>Act_ARRD_10259_072700_703</t>
  </si>
  <si>
    <t>Act_ARRD_10260_075317_703</t>
  </si>
  <si>
    <t>Act_ARRD_10261_082823_727</t>
  </si>
  <si>
    <t>Act_ARRD_10262_082850_703</t>
  </si>
  <si>
    <t>Act_ARRD_10263_102927_703</t>
  </si>
  <si>
    <t>Act_ARRD_10264_124112_703</t>
  </si>
  <si>
    <t>Act_ARRD_10265_142025_703</t>
  </si>
  <si>
    <t>Act_ARRD_10266_152600_731</t>
  </si>
  <si>
    <t>Act_ARRD_10267_155429_703</t>
  </si>
  <si>
    <t>Act_ARRD_10268_173128_703</t>
  </si>
  <si>
    <t>Act_ARRD_10269_174014_727</t>
  </si>
  <si>
    <t>Act_ARRD_10270_205830_703</t>
  </si>
  <si>
    <t>Act_ARRD_10271_025215_703</t>
  </si>
  <si>
    <t>Act_ARRD_10272_062903_703</t>
  </si>
  <si>
    <t>Act_ARRD_10273_071153_703</t>
  </si>
  <si>
    <t>Act_ARRD_10274_073130_727</t>
  </si>
  <si>
    <t>Act_ARRD_10275_074147_725</t>
  </si>
  <si>
    <t>Act_ARRD_10276_084527_727</t>
  </si>
  <si>
    <t>Act_ARRD_10277_090526_703</t>
  </si>
  <si>
    <t>Act_ARRD_10278_102942_703</t>
  </si>
  <si>
    <t>Act_ARRD_10279_125541_703</t>
  </si>
  <si>
    <t>Act_ARRD_10280_141503_703</t>
  </si>
  <si>
    <t>Act_ARRD_10281_142518_727</t>
  </si>
  <si>
    <t>Act_ARRD_10282_153053_731</t>
  </si>
  <si>
    <t>Act_ARRD_10283_192840_703</t>
  </si>
  <si>
    <t>Act_ARRD_10284_205839_703</t>
  </si>
  <si>
    <t>Act_ARRD_10285_024329_703</t>
  </si>
  <si>
    <t>Act_ARRD_10286_041833_703</t>
  </si>
  <si>
    <t>Act_ARRD_10287_061433_703</t>
  </si>
  <si>
    <t>Act_ARRD_10288_071618_703</t>
  </si>
  <si>
    <t>Act_ARRD_10289_072926_727</t>
  </si>
  <si>
    <t>Act_ARRD_10290_081836_703</t>
  </si>
  <si>
    <t>Act_ARRD_10291_090131_703</t>
  </si>
  <si>
    <t>Act_ARRD_10292_102950_703</t>
  </si>
  <si>
    <t>Act_ARRD_10293_130418_703</t>
  </si>
  <si>
    <t>Act_ARRD_10294_142850_703</t>
  </si>
  <si>
    <t>Act_ARRD_10295_144949_703</t>
  </si>
  <si>
    <t>Act_ARRD_10296_154817_731</t>
  </si>
  <si>
    <t>Act_ARRD_10297_172903_703</t>
  </si>
  <si>
    <t>Act_ARRD_10298_173558_727</t>
  </si>
  <si>
    <t>Act_ARRD_10299_204543_703</t>
  </si>
  <si>
    <t>Act_ARRD_10300_024150_703</t>
  </si>
  <si>
    <t>Act_ARRD_10301_061703_703</t>
  </si>
  <si>
    <t>Act_ARRD_10302_065545_703</t>
  </si>
  <si>
    <t>Act_ARRD_10303_071204_725</t>
  </si>
  <si>
    <t>Act_ARRD_10304_075135_703</t>
  </si>
  <si>
    <t>Act_ARRD_10305_082141_703</t>
  </si>
  <si>
    <t>Act_ARRD_10306_090738_703</t>
  </si>
  <si>
    <t>Act_ARRD_10307_095205_703</t>
  </si>
  <si>
    <t>Act_ARRD_10308_125634_703</t>
  </si>
  <si>
    <t>Act_ARRD_10309_142852_703</t>
  </si>
  <si>
    <t>Act_ARRD_10310_145119_703</t>
  </si>
  <si>
    <t>Act_ARRD_10311_153246_731</t>
  </si>
  <si>
    <t>Act_ARRD_10312_172207_731</t>
  </si>
  <si>
    <t>Act_ARRD_10313_194241_703</t>
  </si>
  <si>
    <t>Act_ARRD_10314_202519_703</t>
  </si>
  <si>
    <t>Act_ARRD_10315_024631_703</t>
  </si>
  <si>
    <t>Act_ARRD_10316_042621_703</t>
  </si>
  <si>
    <t>Act_ARRD_10317_055627_703</t>
  </si>
  <si>
    <t>Act_ARRD_10318_065919_703</t>
  </si>
  <si>
    <t>Act_ARRD_10319_070328_727</t>
  </si>
  <si>
    <t>Act_ARRD_10320_080039_703</t>
  </si>
  <si>
    <t>Act_ARRD_10321_085151_703</t>
  </si>
  <si>
    <t>Act_ARRD_10322_085929_727</t>
  </si>
  <si>
    <t>Act_ARRD_10323_103217_703</t>
  </si>
  <si>
    <t>Act_ARRD_10324_122646_703</t>
  </si>
  <si>
    <t>Act_ARRD_10325_141143_703</t>
  </si>
  <si>
    <t>Act_ARRD_10326_150104_703</t>
  </si>
  <si>
    <t>Act_ARRD_10327_151838_727</t>
  </si>
  <si>
    <t>Act_ARRD_10328_153217_731</t>
  </si>
  <si>
    <t>Act_ARRD_10329_173052_703</t>
  </si>
  <si>
    <t>Act_ARRD_10330_174532_727</t>
  </si>
  <si>
    <t>Act_ARRD_10331_200436_703</t>
  </si>
  <si>
    <t>Coupling</t>
  </si>
  <si>
    <t>Act_COP_1000301_074106_615</t>
  </si>
  <si>
    <t>Act_COP_1000304_074935_627</t>
  </si>
  <si>
    <t>Act_COP_1000309_080207_623</t>
  </si>
  <si>
    <t>Act_COP_1000311_080631_606</t>
  </si>
  <si>
    <t>Act_COP_1000601_092044_606</t>
  </si>
  <si>
    <t>Act_COP_1000602_092304_607</t>
  </si>
  <si>
    <t>Act_COP_1000603_092557_619</t>
  </si>
  <si>
    <t>Act_COP_1000604_092830_606</t>
  </si>
  <si>
    <t>Act_COP_1000605_093047_609</t>
  </si>
  <si>
    <t>Act_COP_1000606_093331_627</t>
  </si>
  <si>
    <t>Act_COP_1000607_093534_611</t>
  </si>
  <si>
    <t>Act_COP_1000610_094440_625</t>
  </si>
  <si>
    <t>Act_COP_1000802_104938_605</t>
  </si>
  <si>
    <t>Act_COP_1000803_105230_613</t>
  </si>
  <si>
    <t>Act_COP_1001101_151714_627</t>
  </si>
  <si>
    <t>Act_COP_1001004_153528_606</t>
  </si>
  <si>
    <t>Act_COP_1001006_154100_611</t>
  </si>
  <si>
    <t>Act_COP_1001007_154334_623</t>
  </si>
  <si>
    <t>Act_COP_1001201_181456_615</t>
  </si>
  <si>
    <t>Act_COP_1001202_181749_625</t>
  </si>
  <si>
    <t>Act_COP_1001204_182154_607</t>
  </si>
  <si>
    <t>Act_COP_1001205_182504_619</t>
  </si>
  <si>
    <t>Act_COP_1001206_182702_611</t>
  </si>
  <si>
    <t>Act_COP_1001209_183611_621</t>
  </si>
  <si>
    <t>Act_COP_1001210_183841_623</t>
  </si>
  <si>
    <t>Act_COP_1001302_204046_625</t>
  </si>
  <si>
    <t>Act_COP_1001303_204255_609</t>
  </si>
  <si>
    <t>Act_COP_1001304_204454_613</t>
  </si>
  <si>
    <t>Act_COP_1001305_204703_611</t>
  </si>
  <si>
    <t>Act_COP_1001309_205747_629</t>
  </si>
  <si>
    <t>Act_COP_1001310_205939_617</t>
  </si>
  <si>
    <t>Act_COP_1001311_210130_613</t>
  </si>
  <si>
    <t>Act_COP_1001401_025612_627</t>
  </si>
  <si>
    <t>Act_COP_1001402_025752_615</t>
  </si>
  <si>
    <t>Act_COP_1001403_030024_623</t>
  </si>
  <si>
    <t>Act_COP_1001404_030205_615</t>
  </si>
  <si>
    <t>Act_COP_1001601_060349_607</t>
  </si>
  <si>
    <t>Act_COP_1001603_060907_623</t>
  </si>
  <si>
    <t>Act_COP_1001604_061049_615</t>
  </si>
  <si>
    <t>Act_COP_1001606_061540_619</t>
  </si>
  <si>
    <t>Act_COP_1001608_062110_627</t>
  </si>
  <si>
    <t>Act_COP_1001609_062427_625</t>
  </si>
  <si>
    <t>Act_COP_1001610_062731_627</t>
  </si>
  <si>
    <t>Act_COP_1001611_063022_619</t>
  </si>
  <si>
    <t>Act_COP_1001701_064650_623</t>
  </si>
  <si>
    <t>Act_COP_1001801_073814_629</t>
  </si>
  <si>
    <t>Act_COP_1001805_074735_621</t>
  </si>
  <si>
    <t>Act_COP_1001807_075252_607</t>
  </si>
  <si>
    <t>Act_COP_1002101_090136_605</t>
  </si>
  <si>
    <t>Act_COP_1002102_090451_619</t>
  </si>
  <si>
    <t>Act_COP_1002503_153841_613</t>
  </si>
  <si>
    <t>Act_COP_1002504_154130_619</t>
  </si>
  <si>
    <t>Act_COP_1002505_154331_611</t>
  </si>
  <si>
    <t>Act_COP_1002507_154906_629</t>
  </si>
  <si>
    <t>Act_COP_1002508_155058_617</t>
  </si>
  <si>
    <t>Act_COP_1002509_155353_625</t>
  </si>
  <si>
    <t>Act_COP_1002510_155553_617</t>
  </si>
  <si>
    <t>Act_COP_1002601_160240_605</t>
  </si>
  <si>
    <t>Act_COP_1002801_202711_629</t>
  </si>
  <si>
    <t>Act_COP_1002802_202948_621</t>
  </si>
  <si>
    <t>Act_COP_1002803_203150_613</t>
  </si>
  <si>
    <t>Act_COP_1002805_203737_619</t>
  </si>
  <si>
    <t>Act_COP_1002806_204028_627</t>
  </si>
  <si>
    <t>Act_COP_1002807_204239_607</t>
  </si>
  <si>
    <t>Act_COP_1002808_204427_611</t>
  </si>
  <si>
    <t>Act_COP_1002904_213952_619</t>
  </si>
  <si>
    <t>Act_COP_1002907_214404_611</t>
  </si>
  <si>
    <t>Act_COP_1002908_214642_623</t>
  </si>
  <si>
    <t>Act_COP_1002906_214805_617</t>
  </si>
  <si>
    <t>Act_COP_1002909_214930_621</t>
  </si>
  <si>
    <t>Act_COP_1002910_215126_615</t>
  </si>
  <si>
    <t>Act_COP_1002911_215328_611</t>
  </si>
  <si>
    <t>Act_COP_1002912_215811_615</t>
  </si>
  <si>
    <t>Act_COP_1003102_175606_619</t>
  </si>
  <si>
    <t>Act_COP_1003103_175811_613</t>
  </si>
  <si>
    <t>Act_COP_1003401_030308_627</t>
  </si>
  <si>
    <t>Act_COP_1003402_030606_625</t>
  </si>
  <si>
    <t>Act_COP_1003403_030851_627</t>
  </si>
  <si>
    <t>Act_COP_1003404_031156_623</t>
  </si>
  <si>
    <t>Act_COP_1003405_031342_615</t>
  </si>
  <si>
    <t>Act_COP_1003601_074659_627</t>
  </si>
  <si>
    <t>Act_COP_1003602_074933_605</t>
  </si>
  <si>
    <t>Act_COP_1003603_075126_617</t>
  </si>
  <si>
    <t>Act_COP_1003604_075500_617</t>
  </si>
  <si>
    <t>Act_COP_1003902_083721_625</t>
  </si>
  <si>
    <t>Act_COP_1004002_090127_613</t>
  </si>
  <si>
    <t>Act_COP_1004004_090543_623</t>
  </si>
  <si>
    <t>Act_COP_1004005_090811_605</t>
  </si>
  <si>
    <t>Act_COP_1004008_092513_613</t>
  </si>
  <si>
    <t>Act_COP_1004201_131316_625</t>
  </si>
  <si>
    <t>Act_COP_1004402_153154_606</t>
  </si>
  <si>
    <t>Act_COP_1004404_153627_629</t>
  </si>
  <si>
    <t>Act_COP_1004405_153819_613</t>
  </si>
  <si>
    <t>Act_COP_1004406_154028_609</t>
  </si>
  <si>
    <t>Act_COP_1004408_154437_611</t>
  </si>
  <si>
    <t>Act_COP_1004409_154628_613</t>
  </si>
  <si>
    <t>Act_COP_1004410_154900_623</t>
  </si>
  <si>
    <t>Act_COP_1004411_155130_605</t>
  </si>
  <si>
    <t>Act_COP_1004602_161641_627</t>
  </si>
  <si>
    <t>Act_COP_1004701_175204_611</t>
  </si>
  <si>
    <t>Act_COP_1004702_175459_625</t>
  </si>
  <si>
    <t>Act_COP_1004703_175732_623</t>
  </si>
  <si>
    <t>Act_COP_1004705_180149_605</t>
  </si>
  <si>
    <t>Act_COP_1004707_180653_625</t>
  </si>
  <si>
    <t>Act_COP_1004709_181233_621</t>
  </si>
  <si>
    <t>Act_COP_1004710_181505_606</t>
  </si>
  <si>
    <t>Act_COP_1004711_181753_627</t>
  </si>
  <si>
    <t>Act_COP_1004712_181933_615</t>
  </si>
  <si>
    <t>Act_COP_1004713_182314_615</t>
  </si>
  <si>
    <t>Act_COP_1004801_182519_607</t>
  </si>
  <si>
    <t>Act_COP_1005001_030552_625</t>
  </si>
  <si>
    <t>Act_COP_1005002_030841_627</t>
  </si>
  <si>
    <t>Act_COP_1005003_031139_625</t>
  </si>
  <si>
    <t>Act_COP_1005005_031638_623</t>
  </si>
  <si>
    <t>Act_COP_1005101_040445_611</t>
  </si>
  <si>
    <t>Act_COP_1005302_080001_621</t>
  </si>
  <si>
    <t>Act_COP_1005303_080243_627</t>
  </si>
  <si>
    <t>Act_COP_1005307_081145_615</t>
  </si>
  <si>
    <t>Act_COP_1005310_082011_625</t>
  </si>
  <si>
    <t>Act_COP_1005312_082501_627</t>
  </si>
  <si>
    <t>Act_COP_1005314_082946_605</t>
  </si>
  <si>
    <t>Act_COP_1005315_083152_609</t>
  </si>
  <si>
    <t>Act_COP_1005501_083613_613</t>
  </si>
  <si>
    <t>Act_COP_1006001_152530_621</t>
  </si>
  <si>
    <t>Act_COP_1006002_152749_607</t>
  </si>
  <si>
    <t>Act_COP_1006005_153502_623</t>
  </si>
  <si>
    <t>Act_COP_1006007_153847_613</t>
  </si>
  <si>
    <t>Act_COP_1006008_154117_605</t>
  </si>
  <si>
    <t>Act_COP_1006010_154612_619</t>
  </si>
  <si>
    <t>Act_COP_1006011_154821_609</t>
  </si>
  <si>
    <t>Act_COP_1006401_200523_611</t>
  </si>
  <si>
    <t>Act_COP_1006402_200743_607</t>
  </si>
  <si>
    <t>Act_COP_1006403_201011_606</t>
  </si>
  <si>
    <t>Act_COP_1006404_201307_625</t>
  </si>
  <si>
    <t>Act_COP_1006406_201653_613</t>
  </si>
  <si>
    <t>Act_COP_1006407_201942_619</t>
  </si>
  <si>
    <t>Act_COP_1006408_202215_605</t>
  </si>
  <si>
    <t>Act_COP_1006409_202435_607</t>
  </si>
  <si>
    <t>Act_COP_1006501_202755_617</t>
  </si>
  <si>
    <t>Act_COP_1006601_030119_613</t>
  </si>
  <si>
    <t>Act_COP_1006602_030352_623</t>
  </si>
  <si>
    <t>Act_COP_1006603_030704_625</t>
  </si>
  <si>
    <t>Act_COP_1006701_063313_615</t>
  </si>
  <si>
    <t>Act_COP_1006702_063623_619</t>
  </si>
  <si>
    <t>Act_COP_1006705_064302_613</t>
  </si>
  <si>
    <t>Act_COP_1006707_064656_611</t>
  </si>
  <si>
    <t>Act_COP_1006709_065226_623</t>
  </si>
  <si>
    <t>Act_COP_1007001_073531_609</t>
  </si>
  <si>
    <t>Act_COP_1006902_074038_609</t>
  </si>
  <si>
    <t>Act_COP_1006903_074328_621</t>
  </si>
  <si>
    <t>Act_COP_1006904_074534_611</t>
  </si>
  <si>
    <t>Act_COP_1006905_074804_605</t>
  </si>
  <si>
    <t>Act_COP_1006906_074955_613</t>
  </si>
  <si>
    <t>Act_COP_1007202_090601_627</t>
  </si>
  <si>
    <t>Act_COP_1007501_152321_621</t>
  </si>
  <si>
    <t>Act_COP_1007504_153047_615</t>
  </si>
  <si>
    <t>Act_COP_1007505_153306_607</t>
  </si>
  <si>
    <t>Act_COP_1007701_181029_613</t>
  </si>
  <si>
    <t>Act_COP_1007702_181325_625</t>
  </si>
  <si>
    <t>Act_COP_1007703_181554_606</t>
  </si>
  <si>
    <t>Act_COP_1007705_182052_619</t>
  </si>
  <si>
    <t>Act_COP_1007706_182243_613</t>
  </si>
  <si>
    <t>Act_COP_1007709_182935_609</t>
  </si>
  <si>
    <t>Act_COP_1007902_183603_606</t>
  </si>
  <si>
    <t>Act_COP_1007904_184116_607</t>
  </si>
  <si>
    <t>Act_COP_1007905_184323_609</t>
  </si>
  <si>
    <t>Act_COP_1007906_184550_605</t>
  </si>
  <si>
    <t>Act_COP_1007907_184837_621</t>
  </si>
  <si>
    <t>Act_COP_1007909_185249_609</t>
  </si>
  <si>
    <t>Act_COP_1007910_185531_627</t>
  </si>
  <si>
    <t>Act_COP_1007911_185815_605</t>
  </si>
  <si>
    <t>Act_COP_1008003_202955_613</t>
  </si>
  <si>
    <t>Act_COP_1008005_203529_625</t>
  </si>
  <si>
    <t>Act_COP_1008006_203834_625</t>
  </si>
  <si>
    <t>Act_COP_1008008_204346_629</t>
  </si>
  <si>
    <t>Act_COP_1008101_030054_617</t>
  </si>
  <si>
    <t>Act_COP_1008102_030345_627</t>
  </si>
  <si>
    <t>Act_COP_1008103_030707_621</t>
  </si>
  <si>
    <t>Act_COP_1008104_030943_623</t>
  </si>
  <si>
    <t>Act_COP_1008201_044514_615</t>
  </si>
  <si>
    <t>Act_COP_1008301_060103_611</t>
  </si>
  <si>
    <t>Act_COP_1008402_070921_627</t>
  </si>
  <si>
    <t>Act_COP_1008403_071127_613</t>
  </si>
  <si>
    <t>Act_COP_1008404_071418_605</t>
  </si>
  <si>
    <t>Act_COP_1008406_071858_625</t>
  </si>
  <si>
    <t>Act_COP_1008409_072633_605</t>
  </si>
  <si>
    <t>Act_COP_1008802_091704_627</t>
  </si>
  <si>
    <t>Act_COP_1008803_091920_611</t>
  </si>
  <si>
    <t>Act_COP_1008703_092745_623</t>
  </si>
  <si>
    <t>Act_COP_1008704_092933_617</t>
  </si>
  <si>
    <t>Act_COP_1008707_093656_605</t>
  </si>
  <si>
    <t>Act_COP_1008708_093835_615</t>
  </si>
  <si>
    <t>Act_COP_1008710_094432_625</t>
  </si>
  <si>
    <t>Act_COP_1008712_094917_623</t>
  </si>
  <si>
    <t>Act_COP_1009101_142110_613</t>
  </si>
  <si>
    <t>Act_COP_1009401_181500_609</t>
  </si>
  <si>
    <t>Act_COP_1009405_182625_605</t>
  </si>
  <si>
    <t>Act_COP_1009406_182832_609</t>
  </si>
  <si>
    <t>Act_COP_1009407_183040_609</t>
  </si>
  <si>
    <t>Act_COP_1009408_183218_615</t>
  </si>
  <si>
    <t>Act_COP_1009410_183730_623</t>
  </si>
  <si>
    <t>Act_COP_1009412_184220_619</t>
  </si>
  <si>
    <t>Act_COP_1009505_204526_613</t>
  </si>
  <si>
    <t>Act_COP_1009506_204803_623</t>
  </si>
  <si>
    <t>Act_COP_1009601_051645_619</t>
  </si>
  <si>
    <t>Act_COP_1009602_051940_625</t>
  </si>
  <si>
    <t>Act_COP_1009701_055017_625</t>
  </si>
  <si>
    <t>Act_COP_1009704_055843_625</t>
  </si>
  <si>
    <t>Act_COP_1009801_180302_625</t>
  </si>
  <si>
    <t>Act_COP_1010001_024340_605</t>
  </si>
  <si>
    <t>Act_COP_1010501_075557_607</t>
  </si>
  <si>
    <t>Act_COP_1010503_080000_613</t>
  </si>
  <si>
    <t>Act_COP_1010504_080222_609</t>
  </si>
  <si>
    <t>Act_COP_1010507_081015_606</t>
  </si>
  <si>
    <t>Act_COP_1010509_081502_611</t>
  </si>
  <si>
    <t>Act_COP_1010510_081749_606</t>
  </si>
  <si>
    <t>Act_COP_1010511_082021_623</t>
  </si>
  <si>
    <t>Act_COP_1010513_082433_615</t>
  </si>
  <si>
    <t>Act_COP_1010514_082624_613</t>
  </si>
  <si>
    <t>Act_COP_1010602_092043_617</t>
  </si>
  <si>
    <t>Act_COP_1010701_093143_627</t>
  </si>
  <si>
    <t>Act_COP_1010702_093322_615</t>
  </si>
  <si>
    <t>Act_COP_1010703_093519_613</t>
  </si>
  <si>
    <t>Act_COP_1010704_093745_605</t>
  </si>
  <si>
    <t>Act_COP_1010707_094331_611</t>
  </si>
  <si>
    <t>Act_COP_1010708_094616_605</t>
  </si>
  <si>
    <t>Act_COP_1010709_094900_629</t>
  </si>
  <si>
    <t>Act_COP_1010710_095152_621</t>
  </si>
  <si>
    <t>Act_COP_1010901_123006_617</t>
  </si>
  <si>
    <t>Act_COP_1011103_152102_607</t>
  </si>
  <si>
    <t>Act_COP_1011104_152358_625</t>
  </si>
  <si>
    <t>Act_COP_1011105_152630_623</t>
  </si>
  <si>
    <t>Act_COP_1011106_152915_627</t>
  </si>
  <si>
    <t>Act_COP_1011109_153731_621</t>
  </si>
  <si>
    <t>Act_COP_1011110_154022_629</t>
  </si>
  <si>
    <t>Act_COP_1011111_154232_609</t>
  </si>
  <si>
    <t>Act_COP_1011301_161848_606</t>
  </si>
  <si>
    <t>Act_COP_1011601_024422_605</t>
  </si>
  <si>
    <t>Act_COP_1011603_024900_619</t>
  </si>
  <si>
    <t>Act_COP_1011604_025146_627</t>
  </si>
  <si>
    <t>Act_COP_1011801_070150_629</t>
  </si>
  <si>
    <t>Act_COP_1011802_070349_613</t>
  </si>
  <si>
    <t>Act_COP_1011805_071110_617</t>
  </si>
  <si>
    <t>Act_COP_1011806_071405_625</t>
  </si>
  <si>
    <t>Act_COP_1011807_071636_605</t>
  </si>
  <si>
    <t>Act_COP_1012202_092632_607</t>
  </si>
  <si>
    <t>Act_COP_1012203_092928_629</t>
  </si>
  <si>
    <t>Act_COP_1012101_093603_605</t>
  </si>
  <si>
    <t>Act_COP_1012103_094027_627</t>
  </si>
  <si>
    <t>Act_COP_1012104_094338_625</t>
  </si>
  <si>
    <t>Act_COP_1012106_094856_619</t>
  </si>
  <si>
    <t>Act_COP_1012111_100026_623</t>
  </si>
  <si>
    <t>Act_COP_1012110_100058_605</t>
  </si>
  <si>
    <t>Act_COP_1012108_100103_615</t>
  </si>
  <si>
    <t>Act_COP_1012109_100545_627</t>
  </si>
  <si>
    <t>Act_COP_1012301_101239_609</t>
  </si>
  <si>
    <t>Act_COP_1012302_101831_611</t>
  </si>
  <si>
    <t>Act_COP_1012113_102123_627</t>
  </si>
  <si>
    <t>Act_COP_1012601_152609_617</t>
  </si>
  <si>
    <t>Act_COP_1012602_152825_609</t>
  </si>
  <si>
    <t>Act_COP_1012603_153100_623</t>
  </si>
  <si>
    <t>Act_COP_1012604_153254_615</t>
  </si>
  <si>
    <t>Act_COP_1012607_154039_627</t>
  </si>
  <si>
    <t>Act_COP_1012608_154228_617</t>
  </si>
  <si>
    <t>Act_COP_1012609_154511_627</t>
  </si>
  <si>
    <t>Act_COP_1012610_155045_627</t>
  </si>
  <si>
    <t>Act_COP_1013001_180309_607</t>
  </si>
  <si>
    <t>Act_COP_1012901_180716_621</t>
  </si>
  <si>
    <t>Act_COP_1012903_181104_617</t>
  </si>
  <si>
    <t>Act_COP_1012904_181404_625</t>
  </si>
  <si>
    <t>Act_COP_1012910_182900_605</t>
  </si>
  <si>
    <t>Act_COP_1013201_024256_606</t>
  </si>
  <si>
    <t>Act_COP_1013202_024547_627</t>
  </si>
  <si>
    <t>Act_COP_1013204_025119_619</t>
  </si>
  <si>
    <t>Act_COP_1013401_064303_615</t>
  </si>
  <si>
    <t>Act_COP_1013501_073708_627</t>
  </si>
  <si>
    <t>Act_COP_1013504_074500_605</t>
  </si>
  <si>
    <t>Act_COP_1013507_075228_625</t>
  </si>
  <si>
    <t>Act_COP_1013508_075526_619</t>
  </si>
  <si>
    <t>Act_COP_1013801_091820_619</t>
  </si>
  <si>
    <t>Act_COP_1013802_092040_607</t>
  </si>
  <si>
    <t>Act_COP_1013804_092459_606</t>
  </si>
  <si>
    <t>Act_COP_1013805_092642_615</t>
  </si>
  <si>
    <t>Act_COP_1013808_093459_607</t>
  </si>
  <si>
    <t>Act_COP_1013902_094114_609</t>
  </si>
  <si>
    <t>Act_COP_1014001_101221_609</t>
  </si>
  <si>
    <t>Act_COP_1014201_153502_607</t>
  </si>
  <si>
    <t>Act_COP_1014202_153747_627</t>
  </si>
  <si>
    <t>Act_COP_1014203_154106_625</t>
  </si>
  <si>
    <t>Act_COP_1014206_154902_607</t>
  </si>
  <si>
    <t>Act_COP_1014207_155130_605</t>
  </si>
  <si>
    <t>Act_COP_1014208_155318_615</t>
  </si>
  <si>
    <t>Act_COP_1014210_155820_606</t>
  </si>
  <si>
    <t>Act_COP_1014501_180912_627</t>
  </si>
  <si>
    <t>Act_COP_1014502_181112_611</t>
  </si>
  <si>
    <t>Act_COP_1014503_181402_619</t>
  </si>
  <si>
    <t>Act_COP_1014504_181622_607</t>
  </si>
  <si>
    <t>Act_COP_1014508_182602_609</t>
  </si>
  <si>
    <t>Act_COP_1014510_183128_627</t>
  </si>
  <si>
    <t>Act_COP_1014602_025742_605</t>
  </si>
  <si>
    <t>Act_COP_1014802_074530_621</t>
  </si>
  <si>
    <t>Act_COP_1014803_074815_627</t>
  </si>
  <si>
    <t>Act_COP_1014804_075006_613</t>
  </si>
  <si>
    <t>Act_COP_1014805_075158_617</t>
  </si>
  <si>
    <t>Act_COP_1014806_075355_613</t>
  </si>
  <si>
    <t>Act_COP_1014807_075652_625</t>
  </si>
  <si>
    <t>Act_COP_1014808_075924_606</t>
  </si>
  <si>
    <t>Act_COP_1014810_080443_605</t>
  </si>
  <si>
    <t>Act_COP_1014811_080740_625</t>
  </si>
  <si>
    <t>Act_COP_1015101_093111_607</t>
  </si>
  <si>
    <t>Act_COP_1015102_093311_611</t>
  </si>
  <si>
    <t>Act_COP_1015103_093542_623</t>
  </si>
  <si>
    <t>Act_COP_1015104_093829_629</t>
  </si>
  <si>
    <t>Act_COP_1015105_094126_625</t>
  </si>
  <si>
    <t>Act_COP_1015106_094322_617</t>
  </si>
  <si>
    <t>Act_COP_1015107_094607_627</t>
  </si>
  <si>
    <t>Act_COP_1015108_094818_609</t>
  </si>
  <si>
    <t>Act_COP_1015109_095017_613</t>
  </si>
  <si>
    <t>Act_COP_1015110_101803_613</t>
  </si>
  <si>
    <t>Act_COP_1015601_150816_629</t>
  </si>
  <si>
    <t>Act_COP_1015603_151257_607</t>
  </si>
  <si>
    <t>Act_COP_1015604_151507_609</t>
  </si>
  <si>
    <t>Act_COP_1015605_151753_627</t>
  </si>
  <si>
    <t>Act_COP_1015801_161807_615</t>
  </si>
  <si>
    <t>Act_COP_1015802_162104_621</t>
  </si>
  <si>
    <t>Act_COP_1015901_174934_617</t>
  </si>
  <si>
    <t>Act_COP_1015902_175224_629</t>
  </si>
  <si>
    <t>Act_COP_1015904_175820_619</t>
  </si>
  <si>
    <t>Act_COP_1016001_202340_611</t>
  </si>
  <si>
    <t>Act_COP_1016003_202904_609</t>
  </si>
  <si>
    <t>Act_COP_1016004_203135_623</t>
  </si>
  <si>
    <t>Act_COP_1016005_203328_617</t>
  </si>
  <si>
    <t>Act_COP_1016006_203548_607</t>
  </si>
  <si>
    <t>Act_COP_1016101_030214_605</t>
  </si>
  <si>
    <t>Act_COP_1016102_030500_627</t>
  </si>
  <si>
    <t>Act_COP_1016104_031001_609</t>
  </si>
  <si>
    <t>Act_COP_1016201_044443_619</t>
  </si>
  <si>
    <t>Act_COP_1016401_072523_606</t>
  </si>
  <si>
    <t>Act_COP_1016403_073116_623</t>
  </si>
  <si>
    <t>Act_COP_1016404_073303_615</t>
  </si>
  <si>
    <t>Act_COP_1016408_074417_621</t>
  </si>
  <si>
    <t>Act_COP_1016409_074705_621</t>
  </si>
  <si>
    <t>Act_COP_1016601_081346_623</t>
  </si>
  <si>
    <t>Act_COP_1016704_091713_619</t>
  </si>
  <si>
    <t>Act_COP_1016706_092209_611</t>
  </si>
  <si>
    <t>Act_COP_1016708_092725_629</t>
  </si>
  <si>
    <t>Act_COP_1016709_093021_627</t>
  </si>
  <si>
    <t>Act_COP_1016710_093303_629</t>
  </si>
  <si>
    <t>Act_COP_1017406_204503_621</t>
  </si>
  <si>
    <t>Act_COP_1017407_204713_609</t>
  </si>
  <si>
    <t>Act_COP_1017502_004721_606</t>
  </si>
  <si>
    <t>Act_COP_1017504_004958_606</t>
  </si>
  <si>
    <t>Act_COP_1017601_060155_625</t>
  </si>
  <si>
    <t>Act_COP_1017701_065538_625</t>
  </si>
  <si>
    <t>Act_COP_1017706_070557_617</t>
  </si>
  <si>
    <t>Act_COP_1017707_070847_629</t>
  </si>
  <si>
    <t>Act_COP_1017709_071028_615</t>
  </si>
  <si>
    <t>Act_COP_1017902_202940_607</t>
  </si>
  <si>
    <t>Act_COP_1018001_024609_621</t>
  </si>
  <si>
    <t>Act_COP_1018003_025122_619</t>
  </si>
  <si>
    <t>Act_COP_1018303_080211_617</t>
  </si>
  <si>
    <t>Act_COP_1018304_080427_605</t>
  </si>
  <si>
    <t>Act_COP_1018308_081222_627</t>
  </si>
  <si>
    <t>Act_COP_1018310_081500_619</t>
  </si>
  <si>
    <t>Act_COP_1018314_082212_625</t>
  </si>
  <si>
    <t>Act_COP_1018315_082448_619</t>
  </si>
  <si>
    <t>Act_COP_1018316_082641_611</t>
  </si>
  <si>
    <t>Act_COP_1018602_092509_625</t>
  </si>
  <si>
    <t>Act_COP_1018604_093107_627</t>
  </si>
  <si>
    <t>Act_COP_1018605_093400_619</t>
  </si>
  <si>
    <t>Act_COP_1018607_093648_629</t>
  </si>
  <si>
    <t>Act_COP_1018610_094111_623</t>
  </si>
  <si>
    <t>Act_COP_1018611_094405_619</t>
  </si>
  <si>
    <t>Act_COP_1018802_105225_615</t>
  </si>
  <si>
    <t>Act_COP_1019101_153544_609</t>
  </si>
  <si>
    <t>Act_COP_1019106_154542_623</t>
  </si>
  <si>
    <t>Act_COP_1019107_154823_623</t>
  </si>
  <si>
    <t>Act_COP_1019109_155356_629</t>
  </si>
  <si>
    <t>Act_COP_1019110_155642_627</t>
  </si>
  <si>
    <t>Act_COP_1019601_030919_627</t>
  </si>
  <si>
    <t>Act_COP_1019602_031210_629</t>
  </si>
  <si>
    <t>Act_COP_1019604_031643_621</t>
  </si>
  <si>
    <t>Act_COP_1019605_032006_629</t>
  </si>
  <si>
    <t>Act_COP_1019802_074231_613</t>
  </si>
  <si>
    <t>Act_COP_1019805_075055_605</t>
  </si>
  <si>
    <t>Act_COP_1019808_075620_605</t>
  </si>
  <si>
    <t>Act_COP_1020101_091921_613</t>
  </si>
  <si>
    <t>Act_COP_1020102_092112_615</t>
  </si>
  <si>
    <t>Act_COP_1020103_092257_615</t>
  </si>
  <si>
    <t>Act_COP_1020107_093044_617</t>
  </si>
  <si>
    <t>Act_COP_1020108_093331_627</t>
  </si>
  <si>
    <t>Act_COP_1020109_093616_629</t>
  </si>
  <si>
    <t>Act_COP_1020301_102336_619</t>
  </si>
  <si>
    <t>Act_COP_1020303_102825_619</t>
  </si>
  <si>
    <t>Act_COP_1020501_150416_617</t>
  </si>
  <si>
    <t>Act_COP_1020502_150624_609</t>
  </si>
  <si>
    <t>Act_COP_1020505_151350_623</t>
  </si>
  <si>
    <t>Act_COP_1020506_151632_629</t>
  </si>
  <si>
    <t>Act_COP_1020508_152156_605</t>
  </si>
  <si>
    <t>Act_COP_1020802_024854_615</t>
  </si>
  <si>
    <t>Act_COP_1021105_072756_605</t>
  </si>
  <si>
    <t>Act_COP_1021106_073046_621</t>
  </si>
  <si>
    <t>Act_COP_1021109_073628_629</t>
  </si>
  <si>
    <t>Act_COP_1021110_073923_625</t>
  </si>
  <si>
    <t>Act_COP_1021402_084010_615</t>
  </si>
  <si>
    <t>Act_COP_1021501_093907_629</t>
  </si>
  <si>
    <t>Act_COP_1021503_094523_621</t>
  </si>
  <si>
    <t>Act_COP_1021504_094811_621</t>
  </si>
  <si>
    <t>Act_COP_1021505_095013_611</t>
  </si>
  <si>
    <t>Act_COP_1021506_095232_607</t>
  </si>
  <si>
    <t>Act_COP_1021507_095443_609</t>
  </si>
  <si>
    <t>Act_COP_1021508_095740_629</t>
  </si>
  <si>
    <t>Act_COP_1022001_174735_615</t>
  </si>
  <si>
    <t>Act_COP_1021901_175430_606</t>
  </si>
  <si>
    <t>Act_COP_1021902_175638_609</t>
  </si>
  <si>
    <t>Act_COP_1021904_180028_613</t>
  </si>
  <si>
    <t>Act_COP_1021905_180320_625</t>
  </si>
  <si>
    <t>Act_COP_1021907_180807_607</t>
  </si>
  <si>
    <t>Act_COP_1021909_181419_623</t>
  </si>
  <si>
    <t>Act_COP_1022203_203212_619</t>
  </si>
  <si>
    <t>Act_COP_1022204_203406_617</t>
  </si>
  <si>
    <t>Act_COP_1022205_203647_623</t>
  </si>
  <si>
    <t>Act_COP_1022207_204158_607</t>
  </si>
  <si>
    <t>Act_COP_1022208_204430_606</t>
  </si>
  <si>
    <t>Act_COP_1022503_071110_615</t>
  </si>
  <si>
    <t>Act_COP_1022505_071601_617</t>
  </si>
  <si>
    <t>Act_COP_1022506+1022508_071854_619</t>
  </si>
  <si>
    <t>1022506+1022508</t>
  </si>
  <si>
    <t>Act_COP_1022903_093942_615</t>
  </si>
  <si>
    <t>Act_COP_1022904_094200_607</t>
  </si>
  <si>
    <t>Act_COP_1022905_094417_607</t>
  </si>
  <si>
    <t>Act_COP_1022906_094713_629</t>
  </si>
  <si>
    <t>Act_COP_1022907_094909_617</t>
  </si>
  <si>
    <t>Act_COP_1022908_095153_629</t>
  </si>
  <si>
    <t>Act_COP_1022911_100047_619</t>
  </si>
  <si>
    <t>Act_COP_1023203_151104_629</t>
  </si>
  <si>
    <t>Act_COP_1023204_151333_623</t>
  </si>
  <si>
    <t>Act_COP_1023205_151621_629</t>
  </si>
  <si>
    <t>Act_COP_1023502_173440_627</t>
  </si>
  <si>
    <t>Act_COP_1023503_173730_629</t>
  </si>
  <si>
    <t>Act_COP_1023505_174133_607</t>
  </si>
  <si>
    <t>Act_COP_1023506_174404_623</t>
  </si>
  <si>
    <t>Act_COP_1023507_174659_625</t>
  </si>
  <si>
    <t>Act_COP_1023508_174919_607</t>
  </si>
  <si>
    <t>Act_COP_1023509_175059_615</t>
  </si>
  <si>
    <t>Act_COP_1023512_175735_615</t>
  </si>
  <si>
    <t>Act_COP_1023701_210849_609</t>
  </si>
  <si>
    <t>Act_COP_1023801_025909_627</t>
  </si>
  <si>
    <t>Act_COP_1023803_030412_615</t>
  </si>
  <si>
    <t>Act_COP_1023804_030700_621</t>
  </si>
  <si>
    <t>Act_COP_1023805_030848_615</t>
  </si>
  <si>
    <t>Act_COP_1024206_074812_615</t>
  </si>
  <si>
    <t>Act_COP_1024208_075100_621</t>
  </si>
  <si>
    <t>Act_COP_1024501_092422_615</t>
  </si>
  <si>
    <t>Act_COP_1024502_092651_623</t>
  </si>
  <si>
    <t>Act_COP_1024505_093154_615</t>
  </si>
  <si>
    <t>Act_COP_1024601_100914_615</t>
  </si>
  <si>
    <t>Act_COP_1024903_152310_621</t>
  </si>
  <si>
    <t>Act_COP_1024905_152857_627</t>
  </si>
  <si>
    <t>Act_COP_1024906_153146_621</t>
  </si>
  <si>
    <t>Act_COP_1024908_153418_623</t>
  </si>
  <si>
    <t>Act_COP_1025401_180648_607</t>
  </si>
  <si>
    <t>Act_COP_1025403_181246_607</t>
  </si>
  <si>
    <t>Act_COP_1025501_025429_627</t>
  </si>
  <si>
    <t>Act_COP_1025503_025943_617</t>
  </si>
  <si>
    <t>Act_COP_1025802_073728_619</t>
  </si>
  <si>
    <t>Act_COP_1026103_090718_615</t>
  </si>
  <si>
    <t>Act_COP_1026104_091005_619</t>
  </si>
  <si>
    <t>Act_COP_1026108_091603_627</t>
  </si>
  <si>
    <t>Act_COP_1026109_091821_607</t>
  </si>
  <si>
    <t>Act_COP_1026110_092004_615</t>
  </si>
  <si>
    <t>Act_COP_1026112_092250_621</t>
  </si>
  <si>
    <t>Act_COP_1026701_161222_625</t>
  </si>
  <si>
    <t>Act_COP_1026702_161549_606</t>
  </si>
  <si>
    <t>Act_COP_1027001_211504_613</t>
  </si>
  <si>
    <t>Act_COP_1027101_030755_621</t>
  </si>
  <si>
    <t>Act_COP_1027302_073637_615</t>
  </si>
  <si>
    <t>Act_COP_1027307_074633_629</t>
  </si>
  <si>
    <t>Act_COP_1027602_092948_627</t>
  </si>
  <si>
    <t>Act_COP_1027603_093126_615</t>
  </si>
  <si>
    <t>Act_COP_1027605_093603_617</t>
  </si>
  <si>
    <t>Act_COP_1027606_093850_619</t>
  </si>
  <si>
    <t>Act_COP_1027608_094321_615</t>
  </si>
  <si>
    <t>Act_COP_1027609_094603_629</t>
  </si>
  <si>
    <t>Act_COP_1027611_094742_615</t>
  </si>
  <si>
    <t>Act_COP_1027612_095029_619</t>
  </si>
  <si>
    <t>Act_COP_1027614_095245_609</t>
  </si>
  <si>
    <t>Act_COP_1027801_104734_627</t>
  </si>
  <si>
    <t>Act_COP_1027802_105024_621</t>
  </si>
  <si>
    <t>Act_COP_1028103_150137_619</t>
  </si>
  <si>
    <t>Act_COP_1028104_150427_629</t>
  </si>
  <si>
    <t>Act_COP_1028108_151025_615</t>
  </si>
  <si>
    <t>Act_COP_1028503_030703_619</t>
  </si>
  <si>
    <t>Act_COP_1028504_030949_629</t>
  </si>
  <si>
    <t>Act_COP_1029101_093150_619</t>
  </si>
  <si>
    <t>Act_COP_1029102_093340_617</t>
  </si>
  <si>
    <t>Act_COP_1029104_093555_615</t>
  </si>
  <si>
    <t>Act_COP_1029107_094112_621</t>
  </si>
  <si>
    <t>Act_COP_1029110_094635_623</t>
  </si>
  <si>
    <t>Act_COP_1029201_104509_621</t>
  </si>
  <si>
    <t>Act_COP_1029501_152226_623</t>
  </si>
  <si>
    <t>Act_COP_1029503_152715_617</t>
  </si>
  <si>
    <t>Act_COP_1029507_153750_619</t>
  </si>
  <si>
    <t>Act_COP_1029508_153959_609</t>
  </si>
  <si>
    <t>Act_COP_1029511_154248_627</t>
  </si>
  <si>
    <t>Act_COP_1029802_180921_617</t>
  </si>
  <si>
    <t>Act_COP_1029804_181452_621</t>
  </si>
  <si>
    <t>Act_COP_1029805_181714_609</t>
  </si>
  <si>
    <t>Act_COP_1029806_182005_627</t>
  </si>
  <si>
    <t>Act_COP_1029808_182515_607</t>
  </si>
  <si>
    <t>Act_COP_1029809_182802_629</t>
  </si>
  <si>
    <t>Act_COP_1029810_183029_605</t>
  </si>
  <si>
    <t>Act_COP_1030001_030008_629</t>
  </si>
  <si>
    <t>Act_COP_1030002_030244_605</t>
  </si>
  <si>
    <t>Act_COP_1030301_074859_629</t>
  </si>
  <si>
    <t>Act_COP_1030302_075212_627</t>
  </si>
  <si>
    <t>Act_COP_1030303_075400_611</t>
  </si>
  <si>
    <t>Act_COP_1030306_075836_605</t>
  </si>
  <si>
    <t>Act_COP_1030307_080033_611</t>
  </si>
  <si>
    <t>Act_COP_1030309_080316_625</t>
  </si>
  <si>
    <t>Act_COP_1030310_080503_617</t>
  </si>
  <si>
    <t>Act_COP_1030311_080634_615</t>
  </si>
  <si>
    <t>Act_COP_1030401_081334_607</t>
  </si>
  <si>
    <t>Act_COP_1030501+1030503_083852_621</t>
  </si>
  <si>
    <t>1030501+1030503</t>
  </si>
  <si>
    <t>Act_COP_1030603_093646_625</t>
  </si>
  <si>
    <t>Act_COP_1031001_151603_629</t>
  </si>
  <si>
    <t>Act_COP_1031003_152126_619</t>
  </si>
  <si>
    <t>Act_COP_1031004_152415_621</t>
  </si>
  <si>
    <t>Act_COP_1031005_152712_621</t>
  </si>
  <si>
    <t>Act_COP_1031007_152946_605</t>
  </si>
  <si>
    <t>Act_COP_1031301_195426_615</t>
  </si>
  <si>
    <t>Act_COP_1031504_031210_615</t>
  </si>
  <si>
    <t>Act_COP_1031902_073706_627</t>
  </si>
  <si>
    <t>Act_COP_1031903_073912_611</t>
  </si>
  <si>
    <t>Act_COP_1031904_074205_629</t>
  </si>
  <si>
    <t>Act_COP_1031907_074737_619</t>
  </si>
  <si>
    <t>Act_COP_1031908_075029_606</t>
  </si>
  <si>
    <t>Act_COP_1031910_075313_629</t>
  </si>
  <si>
    <t>Act_COP_1031911_075608_619</t>
  </si>
  <si>
    <t>Act_COP_1032203_092755_623</t>
  </si>
  <si>
    <t>Act_COP_1032204_093052_625</t>
  </si>
  <si>
    <t>Act_COP_1032205_093321_623</t>
  </si>
  <si>
    <t>Act_COP_1032206_093528_609</t>
  </si>
  <si>
    <t>Act_COP_1032208_093817_621</t>
  </si>
  <si>
    <t>Act_COP_1032302_105532_617</t>
  </si>
  <si>
    <t>Act_COP_1032401_124055_607</t>
  </si>
  <si>
    <t>Act_COP_1032604_153403_623</t>
  </si>
  <si>
    <t>Act_COP_1032607_154155_621</t>
  </si>
  <si>
    <t>Act_COP_1032701_155055_621</t>
  </si>
  <si>
    <t>Act_COP_1032702_155253_611</t>
  </si>
  <si>
    <t>Act_COP_1032704_155648_607</t>
  </si>
  <si>
    <t>Act_COP_1032705_155952_629</t>
  </si>
  <si>
    <t>Act_COP_1032707_160513_623</t>
  </si>
  <si>
    <t>Act_COP_1032709_160806_621</t>
  </si>
  <si>
    <t>Act_COP_1032710_161058_625</t>
  </si>
  <si>
    <t>Act_COP_1032711_161309_609</t>
  </si>
  <si>
    <t>Act_COP_1033102_203120_621</t>
  </si>
  <si>
    <t>Act_COP_1033103_203340_607</t>
  </si>
  <si>
    <t>Act_COP_1033105_203929_629</t>
  </si>
  <si>
    <t>Act_COP_1033106_204159_605</t>
  </si>
  <si>
    <t>Act_DEPD_OBT020125030112-Neunkirchen (loading tracks)_032825_613</t>
  </si>
  <si>
    <t>Act_DEPD_OBT020125064334-Wien Kledering_073027_613</t>
  </si>
  <si>
    <t>Act_DEPD_OBT020125073857-Wien Kledering_082723_621</t>
  </si>
  <si>
    <t>Act_DEPD_OBT020125074750-Pitten (Hamburger)_085524_605</t>
  </si>
  <si>
    <t>Act_DEPD_OBT020125092035-Wien Kledering_095720_629</t>
  </si>
  <si>
    <t>Act_DEPD_OBT020125082044-Wien Kledering_100221_613</t>
  </si>
  <si>
    <t>Act_DEPD_OBT020125093825-Wr. Neustadt (Hödlmayr)_102645_609</t>
  </si>
  <si>
    <t>Act_DEPD_OBT020125093208-Other sidings north_103010_619</t>
  </si>
  <si>
    <t>Act_DEPD_OBT020125094857-Pitten (Hamburger)_105323_629</t>
  </si>
  <si>
    <t>Act_DEPD_OBT020125105809-Wien Kledering_123112_613</t>
  </si>
  <si>
    <t>Act_DEPD_OBT020125145206-Wien Kledering_160508_613</t>
  </si>
  <si>
    <t>Act_DEPD_OBT020125154035-Neudörfl (FunderMax)_162159_606</t>
  </si>
  <si>
    <t>Act_DEPD_OBT020125155102-Other sidings north_165341_629</t>
  </si>
  <si>
    <t>Act_DEPD_OBT020125152222-Ternitz (Schoeller-Bleckmann)_165427_627</t>
  </si>
  <si>
    <t>Act_DEPD_OBT020125154208-Pitten (Hamburger)_171155_629</t>
  </si>
  <si>
    <t>Act_DEPD_OBT020125184418-Neunkirchen (loading tracks)_191444_623</t>
  </si>
  <si>
    <t>Act_DEPD_OBT020125183042-Wr. Neustadt (Hödlmayr)_192554_619</t>
  </si>
  <si>
    <t>Act_DEPD_OBT020125183645-Pitten (Hamburger)_192632_627</t>
  </si>
  <si>
    <t>Act_DEPD_OBT020125205242-Ebenfurth (beet loading)_213318_611</t>
  </si>
  <si>
    <t>Act_DEPD_OBT020125210709-Neudörfl (FunderMax)_213504_613</t>
  </si>
  <si>
    <t>Act_DEPD_OBT020125210324-Other sidings north_213517_629</t>
  </si>
  <si>
    <t>Act_DEPD_OBT030125030120-Pitten (Hamburger)_033609_627</t>
  </si>
  <si>
    <t>Act_DEPD_OBT030125061555-Other sidings south_064358_615</t>
  </si>
  <si>
    <t>Act_DEPD_OBT030125045529-Neudörfl (FunderMax)_070059_613</t>
  </si>
  <si>
    <t>Act_DEPD_OBT030125063320-Ternitz (Schoeller-Bleckmann)_072233_627</t>
  </si>
  <si>
    <t>Act_DEPD_OBT030125063005-Gloggnitz_073031_625</t>
  </si>
  <si>
    <t>Act_DEPD_OBT030125063655-Wr. Neustadt (Hödlmayr)_073715_619</t>
  </si>
  <si>
    <t>Act_DEPD_OBT030125075311-Felixdorf/Sollenau (Bundesheer, Maba)_084140_621</t>
  </si>
  <si>
    <t>Act_DEPD_OBT030125070748-Neunkirchen (loading tracks)_085447_623</t>
  </si>
  <si>
    <t>Act_DEPD_OBT030125080046-Wien Kledering_090721_627</t>
  </si>
  <si>
    <t>Act_DEPD_OBT030125090958-Ebenfurth (beet loading)_100459_619</t>
  </si>
  <si>
    <t>Act_DEPD_OBT030125090715-St. Veit an der Glan_100511_605</t>
  </si>
  <si>
    <t>Act_DEPD_OBT030125084617-Wien Kledering_102753_625</t>
  </si>
  <si>
    <t>Act_DEPD_OBT030125110012-Wien Kledering_113801_605</t>
  </si>
  <si>
    <t>Act_DEPD_OBT030125105420-Wien Kledering_120209_627</t>
  </si>
  <si>
    <t>Act_DEPD_OBT030125131727-Wien Kledering_142813_627</t>
  </si>
  <si>
    <t>Act_DEPD_OBT030125154014-Pitten (Hamburger)_162228_627</t>
  </si>
  <si>
    <t>Act_DEPD_OBT030125160132-Wr. Neustadt Ausfahrbf (Furtenbach)_163238_617</t>
  </si>
  <si>
    <t>Act_DEPD_OBT030125160747-Wien Kledering_164137_605</t>
  </si>
  <si>
    <t>Act_DEPD_OBT030125173012-Wien Kledering_184108_627</t>
  </si>
  <si>
    <t>Act_DEPD_OBT030125203217-Other sidings north_210106_629</t>
  </si>
  <si>
    <t>Act_DEPD_OBT030125203727-Wr. Neustadt (Hödlmayr)_212557_613</t>
  </si>
  <si>
    <t>Act_DEPD_OBT030125204417-Ebenfurth (beet loading)_213725_619</t>
  </si>
  <si>
    <t>Act_DEPD_OBT030125204535-Pitten (Hamburger)_215016_627</t>
  </si>
  <si>
    <t>Act_DEPD_OBT030125205107-Other sidings local_215712_607</t>
  </si>
  <si>
    <t>Act_DEPD_OBT030125220232-Neudörfl (FunderMax)_223121_611</t>
  </si>
  <si>
    <t>Act_DEPD_OBT030125220353-Other sidings south_224236_615</t>
  </si>
  <si>
    <t>Act_DEPD_OBT040125055908-Ebenfurth (beet loading)_065526_615</t>
  </si>
  <si>
    <t>Act_DEPD_OBT050125180350-Neudörfl (FunderMax)_183435_613</t>
  </si>
  <si>
    <t>Act_DEPD_OBT050125180143-Pitten (Hamburger)_194217_619</t>
  </si>
  <si>
    <t>Act_DEPD_OBT050125203708-Pitten (Hamburger)_210341_619</t>
  </si>
  <si>
    <t>Act_DEPD_OBT050125203113-Pitten (Hamburger)_221937_613</t>
  </si>
  <si>
    <t>Act_DEPD_OBT060125175612-Pitten (Hamburger)_185748_613</t>
  </si>
  <si>
    <t>Act_DEPD_OBT070125031850-Ebenfurth (beet loading)_035428_615</t>
  </si>
  <si>
    <t>Act_DEPD_OBT070125031735-Neunkirchen (loading tracks)_042540_623</t>
  </si>
  <si>
    <t>Act_DEPD_OBT070125064820-Wien Kledering_080350_615</t>
  </si>
  <si>
    <t>Act_DEPD_OBT070125075235-Neudörfl (FunderMax)_083851_627</t>
  </si>
  <si>
    <t>Act_DEPD_OBT070125074625-Wien Kledering_085356_607</t>
  </si>
  <si>
    <t>Act_DEPD_OBT070125074225-Wien Kledering_092247_619</t>
  </si>
  <si>
    <t>Act_DEPD_OBT070125080206-Other sidings north_094146_617</t>
  </si>
  <si>
    <t>Act_DEPD_OBT070125084304-Wien Kledering_100647_615</t>
  </si>
  <si>
    <t>Act_DEPD_OBT070125084545-St. Veit an der Glan_102919_625</t>
  </si>
  <si>
    <t>Act_DEPD_OBT070125105541-Wien Kledering_121007_615</t>
  </si>
  <si>
    <t>Act_DEPD_OBT070125131825-Wien Kledering_142544_625</t>
  </si>
  <si>
    <t>Act_DEPD_OBT070125143346-Wien Kledering_161429_615</t>
  </si>
  <si>
    <t>Act_DEPD_OBT070125154136-Wr. Neustadt (Hödlmayr)_162222_629</t>
  </si>
  <si>
    <t>Act_DEPD_OBT070125154601-Other sidings north_162810_617</t>
  </si>
  <si>
    <t>Act_DEPD_OBT070125155207-Pitten (Hamburger)_165441_613</t>
  </si>
  <si>
    <t>Act_DEPD_OBT070125162217-St. Veit an der Glan_165547_627</t>
  </si>
  <si>
    <t>Act_DEPD_OBT070125160018-Wien Kledering_180314_619</t>
  </si>
  <si>
    <t>Act_DEPD_OBT070125180725-Wr. Neustadt (Hödlmayr)_183614_613</t>
  </si>
  <si>
    <t>Act_DEPD_OBT070125180657-Wr. Neustadt Ausfahrbf (Furtenbach)_184300_605</t>
  </si>
  <si>
    <t>Act_DEPD_OBT070125183432-Wien Kledering_195328_607</t>
  </si>
  <si>
    <t>Act_DEPD_OBT070125212007-Wien Kledering_225838_613</t>
  </si>
  <si>
    <t>Act_DEPD_OBT080125031418-Pitten (Hamburger)_034113_627</t>
  </si>
  <si>
    <t>Act_DEPD_OBT080125031718-Other sidings local_034831_625</t>
  </si>
  <si>
    <t>Act_DEPD_OBT080125031726-Neunkirchen (loading tracks)_040625_613</t>
  </si>
  <si>
    <t>Act_DEPD_OBT080125032215-Other sidings south_041904_623</t>
  </si>
  <si>
    <t>Act_DEPD_OBT080125041024-Neudörfl (FunderMax)_063948_611</t>
  </si>
  <si>
    <t>Act_DEPD_OBT080125061845-Wien Kledering_073415_613</t>
  </si>
  <si>
    <t>Act_DEPD_OBT080125073527-Wien Kledering_081551_611</t>
  </si>
  <si>
    <t>Act_DEPD_OBT080125082044-Wr. Neustadt (Hödlmayr)_084859_619</t>
  </si>
  <si>
    <t>Act_DEPD_OBT080125081724-Other sidings north_085110_615</t>
  </si>
  <si>
    <t>Act_DEPD_OBT080125083220-Pitten (Hamburger)_091752_627</t>
  </si>
  <si>
    <t>Act_DEPD_OBT080125091709-Wien Kledering_094901_615</t>
  </si>
  <si>
    <t>Act_DEPD_OBT080125092000-St. Veit an der Glan_095227_619</t>
  </si>
  <si>
    <t>Act_DEPD_OBT080125084420-Ternitz (Schoeller-Bleckmann)_103156_613</t>
  </si>
  <si>
    <t>Act_DEPD_OBT080125103559-Wien Kledering_110827_615</t>
  </si>
  <si>
    <t>Act_DEPD_OBT080125104132-Wien Kledering_115659_613</t>
  </si>
  <si>
    <t>Act_DEPD_OBT080125130420-Wien Kledering_141947_615</t>
  </si>
  <si>
    <t>Act_DEPD_OBT080125153109-Felixdorf/Sollenau (Bundesheer, Maba)_160828_621</t>
  </si>
  <si>
    <t>Act_DEPD_OBT080125144539-Wien Kledering_161815_615</t>
  </si>
  <si>
    <t>Act_DEPD_OBT080125160042-Wien Kledering_173339_617</t>
  </si>
  <si>
    <t>Act_DEPD_OBT080125173713-Wien Kledering_183042_615</t>
  </si>
  <si>
    <t>Act_DEPD_OBT080125203302-Wien Kledering_210305_617</t>
  </si>
  <si>
    <t>Act_DEPD_OBT090125030658-Wr. Neustadt (Hödlmayr)_033537_613</t>
  </si>
  <si>
    <t>Act_DEPD_OBT090125031241-Neunkirchen (loading tracks)_040311_625</t>
  </si>
  <si>
    <t>Act_DEPD_OBT090125063820-Ebenfurth (beet loading)_071458_615</t>
  </si>
  <si>
    <t>Act_DEPD_OBT090125064202-Other sidings north_072808_619</t>
  </si>
  <si>
    <t>Act_DEPD_OBT090125070004-Wien Kledering_074930_629</t>
  </si>
  <si>
    <t>Act_DEPD_OBT090125075601-Wr. Neustadt Ausfahrbf (Furtenbach)_082822_605</t>
  </si>
  <si>
    <t>Act_DEPD_OBT090125075111-Pitten (Hamburger)_083125_611</t>
  </si>
  <si>
    <t>Act_DEPD_OBT090125074546-Wr. Neustadt (Brenntag)_093021_609</t>
  </si>
  <si>
    <t>Act_DEPD_OBT090125090557-Wien Kledering_094343_605</t>
  </si>
  <si>
    <t>Act_DEPD_OBT090125083304-Wien Kledering_100940_619</t>
  </si>
  <si>
    <t>Act_DEPD_OBT090125091140-St. Veit an der Glan_103858_627</t>
  </si>
  <si>
    <t>Act_DEPD_OBT090125111603-Wien Kledering_130056_605</t>
  </si>
  <si>
    <t>Act_DEPD_OBT090125145115-Wien Kledering_155251_605</t>
  </si>
  <si>
    <t>Act_DEPD_OBT090125152828-Neudörfl (FunderMax)_155856_621</t>
  </si>
  <si>
    <t>Act_DEPD_OBT090125153241-Pitten (Hamburger)_161415_611</t>
  </si>
  <si>
    <t>Act_DEPD_OBT090125153646-Ebenfurth (beet loading)_164312_615</t>
  </si>
  <si>
    <t>Act_DEPD_OBT090125155728-Wien Kledering_172004_609</t>
  </si>
  <si>
    <t>Act_DEPD_OBT090125182121-Pitten (Hamburger)_185148_615</t>
  </si>
  <si>
    <t>Act_DEPD_OBT090125182601-Other sidings north_190654_619</t>
  </si>
  <si>
    <t>Act_DEPD_OBT090125182822-Neunkirchen (loading tracks)_192542_613</t>
  </si>
  <si>
    <t>Act_DEPD_OBT090125184904-Obereggendorf (Hofer)_193449_607</t>
  </si>
  <si>
    <t>Act_DEPD_OBT090125184210-Steinabrückl/Wöllersdorf_193522_606</t>
  </si>
  <si>
    <t>Act_DEPD_OBT090125185836-Wr. Neustadt (Brenntag)_195822_609</t>
  </si>
  <si>
    <t>Act_DEPD_OBT090125190525-Neudörfl (FunderMax)_201136_605</t>
  </si>
  <si>
    <t>Act_DEPD_OBT090125204342-Felixdorf/Sollenau (Bundesheer, Maba)_211537_625</t>
  </si>
  <si>
    <t>Act_DEPD_OBT090125204925-Other sidings north_212207_629</t>
  </si>
  <si>
    <t>Act_DEPD_OBT100125031522-Other sidings south_034909_623</t>
  </si>
  <si>
    <t>Act_DEPD_OBT100125031244-Neunkirchen (loading tracks)_040930_621</t>
  </si>
  <si>
    <t>Act_DEPD_OBT100125045052-Neudörfl (FunderMax)_055214_615</t>
  </si>
  <si>
    <t>Act_DEPD_OBT100125060642-Wien Kledering_073413_611</t>
  </si>
  <si>
    <t>Act_DEPD_OBT100125071706-Wr. Neustadt (Hödlmayr)_075749_613</t>
  </si>
  <si>
    <t>Act_DEPD_OBT100125071957-Pitten (Hamburger)_082041_605</t>
  </si>
  <si>
    <t>Act_DEPD_OBT100125074357-Wien Kledering_083441_619</t>
  </si>
  <si>
    <t>Act_DEPD_OBT100125081531-Wien Kledering_095313_606</t>
  </si>
  <si>
    <t>Act_DEPD_OBT100125092212-St. Veit an der Glan_095745_627</t>
  </si>
  <si>
    <t>Act_DEPD_OBT100125094326-Other sidings north_103411_605</t>
  </si>
  <si>
    <t>Act_DEPD_OBT100125092935-Ebenfurth (beet loading)_103525_613</t>
  </si>
  <si>
    <t>Act_DEPD_OBT100125092457-Wien Kledering_103755_611</t>
  </si>
  <si>
    <t>Act_DEPD_OBT100125095359-Felixdorf/Sollenau (Bundesheer, Maba)_110629_625</t>
  </si>
  <si>
    <t>Act_DEPD_OBT100125103849-Wien Kledering_114514_627</t>
  </si>
  <si>
    <t>Act_DEPD_OBT100125142646-Wien Kledering_145740_613</t>
  </si>
  <si>
    <t>Act_DEPD_OBT100125150940-Wien Kledering_164915_627</t>
  </si>
  <si>
    <t>Act_DEPD_OBT100125174706-Wien Kledering_190353_613</t>
  </si>
  <si>
    <t>Act_DEPD_OBT100125182130-Pitten (Hamburger)_191736_627</t>
  </si>
  <si>
    <t>Act_DEPD_OBT100125183202-Other sidings north_192211_605</t>
  </si>
  <si>
    <t>Act_DEPD_OBT100125183853-Wr. Neustadt Ausfahrbf (Furtenbach)_193944_609</t>
  </si>
  <si>
    <t>Act_DEPD_OBT100125185219-Neunkirchen (loading tracks)_195545_619</t>
  </si>
  <si>
    <t>Act_DEPD_OBT100125205103-Pitten (Hamburger)_212025_613</t>
  </si>
  <si>
    <t>Act_DEPD_OBT100125205342-Other sidings south_212448_623</t>
  </si>
  <si>
    <t>Act_DEPD_OBT110125052224-Ebenfurth (beet loading)_055109_619</t>
  </si>
  <si>
    <t>Act_DEPD_OBT110125055616-Ebenfurth (beet loading)_062551_623</t>
  </si>
  <si>
    <t>Act_DEPD_OBT110125052552-Pitten (Hamburger)_064250_613</t>
  </si>
  <si>
    <t>Act_DEPD_OBT110125055912-Pitten (Hamburger)_065852_611</t>
  </si>
  <si>
    <t>Act_DEPD_OBT120125180841-Neudörfl (FunderMax)_191659_625</t>
  </si>
  <si>
    <t>Act_DEPD_OBT120125180921-Pitten (Hamburger)_193831_613</t>
  </si>
  <si>
    <t>Act_DEPD_OBT120125201952-Neudörfl (FunderMax)_204750_613</t>
  </si>
  <si>
    <t>Act_DEPD_OBT120125202320-Pitten (Hamburger)_204946_625</t>
  </si>
  <si>
    <t>Act_DEPD_OBT130125024918-Neunkirchen (loading tracks)_033715_605</t>
  </si>
  <si>
    <t>Act_DEPD_OBT130125044756-Neudörfl (FunderMax)_060427_625</t>
  </si>
  <si>
    <t>Act_DEPD_OBT130125062348-Wien Kledering_073933_625</t>
  </si>
  <si>
    <t>Act_DEPD_OBT130125071902-Wien Kledering_081137_605</t>
  </si>
  <si>
    <t>Act_DEPD_OBT130125082326-Wr. Neustadt (Hödlmayr)_090918_606</t>
  </si>
  <si>
    <t>Act_DEPD_OBT130125073501-Wien Kledering_091643_619</t>
  </si>
  <si>
    <t>Act_DEPD_OBT130125092620-Ternitz (Schoeller-Bleckmann)_101318_617</t>
  </si>
  <si>
    <t>Act_DEPD_OBT130125093830-Other sidings local_103005_615</t>
  </si>
  <si>
    <t>Act_DEPD_OBT130125092157-Wien Kledering_103257_625</t>
  </si>
  <si>
    <t>Act_DEPD_OBT130125094410-Other sidings south_104707_613</t>
  </si>
  <si>
    <t>Act_DEPD_OBT130125095519-Other sidings north_111329_605</t>
  </si>
  <si>
    <t>Act_DEPD_OBT130125095539-Pitten (Hamburger)_113402_611</t>
  </si>
  <si>
    <t>Act_DEPD_OBT130125103421-Wien Kledering_115630_619</t>
  </si>
  <si>
    <t>Act_DEPD_OBT130125123545-Wien Kledering_140034_617</t>
  </si>
  <si>
    <t>Act_DEPD_OBT130125152935-Wr. Neustadt (Hödlmayr)_155715_625</t>
  </si>
  <si>
    <t>Act_DEPD_OBT130125155039-Wr. Neustadt Ausfahrbf (Furtenbach)_162311_609</t>
  </si>
  <si>
    <t>Act_DEPD_OBT130125144644-Wien Kledering_162504_615</t>
  </si>
  <si>
    <t>Act_DEPD_OBT130125163000-St. Veit an der Glan_172209_606</t>
  </si>
  <si>
    <t>Act_DEPD_OBT130125162753-Wien Kledering_172634_625</t>
  </si>
  <si>
    <t>Act_DEPD_OBT130125155053-Wien Kledering_173804_611</t>
  </si>
  <si>
    <t>Act_DEPD_OBT130125174233-Wien Kledering_183017_615</t>
  </si>
  <si>
    <t>Act_DEPD_OBT130125212354-Wien Kledering_230225_615</t>
  </si>
  <si>
    <t>Act_DEPD_OBT140125024930-Neunkirchen (loading tracks)_032156_605</t>
  </si>
  <si>
    <t>Act_DEPD_OBT140125070928-Pitten (Hamburger)_075027_613</t>
  </si>
  <si>
    <t>Act_DEPD_OBT140125070727-Neudörfl (FunderMax)_075647_629</t>
  </si>
  <si>
    <t>Act_DEPD_OBT140125064740-Wien Kledering_080310_615</t>
  </si>
  <si>
    <t>Act_DEPD_OBT140125075443-Wien Kledering_085034_606</t>
  </si>
  <si>
    <t>Act_DEPD_OBT140125081951-Wien Kledering_095833_613</t>
  </si>
  <si>
    <t>Act_DEPD_OBT140125093437-St. Veit an der Glan_100915_629</t>
  </si>
  <si>
    <t>Act_DEPD_OBT140125101947-Other sidings north_105831_605</t>
  </si>
  <si>
    <t>Act_DEPD_OBT140125093209-Obereggendorf (Hofer)_105916_607</t>
  </si>
  <si>
    <t>Act_DEPD_OBT140125101210-Wr. Neustadt (Hödlmayr)_111539_625</t>
  </si>
  <si>
    <t>Act_DEPD_OBT140125102839-Wr. Neustadt (Brenntag)_113105_627</t>
  </si>
  <si>
    <t>Act_DEPD_OBT140125102734-Pitten (Hamburger)_134358_611</t>
  </si>
  <si>
    <t>Act_DEPD_OBT140125130928-Wien Kledering_142507_611</t>
  </si>
  <si>
    <t>Act_DEPD_OBT140125144027-Wien Kledering_153804_611</t>
  </si>
  <si>
    <t>Act_DEPD_OBT140125153402-Felixdorf/Sollenau (Bundesheer, Maba)_160139_609</t>
  </si>
  <si>
    <t>Act_DEPD_OBT140125153639-Ebenfurth (beet loading)_161553_623</t>
  </si>
  <si>
    <t>Act_DEPD_OBT140125153802-Neudörfl (FunderMax)_163711_615</t>
  </si>
  <si>
    <t>Act_DEPD_OBT140125154219-Pitten (Hamburger)_164754_613</t>
  </si>
  <si>
    <t>Act_DEPD_OBT140125155553-Gloggnitz_165310_627</t>
  </si>
  <si>
    <t>Act_DEPD_OBT140125160010-Wien Kledering_172255_605</t>
  </si>
  <si>
    <t>Act_DEPD_OBT140125180846-Wien Kledering_183559_607</t>
  </si>
  <si>
    <t>Act_DEPD_OBT140125181221-Wr. Neustadt (Hödlmayr)_184143_615</t>
  </si>
  <si>
    <t>Act_DEPD_OBT140125181642-Ternitz (Schoeller-Bleckmann)_190424_617</t>
  </si>
  <si>
    <t>Act_DEPD_OBT140125181252-Steinabrückl/Wöllersdorf_190937_621</t>
  </si>
  <si>
    <t>Act_DEPD_OBT140125182854-Neudörfl (FunderMax)_191204_623</t>
  </si>
  <si>
    <t>Act_DEPD_OBT140125183542-Pitten (Hamburger)_194004_605</t>
  </si>
  <si>
    <t>Act_DEPD_OBT150125024833-Neunkirchen (loading tracks)_034201_606</t>
  </si>
  <si>
    <t>Act_DEPD_OBT150125025656-Other sidings south_034229_619</t>
  </si>
  <si>
    <t>Act_DEPD_OBT150125045827-Neudörfl (FunderMax)_071008_623</t>
  </si>
  <si>
    <t>Act_DEPD_OBT150125064840-Wien Kledering_080821_615</t>
  </si>
  <si>
    <t>Act_DEPD_OBT150125074216-Ebenfurth (beet loading)_081104_627</t>
  </si>
  <si>
    <t>Act_DEPD_OBT150125080153-Wr. Neustadt (Hödlmayr)_083751_617</t>
  </si>
  <si>
    <t>Act_DEPD_OBT150125075736-Other sidings north_084446_625</t>
  </si>
  <si>
    <t>Act_DEPD_OBT150125080609-Wien Kledering_091749_623</t>
  </si>
  <si>
    <t>Act_DEPD_OBT150125092356-Pitten (Hamburger)_095529_619</t>
  </si>
  <si>
    <t>Act_DEPD_OBT150125084204-Wien Kledering_101757_621</t>
  </si>
  <si>
    <t>Act_DEPD_OBT150125101800-Felixdorf/Sollenau (Bundesheer, Maba)_104909_609</t>
  </si>
  <si>
    <t>Act_DEPD_OBT150125094220-Wien Kledering_110142_617</t>
  </si>
  <si>
    <t>Act_DEPD_OBT150125101848-Wien Kledering_112420_623</t>
  </si>
  <si>
    <t>Act_DEPD_OBT150125131431-Wien Kledering_134559_623</t>
  </si>
  <si>
    <t>Act_DEPD_OBT150125155826-Other sidings north_162629_615</t>
  </si>
  <si>
    <t>Act_DEPD_OBT150125154642-Wr. Neustadt (Hödlmayr)_163512_625</t>
  </si>
  <si>
    <t>Act_DEPD_OBT150125160509-Wien Kledering_165628_617</t>
  </si>
  <si>
    <t>Act_DEPD_OBT150125160356-Neudörfl (FunderMax)_170338_606</t>
  </si>
  <si>
    <t>Act_DEPD_OBT150125181910-Pitten (Hamburger)_184937_619</t>
  </si>
  <si>
    <t>Act_DEPD_OBT150125173247-Wien Kledering_185523_615</t>
  </si>
  <si>
    <t>Act_DEPD_OBT150125182201-Neunkirchen (loading tracks)_191027_607</t>
  </si>
  <si>
    <t>Act_DEPD_OBT150125183815-Ebenfurth (beet loading)_192332_627</t>
  </si>
  <si>
    <t>Act_DEPD_OBT160125025835-Neunkirchen (loading tracks)_033555_615</t>
  </si>
  <si>
    <t>Act_DEPD_OBT160125063851-Wien Kledering_075421_615</t>
  </si>
  <si>
    <t>Act_DEPD_OBT160125072923-Wien Kledering_080205_619</t>
  </si>
  <si>
    <t>Act_DEPD_OBT160125075109-Pitten (Hamburger)_083416_621</t>
  </si>
  <si>
    <t>Act_DEPD_OBT160125081022-Ternitz (Schoeller-Bleckmann)_083832_605</t>
  </si>
  <si>
    <t>Act_DEPD_OBT160125081516-Wien Kledering_095655_615</t>
  </si>
  <si>
    <t>Act_DEPD_OBT160125092526-Wien Kledering_101257_619</t>
  </si>
  <si>
    <t>Act_DEPD_OBT160125092224-St. Veit an der Glan_101546_605</t>
  </si>
  <si>
    <t>Act_DEPD_OBT160125101737-Wr. Neustadt (Hödlmayr)_104707_625</t>
  </si>
  <si>
    <t>Act_DEPD_OBT160125101737-Neudörfl (FunderMax)_112231_617</t>
  </si>
  <si>
    <t>Act_DEPD_OBT160125102340-Wr. Neustadt Ausfahrbf (Furtenbach)_142131_613</t>
  </si>
  <si>
    <t>Act_DEPD_OBT160125130303-Wien Kledering_160916_625</t>
  </si>
  <si>
    <t>Act_DEPD_OBT160125105820-Wien Kledering_161137_605</t>
  </si>
  <si>
    <t>Act_DEPD_OBT160125144759-Wien Kledering_164201_613</t>
  </si>
  <si>
    <t>Act_DEPD_OBT160125151346-Pitten (Hamburger)_170629_613</t>
  </si>
  <si>
    <t>Act_DEPD_OBT160125162643-Wien Kledering_183246_621</t>
  </si>
  <si>
    <t>Act_DEPD_OBT160125175803-Neunkirchen (loading tracks)_211218_629</t>
  </si>
  <si>
    <t>Act_DEPD_OBT160125175833-Pitten (Hamburger)_044551_613</t>
  </si>
  <si>
    <t>Act_DEPD_OBT160125203020-Pitten (Hamburger)_051424_625</t>
  </si>
  <si>
    <t>Act_DEPD_OBT160125203907-Wr. Neustadt (Hödlmayr)_071223_617</t>
  </si>
  <si>
    <t>Act_DEPD_OBT160125204054-Ebenfurth (beet loading)_081706_607</t>
  </si>
  <si>
    <t>Act_DEPD_OBT170125030753-Neunkirchen (loading tracks)_083504_605</t>
  </si>
  <si>
    <t>Act_DEPD_OBT170125031540-Other sidings south_085304_609</t>
  </si>
  <si>
    <t>Act_DEPD_OBT170125064600-Wien Kledering_104949_613</t>
  </si>
  <si>
    <t>Act_DEPD_OBT170125073030-Other sidings north_110611_606</t>
  </si>
  <si>
    <t>Act_DEPD_OBT170125044950-Neudörfl (FunderMax)_112929_619</t>
  </si>
  <si>
    <t>Act_DEPD_OBT170125073211-Pitten (Hamburger)_134223_625</t>
  </si>
  <si>
    <t>Act_DEPD_OBT170125073842-St. Veit an der Glan_162320_615</t>
  </si>
  <si>
    <t>Act_DEPD_OBT170125075244-Ternitz (Schoeller-Bleckmann)_182206_621</t>
  </si>
  <si>
    <t>Act_DEPD_OBT170125075431-Wien Kledering_193932_617</t>
  </si>
  <si>
    <t>Act_DEPD_OBT170125081922-Steinabrückl/Wöllersdorf_221725_623</t>
  </si>
  <si>
    <t>Act_DEPD_OBT170125090658-St. Veit an der Glan_013547_615</t>
  </si>
  <si>
    <t>Act_DEPD_OBT170125091546-Pitten (Hamburger)_070630_607</t>
  </si>
  <si>
    <t>Act_DEPD_OBT170125093600-Gloggnitz_075247_627</t>
  </si>
  <si>
    <t>Act_DEPD_OBT170125093812-Neudörfl (FunderMax)_184309_629</t>
  </si>
  <si>
    <t>Act_DEPD_OBT170125130627-Wien Kledering_213147_613</t>
  </si>
  <si>
    <t>Act_DEPD_OBT170125155040-Wien Kledering_035149_625</t>
  </si>
  <si>
    <t>Act_DEPD_OBT170125174751-Wien Kledering_060527_615</t>
  </si>
  <si>
    <t>Act_DEPD_OBT170125181531-Wien Kledering_063743_619</t>
  </si>
  <si>
    <t>Act_DEPD_OBT170125205009-Ternitz (Schoeller-Bleckmann)_082633_621</t>
  </si>
  <si>
    <t>Act_DEPD_OBT180125004751-Pitten (Hamburger)_082939_623</t>
  </si>
  <si>
    <t>Act_DEPD_OBT180125005504-Neudörfl (FunderMax)_090717_606</t>
  </si>
  <si>
    <t>Act_DEPD_OBT180125071607-Neudörfl (FunderMax)_094514_615</t>
  </si>
  <si>
    <t>Act_DEPD_OBT190125203024-Pitten (Hamburger)_113100_629</t>
  </si>
  <si>
    <t>Act_DEPD_OBT190125175511-Pitten (Hamburger)_115951_627</t>
  </si>
  <si>
    <t>Act_DEPD_OBT190125203519-Neudörfl (FunderMax)_132555_607</t>
  </si>
  <si>
    <t>Act_DEPD_OBT200125025157-Neunkirchen (loading tracks)_152341_613</t>
  </si>
  <si>
    <t>Act_DEPD_OBT200125080054-Neunkirchen (loading tracks)_162700_615</t>
  </si>
  <si>
    <t>Act_DEPD_OBT200125080717-Wr. Neustadt (Hödlmayr)_164146_617</t>
  </si>
  <si>
    <t>Act_DEPD_OBT200125045059-Neudörfl (FunderMax)_172130_625</t>
  </si>
  <si>
    <t>Act_DEPD_OBT200125083327-Wr. Neustadt (Brenntag)_174814_611</t>
  </si>
  <si>
    <t>Act_DEPD_OBT200125091839-St. Veit an der Glan_215704_615</t>
  </si>
  <si>
    <t>Act_DEPD_OBT200125093149-Wr. Neustadt (Hödlmayr)_035619_621</t>
  </si>
  <si>
    <t>Act_DEPD_OBT200125094944-Neudörfl (FunderMax)_072600_619</t>
  </si>
  <si>
    <t>Act_DEPD_OBT200125105804-Wien Kledering_081702_615</t>
  </si>
  <si>
    <t>Act_DEPD_OBT200125125954-Wien Kledering_083636_627</t>
  </si>
  <si>
    <t>Act_DEPD_OBT200125105846-Wien Kledering_084027_606</t>
  </si>
  <si>
    <t>Act_DEPD_OBT200125155402-Pitten (Hamburger)_101349_623</t>
  </si>
  <si>
    <t>Act_DEPD_OBT200125144313-Wien Kledering_105559_607</t>
  </si>
  <si>
    <t>Act_DEPD_OBT200125160533-St. Veit an der Glan_110923_615</t>
  </si>
  <si>
    <t>Act_DEPD_OBT200125171741-Wien Kledering_160817_615</t>
  </si>
  <si>
    <t>Act_DEPD_OBT210125032545-Neunkirchen (loading tracks)_164608_629</t>
  </si>
  <si>
    <t>Act_DEPD_OBT200125212137-Wien Kledering_170349_625</t>
  </si>
  <si>
    <t>Act_DEPD_OBT210125065252-Wien Kledering_220440_611</t>
  </si>
  <si>
    <t>Act_DEPD_OBT210125075153-Pitten (Hamburger)_032622_621</t>
  </si>
  <si>
    <t>Act_DEPD_OBT210125080256-Neudörfl (FunderMax)_052215_619</t>
  </si>
  <si>
    <t>Act_DEPD_OBT210125080752-Wien Kledering_080336_619</t>
  </si>
  <si>
    <t>Act_DEPD_OBT210125093211-Wr. Neustadt (Hödlmayr)_081451_606</t>
  </si>
  <si>
    <t>Act_DEPD_OBT210125092833-St. Veit an der Glan_082031_615</t>
  </si>
  <si>
    <t>Act_DEPD_OBT210125093910-Neudörfl (FunderMax)_083938_627</t>
  </si>
  <si>
    <t>Act_DEPD_OBT210125103404-Wien Kledering_103620_619</t>
  </si>
  <si>
    <t>Act_DEPD_OBT210125150922-Neunkirchen (loading tracks)_110722_617</t>
  </si>
  <si>
    <t>Act_DEPD_OBT210125144735-Wien Kledering_114514_619</t>
  </si>
  <si>
    <t>Act_DEPD_OBT210125151409-Neudörfl (FunderMax)_135514_615</t>
  </si>
  <si>
    <t>Act_DEPD_OBT210125151926-Steinabrückl/Wöllersdorf_155536_623</t>
  </si>
  <si>
    <t>Act_DEPD_OBT210125152253-Pitten (Hamburger)_184232_607</t>
  </si>
  <si>
    <t>Act_DEPD_OBT210125152947-Wien Kledering_185007_619</t>
  </si>
  <si>
    <t>Act_DEPD_OBT210125210727-Wien Kledering_190857_619</t>
  </si>
  <si>
    <t>Act_DEPD_OBT220125025432-Other sidings south_214151_615</t>
  </si>
  <si>
    <t>Act_DEPD_OBT220125045357-Neudörfl (FunderMax)_044137_625</t>
  </si>
  <si>
    <t>Act_DEPD_OBT220125063948-Wien Kledering_074715_619</t>
  </si>
  <si>
    <t>Act_DEPD_OBT220125073335-Other sidings local_074806_605</t>
  </si>
  <si>
    <t>Act_DEPD_OBT220125094552-Pitten (Hamburger)_084000_627</t>
  </si>
  <si>
    <t>Act_DEPD_OBT220125084547-St. Veit an der Glan_084951_615</t>
  </si>
  <si>
    <t>Act_DEPD_OBT220125095350-Neunkirchen (loading tracks)_093208_621</t>
  </si>
  <si>
    <t>Act_DEPD_OBT220125095549-Wr. Neustadt (Hödlmayr)_103016_611</t>
  </si>
  <si>
    <t>Act_DEPD_OBT220125100316-Neudörfl (FunderMax)_112548_629</t>
  </si>
  <si>
    <t>Act_DEPD_OBT220125180146-Felixdorf/Sollenau (Bundesheer, Maba)_160658_609</t>
  </si>
  <si>
    <t>Act_DEPD_OBT220125104258-Wien Kledering_163707_615</t>
  </si>
  <si>
    <t>Act_DEPD_OBT220125180607-Wr. Neustadt Ausfahrbf (Furtenbach)_164916_613</t>
  </si>
  <si>
    <t>Act_DEPD_OBT220125175314-Wien Kledering_165847_615</t>
  </si>
  <si>
    <t>Act_DEPD_OBT220125203751-Pitten (Hamburger)_183052_619</t>
  </si>
  <si>
    <t>Act_DEPD_OBT220125181516-Pitten (Hamburger)_191355_619</t>
  </si>
  <si>
    <t>Act_DEPD_OBT220125204226-Neunkirchen (loading tracks)_213701_623</t>
  </si>
  <si>
    <t>Act_DEPD_OBT220125205009-Other sidings local_033937_606</t>
  </si>
  <si>
    <t>Act_DEPD_OBT230125030314-Neunkirchen (loading tracks)_051723_615</t>
  </si>
  <si>
    <t>Act_DEPD_OBT230125030603-Ternitz (Schoeller-Bleckmann)_065448_621</t>
  </si>
  <si>
    <t>Act_DEPD_OBT230125063522-Wien Kledering_074928_625</t>
  </si>
  <si>
    <t>Act_DEPD_OBT230125071649-Other sidings south_080224_615</t>
  </si>
  <si>
    <t>Act_DEPD_OBT230125090110-Wien Kledering_084328_627</t>
  </si>
  <si>
    <t>Act_DEPD_OBT230125090423-St. Veit an der Glan_095858_605</t>
  </si>
  <si>
    <t>Act_DEPD_OBT230125095448-Neudörfl (FunderMax)_101511_617</t>
  </si>
  <si>
    <t>Act_DEPD_OBT230125095729-Other sidings north_105257_629</t>
  </si>
  <si>
    <t>Act_DEPD_OBT230125100554-Pitten (Hamburger)_140050_619</t>
  </si>
  <si>
    <t>Act_DEPD_OBT230125174306-Other sidings north_161459_629</t>
  </si>
  <si>
    <t>Act_DEPD_OBT230125105334-Wien Kledering_162805_621</t>
  </si>
  <si>
    <t>Act_DEPD_OBT230125144630-Wien Kledering_171609_611</t>
  </si>
  <si>
    <t>Act_DEPD_OBT230125175458-Wr. Neustadt Ausfahrbf (Furtenbach)_181025_607</t>
  </si>
  <si>
    <t>Act_DEPD_OBT230125175919-Pitten (Hamburger)_181752_613</t>
  </si>
  <si>
    <t>Act_DEPD_OBT230125211356-Wien Kledering_024517_609</t>
  </si>
  <si>
    <t>Act_DEPD_OBT240125030555-Neunkirchen (loading tracks)_185627_619</t>
  </si>
  <si>
    <t>Act_DEPD_OBT240125031427-Wr. Neustadt (Hödlmayr)_034057_615</t>
  </si>
  <si>
    <t>Act_DEPD_OBT240125044723-Neudörfl (FunderMax)_051805_623</t>
  </si>
  <si>
    <t>Act_DEPD_OBT240125062847-Wien Kledering_080622_615</t>
  </si>
  <si>
    <t>Act_DEPD_OBT240125090519-Wien Kledering_081635_627</t>
  </si>
  <si>
    <t>Act_DEPD_OBT240125071418-Wien Kledering_084543_606</t>
  </si>
  <si>
    <t>Act_DEPD_OBT240125093343-Pitten (Hamburger)_085342_625</t>
  </si>
  <si>
    <t>Act_DEPD_OBT240125101450-St. Veit an der Glan_092044_615</t>
  </si>
  <si>
    <t>Act_DEPD_OBT240125131735-Wien Kledering_100943_605</t>
  </si>
  <si>
    <t>Act_DEPD_OBT240125144703-Wien Kledering_120720_619</t>
  </si>
  <si>
    <t>Act_DEPD_OBT240125152920-Pitten (Hamburger)_132256_629</t>
  </si>
  <si>
    <t>Act_DEPD_OBT240125174436-Wien Kledering_151351_611</t>
  </si>
  <si>
    <t>Act_DEPD_OBT240125174924-Wien Kledering_163651_621</t>
  </si>
  <si>
    <t>Act_DEPD_OBT250125020542-Pitten (Hamburger)_175535_613</t>
  </si>
  <si>
    <t>Act_DEPD_OBT250125021114-Pitten (Hamburger)_182640_629</t>
  </si>
  <si>
    <t>Act_DEPD_OBT260125181348-Pitten (Hamburger)_200253_609</t>
  </si>
  <si>
    <t>Act_DEPD_OBT260125181754-Neudörfl (FunderMax)_215204_607</t>
  </si>
  <si>
    <t>Act_DEPD_OBT270125030450-Neunkirchen (loading tracks)_041132_617</t>
  </si>
  <si>
    <t>Act_DEPD_OBT270125044934-Neudörfl (FunderMax)_080120_615</t>
  </si>
  <si>
    <t>Act_DEPD_OBT270125074356-Other sidings local_082122_629</t>
  </si>
  <si>
    <t>Act_DEPD_OBT270125092111-Pitten (Hamburger)_085234_627</t>
  </si>
  <si>
    <t>Act_DEPD_OBT270125065248-Wien Kledering_090012_623</t>
  </si>
  <si>
    <t>Act_DEPD_OBT270125125831-Wien Kledering_104847_605</t>
  </si>
  <si>
    <t>Act_DEPD_OBT270125105122-Wien Kledering_110513_615</t>
  </si>
  <si>
    <t>Act_DEPD_OBT270125144049-Wien Kledering_123111_619</t>
  </si>
  <si>
    <t>Act_DEPD_OBT270125161730-St. Veit an der Glan_134153_625</t>
  </si>
  <si>
    <t>Act_DEPD_OBT270125162126-Wien Kledering_155531_606</t>
  </si>
  <si>
    <t>Act_DEPD_OBT270125174840-Wien Kledering_161101_611</t>
  </si>
  <si>
    <t>Act_DEPD_OBT270125180405-Wien Kledering_165828_629</t>
  </si>
  <si>
    <t>Act_DEPD_OBT270125212041-Wien Kledering_213728_613</t>
  </si>
  <si>
    <t>Act_DEPD_OBT280125031301-Neunkirchen (loading tracks)_214312_615</t>
  </si>
  <si>
    <t>Act_DEPD_OBT280125031334-St. Veit an der Glan_033918_621</t>
  </si>
  <si>
    <t>Act_DEPD_OBT280125064741-Wien Kledering_054634_607</t>
  </si>
  <si>
    <t>Act_DEPD_OBT280125075210-Pitten (Hamburger)_070057_629</t>
  </si>
  <si>
    <t>Act_DEPD_OBT280125095318-Wr. Neustadt (Hödlmayr)_081130_615</t>
  </si>
  <si>
    <t>Act_DEPD_OBT280125092731-St. Veit an der Glan_081328_621</t>
  </si>
  <si>
    <t>Act_DEPD_OBT280125095752-Neudörfl (FunderMax)_090543_609</t>
  </si>
  <si>
    <t>Act_DEPD_OBT280125105241-Wien Kledering_103744_627</t>
  </si>
  <si>
    <t>Act_DEPD_OBT280125105646-Wien Kledering_112643_605</t>
  </si>
  <si>
    <t>Act_DEPD_OBT280125131319-Wien Kledering_143338_615</t>
  </si>
  <si>
    <t>Act_DEPD_OBT280125151006-Other sidings local_161637_629</t>
  </si>
  <si>
    <t>Act_DEPD_OBT280125143604-Wien Kledering_162501_625</t>
  </si>
  <si>
    <t>Act_DEPD_OBT280125151602-Neunkirchen (loading tracks)_163652_615</t>
  </si>
  <si>
    <t>Act_DEPD_OBT280125194613-Wien Kledering_184406_606</t>
  </si>
  <si>
    <t>Act_DEPD_OBT280125211842-Wien Kledering_201238_611</t>
  </si>
  <si>
    <t>Act_DEPD_OBT290125030733-Neunkirchen (loading tracks)_214657_615</t>
  </si>
  <si>
    <t>Act_DEPD_OBT290125043313-Neudörfl (FunderMax)_033827_613</t>
  </si>
  <si>
    <t>Act_DEPD_OBT290125063308-Wien Kledering_074850_607</t>
  </si>
  <si>
    <t>Act_DEPD_OBT290125074446-Wien Kledering_084449_629</t>
  </si>
  <si>
    <t>Act_DEPD_OBT290125093729-Other sidings south_084917_619</t>
  </si>
  <si>
    <t>Act_DEPD_OBT290125073710-Wien Kledering_085000_621</t>
  </si>
  <si>
    <t>Act_DEPD_OBT290125094134-Wien Kledering_095438_615</t>
  </si>
  <si>
    <t>Act_DEPD_OBT290125105057-Wien Kledering_104011_615</t>
  </si>
  <si>
    <t>Act_DEPD_OBT290125132135-Wien Kledering_111713_615</t>
  </si>
  <si>
    <t>Act_DEPD_OBT290125144829-Wien Kledering_145255_615</t>
  </si>
  <si>
    <t>Act_DEPD_OBT290125152804-Other sidings north_151238_623</t>
  </si>
  <si>
    <t>Act_DEPD_OBT290125154754-Wr. Neustadt (Hödlmayr)_160316_627</t>
  </si>
  <si>
    <t>Act_DEPD_OBT290125174650-Wien Kledering_170014_615</t>
  </si>
  <si>
    <t>Act_DEPD_OBT290125182252-Pitten (Hamburger)_182127_609</t>
  </si>
  <si>
    <t>Act_DEPD_OBT300125030547-Neunkirchen (loading tracks)_211041_629</t>
  </si>
  <si>
    <t>Act_DEPD_OBT290125210626-Wien Kledering_213209_606</t>
  </si>
  <si>
    <t>Act_DEPD_OBT300125063532-Wien Kledering_043144_613</t>
  </si>
  <si>
    <t>Act_DEPD_OBT300125075751-Wr. Neustadt (Hödlmayr)_055407_627</t>
  </si>
  <si>
    <t>Act_DEPD_OBT300125080541-Neunkirchen (loading tracks)_063924_611</t>
  </si>
  <si>
    <t>Act_DEPD_OBT300125081010-Wr. Neustadt (Brenntag)_074824_617</t>
  </si>
  <si>
    <t>Act_DEPD_OBT300125085102-St. Veit an der Glan_085136_621</t>
  </si>
  <si>
    <t>Act_DEPD_OBT300125081913-Wr. Neustadt Ausfahrbf (Furtenbach)_094344_607</t>
  </si>
  <si>
    <t>Act_DEPD_OBT300125093406-Wr. Neustadt (Hödlmayr)_094555_627</t>
  </si>
  <si>
    <t>Act_DEPD_OBT300125131403-Wien Kledering_105902_615</t>
  </si>
  <si>
    <t>Act_DEPD_OBT300125153249-Neudörfl (FunderMax)_113738_621</t>
  </si>
  <si>
    <t>Act_DEPD_OBT300125153454-Other sidings south_131851_605</t>
  </si>
  <si>
    <t>Act_DEPD_OBT300125200005-Wien Kledering_151227_615</t>
  </si>
  <si>
    <t>Act_DEPD_OBT310125061436-Wien Kledering_165952_613</t>
  </si>
  <si>
    <t>Act_DEPD_OBT310125074214-Wien Kledering_171205_627</t>
  </si>
  <si>
    <t>Act_DEPD_OBT300125204557-Wien Kledering_172141_627</t>
  </si>
  <si>
    <t>Act_DEPD_OBT310125075821-Ternitz (Schoeller-Bleckmann)_183047_629</t>
  </si>
  <si>
    <t>Act_DEPD_OBT310125075536-Neunkirchen (loading tracks)_184426_606</t>
  </si>
  <si>
    <t>Act_DEPD_OBT310125080145-Wr. Neustadt (Brenntag)_211323_619</t>
  </si>
  <si>
    <t>IncomingTrainPreparation</t>
  </si>
  <si>
    <t>Act_ITP_10001_024247_703</t>
  </si>
  <si>
    <t>Act_ITP_10002_063034_703</t>
  </si>
  <si>
    <t>Act_ITP_10003_071236_727</t>
  </si>
  <si>
    <t>Act_ITP_10004_072446_703</t>
  </si>
  <si>
    <t>Act_ITP_10005_080421_703</t>
  </si>
  <si>
    <t>Act_ITP_10006_085218_703</t>
  </si>
  <si>
    <t>Act_ITP_10007_090232_727</t>
  </si>
  <si>
    <t>Act_ITP_10008_103238_703</t>
  </si>
  <si>
    <t>Act_ITP_10009_143735_703</t>
  </si>
  <si>
    <t>Act_ITP_10010_150306_727</t>
  </si>
  <si>
    <t>Act_ITP_10011_150514_703</t>
  </si>
  <si>
    <t>Act_ITP_10012_174511_727</t>
  </si>
  <si>
    <t>Act_ITP_10013_201050_703</t>
  </si>
  <si>
    <t>Act_ITP_10014_024202_703</t>
  </si>
  <si>
    <t>Act_ITP_10015_043750_703</t>
  </si>
  <si>
    <t>Act_ITP_10016_053708_703</t>
  </si>
  <si>
    <t>Act_ITP_10017_063449_703</t>
  </si>
  <si>
    <t>Act_ITP_10018_071805_703</t>
  </si>
  <si>
    <t>Act_ITP_10019_072912_727</t>
  </si>
  <si>
    <t>Act_ITP_10020_080055_703</t>
  </si>
  <si>
    <t>Act_ITP_10021_084907_703</t>
  </si>
  <si>
    <t>Act_ITP_10022_103327_703</t>
  </si>
  <si>
    <t>Act_ITP_10023_130213_703</t>
  </si>
  <si>
    <t>Act_ITP_10024_142107_731</t>
  </si>
  <si>
    <t>Act_ITP_10025_150715_703</t>
  </si>
  <si>
    <t>Act_ITP_10026_153631_731</t>
  </si>
  <si>
    <t>Act_ITP_10027_171431_703</t>
  </si>
  <si>
    <t>Act_ITP_10028_200307_725</t>
  </si>
  <si>
    <t>Act_ITP_10029_205751_727</t>
  </si>
  <si>
    <t>Act_ITP_10030_054157_703</t>
  </si>
  <si>
    <t>Act_ITP_10031_173529_727</t>
  </si>
  <si>
    <t>Act_ITP_10032_200956_727</t>
  </si>
  <si>
    <t>Act_ITP_10033_174204_703</t>
  </si>
  <si>
    <t>Act_ITP_10034_024606_703</t>
  </si>
  <si>
    <t>Act_ITP_10035_063330_703</t>
  </si>
  <si>
    <t>Act_ITP_10036_071747_703</t>
  </si>
  <si>
    <t>Act_ITP_10037_072343_727</t>
  </si>
  <si>
    <t>Act_ITP_10038_072642_725</t>
  </si>
  <si>
    <t>Act_ITP_10039_081952_703</t>
  </si>
  <si>
    <t>Act_ITP_10040_083926_727</t>
  </si>
  <si>
    <t>Act_ITP_10041_103538_703</t>
  </si>
  <si>
    <t>Act_ITP_10042_130229_703</t>
  </si>
  <si>
    <t>Act_ITP_10043_141737_703</t>
  </si>
  <si>
    <t>Act_ITP_10044_150158_703</t>
  </si>
  <si>
    <t>Act_ITP_10045_152426_727</t>
  </si>
  <si>
    <t>Act_ITP_10046_160318_703</t>
  </si>
  <si>
    <t>Act_ITP_10047_172411_703</t>
  </si>
  <si>
    <t>Act_ITP_10048_180630_727</t>
  </si>
  <si>
    <t>Act_ITP_10049_210357_703</t>
  </si>
  <si>
    <t>Act_ITP_10050_024652_703</t>
  </si>
  <si>
    <t>Act_ITP_10051_034946_703</t>
  </si>
  <si>
    <t>Act_ITP_10052_060431_703</t>
  </si>
  <si>
    <t>Act_ITP_10053_071955_727</t>
  </si>
  <si>
    <t>Act_ITP_10054_072300_703</t>
  </si>
  <si>
    <t>Act_ITP_10055_080503_703</t>
  </si>
  <si>
    <t>Act_ITP_10056_090151_703</t>
  </si>
  <si>
    <t>Act_ITP_10057_101713_703</t>
  </si>
  <si>
    <t>Act_ITP_10058_124938_703</t>
  </si>
  <si>
    <t>Act_ITP_10059_142957_703</t>
  </si>
  <si>
    <t>Act_ITP_10060_145703_703</t>
  </si>
  <si>
    <t>Act_ITP_10061_151432_727</t>
  </si>
  <si>
    <t>Act_ITP_10062_172416_703</t>
  </si>
  <si>
    <t>Act_ITP_10063_180137_731</t>
  </si>
  <si>
    <t>Act_ITP_10064_194330_703</t>
  </si>
  <si>
    <t>Act_ITP_10065_200559_727</t>
  </si>
  <si>
    <t>Act_ITP_10066_024926_703</t>
  </si>
  <si>
    <t>Act_ITP_10067_061003_703</t>
  </si>
  <si>
    <t>Act_ITP_10068_063415_727</t>
  </si>
  <si>
    <t>Act_ITP_10069_071611_703</t>
  </si>
  <si>
    <t>Act_ITP_10070_072337_727</t>
  </si>
  <si>
    <t>Act_ITP_10071_075416_727</t>
  </si>
  <si>
    <t>Act_ITP_10072_084841_703</t>
  </si>
  <si>
    <t>Act_ITP_10073_105406_703</t>
  </si>
  <si>
    <t>Act_ITP_10074_143652_703</t>
  </si>
  <si>
    <t>Act_ITP_10075_150409_703</t>
  </si>
  <si>
    <t>Act_ITP_10076_152937_727</t>
  </si>
  <si>
    <t>Act_ITP_10077_174642_703</t>
  </si>
  <si>
    <t>Act_ITP_10078_174733_731</t>
  </si>
  <si>
    <t>Act_ITP_10079_175019_727</t>
  </si>
  <si>
    <t>Act_ITP_10080_200525_703</t>
  </si>
  <si>
    <t>Act_ITP_10081_024501_703</t>
  </si>
  <si>
    <t>Act_ITP_10082_043518_703</t>
  </si>
  <si>
    <t>Act_ITP_10083_054916_703</t>
  </si>
  <si>
    <t>Act_ITP_10084_064307_703</t>
  </si>
  <si>
    <t>Act_ITP_10085_072934_703</t>
  </si>
  <si>
    <t>Act_ITP_10086_075855_703</t>
  </si>
  <si>
    <t>Act_ITP_10087_084901_727</t>
  </si>
  <si>
    <t>Act_ITP_10088_090138_703</t>
  </si>
  <si>
    <t>Act_ITP_10089_102149_703</t>
  </si>
  <si>
    <t>Act_ITP_10090_130723_703</t>
  </si>
  <si>
    <t>Act_ITP_10091_141322_731</t>
  </si>
  <si>
    <t>Act_ITP_10092_145242_703</t>
  </si>
  <si>
    <t>Act_ITP_10093_173159_703</t>
  </si>
  <si>
    <t>Act_ITP_10094_174216_727</t>
  </si>
  <si>
    <t>Act_ITP_10095_201429_703</t>
  </si>
  <si>
    <t>Act_ITP_10096_050120_703</t>
  </si>
  <si>
    <t>Act_ITP_10097_053256_703</t>
  </si>
  <si>
    <t>Act_ITP_10098_174458_727</t>
  </si>
  <si>
    <t>Act_ITP_10099_200522_703</t>
  </si>
  <si>
    <t>Act_ITP_10100_023150_703</t>
  </si>
  <si>
    <t>Act_ITP_10101_043152_703</t>
  </si>
  <si>
    <t>Act_ITP_10102_060807_703</t>
  </si>
  <si>
    <t>Act_ITP_10103_070510_703</t>
  </si>
  <si>
    <t>Act_ITP_10104_071802_727</t>
  </si>
  <si>
    <t>Act_ITP_10105_072227_703</t>
  </si>
  <si>
    <t>Act_ITP_10106_090342_703</t>
  </si>
  <si>
    <t>Act_ITP_10107_090439_727</t>
  </si>
  <si>
    <t>Act_ITP_10108_100701_703</t>
  </si>
  <si>
    <t>Act_ITP_10109_121940_703</t>
  </si>
  <si>
    <t>Act_ITP_10110_143028_703</t>
  </si>
  <si>
    <t>Act_ITP_10111_144946_703</t>
  </si>
  <si>
    <t>Act_ITP_10112_152344_727</t>
  </si>
  <si>
    <t>Act_ITP_10113_160418_703</t>
  </si>
  <si>
    <t>Act_ITP_10114_172934_703</t>
  </si>
  <si>
    <t>Act_ITP_10115_210734_703</t>
  </si>
  <si>
    <t>Act_ITP_10116_023021_703</t>
  </si>
  <si>
    <t>Act_ITP_10117_063248_703</t>
  </si>
  <si>
    <t>Act_ITP_10118_064050_727</t>
  </si>
  <si>
    <t>Act_ITP_10119_072242_703</t>
  </si>
  <si>
    <t>Act_ITP_10120_080405_703</t>
  </si>
  <si>
    <t>Act_ITP_10121_090341_727</t>
  </si>
  <si>
    <t>Act_ITP_10122_090810_703</t>
  </si>
  <si>
    <t>Act_ITP_10123_095304_703</t>
  </si>
  <si>
    <t>Act_ITP_10124_125416_703</t>
  </si>
  <si>
    <t>Act_ITP_10125_142629_703</t>
  </si>
  <si>
    <t>Act_ITP_10126_145606_727</t>
  </si>
  <si>
    <t>Act_ITP_10127_153015_703</t>
  </si>
  <si>
    <t>Act_ITP_10128_154100_731</t>
  </si>
  <si>
    <t>Act_ITP_10129_173509_703</t>
  </si>
  <si>
    <t>Act_ITP_10130_175411_731</t>
  </si>
  <si>
    <t>Act_ITP_10131_194928_731</t>
  </si>
  <si>
    <t>Act_ITP_10132_022706_703</t>
  </si>
  <si>
    <t>Act_ITP_10133_043915_703</t>
  </si>
  <si>
    <t>Act_ITP_10134_063158_703</t>
  </si>
  <si>
    <t>Act_ITP_10135_071119_703</t>
  </si>
  <si>
    <t>Act_ITP_10136_073109_727</t>
  </si>
  <si>
    <t>Act_ITP_10137_080631_703</t>
  </si>
  <si>
    <t>Act_ITP_10138_085631_703</t>
  </si>
  <si>
    <t>Act_ITP_10139_090814_727</t>
  </si>
  <si>
    <t>Act_ITP_10140_100011_703</t>
  </si>
  <si>
    <t>Act_ITP_10141_130137_703</t>
  </si>
  <si>
    <t>Act_ITP_10142_150730_703</t>
  </si>
  <si>
    <t>Act_ITP_10143_153449_727</t>
  </si>
  <si>
    <t>Act_ITP_10144_171744_703</t>
  </si>
  <si>
    <t>Act_ITP_10145_174215_703</t>
  </si>
  <si>
    <t>Act_ITP_10146_024205_703</t>
  </si>
  <si>
    <t>Act_ITP_10147_062428_703</t>
  </si>
  <si>
    <t>Act_ITP_10149_071559_727</t>
  </si>
  <si>
    <t>Act_ITP_10148_071707_703</t>
  </si>
  <si>
    <t>Act_ITP_10150_075923_727</t>
  </si>
  <si>
    <t>Act_ITP_10151_090416_703</t>
  </si>
  <si>
    <t>Act_ITP_10152_090438_727</t>
  </si>
  <si>
    <t>Act_ITP_10153_103845_703</t>
  </si>
  <si>
    <t>Act_ITP_10154_124902_703</t>
  </si>
  <si>
    <t>Act_ITP_10155_143406_703</t>
  </si>
  <si>
    <t>Act_ITP_10156_144807_703</t>
  </si>
  <si>
    <t>Act_ITP_10157_152843_731</t>
  </si>
  <si>
    <t>Act_ITP_10158_160820_703</t>
  </si>
  <si>
    <t>Act_ITP_10159_173028_703</t>
  </si>
  <si>
    <t>Act_ITP_10160_200538_703</t>
  </si>
  <si>
    <t>Act_ITP_10161_024705_703</t>
  </si>
  <si>
    <t>Act_ITP_10162_042928_703</t>
  </si>
  <si>
    <t>Act_ITP_10163_063131_703</t>
  </si>
  <si>
    <t>Act_ITP_10164_070103_703</t>
  </si>
  <si>
    <t>Act_ITP_10165_073118_727</t>
  </si>
  <si>
    <t>Act_ITP_10166_080144_703</t>
  </si>
  <si>
    <t>Act_ITP_10167_084106_727</t>
  </si>
  <si>
    <t>Act_ITP_10168_085103_703</t>
  </si>
  <si>
    <t>Act_ITP_10169_101256_703</t>
  </si>
  <si>
    <t>Act_ITP_10170_125232_703</t>
  </si>
  <si>
    <t>Act_ITP_10171_153538_703</t>
  </si>
  <si>
    <t>Act_ITP_10172_173311_703</t>
  </si>
  <si>
    <t>Act_ITP_10173_180218_703</t>
  </si>
  <si>
    <t>Act_ITP_10174_200930_703</t>
  </si>
  <si>
    <t>Act_ITP_10175_002649_703</t>
  </si>
  <si>
    <t>Act_ITP_10176_054614_703</t>
  </si>
  <si>
    <t>Act_ITP_10177_062917_703</t>
  </si>
  <si>
    <t>Act_ITP_10178_173425_727</t>
  </si>
  <si>
    <t>Act_ITP_10179_201505_703</t>
  </si>
  <si>
    <t>Act_ITP_10180_023053_703</t>
  </si>
  <si>
    <t>Act_ITP_10181_043410_703</t>
  </si>
  <si>
    <t>Act_ITP_10182_055911_703</t>
  </si>
  <si>
    <t>Act_ITP_10183_071834_725</t>
  </si>
  <si>
    <t>Act_ITP_10184_072937_703</t>
  </si>
  <si>
    <t>Act_ITP_10185_073256_727</t>
  </si>
  <si>
    <t>Act_ITP_10186_084802_703</t>
  </si>
  <si>
    <t>Act_ITP_10187_090203_727</t>
  </si>
  <si>
    <t>Act_ITP_10188_103643_703</t>
  </si>
  <si>
    <t>Act_ITP_10189_124652_703</t>
  </si>
  <si>
    <t>Act_ITP_10190_142639_703</t>
  </si>
  <si>
    <t>Act_ITP_10191_151015_703</t>
  </si>
  <si>
    <t>Act_ITP_10192_154909_727</t>
  </si>
  <si>
    <t>Act_ITP_10193_155101_725</t>
  </si>
  <si>
    <t>Act_ITP_10194_170239_703</t>
  </si>
  <si>
    <t>Act_ITP_10195_210410_703</t>
  </si>
  <si>
    <t>Act_ITP_10196_025201_703</t>
  </si>
  <si>
    <t>Act_ITP_10197_063848_703</t>
  </si>
  <si>
    <t>Act_ITP_10198_071607_703</t>
  </si>
  <si>
    <t>Act_ITP_10199_072331_727</t>
  </si>
  <si>
    <t>Act_ITP_10200_073450_725</t>
  </si>
  <si>
    <t>Act_ITP_10201_085021_703</t>
  </si>
  <si>
    <t>Act_ITP_10202_090330_727</t>
  </si>
  <si>
    <t>Act_ITP_10203_100639_703</t>
  </si>
  <si>
    <t>Act_ITP_10204_143041_703</t>
  </si>
  <si>
    <t>Act_ITP_10205_144002_727</t>
  </si>
  <si>
    <t>Act_ITP_10206_150320_703</t>
  </si>
  <si>
    <t>Act_ITP_10207_205313_703</t>
  </si>
  <si>
    <t>Act_ITP_10208_023133_703</t>
  </si>
  <si>
    <t>Act_ITP_10209_043658_703</t>
  </si>
  <si>
    <t>Act_ITP_10210_062358_703</t>
  </si>
  <si>
    <t>Act_ITP_10211_064942_703</t>
  </si>
  <si>
    <t>Act_ITP_10212_073123_727</t>
  </si>
  <si>
    <t>Act_ITP_10213_080028_703</t>
  </si>
  <si>
    <t>Act_ITP_10214_082538_703</t>
  </si>
  <si>
    <t>Act_ITP_10215_090954_703</t>
  </si>
  <si>
    <t>Act_ITP_10216_102625_703</t>
  </si>
  <si>
    <t>Act_ITP_10217_130138_731</t>
  </si>
  <si>
    <t>Act_ITP_10218_151354_731</t>
  </si>
  <si>
    <t>Act_ITP_10219_172429_727</t>
  </si>
  <si>
    <t>Act_ITP_10220_173609_703</t>
  </si>
  <si>
    <t>Act_ITP_10221_175055_703</t>
  </si>
  <si>
    <t>Act_ITP_10222_200543_703</t>
  </si>
  <si>
    <t>Act_ITP_10223_024452_703</t>
  </si>
  <si>
    <t>Act_ITP_10224_062147_703</t>
  </si>
  <si>
    <t>Act_ITP_10225_064827_703</t>
  </si>
  <si>
    <t>Act_ITP_10226_070732_727</t>
  </si>
  <si>
    <t>Act_ITP_10227_074306_703</t>
  </si>
  <si>
    <t>Act_ITP_10228_084352_703</t>
  </si>
  <si>
    <t>Act_ITP_10229_090527_727</t>
  </si>
  <si>
    <t>Act_ITP_10230_102952_703</t>
  </si>
  <si>
    <t>Act_ITP_10231_143025_703</t>
  </si>
  <si>
    <t>Act_ITP_10232_144321_727</t>
  </si>
  <si>
    <t>Act_ITP_10233_152825_703</t>
  </si>
  <si>
    <t>Act_ITP_10234_154553_703</t>
  </si>
  <si>
    <t>Act_ITP_10235_170343_703</t>
  </si>
  <si>
    <t>Act_ITP_10236_173749_731</t>
  </si>
  <si>
    <t>Act_ITP_10237_210015_703</t>
  </si>
  <si>
    <t>Act_ITP_10238_024225_703</t>
  </si>
  <si>
    <t>Act_ITP_10239_043431_703</t>
  </si>
  <si>
    <t>Act_ITP_10240_061423_703</t>
  </si>
  <si>
    <t>Act_ITP_10241_065945_703</t>
  </si>
  <si>
    <t>Act_ITP_10242_071529_703</t>
  </si>
  <si>
    <t>Act_ITP_10243_072055_727</t>
  </si>
  <si>
    <t>Act_ITP_10244_084833_703</t>
  </si>
  <si>
    <t>Act_ITP_10245_090315_727</t>
  </si>
  <si>
    <t>Act_ITP_10246_095530_703</t>
  </si>
  <si>
    <t>Act_ITP_10247_130348_703</t>
  </si>
  <si>
    <t>Act_ITP_10248_143111_703</t>
  </si>
  <si>
    <t>Act_ITP_10249_145551_703</t>
  </si>
  <si>
    <t>Act_ITP_10250_151255_731</t>
  </si>
  <si>
    <t>Act_ITP_10251_173204_703</t>
  </si>
  <si>
    <t>Act_ITP_10252_173207_727</t>
  </si>
  <si>
    <t>Act_ITP_10253_014403_727</t>
  </si>
  <si>
    <t>Act_ITP_10254_174939_727</t>
  </si>
  <si>
    <t>Act_ITP_10255_023845_703</t>
  </si>
  <si>
    <t>Act_ITP_10256_043450_703</t>
  </si>
  <si>
    <t>Act_ITP_10257_063740_703</t>
  </si>
  <si>
    <t>Act_ITP_10258_071030_727</t>
  </si>
  <si>
    <t>Act_ITP_10259_073008_703</t>
  </si>
  <si>
    <t>Act_ITP_10260_075652_703</t>
  </si>
  <si>
    <t>Act_ITP_10261_083200_727</t>
  </si>
  <si>
    <t>Act_ITP_10262_083226_703</t>
  </si>
  <si>
    <t>Act_ITP_10263_103312_703</t>
  </si>
  <si>
    <t>Act_ITP_10264_124412_703</t>
  </si>
  <si>
    <t>Act_ITP_10265_142359_703</t>
  </si>
  <si>
    <t>Act_ITP_10266_152748_731</t>
  </si>
  <si>
    <t>Act_ITP_10267_155803_703</t>
  </si>
  <si>
    <t>Act_ITP_10268_173432_703</t>
  </si>
  <si>
    <t>Act_ITP_10269_174323_727</t>
  </si>
  <si>
    <t>Act_ITP_10270_210207_703</t>
  </si>
  <si>
    <t>Act_ITP_10271_025502_703</t>
  </si>
  <si>
    <t>Act_ITP_10272_063220_703</t>
  </si>
  <si>
    <t>Act_ITP_10273_071510_703</t>
  </si>
  <si>
    <t>Act_ITP_10274_073341_727</t>
  </si>
  <si>
    <t>Act_ITP_10275_074432_725</t>
  </si>
  <si>
    <t>Act_ITP_10276_084903_727</t>
  </si>
  <si>
    <t>Act_ITP_10277_090828_703</t>
  </si>
  <si>
    <t>Act_ITP_10278_103254_703</t>
  </si>
  <si>
    <t>Act_ITP_10279_125857_703</t>
  </si>
  <si>
    <t>Act_ITP_10280_141838_703</t>
  </si>
  <si>
    <t>Act_ITP_10281_142849_727</t>
  </si>
  <si>
    <t>Act_ITP_10282_153244_731</t>
  </si>
  <si>
    <t>Act_ITP_10283_193144_703</t>
  </si>
  <si>
    <t>Act_ITP_10284_210216_703</t>
  </si>
  <si>
    <t>Act_ITP_10285_024638_703</t>
  </si>
  <si>
    <t>Act_ITP_10286_042112_703</t>
  </si>
  <si>
    <t>Act_ITP_10287_061750_703</t>
  </si>
  <si>
    <t>Act_ITP_10288_071955_703</t>
  </si>
  <si>
    <t>Act_ITP_10289_073131_727</t>
  </si>
  <si>
    <t>Act_ITP_10290_082109_703</t>
  </si>
  <si>
    <t>Act_ITP_10291_090516_703</t>
  </si>
  <si>
    <t>Act_ITP_10292_103256_703</t>
  </si>
  <si>
    <t>Act_ITP_10293_130727_703</t>
  </si>
  <si>
    <t>Act_ITP_10294_143227_703</t>
  </si>
  <si>
    <t>Act_ITP_10295_145347_703</t>
  </si>
  <si>
    <t>Act_ITP_10296_155005_731</t>
  </si>
  <si>
    <t>Act_ITP_10297_173221_703</t>
  </si>
  <si>
    <t>Act_ITP_10298_173853_727</t>
  </si>
  <si>
    <t>Act_ITP_10299_204917_703</t>
  </si>
  <si>
    <t>Act_ITP_10300_024435_703</t>
  </si>
  <si>
    <t>Act_ITP_10301_062020_703</t>
  </si>
  <si>
    <t>Act_ITP_10302_065910_703</t>
  </si>
  <si>
    <t>Act_ITP_10303_071529_725</t>
  </si>
  <si>
    <t>Act_ITP_10304_075509_703</t>
  </si>
  <si>
    <t>Act_ITP_10305_082441_703</t>
  </si>
  <si>
    <t>Act_ITP_10306_091107_703</t>
  </si>
  <si>
    <t>Act_ITP_10307_095549_703</t>
  </si>
  <si>
    <t>Act_ITP_10308_125950_703</t>
  </si>
  <si>
    <t>Act_ITP_10309_143227_703</t>
  </si>
  <si>
    <t>Act_ITP_10310_145430_703</t>
  </si>
  <si>
    <t>Act_ITP_10311_153434_731</t>
  </si>
  <si>
    <t>Act_ITP_10312_172402_731</t>
  </si>
  <si>
    <t>Act_ITP_10313_194525_703</t>
  </si>
  <si>
    <t>Act_ITP_10314_202854_703</t>
  </si>
  <si>
    <t>Act_ITP_10315_024928_703</t>
  </si>
  <si>
    <t>Act_ITP_10316_042926_703</t>
  </si>
  <si>
    <t>Act_ITP_10317_055944_703</t>
  </si>
  <si>
    <t>Act_ITP_10318_070151_703</t>
  </si>
  <si>
    <t>Act_ITP_10319_070705_727</t>
  </si>
  <si>
    <t>Act_ITP_10320_080413_703</t>
  </si>
  <si>
    <t>Act_ITP_10321_085456_703</t>
  </si>
  <si>
    <t>Act_ITP_10322_090224_727</t>
  </si>
  <si>
    <t>Act_ITP_10323_103603_703</t>
  </si>
  <si>
    <t>Act_ITP_10324_122953_703</t>
  </si>
  <si>
    <t>Act_ITP_10325_141438_703</t>
  </si>
  <si>
    <t>Act_ITP_10326_150428_703</t>
  </si>
  <si>
    <t>Act_ITP_10327_152142_727</t>
  </si>
  <si>
    <t>Act_ITP_10328_153412_731</t>
  </si>
  <si>
    <t>Act_ITP_10329_173410_703</t>
  </si>
  <si>
    <t>Act_ITP_10330_174750_727</t>
  </si>
  <si>
    <t>Act_ITP_10331_200804_703</t>
  </si>
  <si>
    <t>OutboundTrainPreparation</t>
  </si>
  <si>
    <t>Act_OBTP_OBT020125030112-Neunkirchen (loading tracks)_030112_613</t>
  </si>
  <si>
    <t>Act_OBTP_OBT020125064334-Wien Kledering_064334_613</t>
  </si>
  <si>
    <t>Act_OBTP_OBT020125073857-Wien Kledering_073857_621</t>
  </si>
  <si>
    <t>Act_OBTP_OBT020125074750-Pitten (Hamburger)_074750_605</t>
  </si>
  <si>
    <t>Act_OBTP_OBT020125082044-Wien Kledering_082044_613</t>
  </si>
  <si>
    <t>Act_OBTP_OBT020125092035-Wien Kledering_092035_629</t>
  </si>
  <si>
    <t>Act_OBTP_OBT020125093208-Other sidings north_093208_619</t>
  </si>
  <si>
    <t>Act_OBTP_OBT020125093825-Wr. Neustadt (Hödlmayr)_093825_609</t>
  </si>
  <si>
    <t>Act_OBTP_OBT020125094857-Pitten (Hamburger)_094857_629</t>
  </si>
  <si>
    <t>Act_OBTP_OBT020125105809-Wien Kledering_105809_613</t>
  </si>
  <si>
    <t>Act_OBTP_OBT020125145206-Wien Kledering_145206_613</t>
  </si>
  <si>
    <t>Act_OBTP_OBT020125152222-Ternitz (Schoeller-Bleckmann)_152222_627</t>
  </si>
  <si>
    <t>Act_OBTP_OBT020125154035-Neudörfl (FunderMax)_154035_606</t>
  </si>
  <si>
    <t>Act_OBTP_OBT020125154208-Pitten (Hamburger)_154208_629</t>
  </si>
  <si>
    <t>Act_OBTP_OBT020125155102-Other sidings north_155102_629</t>
  </si>
  <si>
    <t>Act_OBTP_OBT020125183042-Wr. Neustadt (Hödlmayr)_183042_619</t>
  </si>
  <si>
    <t>Act_OBTP_OBT020125183645-Pitten (Hamburger)_183645_627</t>
  </si>
  <si>
    <t>Act_OBTP_OBT020125184418-Neunkirchen (loading tracks)_184418_623</t>
  </si>
  <si>
    <t>Act_OBTP_OBT020125205242-Ebenfurth (beet loading)_205242_611</t>
  </si>
  <si>
    <t>Act_OBTP_OBT020125210324-Other sidings north_210324_629</t>
  </si>
  <si>
    <t>Act_OBTP_OBT020125210709-Neudörfl (FunderMax)_210709_613</t>
  </si>
  <si>
    <t>Act_OBTP_OBT030125030120-Pitten (Hamburger)_030120_627</t>
  </si>
  <si>
    <t>Act_OBTP_OBT030125045529-Neudörfl (FunderMax)_045529_613</t>
  </si>
  <si>
    <t>Act_OBTP_OBT030125061555-Other sidings south_061555_615</t>
  </si>
  <si>
    <t>Act_OBTP_OBT030125063005-Gloggnitz_063005_625</t>
  </si>
  <si>
    <t>Act_OBTP_OBT030125063320-Ternitz (Schoeller-Bleckmann)_063320_627</t>
  </si>
  <si>
    <t>Act_OBTP_OBT030125063655-Wr. Neustadt (Hödlmayr)_063655_619</t>
  </si>
  <si>
    <t>Act_OBTP_OBT030125070748-Neunkirchen (loading tracks)_070748_623</t>
  </si>
  <si>
    <t>Act_OBTP_OBT030125075311-Felixdorf/Sollenau (Bundesheer, Maba)_075311_621</t>
  </si>
  <si>
    <t>Act_OBTP_OBT030125080046-Wien Kledering_080046_627</t>
  </si>
  <si>
    <t>Act_OBTP_OBT030125084617-Wien Kledering_084617_625</t>
  </si>
  <si>
    <t>Act_OBTP_OBT030125090715-St. Veit an der Glan_090715_605</t>
  </si>
  <si>
    <t>Act_OBTP_OBT030125090958-Ebenfurth (beet loading)_090958_619</t>
  </si>
  <si>
    <t>Act_OBTP_OBT030125105420-Wien Kledering_105420_627</t>
  </si>
  <si>
    <t>Act_OBTP_OBT030125110012-Wien Kledering_110012_605</t>
  </si>
  <si>
    <t>Act_OBTP_OBT030125131727-Wien Kledering_131727_627</t>
  </si>
  <si>
    <t>Act_OBTP_OBT030125154014-Pitten (Hamburger)_154014_627</t>
  </si>
  <si>
    <t>Act_OBTP_OBT030125160132-Wr. Neustadt Ausfahrbf (Furtenbach)_160132_617</t>
  </si>
  <si>
    <t>Act_OBTP_OBT030125160747-Wien Kledering_160747_605</t>
  </si>
  <si>
    <t>Act_OBTP_OBT030125173012-Wien Kledering_173012_627</t>
  </si>
  <si>
    <t>Act_OBTP_OBT030125203217-Other sidings north_203217_629</t>
  </si>
  <si>
    <t>Act_OBTP_OBT030125203727-Wr. Neustadt (Hödlmayr)_203727_613</t>
  </si>
  <si>
    <t>Act_OBTP_OBT030125204417-Ebenfurth (beet loading)_204417_619</t>
  </si>
  <si>
    <t>Act_OBTP_OBT030125204535-Pitten (Hamburger)_204535_627</t>
  </si>
  <si>
    <t>Act_OBTP_OBT030125205107-Other sidings local_205107_607</t>
  </si>
  <si>
    <t>Act_OBTP_OBT030125220232-Neudörfl (FunderMax)_220232_611</t>
  </si>
  <si>
    <t>Act_OBTP_OBT030125220353-Other sidings south_220353_615</t>
  </si>
  <si>
    <t>Act_OBTP_OBT040125055908-Ebenfurth (beet loading)_055908_615</t>
  </si>
  <si>
    <t>Act_OBTP_OBT050125180143-Pitten (Hamburger)_180143_619</t>
  </si>
  <si>
    <t>Act_OBTP_OBT050125180350-Neudörfl (FunderMax)_180350_613</t>
  </si>
  <si>
    <t>Act_OBTP_OBT050125203113-Pitten (Hamburger)_203113_613</t>
  </si>
  <si>
    <t>Act_OBTP_OBT050125203708-Pitten (Hamburger)_203708_619</t>
  </si>
  <si>
    <t>Act_OBTP_OBT060125175612-Pitten (Hamburger)_175612_613</t>
  </si>
  <si>
    <t>Act_OBTP_OBT070125031735-Neunkirchen (loading tracks)_031735_623</t>
  </si>
  <si>
    <t>Act_OBTP_OBT070125031850-Ebenfurth (beet loading)_031850_615</t>
  </si>
  <si>
    <t>Act_OBTP_OBT070125064820-Wien Kledering_064820_615</t>
  </si>
  <si>
    <t>Act_OBTP_OBT070125074225-Wien Kledering_074225_619</t>
  </si>
  <si>
    <t>Act_OBTP_OBT070125074625-Wien Kledering_074625_607</t>
  </si>
  <si>
    <t>Act_OBTP_OBT070125075235-Neudörfl (FunderMax)_075235_627</t>
  </si>
  <si>
    <t>Act_OBTP_OBT070125080206-Other sidings north_080206_617</t>
  </si>
  <si>
    <t>Act_OBTP_OBT070125084304-Wien Kledering_084304_615</t>
  </si>
  <si>
    <t>Act_OBTP_OBT070125084545-St. Veit an der Glan_084545_625</t>
  </si>
  <si>
    <t>Act_OBTP_OBT070125105541-Wien Kledering_105541_615</t>
  </si>
  <si>
    <t>Act_OBTP_OBT070125131825-Wien Kledering_131825_625</t>
  </si>
  <si>
    <t>Act_OBTP_OBT070125143346-Wien Kledering_143346_615</t>
  </si>
  <si>
    <t>Act_OBTP_OBT070125154136-Wr. Neustadt (Hödlmayr)_154136_629</t>
  </si>
  <si>
    <t>Act_OBTP_OBT070125154601-Other sidings north_154601_617</t>
  </si>
  <si>
    <t>Act_OBTP_OBT070125155207-Pitten (Hamburger)_155207_613</t>
  </si>
  <si>
    <t>Act_OBTP_OBT070125160018-Wien Kledering_160018_619</t>
  </si>
  <si>
    <t>Act_OBTP_OBT070125162217-St. Veit an der Glan_162217_627</t>
  </si>
  <si>
    <t>Act_OBTP_OBT070125180657-Wr. Neustadt Ausfahrbf (Furtenbach)_180657_605</t>
  </si>
  <si>
    <t>Act_OBTP_OBT070125180725-Wr. Neustadt (Hödlmayr)_180725_613</t>
  </si>
  <si>
    <t>Act_OBTP_OBT070125183432-Wien Kledering_183432_607</t>
  </si>
  <si>
    <t>Act_OBTP_OBT070125212007-Wien Kledering_212007_613</t>
  </si>
  <si>
    <t>Act_OBTP_OBT080125031418-Pitten (Hamburger)_031418_627</t>
  </si>
  <si>
    <t>Act_OBTP_OBT080125031718-Other sidings local_031718_625</t>
  </si>
  <si>
    <t>Act_OBTP_OBT080125031726-Neunkirchen (loading tracks)_031726_613</t>
  </si>
  <si>
    <t>Act_OBTP_OBT080125032215-Other sidings south_032215_623</t>
  </si>
  <si>
    <t>Act_OBTP_OBT080125041024-Neudörfl (FunderMax)_041024_611</t>
  </si>
  <si>
    <t>Act_OBTP_OBT080125061845-Wien Kledering_061845_613</t>
  </si>
  <si>
    <t>Act_OBTP_OBT080125073527-Wien Kledering_073527_611</t>
  </si>
  <si>
    <t>Act_OBTP_OBT080125081724-Other sidings north_081724_615</t>
  </si>
  <si>
    <t>Act_OBTP_OBT080125082044-Wr. Neustadt (Hödlmayr)_082044_619</t>
  </si>
  <si>
    <t>Act_OBTP_OBT080125083220-Pitten (Hamburger)_083220_627</t>
  </si>
  <si>
    <t>Act_OBTP_OBT080125084420-Ternitz (Schoeller-Bleckmann)_084420_613</t>
  </si>
  <si>
    <t>Act_OBTP_OBT080125091709-Wien Kledering_091709_615</t>
  </si>
  <si>
    <t>Act_OBTP_OBT080125092000-St. Veit an der Glan_092000_619</t>
  </si>
  <si>
    <t>Act_OBTP_OBT080125103559-Wien Kledering_103559_615</t>
  </si>
  <si>
    <t>Act_OBTP_OBT080125104132-Wien Kledering_104132_613</t>
  </si>
  <si>
    <t>Act_OBTP_OBT080125130420-Wien Kledering_130420_615</t>
  </si>
  <si>
    <t>Act_OBTP_OBT080125144539-Wien Kledering_144539_615</t>
  </si>
  <si>
    <t>Act_OBTP_OBT080125153109-Felixdorf/Sollenau (Bundesheer, Maba)_153109_621</t>
  </si>
  <si>
    <t>Act_OBTP_OBT080125160042-Wien Kledering_160042_617</t>
  </si>
  <si>
    <t>Act_OBTP_OBT080125173713-Wien Kledering_173713_615</t>
  </si>
  <si>
    <t>Act_OBTP_OBT080125203302-Wien Kledering_203302_617</t>
  </si>
  <si>
    <t>Act_OBTP_OBT090125030658-Wr. Neustadt (Hödlmayr)_030658_613</t>
  </si>
  <si>
    <t>Act_OBTP_OBT090125031241-Neunkirchen (loading tracks)_031241_625</t>
  </si>
  <si>
    <t>Act_OBTP_OBT090125063820-Ebenfurth (beet loading)_063820_615</t>
  </si>
  <si>
    <t>Act_OBTP_OBT090125064202-Other sidings north_064202_619</t>
  </si>
  <si>
    <t>Act_OBTP_OBT090125070004-Wien Kledering_070004_629</t>
  </si>
  <si>
    <t>Act_OBTP_OBT090125074546-Wr. Neustadt (Brenntag)_074546_609</t>
  </si>
  <si>
    <t>Act_OBTP_OBT090125075111-Pitten (Hamburger)_075111_611</t>
  </si>
  <si>
    <t>Act_OBTP_OBT090125075601-Wr. Neustadt Ausfahrbf (Furtenbach)_075601_605</t>
  </si>
  <si>
    <t>Act_OBTP_OBT090125083304-Wien Kledering_083304_619</t>
  </si>
  <si>
    <t>Act_OBTP_OBT090125090557-Wien Kledering_090557_605</t>
  </si>
  <si>
    <t>Act_OBTP_OBT090125091140-St. Veit an der Glan_091140_627</t>
  </si>
  <si>
    <t>Act_OBTP_OBT090125111603-Wien Kledering_111603_605</t>
  </si>
  <si>
    <t>Act_OBTP_OBT090125145115-Wien Kledering_145115_605</t>
  </si>
  <si>
    <t>Act_OBTP_OBT090125152828-Neudörfl (FunderMax)_152828_621</t>
  </si>
  <si>
    <t>Act_OBTP_OBT090125153241-Pitten (Hamburger)_153241_611</t>
  </si>
  <si>
    <t>Act_OBTP_OBT090125153646-Ebenfurth (beet loading)_153646_615</t>
  </si>
  <si>
    <t>Act_OBTP_OBT090125155728-Wien Kledering_155728_609</t>
  </si>
  <si>
    <t>Act_OBTP_OBT090125182121-Pitten (Hamburger)_182121_615</t>
  </si>
  <si>
    <t>Act_OBTP_OBT090125182601-Other sidings north_182601_619</t>
  </si>
  <si>
    <t>Act_OBTP_OBT090125182822-Neunkirchen (loading tracks)_182822_613</t>
  </si>
  <si>
    <t>Act_OBTP_OBT090125184210-Steinabrückl/Wöllersdorf_184210_606</t>
  </si>
  <si>
    <t>Act_OBTP_OBT090125184904-Obereggendorf (Hofer)_184904_607</t>
  </si>
  <si>
    <t>Act_OBTP_OBT090125185836-Wr. Neustadt (Brenntag)_185836_609</t>
  </si>
  <si>
    <t>Act_OBTP_OBT090125190525-Neudörfl (FunderMax)_190525_605</t>
  </si>
  <si>
    <t>Act_OBTP_OBT090125204342-Felixdorf/Sollenau (Bundesheer, Maba)_204342_625</t>
  </si>
  <si>
    <t>Act_OBTP_OBT090125204925-Other sidings north_204925_629</t>
  </si>
  <si>
    <t>Act_OBTP_OBT100125031244-Neunkirchen (loading tracks)_031244_621</t>
  </si>
  <si>
    <t>Act_OBTP_OBT100125031522-Other sidings south_031522_623</t>
  </si>
  <si>
    <t>Act_OBTP_OBT100125045052-Neudörfl (FunderMax)_045052_615</t>
  </si>
  <si>
    <t>Act_OBTP_OBT100125060642-Wien Kledering_060642_611</t>
  </si>
  <si>
    <t>Act_OBTP_OBT100125071706-Wr. Neustadt (Hödlmayr)_071706_613</t>
  </si>
  <si>
    <t>Act_OBTP_OBT100125071957-Pitten (Hamburger)_071957_605</t>
  </si>
  <si>
    <t>Act_OBTP_OBT100125074357-Wien Kledering_074357_619</t>
  </si>
  <si>
    <t>Act_OBTP_OBT100125081531-Wien Kledering_081531_606</t>
  </si>
  <si>
    <t>Act_OBTP_OBT100125092212-St. Veit an der Glan_092212_627</t>
  </si>
  <si>
    <t>Act_OBTP_OBT100125092457-Wien Kledering_092457_611</t>
  </si>
  <si>
    <t>Act_OBTP_OBT100125092935-Ebenfurth (beet loading)_092935_613</t>
  </si>
  <si>
    <t>Act_OBTP_OBT100125094326-Other sidings north_094326_605</t>
  </si>
  <si>
    <t>Act_OBTP_OBT100125095359-Felixdorf/Sollenau (Bundesheer, Maba)_095359_625</t>
  </si>
  <si>
    <t>Act_OBTP_OBT100125103849-Wien Kledering_103849_627</t>
  </si>
  <si>
    <t>Act_OBTP_OBT100125142646-Wien Kledering_142646_613</t>
  </si>
  <si>
    <t>Act_OBTP_OBT100125150940-Wien Kledering_150940_627</t>
  </si>
  <si>
    <t>Act_OBTP_OBT100125174706-Wien Kledering_174706_613</t>
  </si>
  <si>
    <t>Act_OBTP_OBT100125182130-Pitten (Hamburger)_182130_627</t>
  </si>
  <si>
    <t>Act_OBTP_OBT100125183202-Other sidings north_183202_605</t>
  </si>
  <si>
    <t>Act_OBTP_OBT100125183853-Wr. Neustadt Ausfahrbf (Furtenbach)_183853_609</t>
  </si>
  <si>
    <t>Act_OBTP_OBT100125185219-Neunkirchen (loading tracks)_185219_619</t>
  </si>
  <si>
    <t>Act_OBTP_OBT100125205103-Pitten (Hamburger)_205103_613</t>
  </si>
  <si>
    <t>Act_OBTP_OBT100125205342-Other sidings south_205342_623</t>
  </si>
  <si>
    <t>Act_OBTP_OBT110125052224-Ebenfurth (beet loading)_052224_619</t>
  </si>
  <si>
    <t>Act_OBTP_OBT110125052552-Pitten (Hamburger)_052552_613</t>
  </si>
  <si>
    <t>Act_OBTP_OBT110125055616-Ebenfurth (beet loading)_055616_623</t>
  </si>
  <si>
    <t>Act_OBTP_OBT110125055912-Pitten (Hamburger)_055912_611</t>
  </si>
  <si>
    <t>Act_OBTP_OBT120125180841-Neudörfl (FunderMax)_180841_625</t>
  </si>
  <si>
    <t>Act_OBTP_OBT120125180921-Pitten (Hamburger)_180921_613</t>
  </si>
  <si>
    <t>Act_OBTP_OBT120125201952-Neudörfl (FunderMax)_201952_613</t>
  </si>
  <si>
    <t>Act_OBTP_OBT120125202320-Pitten (Hamburger)_202320_625</t>
  </si>
  <si>
    <t>Act_OBTP_OBT130125024918-Neunkirchen (loading tracks)_024918_605</t>
  </si>
  <si>
    <t>Act_OBTP_OBT130125044756-Neudörfl (FunderMax)_044756_625</t>
  </si>
  <si>
    <t>Act_OBTP_OBT130125062348-Wien Kledering_062348_625</t>
  </si>
  <si>
    <t>Act_OBTP_OBT130125071902-Wien Kledering_071902_605</t>
  </si>
  <si>
    <t>Act_OBTP_OBT130125073501-Wien Kledering_073501_619</t>
  </si>
  <si>
    <t>Act_OBTP_OBT130125082326-Wr. Neustadt (Hödlmayr)_082326_606</t>
  </si>
  <si>
    <t>Act_OBTP_OBT130125092157-Wien Kledering_092157_625</t>
  </si>
  <si>
    <t>Act_OBTP_OBT130125092620-Ternitz (Schoeller-Bleckmann)_092620_617</t>
  </si>
  <si>
    <t>Act_OBTP_OBT130125093830-Other sidings local_093830_615</t>
  </si>
  <si>
    <t>Act_OBTP_OBT130125094410-Other sidings south_094410_613</t>
  </si>
  <si>
    <t>Act_OBTP_OBT130125095519-Other sidings north_095519_605</t>
  </si>
  <si>
    <t>Act_OBTP_OBT130125095539-Pitten (Hamburger)_095539_611</t>
  </si>
  <si>
    <t>Act_OBTP_OBT130125103421-Wien Kledering_103421_619</t>
  </si>
  <si>
    <t>Act_OBTP_OBT130125123545-Wien Kledering_123545_617</t>
  </si>
  <si>
    <t>Act_OBTP_OBT130125144644-Wien Kledering_144644_615</t>
  </si>
  <si>
    <t>Act_OBTP_OBT130125152935-Wr. Neustadt (Hödlmayr)_152935_625</t>
  </si>
  <si>
    <t>Act_OBTP_OBT130125155039-Wr. Neustadt Ausfahrbf (Furtenbach)_155039_609</t>
  </si>
  <si>
    <t>Act_OBTP_OBT130125155053-Wien Kledering_155053_611</t>
  </si>
  <si>
    <t>Act_OBTP_OBT130125162753-Wien Kledering_162753_625</t>
  </si>
  <si>
    <t>Act_OBTP_OBT130125163000-St. Veit an der Glan_163000_606</t>
  </si>
  <si>
    <t>Act_OBTP_OBT130125174233-Wien Kledering_174233_615</t>
  </si>
  <si>
    <t>Act_OBTP_OBT130125212354-Wien Kledering_212354_615</t>
  </si>
  <si>
    <t>Act_OBTP_OBT140125024930-Neunkirchen (loading tracks)_024930_605</t>
  </si>
  <si>
    <t>Act_OBTP_OBT140125064740-Wien Kledering_064740_615</t>
  </si>
  <si>
    <t>Act_OBTP_OBT140125070727-Neudörfl (FunderMax)_070727_629</t>
  </si>
  <si>
    <t>Act_OBTP_OBT140125070928-Pitten (Hamburger)_070928_613</t>
  </si>
  <si>
    <t>Act_OBTP_OBT140125075443-Wien Kledering_075443_606</t>
  </si>
  <si>
    <t>Act_OBTP_OBT140125081951-Wien Kledering_081951_613</t>
  </si>
  <si>
    <t>Act_OBTP_OBT140125093209-Obereggendorf (Hofer)_093209_607</t>
  </si>
  <si>
    <t>Act_OBTP_OBT140125093437-St. Veit an der Glan_093437_629</t>
  </si>
  <si>
    <t>Act_OBTP_OBT140125101210-Wr. Neustadt (Hödlmayr)_101210_625</t>
  </si>
  <si>
    <t>Act_OBTP_OBT140125101947-Other sidings north_101947_605</t>
  </si>
  <si>
    <t>Act_OBTP_OBT140125102734-Pitten (Hamburger)_102734_611</t>
  </si>
  <si>
    <t>Act_OBTP_OBT140125102839-Wr. Neustadt (Brenntag)_102839_627</t>
  </si>
  <si>
    <t>Act_OBTP_OBT140125130928-Wien Kledering_130928_611</t>
  </si>
  <si>
    <t>Act_OBTP_OBT140125144027-Wien Kledering_144027_611</t>
  </si>
  <si>
    <t>Act_OBTP_OBT140125153402-Felixdorf/Sollenau (Bundesheer, Maba)_153402_609</t>
  </si>
  <si>
    <t>Act_OBTP_OBT140125153639-Ebenfurth (beet loading)_153639_623</t>
  </si>
  <si>
    <t>Act_OBTP_OBT140125153802-Neudörfl (FunderMax)_153802_615</t>
  </si>
  <si>
    <t>Act_OBTP_OBT140125154219-Pitten (Hamburger)_154219_613</t>
  </si>
  <si>
    <t>Act_OBTP_OBT140125155553-Gloggnitz_155553_627</t>
  </si>
  <si>
    <t>Act_OBTP_OBT140125160010-Wien Kledering_160010_605</t>
  </si>
  <si>
    <t>Act_OBTP_OBT140125180846-Wien Kledering_180846_607</t>
  </si>
  <si>
    <t>Act_OBTP_OBT140125181221-Wr. Neustadt (Hödlmayr)_181221_615</t>
  </si>
  <si>
    <t>Act_OBTP_OBT140125181252-Steinabrückl/Wöllersdorf_181252_621</t>
  </si>
  <si>
    <t>Act_OBTP_OBT140125181642-Ternitz (Schoeller-Bleckmann)_181642_617</t>
  </si>
  <si>
    <t>Act_OBTP_OBT140125182854-Neudörfl (FunderMax)_182854_623</t>
  </si>
  <si>
    <t>Act_OBTP_OBT140125183542-Pitten (Hamburger)_183542_605</t>
  </si>
  <si>
    <t>Act_OBTP_OBT150125024833-Neunkirchen (loading tracks)_024833_606</t>
  </si>
  <si>
    <t>Act_OBTP_OBT150125025656-Other sidings south_025656_619</t>
  </si>
  <si>
    <t>Act_OBTP_OBT150125045827-Neudörfl (FunderMax)_045827_623</t>
  </si>
  <si>
    <t>Act_OBTP_OBT150125064840-Wien Kledering_064840_615</t>
  </si>
  <si>
    <t>Act_OBTP_OBT150125074216-Ebenfurth (beet loading)_074216_627</t>
  </si>
  <si>
    <t>Act_OBTP_OBT150125075736-Other sidings north_075736_625</t>
  </si>
  <si>
    <t>Act_OBTP_OBT150125080153-Wr. Neustadt (Hödlmayr)_080153_617</t>
  </si>
  <si>
    <t>Act_OBTP_OBT150125080609-Wien Kledering_080609_623</t>
  </si>
  <si>
    <t>Act_OBTP_OBT150125084204-Wien Kledering_084204_621</t>
  </si>
  <si>
    <t>Act_OBTP_OBT150125092356-Pitten (Hamburger)_092356_619</t>
  </si>
  <si>
    <t>Act_OBTP_OBT150125094220-Wien Kledering_094220_617</t>
  </si>
  <si>
    <t>Act_OBTP_OBT150125101800-Felixdorf/Sollenau (Bundesheer, Maba)_101800_609</t>
  </si>
  <si>
    <t>Act_OBTP_OBT150125101848-Wien Kledering_101848_623</t>
  </si>
  <si>
    <t>Act_OBTP_OBT150125131431-Wien Kledering_131431_623</t>
  </si>
  <si>
    <t>Act_OBTP_OBT150125154642-Wr. Neustadt (Hödlmayr)_154642_625</t>
  </si>
  <si>
    <t>Act_OBTP_OBT150125155826-Other sidings north_155826_615</t>
  </si>
  <si>
    <t>Act_OBTP_OBT150125160356-Neudörfl (FunderMax)_160356_606</t>
  </si>
  <si>
    <t>Act_OBTP_OBT150125160509-Wien Kledering_160509_617</t>
  </si>
  <si>
    <t>Act_OBTP_OBT150125173247-Wien Kledering_173247_615</t>
  </si>
  <si>
    <t>Act_OBTP_OBT150125181910-Pitten (Hamburger)_181910_619</t>
  </si>
  <si>
    <t>Act_OBTP_OBT150125182201-Neunkirchen (loading tracks)_182201_607</t>
  </si>
  <si>
    <t>Act_OBTP_OBT150125183815-Ebenfurth (beet loading)_183815_627</t>
  </si>
  <si>
    <t>Act_OBTP_OBT160125025835-Neunkirchen (loading tracks)_025835_615</t>
  </si>
  <si>
    <t>Act_OBTP_OBT160125063851-Wien Kledering_063851_615</t>
  </si>
  <si>
    <t>Act_OBTP_OBT160125072923-Wien Kledering_072923_619</t>
  </si>
  <si>
    <t>Act_OBTP_OBT160125075109-Pitten (Hamburger)_075109_621</t>
  </si>
  <si>
    <t>Act_OBTP_OBT160125081022-Ternitz (Schoeller-Bleckmann)_081022_605</t>
  </si>
  <si>
    <t>Act_OBTP_OBT160125081516-Wien Kledering_081516_615</t>
  </si>
  <si>
    <t>Act_OBTP_OBT160125092224-St. Veit an der Glan_092224_605</t>
  </si>
  <si>
    <t>Act_OBTP_OBT160125092526-Wien Kledering_092526_619</t>
  </si>
  <si>
    <t>Act_OBTP_OBT160125101737-Wr. Neustadt (Hödlmayr)_101737_625</t>
  </si>
  <si>
    <t>Act_OBTP_OBT160125101737-Neudörfl (FunderMax)_101737_617</t>
  </si>
  <si>
    <t>Act_OBTP_OBT160125102340-Wr. Neustadt Ausfahrbf (Furtenbach)_102340_613</t>
  </si>
  <si>
    <t>Act_OBTP_OBT160125105820-Wien Kledering_105820_605</t>
  </si>
  <si>
    <t>Act_OBTP_OBT160125130303-Wien Kledering_130303_625</t>
  </si>
  <si>
    <t>Act_OBTP_OBT160125144759-Wien Kledering_144759_613</t>
  </si>
  <si>
    <t>Act_OBTP_OBT160125151346-Pitten (Hamburger)_151346_613</t>
  </si>
  <si>
    <t>Act_OBTP_OBT160125162643-Wien Kledering_162643_621</t>
  </si>
  <si>
    <t>Act_OBTP_OBT160125175803-Neunkirchen (loading tracks)_175803_629</t>
  </si>
  <si>
    <t>Act_OBTP_OBT160125175833-Pitten (Hamburger)_175833_613</t>
  </si>
  <si>
    <t>Act_OBTP_OBT160125203020-Pitten (Hamburger)_203020_625</t>
  </si>
  <si>
    <t>Act_OBTP_OBT160125203907-Wr. Neustadt (Hödlmayr)_203907_617</t>
  </si>
  <si>
    <t>Act_OBTP_OBT160125204054-Ebenfurth (beet loading)_204054_607</t>
  </si>
  <si>
    <t>Act_OBTP_OBT170125030753-Neunkirchen (loading tracks)_030753_605</t>
  </si>
  <si>
    <t>Act_OBTP_OBT170125031540-Other sidings south_031540_609</t>
  </si>
  <si>
    <t>Act_OBTP_OBT170125044950-Neudörfl (FunderMax)_044950_619</t>
  </si>
  <si>
    <t>Act_OBTP_OBT170125064600-Wien Kledering_064600_613</t>
  </si>
  <si>
    <t>Act_OBTP_OBT170125073030-Other sidings north_073030_606</t>
  </si>
  <si>
    <t>Act_OBTP_OBT170125073211-Pitten (Hamburger)_073211_625</t>
  </si>
  <si>
    <t>Act_OBTP_OBT170125073842-St. Veit an der Glan_073842_615</t>
  </si>
  <si>
    <t>Act_OBTP_OBT170125075244-Ternitz (Schoeller-Bleckmann)_075244_621</t>
  </si>
  <si>
    <t>Act_OBTP_OBT170125075431-Wien Kledering_075431_617</t>
  </si>
  <si>
    <t>Act_OBTP_OBT170125081922-Steinabrückl/Wöllersdorf_081922_623</t>
  </si>
  <si>
    <t>Act_OBTP_OBT170125090658-St. Veit an der Glan_090658_615</t>
  </si>
  <si>
    <t>Act_OBTP_OBT170125091546-Pitten (Hamburger)_091546_607</t>
  </si>
  <si>
    <t>Act_OBTP_OBT170125093600-Gloggnitz_093600_627</t>
  </si>
  <si>
    <t>Act_OBTP_OBT170125093812-Neudörfl (FunderMax)_093812_629</t>
  </si>
  <si>
    <t>Act_OBTP_OBT170125130627-Wien Kledering_130627_613</t>
  </si>
  <si>
    <t>Act_OBTP_OBT170125155040-Wien Kledering_155040_625</t>
  </si>
  <si>
    <t>Act_OBTP_OBT170125174751-Wien Kledering_174751_615</t>
  </si>
  <si>
    <t>Act_OBTP_OBT170125181531-Wien Kledering_181531_619</t>
  </si>
  <si>
    <t>Act_OBTP_OBT170125205009-Ternitz (Schoeller-Bleckmann)_205009_621</t>
  </si>
  <si>
    <t>Act_OBTP_OBT180125004751-Pitten (Hamburger)_004751_623</t>
  </si>
  <si>
    <t>Act_OBTP_OBT180125005504-Neudörfl (FunderMax)_005504_606</t>
  </si>
  <si>
    <t>Act_OBTP_OBT180125071607-Neudörfl (FunderMax)_071607_615</t>
  </si>
  <si>
    <t>Act_OBTP_OBT190125175511-Pitten (Hamburger)_175511_627</t>
  </si>
  <si>
    <t>Act_OBTP_OBT190125203024-Pitten (Hamburger)_203024_629</t>
  </si>
  <si>
    <t>Act_OBTP_OBT190125203519-Neudörfl (FunderMax)_203519_607</t>
  </si>
  <si>
    <t>Act_OBTP_OBT200125025157-Neunkirchen (loading tracks)_025157_613</t>
  </si>
  <si>
    <t>Act_OBTP_OBT200125045059-Neudörfl (FunderMax)_045059_625</t>
  </si>
  <si>
    <t>Act_OBTP_OBT200125080054-Neunkirchen (loading tracks)_080054_615</t>
  </si>
  <si>
    <t>Act_OBTP_OBT200125080717-Wr. Neustadt (Hödlmayr)_080717_617</t>
  </si>
  <si>
    <t>Act_OBTP_OBT200125083327-Wr. Neustadt (Brenntag)_083327_611</t>
  </si>
  <si>
    <t>Act_OBTP_OBT200125091839-St. Veit an der Glan_091839_615</t>
  </si>
  <si>
    <t>Act_OBTP_OBT200125093149-Wr. Neustadt (Hödlmayr)_093149_621</t>
  </si>
  <si>
    <t>Act_OBTP_OBT200125094944-Neudörfl (FunderMax)_094944_619</t>
  </si>
  <si>
    <t>Act_OBTP_OBT200125105804-Wien Kledering_105804_615</t>
  </si>
  <si>
    <t>Act_OBTP_OBT200125105846-Wien Kledering_105846_606</t>
  </si>
  <si>
    <t>Act_OBTP_OBT200125125954-Wien Kledering_125954_627</t>
  </si>
  <si>
    <t>Act_OBTP_OBT200125144313-Wien Kledering_144313_607</t>
  </si>
  <si>
    <t>Act_OBTP_OBT200125155402-Pitten (Hamburger)_155402_623</t>
  </si>
  <si>
    <t>Act_OBTP_OBT200125160533-St. Veit an der Glan_160533_615</t>
  </si>
  <si>
    <t>Act_OBTP_OBT200125171741-Wien Kledering_171741_615</t>
  </si>
  <si>
    <t>Act_OBTP_OBT200125212137-Wien Kledering_212137_625</t>
  </si>
  <si>
    <t>Act_OBTP_OBT210125032545-Neunkirchen (loading tracks)_032545_629</t>
  </si>
  <si>
    <t>Act_OBTP_OBT210125065252-Wien Kledering_065252_611</t>
  </si>
  <si>
    <t>Act_OBTP_OBT210125075153-Pitten (Hamburger)_075153_621</t>
  </si>
  <si>
    <t>Act_OBTP_OBT210125080256-Neudörfl (FunderMax)_080256_619</t>
  </si>
  <si>
    <t>Act_OBTP_OBT210125080752-Wien Kledering_080752_619</t>
  </si>
  <si>
    <t>Act_OBTP_OBT210125092833-St. Veit an der Glan_092833_615</t>
  </si>
  <si>
    <t>Act_OBTP_OBT210125093211-Wr. Neustadt (Hödlmayr)_093211_606</t>
  </si>
  <si>
    <t>Act_OBTP_OBT210125093910-Neudörfl (FunderMax)_093910_627</t>
  </si>
  <si>
    <t>Act_OBTP_OBT210125103404-Wien Kledering_103404_619</t>
  </si>
  <si>
    <t>Act_OBTP_OBT210125144735-Wien Kledering_144735_619</t>
  </si>
  <si>
    <t>Act_OBTP_OBT210125150922-Neunkirchen (loading tracks)_150922_617</t>
  </si>
  <si>
    <t>Act_OBTP_OBT210125151409-Neudörfl (FunderMax)_151409_615</t>
  </si>
  <si>
    <t>Act_OBTP_OBT210125151926-Steinabrückl/Wöllersdorf_151926_623</t>
  </si>
  <si>
    <t>Act_OBTP_OBT210125152253-Pitten (Hamburger)_152253_607</t>
  </si>
  <si>
    <t>Act_OBTP_OBT210125152947-Wien Kledering_152947_619</t>
  </si>
  <si>
    <t>Act_OBTP_OBT210125210727-Wien Kledering_210727_619</t>
  </si>
  <si>
    <t>Act_OBTP_OBT220125025432-Other sidings south_025432_615</t>
  </si>
  <si>
    <t>Act_OBTP_OBT220125045357-Neudörfl (FunderMax)_045357_625</t>
  </si>
  <si>
    <t>Act_OBTP_OBT220125063948-Wien Kledering_063948_619</t>
  </si>
  <si>
    <t>Act_OBTP_OBT220125073335-Other sidings local_073335_605</t>
  </si>
  <si>
    <t>Act_OBTP_OBT220125084547-St. Veit an der Glan_084547_615</t>
  </si>
  <si>
    <t>Act_OBTP_OBT220125094552-Pitten (Hamburger)_094552_627</t>
  </si>
  <si>
    <t>Act_OBTP_OBT220125095350-Neunkirchen (loading tracks)_095350_621</t>
  </si>
  <si>
    <t>Act_OBTP_OBT220125095549-Wr. Neustadt (Hödlmayr)_095549_611</t>
  </si>
  <si>
    <t>Act_OBTP_OBT220125100316-Neudörfl (FunderMax)_100316_629</t>
  </si>
  <si>
    <t>Act_OBTP_OBT220125104258-Wien Kledering_104258_615</t>
  </si>
  <si>
    <t>Act_OBTP_OBT220125175314-Wien Kledering_175314_615</t>
  </si>
  <si>
    <t>Act_OBTP_OBT220125180146-Felixdorf/Sollenau (Bundesheer, Maba)_180146_609</t>
  </si>
  <si>
    <t>Act_OBTP_OBT220125180607-Wr. Neustadt Ausfahrbf (Furtenbach)_180607_613</t>
  </si>
  <si>
    <t>Act_OBTP_OBT220125181516-Pitten (Hamburger)_181516_619</t>
  </si>
  <si>
    <t>Act_OBTP_OBT220125203751-Pitten (Hamburger)_203751_619</t>
  </si>
  <si>
    <t>Act_OBTP_OBT220125204226-Neunkirchen (loading tracks)_204226_623</t>
  </si>
  <si>
    <t>Act_OBTP_OBT220125205009-Other sidings local_205009_606</t>
  </si>
  <si>
    <t>Act_OBTP_OBT230125030314-Neunkirchen (loading tracks)_030314_615</t>
  </si>
  <si>
    <t>Act_OBTP_OBT230125030603-Ternitz (Schoeller-Bleckmann)_030603_621</t>
  </si>
  <si>
    <t>Act_OBTP_OBT230125063522-Wien Kledering_063522_625</t>
  </si>
  <si>
    <t>Act_OBTP_OBT230125071649-Other sidings south_071649_615</t>
  </si>
  <si>
    <t>Act_OBTP_OBT230125090110-Wien Kledering_090110_627</t>
  </si>
  <si>
    <t>Act_OBTP_OBT230125090423-St. Veit an der Glan_090423_605</t>
  </si>
  <si>
    <t>Act_OBTP_OBT230125095448-Neudörfl (FunderMax)_095448_617</t>
  </si>
  <si>
    <t>Act_OBTP_OBT230125095729-Other sidings north_095729_629</t>
  </si>
  <si>
    <t>Act_OBTP_OBT230125100554-Pitten (Hamburger)_100554_619</t>
  </si>
  <si>
    <t>Act_OBTP_OBT230125105334-Wien Kledering_105334_621</t>
  </si>
  <si>
    <t>Act_OBTP_OBT230125144630-Wien Kledering_144630_611</t>
  </si>
  <si>
    <t>Act_OBTP_OBT230125174306-Other sidings north_174306_629</t>
  </si>
  <si>
    <t>Act_OBTP_OBT230125175458-Wr. Neustadt Ausfahrbf (Furtenbach)_175458_607</t>
  </si>
  <si>
    <t>Act_OBTP_OBT230125175919-Pitten (Hamburger)_175919_613</t>
  </si>
  <si>
    <t>Act_OBTP_OBT230125211356-Wien Kledering_211356_609</t>
  </si>
  <si>
    <t>Act_OBTP_OBT240125030555-Neunkirchen (loading tracks)_030555_619</t>
  </si>
  <si>
    <t>Act_OBTP_OBT240125031427-Wr. Neustadt (Hödlmayr)_031427_615</t>
  </si>
  <si>
    <t>Act_OBTP_OBT240125044723-Neudörfl (FunderMax)_044723_623</t>
  </si>
  <si>
    <t>Act_OBTP_OBT240125062847-Wien Kledering_062847_615</t>
  </si>
  <si>
    <t>Act_OBTP_OBT240125071418-Wien Kledering_071418_606</t>
  </si>
  <si>
    <t>Act_OBTP_OBT240125090519-Wien Kledering_090519_627</t>
  </si>
  <si>
    <t>Act_OBTP_OBT240125093343-Pitten (Hamburger)_093343_625</t>
  </si>
  <si>
    <t>Act_OBTP_OBT240125101450-St. Veit an der Glan_101450_615</t>
  </si>
  <si>
    <t>Act_OBTP_OBT240125131735-Wien Kledering_131735_605</t>
  </si>
  <si>
    <t>Act_OBTP_OBT240125144703-Wien Kledering_144703_619</t>
  </si>
  <si>
    <t>Act_OBTP_OBT240125152920-Pitten (Hamburger)_152920_629</t>
  </si>
  <si>
    <t>Act_OBTP_OBT240125174436-Wien Kledering_174436_611</t>
  </si>
  <si>
    <t>Act_OBTP_OBT240125174924-Wien Kledering_174924_621</t>
  </si>
  <si>
    <t>Act_OBTP_OBT250125020542-Pitten (Hamburger)_020542_613</t>
  </si>
  <si>
    <t>Act_OBTP_OBT250125021114-Pitten (Hamburger)_021114_629</t>
  </si>
  <si>
    <t>Act_OBTP_OBT260125181348-Pitten (Hamburger)_181348_609</t>
  </si>
  <si>
    <t>Act_OBTP_OBT260125181754-Neudörfl (FunderMax)_181754_607</t>
  </si>
  <si>
    <t>Act_OBTP_OBT270125030450-Neunkirchen (loading tracks)_030450_617</t>
  </si>
  <si>
    <t>Act_OBTP_OBT270125044934-Neudörfl (FunderMax)_044934_615</t>
  </si>
  <si>
    <t>Act_OBTP_OBT270125065248-Wien Kledering_065248_623</t>
  </si>
  <si>
    <t>Act_OBTP_OBT270125074356-Other sidings local_074356_629</t>
  </si>
  <si>
    <t>Act_OBTP_OBT270125092111-Pitten (Hamburger)_092111_627</t>
  </si>
  <si>
    <t>Act_OBTP_OBT270125105122-Wien Kledering_105122_615</t>
  </si>
  <si>
    <t>Act_OBTP_OBT270125125831-Wien Kledering_125831_605</t>
  </si>
  <si>
    <t>Act_OBTP_OBT270125144049-Wien Kledering_144049_619</t>
  </si>
  <si>
    <t>Act_OBTP_OBT270125161730-St. Veit an der Glan_161730_625</t>
  </si>
  <si>
    <t>Act_OBTP_OBT270125162126-Wien Kledering_162126_606</t>
  </si>
  <si>
    <t>Act_OBTP_OBT270125174840-Wien Kledering_174840_611</t>
  </si>
  <si>
    <t>Act_OBTP_OBT270125180405-Wien Kledering_180405_629</t>
  </si>
  <si>
    <t>Act_OBTP_OBT270125212041-Wien Kledering_212041_613</t>
  </si>
  <si>
    <t>Act_OBTP_OBT280125031301-Neunkirchen (loading tracks)_031301_615</t>
  </si>
  <si>
    <t>Act_OBTP_OBT280125031334-St. Veit an der Glan_031334_621</t>
  </si>
  <si>
    <t>Act_OBTP_OBT280125064741-Wien Kledering_064741_607</t>
  </si>
  <si>
    <t>Act_OBTP_OBT280125075210-Pitten (Hamburger)_075210_629</t>
  </si>
  <si>
    <t>Act_OBTP_OBT280125092731-St. Veit an der Glan_092731_621</t>
  </si>
  <si>
    <t>Act_OBTP_OBT280125095318-Wr. Neustadt (Hödlmayr)_095318_615</t>
  </si>
  <si>
    <t>Act_OBTP_OBT280125095752-Neudörfl (FunderMax)_095752_609</t>
  </si>
  <si>
    <t>Act_OBTP_OBT280125105241-Wien Kledering_105241_627</t>
  </si>
  <si>
    <t>Act_OBTP_OBT280125105646-Wien Kledering_105646_605</t>
  </si>
  <si>
    <t>Act_OBTP_OBT280125131319-Wien Kledering_131319_615</t>
  </si>
  <si>
    <t>Act_OBTP_OBT280125143604-Wien Kledering_143604_625</t>
  </si>
  <si>
    <t>Act_OBTP_OBT280125151006-Other sidings local_151006_629</t>
  </si>
  <si>
    <t>Act_OBTP_OBT280125151602-Neunkirchen (loading tracks)_151602_615</t>
  </si>
  <si>
    <t>Act_OBTP_OBT280125194613-Wien Kledering_194613_606</t>
  </si>
  <si>
    <t>Act_OBTP_OBT280125211842-Wien Kledering_211842_611</t>
  </si>
  <si>
    <t>Act_OBTP_OBT290125030733-Neunkirchen (loading tracks)_030733_615</t>
  </si>
  <si>
    <t>Act_OBTP_OBT290125043313-Neudörfl (FunderMax)_043313_613</t>
  </si>
  <si>
    <t>Act_OBTP_OBT290125063308-Wien Kledering_063308_607</t>
  </si>
  <si>
    <t>Act_OBTP_OBT290125073710-Wien Kledering_073710_621</t>
  </si>
  <si>
    <t>Act_OBTP_OBT290125074446-Wien Kledering_074446_629</t>
  </si>
  <si>
    <t>Act_OBTP_OBT290125093729-Other sidings south_093729_619</t>
  </si>
  <si>
    <t>Act_OBTP_OBT290125094134-Wien Kledering_094134_615</t>
  </si>
  <si>
    <t>Act_OBTP_OBT290125105057-Wien Kledering_105057_615</t>
  </si>
  <si>
    <t>Act_OBTP_OBT290125132135-Wien Kledering_132135_615</t>
  </si>
  <si>
    <t>Act_OBTP_OBT290125144829-Wien Kledering_144829_615</t>
  </si>
  <si>
    <t>Act_OBTP_OBT290125152804-Other sidings north_152804_623</t>
  </si>
  <si>
    <t>Act_OBTP_OBT290125154754-Wr. Neustadt (Hödlmayr)_154754_627</t>
  </si>
  <si>
    <t>Act_OBTP_OBT290125174650-Wien Kledering_174650_615</t>
  </si>
  <si>
    <t>Act_OBTP_OBT290125182252-Pitten (Hamburger)_182252_609</t>
  </si>
  <si>
    <t>Act_OBTP_OBT290125210626-Wien Kledering_210626_606</t>
  </si>
  <si>
    <t>Act_OBTP_OBT300125030547-Neunkirchen (loading tracks)_030547_629</t>
  </si>
  <si>
    <t>Act_OBTP_OBT300125063532-Wien Kledering_063532_613</t>
  </si>
  <si>
    <t>Act_OBTP_OBT300125075751-Wr. Neustadt (Hödlmayr)_075751_627</t>
  </si>
  <si>
    <t>Act_OBTP_OBT300125080541-Neunkirchen (loading tracks)_080541_611</t>
  </si>
  <si>
    <t>Act_OBTP_OBT300125081010-Wr. Neustadt (Brenntag)_081010_617</t>
  </si>
  <si>
    <t>Act_OBTP_OBT300125081913-Wr. Neustadt Ausfahrbf (Furtenbach)_081913_607</t>
  </si>
  <si>
    <t>Act_OBTP_OBT300125085102-St. Veit an der Glan_085102_621</t>
  </si>
  <si>
    <t>Act_OBTP_OBT300125093406-Wr. Neustadt (Hödlmayr)_093406_627</t>
  </si>
  <si>
    <t>Act_OBTP_OBT300125131403-Wien Kledering_131403_615</t>
  </si>
  <si>
    <t>Act_OBTP_OBT300125153249-Neudörfl (FunderMax)_153249_621</t>
  </si>
  <si>
    <t>Act_OBTP_OBT300125153454-Other sidings south_153454_605</t>
  </si>
  <si>
    <t>Act_OBTP_OBT300125200005-Wien Kledering_200005_615</t>
  </si>
  <si>
    <t>Act_OBTP_OBT300125204557-Wien Kledering_204557_627</t>
  </si>
  <si>
    <t>Act_OBTP_OBT310125061436-Wien Kledering_061436_613</t>
  </si>
  <si>
    <t>Act_OBTP_OBT310125074214-Wien Kledering_074214_627</t>
  </si>
  <si>
    <t>Act_OBTP_OBT310125075536-Neunkirchen (loading tracks)_075536_606</t>
  </si>
  <si>
    <t>Act_OBTP_OBT310125075821-Ternitz (Schoeller-Bleckmann)_075821_629</t>
  </si>
  <si>
    <t>Act_OBTP_OBT310125080145-Wr. Neustadt (Brenntag)_080145_619</t>
  </si>
  <si>
    <t>PushOff</t>
  </si>
  <si>
    <t>Act_PO_10001_025300_703</t>
  </si>
  <si>
    <t>Act_PO_10002_063635_703</t>
  </si>
  <si>
    <t>Act_PO_10004_073051_703</t>
  </si>
  <si>
    <t>Act_PO_10003_073813_727</t>
  </si>
  <si>
    <t>Act_PO_10005_081257_703</t>
  </si>
  <si>
    <t>Act_PO_10007_091007_727</t>
  </si>
  <si>
    <t>Act_PO_10006_091603_703</t>
  </si>
  <si>
    <t>Act_PO_10008_104357_703</t>
  </si>
  <si>
    <t>Act_PO_10009_144458_703</t>
  </si>
  <si>
    <t>Act_PO_10011_151224_703</t>
  </si>
  <si>
    <t>Act_PO_10010_152359_727</t>
  </si>
  <si>
    <t>Act_PO_10012_181212_727</t>
  </si>
  <si>
    <t>Act_PO_10013_203344_703</t>
  </si>
  <si>
    <t>Act_PO_10014_025157_703</t>
  </si>
  <si>
    <t>Act_PO_10015_044722_703</t>
  </si>
  <si>
    <t>Act_PO_10016_060015_703</t>
  </si>
  <si>
    <t>Act_PO_10017_064208_703</t>
  </si>
  <si>
    <t>Act_PO_10018_073413_703</t>
  </si>
  <si>
    <t>Act_PO_10019_073604_727</t>
  </si>
  <si>
    <t>Act_PO_10020_080953_703</t>
  </si>
  <si>
    <t>Act_PO_10021_085728_703</t>
  </si>
  <si>
    <t>Act_PO_10022_104612_703</t>
  </si>
  <si>
    <t>Act_PO_10023_130909_703</t>
  </si>
  <si>
    <t>Act_PO_10024_142554_731</t>
  </si>
  <si>
    <t>Act_PO_10025_152929_703</t>
  </si>
  <si>
    <t>Act_PO_10026_154111_731</t>
  </si>
  <si>
    <t>Act_PO_10027_172201_703</t>
  </si>
  <si>
    <t>Act_PO_10028_202313_725</t>
  </si>
  <si>
    <t>Act_PO_10029_212556_727</t>
  </si>
  <si>
    <t>Act_PO_10030_055206_703</t>
  </si>
  <si>
    <t>Act_PO_10031_174906_727</t>
  </si>
  <si>
    <t>Act_PO_10032_202319_727</t>
  </si>
  <si>
    <t>Act_PO_10033_174857_703</t>
  </si>
  <si>
    <t>Act_PO_10034_025906_703</t>
  </si>
  <si>
    <t>Act_PO_10035_064104_703</t>
  </si>
  <si>
    <t>Act_PO_10037_073228_727</t>
  </si>
  <si>
    <t>Act_PO_10038_073250_725</t>
  </si>
  <si>
    <t>Act_PO_10036_073326_703</t>
  </si>
  <si>
    <t>Act_PO_10039_083027_703</t>
  </si>
  <si>
    <t>Act_PO_10040_085622_727</t>
  </si>
  <si>
    <t>Act_PO_10041_104833_703</t>
  </si>
  <si>
    <t>Act_PO_10042_130831_703</t>
  </si>
  <si>
    <t>Act_PO_10043_142636_703</t>
  </si>
  <si>
    <t>Act_PO_10044_152514_703</t>
  </si>
  <si>
    <t>Act_PO_10045_153250_727</t>
  </si>
  <si>
    <t>Act_PO_10046_161015_703</t>
  </si>
  <si>
    <t>Act_PO_10047_174848_703</t>
  </si>
  <si>
    <t>Act_PO_10048_181242_727</t>
  </si>
  <si>
    <t>Act_PO_10049_211227_703</t>
  </si>
  <si>
    <t>Act_PO_10050_030139_703</t>
  </si>
  <si>
    <t>Act_PO_10051_040000_703</t>
  </si>
  <si>
    <t>Act_PO_10052_061136_703</t>
  </si>
  <si>
    <t>Act_PO_10054_072837_703</t>
  </si>
  <si>
    <t>Act_PO_10053_075314_727</t>
  </si>
  <si>
    <t>Act_PO_10055_081346_703</t>
  </si>
  <si>
    <t>Act_PO_10056_091027_703</t>
  </si>
  <si>
    <t>Act_PO_10057_102916_703</t>
  </si>
  <si>
    <t>Act_PO_10058_125720_703</t>
  </si>
  <si>
    <t>Act_PO_10059_143807_703</t>
  </si>
  <si>
    <t>Act_PO_10060_152130_703</t>
  </si>
  <si>
    <t>Act_PO_10061_152240_727</t>
  </si>
  <si>
    <t>Act_PO_10062_173039_703</t>
  </si>
  <si>
    <t>Act_PO_10063_180547_731</t>
  </si>
  <si>
    <t>Act_PO_10064_200217_703</t>
  </si>
  <si>
    <t>Act_PO_10065_201107_727</t>
  </si>
  <si>
    <t>Act_PO_10066_025808_703</t>
  </si>
  <si>
    <t>Act_PO_10067_063017_703</t>
  </si>
  <si>
    <t>Act_PO_10068_064021_727</t>
  </si>
  <si>
    <t>Act_PO_10070_073107_727</t>
  </si>
  <si>
    <t>Act_PO_10069_073156_703</t>
  </si>
  <si>
    <t>Act_PO_10071_080302_727</t>
  </si>
  <si>
    <t>Act_PO_10072_085825_703</t>
  </si>
  <si>
    <t>Act_PO_10073_110446_703</t>
  </si>
  <si>
    <t>Act_PO_10074_144339_703</t>
  </si>
  <si>
    <t>Act_PO_10075_151909_703</t>
  </si>
  <si>
    <t>Act_PO_10076_153719_727</t>
  </si>
  <si>
    <t>Act_PO_10078_175205_731</t>
  </si>
  <si>
    <t>Act_PO_10077_180722_703</t>
  </si>
  <si>
    <t>Act_PO_10079_181249_727</t>
  </si>
  <si>
    <t>Act_PO_10080_202313_703</t>
  </si>
  <si>
    <t>Act_PO_10081_025751_703</t>
  </si>
  <si>
    <t>Act_PO_10082_044137_703</t>
  </si>
  <si>
    <t>Act_PO_10083_055700_703</t>
  </si>
  <si>
    <t>Act_PO_10084_070223_703</t>
  </si>
  <si>
    <t>Act_PO_10085_073553_703</t>
  </si>
  <si>
    <t>Act_PO_10086_080706_703</t>
  </si>
  <si>
    <t>Act_PO_10088_091048_703</t>
  </si>
  <si>
    <t>Act_PO_10087_091741_727</t>
  </si>
  <si>
    <t>Act_PO_10089_102905_703</t>
  </si>
  <si>
    <t>Act_PO_10090_131225_703</t>
  </si>
  <si>
    <t>Act_PO_10091_141739_731</t>
  </si>
  <si>
    <t>Act_PO_10092_150056_703</t>
  </si>
  <si>
    <t>Act_PO_10093_173946_703</t>
  </si>
  <si>
    <t>Act_PO_10094_181140_727</t>
  </si>
  <si>
    <t>Act_PO_10095_203249_703</t>
  </si>
  <si>
    <t>Act_PO_10096_051234_703</t>
  </si>
  <si>
    <t>Act_PO_10097_054602_703</t>
  </si>
  <si>
    <t>Act_PO_10098_175822_727</t>
  </si>
  <si>
    <t>Act_PO_10099_201320_703</t>
  </si>
  <si>
    <t>Act_PO_10100_023925_703</t>
  </si>
  <si>
    <t>Act_PO_10101_043922_703</t>
  </si>
  <si>
    <t>Act_PO_10102_061533_703</t>
  </si>
  <si>
    <t>Act_PO_10103_071133_703</t>
  </si>
  <si>
    <t>Act_PO_10104_072637_727</t>
  </si>
  <si>
    <t>Act_PO_10105_075223_703</t>
  </si>
  <si>
    <t>Act_PO_10106_091330_703</t>
  </si>
  <si>
    <t>Act_PO_10107_092745_727</t>
  </si>
  <si>
    <t>Act_PO_10108_101909_703</t>
  </si>
  <si>
    <t>Act_PO_10109_122616_703</t>
  </si>
  <si>
    <t>Act_PO_10110_143910_703</t>
  </si>
  <si>
    <t>Act_PO_10111_151220_703</t>
  </si>
  <si>
    <t>Act_PO_10112_153206_727</t>
  </si>
  <si>
    <t>Act_PO_10113_161435_703</t>
  </si>
  <si>
    <t>Act_PO_10114_173537_703</t>
  </si>
  <si>
    <t>Act_PO_10115_211617_703</t>
  </si>
  <si>
    <t>Act_PO_10116_024020_703</t>
  </si>
  <si>
    <t>Act_PO_10117_064023_703</t>
  </si>
  <si>
    <t>Act_PO_10118_065733_727</t>
  </si>
  <si>
    <t>Act_PO_10119_072916_703</t>
  </si>
  <si>
    <t>Act_PO_10120_081205_703</t>
  </si>
  <si>
    <t>Act_PO_10122_091914_703</t>
  </si>
  <si>
    <t>Act_PO_10121_093221_727</t>
  </si>
  <si>
    <t>Act_PO_10123_100332_703</t>
  </si>
  <si>
    <t>Act_PO_10124_130150_703</t>
  </si>
  <si>
    <t>Act_PO_10125_143303_703</t>
  </si>
  <si>
    <t>Act_PO_10126_152305_727</t>
  </si>
  <si>
    <t>Act_PO_10127_153619_703</t>
  </si>
  <si>
    <t>Act_PO_10128_154530_731</t>
  </si>
  <si>
    <t>Act_PO_10130_175853_731</t>
  </si>
  <si>
    <t>Act_PO_10129_175929_703</t>
  </si>
  <si>
    <t>Act_PO_10131_195340_731</t>
  </si>
  <si>
    <t>Act_PO_10132_023842_703</t>
  </si>
  <si>
    <t>Act_PO_10133_044934_703</t>
  </si>
  <si>
    <t>Act_PO_10134_063912_703</t>
  </si>
  <si>
    <t>Act_PO_10135_073302_703</t>
  </si>
  <si>
    <t>Act_PO_10136_073756_727</t>
  </si>
  <si>
    <t>Act_PO_10137_081433_703</t>
  </si>
  <si>
    <t>Act_PO_10138_091415_703</t>
  </si>
  <si>
    <t>Act_PO_10139_091728_727</t>
  </si>
  <si>
    <t>Act_PO_10140_100855_703</t>
  </si>
  <si>
    <t>Act_PO_10141_130658_703</t>
  </si>
  <si>
    <t>Act_PO_10142_153126_703</t>
  </si>
  <si>
    <t>Act_PO_10143_154006_727</t>
  </si>
  <si>
    <t>Act_PO_10144_172523_703</t>
  </si>
  <si>
    <t>Act_PO_10145_180512_703</t>
  </si>
  <si>
    <t>Act_PO_10146_025154_703</t>
  </si>
  <si>
    <t>Act_PO_10147_063135_703</t>
  </si>
  <si>
    <t>Act_PO_10149_072133_727</t>
  </si>
  <si>
    <t>Act_PO_10148_073842_703</t>
  </si>
  <si>
    <t>Act_PO_10150_080733_727</t>
  </si>
  <si>
    <t>Act_PO_10152_091446_727</t>
  </si>
  <si>
    <t>Act_PO_10151_092741_703</t>
  </si>
  <si>
    <t>Act_PO_10153_104830_703</t>
  </si>
  <si>
    <t>Act_PO_10154_125454_703</t>
  </si>
  <si>
    <t>Act_PO_10155_144050_703</t>
  </si>
  <si>
    <t>Act_PO_10156_150410_703</t>
  </si>
  <si>
    <t>Act_PO_10157_153327_731</t>
  </si>
  <si>
    <t>Act_PO_10158_161501_703</t>
  </si>
  <si>
    <t>Act_PO_10159_174632_703</t>
  </si>
  <si>
    <t>Act_PO_10160_202024_703</t>
  </si>
  <si>
    <t>Act_PO_10161_025811_703</t>
  </si>
  <si>
    <t>Act_PO_10162_043859_703</t>
  </si>
  <si>
    <t>Act_PO_10163_063859_703</t>
  </si>
  <si>
    <t>Act_PO_10164_072132_703</t>
  </si>
  <si>
    <t>Act_PO_10165_073857_727</t>
  </si>
  <si>
    <t>Act_PO_10166_080904_703</t>
  </si>
  <si>
    <t>Act_PO_10168_090004_703</t>
  </si>
  <si>
    <t>Act_PO_10167_090535_727</t>
  </si>
  <si>
    <t>Act_PO_10169_102409_703</t>
  </si>
  <si>
    <t>Act_PO_10170_125909_703</t>
  </si>
  <si>
    <t>Act_PO_10171_154224_703</t>
  </si>
  <si>
    <t>Act_PO_10172_174030_703</t>
  </si>
  <si>
    <t>Act_PO_10173_180741_703</t>
  </si>
  <si>
    <t>Act_PO_10174_202727_703</t>
  </si>
  <si>
    <t>Act_PO_10175_004026_703</t>
  </si>
  <si>
    <t>Act_PO_10176_055740_703</t>
  </si>
  <si>
    <t>Act_PO_10177_065121_703</t>
  </si>
  <si>
    <t>Act_PO_10178_174623_727</t>
  </si>
  <si>
    <t>Act_PO_10179_202253_703</t>
  </si>
  <si>
    <t>Act_PO_10180_024205_703</t>
  </si>
  <si>
    <t>Act_PO_10181_044219_703</t>
  </si>
  <si>
    <t>Act_PO_10182_060625_703</t>
  </si>
  <si>
    <t>Act_PO_10184_073748_703</t>
  </si>
  <si>
    <t>Act_PO_10185_074029_727</t>
  </si>
  <si>
    <t>Act_PO_10183_075447_725</t>
  </si>
  <si>
    <t>Act_PO_10187_091200_727</t>
  </si>
  <si>
    <t>Act_PO_10186_091822_703</t>
  </si>
  <si>
    <t>Act_PO_10188_104723_703</t>
  </si>
  <si>
    <t>Act_PO_10189_125209_703</t>
  </si>
  <si>
    <t>Act_PO_10190_143456_703</t>
  </si>
  <si>
    <t>Act_PO_10191_153218_703</t>
  </si>
  <si>
    <t>Act_PO_10193_155618_725</t>
  </si>
  <si>
    <t>Act_PO_10192_155732_727</t>
  </si>
  <si>
    <t>Act_PO_10194_171016_703</t>
  </si>
  <si>
    <t>Act_PO_10195_211242_703</t>
  </si>
  <si>
    <t>Act_PO_10196_030519_703</t>
  </si>
  <si>
    <t>Act_PO_10197_064528_703</t>
  </si>
  <si>
    <t>Act_PO_10199_073152_727</t>
  </si>
  <si>
    <t>Act_PO_10198_073734_703</t>
  </si>
  <si>
    <t>Act_PO_10200_074247_725</t>
  </si>
  <si>
    <t>Act_PO_10202_091018_727</t>
  </si>
  <si>
    <t>Act_PO_10201_091213_703</t>
  </si>
  <si>
    <t>Act_PO_10203_101838_703</t>
  </si>
  <si>
    <t>Act_PO_10204_143905_703</t>
  </si>
  <si>
    <t>Act_PO_10205_150111_727</t>
  </si>
  <si>
    <t>Act_PO_10206_150846_703</t>
  </si>
  <si>
    <t>Act_PO_10207_205921_703</t>
  </si>
  <si>
    <t>Act_PO_10208_024341_703</t>
  </si>
  <si>
    <t>Act_PO_10209_044509_703</t>
  </si>
  <si>
    <t>Act_PO_10210_063122_703</t>
  </si>
  <si>
    <t>Act_PO_10211_071402_703</t>
  </si>
  <si>
    <t>Act_PO_10212_073909_727</t>
  </si>
  <si>
    <t>Act_PO_10213_080811_703</t>
  </si>
  <si>
    <t>Act_PO_10214_083434_703</t>
  </si>
  <si>
    <t>Act_PO_10215_093513_703</t>
  </si>
  <si>
    <t>Act_PO_10216_103511_703</t>
  </si>
  <si>
    <t>Act_PO_10217_130603_731</t>
  </si>
  <si>
    <t>Act_PO_10218_151834_731</t>
  </si>
  <si>
    <t>Act_PO_10220_174338_703</t>
  </si>
  <si>
    <t>Act_PO_10219_175045_727</t>
  </si>
  <si>
    <t>Act_PO_10221_175543_703</t>
  </si>
  <si>
    <t>Act_PO_10222_202244_703</t>
  </si>
  <si>
    <t>Act_PO_10223_025637_703</t>
  </si>
  <si>
    <t>Act_PO_10224_062721_703</t>
  </si>
  <si>
    <t>Act_PO_10225_070526_703</t>
  </si>
  <si>
    <t>Act_PO_10226_071347_727</t>
  </si>
  <si>
    <t>Act_PO_10227_075142_703</t>
  </si>
  <si>
    <t>Act_PO_10228_085313_703</t>
  </si>
  <si>
    <t>Act_PO_10229_093248_727</t>
  </si>
  <si>
    <t>Act_PO_10230_104456_703</t>
  </si>
  <si>
    <t>Act_PO_10231_143834_703</t>
  </si>
  <si>
    <t>Act_PO_10232_150130_727</t>
  </si>
  <si>
    <t>Act_PO_10233_153329_703</t>
  </si>
  <si>
    <t>Act_PO_10234_155245_703</t>
  </si>
  <si>
    <t>Act_PO_10235_172757_703</t>
  </si>
  <si>
    <t>Act_PO_10236_174226_731</t>
  </si>
  <si>
    <t>Act_PO_10237_210511_703</t>
  </si>
  <si>
    <t>Act_PO_10238_025513_703</t>
  </si>
  <si>
    <t>Act_PO_10239_043949_703</t>
  </si>
  <si>
    <t>Act_PO_10240_062135_703</t>
  </si>
  <si>
    <t>Act_PO_10241_070622_703</t>
  </si>
  <si>
    <t>Act_PO_10243_072911_727</t>
  </si>
  <si>
    <t>Act_PO_10242_074040_703</t>
  </si>
  <si>
    <t>Act_PO_10244_085549_703</t>
  </si>
  <si>
    <t>Act_PO_10245_092127_727</t>
  </si>
  <si>
    <t>Act_PO_10246_100609_703</t>
  </si>
  <si>
    <t>Act_PO_10247_130951_703</t>
  </si>
  <si>
    <t>Act_PO_10248_143838_703</t>
  </si>
  <si>
    <t>Act_PO_10249_151528_703</t>
  </si>
  <si>
    <t>Act_PO_10250_151706_731</t>
  </si>
  <si>
    <t>Act_PO_10252_173735_727</t>
  </si>
  <si>
    <t>Act_PO_10251_173847_703</t>
  </si>
  <si>
    <t>Act_PO_10253_015757_727</t>
  </si>
  <si>
    <t>Act_PO_10254_180308_727</t>
  </si>
  <si>
    <t>Act_PO_10255_025026_703</t>
  </si>
  <si>
    <t>Act_PO_10256_044217_703</t>
  </si>
  <si>
    <t>Act_PO_10257_064500_703</t>
  </si>
  <si>
    <t>Act_PO_10258_073148_727</t>
  </si>
  <si>
    <t>Act_PO_10259_073706_703</t>
  </si>
  <si>
    <t>Act_PO_10260_080524_703</t>
  </si>
  <si>
    <t>Act_PO_10262_084209_703</t>
  </si>
  <si>
    <t>Act_PO_10261_085954_727</t>
  </si>
  <si>
    <t>Act_PO_10263_104344_703</t>
  </si>
  <si>
    <t>Act_PO_10264_125040_703</t>
  </si>
  <si>
    <t>Act_PO_10265_143224_703</t>
  </si>
  <si>
    <t>Act_PO_10266_153159_731</t>
  </si>
  <si>
    <t>Act_PO_10267_160759_703</t>
  </si>
  <si>
    <t>Act_PO_10268_174115_703</t>
  </si>
  <si>
    <t>Act_PO_10269_175541_727</t>
  </si>
  <si>
    <t>Act_PO_10270_211042_703</t>
  </si>
  <si>
    <t>Act_PO_10271_030350_703</t>
  </si>
  <si>
    <t>Act_PO_10272_063945_703</t>
  </si>
  <si>
    <t>Act_PO_10273_073158_703</t>
  </si>
  <si>
    <t>Act_PO_10274_073931_727</t>
  </si>
  <si>
    <t>Act_PO_10275_075311_725</t>
  </si>
  <si>
    <t>Act_PO_10277_091636_703</t>
  </si>
  <si>
    <t>Act_PO_10276_092000_727</t>
  </si>
  <si>
    <t>Act_PO_10278_104325_703</t>
  </si>
  <si>
    <t>Act_PO_10279_130601_703</t>
  </si>
  <si>
    <t>Act_PO_10280_142722_703</t>
  </si>
  <si>
    <t>Act_PO_10281_145224_727</t>
  </si>
  <si>
    <t>Act_PO_10282_153706_731</t>
  </si>
  <si>
    <t>Act_PO_10283_193821_703</t>
  </si>
  <si>
    <t>Act_PO_10284_211045_703</t>
  </si>
  <si>
    <t>Act_PO_10285_025755_703</t>
  </si>
  <si>
    <t>Act_PO_10286_042624_703</t>
  </si>
  <si>
    <t>Act_PO_10287_062510_703</t>
  </si>
  <si>
    <t>Act_PO_10288_072824_703</t>
  </si>
  <si>
    <t>Act_PO_10289_073659_727</t>
  </si>
  <si>
    <t>Act_PO_10290_082729_703</t>
  </si>
  <si>
    <t>Act_PO_10291_092745_703</t>
  </si>
  <si>
    <t>Act_PO_10292_104103_703</t>
  </si>
  <si>
    <t>Act_PO_10293_131426_703</t>
  </si>
  <si>
    <t>Act_PO_10294_144051_703</t>
  </si>
  <si>
    <t>Act_PO_10295_151834_703</t>
  </si>
  <si>
    <t>Act_PO_10296_155417_731</t>
  </si>
  <si>
    <t>Act_PO_10297_173933_703</t>
  </si>
  <si>
    <t>Act_PO_10298_180325_727</t>
  </si>
  <si>
    <t>Act_PO_10299_205803_703</t>
  </si>
  <si>
    <t>Act_PO_10300_025607_703</t>
  </si>
  <si>
    <t>Act_PO_10301_062804_703</t>
  </si>
  <si>
    <t>Act_PO_10302_070655_703</t>
  </si>
  <si>
    <t>Act_PO_10303_074509_725</t>
  </si>
  <si>
    <t>Act_PO_10304_080355_703</t>
  </si>
  <si>
    <t>Act_PO_10305_083440_703</t>
  </si>
  <si>
    <t>Act_PO_10306_092635_703</t>
  </si>
  <si>
    <t>Act_PO_10307_100835_703</t>
  </si>
  <si>
    <t>Act_PO_10308_130705_703</t>
  </si>
  <si>
    <t>Act_PO_10309_144120_703</t>
  </si>
  <si>
    <t>Act_PO_10310_151159_703</t>
  </si>
  <si>
    <t>Act_PO_10311_153846_731</t>
  </si>
  <si>
    <t>Act_PO_10312_172833_731</t>
  </si>
  <si>
    <t>Act_PO_10313_195107_703</t>
  </si>
  <si>
    <t>Act_PO_10314_203715_703</t>
  </si>
  <si>
    <t>Act_PO_10315_030235_703</t>
  </si>
  <si>
    <t>Act_PO_10316_043606_703</t>
  </si>
  <si>
    <t>Act_PO_10317_060728_703</t>
  </si>
  <si>
    <t>Act_PO_10318_070641_703</t>
  </si>
  <si>
    <t>Act_PO_10319_073047_727</t>
  </si>
  <si>
    <t>Act_PO_10320_081215_703</t>
  </si>
  <si>
    <t>Act_PO_10321_090308_703</t>
  </si>
  <si>
    <t>Act_PO_10322_092116_727</t>
  </si>
  <si>
    <t>Act_PO_10323_104836_703</t>
  </si>
  <si>
    <t>Act_PO_10324_123633_703</t>
  </si>
  <si>
    <t>Act_PO_10325_142052_703</t>
  </si>
  <si>
    <t>Act_PO_10326_152151_703</t>
  </si>
  <si>
    <t>Act_PO_10328_153842_731</t>
  </si>
  <si>
    <t>Act_PO_10327_154645_727</t>
  </si>
  <si>
    <t>Act_PO_10329_174147_703</t>
  </si>
  <si>
    <t>Act_PO_10330_175400_727</t>
  </si>
  <si>
    <t>Act_PO_10331_202415_703</t>
  </si>
  <si>
    <t>Act_POD_1000101_025416_615</t>
  </si>
  <si>
    <t>Act_POD_1000102_025557_613</t>
  </si>
  <si>
    <t>Act_POD_1000103_025805_627</t>
  </si>
  <si>
    <t>Act_POD_1000104_030102_625</t>
  </si>
  <si>
    <t>Act_POD_1000201_063743_613</t>
  </si>
  <si>
    <t>Act_POD_1000401_073206_621</t>
  </si>
  <si>
    <t>Act_POD_1000301_073928_615</t>
  </si>
  <si>
    <t>Act_POD_1000302_074106_605</t>
  </si>
  <si>
    <t>Act_POD_1000303_074423_623</t>
  </si>
  <si>
    <t>Act_POD_1000304_074653_627</t>
  </si>
  <si>
    <t>Act_POD_1000305_074935_619</t>
  </si>
  <si>
    <t>Act_POD_1000306_075238_606</t>
  </si>
  <si>
    <t>Act_POD_1000307_075505_607</t>
  </si>
  <si>
    <t>Act_POD_1000308_075722_609</t>
  </si>
  <si>
    <t>Act_POD_1000309_075937_623</t>
  </si>
  <si>
    <t>Act_POD_1000310_080207_611</t>
  </si>
  <si>
    <t>Act_POD_1000311_080404_606</t>
  </si>
  <si>
    <t>Act_POD_1000312_080631_617</t>
  </si>
  <si>
    <t>Act_POD_1000501_081412_613</t>
  </si>
  <si>
    <t>Act_POD_1000701_091122_605</t>
  </si>
  <si>
    <t>Act_POD_1000702_091400_629</t>
  </si>
  <si>
    <t>Act_POD_1000601_091814_606</t>
  </si>
  <si>
    <t>Act_POD_1000602_092044_607</t>
  </si>
  <si>
    <t>Act_POD_1000603_092304_619</t>
  </si>
  <si>
    <t>Act_POD_1000604_092557_606</t>
  </si>
  <si>
    <t>Act_POD_1000605_092830_609</t>
  </si>
  <si>
    <t>Act_POD_1000606_093047_627</t>
  </si>
  <si>
    <t>Act_POD_1000607_093331_611</t>
  </si>
  <si>
    <t>Act_POD_1000608_093534_621</t>
  </si>
  <si>
    <t>Act_POD_1000609_093824_629</t>
  </si>
  <si>
    <t>Act_POD_1000610_094145_625</t>
  </si>
  <si>
    <t>Act_POD_1000801_104513_613</t>
  </si>
  <si>
    <t>Act_POD_1000802_104708_605</t>
  </si>
  <si>
    <t>Act_POD_1000803_104938_613</t>
  </si>
  <si>
    <t>Act_POD_1000901_144613_613</t>
  </si>
  <si>
    <t>Act_POD_1001101_151339_627</t>
  </si>
  <si>
    <t>Act_POD_1001001_152514_619</t>
  </si>
  <si>
    <t>Act_POD_1001002_152813_627</t>
  </si>
  <si>
    <t>Act_POD_1001003_153055_609</t>
  </si>
  <si>
    <t>Act_POD_1001004_153302_606</t>
  </si>
  <si>
    <t>Act_POD_1001005_153528_629</t>
  </si>
  <si>
    <t>Act_POD_1001006_153900_611</t>
  </si>
  <si>
    <t>Act_POD_1001007_154100_623</t>
  </si>
  <si>
    <t>Act_POD_1001008_154334_629</t>
  </si>
  <si>
    <t>Act_POD_1001201_181318_615</t>
  </si>
  <si>
    <t>Act_POD_1001202_181456_625</t>
  </si>
  <si>
    <t>Act_POD_1001203_181749_613</t>
  </si>
  <si>
    <t>Act_POD_1001204_181938_607</t>
  </si>
  <si>
    <t>Act_POD_1001205_182154_619</t>
  </si>
  <si>
    <t>Act_POD_1001206_182504_611</t>
  </si>
  <si>
    <t>Act_POD_1001207_182702_629</t>
  </si>
  <si>
    <t>Act_POD_1001208_183001_627</t>
  </si>
  <si>
    <t>Act_POD_1001209_183320_621</t>
  </si>
  <si>
    <t>Act_POD_1001210_183611_623</t>
  </si>
  <si>
    <t>Act_POD_1001211_183841_627</t>
  </si>
  <si>
    <t>Act_POD_1001301_203459_627</t>
  </si>
  <si>
    <t>Act_POD_1001302_203750_625</t>
  </si>
  <si>
    <t>Act_POD_1001303_204046_609</t>
  </si>
  <si>
    <t>Act_POD_1001304_204255_613</t>
  </si>
  <si>
    <t>Act_POD_1001305_204454_611</t>
  </si>
  <si>
    <t>Act_POD_1001306_204703_623</t>
  </si>
  <si>
    <t>Act_POD_1001307_204936_619</t>
  </si>
  <si>
    <t>Act_POD_1001308_205232_606</t>
  </si>
  <si>
    <t>Act_POD_1001309_205501_629</t>
  </si>
  <si>
    <t>Act_POD_1001310_205747_617</t>
  </si>
  <si>
    <t>Act_POD_1001311_205939_613</t>
  </si>
  <si>
    <t>Act_POD_1001401_025312_627</t>
  </si>
  <si>
    <t>Act_POD_1001402_025612_615</t>
  </si>
  <si>
    <t>Act_POD_1001403_025752_623</t>
  </si>
  <si>
    <t>Act_POD_1001404_030024_615</t>
  </si>
  <si>
    <t>Act_POD_1001501_044837_613</t>
  </si>
  <si>
    <t>Act_POD_1001601_060130_607</t>
  </si>
  <si>
    <t>Act_POD_1001602_060349_627</t>
  </si>
  <si>
    <t>Act_POD_1001603_060635_623</t>
  </si>
  <si>
    <t>Act_POD_1001604_060907_615</t>
  </si>
  <si>
    <t>Act_POD_1001605_061049_611</t>
  </si>
  <si>
    <t>Act_POD_1001606_061249_619</t>
  </si>
  <si>
    <t>Act_POD_1001607_061540_629</t>
  </si>
  <si>
    <t>Act_POD_1001608_061825_627</t>
  </si>
  <si>
    <t>Act_POD_1001609_062110_625</t>
  </si>
  <si>
    <t>Act_POD_1001610_062427_627</t>
  </si>
  <si>
    <t>Act_POD_1001611_062731_619</t>
  </si>
  <si>
    <t>Act_POD_1001701_064323_623</t>
  </si>
  <si>
    <t>Act_POD_1001801_073529_629</t>
  </si>
  <si>
    <t>Act_POD_1001802_073814_615</t>
  </si>
  <si>
    <t>Act_POD_1001803_073955_623</t>
  </si>
  <si>
    <t>Act_POD_1001804_074232_613</t>
  </si>
  <si>
    <t>Act_POD_1001805_074424_621</t>
  </si>
  <si>
    <t>Act_POD_1001806_074735_619</t>
  </si>
  <si>
    <t>Act_POD_1001807_075033_607</t>
  </si>
  <si>
    <t>Act_POD_1001901_075407_627</t>
  </si>
  <si>
    <t>Act_POD_1002001_081059_625</t>
  </si>
  <si>
    <t>Act_POD_1002101_085844_605</t>
  </si>
  <si>
    <t>Act_POD_1002102_090136_619</t>
  </si>
  <si>
    <t>Act_POD_1002201_104718_627</t>
  </si>
  <si>
    <t>Act_POD_1002202_105053_625</t>
  </si>
  <si>
    <t>Act_POD_1002203_105349_605</t>
  </si>
  <si>
    <t>Act_POD_1002301_131025_627</t>
  </si>
  <si>
    <t>Act_POD_1002401_142700_605</t>
  </si>
  <si>
    <t>Act_POD_1002501_153045_619</t>
  </si>
  <si>
    <t>Act_POD_1002502_153333_627</t>
  </si>
  <si>
    <t>Act_POD_1002503_153648_613</t>
  </si>
  <si>
    <t>Act_POD_1002504_153841_619</t>
  </si>
  <si>
    <t>Act_POD_1002505_154130_611</t>
  </si>
  <si>
    <t>Act_POD_1002506_154331_621</t>
  </si>
  <si>
    <t>Act_POD_1002507_154620_629</t>
  </si>
  <si>
    <t>Act_POD_1002508_154906_617</t>
  </si>
  <si>
    <t>Act_POD_1002509_155058_625</t>
  </si>
  <si>
    <t>Act_POD_1002510_155353_617</t>
  </si>
  <si>
    <t>Act_POD_1002511_155553_623</t>
  </si>
  <si>
    <t>Act_POD_1002601_155931_605</t>
  </si>
  <si>
    <t>Act_POD_1002701_172307_627</t>
  </si>
  <si>
    <t>Act_POD_1002801_202429_629</t>
  </si>
  <si>
    <t>Act_POD_1002802_202711_621</t>
  </si>
  <si>
    <t>Act_POD_1002803_202948_613</t>
  </si>
  <si>
    <t>Act_POD_1002804_203150_627</t>
  </si>
  <si>
    <t>Act_POD_1002805_203435_619</t>
  </si>
  <si>
    <t>Act_POD_1002806_203737_627</t>
  </si>
  <si>
    <t>Act_POD_1002807_204028_607</t>
  </si>
  <si>
    <t>Act_POD_1002808_204239_611</t>
  </si>
  <si>
    <t>Act_POD_1002901_212711_605</t>
  </si>
  <si>
    <t>Act_POD_1002902_212939_619</t>
  </si>
  <si>
    <t>Act_POD_1002903_213236_627</t>
  </si>
  <si>
    <t>Act_POD_1002904_213518_619</t>
  </si>
  <si>
    <t>Act_POD_1002905_213817_617</t>
  </si>
  <si>
    <t>Act_POD_1002906_214005_617</t>
  </si>
  <si>
    <t>Act_POD_1002907_214207_611</t>
  </si>
  <si>
    <t>Act_POD_1002908_214404_623</t>
  </si>
  <si>
    <t>Act_POD_1002909_214642_621</t>
  </si>
  <si>
    <t>Act_POD_1002910_214930_615</t>
  </si>
  <si>
    <t>Act_POD_1002911_215126_611</t>
  </si>
  <si>
    <t>Act_POD_1002912_215328_615</t>
  </si>
  <si>
    <t>Act_POD_1003001_055322_615</t>
  </si>
  <si>
    <t>Act_POD_1003002_055543_613</t>
  </si>
  <si>
    <t>Act_POD_1003003_055734_619</t>
  </si>
  <si>
    <t>Act_POD_1003101_175021_615</t>
  </si>
  <si>
    <t>Act_POD_1003102_175215_619</t>
  </si>
  <si>
    <t>Act_POD_1003103_175606_613</t>
  </si>
  <si>
    <t>Act_POD_1003201_202435_613</t>
  </si>
  <si>
    <t>Act_POD_1003202_202746_627</t>
  </si>
  <si>
    <t>Act_POD_1003203_203037_619</t>
  </si>
  <si>
    <t>Act_POD_1003301_175012_613</t>
  </si>
  <si>
    <t>Act_POD_1003401_030022_627</t>
  </si>
  <si>
    <t>Act_POD_1003402_030308_625</t>
  </si>
  <si>
    <t>Act_POD_1003403_030606_627</t>
  </si>
  <si>
    <t>Act_POD_1003404_030851_623</t>
  </si>
  <si>
    <t>Act_POD_1003405_031156_615</t>
  </si>
  <si>
    <t>Act_POD_1003501_064219_615</t>
  </si>
  <si>
    <t>Act_POD_1003701_073458_619</t>
  </si>
  <si>
    <t>Act_POD_1003801_074016_607</t>
  </si>
  <si>
    <t>Act_POD_1003601_074413_627</t>
  </si>
  <si>
    <t>Act_POD_1003602_074659_605</t>
  </si>
  <si>
    <t>Act_POD_1003603_074933_617</t>
  </si>
  <si>
    <t>Act_POD_1003604_075126_617</t>
  </si>
  <si>
    <t>Act_POD_1003605_075332_613</t>
  </si>
  <si>
    <t>Act_POD_1003606_075527_615</t>
  </si>
  <si>
    <t>Act_POD_1003607_075707_623</t>
  </si>
  <si>
    <t>Act_POD_1003901_083133_615</t>
  </si>
  <si>
    <t>Act_POD_1003902_083406_625</t>
  </si>
  <si>
    <t>Act_POD_1004001_085737_611</t>
  </si>
  <si>
    <t>Act_POD_1004002_085939_613</t>
  </si>
  <si>
    <t>Act_POD_1004003_090127_615</t>
  </si>
  <si>
    <t>Act_POD_1004004_090314_623</t>
  </si>
  <si>
    <t>Act_POD_1004005_090543_605</t>
  </si>
  <si>
    <t>Act_POD_1004006_090811_617</t>
  </si>
  <si>
    <t>Act_POD_1004007_091004_629</t>
  </si>
  <si>
    <t>Act_POD_1004008_091300_613</t>
  </si>
  <si>
    <t>Act_POD_1004101_104939_615</t>
  </si>
  <si>
    <t>Act_POD_1004102_105214_627</t>
  </si>
  <si>
    <t>Act_POD_1004103_105513_625</t>
  </si>
  <si>
    <t>Act_POD_1004201_130946_625</t>
  </si>
  <si>
    <t>Act_POD_1004301_142741_615</t>
  </si>
  <si>
    <t>Act_POD_1004401_152629_625</t>
  </si>
  <si>
    <t>Act_POD_1004402_152925_606</t>
  </si>
  <si>
    <t>Act_POD_1004403_153154_615</t>
  </si>
  <si>
    <t>Act_POD_1004404_153335_629</t>
  </si>
  <si>
    <t>Act_POD_1004405_153627_613</t>
  </si>
  <si>
    <t>Act_POD_1004406_153819_609</t>
  </si>
  <si>
    <t>Act_POD_1004407_154028_617</t>
  </si>
  <si>
    <t>Act_POD_1004408_154236_611</t>
  </si>
  <si>
    <t>Act_POD_1004409_154437_613</t>
  </si>
  <si>
    <t>Act_POD_1004410_154628_623</t>
  </si>
  <si>
    <t>Act_POD_1004411_154900_605</t>
  </si>
  <si>
    <t>Act_POD_1004501_155245_619</t>
  </si>
  <si>
    <t>Act_POD_1004601_161120_607</t>
  </si>
  <si>
    <t>Act_POD_1004602_161355_627</t>
  </si>
  <si>
    <t>Act_POD_1004701_175003_611</t>
  </si>
  <si>
    <t>Act_POD_1004702_175204_625</t>
  </si>
  <si>
    <t>Act_POD_1004703_175459_623</t>
  </si>
  <si>
    <t>Act_POD_1004704_175732_615</t>
  </si>
  <si>
    <t>Act_POD_1004705_175915_605</t>
  </si>
  <si>
    <t>Act_POD_1004706_180149_613</t>
  </si>
  <si>
    <t>Act_POD_1004707_180358_625</t>
  </si>
  <si>
    <t>Act_POD_1004708_180653_627</t>
  </si>
  <si>
    <t>Act_POD_1004709_180943_621</t>
  </si>
  <si>
    <t>Act_POD_1004710_181233_606</t>
  </si>
  <si>
    <t>Act_POD_1004711_181505_627</t>
  </si>
  <si>
    <t>Act_POD_1004712_181753_615</t>
  </si>
  <si>
    <t>Act_POD_1004713_181933_615</t>
  </si>
  <si>
    <t>Act_POD_1004801_182223_607</t>
  </si>
  <si>
    <t>Act_POD_1004901_211335_613</t>
  </si>
  <si>
    <t>Act_POD_1005001_030254_625</t>
  </si>
  <si>
    <t>Act_POD_1005002_030552_627</t>
  </si>
  <si>
    <t>Act_POD_1005003_030841_625</t>
  </si>
  <si>
    <t>Act_POD_1005004_031139_613</t>
  </si>
  <si>
    <t>Act_POD_1005005_031359_623</t>
  </si>
  <si>
    <t>Act_POD_1005006_031638_613</t>
  </si>
  <si>
    <t>Act_POD_1005101_040106_611</t>
  </si>
  <si>
    <t>Act_POD_1005201_061251_613</t>
  </si>
  <si>
    <t>Act_POD_1005401_072952_611</t>
  </si>
  <si>
    <t>Act_POD_1005301_075429_627</t>
  </si>
  <si>
    <t>Act_POD_1005302_075714_621</t>
  </si>
  <si>
    <t>Act_POD_1005303_080001_627</t>
  </si>
  <si>
    <t>Act_POD_1005304_080243_625</t>
  </si>
  <si>
    <t>Act_POD_1005305_080545_605</t>
  </si>
  <si>
    <t>Act_POD_1005306_080813_613</t>
  </si>
  <si>
    <t>Act_POD_1005307_081000_615</t>
  </si>
  <si>
    <t>Act_POD_1005308_081145_623</t>
  </si>
  <si>
    <t>Act_POD_1005309_081414_619</t>
  </si>
  <si>
    <t>Act_POD_1005310_081718_625</t>
  </si>
  <si>
    <t>Act_POD_1005311_082011_615</t>
  </si>
  <si>
    <t>Act_POD_1005312_082205_627</t>
  </si>
  <si>
    <t>Act_POD_1005313_082501_607</t>
  </si>
  <si>
    <t>Act_POD_1005314_082718_605</t>
  </si>
  <si>
    <t>Act_POD_1005315_082946_609</t>
  </si>
  <si>
    <t>Act_POD_1005501_083307_613</t>
  </si>
  <si>
    <t>Act_POD_1005601_091142_615</t>
  </si>
  <si>
    <t>Act_POD_1005602_091342_619</t>
  </si>
  <si>
    <t>Act_POD_1005701_103031_615</t>
  </si>
  <si>
    <t>Act_POD_1005702_103234_627</t>
  </si>
  <si>
    <t>Act_POD_1005703_103520_613</t>
  </si>
  <si>
    <t>Act_POD_1005801_125835_615</t>
  </si>
  <si>
    <t>Act_POD_1005901_143922_615</t>
  </si>
  <si>
    <t>Act_POD_1006001_152236_621</t>
  </si>
  <si>
    <t>Act_POD_1006002_152530_607</t>
  </si>
  <si>
    <t>Act_POD_1006003_152749_613</t>
  </si>
  <si>
    <t>Act_POD_1006004_152942_619</t>
  </si>
  <si>
    <t>Act_POD_1006005_153230_623</t>
  </si>
  <si>
    <t>Act_POD_1006006_153502_615</t>
  </si>
  <si>
    <t>Act_POD_1006007_153658_613</t>
  </si>
  <si>
    <t>Act_POD_1006008_153847_605</t>
  </si>
  <si>
    <t>Act_POD_1006009_154117_611</t>
  </si>
  <si>
    <t>Act_POD_1006010_154322_619</t>
  </si>
  <si>
    <t>Act_POD_1006011_154612_609</t>
  </si>
  <si>
    <t>Act_POD_1006101_154936_617</t>
  </si>
  <si>
    <t>Act_POD_1006201_173145_615</t>
  </si>
  <si>
    <t>Act_POD_1006301_180702_617</t>
  </si>
  <si>
    <t>Act_POD_1006401_200323_611</t>
  </si>
  <si>
    <t>Act_POD_1006402_200523_607</t>
  </si>
  <si>
    <t>Act_POD_1006403_200743_606</t>
  </si>
  <si>
    <t>Act_POD_1006404_201011_625</t>
  </si>
  <si>
    <t>Act_POD_1006405_201307_615</t>
  </si>
  <si>
    <t>Act_POD_1006406_201500_613</t>
  </si>
  <si>
    <t>Act_POD_1006407_201653_619</t>
  </si>
  <si>
    <t>Act_POD_1006408_201942_605</t>
  </si>
  <si>
    <t>Act_POD_1006409_202215_607</t>
  </si>
  <si>
    <t>Act_POD_1006501_202550_617</t>
  </si>
  <si>
    <t>Act_POD_1006601_025923_613</t>
  </si>
  <si>
    <t>Act_POD_1006602_030119_623</t>
  </si>
  <si>
    <t>Act_POD_1006603_030352_625</t>
  </si>
  <si>
    <t>Act_POD_1006701_063123_615</t>
  </si>
  <si>
    <t>Act_POD_1006702_063313_619</t>
  </si>
  <si>
    <t>Act_POD_1006703_063623_613</t>
  </si>
  <si>
    <t>Act_POD_1006704_063814_625</t>
  </si>
  <si>
    <t>Act_POD_1006705_064110_613</t>
  </si>
  <si>
    <t>Act_POD_1006706_064302_617</t>
  </si>
  <si>
    <t>Act_POD_1006707_064452_611</t>
  </si>
  <si>
    <t>Act_POD_1006708_064656_621</t>
  </si>
  <si>
    <t>Act_POD_1006709_064949_623</t>
  </si>
  <si>
    <t>Act_POD_1006801_065341_629</t>
  </si>
  <si>
    <t>Act_POD_1007001_073222_609</t>
  </si>
  <si>
    <t>Act_POD_1006901_073639_615</t>
  </si>
  <si>
    <t>Act_POD_1006902_073829_609</t>
  </si>
  <si>
    <t>Act_POD_1006903_074038_621</t>
  </si>
  <si>
    <t>Act_POD_1006904_074328_611</t>
  </si>
  <si>
    <t>Act_POD_1006905_074534_605</t>
  </si>
  <si>
    <t>Act_POD_1006906_074804_613</t>
  </si>
  <si>
    <t>Act_POD_1006907_074955_611</t>
  </si>
  <si>
    <t>Act_POD_1007101_080410_619</t>
  </si>
  <si>
    <t>Act_POD_1007201_085940_605</t>
  </si>
  <si>
    <t>Act_POD_1007202_090230_627</t>
  </si>
  <si>
    <t>Act_POD_1007301_110601_627</t>
  </si>
  <si>
    <t>Act_POD_1007302_110847_605</t>
  </si>
  <si>
    <t>Act_POD_1007401_144454_605</t>
  </si>
  <si>
    <t>Act_POD_1007501_152024_621</t>
  </si>
  <si>
    <t>Act_POD_1007502_152321_619</t>
  </si>
  <si>
    <t>Act_POD_1007503_152625_611</t>
  </si>
  <si>
    <t>Act_POD_1007504_152848_615</t>
  </si>
  <si>
    <t>Act_POD_1007505_153047_607</t>
  </si>
  <si>
    <t>Act_POD_1007601_153834_609</t>
  </si>
  <si>
    <t>Act_POD_1007801_175426_611</t>
  </si>
  <si>
    <t>Act_POD_1007701_180838_613</t>
  </si>
  <si>
    <t>Act_POD_1007702_181029_625</t>
  </si>
  <si>
    <t>Act_POD_1007703_181325_606</t>
  </si>
  <si>
    <t>Act_POD_1007704_181554_615</t>
  </si>
  <si>
    <t>Act_POD_1007705_181754_619</t>
  </si>
  <si>
    <t>Act_POD_1007706_182052_613</t>
  </si>
  <si>
    <t>Act_POD_1007707_182243_609</t>
  </si>
  <si>
    <t>Act_POD_1007708_182455_605</t>
  </si>
  <si>
    <t>Act_POD_1007709_182725_609</t>
  </si>
  <si>
    <t>Act_POD_1007901_183050_621</t>
  </si>
  <si>
    <t>Act_POD_1007902_183337_606</t>
  </si>
  <si>
    <t>Act_POD_1007903_183603_629</t>
  </si>
  <si>
    <t>Act_POD_1007904_183858_607</t>
  </si>
  <si>
    <t>Act_POD_1007905_184116_609</t>
  </si>
  <si>
    <t>Act_POD_1007906_184323_605</t>
  </si>
  <si>
    <t>Act_POD_1007907_184550_621</t>
  </si>
  <si>
    <t>Act_POD_1007908_184837_613</t>
  </si>
  <si>
    <t>Act_POD_1007909_185032_609</t>
  </si>
  <si>
    <t>Act_POD_1007910_185249_627</t>
  </si>
  <si>
    <t>Act_POD_1007911_185531_605</t>
  </si>
  <si>
    <t>Act_POD_1008001_202428_613</t>
  </si>
  <si>
    <t>Act_POD_1008002_202620_615</t>
  </si>
  <si>
    <t>Act_POD_1008003_202802_613</t>
  </si>
  <si>
    <t>Act_POD_1008004_202955_605</t>
  </si>
  <si>
    <t>Act_POD_1008005_203233_625</t>
  </si>
  <si>
    <t>Act_POD_1008006_203529_625</t>
  </si>
  <si>
    <t>Act_POD_1008007_203834_607</t>
  </si>
  <si>
    <t>Act_POD_1008008_204053_629</t>
  </si>
  <si>
    <t>Act_POD_1008101_025857_617</t>
  </si>
  <si>
    <t>Act_POD_1008102_030054_627</t>
  </si>
  <si>
    <t>Act_POD_1008103_030345_621</t>
  </si>
  <si>
    <t>Act_POD_1008104_030707_623</t>
  </si>
  <si>
    <t>Act_POD_1008201_044253_615</t>
  </si>
  <si>
    <t>Act_POD_1008301_055806_611</t>
  </si>
  <si>
    <t>Act_POD_1008401_070339_625</t>
  </si>
  <si>
    <t>Act_POD_1008402_070635_627</t>
  </si>
  <si>
    <t>Act_POD_1008403_070921_613</t>
  </si>
  <si>
    <t>Act_POD_1008404_071127_605</t>
  </si>
  <si>
    <t>Act_POD_1008405_071418_615</t>
  </si>
  <si>
    <t>Act_POD_1008406_071559_625</t>
  </si>
  <si>
    <t>Act_POD_1008407_071858_605</t>
  </si>
  <si>
    <t>Act_POD_1008408_072131_623</t>
  </si>
  <si>
    <t>Act_POD_1008409_072403_605</t>
  </si>
  <si>
    <t>Act_POD_1008501_073708_619</t>
  </si>
  <si>
    <t>Act_POD_1008601_080822_606</t>
  </si>
  <si>
    <t>Act_POD_1008801_091203_611</t>
  </si>
  <si>
    <t>Act_POD_1008802_091414_627</t>
  </si>
  <si>
    <t>Act_POD_1008803_091704_611</t>
  </si>
  <si>
    <t>Act_POD_1008701_092036_605</t>
  </si>
  <si>
    <t>Act_POD_1008702_092303_613</t>
  </si>
  <si>
    <t>Act_POD_1008703_092516_623</t>
  </si>
  <si>
    <t>Act_POD_1008704_092745_617</t>
  </si>
  <si>
    <t>Act_POD_1008705_092933_613</t>
  </si>
  <si>
    <t>Act_POD_1008706_093128_627</t>
  </si>
  <si>
    <t>Act_POD_1008707_093411_605</t>
  </si>
  <si>
    <t>Act_POD_1008708_093656_615</t>
  </si>
  <si>
    <t>Act_POD_1008709_093835_619</t>
  </si>
  <si>
    <t>Act_POD_1008710_094130_625</t>
  </si>
  <si>
    <t>Act_POD_1008711_094432_609</t>
  </si>
  <si>
    <t>Act_POD_1008712_094648_623</t>
  </si>
  <si>
    <t>Act_POD_1008901_103013_627</t>
  </si>
  <si>
    <t>Act_POD_1009001_131341_613</t>
  </si>
  <si>
    <t>Act_POD_1009101_141848_613</t>
  </si>
  <si>
    <t>Act_POD_1009201_150212_627</t>
  </si>
  <si>
    <t>Act_POD_1009301_174055_613</t>
  </si>
  <si>
    <t>Act_POD_1009401_181248_609</t>
  </si>
  <si>
    <t>Act_POD_1009402_181500_627</t>
  </si>
  <si>
    <t>Act_POD_1009403_181823_605</t>
  </si>
  <si>
    <t>Act_POD_1009404_182050_625</t>
  </si>
  <si>
    <t>Act_POD_1009405_182343_605</t>
  </si>
  <si>
    <t>Act_POD_1009406_182625_609</t>
  </si>
  <si>
    <t>Act_POD_1009407_182832_609</t>
  </si>
  <si>
    <t>Act_POD_1009408_183040_615</t>
  </si>
  <si>
    <t>Act_POD_1009409_183218_627</t>
  </si>
  <si>
    <t>Act_POD_1009410_183501_623</t>
  </si>
  <si>
    <t>Act_POD_1009411_183730_613</t>
  </si>
  <si>
    <t>Act_POD_1009412_183920_619</t>
  </si>
  <si>
    <t>Act_POD_1009501_203404_613</t>
  </si>
  <si>
    <t>Act_POD_1009502_203608_627</t>
  </si>
  <si>
    <t>Act_POD_1009503_203853_609</t>
  </si>
  <si>
    <t>Act_POD_1009504_204104_605</t>
  </si>
  <si>
    <t>Act_POD_1009505_204334_613</t>
  </si>
  <si>
    <t>Act_POD_1009506_204526_623</t>
  </si>
  <si>
    <t>Act_POD_1009507_204803_606</t>
  </si>
  <si>
    <t>Act_POD_1009508_205034_619</t>
  </si>
  <si>
    <t>Act_POD_1009601_051349_619</t>
  </si>
  <si>
    <t>Act_POD_1009602_051645_625</t>
  </si>
  <si>
    <t>Act_POD_1009603_051940_613</t>
  </si>
  <si>
    <t>Act_POD_1009701_054717_625</t>
  </si>
  <si>
    <t>Act_POD_1009702_055017_623</t>
  </si>
  <si>
    <t>Act_POD_1009703_055308_611</t>
  </si>
  <si>
    <t>Act_POD_1009704_055546_625</t>
  </si>
  <si>
    <t>Act_POD_1009801_175938_625</t>
  </si>
  <si>
    <t>Act_POD_1009802_180302_613</t>
  </si>
  <si>
    <t>Act_POD_1009803_180557_623</t>
  </si>
  <si>
    <t>Act_POD_1009901_201435_613</t>
  </si>
  <si>
    <t>Act_POD_1009902_201644_625</t>
  </si>
  <si>
    <t>Act_POD_1010001_024041_605</t>
  </si>
  <si>
    <t>Act_POD_1010002_024340_613</t>
  </si>
  <si>
    <t>Act_POD_1010101_044037_625</t>
  </si>
  <si>
    <t>Act_POD_1010201_061649_625</t>
  </si>
  <si>
    <t>Act_POD_1010301_071248_605</t>
  </si>
  <si>
    <t>Act_POD_1010401_072752_619</t>
  </si>
  <si>
    <t>Act_POD_1010501_075338_607</t>
  </si>
  <si>
    <t>Act_POD_1010502_075557_611</t>
  </si>
  <si>
    <t>Act_POD_1010503_075808_613</t>
  </si>
  <si>
    <t>Act_POD_1010504_080000_609</t>
  </si>
  <si>
    <t>Act_POD_1010505_080222_621</t>
  </si>
  <si>
    <t>Act_POD_1010506_080514_605</t>
  </si>
  <si>
    <t>Act_POD_1010507_080744_606</t>
  </si>
  <si>
    <t>Act_POD_1010508_081015_629</t>
  </si>
  <si>
    <t>Act_POD_1010509_081300_611</t>
  </si>
  <si>
    <t>Act_POD_1010510_081502_606</t>
  </si>
  <si>
    <t>Act_POD_1010511_081749_623</t>
  </si>
  <si>
    <t>Act_POD_1010512_082021_605</t>
  </si>
  <si>
    <t>Act_POD_1010513_082251_615</t>
  </si>
  <si>
    <t>Act_POD_1010514_082433_613</t>
  </si>
  <si>
    <t>Act_POD_1010601_091445_625</t>
  </si>
  <si>
    <t>Act_POD_1010602_091833_617</t>
  </si>
  <si>
    <t>Act_POD_1010701_092900_627</t>
  </si>
  <si>
    <t>Act_POD_1010702_093143_615</t>
  </si>
  <si>
    <t>Act_POD_1010703_093322_613</t>
  </si>
  <si>
    <t>Act_POD_1010704_093519_605</t>
  </si>
  <si>
    <t>Act_POD_1010705_093745_615</t>
  </si>
  <si>
    <t>Act_POD_1010706_093924_617</t>
  </si>
  <si>
    <t>Act_POD_1010707_094112_611</t>
  </si>
  <si>
    <t>Act_POD_1010708_094331_605</t>
  </si>
  <si>
    <t>Act_POD_1010709_094616_629</t>
  </si>
  <si>
    <t>Act_POD_1010710_094900_621</t>
  </si>
  <si>
    <t>Act_POD_1010801_102024_619</t>
  </si>
  <si>
    <t>Act_POD_1010802_102403_606</t>
  </si>
  <si>
    <t>Act_POD_1010803_102637_617</t>
  </si>
  <si>
    <t>Act_POD_1010901_122731_617</t>
  </si>
  <si>
    <t>Act_POD_1011001_144025_615</t>
  </si>
  <si>
    <t>Act_POD_1011101_151335_613</t>
  </si>
  <si>
    <t>Act_POD_1011102_151528_625</t>
  </si>
  <si>
    <t>Act_POD_1011103_151837_607</t>
  </si>
  <si>
    <t>Act_POD_1011104_152102_625</t>
  </si>
  <si>
    <t>Act_POD_1011105_152358_623</t>
  </si>
  <si>
    <t>Act_POD_1011106_152630_627</t>
  </si>
  <si>
    <t>Act_POD_1011107_152915_605</t>
  </si>
  <si>
    <t>Act_POD_1011108_153145_619</t>
  </si>
  <si>
    <t>Act_POD_1011109_153442_621</t>
  </si>
  <si>
    <t>Act_POD_1011110_153731_629</t>
  </si>
  <si>
    <t>Act_POD_1011111_154022_609</t>
  </si>
  <si>
    <t>Act_POD_1011201_154347_611</t>
  </si>
  <si>
    <t>Act_POD_1011301_161550_606</t>
  </si>
  <si>
    <t>Act_POD_1011302_161848_625</t>
  </si>
  <si>
    <t>Act_POD_1011401_173652_615</t>
  </si>
  <si>
    <t>Act_POD_1011501_211732_615</t>
  </si>
  <si>
    <t>Act_POD_1011601_024135_605</t>
  </si>
  <si>
    <t>Act_POD_1011602_024422_617</t>
  </si>
  <si>
    <t>Act_POD_1011603_024612_619</t>
  </si>
  <si>
    <t>Act_POD_1011604_024900_627</t>
  </si>
  <si>
    <t>Act_POD_1011701_064138_615</t>
  </si>
  <si>
    <t>Act_POD_1011801_065848_629</t>
  </si>
  <si>
    <t>Act_POD_1011802_070150_613</t>
  </si>
  <si>
    <t>Act_POD_1011803_070349_625</t>
  </si>
  <si>
    <t>Act_POD_1011804_070649_605</t>
  </si>
  <si>
    <t>Act_POD_1011805_070917_617</t>
  </si>
  <si>
    <t>Act_POD_1011806_071110_625</t>
  </si>
  <si>
    <t>Act_POD_1011807_071405_605</t>
  </si>
  <si>
    <t>Act_POD_1011901_073019_606</t>
  </si>
  <si>
    <t>Act_POD_1012001_081321_613</t>
  </si>
  <si>
    <t>Act_POD_1012201_092029_629</t>
  </si>
  <si>
    <t>Act_POD_1012202_092323_607</t>
  </si>
  <si>
    <t>Act_POD_1012203_092632_629</t>
  </si>
  <si>
    <t>Act_POD_1012101_093336_605</t>
  </si>
  <si>
    <t>Act_POD_1012102_093603_615</t>
  </si>
  <si>
    <t>Act_POD_1012103_093742_627</t>
  </si>
  <si>
    <t>Act_POD_1012104_094027_625</t>
  </si>
  <si>
    <t>Act_POD_1012105_094338_606</t>
  </si>
  <si>
    <t>Act_POD_1012106_094610_619</t>
  </si>
  <si>
    <t>Act_POD_1012107_094856_609</t>
  </si>
  <si>
    <t>Act_POD_1012108_095104_615</t>
  </si>
  <si>
    <t>Act_POD_1012109_095242_627</t>
  </si>
  <si>
    <t>Act_POD_1012110_095524_605</t>
  </si>
  <si>
    <t>Act_POD_1012111_095754_623</t>
  </si>
  <si>
    <t>Act_POD_1012112_100026_611</t>
  </si>
  <si>
    <t>Act_POD_1012113_100307_627</t>
  </si>
  <si>
    <t>Act_POD_1012301_100705_609</t>
  </si>
  <si>
    <t>Act_POD_1012302_100916_611</t>
  </si>
  <si>
    <t>Act_POD_1012401_130305_611</t>
  </si>
  <si>
    <t>Act_POD_1012501_143418_611</t>
  </si>
  <si>
    <t>Act_POD_1012601_152420_617</t>
  </si>
  <si>
    <t>Act_POD_1012602_152609_609</t>
  </si>
  <si>
    <t>Act_POD_1012603_152825_623</t>
  </si>
  <si>
    <t>Act_POD_1012604_153100_615</t>
  </si>
  <si>
    <t>Act_POD_1012605_153254_627</t>
  </si>
  <si>
    <t>Act_POD_1012606_153537_613</t>
  </si>
  <si>
    <t>Act_POD_1012607_153754_627</t>
  </si>
  <si>
    <t>Act_POD_1012608_154039_617</t>
  </si>
  <si>
    <t>Act_POD_1012609_154228_627</t>
  </si>
  <si>
    <t>Act_POD_1012610_154511_627</t>
  </si>
  <si>
    <t>Act_POD_1012611_154807_625</t>
  </si>
  <si>
    <t>Act_POD_1012701_155219_605</t>
  </si>
  <si>
    <t>Act_POD_1012801_155635_607</t>
  </si>
  <si>
    <t>Act_POD_1013001_180009_607</t>
  </si>
  <si>
    <t>Act_POD_1012901_180424_621</t>
  </si>
  <si>
    <t>Act_POD_1012902_180716_615</t>
  </si>
  <si>
    <t>Act_POD_1012903_180914_617</t>
  </si>
  <si>
    <t>Act_POD_1012904_181104_625</t>
  </si>
  <si>
    <t>Act_POD_1012905_181404_613</t>
  </si>
  <si>
    <t>Act_POD_1012906_181555_627</t>
  </si>
  <si>
    <t>Act_POD_1012907_181841_605</t>
  </si>
  <si>
    <t>Act_POD_1012908_182117_623</t>
  </si>
  <si>
    <t>Act_POD_1012909_182408_609</t>
  </si>
  <si>
    <t>Act_POD_1012910_182618_605</t>
  </si>
  <si>
    <t>Act_POD_1013101_195456_615</t>
  </si>
  <si>
    <t>Act_POD_1013201_023957_606</t>
  </si>
  <si>
    <t>Act_POD_1013202_024256_627</t>
  </si>
  <si>
    <t>Act_POD_1013203_024547_605</t>
  </si>
  <si>
    <t>Act_POD_1013204_024816_619</t>
  </si>
  <si>
    <t>Act_POD_1013301_045050_623</t>
  </si>
  <si>
    <t>Act_POD_1013401_064027_615</t>
  </si>
  <si>
    <t>Act_POD_1013501_073417_627</t>
  </si>
  <si>
    <t>Act_POD_1013502_073708_619</t>
  </si>
  <si>
    <t>Act_POD_1013503_073958_606</t>
  </si>
  <si>
    <t>Act_POD_1013504_074232_605</t>
  </si>
  <si>
    <t>Act_POD_1013505_074500_607</t>
  </si>
  <si>
    <t>Act_POD_1013506_074721_611</t>
  </si>
  <si>
    <t>Act_POD_1013507_074923_625</t>
  </si>
  <si>
    <t>Act_POD_1013508_075228_619</t>
  </si>
  <si>
    <t>Act_POD_1013509_075526_617</t>
  </si>
  <si>
    <t>Act_POD_1013601_075852_623</t>
  </si>
  <si>
    <t>Act_POD_1013701_081549_621</t>
  </si>
  <si>
    <t>Act_POD_1013801_091530_619</t>
  </si>
  <si>
    <t>Act_POD_1013802_091820_607</t>
  </si>
  <si>
    <t>Act_POD_1013803_092040_615</t>
  </si>
  <si>
    <t>Act_POD_1013804_092221_606</t>
  </si>
  <si>
    <t>Act_POD_1013805_092459_615</t>
  </si>
  <si>
    <t>Act_POD_1013806_092642_627</t>
  </si>
  <si>
    <t>Act_POD_1013807_092937_625</t>
  </si>
  <si>
    <t>Act_POD_1013808_093240_607</t>
  </si>
  <si>
    <t>Act_POD_1013901_093614_617</t>
  </si>
  <si>
    <t>Act_POD_1013902_093856_609</t>
  </si>
  <si>
    <t>Act_POD_1014001_101010_609</t>
  </si>
  <si>
    <t>Act_POD_1014002_101221_623</t>
  </si>
  <si>
    <t>Act_POD_1014101_130813_623</t>
  </si>
  <si>
    <t>Act_POD_1014201_153241_607</t>
  </si>
  <si>
    <t>Act_POD_1014202_153502_627</t>
  </si>
  <si>
    <t>Act_POD_1014203_153747_625</t>
  </si>
  <si>
    <t>Act_POD_1014204_154106_623</t>
  </si>
  <si>
    <t>Act_POD_1014205_154337_619</t>
  </si>
  <si>
    <t>Act_POD_1014206_154642_607</t>
  </si>
  <si>
    <t>Act_POD_1014207_154902_605</t>
  </si>
  <si>
    <t>Act_POD_1014208_155130_615</t>
  </si>
  <si>
    <t>Act_POD_1014209_155318_609</t>
  </si>
  <si>
    <t>Act_POD_1014210_155529_606</t>
  </si>
  <si>
    <t>Act_POD_1014301_155935_617</t>
  </si>
  <si>
    <t>Act_POD_1014401_172638_615</t>
  </si>
  <si>
    <t>Act_POD_1014501_180627_627</t>
  </si>
  <si>
    <t>Act_POD_1014502_180912_611</t>
  </si>
  <si>
    <t>Act_POD_1014503_181112_619</t>
  </si>
  <si>
    <t>Act_POD_1014504_181402_607</t>
  </si>
  <si>
    <t>Act_POD_1014505_181622_625</t>
  </si>
  <si>
    <t>Act_POD_1014506_181920_621</t>
  </si>
  <si>
    <t>Act_POD_1014507_182210_615</t>
  </si>
  <si>
    <t>Act_POD_1014508_182353_609</t>
  </si>
  <si>
    <t>Act_POD_1014509_182602_606</t>
  </si>
  <si>
    <t>Act_POD_1014510_182840_627</t>
  </si>
  <si>
    <t>Act_POD_1014511_183128_617</t>
  </si>
  <si>
    <t>Act_POD_1014601_025302_615</t>
  </si>
  <si>
    <t>Act_POD_1014602_025508_605</t>
  </si>
  <si>
    <t>Act_POD_1014603_025742_627</t>
  </si>
  <si>
    <t>Act_POD_1014701_063250_615</t>
  </si>
  <si>
    <t>Act_POD_1014901_072249_619</t>
  </si>
  <si>
    <t>Act_POD_1014801_073958_607</t>
  </si>
  <si>
    <t>Act_POD_1014802_074224_621</t>
  </si>
  <si>
    <t>Act_POD_1014803_074530_627</t>
  </si>
  <si>
    <t>Act_POD_1014804_074815_613</t>
  </si>
  <si>
    <t>Act_POD_1014805_075006_617</t>
  </si>
  <si>
    <t>Act_POD_1014806_075158_613</t>
  </si>
  <si>
    <t>Act_POD_1014807_075355_625</t>
  </si>
  <si>
    <t>Act_POD_1014808_075652_606</t>
  </si>
  <si>
    <t>Act_POD_1014809_075924_629</t>
  </si>
  <si>
    <t>Act_POD_1014810_080210_605</t>
  </si>
  <si>
    <t>Act_POD_1014811_080443_625</t>
  </si>
  <si>
    <t>Act_POD_1015001_080855_615</t>
  </si>
  <si>
    <t>Act_POD_1015201_091555_605</t>
  </si>
  <si>
    <t>Act_POD_1015202_091900_619</t>
  </si>
  <si>
    <t>Act_POD_1015101_092849_607</t>
  </si>
  <si>
    <t>Act_POD_1015102_093111_611</t>
  </si>
  <si>
    <t>Act_POD_1015103_093311_623</t>
  </si>
  <si>
    <t>Act_POD_1015104_093542_629</t>
  </si>
  <si>
    <t>Act_POD_1015105_093829_625</t>
  </si>
  <si>
    <t>Act_POD_1015106_094126_617</t>
  </si>
  <si>
    <t>Act_POD_1015107_094322_627</t>
  </si>
  <si>
    <t>Act_POD_1015108_094607_609</t>
  </si>
  <si>
    <t>Act_POD_1015109_094818_613</t>
  </si>
  <si>
    <t>Act_POD_1015110_095017_613</t>
  </si>
  <si>
    <t>Act_POD_1015301_104938_615</t>
  </si>
  <si>
    <t>Act_POD_1015302_105120_605</t>
  </si>
  <si>
    <t>Act_POD_1015401_125610_625</t>
  </si>
  <si>
    <t>Act_POD_1015501_144158_613</t>
  </si>
  <si>
    <t>Act_POD_1015601_150526_629</t>
  </si>
  <si>
    <t>Act_POD_1015602_150816_613</t>
  </si>
  <si>
    <t>Act_POD_1015603_151038_607</t>
  </si>
  <si>
    <t>Act_POD_1015604_151257_609</t>
  </si>
  <si>
    <t>Act_POD_1015605_151507_627</t>
  </si>
  <si>
    <t>Act_POD_1015606_151753_619</t>
  </si>
  <si>
    <t>Act_POD_1015607_152042_617</t>
  </si>
  <si>
    <t>Act_POD_1015701_153435_621</t>
  </si>
  <si>
    <t>Act_POD_1015801_161617_615</t>
  </si>
  <si>
    <t>Act_POD_1015802_161807_621</t>
  </si>
  <si>
    <t>Act_POD_1015901_174741_617</t>
  </si>
  <si>
    <t>Act_POD_1015902_174934_629</t>
  </si>
  <si>
    <t>Act_POD_1015903_175224_613</t>
  </si>
  <si>
    <t>Act_POD_1015904_175526_619</t>
  </si>
  <si>
    <t>Act_POD_1015905_175820_613</t>
  </si>
  <si>
    <t>Act_POD_1016001_202140_611</t>
  </si>
  <si>
    <t>Act_POD_1016002_202340_625</t>
  </si>
  <si>
    <t>Act_POD_1016003_202653_609</t>
  </si>
  <si>
    <t>Act_POD_1016004_202904_623</t>
  </si>
  <si>
    <t>Act_POD_1016005_203135_617</t>
  </si>
  <si>
    <t>Act_POD_1016006_203328_607</t>
  </si>
  <si>
    <t>Act_POD_1016007_203548_605</t>
  </si>
  <si>
    <t>Act_POD_1016101_025919_605</t>
  </si>
  <si>
    <t>Act_POD_1016102_030214_627</t>
  </si>
  <si>
    <t>Act_POD_1016103_030500_621</t>
  </si>
  <si>
    <t>Act_POD_1016104_030747_609</t>
  </si>
  <si>
    <t>Act_POD_1016201_044015_619</t>
  </si>
  <si>
    <t>Act_POD_1016301_064007_613</t>
  </si>
  <si>
    <t>Act_POD_1016401_072248_606</t>
  </si>
  <si>
    <t>Act_POD_1016402_072523_625</t>
  </si>
  <si>
    <t>Act_POD_1016403_072844_623</t>
  </si>
  <si>
    <t>Act_POD_1016404_073116_615</t>
  </si>
  <si>
    <t>Act_POD_1016405_073303_607</t>
  </si>
  <si>
    <t>Act_POD_1016406_073523_629</t>
  </si>
  <si>
    <t>Act_POD_1016407_073820_619</t>
  </si>
  <si>
    <t>Act_POD_1016408_074108_621</t>
  </si>
  <si>
    <t>Act_POD_1016409_074417_621</t>
  </si>
  <si>
    <t>Act_POD_1016501_074814_617</t>
  </si>
  <si>
    <t>Act_POD_1016601_081020_623</t>
  </si>
  <si>
    <t>Act_POD_1016802_090119_615</t>
  </si>
  <si>
    <t>Act_POD_1016701_090650_605</t>
  </si>
  <si>
    <t>Act_POD_1016702_090917_607</t>
  </si>
  <si>
    <t>Act_POD_1016703_091219_609</t>
  </si>
  <si>
    <t>Act_POD_1016704_091427_619</t>
  </si>
  <si>
    <t>Act_POD_1016705_091713_625</t>
  </si>
  <si>
    <t>Act_POD_1016706_092012_611</t>
  </si>
  <si>
    <t>Act_POD_1016707_092209_607</t>
  </si>
  <si>
    <t>Act_POD_1016708_092426_629</t>
  </si>
  <si>
    <t>Act_POD_1016709_092725_627</t>
  </si>
  <si>
    <t>Act_POD_1016710_093021_629</t>
  </si>
  <si>
    <t>Act_POD_1016901_102524_615</t>
  </si>
  <si>
    <t>Act_POD_1017001_130025_613</t>
  </si>
  <si>
    <t>Act_POD_1017101_154339_625</t>
  </si>
  <si>
    <t>Act_POD_1017201_174146_615</t>
  </si>
  <si>
    <t>Act_POD_1017301_180856_619</t>
  </si>
  <si>
    <t>Act_POD_1017401_202843_625</t>
  </si>
  <si>
    <t>Act_POD_1017402_203138_606</t>
  </si>
  <si>
    <t>Act_POD_1017403_203411_621</t>
  </si>
  <si>
    <t>Act_POD_1017404_203701_617</t>
  </si>
  <si>
    <t>Act_POD_1017405_203859_629</t>
  </si>
  <si>
    <t>Act_POD_1017406_204146_621</t>
  </si>
  <si>
    <t>Act_POD_1017407_204503_609</t>
  </si>
  <si>
    <t>Act_POD_1017501_004141_623</t>
  </si>
  <si>
    <t>Act_POD_1017502_004445_606</t>
  </si>
  <si>
    <t>Act_POD_1017504_004721_606</t>
  </si>
  <si>
    <t>Act_POD_1017601_055856_625</t>
  </si>
  <si>
    <t>Act_POD_1017602_060155_615</t>
  </si>
  <si>
    <t>Act_POD_1017701_065236_625</t>
  </si>
  <si>
    <t>Act_POD_1017703_065538_627</t>
  </si>
  <si>
    <t>Act_POD_1017704_065826_619</t>
  </si>
  <si>
    <t>Act_POD_1017705_070115_621</t>
  </si>
  <si>
    <t>Act_POD_1017706_070404_617</t>
  </si>
  <si>
    <t>Act_POD_1017707_070557_629</t>
  </si>
  <si>
    <t>Act_POD_1017709_070847_615</t>
  </si>
  <si>
    <t>Act_POD_1017801_174739_627</t>
  </si>
  <si>
    <t>Act_POD_1017802_175203_607</t>
  </si>
  <si>
    <t>Act_POD_1017901_202408_629</t>
  </si>
  <si>
    <t>Act_POD_1017902_202716_607</t>
  </si>
  <si>
    <t>Act_POD_1018001_024321_621</t>
  </si>
  <si>
    <t>Act_POD_1018002_024609_613</t>
  </si>
  <si>
    <t>Act_POD_1018003_024830_619</t>
  </si>
  <si>
    <t>Act_POD_1018004_025122_627</t>
  </si>
  <si>
    <t>Act_POD_1018101_044334_625</t>
  </si>
  <si>
    <t>Act_POD_1018301_075602_615</t>
  </si>
  <si>
    <t>Act_POD_1018302_075747_619</t>
  </si>
  <si>
    <t>Act_POD_1018303_080024_617</t>
  </si>
  <si>
    <t>Act_POD_1018304_080211_605</t>
  </si>
  <si>
    <t>Act_POD_1018305_080427_625</t>
  </si>
  <si>
    <t>Act_POD_1018306_080713_629</t>
  </si>
  <si>
    <t>Act_POD_1018308_080949_627</t>
  </si>
  <si>
    <t>Act_POD_1018310_081222_619</t>
  </si>
  <si>
    <t>Act_POD_1018311_081500_623</t>
  </si>
  <si>
    <t>Act_POD_1018313_081722_607</t>
  </si>
  <si>
    <t>Act_POD_1018314_081929_625</t>
  </si>
  <si>
    <t>Act_POD_1018315_082212_619</t>
  </si>
  <si>
    <t>Act_POD_1018316_082448_611</t>
  </si>
  <si>
    <t>Act_POD_1018702_091309_615</t>
  </si>
  <si>
    <t>Act_POD_1018601_091930_623</t>
  </si>
  <si>
    <t>Act_POD_1018602_092208_625</t>
  </si>
  <si>
    <t>Act_POD_1018603_092509_621</t>
  </si>
  <si>
    <t>Act_POD_1018604_092822_627</t>
  </si>
  <si>
    <t>Act_POD_1018605_093107_619</t>
  </si>
  <si>
    <t>Act_POD_1018607_093400_629</t>
  </si>
  <si>
    <t>Act_POD_1018608_093648_613</t>
  </si>
  <si>
    <t>Act_POD_1018610_093839_623</t>
  </si>
  <si>
    <t>Act_POD_1018611_094111_619</t>
  </si>
  <si>
    <t>Act_POD_1018612_094405_621</t>
  </si>
  <si>
    <t>Act_POD_1018801_104838_615</t>
  </si>
  <si>
    <t>Act_POD_1018802_105044_615</t>
  </si>
  <si>
    <t>Act_POD_1018803_105225_606</t>
  </si>
  <si>
    <t>Act_POD_1018901_125324_627</t>
  </si>
  <si>
    <t>Act_POD_1019001_143612_607</t>
  </si>
  <si>
    <t>Act_POD_1019101_153333_609</t>
  </si>
  <si>
    <t>Act_POD_1019102_153544_619</t>
  </si>
  <si>
    <t>Act_POD_1019103_153833_629</t>
  </si>
  <si>
    <t>Act_POD_1019105_154119_613</t>
  </si>
  <si>
    <t>Act_POD_1019106_154310_623</t>
  </si>
  <si>
    <t>Act_POD_1019107_154542_623</t>
  </si>
  <si>
    <t>Act_POD_1019108_154823_627</t>
  </si>
  <si>
    <t>Act_POD_1019109_155108_629</t>
  </si>
  <si>
    <t>Act_POD_1019110_155356_627</t>
  </si>
  <si>
    <t>Act_POD_1019201_160003_615</t>
  </si>
  <si>
    <t>Act_POD_1019401_171131_615</t>
  </si>
  <si>
    <t>Act_POD_1019501_211358_625</t>
  </si>
  <si>
    <t>Act_POD_1019601_030634_627</t>
  </si>
  <si>
    <t>Act_POD_1019602_030919_629</t>
  </si>
  <si>
    <t>Act_POD_1019603_031210_615</t>
  </si>
  <si>
    <t>Act_POD_1019604_031354_621</t>
  </si>
  <si>
    <t>Act_POD_1019605_031643_629</t>
  </si>
  <si>
    <t>Act_POD_1019701_064644_611</t>
  </si>
  <si>
    <t>Act_POD_1019801_073849_617</t>
  </si>
  <si>
    <t>Act_POD_1019802_074040_613</t>
  </si>
  <si>
    <t>Act_POD_1019803_074231_629</t>
  </si>
  <si>
    <t>Act_POD_1019804_074517_621</t>
  </si>
  <si>
    <t>Act_POD_1019805_074826_605</t>
  </si>
  <si>
    <t>Act_POD_1019807_075055_625</t>
  </si>
  <si>
    <t>Act_POD_1019808_075350_605</t>
  </si>
  <si>
    <t>Act_POD_1019809_075620_619</t>
  </si>
  <si>
    <t>Act_POD_1020001_080044_619</t>
  </si>
  <si>
    <t>Act_POD_1020201_091134_619</t>
  </si>
  <si>
    <t>Act_POD_1020202_091433_615</t>
  </si>
  <si>
    <t>Act_POD_1020101_091730_613</t>
  </si>
  <si>
    <t>Act_POD_1020102_091921_615</t>
  </si>
  <si>
    <t>Act_POD_1020103_092112_615</t>
  </si>
  <si>
    <t>Act_POD_1020104_092257_627</t>
  </si>
  <si>
    <t>Act_POD_1020106_092557_606</t>
  </si>
  <si>
    <t>Act_POD_1020107_092844_617</t>
  </si>
  <si>
    <t>Act_POD_1020108_093044_627</t>
  </si>
  <si>
    <t>Act_POD_1020109_093331_629</t>
  </si>
  <si>
    <t>Act_POD_1020301_101953_619</t>
  </si>
  <si>
    <t>Act_POD_1020302_102336_615</t>
  </si>
  <si>
    <t>Act_POD_1020303_102521_619</t>
  </si>
  <si>
    <t>Act_POD_1020401_144021_619</t>
  </si>
  <si>
    <t>Act_POD_1020501_150227_617</t>
  </si>
  <si>
    <t>Act_POD_1020502_150416_609</t>
  </si>
  <si>
    <t>Act_POD_1020503_150624_623</t>
  </si>
  <si>
    <t>Act_POD_1020504_150853_615</t>
  </si>
  <si>
    <t>Act_POD_1020505_151102_623</t>
  </si>
  <si>
    <t>Act_POD_1020506_151350_629</t>
  </si>
  <si>
    <t>Act_POD_1020507_151632_607</t>
  </si>
  <si>
    <t>Act_POD_1020508_151928_605</t>
  </si>
  <si>
    <t>Act_POD_1020601_152311_619</t>
  </si>
  <si>
    <t>Act_POD_1020701_210037_619</t>
  </si>
  <si>
    <t>Act_POD_1020801_024456_615</t>
  </si>
  <si>
    <t>Act_POD_1020802_024648_615</t>
  </si>
  <si>
    <t>Act_POD_1020803_024854_627</t>
  </si>
  <si>
    <t>Act_POD_1020804_025146_621</t>
  </si>
  <si>
    <t>Act_POD_1020901_044625_625</t>
  </si>
  <si>
    <t>Act_POD_1021001_063237_619</t>
  </si>
  <si>
    <t>Act_POD_1021101_071518_611</t>
  </si>
  <si>
    <t>Act_POD_1021102_071731_621</t>
  </si>
  <si>
    <t>Act_POD_1021103_072020_607</t>
  </si>
  <si>
    <t>Act_POD_1021104_072240_629</t>
  </si>
  <si>
    <t>Act_POD_1021105_072526_605</t>
  </si>
  <si>
    <t>Act_POD_1021106_072756_621</t>
  </si>
  <si>
    <t>Act_POD_1021107_073046_625</t>
  </si>
  <si>
    <t>Act_POD_1021109_073341_629</t>
  </si>
  <si>
    <t>Act_POD_1021110_073628_625</t>
  </si>
  <si>
    <t>Act_POD_1021111_073923_623</t>
  </si>
  <si>
    <t>Act_POD_1021401_083550_615</t>
  </si>
  <si>
    <t>Act_POD_1021402_083750_615</t>
  </si>
  <si>
    <t>Act_POD_1021501_093622_629</t>
  </si>
  <si>
    <t>Act_POD_1021502_093907_627</t>
  </si>
  <si>
    <t>Act_POD_1021503_094225_621</t>
  </si>
  <si>
    <t>Act_POD_1021504_094523_621</t>
  </si>
  <si>
    <t>Act_POD_1021505_094811_611</t>
  </si>
  <si>
    <t>Act_POD_1021506_095013_607</t>
  </si>
  <si>
    <t>Act_POD_1021507_095232_609</t>
  </si>
  <si>
    <t>Act_POD_1021508_095443_629</t>
  </si>
  <si>
    <t>Act_POD_1021509_095740_619</t>
  </si>
  <si>
    <t>Act_POD_1021510_100036_606</t>
  </si>
  <si>
    <t>Act_POD_1021601_103626_615</t>
  </si>
  <si>
    <t>Act_POD_1021701_130712_615</t>
  </si>
  <si>
    <t>Act_POD_1021801_151950_615</t>
  </si>
  <si>
    <t>Act_POD_1022001_174453_615</t>
  </si>
  <si>
    <t>Act_POD_1021901_175200_606</t>
  </si>
  <si>
    <t>Act_POD_1021902_175430_609</t>
  </si>
  <si>
    <t>Act_POD_1021903_175638_615</t>
  </si>
  <si>
    <t>Act_POD_1021904_175823_613</t>
  </si>
  <si>
    <t>Act_POD_1021905_180028_625</t>
  </si>
  <si>
    <t>Act_POD_1021906_180320_623</t>
  </si>
  <si>
    <t>Act_POD_1021907_180550_607</t>
  </si>
  <si>
    <t>Act_POD_1021908_180807_619</t>
  </si>
  <si>
    <t>Act_POD_1021909_181149_623</t>
  </si>
  <si>
    <t>Act_POD_1021910_181419_617</t>
  </si>
  <si>
    <t>Act_POD_1022201_202359_619</t>
  </si>
  <si>
    <t>Act_POD_1022202_202703_607</t>
  </si>
  <si>
    <t>Act_POD_1022203_202923_619</t>
  </si>
  <si>
    <t>Act_POD_1022204_203212_617</t>
  </si>
  <si>
    <t>Act_POD_1022205_203406_623</t>
  </si>
  <si>
    <t>Act_POD_1022206_203647_619</t>
  </si>
  <si>
    <t>Act_POD_1022207_203939_607</t>
  </si>
  <si>
    <t>Act_POD_1022208_204158_606</t>
  </si>
  <si>
    <t>Act_POD_1022301_025745_615</t>
  </si>
  <si>
    <t>Act_POD_1022302_025947_621</t>
  </si>
  <si>
    <t>Act_POD_1022303_030254_627</t>
  </si>
  <si>
    <t>Act_POD_1022304_030540_615</t>
  </si>
  <si>
    <t>Act_POD_1022401_062836_625</t>
  </si>
  <si>
    <t>Act_POD_1022502_070634_621</t>
  </si>
  <si>
    <t>Act_POD_1022503_070922_615</t>
  </si>
  <si>
    <t>Act_POD_1022504_071110_629</t>
  </si>
  <si>
    <t>Act_POD_1022505_071405_617</t>
  </si>
  <si>
    <t>Act_POD_1022506+1022508_071601_619</t>
  </si>
  <si>
    <t>Act_POD_1022801_085428_627</t>
  </si>
  <si>
    <t>Act_POD_1022802_085746_605</t>
  </si>
  <si>
    <t>Act_POD_1022901_093352_615</t>
  </si>
  <si>
    <t>Act_POD_1022902_093532_623</t>
  </si>
  <si>
    <t>Act_POD_1022903_093801_615</t>
  </si>
  <si>
    <t>Act_POD_1022904_093942_607</t>
  </si>
  <si>
    <t>Act_POD_1022905_094200_607</t>
  </si>
  <si>
    <t>Act_POD_1022906_094417_629</t>
  </si>
  <si>
    <t>Act_POD_1022907_094713_617</t>
  </si>
  <si>
    <t>Act_POD_1022908_094909_629</t>
  </si>
  <si>
    <t>Act_POD_1022909_095153_625</t>
  </si>
  <si>
    <t>Act_POD_1022910_095446_619</t>
  </si>
  <si>
    <t>Act_POD_1022911_095800_619</t>
  </si>
  <si>
    <t>Act_POD_1023001+1023003+1023005_104602_621</t>
  </si>
  <si>
    <t>1023001+1023003+1023005</t>
  </si>
  <si>
    <t>Act_POD_1023101_143949_611</t>
  </si>
  <si>
    <t>Act_POD_1023201_150245_629</t>
  </si>
  <si>
    <t>Act_POD_1023202_150532_621</t>
  </si>
  <si>
    <t>Act_POD_1023203_150821_629</t>
  </si>
  <si>
    <t>Act_POD_1023204_151104_623</t>
  </si>
  <si>
    <t>Act_POD_1023205_151333_629</t>
  </si>
  <si>
    <t>Act_POD_1023206_151621_627</t>
  </si>
  <si>
    <t>Act_POD_1023501_172905_619</t>
  </si>
  <si>
    <t>Act_POD_1023502_173155_627</t>
  </si>
  <si>
    <t>Act_POD_1023503_173440_629</t>
  </si>
  <si>
    <t>Act_POD_1023504_173730_615</t>
  </si>
  <si>
    <t>Act_POD_1023505_173913_607</t>
  </si>
  <si>
    <t>Act_POD_1023506_174133_623</t>
  </si>
  <si>
    <t>Act_POD_1023507_174404_625</t>
  </si>
  <si>
    <t>Act_POD_1023508_174659_607</t>
  </si>
  <si>
    <t>Act_POD_1023509_174919_615</t>
  </si>
  <si>
    <t>Act_POD_1023510_175059_629</t>
  </si>
  <si>
    <t>Act_POD_1023511_175344_613</t>
  </si>
  <si>
    <t>Act_POD_1023512_175555_615</t>
  </si>
  <si>
    <t>Act_POD_1023601_175850_609</t>
  </si>
  <si>
    <t>Act_POD_1023701_210626_609</t>
  </si>
  <si>
    <t>Act_POD_1023801_025621_627</t>
  </si>
  <si>
    <t>Act_POD_1023802_025909_619</t>
  </si>
  <si>
    <t>Act_POD_1023803_030228_615</t>
  </si>
  <si>
    <t>Act_POD_1023804_030412_621</t>
  </si>
  <si>
    <t>Act_POD_1023805_030700_615</t>
  </si>
  <si>
    <t>Act_POD_1023901_044104_623</t>
  </si>
  <si>
    <t>Act_POD_1024001_062243_615</t>
  </si>
  <si>
    <t>Act_POD_1024101_070737_606</t>
  </si>
  <si>
    <t>Act_POD_1024201_074156_615</t>
  </si>
  <si>
    <t>Act_POD_1024202_074341_621</t>
  </si>
  <si>
    <t>Act_POD_1024206_074630_615</t>
  </si>
  <si>
    <t>Act_POD_1024208_074812_621</t>
  </si>
  <si>
    <t>Act_POD_1024210_075100_623</t>
  </si>
  <si>
    <t>Act_POD_1024213_075332_607</t>
  </si>
  <si>
    <t>Act_POD_1024401_085705_615</t>
  </si>
  <si>
    <t>Act_POD_1024402_085850_627</t>
  </si>
  <si>
    <t>Act_POD_1024501_092242_615</t>
  </si>
  <si>
    <t>Act_POD_1024502_092422_623</t>
  </si>
  <si>
    <t>Act_POD_1024503_092651_625</t>
  </si>
  <si>
    <t>Act_POD_1024505_093016_615</t>
  </si>
  <si>
    <t>Act_POD_1024507_093154_627</t>
  </si>
  <si>
    <t>Act_POD_1024601_100724_615</t>
  </si>
  <si>
    <t>Act_POD_1024701_131107_605</t>
  </si>
  <si>
    <t>Act_POD_1024801_143953_619</t>
  </si>
  <si>
    <t>Act_POD_1024901_151636_617</t>
  </si>
  <si>
    <t>Act_POD_1024902_151832_615</t>
  </si>
  <si>
    <t>Act_POD_1024903_152020_621</t>
  </si>
  <si>
    <t>Act_POD_1024904_152310_629</t>
  </si>
  <si>
    <t>Act_POD_1024905_152612_627</t>
  </si>
  <si>
    <t>Act_POD_1024906_152857_621</t>
  </si>
  <si>
    <t>Act_POD_1024908_153146_623</t>
  </si>
  <si>
    <t>Act_POD_1025201_173850_611</t>
  </si>
  <si>
    <t>Act_POD_1025101_174227_621</t>
  </si>
  <si>
    <t>Act_POD_1025301_015912_613</t>
  </si>
  <si>
    <t>Act_POD_1025302_020215_607</t>
  </si>
  <si>
    <t>Act_POD_1025303_020436_629</t>
  </si>
  <si>
    <t>Act_POD_1025401_180423_607</t>
  </si>
  <si>
    <t>Act_POD_1025402_180648_609</t>
  </si>
  <si>
    <t>Act_POD_1025403_181024_607</t>
  </si>
  <si>
    <t>Act_POD_1025501_025141_627</t>
  </si>
  <si>
    <t>Act_POD_1025502_025429_619</t>
  </si>
  <si>
    <t>Act_POD_1025503_025719_617</t>
  </si>
  <si>
    <t>Act_POD_1025504_025943_621</t>
  </si>
  <si>
    <t>Act_POD_1025601_044332_615</t>
  </si>
  <si>
    <t>Act_POD_1025701_064615_623</t>
  </si>
  <si>
    <t>Act_POD_1025801_073257_615</t>
  </si>
  <si>
    <t>Act_POD_1025802_073437_619</t>
  </si>
  <si>
    <t>Act_POD_1025805_073728_629</t>
  </si>
  <si>
    <t>Act_POD_1025806_074029_607</t>
  </si>
  <si>
    <t>Act_POD_1026101_090109_615</t>
  </si>
  <si>
    <t>Act_POD_1026102_090252_629</t>
  </si>
  <si>
    <t>Act_POD_1026103_090538_615</t>
  </si>
  <si>
    <t>Act_POD_1026104_090718_619</t>
  </si>
  <si>
    <t>Act_POD_1026105_091005_627</t>
  </si>
  <si>
    <t>Act_POD_1026108_091320_627</t>
  </si>
  <si>
    <t>Act_POD_1026109_091603_607</t>
  </si>
  <si>
    <t>Act_POD_1026110_091821_615</t>
  </si>
  <si>
    <t>Act_POD_1026112_092004_621</t>
  </si>
  <si>
    <t>Act_POD_1026301_104459_615</t>
  </si>
  <si>
    <t>Act_POD_1026302_104755_625</t>
  </si>
  <si>
    <t>Act_POD_1026401_125156_605</t>
  </si>
  <si>
    <t>Act_POD_1026501_143339_619</t>
  </si>
  <si>
    <t>Act_POD_1026601_153315_606</t>
  </si>
  <si>
    <t>Act_POD_1026701_160914_625</t>
  </si>
  <si>
    <t>Act_POD_1026702_161222_606</t>
  </si>
  <si>
    <t>Act_POD_1026801_174230_611</t>
  </si>
  <si>
    <t>Act_POD_1026901_175656_629</t>
  </si>
  <si>
    <t>Act_POD_1026902_180038_621</t>
  </si>
  <si>
    <t>Act_POD_1026903_180338_613</t>
  </si>
  <si>
    <t>Act_POD_1027001_211158_613</t>
  </si>
  <si>
    <t>Act_POD_1027101_030505_621</t>
  </si>
  <si>
    <t>Act_POD_1027102_030755_615</t>
  </si>
  <si>
    <t>Act_POD_1027103_030953_619</t>
  </si>
  <si>
    <t>Act_POD_1027201_064101_607</t>
  </si>
  <si>
    <t>Act_POD_1027301_073313_615</t>
  </si>
  <si>
    <t>Act_POD_1027302_073455_615</t>
  </si>
  <si>
    <t>Act_POD_1027303_073637_609</t>
  </si>
  <si>
    <t>Act_POD_1027304_073855_617</t>
  </si>
  <si>
    <t>Act_POD_1027305_074045_629</t>
  </si>
  <si>
    <t>Act_POD_1027307_074348_629</t>
  </si>
  <si>
    <t>Act_POD_1027701_091751_627</t>
  </si>
  <si>
    <t>Act_POD_1027702_092048_621</t>
  </si>
  <si>
    <t>Act_POD_1027601_092520_615</t>
  </si>
  <si>
    <t>Act_POD_1027602_092705_627</t>
  </si>
  <si>
    <t>Act_POD_1027603_092948_615</t>
  </si>
  <si>
    <t>Act_POD_1027604_093126_621</t>
  </si>
  <si>
    <t>Act_POD_1027605_093412_617</t>
  </si>
  <si>
    <t>Act_POD_1027606_093603_619</t>
  </si>
  <si>
    <t>Act_POD_1027607_093850_629</t>
  </si>
  <si>
    <t>Act_POD_1027608_094142_615</t>
  </si>
  <si>
    <t>Act_POD_1027609_094321_629</t>
  </si>
  <si>
    <t>Act_POD_1027611_094603_615</t>
  </si>
  <si>
    <t>Act_POD_1027612_094742_619</t>
  </si>
  <si>
    <t>Act_POD_1027614_095029_609</t>
  </si>
  <si>
    <t>Act_POD_1027801_104431_627</t>
  </si>
  <si>
    <t>Act_POD_1027802_104734_621</t>
  </si>
  <si>
    <t>Act_POD_1027803_105024_605</t>
  </si>
  <si>
    <t>Act_POD_1027901_130716_615</t>
  </si>
  <si>
    <t>Act_POD_1028001_142828_625</t>
  </si>
  <si>
    <t>Act_POD_1028101_145330_623</t>
  </si>
  <si>
    <t>Act_POD_1028102_145604_619</t>
  </si>
  <si>
    <t>Act_POD_1028103_145850_619</t>
  </si>
  <si>
    <t>Act_POD_1028104_150137_629</t>
  </si>
  <si>
    <t>Act_POD_1028106_150427_607</t>
  </si>
  <si>
    <t>Act_POD_1028107_150644_615</t>
  </si>
  <si>
    <t>Act_POD_1028108_150823_615</t>
  </si>
  <si>
    <t>Act_POD_1028301_193936_606</t>
  </si>
  <si>
    <t>Act_POD_1028401_211201_611</t>
  </si>
  <si>
    <t>Act_POD_1028501_025910_629</t>
  </si>
  <si>
    <t>Act_POD_1028502_030156_615</t>
  </si>
  <si>
    <t>Act_POD_1028503_030406_619</t>
  </si>
  <si>
    <t>Act_POD_1028504_030703_629</t>
  </si>
  <si>
    <t>Act_POD_1028601_042740_613</t>
  </si>
  <si>
    <t>Act_POD_1028701_062625_607</t>
  </si>
  <si>
    <t>Act_POD_1028801_072940_621</t>
  </si>
  <si>
    <t>Act_POD_1028901_073815_629</t>
  </si>
  <si>
    <t>Act_POD_1029001_082845_621</t>
  </si>
  <si>
    <t>Act_POD_1029002_083134_615</t>
  </si>
  <si>
    <t>Act_POD_1029101_092900_619</t>
  </si>
  <si>
    <t>Act_POD_1029102_093150_617</t>
  </si>
  <si>
    <t>Act_POD_1029104_093340_615</t>
  </si>
  <si>
    <t>Act_POD_1029106_093555_607</t>
  </si>
  <si>
    <t>Act_POD_1029107_093823_621</t>
  </si>
  <si>
    <t>Act_POD_1029109_094112_619</t>
  </si>
  <si>
    <t>Act_POD_1029110_094402_623</t>
  </si>
  <si>
    <t>Act_POD_1029201_104219_621</t>
  </si>
  <si>
    <t>Act_POD_1029202_104509_615</t>
  </si>
  <si>
    <t>Act_POD_1029301_131541_615</t>
  </si>
  <si>
    <t>Act_POD_1029401_144207_615</t>
  </si>
  <si>
    <t>Act_POD_1029501_151949_623</t>
  </si>
  <si>
    <t>Act_POD_1029502_152226_627</t>
  </si>
  <si>
    <t>Act_POD_1029503_152525_617</t>
  </si>
  <si>
    <t>Act_POD_1029504_152715_605</t>
  </si>
  <si>
    <t>Act_POD_1029505_152944_629</t>
  </si>
  <si>
    <t>Act_POD_1029506_153230_609</t>
  </si>
  <si>
    <t>Act_POD_1029507_153452_619</t>
  </si>
  <si>
    <t>Act_POD_1029508_153750_609</t>
  </si>
  <si>
    <t>Act_POD_1029511_153959_627</t>
  </si>
  <si>
    <t>Act_POD_1029701_174048_615</t>
  </si>
  <si>
    <t>Act_POD_1029801_180440_625</t>
  </si>
  <si>
    <t>Act_POD_1029802_180733_617</t>
  </si>
  <si>
    <t>Act_POD_1029803_180921_627</t>
  </si>
  <si>
    <t>Act_POD_1029804_181206_621</t>
  </si>
  <si>
    <t>Act_POD_1029805_181452_609</t>
  </si>
  <si>
    <t>Act_POD_1029806_181714_627</t>
  </si>
  <si>
    <t>Act_POD_1029807_182005_629</t>
  </si>
  <si>
    <t>Act_POD_1029808_182253_607</t>
  </si>
  <si>
    <t>Act_POD_1029809_182515_629</t>
  </si>
  <si>
    <t>Act_POD_1029810_182802_605</t>
  </si>
  <si>
    <t>Act_POD_1029901_205918_606</t>
  </si>
  <si>
    <t>Act_POD_1030001_025722_629</t>
  </si>
  <si>
    <t>Act_POD_1030002_030008_605</t>
  </si>
  <si>
    <t>Act_POD_1030003_030244_615</t>
  </si>
  <si>
    <t>Act_POD_1030004_030428_629</t>
  </si>
  <si>
    <t>Act_POD_1030005_030712_611</t>
  </si>
  <si>
    <t>Act_POD_1030101_062919_613</t>
  </si>
  <si>
    <t>Act_POD_1030301_074624_629</t>
  </si>
  <si>
    <t>Act_POD_1030302_074859_627</t>
  </si>
  <si>
    <t>Act_POD_1030303_075212_611</t>
  </si>
  <si>
    <t>Act_POD_1030305_075400_623</t>
  </si>
  <si>
    <t>Act_POD_1030306_075619_605</t>
  </si>
  <si>
    <t>Act_POD_1030307_075836_611</t>
  </si>
  <si>
    <t>Act_POD_1030309_080033_625</t>
  </si>
  <si>
    <t>Act_POD_1030310_080316_617</t>
  </si>
  <si>
    <t>Act_POD_1030311_080503_615</t>
  </si>
  <si>
    <t>Act_POD_1030312_080634_607</t>
  </si>
  <si>
    <t>Act_POD_1030401_081002_607</t>
  </si>
  <si>
    <t>Act_POD_1030501+1030503_083555_621</t>
  </si>
  <si>
    <t>Act_POD_1030601_092751_627</t>
  </si>
  <si>
    <t>Act_POD_1030602_093100_619</t>
  </si>
  <si>
    <t>Act_POD_1030603_093351_625</t>
  </si>
  <si>
    <t>Act_POD_1030604_093646_621</t>
  </si>
  <si>
    <t>Act_POD_1030605_093947_629</t>
  </si>
  <si>
    <t>Act_POD_1030801_130821_615</t>
  </si>
  <si>
    <t>Act_POD_1031001_151315_629</t>
  </si>
  <si>
    <t>Act_POD_1031002_151603_623</t>
  </si>
  <si>
    <t>Act_POD_1031003_151838_619</t>
  </si>
  <si>
    <t>Act_POD_1031004_152126_621</t>
  </si>
  <si>
    <t>Act_POD_1031005_152415_621</t>
  </si>
  <si>
    <t>Act_POD_1031007_152712_605</t>
  </si>
  <si>
    <t>Act_POD_1031008_152946_627</t>
  </si>
  <si>
    <t>Act_POD_1031101_154001_615</t>
  </si>
  <si>
    <t>Act_POD_1031201_172949_615</t>
  </si>
  <si>
    <t>Act_POD_1031301_195222_615</t>
  </si>
  <si>
    <t>Act_POD_1031401_203831_627</t>
  </si>
  <si>
    <t>Act_POD_1031501_030350_615</t>
  </si>
  <si>
    <t>Act_POD_1031502_030530_606</t>
  </si>
  <si>
    <t>Act_POD_1031503_030812_609</t>
  </si>
  <si>
    <t>Act_POD_1031504_031030_615</t>
  </si>
  <si>
    <t>Act_POD_1031505_031210_629</t>
  </si>
  <si>
    <t>Act_POD_1031701_060843_613</t>
  </si>
  <si>
    <t>Act_POD_1031801_070757_627</t>
  </si>
  <si>
    <t>Act_POD_1031901_073203_611</t>
  </si>
  <si>
    <t>Act_POD_1031902_073405_627</t>
  </si>
  <si>
    <t>Act_POD_1031903_073706_611</t>
  </si>
  <si>
    <t>Act_POD_1031904_073912_629</t>
  </si>
  <si>
    <t>Act_POD_1031905_074205_621</t>
  </si>
  <si>
    <t>Act_POD_1031907_074451_619</t>
  </si>
  <si>
    <t>Act_POD_1031908_074737_606</t>
  </si>
  <si>
    <t>Act_POD_1031910_075029_629</t>
  </si>
  <si>
    <t>Act_POD_1031911_075313_619</t>
  </si>
  <si>
    <t>Act_POD_1032001_081331_627</t>
  </si>
  <si>
    <t>Act_POD_1032101_090423_627</t>
  </si>
  <si>
    <t>Act_POD_1032102_090738_617</t>
  </si>
  <si>
    <t>Act_POD_1032201_092231_621</t>
  </si>
  <si>
    <t>Act_POD_1032203_092523_623</t>
  </si>
  <si>
    <t>Act_POD_1032204_092755_625</t>
  </si>
  <si>
    <t>Act_POD_1032205_093052_623</t>
  </si>
  <si>
    <t>Act_POD_1032206_093321_609</t>
  </si>
  <si>
    <t>Act_POD_1032208_093528_621</t>
  </si>
  <si>
    <t>Act_POD_1032301_104951_627</t>
  </si>
  <si>
    <t>Act_POD_1032302_105327_617</t>
  </si>
  <si>
    <t>Act_POD_1032303_105532_607</t>
  </si>
  <si>
    <t>Act_POD_1032401_123749_607</t>
  </si>
  <si>
    <t>Act_POD_1032501_142207_615</t>
  </si>
  <si>
    <t>Act_POD_1032601_152306_629</t>
  </si>
  <si>
    <t>Act_POD_1032602_152555_619</t>
  </si>
  <si>
    <t>Act_POD_1032603_152843_621</t>
  </si>
  <si>
    <t>Act_POD_1032604_153132_623</t>
  </si>
  <si>
    <t>Act_POD_1032605_153403_607</t>
  </si>
  <si>
    <t>Act_POD_1032606_153623_605</t>
  </si>
  <si>
    <t>Act_POD_1032607_153853_621</t>
  </si>
  <si>
    <t>Act_POD_1032701_154800_621</t>
  </si>
  <si>
    <t>Act_POD_1032702_155055_611</t>
  </si>
  <si>
    <t>Act_POD_1032703_155253_615</t>
  </si>
  <si>
    <t>Act_POD_1032704_155430_607</t>
  </si>
  <si>
    <t>Act_POD_1032705_155648_629</t>
  </si>
  <si>
    <t>Act_POD_1032706_155952_621</t>
  </si>
  <si>
    <t>Act_POD_1032707_160244_623</t>
  </si>
  <si>
    <t>Act_POD_1032709_160513_621</t>
  </si>
  <si>
    <t>Act_POD_1032710_160806_625</t>
  </si>
  <si>
    <t>Act_POD_1032711_161058_609</t>
  </si>
  <si>
    <t>Act_POD_1032901_174302_613</t>
  </si>
  <si>
    <t>Act_POD_1033001_175516_627</t>
  </si>
  <si>
    <t>Act_POD_1033101_202531_606</t>
  </si>
  <si>
    <t>Act_POD_1033102_202830_621</t>
  </si>
  <si>
    <t>Act_POD_1033103_203120_607</t>
  </si>
  <si>
    <t>Act_POD_1033104_203340_629</t>
  </si>
  <si>
    <t>Act_POD_1033105_203625_629</t>
  </si>
  <si>
    <t>Act_POD_1033106_203929_605</t>
  </si>
  <si>
    <t>Securing</t>
  </si>
  <si>
    <t>Act_SEC_1000101_025557_615</t>
  </si>
  <si>
    <t>Act_SEC_1000102_025805_613</t>
  </si>
  <si>
    <t>Act_SEC_1000103_030102_627</t>
  </si>
  <si>
    <t>Act_SEC_1000104_030400_625</t>
  </si>
  <si>
    <t>Act_SEC_1000201_064007_613</t>
  </si>
  <si>
    <t>Act_SEC_1000401_073530_621</t>
  </si>
  <si>
    <t>Act_SEC_1000302_074423_605</t>
  </si>
  <si>
    <t>Act_SEC_1000303_074653_623</t>
  </si>
  <si>
    <t>Act_SEC_1000305_075238_619</t>
  </si>
  <si>
    <t>Act_SEC_1000306_075505_606</t>
  </si>
  <si>
    <t>Act_SEC_1000307_075722_607</t>
  </si>
  <si>
    <t>Act_SEC_1000308_075937_609</t>
  </si>
  <si>
    <t>Act_SEC_1000310_080404_611</t>
  </si>
  <si>
    <t>Act_SEC_1000312_080821_617</t>
  </si>
  <si>
    <t>Act_SEC_1000501_081719_613</t>
  </si>
  <si>
    <t>Act_SEC_1000701_091400_605</t>
  </si>
  <si>
    <t>Act_SEC_1000702_091708_629</t>
  </si>
  <si>
    <t>Act_SEC_1000608_093824_621</t>
  </si>
  <si>
    <t>Act_SEC_1000609_094145_629</t>
  </si>
  <si>
    <t>Act_SEC_1000801_104708_613</t>
  </si>
  <si>
    <t>Act_SEC_1000901_144858_613</t>
  </si>
  <si>
    <t>Act_SEC_1001001_152813_619</t>
  </si>
  <si>
    <t>Act_SEC_1001002_153055_627</t>
  </si>
  <si>
    <t>Act_SEC_1001003_153302_609</t>
  </si>
  <si>
    <t>Act_SEC_1001005_153900_629</t>
  </si>
  <si>
    <t>Act_SEC_1001008_154638_629</t>
  </si>
  <si>
    <t>Act_SEC_1001203_181938_613</t>
  </si>
  <si>
    <t>Act_SEC_1001207_183001_629</t>
  </si>
  <si>
    <t>Act_SEC_1001208_183320_627</t>
  </si>
  <si>
    <t>Act_SEC_1001211_184123_627</t>
  </si>
  <si>
    <t>Act_SEC_1001301_203750_627</t>
  </si>
  <si>
    <t>Act_SEC_1001306_204936_623</t>
  </si>
  <si>
    <t>Act_SEC_1001307_205232_619</t>
  </si>
  <si>
    <t>Act_SEC_1001308_205501_606</t>
  </si>
  <si>
    <t>Act_SEC_1001501_045204_613</t>
  </si>
  <si>
    <t>Act_SEC_1001602_060635_627</t>
  </si>
  <si>
    <t>Act_SEC_1001605_061249_611</t>
  </si>
  <si>
    <t>Act_SEC_1001607_061825_629</t>
  </si>
  <si>
    <t>Act_SEC_1001802_073955_615</t>
  </si>
  <si>
    <t>Act_SEC_1001803_074232_623</t>
  </si>
  <si>
    <t>Act_SEC_1001804_074424_613</t>
  </si>
  <si>
    <t>Act_SEC_1001806_075033_619</t>
  </si>
  <si>
    <t>Act_SEC_1001901_075738_627</t>
  </si>
  <si>
    <t>Act_SEC_1002001_081511_625</t>
  </si>
  <si>
    <t>Act_SEC_1002201_105053_627</t>
  </si>
  <si>
    <t>Act_SEC_1002202_105349_625</t>
  </si>
  <si>
    <t>Act_SEC_1002203_105645_605</t>
  </si>
  <si>
    <t>Act_SEC_1002301_131403_627</t>
  </si>
  <si>
    <t>Act_SEC_1002401_143009_605</t>
  </si>
  <si>
    <t>Act_SEC_1002501_153333_619</t>
  </si>
  <si>
    <t>Act_SEC_1002502_153648_627</t>
  </si>
  <si>
    <t>Act_SEC_1002506_154620_621</t>
  </si>
  <si>
    <t>Act_SEC_1002511_155825_623</t>
  </si>
  <si>
    <t>Act_SEC_1002701_172645_627</t>
  </si>
  <si>
    <t>Act_SEC_1002804_203435_627</t>
  </si>
  <si>
    <t>Act_SEC_1002901_212939_605</t>
  </si>
  <si>
    <t>Act_SEC_1002902_213236_619</t>
  </si>
  <si>
    <t>Act_SEC_1002903_213518_627</t>
  </si>
  <si>
    <t>Act_SEC_1002905_214005_617</t>
  </si>
  <si>
    <t>Act_SEC_1003001_055543_615</t>
  </si>
  <si>
    <t>Act_SEC_1003002_055734_613</t>
  </si>
  <si>
    <t>Act_SEC_1003003_060031_619</t>
  </si>
  <si>
    <t>Act_SEC_1003101_175215_615</t>
  </si>
  <si>
    <t>Act_SEC_1003201_202746_613</t>
  </si>
  <si>
    <t>Act_SEC_1003202_203037_627</t>
  </si>
  <si>
    <t>Act_SEC_1003203_203341_619</t>
  </si>
  <si>
    <t>Act_SEC_1003301_175248_613</t>
  </si>
  <si>
    <t>Act_SEC_1003501_064455_615</t>
  </si>
  <si>
    <t>Act_SEC_1003701_073901_619</t>
  </si>
  <si>
    <t>Act_SEC_1003801_074258_607</t>
  </si>
  <si>
    <t>Act_SEC_1003605_075527_613</t>
  </si>
  <si>
    <t>Act_SEC_1003606_075707_615</t>
  </si>
  <si>
    <t>Act_SEC_1003607_075943_623</t>
  </si>
  <si>
    <t>Act_SEC_1003901_083406_615</t>
  </si>
  <si>
    <t>Act_SEC_1004001_085939_611</t>
  </si>
  <si>
    <t>Act_SEC_1004003_090314_615</t>
  </si>
  <si>
    <t>Act_SEC_1004006_091004_617</t>
  </si>
  <si>
    <t>Act_SEC_1004007_091300_629</t>
  </si>
  <si>
    <t>Act_SEC_1004101_105214_615</t>
  </si>
  <si>
    <t>Act_SEC_1004102_105513_627</t>
  </si>
  <si>
    <t>Act_SEC_1004103_105820_625</t>
  </si>
  <si>
    <t>Act_SEC_1004301_143038_615</t>
  </si>
  <si>
    <t>Act_SEC_1004401_152925_625</t>
  </si>
  <si>
    <t>Act_SEC_1004403_153335_615</t>
  </si>
  <si>
    <t>Act_SEC_1004407_154236_617</t>
  </si>
  <si>
    <t>Act_SEC_1004501_155647_619</t>
  </si>
  <si>
    <t>Act_SEC_1004601_161355_607</t>
  </si>
  <si>
    <t>Act_SEC_1004704_175915_615</t>
  </si>
  <si>
    <t>Act_SEC_1004706_180358_613</t>
  </si>
  <si>
    <t>Act_SEC_1004708_180943_627</t>
  </si>
  <si>
    <t>Act_SEC_1004901_211640_613</t>
  </si>
  <si>
    <t>Act_SEC_1005004_031359_613</t>
  </si>
  <si>
    <t>Act_SEC_1005006_031827_613</t>
  </si>
  <si>
    <t>Act_SEC_1005201_061537_613</t>
  </si>
  <si>
    <t>Act_SEC_1005401_073221_611</t>
  </si>
  <si>
    <t>Act_SEC_1005301_075714_627</t>
  </si>
  <si>
    <t>Act_SEC_1005304_080545_625</t>
  </si>
  <si>
    <t>Act_SEC_1005305_080813_605</t>
  </si>
  <si>
    <t>Act_SEC_1005306_081000_613</t>
  </si>
  <si>
    <t>Act_SEC_1005308_081414_623</t>
  </si>
  <si>
    <t>Act_SEC_1005309_081718_619</t>
  </si>
  <si>
    <t>Act_SEC_1005311_082205_615</t>
  </si>
  <si>
    <t>Act_SEC_1005313_082718_607</t>
  </si>
  <si>
    <t>Act_SEC_1005601_091342_615</t>
  </si>
  <si>
    <t>Act_SEC_1005602_091652_619</t>
  </si>
  <si>
    <t>Act_SEC_1005701_103234_615</t>
  </si>
  <si>
    <t>Act_SEC_1005702_103520_627</t>
  </si>
  <si>
    <t>Act_SEC_1005703_103806_613</t>
  </si>
  <si>
    <t>Act_SEC_1005801_130112_615</t>
  </si>
  <si>
    <t>Act_SEC_1005901_144212_615</t>
  </si>
  <si>
    <t>Act_SEC_1006003_152942_613</t>
  </si>
  <si>
    <t>Act_SEC_1006004_153230_619</t>
  </si>
  <si>
    <t>Act_SEC_1006006_153658_615</t>
  </si>
  <si>
    <t>Act_SEC_1006009_154322_611</t>
  </si>
  <si>
    <t>Act_SEC_1006101_155234_617</t>
  </si>
  <si>
    <t>Act_SEC_1006201_173404_615</t>
  </si>
  <si>
    <t>Act_SEC_1006301_180924_617</t>
  </si>
  <si>
    <t>Act_SEC_1006405_201500_615</t>
  </si>
  <si>
    <t>Act_SEC_1006703_063814_613</t>
  </si>
  <si>
    <t>Act_SEC_1006704_064110_625</t>
  </si>
  <si>
    <t>Act_SEC_1006706_064452_617</t>
  </si>
  <si>
    <t>Act_SEC_1006708_064949_621</t>
  </si>
  <si>
    <t>Act_SEC_1006801_065657_629</t>
  </si>
  <si>
    <t>Act_SEC_1006901_073829_615</t>
  </si>
  <si>
    <t>Act_SEC_1006907_075210_611</t>
  </si>
  <si>
    <t>Act_SEC_1007101_080810_619</t>
  </si>
  <si>
    <t>Act_SEC_1007201_090230_605</t>
  </si>
  <si>
    <t>Act_SEC_1007301_110847_627</t>
  </si>
  <si>
    <t>Act_SEC_1007302_111236_605</t>
  </si>
  <si>
    <t>Act_SEC_1007401_144809_605</t>
  </si>
  <si>
    <t>Act_SEC_1007502_152625_619</t>
  </si>
  <si>
    <t>Act_SEC_1007503_152848_611</t>
  </si>
  <si>
    <t>Act_SEC_1007601_154141_609</t>
  </si>
  <si>
    <t>Act_SEC_1007801_175703_611</t>
  </si>
  <si>
    <t>Act_SEC_1007704_181754_615</t>
  </si>
  <si>
    <t>Act_SEC_1007707_182455_609</t>
  </si>
  <si>
    <t>Act_SEC_1007708_182725_605</t>
  </si>
  <si>
    <t>Act_SEC_1007901_183337_621</t>
  </si>
  <si>
    <t>Act_SEC_1007903_183858_629</t>
  </si>
  <si>
    <t>Act_SEC_1007908_185032_613</t>
  </si>
  <si>
    <t>Act_SEC_1008001_202620_613</t>
  </si>
  <si>
    <t>Act_SEC_1008002_202802_615</t>
  </si>
  <si>
    <t>Act_SEC_1008004_203233_605</t>
  </si>
  <si>
    <t>Act_SEC_1008007_204053_607</t>
  </si>
  <si>
    <t>Act_SEC_1008401_070635_625</t>
  </si>
  <si>
    <t>Act_SEC_1008405_071559_615</t>
  </si>
  <si>
    <t>Act_SEC_1008407_072131_605</t>
  </si>
  <si>
    <t>Act_SEC_1008408_072403_623</t>
  </si>
  <si>
    <t>Act_SEC_1008501_074032_619</t>
  </si>
  <si>
    <t>Act_SEC_1008601_081204_606</t>
  </si>
  <si>
    <t>Act_SEC_1008801_091414_611</t>
  </si>
  <si>
    <t>Act_SEC_1008701_092303_605</t>
  </si>
  <si>
    <t>Act_SEC_1008702_092516_613</t>
  </si>
  <si>
    <t>Act_SEC_1008705_093128_613</t>
  </si>
  <si>
    <t>Act_SEC_1008706_093411_627</t>
  </si>
  <si>
    <t>Act_SEC_1008709_094130_619</t>
  </si>
  <si>
    <t>Act_SEC_1008711_094648_609</t>
  </si>
  <si>
    <t>Act_SEC_1008901_103347_627</t>
  </si>
  <si>
    <t>Act_SEC_1009001_131547_613</t>
  </si>
  <si>
    <t>Act_SEC_1009201_150613_627</t>
  </si>
  <si>
    <t>Act_SEC_1009301_174342_613</t>
  </si>
  <si>
    <t>Act_SEC_1009402_181823_627</t>
  </si>
  <si>
    <t>Act_SEC_1009403_182050_605</t>
  </si>
  <si>
    <t>Act_SEC_1009404_182343_625</t>
  </si>
  <si>
    <t>Act_SEC_1009409_183501_627</t>
  </si>
  <si>
    <t>Act_SEC_1009411_183920_613</t>
  </si>
  <si>
    <t>Act_SEC_1009501_203608_613</t>
  </si>
  <si>
    <t>Act_SEC_1009502_203853_627</t>
  </si>
  <si>
    <t>Act_SEC_1009503_204104_609</t>
  </si>
  <si>
    <t>Act_SEC_1009504_204334_605</t>
  </si>
  <si>
    <t>Act_SEC_1009507_205034_606</t>
  </si>
  <si>
    <t>Act_SEC_1009508_205333_619</t>
  </si>
  <si>
    <t>Act_SEC_1009603_052227_613</t>
  </si>
  <si>
    <t>Act_SEC_1009702_055308_623</t>
  </si>
  <si>
    <t>Act_SEC_1009703_055546_611</t>
  </si>
  <si>
    <t>Act_SEC_1009802_180557_613</t>
  </si>
  <si>
    <t>Act_SEC_1009803_180829_623</t>
  </si>
  <si>
    <t>Act_SEC_1009901_201644_613</t>
  </si>
  <si>
    <t>Act_SEC_1009902_201956_625</t>
  </si>
  <si>
    <t>Act_SEC_1010002_024531_613</t>
  </si>
  <si>
    <t>Act_SEC_1010101_044429_625</t>
  </si>
  <si>
    <t>Act_SEC_1010201_062041_625</t>
  </si>
  <si>
    <t>Act_SEC_1010301_071555_605</t>
  </si>
  <si>
    <t>Act_SEC_1010401_073155_619</t>
  </si>
  <si>
    <t>Act_SEC_1010502_075808_611</t>
  </si>
  <si>
    <t>Act_SEC_1010505_080514_621</t>
  </si>
  <si>
    <t>Act_SEC_1010506_080744_605</t>
  </si>
  <si>
    <t>Act_SEC_1010508_081300_629</t>
  </si>
  <si>
    <t>Act_SEC_1010512_082251_605</t>
  </si>
  <si>
    <t>Act_SEC_1010601_091833_625</t>
  </si>
  <si>
    <t>Act_SEC_1010705_093924_615</t>
  </si>
  <si>
    <t>Act_SEC_1010706_094112_617</t>
  </si>
  <si>
    <t>Act_SEC_1010801_102403_619</t>
  </si>
  <si>
    <t>Act_SEC_1010802_102637_606</t>
  </si>
  <si>
    <t>Act_SEC_1010803_102845_617</t>
  </si>
  <si>
    <t>Act_SEC_1011001_144320_615</t>
  </si>
  <si>
    <t>Act_SEC_1011101_151528_613</t>
  </si>
  <si>
    <t>Act_SEC_1011102_151837_625</t>
  </si>
  <si>
    <t>Act_SEC_1011107_153145_605</t>
  </si>
  <si>
    <t>Act_SEC_1011108_153442_619</t>
  </si>
  <si>
    <t>Act_SEC_1011201_154700_611</t>
  </si>
  <si>
    <t>Act_SEC_1011302_162226_625</t>
  </si>
  <si>
    <t>Act_SEC_1011401_173906_615</t>
  </si>
  <si>
    <t>Act_SEC_1011501_212027_615</t>
  </si>
  <si>
    <t>Act_SEC_1011602_024612_617</t>
  </si>
  <si>
    <t>Act_SEC_1011701_064415_615</t>
  </si>
  <si>
    <t>Act_SEC_1011803_070649_625</t>
  </si>
  <si>
    <t>Act_SEC_1011804_070917_605</t>
  </si>
  <si>
    <t>Act_SEC_1011901_073328_606</t>
  </si>
  <si>
    <t>Act_SEC_1012001_081626_613</t>
  </si>
  <si>
    <t>Act_SEC_1012201_092323_629</t>
  </si>
  <si>
    <t>Act_SEC_1012102_093742_615</t>
  </si>
  <si>
    <t>Act_SEC_1012105_094610_606</t>
  </si>
  <si>
    <t>Act_SEC_1012107_095104_609</t>
  </si>
  <si>
    <t>Act_SEC_1012112_100307_611</t>
  </si>
  <si>
    <t>Act_SEC_1012401_130601_611</t>
  </si>
  <si>
    <t>Act_SEC_1012501_143700_611</t>
  </si>
  <si>
    <t>Act_SEC_1012605_153537_627</t>
  </si>
  <si>
    <t>Act_SEC_1012606_153754_613</t>
  </si>
  <si>
    <t>Act_SEC_1012611_155104_625</t>
  </si>
  <si>
    <t>Act_SEC_1012701_155520_605</t>
  </si>
  <si>
    <t>Act_SEC_1012801_155930_607</t>
  </si>
  <si>
    <t>Act_SEC_1012902_180914_615</t>
  </si>
  <si>
    <t>Act_SEC_1012905_181555_613</t>
  </si>
  <si>
    <t>Act_SEC_1012906_181841_627</t>
  </si>
  <si>
    <t>Act_SEC_1012907_182117_605</t>
  </si>
  <si>
    <t>Act_SEC_1012908_182408_623</t>
  </si>
  <si>
    <t>Act_SEC_1012909_182618_609</t>
  </si>
  <si>
    <t>Act_SEC_1013101_195707_615</t>
  </si>
  <si>
    <t>Act_SEC_1013203_024816_605</t>
  </si>
  <si>
    <t>Act_SEC_1013301_045502_623</t>
  </si>
  <si>
    <t>Act_SEC_1013502_073958_619</t>
  </si>
  <si>
    <t>Act_SEC_1013503_074232_606</t>
  </si>
  <si>
    <t>Act_SEC_1013505_074721_607</t>
  </si>
  <si>
    <t>Act_SEC_1013506_074923_611</t>
  </si>
  <si>
    <t>Act_SEC_1013509_075736_617</t>
  </si>
  <si>
    <t>Act_SEC_1013601_080209_623</t>
  </si>
  <si>
    <t>Act_SEC_1013701_081950_621</t>
  </si>
  <si>
    <t>Act_SEC_1013803_092221_615</t>
  </si>
  <si>
    <t>Act_SEC_1013806_092937_627</t>
  </si>
  <si>
    <t>Act_SEC_1013807_093240_625</t>
  </si>
  <si>
    <t>Act_SEC_1013901_093856_617</t>
  </si>
  <si>
    <t>Act_SEC_1014002_101539_623</t>
  </si>
  <si>
    <t>Act_SEC_1014101_131105_623</t>
  </si>
  <si>
    <t>Act_SEC_1014204_154337_623</t>
  </si>
  <si>
    <t>Act_SEC_1014205_154642_619</t>
  </si>
  <si>
    <t>Act_SEC_1014209_155529_609</t>
  </si>
  <si>
    <t>Act_SEC_1014301_160142_617</t>
  </si>
  <si>
    <t>Act_SEC_1014401_172920_615</t>
  </si>
  <si>
    <t>Act_SEC_1014505_181920_625</t>
  </si>
  <si>
    <t>Act_SEC_1014506_182210_621</t>
  </si>
  <si>
    <t>Act_SEC_1014507_182353_615</t>
  </si>
  <si>
    <t>Act_SEC_1014509_182840_606</t>
  </si>
  <si>
    <t>Act_SEC_1014511_183323_617</t>
  </si>
  <si>
    <t>Act_SEC_1014601_025508_615</t>
  </si>
  <si>
    <t>Act_SEC_1014603_030027_627</t>
  </si>
  <si>
    <t>Act_SEC_1014701_063526_615</t>
  </si>
  <si>
    <t>Act_SEC_1014901_072558_619</t>
  </si>
  <si>
    <t>Act_SEC_1014801_074224_607</t>
  </si>
  <si>
    <t>Act_SEC_1014809_080210_629</t>
  </si>
  <si>
    <t>Act_SEC_1015001_081149_615</t>
  </si>
  <si>
    <t>Act_SEC_1015201_091900_605</t>
  </si>
  <si>
    <t>Act_SEC_1015202_092219_619</t>
  </si>
  <si>
    <t>Act_SEC_1015301_105120_615</t>
  </si>
  <si>
    <t>Act_SEC_1015302_105453_605</t>
  </si>
  <si>
    <t>Act_SEC_1015401_125936_625</t>
  </si>
  <si>
    <t>Act_SEC_1015501_144432_613</t>
  </si>
  <si>
    <t>Act_SEC_1015602_151038_613</t>
  </si>
  <si>
    <t>Act_SEC_1015606_152042_619</t>
  </si>
  <si>
    <t>Act_SEC_1015607_152241_617</t>
  </si>
  <si>
    <t>Act_SEC_1015701_153804_621</t>
  </si>
  <si>
    <t>Act_SEC_1015903_175526_613</t>
  </si>
  <si>
    <t>Act_SEC_1015905_180011_613</t>
  </si>
  <si>
    <t>Act_SEC_1016002_202653_625</t>
  </si>
  <si>
    <t>Act_SEC_1016007_203818_605</t>
  </si>
  <si>
    <t>Act_SEC_1016103_030747_621</t>
  </si>
  <si>
    <t>Act_SEC_1016301_064253_613</t>
  </si>
  <si>
    <t>Act_SEC_1016402_072844_625</t>
  </si>
  <si>
    <t>Act_SEC_1016405_073523_607</t>
  </si>
  <si>
    <t>Act_SEC_1016406_073820_629</t>
  </si>
  <si>
    <t>Act_SEC_1016407_074108_619</t>
  </si>
  <si>
    <t>Act_SEC_1016501_075107_617</t>
  </si>
  <si>
    <t>Act_SEC_1016802_090331_615</t>
  </si>
  <si>
    <t>Act_SEC_1016701_090917_605</t>
  </si>
  <si>
    <t>Act_SEC_1016702_091219_607</t>
  </si>
  <si>
    <t>Act_SEC_1016703_091427_609</t>
  </si>
  <si>
    <t>Act_SEC_1016705_092012_625</t>
  </si>
  <si>
    <t>Act_SEC_1016707_092426_607</t>
  </si>
  <si>
    <t>Act_SEC_1016901_102705_615</t>
  </si>
  <si>
    <t>Act_SEC_1017001_130300_613</t>
  </si>
  <si>
    <t>Act_SEC_1017101_154716_625</t>
  </si>
  <si>
    <t>Act_SEC_1017201_174424_615</t>
  </si>
  <si>
    <t>Act_SEC_1017301_181204_619</t>
  </si>
  <si>
    <t>Act_SEC_1017401_203138_625</t>
  </si>
  <si>
    <t>Act_SEC_1017402_203411_606</t>
  </si>
  <si>
    <t>Act_SEC_1017403_203701_621</t>
  </si>
  <si>
    <t>Act_SEC_1017404_203859_617</t>
  </si>
  <si>
    <t>Act_SEC_1017405_204146_629</t>
  </si>
  <si>
    <t>Act_SEC_1017501_004445_623</t>
  </si>
  <si>
    <t>Act_SEC_1017602_060351_615</t>
  </si>
  <si>
    <t>Act_SEC_1017703_065826_627</t>
  </si>
  <si>
    <t>Act_SEC_1017704_070115_619</t>
  </si>
  <si>
    <t>Act_SEC_1017705_070404_621</t>
  </si>
  <si>
    <t>Act_SEC_1017801_175203_627</t>
  </si>
  <si>
    <t>Act_SEC_1017802_175430_607</t>
  </si>
  <si>
    <t>Act_SEC_1017901_202716_629</t>
  </si>
  <si>
    <t>Act_SEC_1018002_024830_613</t>
  </si>
  <si>
    <t>Act_SEC_1018004_025414_627</t>
  </si>
  <si>
    <t>Act_SEC_1018101_044732_625</t>
  </si>
  <si>
    <t>Act_SEC_1018301_075747_615</t>
  </si>
  <si>
    <t>Act_SEC_1018302_080024_619</t>
  </si>
  <si>
    <t>Act_SEC_1018305_080713_625</t>
  </si>
  <si>
    <t>Act_SEC_1018306_080949_629</t>
  </si>
  <si>
    <t>Act_SEC_1018311_081722_623</t>
  </si>
  <si>
    <t>Act_SEC_1018313_081929_607</t>
  </si>
  <si>
    <t>Act_SEC_1018702_091512_615</t>
  </si>
  <si>
    <t>Act_SEC_1018601_092208_623</t>
  </si>
  <si>
    <t>Act_SEC_1018603_092822_621</t>
  </si>
  <si>
    <t>Act_SEC_1018608_093839_613</t>
  </si>
  <si>
    <t>Act_SEC_1018612_094655_621</t>
  </si>
  <si>
    <t>Act_SEC_1018801_105044_615</t>
  </si>
  <si>
    <t>Act_SEC_1018803_105522_606</t>
  </si>
  <si>
    <t>Act_SEC_1018901_125627_627</t>
  </si>
  <si>
    <t>Act_SEC_1019001_143946_607</t>
  </si>
  <si>
    <t>Act_SEC_1019102_153833_619</t>
  </si>
  <si>
    <t>Act_SEC_1019103_154119_629</t>
  </si>
  <si>
    <t>Act_SEC_1019105_154310_613</t>
  </si>
  <si>
    <t>Act_SEC_1019108_155108_627</t>
  </si>
  <si>
    <t>Act_SEC_1019201_160208_615</t>
  </si>
  <si>
    <t>Act_SEC_1019401_171414_615</t>
  </si>
  <si>
    <t>Act_SEC_1019501_211810_625</t>
  </si>
  <si>
    <t>Act_SEC_1019603_031354_615</t>
  </si>
  <si>
    <t>Act_SEC_1019701_064927_611</t>
  </si>
  <si>
    <t>Act_SEC_1019801_074040_617</t>
  </si>
  <si>
    <t>Act_SEC_1019803_074517_629</t>
  </si>
  <si>
    <t>Act_SEC_1019804_074826_621</t>
  </si>
  <si>
    <t>Act_SEC_1019807_075350_625</t>
  </si>
  <si>
    <t>Act_SEC_1019809_075929_619</t>
  </si>
  <si>
    <t>Act_SEC_1020001_080425_619</t>
  </si>
  <si>
    <t>Act_SEC_1020201_091433_619</t>
  </si>
  <si>
    <t>Act_SEC_1020202_091615_615</t>
  </si>
  <si>
    <t>Act_SEC_1020104_092557_627</t>
  </si>
  <si>
    <t>Act_SEC_1020106_092844_606</t>
  </si>
  <si>
    <t>Act_SEC_1020302_102521_615</t>
  </si>
  <si>
    <t>Act_SEC_1020401_144427_619</t>
  </si>
  <si>
    <t>Act_SEC_1020503_150853_623</t>
  </si>
  <si>
    <t>Act_SEC_1020504_151102_615</t>
  </si>
  <si>
    <t>Act_SEC_1020507_151928_607</t>
  </si>
  <si>
    <t>Act_SEC_1020601_152621_619</t>
  </si>
  <si>
    <t>Act_SEC_1020701_210400_619</t>
  </si>
  <si>
    <t>Act_SEC_1020801_024648_615</t>
  </si>
  <si>
    <t>Act_SEC_1020803_025146_627</t>
  </si>
  <si>
    <t>Act_SEC_1020804_025438_621</t>
  </si>
  <si>
    <t>Act_SEC_1020901_045030_625</t>
  </si>
  <si>
    <t>Act_SEC_1021001_063621_619</t>
  </si>
  <si>
    <t>Act_SEC_1021101_071731_611</t>
  </si>
  <si>
    <t>Act_SEC_1021102_072020_621</t>
  </si>
  <si>
    <t>Act_SEC_1021103_072240_607</t>
  </si>
  <si>
    <t>Act_SEC_1021104_072526_629</t>
  </si>
  <si>
    <t>Act_SEC_1021107_073341_625</t>
  </si>
  <si>
    <t>Act_SEC_1021111_074154_623</t>
  </si>
  <si>
    <t>Act_SEC_1021401_083750_615</t>
  </si>
  <si>
    <t>Act_SEC_1021502_094225_627</t>
  </si>
  <si>
    <t>Act_SEC_1021509_100036_619</t>
  </si>
  <si>
    <t>Act_SEC_1021510_100313_606</t>
  </si>
  <si>
    <t>Act_SEC_1021601_103933_615</t>
  </si>
  <si>
    <t>Act_SEC_1021701_130926_615</t>
  </si>
  <si>
    <t>Act_SEC_1021801_152210_615</t>
  </si>
  <si>
    <t>Act_SEC_1021903_175823_615</t>
  </si>
  <si>
    <t>Act_SEC_1021906_180550_623</t>
  </si>
  <si>
    <t>Act_SEC_1021908_181149_619</t>
  </si>
  <si>
    <t>Act_SEC_1021910_181609_617</t>
  </si>
  <si>
    <t>Act_SEC_1022201_202703_619</t>
  </si>
  <si>
    <t>Act_SEC_1022202_202923_607</t>
  </si>
  <si>
    <t>Act_SEC_1022206_203939_619</t>
  </si>
  <si>
    <t>Act_SEC_1022301_025947_615</t>
  </si>
  <si>
    <t>Act_SEC_1022302_030254_621</t>
  </si>
  <si>
    <t>Act_SEC_1022303_030540_627</t>
  </si>
  <si>
    <t>Act_SEC_1022304_030730_615</t>
  </si>
  <si>
    <t>Act_SEC_1022401_063156_625</t>
  </si>
  <si>
    <t>Act_SEC_1022502_070922_621</t>
  </si>
  <si>
    <t>Act_SEC_1022504_071405_629</t>
  </si>
  <si>
    <t>Act_SEC_1022801_085746_627</t>
  </si>
  <si>
    <t>Act_SEC_1022802_090056_605</t>
  </si>
  <si>
    <t>Act_SEC_1022901_093532_615</t>
  </si>
  <si>
    <t>Act_SEC_1022902_093801_623</t>
  </si>
  <si>
    <t>Act_SEC_1022909_095446_625</t>
  </si>
  <si>
    <t>Act_SEC_1022910_095800_619</t>
  </si>
  <si>
    <t>Act_SEC_1023001+1023003+1023005_105009_621</t>
  </si>
  <si>
    <t>Act_SEC_1023101_144305_611</t>
  </si>
  <si>
    <t>Act_SEC_1023201_150532_629</t>
  </si>
  <si>
    <t>Act_SEC_1023202_150821_621</t>
  </si>
  <si>
    <t>Act_SEC_1023206_151903_627</t>
  </si>
  <si>
    <t>Act_SEC_1023501_173155_619</t>
  </si>
  <si>
    <t>Act_SEC_1023504_173913_615</t>
  </si>
  <si>
    <t>Act_SEC_1023510_175344_629</t>
  </si>
  <si>
    <t>Act_SEC_1023511_175555_613</t>
  </si>
  <si>
    <t>Act_SEC_1023601_180137_609</t>
  </si>
  <si>
    <t>Act_SEC_1023802_030228_619</t>
  </si>
  <si>
    <t>Act_SEC_1023901_044356_623</t>
  </si>
  <si>
    <t>Act_SEC_1024001_062520_615</t>
  </si>
  <si>
    <t>Act_SEC_1024101_071051_606</t>
  </si>
  <si>
    <t>Act_SEC_1024201_074341_615</t>
  </si>
  <si>
    <t>Act_SEC_1024202_074630_621</t>
  </si>
  <si>
    <t>Act_SEC_1024210_075332_623</t>
  </si>
  <si>
    <t>Act_SEC_1024213_075556_607</t>
  </si>
  <si>
    <t>Act_SEC_1024401_085850_615</t>
  </si>
  <si>
    <t>Act_SEC_1024402_090154_627</t>
  </si>
  <si>
    <t>Act_SEC_1024503_093016_625</t>
  </si>
  <si>
    <t>Act_SEC_1024507_093437_627</t>
  </si>
  <si>
    <t>Act_SEC_1024701_131408_605</t>
  </si>
  <si>
    <t>Act_SEC_1024801_144338_619</t>
  </si>
  <si>
    <t>Act_SEC_1024901_151832_617</t>
  </si>
  <si>
    <t>Act_SEC_1024902_152020_615</t>
  </si>
  <si>
    <t>Act_SEC_1024904_152612_629</t>
  </si>
  <si>
    <t>Act_SEC_1025201_174111_611</t>
  </si>
  <si>
    <t>Act_SEC_1025101_174559_621</t>
  </si>
  <si>
    <t>Act_SEC_1025301_020215_613</t>
  </si>
  <si>
    <t>Act_SEC_1025302_020436_607</t>
  </si>
  <si>
    <t>Act_SEC_1025303_020747_629</t>
  </si>
  <si>
    <t>Act_SEC_1025402_181024_609</t>
  </si>
  <si>
    <t>Act_SEC_1025502_025719_619</t>
  </si>
  <si>
    <t>Act_SEC_1025504_030233_621</t>
  </si>
  <si>
    <t>Act_SEC_1025601_044609_615</t>
  </si>
  <si>
    <t>Act_SEC_1025701_064940_623</t>
  </si>
  <si>
    <t>Act_SEC_1025801_073437_615</t>
  </si>
  <si>
    <t>Act_SEC_1025805_074029_629</t>
  </si>
  <si>
    <t>Act_SEC_1025806_074250_607</t>
  </si>
  <si>
    <t>Act_SEC_1026101_090252_615</t>
  </si>
  <si>
    <t>Act_SEC_1026102_090538_629</t>
  </si>
  <si>
    <t>Act_SEC_1026105_091320_627</t>
  </si>
  <si>
    <t>Act_SEC_1026301_104755_615</t>
  </si>
  <si>
    <t>Act_SEC_1026302_105055_625</t>
  </si>
  <si>
    <t>Act_SEC_1026401_125504_605</t>
  </si>
  <si>
    <t>Act_SEC_1026501_143741_619</t>
  </si>
  <si>
    <t>Act_SEC_1026601_153615_606</t>
  </si>
  <si>
    <t>Act_SEC_1026801_174513_611</t>
  </si>
  <si>
    <t>Act_SEC_1026901_180038_629</t>
  </si>
  <si>
    <t>Act_SEC_1026902_180338_621</t>
  </si>
  <si>
    <t>Act_SEC_1026903_180533_613</t>
  </si>
  <si>
    <t>Act_SEC_1027102_030953_615</t>
  </si>
  <si>
    <t>Act_SEC_1027103_031242_619</t>
  </si>
  <si>
    <t>Act_SEC_1027201_064417_607</t>
  </si>
  <si>
    <t>Act_SEC_1027301_073455_615</t>
  </si>
  <si>
    <t>Act_SEC_1027303_073855_609</t>
  </si>
  <si>
    <t>Act_SEC_1027304_074045_617</t>
  </si>
  <si>
    <t>Act_SEC_1027305_074348_629</t>
  </si>
  <si>
    <t>Act_SEC_1027701_092048_627</t>
  </si>
  <si>
    <t>Act_SEC_1027702_092404_621</t>
  </si>
  <si>
    <t>Act_SEC_1027601_092705_615</t>
  </si>
  <si>
    <t>Act_SEC_1027604_093412_621</t>
  </si>
  <si>
    <t>Act_SEC_1027607_094142_629</t>
  </si>
  <si>
    <t>Act_SEC_1027803_105319_605</t>
  </si>
  <si>
    <t>Act_SEC_1027901_130952_615</t>
  </si>
  <si>
    <t>Act_SEC_1028001_143238_625</t>
  </si>
  <si>
    <t>Act_SEC_1028101_145604_623</t>
  </si>
  <si>
    <t>Act_SEC_1028102_145850_619</t>
  </si>
  <si>
    <t>Act_SEC_1028106_150644_607</t>
  </si>
  <si>
    <t>Act_SEC_1028107_150823_615</t>
  </si>
  <si>
    <t>Act_SEC_1028301_194248_606</t>
  </si>
  <si>
    <t>Act_SEC_1028401_211517_611</t>
  </si>
  <si>
    <t>Act_SEC_1028501_030156_629</t>
  </si>
  <si>
    <t>Act_SEC_1028502_030406_615</t>
  </si>
  <si>
    <t>Act_SEC_1028601_042949_613</t>
  </si>
  <si>
    <t>Act_SEC_1028701_062941_607</t>
  </si>
  <si>
    <t>Act_SEC_1028801_073345_621</t>
  </si>
  <si>
    <t>Act_SEC_1028901_074121_629</t>
  </si>
  <si>
    <t>Act_SEC_1029001_083134_621</t>
  </si>
  <si>
    <t>Act_SEC_1029002_083324_615</t>
  </si>
  <si>
    <t>Act_SEC_1029106_093823_607</t>
  </si>
  <si>
    <t>Act_SEC_1029109_094402_619</t>
  </si>
  <si>
    <t>Act_SEC_1029202_104730_615</t>
  </si>
  <si>
    <t>Act_SEC_1029301_131810_615</t>
  </si>
  <si>
    <t>Act_SEC_1029401_144504_615</t>
  </si>
  <si>
    <t>Act_SEC_1029502_152525_627</t>
  </si>
  <si>
    <t>Act_SEC_1029504_152944_605</t>
  </si>
  <si>
    <t>Act_SEC_1029505_153230_629</t>
  </si>
  <si>
    <t>Act_SEC_1029506_153452_609</t>
  </si>
  <si>
    <t>Act_SEC_1029701_174326_615</t>
  </si>
  <si>
    <t>Act_SEC_1029801_180733_625</t>
  </si>
  <si>
    <t>Act_SEC_1029803_181206_627</t>
  </si>
  <si>
    <t>Act_SEC_1029807_182253_629</t>
  </si>
  <si>
    <t>Act_SEC_1029901_210300_606</t>
  </si>
  <si>
    <t>Act_SEC_1030003_030428_615</t>
  </si>
  <si>
    <t>Act_SEC_1030004_030712_629</t>
  </si>
  <si>
    <t>Act_SEC_1030005_030913_611</t>
  </si>
  <si>
    <t>Act_SEC_1030101_063205_613</t>
  </si>
  <si>
    <t>Act_SEC_1030305_075619_623</t>
  </si>
  <si>
    <t>Act_SEC_1030312_080846_607</t>
  </si>
  <si>
    <t>Act_SEC_1030601_093100_627</t>
  </si>
  <si>
    <t>Act_SEC_1030602_093351_619</t>
  </si>
  <si>
    <t>Act_SEC_1030604_093947_621</t>
  </si>
  <si>
    <t>Act_SEC_1030605_094237_629</t>
  </si>
  <si>
    <t>Act_SEC_1030801_131056_615</t>
  </si>
  <si>
    <t>Act_SEC_1031002_151838_623</t>
  </si>
  <si>
    <t>Act_SEC_1031008_153239_627</t>
  </si>
  <si>
    <t>Act_SEC_1031101_154212_615</t>
  </si>
  <si>
    <t>Act_SEC_1031201_173206_615</t>
  </si>
  <si>
    <t>Act_SEC_1031401_204230_627</t>
  </si>
  <si>
    <t>Act_SEC_1031501_030530_615</t>
  </si>
  <si>
    <t>Act_SEC_1031502_030812_606</t>
  </si>
  <si>
    <t>Act_SEC_1031503_031030_609</t>
  </si>
  <si>
    <t>Act_SEC_1031505_031459_629</t>
  </si>
  <si>
    <t>Act_SEC_1031701_061129_613</t>
  </si>
  <si>
    <t>Act_SEC_1031801_071054_627</t>
  </si>
  <si>
    <t>Act_SEC_1031901_073405_611</t>
  </si>
  <si>
    <t>Act_SEC_1031905_074451_621</t>
  </si>
  <si>
    <t>Act_SEC_1032001_081730_627</t>
  </si>
  <si>
    <t>Act_SEC_1032101_090738_627</t>
  </si>
  <si>
    <t>Act_SEC_1032102_090940_617</t>
  </si>
  <si>
    <t>Act_SEC_1032201_092523_621</t>
  </si>
  <si>
    <t>Act_SEC_1032301_105327_627</t>
  </si>
  <si>
    <t>Act_SEC_1032303_105806_607</t>
  </si>
  <si>
    <t>Act_SEC_1032501_142422_615</t>
  </si>
  <si>
    <t>Act_SEC_1032601_152555_629</t>
  </si>
  <si>
    <t>Act_SEC_1032602_152843_619</t>
  </si>
  <si>
    <t>Act_SEC_1032603_153132_621</t>
  </si>
  <si>
    <t>Act_SEC_1032605_153623_607</t>
  </si>
  <si>
    <t>Act_SEC_1032606_153853_605</t>
  </si>
  <si>
    <t>Act_SEC_1032703_155430_615</t>
  </si>
  <si>
    <t>Act_SEC_1032706_160244_621</t>
  </si>
  <si>
    <t>Act_SEC_1032901_174550_613</t>
  </si>
  <si>
    <t>Act_SEC_1033001_175834_627</t>
  </si>
  <si>
    <t>Act_SEC_1033101_202830_606</t>
  </si>
  <si>
    <t>Act_SEC_1033104_203625_629</t>
  </si>
  <si>
    <t>OBT Id</t>
  </si>
  <si>
    <t>WG Count</t>
  </si>
  <si>
    <t>First WG Arrival</t>
  </si>
  <si>
    <t>OBT Created</t>
  </si>
  <si>
    <t>OBTP Start</t>
  </si>
  <si>
    <t>OBTP End</t>
  </si>
  <si>
    <t>DEPD Start</t>
  </si>
  <si>
    <t>DEPD End</t>
  </si>
  <si>
    <t>Formation Time (hh:mm:ss)</t>
  </si>
  <si>
    <t>Pre-OBTP Wait (hh:mm:ss)</t>
  </si>
  <si>
    <t>Gate Wait (hh:mm:ss)</t>
  </si>
  <si>
    <t>OBT Total on Classif Track (hh:mm:ss)</t>
  </si>
  <si>
    <t>Arrived At</t>
  </si>
  <si>
    <t>OBT Departed</t>
  </si>
  <si>
    <t>Dwell Until OBT Created (hh:mm:ss)</t>
  </si>
  <si>
    <t>Total in Classification (hh:mm:ss)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</si>
</sst>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0.0"/>
    <numFmt numFmtId="166" formatCode="yyyy\-mm\-dd\ hh:mm:ss"/>
  </numFmts>
  <fonts count="5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name val="Arial"/>
    </font>
    <font>
      <sz val="10"/>
      <name val="Arial"/>
    </font>
    <font>
      <b/>
      <sz val="14"/>
      <name val="Arial"/>
    </font>
  </fonts>
  <fills count="3">
    <fill>
      <patternFill patternType="none"/>
    </fill>
    <fill>
      <patternFill patternType="gray125"/>
    </fill>
    <fill>
      <patternFill patternType="solid">
        <fgColor rgb="FF30549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0" fontId="2" fillId="0" borderId="0" xfId="0" applyFont="1"/>
    <xf numFmtId="0" fontId="3" fillId="0" borderId="0" xfId="0" applyFont="1"/>
    <xf numFmtId="1" fontId="3" fillId="0" borderId="0" xfId="0" applyNumberFormat="1" applyFont="1"/>
    <xf numFmtId="46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46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6"/>
  <sheetViews>
    <sheetView tabSelected="1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3" width="8.140625" customWidth="1"/>
  </cols>
  <sheetData>
    <row r="1" spans="1:3" ht="45" customHeigh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2" t="s">
        <v>3</v>
      </c>
      <c r="B2" s="2"/>
      <c r="C2" s="2"/>
    </row>
    <row r="3" spans="1:3" x14ac:dyDescent="0.25">
      <c r="A3" s="3" t="s">
        <v>4</v>
      </c>
      <c r="B3" s="3" t="s">
        <v>5</v>
      </c>
      <c r="C3" s="3" t="s">
        <v>6</v>
      </c>
    </row>
    <row r="4" spans="1:3" x14ac:dyDescent="0.25">
      <c r="A4" s="3" t="s">
        <v>7</v>
      </c>
      <c r="B4" s="3" t="s">
        <v>8</v>
      </c>
      <c r="C4" s="3" t="s">
        <v>9</v>
      </c>
    </row>
    <row r="5" spans="1:3" x14ac:dyDescent="0.25">
      <c r="A5" s="3" t="s">
        <v>10</v>
      </c>
      <c r="B5" s="3" t="s">
        <v>11</v>
      </c>
      <c r="C5" s="3" t="s">
        <v>12</v>
      </c>
    </row>
    <row r="6" spans="1:3" x14ac:dyDescent="0.25">
      <c r="A6" s="3" t="s">
        <v>13</v>
      </c>
      <c r="B6" s="3" t="s">
        <v>14</v>
      </c>
      <c r="C6" s="3" t="s">
        <v>15</v>
      </c>
    </row>
    <row r="7" spans="1:3" x14ac:dyDescent="0.25">
      <c r="A7" s="3" t="s">
        <v>16</v>
      </c>
      <c r="B7" s="3" t="s">
        <v>17</v>
      </c>
      <c r="C7" s="3" t="s">
        <v>18</v>
      </c>
    </row>
    <row r="8" spans="1:3" x14ac:dyDescent="0.25">
      <c r="A8" s="3" t="s">
        <v>19</v>
      </c>
      <c r="B8" s="3" t="s">
        <v>20</v>
      </c>
      <c r="C8" s="3" t="s">
        <v>21</v>
      </c>
    </row>
    <row r="9" spans="1:3" x14ac:dyDescent="0.25">
      <c r="A9" s="2" t="s">
        <v>22</v>
      </c>
      <c r="B9" s="2"/>
      <c r="C9" s="2"/>
    </row>
    <row r="10" spans="1:3" x14ac:dyDescent="0.25">
      <c r="A10" s="3" t="s">
        <v>23</v>
      </c>
      <c r="B10" s="3" t="s">
        <v>24</v>
      </c>
      <c r="C10" s="3" t="s">
        <v>25</v>
      </c>
    </row>
    <row r="11" spans="1:3" x14ac:dyDescent="0.25">
      <c r="A11" s="3" t="s">
        <v>26</v>
      </c>
      <c r="B11" s="3" t="s">
        <v>27</v>
      </c>
      <c r="C11" s="3" t="s">
        <v>28</v>
      </c>
    </row>
    <row r="12" spans="1:3" x14ac:dyDescent="0.25">
      <c r="A12" s="3" t="s">
        <v>29</v>
      </c>
      <c r="B12" s="3" t="s">
        <v>30</v>
      </c>
      <c r="C12" s="3" t="s">
        <v>31</v>
      </c>
    </row>
    <row r="13" spans="1:3" x14ac:dyDescent="0.25">
      <c r="A13" s="3" t="s">
        <v>32</v>
      </c>
      <c r="B13" s="3" t="s">
        <v>33</v>
      </c>
      <c r="C13" s="3" t="s">
        <v>34</v>
      </c>
    </row>
    <row r="14" spans="1:3" x14ac:dyDescent="0.25">
      <c r="A14" s="3" t="s">
        <v>35</v>
      </c>
      <c r="B14" s="3" t="s">
        <v>36</v>
      </c>
      <c r="C14" s="3" t="s">
        <v>37</v>
      </c>
    </row>
    <row r="15" spans="1:3" x14ac:dyDescent="0.25">
      <c r="A15" s="3" t="s">
        <v>38</v>
      </c>
      <c r="B15" s="3" t="s">
        <v>39</v>
      </c>
      <c r="C15" s="3" t="s">
        <v>40</v>
      </c>
    </row>
    <row r="16" spans="1:3" x14ac:dyDescent="0.25">
      <c r="A16" s="3" t="s">
        <v>41</v>
      </c>
      <c r="B16" s="3" t="s">
        <v>42</v>
      </c>
      <c r="C16" s="3" t="s">
        <v>43</v>
      </c>
    </row>
    <row r="17" spans="1:3" x14ac:dyDescent="0.25">
      <c r="A17" s="3" t="s">
        <v>44</v>
      </c>
      <c r="B17" s="3" t="s">
        <v>45</v>
      </c>
      <c r="C17" s="3" t="s">
        <v>46</v>
      </c>
    </row>
    <row r="18" spans="1:3" x14ac:dyDescent="0.25">
      <c r="A18" s="2" t="s">
        <v>47</v>
      </c>
      <c r="B18" s="2"/>
      <c r="C18" s="2"/>
    </row>
    <row r="19" spans="1:3" x14ac:dyDescent="0.25">
      <c r="A19" s="3" t="s">
        <v>48</v>
      </c>
      <c r="B19" s="3" t="s">
        <v>49</v>
      </c>
      <c r="C19" s="3" t="s">
        <v>50</v>
      </c>
    </row>
    <row r="20" spans="1:3" x14ac:dyDescent="0.25">
      <c r="A20" s="3" t="s">
        <v>51</v>
      </c>
      <c r="B20" s="3" t="s">
        <v>52</v>
      </c>
      <c r="C20" s="3" t="s">
        <v>53</v>
      </c>
    </row>
    <row r="21" spans="1:3" x14ac:dyDescent="0.25">
      <c r="A21" s="3" t="s">
        <v>54</v>
      </c>
      <c r="B21" s="3" t="s">
        <v>55</v>
      </c>
      <c r="C21" s="3" t="s">
        <v>56</v>
      </c>
    </row>
    <row r="22" spans="1:3" x14ac:dyDescent="0.25">
      <c r="A22" s="3" t="s">
        <v>57</v>
      </c>
      <c r="B22" s="3" t="s">
        <v>58</v>
      </c>
      <c r="C22" s="3" t="s">
        <v>59</v>
      </c>
    </row>
    <row r="23" spans="1:3" x14ac:dyDescent="0.25">
      <c r="A23" s="2" t="s">
        <v>60</v>
      </c>
      <c r="B23" s="2"/>
      <c r="C23" s="2"/>
    </row>
    <row r="24" spans="1:3" x14ac:dyDescent="0.25">
      <c r="A24" s="3" t="s">
        <v>61</v>
      </c>
      <c r="B24" s="3" t="s">
        <v>62</v>
      </c>
      <c r="C24" s="3" t="s">
        <v>63</v>
      </c>
    </row>
    <row r="25" spans="1:3" x14ac:dyDescent="0.25">
      <c r="A25" s="3" t="s">
        <v>64</v>
      </c>
      <c r="B25" s="3" t="s">
        <v>65</v>
      </c>
      <c r="C25" s="3" t="s">
        <v>66</v>
      </c>
    </row>
    <row r="26" spans="1:3" x14ac:dyDescent="0.25">
      <c r="A26" s="3" t="s">
        <v>67</v>
      </c>
      <c r="B26" s="3" t="s">
        <v>68</v>
      </c>
      <c r="C26" s="3" t="s">
        <v>69</v>
      </c>
    </row>
    <row r="27" spans="1:3" x14ac:dyDescent="0.25">
      <c r="A27" s="3" t="s">
        <v>70</v>
      </c>
      <c r="B27" s="3" t="s">
        <v>71</v>
      </c>
      <c r="C27" s="3" t="s">
        <v>72</v>
      </c>
    </row>
    <row r="28" spans="1:3" x14ac:dyDescent="0.25">
      <c r="A28" s="3" t="s">
        <v>73</v>
      </c>
      <c r="B28" s="3" t="s">
        <v>74</v>
      </c>
      <c r="C28" s="3" t="s">
        <v>75</v>
      </c>
    </row>
    <row r="29" spans="1:3" x14ac:dyDescent="0.25">
      <c r="A29" s="2" t="s">
        <v>76</v>
      </c>
      <c r="B29" s="2"/>
      <c r="C29" s="2"/>
    </row>
    <row r="30" spans="1:3" x14ac:dyDescent="0.25">
      <c r="A30" s="3" t="s">
        <v>77</v>
      </c>
      <c r="B30" s="3" t="s">
        <v>78</v>
      </c>
      <c r="C30" s="3" t="s">
        <v>79</v>
      </c>
    </row>
    <row r="31" spans="1:3" x14ac:dyDescent="0.25">
      <c r="A31" s="3" t="s">
        <v>80</v>
      </c>
      <c r="B31" s="3" t="s">
        <v>81</v>
      </c>
      <c r="C31" s="3" t="s">
        <v>82</v>
      </c>
    </row>
    <row r="32" spans="1:3" x14ac:dyDescent="0.25">
      <c r="A32" s="3" t="s">
        <v>83</v>
      </c>
      <c r="B32" s="3" t="s">
        <v>84</v>
      </c>
      <c r="C32" s="3" t="s">
        <v>85</v>
      </c>
    </row>
    <row r="33" spans="1:3" x14ac:dyDescent="0.25">
      <c r="A33" s="2" t="s">
        <v>86</v>
      </c>
      <c r="B33" s="2"/>
      <c r="C33" s="2"/>
    </row>
    <row r="34" spans="1:3" x14ac:dyDescent="0.25">
      <c r="A34" s="3" t="s">
        <v>87</v>
      </c>
      <c r="B34" s="3" t="s">
        <v>88</v>
      </c>
      <c r="C34" s="3" t="s">
        <v>89</v>
      </c>
    </row>
    <row r="35" spans="1:3" x14ac:dyDescent="0.25">
      <c r="A35" s="2" t="s">
        <v>90</v>
      </c>
      <c r="B35" s="2"/>
      <c r="C35" s="2"/>
    </row>
    <row r="36" spans="1:3" x14ac:dyDescent="0.25">
      <c r="A36" s="3" t="s">
        <v>91</v>
      </c>
      <c r="B36" s="3" t="s">
        <v>92</v>
      </c>
      <c r="C36" s="3" t="s">
        <v>93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0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" width="44" customWidth="1"/>
    <col min="2" max="5" width="14" customWidth="1"/>
  </cols>
  <sheetData>
    <row r="1" spans="1:5" ht="18" x14ac:dyDescent="0.25">
      <c r="A1" s="4" t="s">
        <v>94</v>
      </c>
    </row>
    <row r="3" spans="1:5" x14ac:dyDescent="0.25">
      <c r="A3" s="5" t="s">
        <v>95</v>
      </c>
      <c r="B3" s="5" t="s">
        <v>96</v>
      </c>
    </row>
    <row r="4" spans="1:5" x14ac:dyDescent="0.25">
      <c r="A4" s="6" t="s">
        <v>97</v>
      </c>
      <c r="B4" s="7">
        <f>COUNTA('Incoming Trains'!A:A)-1</f>
        <v>331</v>
      </c>
    </row>
    <row r="5" spans="1:5" x14ac:dyDescent="0.25">
      <c r="A5" s="6" t="s">
        <v>98</v>
      </c>
      <c r="B5" s="7">
        <f>COUNTA('Outbound Trains'!A:A)-1</f>
        <v>426</v>
      </c>
    </row>
    <row r="6" spans="1:5" x14ac:dyDescent="0.25">
      <c r="A6" s="6" t="s">
        <v>99</v>
      </c>
      <c r="B6" s="7">
        <f>COUNTA('Wagon Groups'!A:A)-1</f>
        <v>1189</v>
      </c>
    </row>
    <row r="7" spans="1:5" x14ac:dyDescent="0.25">
      <c r="A7" s="6" t="s">
        <v>100</v>
      </c>
      <c r="B7" s="7">
        <f>COUNTA('Activities (raw)'!A:A)-1</f>
        <v>3981</v>
      </c>
    </row>
    <row r="8" spans="1:5" x14ac:dyDescent="0.25">
      <c r="A8" s="6" t="s">
        <v>101</v>
      </c>
      <c r="B8" s="8">
        <v>29.774189814814811</v>
      </c>
    </row>
    <row r="10" spans="1:5" x14ac:dyDescent="0.25">
      <c r="A10" s="5" t="s">
        <v>102</v>
      </c>
      <c r="B10" s="5" t="s">
        <v>103</v>
      </c>
      <c r="C10" s="5" t="s">
        <v>104</v>
      </c>
      <c r="D10" s="5" t="s">
        <v>105</v>
      </c>
      <c r="E10" s="5" t="s">
        <v>106</v>
      </c>
    </row>
    <row r="11" spans="1:5" x14ac:dyDescent="0.25">
      <c r="A11" s="6" t="s">
        <v>107</v>
      </c>
      <c r="B11" s="8">
        <f>IFERROR(AVERAGE('Incoming Trains'!M:M),0)</f>
        <v>0</v>
      </c>
      <c r="C11" s="8">
        <f>IFERROR(MIN('Incoming Trains'!M:M),0)</f>
        <v>0</v>
      </c>
      <c r="D11" s="8">
        <f>IFERROR(MAX('Incoming Trains'!M:M),0)</f>
        <v>0</v>
      </c>
      <c r="E11" s="8">
        <f>IFERROR(MEDIAN('Incoming Trains'!M:M),0)</f>
        <v>0</v>
      </c>
    </row>
    <row r="12" spans="1:5" x14ac:dyDescent="0.25">
      <c r="A12" s="6" t="s">
        <v>108</v>
      </c>
      <c r="B12" s="8">
        <f>IFERROR(AVERAGE('Incoming Trains'!N:N),0)</f>
        <v>2.1944584311898783E-3</v>
      </c>
      <c r="C12" s="8">
        <f>IFERROR(MIN('Incoming Trains'!N:N),0)</f>
        <v>1.2384259243845008E-3</v>
      </c>
      <c r="D12" s="8">
        <f>IFERROR(MAX('Incoming Trains'!N:N),0)</f>
        <v>2.8009259185637347E-3</v>
      </c>
      <c r="E12" s="8">
        <f>IFERROR(MEDIAN('Incoming Trains'!N:N),0)</f>
        <v>2.2800925871706568E-3</v>
      </c>
    </row>
    <row r="13" spans="1:5" x14ac:dyDescent="0.25">
      <c r="A13" s="6" t="s">
        <v>109</v>
      </c>
      <c r="B13" s="8">
        <f>IFERROR(AVERAGE('Incoming Trains'!O:O),0)</f>
        <v>2.7777777780396049E-3</v>
      </c>
      <c r="C13" s="8">
        <f>IFERROR(MIN('Incoming Trains'!O:O),0)</f>
        <v>2.77777776500443E-3</v>
      </c>
      <c r="D13" s="8">
        <f>IFERROR(MAX('Incoming Trains'!O:O),0)</f>
        <v>2.7777777868323028E-3</v>
      </c>
      <c r="E13" s="8">
        <f>IFERROR(MEDIAN('Incoming Trains'!O:O),0)</f>
        <v>2.7777777795563452E-3</v>
      </c>
    </row>
    <row r="14" spans="1:5" x14ac:dyDescent="0.25">
      <c r="A14" s="6" t="s">
        <v>110</v>
      </c>
      <c r="B14" s="8">
        <f>IFERROR(AVERAGE('Incoming Trains'!P:P),0)</f>
        <v>5.2333347316878128E-3</v>
      </c>
      <c r="C14" s="8">
        <f>IFERROR(MIN('Incoming Trains'!P:P),0)</f>
        <v>1.1574072414077818E-4</v>
      </c>
      <c r="D14" s="8">
        <f>IFERROR(MAX('Incoming Trains'!P:P),0)</f>
        <v>2.2372685190930497E-2</v>
      </c>
      <c r="E14" s="8">
        <f>IFERROR(MEDIAN('Incoming Trains'!P:P),0)</f>
        <v>3.1828703722567298E-3</v>
      </c>
    </row>
    <row r="15" spans="1:5" x14ac:dyDescent="0.25">
      <c r="A15" s="6" t="s">
        <v>111</v>
      </c>
      <c r="B15" s="8">
        <f>IFERROR(AVERAGE('Incoming Trains'!Q:Q),0)</f>
        <v>1.6989761663567741E-3</v>
      </c>
      <c r="C15" s="8">
        <f>IFERROR(MIN('Incoming Trains'!Q:Q),0)</f>
        <v>7.2916665521916002E-4</v>
      </c>
      <c r="D15" s="8">
        <f>IFERROR(MAX('Incoming Trains'!Q:Q),0)</f>
        <v>1.8703703703067731E-2</v>
      </c>
      <c r="E15" s="8">
        <f>IFERROR(MEDIAN('Incoming Trains'!Q:Q),0)</f>
        <v>8.6805556202307343E-4</v>
      </c>
    </row>
    <row r="16" spans="1:5" x14ac:dyDescent="0.25">
      <c r="A16" s="6" t="s">
        <v>112</v>
      </c>
      <c r="B16" s="8">
        <f>IFERROR(AVERAGE('Incoming Trains'!R:R),0)</f>
        <v>5.9138273475739158E-3</v>
      </c>
      <c r="C16" s="8">
        <f>IFERROR(MIN('Incoming Trains'!R:R),0)</f>
        <v>0</v>
      </c>
      <c r="D16" s="8">
        <f>IFERROR(MAX('Incoming Trains'!R:R),0)</f>
        <v>2.5960648155887611E-2</v>
      </c>
      <c r="E16" s="8">
        <f>IFERROR(MEDIAN('Incoming Trains'!R:R),0)</f>
        <v>2.78935184906004E-3</v>
      </c>
    </row>
    <row r="17" spans="1:5" x14ac:dyDescent="0.25">
      <c r="A17" s="6" t="s">
        <v>113</v>
      </c>
      <c r="B17" s="8">
        <f>IFERROR(AVERAGE('Incoming Trains'!S:S),0)</f>
        <v>1.5623916023658107E-2</v>
      </c>
      <c r="C17" s="8">
        <f>IFERROR(MIN('Incoming Trains'!S:S),0)</f>
        <v>3.7037036963738501E-3</v>
      </c>
      <c r="D17" s="8">
        <f>IFERROR(MAX('Incoming Trains'!S:S),0)</f>
        <v>4.9965277779847383E-2</v>
      </c>
      <c r="E17" s="8">
        <f>IFERROR(MEDIAN('Incoming Trains'!S:S),0)</f>
        <v>1.0231481479422655E-2</v>
      </c>
    </row>
    <row r="18" spans="1:5" x14ac:dyDescent="0.25">
      <c r="A18" s="6" t="s">
        <v>114</v>
      </c>
      <c r="B18" s="8">
        <f>IFERROR(AVERAGE('Incoming Trains'!T:T),0)</f>
        <v>1.7818374454847987E-2</v>
      </c>
      <c r="C18" s="8">
        <f>IFERROR(MIN('Incoming Trains'!T:T),0)</f>
        <v>4.9537037120899186E-3</v>
      </c>
      <c r="D18" s="8">
        <f>IFERROR(MAX('Incoming Trains'!T:T),0)</f>
        <v>5.2442129635892343E-2</v>
      </c>
      <c r="E18" s="8">
        <f>IFERROR(MEDIAN('Incoming Trains'!T:T),0)</f>
        <v>1.2557870380987879E-2</v>
      </c>
    </row>
    <row r="20" spans="1:5" x14ac:dyDescent="0.25">
      <c r="A20" s="5" t="s">
        <v>115</v>
      </c>
      <c r="B20" s="5" t="s">
        <v>103</v>
      </c>
      <c r="C20" s="5" t="s">
        <v>104</v>
      </c>
      <c r="D20" s="5" t="s">
        <v>105</v>
      </c>
      <c r="E20" s="5" t="s">
        <v>106</v>
      </c>
    </row>
    <row r="21" spans="1:5" x14ac:dyDescent="0.25">
      <c r="A21" s="6" t="s">
        <v>116</v>
      </c>
      <c r="B21" s="8">
        <f>IFERROR(AVERAGE('Wagon Groups'!M:M),0)</f>
        <v>2.1328997311069114E-2</v>
      </c>
      <c r="C21" s="8">
        <f>IFERROR(MIN('Wagon Groups'!M:M),0)</f>
        <v>5.3009259208920412E-3</v>
      </c>
      <c r="D21" s="8">
        <f>IFERROR(MAX('Wagon Groups'!M:M),0)</f>
        <v>4.9965277779847383E-2</v>
      </c>
      <c r="E21" s="8">
        <f>IFERROR(MEDIAN('Wagon Groups'!M:M),0)</f>
        <v>2.1215277774899732E-2</v>
      </c>
    </row>
    <row r="22" spans="1:5" x14ac:dyDescent="0.25">
      <c r="A22" s="6" t="s">
        <v>117</v>
      </c>
      <c r="B22" s="8">
        <f>IFERROR(AVERAGE('Wagon Groups'!N:N),0)</f>
        <v>0.95341457485959913</v>
      </c>
      <c r="C22" s="8">
        <f>IFERROR(MIN('Wagon Groups'!N:N),0)</f>
        <v>2.1458333336340729E-2</v>
      </c>
      <c r="D22" s="8">
        <f>IFERROR(MAX('Wagon Groups'!N:N),0)</f>
        <v>6.9459143518470228</v>
      </c>
      <c r="E22" s="8">
        <f>IFERROR(MEDIAN('Wagon Groups'!N:N),0)</f>
        <v>0.69589699073912925</v>
      </c>
    </row>
    <row r="23" spans="1:5" x14ac:dyDescent="0.25">
      <c r="A23" s="6" t="s">
        <v>118</v>
      </c>
      <c r="B23" s="8">
        <f>IFERROR(AVERAGE('Wagon Groups'!P:P),0)</f>
        <v>0.91607740357164658</v>
      </c>
      <c r="C23" s="8">
        <f>IFERROR(MIN('Wagon Groups'!P:P),0)</f>
        <v>7.8703702456550673E-4</v>
      </c>
      <c r="D23" s="8">
        <f>IFERROR(MAX('Wagon Groups'!P:P),0)</f>
        <v>6.9231597222315031</v>
      </c>
      <c r="E23" s="8">
        <f>IFERROR(MEDIAN('Wagon Groups'!P:P),0)</f>
        <v>0.65940393519122154</v>
      </c>
    </row>
    <row r="25" spans="1:5" x14ac:dyDescent="0.25">
      <c r="A25" s="5" t="s">
        <v>119</v>
      </c>
      <c r="B25" s="5" t="s">
        <v>103</v>
      </c>
      <c r="C25" s="5" t="s">
        <v>104</v>
      </c>
      <c r="D25" s="5" t="s">
        <v>105</v>
      </c>
      <c r="E25" s="5" t="s">
        <v>106</v>
      </c>
    </row>
    <row r="26" spans="1:5" x14ac:dyDescent="0.25">
      <c r="A26" s="6" t="s">
        <v>120</v>
      </c>
      <c r="B26" s="8">
        <f>IFERROR(AVERAGE('Outbound Trains'!K:K),0)</f>
        <v>0.45882926829247633</v>
      </c>
      <c r="C26" s="8">
        <f>IFERROR(MIN('Outbound Trains'!K:K),0)</f>
        <v>7.8703702456550673E-4</v>
      </c>
      <c r="D26" s="8">
        <f>IFERROR(MAX('Outbound Trains'!K:K),0)</f>
        <v>3.0217476851903484</v>
      </c>
      <c r="E26" s="8">
        <f>IFERROR(MEDIAN('Outbound Trains'!K:K),0)</f>
        <v>1.7361111102218274E-2</v>
      </c>
    </row>
    <row r="27" spans="1:5" x14ac:dyDescent="0.25">
      <c r="A27" s="6" t="s">
        <v>121</v>
      </c>
      <c r="B27" s="8">
        <f>IFERROR(AVERAGE('Outbound Trains'!L:L),0)</f>
        <v>3.5789267163352456E-2</v>
      </c>
      <c r="C27" s="8">
        <f>IFERROR(MIN('Outbound Trains'!L:L),0)</f>
        <v>1.7442129625123926E-2</v>
      </c>
      <c r="D27" s="8">
        <f>IFERROR(MAX('Outbound Trains'!L:L),0)</f>
        <v>0.1131597222192795</v>
      </c>
      <c r="E27" s="8">
        <f>IFERROR(MEDIAN('Outbound Trains'!L:L),0)</f>
        <v>2.878472223164863E-2</v>
      </c>
    </row>
    <row r="28" spans="1:5" x14ac:dyDescent="0.25">
      <c r="A28" s="6" t="s">
        <v>122</v>
      </c>
      <c r="B28" s="8">
        <f>IFERROR(AVERAGE('Outbound Trains'!M:M),0)</f>
        <v>1.1348238508728129E-5</v>
      </c>
      <c r="C28" s="8">
        <f>IFERROR(MIN('Outbound Trains'!M:M),0)</f>
        <v>0</v>
      </c>
      <c r="D28" s="8">
        <f>IFERROR(MAX('Outbound Trains'!M:M),0)</f>
        <v>9.0277776325820014E-4</v>
      </c>
      <c r="E28" s="8">
        <f>IFERROR(MEDIAN('Outbound Trains'!M:M),0)</f>
        <v>0</v>
      </c>
    </row>
    <row r="29" spans="1:5" x14ac:dyDescent="0.25">
      <c r="A29" s="6" t="s">
        <v>123</v>
      </c>
      <c r="B29" s="8">
        <f>IFERROR(AVERAGE('Outbound Trains'!N:N),0)</f>
        <v>9.692299012208312E-4</v>
      </c>
      <c r="C29" s="8">
        <f>IFERROR(MIN('Outbound Trains'!N:N),0)</f>
        <v>6.1342593107838184E-4</v>
      </c>
      <c r="D29" s="8">
        <f>IFERROR(MAX('Outbound Trains'!N:N),0)</f>
        <v>1.9907407404389232E-3</v>
      </c>
      <c r="E29" s="8">
        <f>IFERROR(MEDIAN('Outbound Trains'!N:N),0)</f>
        <v>8.7962963152676821E-4</v>
      </c>
    </row>
    <row r="30" spans="1:5" x14ac:dyDescent="0.25">
      <c r="A30" s="6" t="s">
        <v>124</v>
      </c>
      <c r="B30" s="8">
        <f>IFERROR(AVERAGE('Outbound Trains'!O:O),0)</f>
        <v>0.49559911359555836</v>
      </c>
      <c r="C30" s="8">
        <f>IFERROR(MIN('Outbound Trains'!O:O),0)</f>
        <v>1.9097222226264421E-2</v>
      </c>
      <c r="D30" s="8">
        <f>IFERROR(MAX('Outbound Trains'!O:O),0)</f>
        <v>3.0689236110993079</v>
      </c>
      <c r="E30" s="8">
        <f>IFERROR(MEDIAN('Outbound Trains'!O:O),0)</f>
        <v>6.8877314817655133E-2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32"/>
  <sheetViews>
    <sheetView workbookViewId="0">
      <pane xSplit="3" ySplit="1" topLeftCell="D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3" width="8.140625" customWidth="1"/>
    <col min="4" max="12" width="19" customWidth="1"/>
    <col min="13" max="20" width="8.140625" customWidth="1"/>
  </cols>
  <sheetData>
    <row r="1" spans="1:20" ht="45" customHeight="1" x14ac:dyDescent="0.25">
      <c r="A1" s="1" t="s">
        <v>125</v>
      </c>
      <c r="B1" s="1" t="s">
        <v>126</v>
      </c>
      <c r="C1" s="1" t="s">
        <v>127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133</v>
      </c>
      <c r="J1" s="1" t="s">
        <v>134</v>
      </c>
      <c r="K1" s="1" t="s">
        <v>135</v>
      </c>
      <c r="L1" s="1" t="s">
        <v>136</v>
      </c>
      <c r="M1" s="1" t="s">
        <v>23</v>
      </c>
      <c r="N1" s="1" t="s">
        <v>137</v>
      </c>
      <c r="O1" s="1" t="s">
        <v>29</v>
      </c>
      <c r="P1" s="1" t="s">
        <v>32</v>
      </c>
      <c r="Q1" s="1" t="s">
        <v>35</v>
      </c>
      <c r="R1" s="1" t="s">
        <v>38</v>
      </c>
      <c r="S1" s="1" t="s">
        <v>41</v>
      </c>
      <c r="T1" s="1" t="s">
        <v>44</v>
      </c>
    </row>
    <row r="2" spans="1:20" x14ac:dyDescent="0.25">
      <c r="A2" s="3" t="s">
        <v>138</v>
      </c>
      <c r="B2" s="9">
        <v>227.02</v>
      </c>
      <c r="C2" s="3" t="s">
        <v>139</v>
      </c>
      <c r="D2" s="10">
        <v>45659.110925925917</v>
      </c>
      <c r="E2" s="10">
        <v>45659.110925925917</v>
      </c>
      <c r="F2" s="10">
        <v>45659.113043981481</v>
      </c>
      <c r="G2" s="10">
        <v>45659.113043981481</v>
      </c>
      <c r="H2" s="10">
        <v>45659.11582175926</v>
      </c>
      <c r="I2" s="10">
        <v>45659.120138888888</v>
      </c>
      <c r="J2" s="10">
        <v>45659.120138888888</v>
      </c>
      <c r="K2" s="10">
        <v>45659.121018518519</v>
      </c>
      <c r="L2" s="10">
        <v>45659.12777777778</v>
      </c>
      <c r="M2" s="11">
        <f t="shared" ref="M2:M65" si="0">IF(AND(ISNUMBER(D2),ISNUMBER(E2)),(E2-D2),"")</f>
        <v>0</v>
      </c>
      <c r="N2" s="11">
        <f t="shared" ref="N2:N65" si="1">IF(AND(ISNUMBER(E2),ISNUMBER(F2)),(F2-E2),"")</f>
        <v>2.1180555631872267E-3</v>
      </c>
      <c r="O2" s="11">
        <f t="shared" ref="O2:O65" si="2">IF(AND(ISNUMBER(G2),ISNUMBER(H2)),(H2-G2),"")</f>
        <v>2.7777777795563452E-3</v>
      </c>
      <c r="P2" s="11">
        <f t="shared" ref="P2:P65" si="3">IF(AND(ISNUMBER(H2),ISNUMBER(I2)),(I2-H2),"")</f>
        <v>4.3171296274522319E-3</v>
      </c>
      <c r="Q2" s="11">
        <f t="shared" ref="Q2:Q65" si="4">IF(AND(ISNUMBER(J2),ISNUMBER(K2)),(K2-J2),"")</f>
        <v>8.7962963152676821E-4</v>
      </c>
      <c r="R2" s="11">
        <f t="shared" ref="R2:R65" si="5">IF(AND(ISNUMBER(K2),ISNUMBER(L2)),(L2-K2),"")</f>
        <v>6.7592592604341917E-3</v>
      </c>
      <c r="S2" s="11">
        <f t="shared" ref="S2:S65" si="6">IF(AND(ISNUMBER(F2),ISNUMBER(L2)),(L2-F2),"")</f>
        <v>1.4733796298969537E-2</v>
      </c>
      <c r="T2" s="11">
        <f t="shared" ref="T2:T65" si="7">IF(AND(ISNUMBER(D2),ISNUMBER(L2)),(L2-D2),"")</f>
        <v>1.6851851862156764E-2</v>
      </c>
    </row>
    <row r="3" spans="1:20" x14ac:dyDescent="0.25">
      <c r="A3" s="3" t="s">
        <v>140</v>
      </c>
      <c r="B3" s="9">
        <v>182.7</v>
      </c>
      <c r="C3" s="3" t="s">
        <v>139</v>
      </c>
      <c r="D3" s="10">
        <v>45659.269212962958</v>
      </c>
      <c r="E3" s="10">
        <v>45659.269212962958</v>
      </c>
      <c r="F3" s="10">
        <v>45659.271226851852</v>
      </c>
      <c r="G3" s="10">
        <v>45659.271226851852</v>
      </c>
      <c r="H3" s="10">
        <v>45659.274004629631</v>
      </c>
      <c r="I3" s="10">
        <v>45659.275405092587</v>
      </c>
      <c r="J3" s="10">
        <v>45659.275405092587</v>
      </c>
      <c r="K3" s="10">
        <v>45659.276192129633</v>
      </c>
      <c r="L3" s="10">
        <v>45659.277858796297</v>
      </c>
      <c r="M3" s="11">
        <f t="shared" si="0"/>
        <v>0</v>
      </c>
      <c r="N3" s="11">
        <f t="shared" si="1"/>
        <v>2.013888893998228E-3</v>
      </c>
      <c r="O3" s="11">
        <f t="shared" si="2"/>
        <v>2.7777777795563452E-3</v>
      </c>
      <c r="P3" s="11">
        <f t="shared" si="3"/>
        <v>1.4004629556438886E-3</v>
      </c>
      <c r="Q3" s="11">
        <f t="shared" si="4"/>
        <v>7.8703704639337957E-4</v>
      </c>
      <c r="R3" s="11">
        <f t="shared" si="5"/>
        <v>1.6666666633682325E-3</v>
      </c>
      <c r="S3" s="11">
        <f t="shared" si="6"/>
        <v>6.6319444449618459E-3</v>
      </c>
      <c r="T3" s="11">
        <f t="shared" si="7"/>
        <v>8.6458333389600739E-3</v>
      </c>
    </row>
    <row r="4" spans="1:20" x14ac:dyDescent="0.25">
      <c r="A4" s="3" t="s">
        <v>141</v>
      </c>
      <c r="B4" s="9">
        <v>578.17999999999995</v>
      </c>
      <c r="C4" s="3" t="s">
        <v>142</v>
      </c>
      <c r="D4" s="10">
        <v>45659.29792824074</v>
      </c>
      <c r="E4" s="10">
        <v>45659.29792824074</v>
      </c>
      <c r="F4" s="10">
        <v>45659.300416666672</v>
      </c>
      <c r="G4" s="10">
        <v>45659.300416666672</v>
      </c>
      <c r="H4" s="10">
        <v>45659.303194444437</v>
      </c>
      <c r="I4" s="10">
        <v>45659.318206018521</v>
      </c>
      <c r="J4" s="10">
        <v>45659.318206018521</v>
      </c>
      <c r="K4" s="10">
        <v>45659.319074074083</v>
      </c>
      <c r="L4" s="10">
        <v>45659.339131944442</v>
      </c>
      <c r="M4" s="11">
        <f t="shared" si="0"/>
        <v>0</v>
      </c>
      <c r="N4" s="11">
        <f t="shared" si="1"/>
        <v>2.4884259328246117E-3</v>
      </c>
      <c r="O4" s="11">
        <f t="shared" si="2"/>
        <v>2.77777776500443E-3</v>
      </c>
      <c r="P4" s="11">
        <f t="shared" si="3"/>
        <v>1.5011574083473533E-2</v>
      </c>
      <c r="Q4" s="11">
        <f t="shared" si="4"/>
        <v>8.6805556202307343E-4</v>
      </c>
      <c r="R4" s="11">
        <f t="shared" si="5"/>
        <v>2.0057870358868968E-2</v>
      </c>
      <c r="S4" s="11">
        <f t="shared" si="6"/>
        <v>3.8715277769370005E-2</v>
      </c>
      <c r="T4" s="11">
        <f t="shared" si="7"/>
        <v>4.1203703702194616E-2</v>
      </c>
    </row>
    <row r="5" spans="1:20" x14ac:dyDescent="0.25">
      <c r="A5" s="3" t="s">
        <v>143</v>
      </c>
      <c r="B5" s="9">
        <v>188.96</v>
      </c>
      <c r="C5" s="3" t="s">
        <v>139</v>
      </c>
      <c r="D5" s="10">
        <v>45659.306840277779</v>
      </c>
      <c r="E5" s="10">
        <v>45659.306840277779</v>
      </c>
      <c r="F5" s="10">
        <v>45659.308865740742</v>
      </c>
      <c r="G5" s="10">
        <v>45659.308865740742</v>
      </c>
      <c r="H5" s="10">
        <v>45659.311643518522</v>
      </c>
      <c r="I5" s="10">
        <v>45659.313090277778</v>
      </c>
      <c r="J5" s="10">
        <v>45659.313090277778</v>
      </c>
      <c r="K5" s="10">
        <v>45659.313958333332</v>
      </c>
      <c r="L5" s="10">
        <v>45659.316319444442</v>
      </c>
      <c r="M5" s="11">
        <f t="shared" si="0"/>
        <v>0</v>
      </c>
      <c r="N5" s="11">
        <f t="shared" si="1"/>
        <v>2.0254629635019228E-3</v>
      </c>
      <c r="O5" s="11">
        <f t="shared" si="2"/>
        <v>2.7777777795563452E-3</v>
      </c>
      <c r="P5" s="11">
        <f t="shared" si="3"/>
        <v>1.4467592554865405E-3</v>
      </c>
      <c r="Q5" s="11">
        <f t="shared" si="4"/>
        <v>8.6805555474711582E-4</v>
      </c>
      <c r="R5" s="11">
        <f t="shared" si="5"/>
        <v>2.3611111100763083E-3</v>
      </c>
      <c r="S5" s="11">
        <f t="shared" si="6"/>
        <v>7.4537036998663098E-3</v>
      </c>
      <c r="T5" s="11">
        <f t="shared" si="7"/>
        <v>9.4791666633682325E-3</v>
      </c>
    </row>
    <row r="6" spans="1:20" x14ac:dyDescent="0.25">
      <c r="A6" s="3" t="s">
        <v>144</v>
      </c>
      <c r="B6" s="9">
        <v>396.56000000000012</v>
      </c>
      <c r="C6" s="3" t="s">
        <v>139</v>
      </c>
      <c r="D6" s="10">
        <v>45659.33384259259</v>
      </c>
      <c r="E6" s="10">
        <v>45659.33384259259</v>
      </c>
      <c r="F6" s="10">
        <v>45659.336354166669</v>
      </c>
      <c r="G6" s="10">
        <v>45659.336354166669</v>
      </c>
      <c r="H6" s="10">
        <v>45659.339131944442</v>
      </c>
      <c r="I6" s="10">
        <v>45659.342326388891</v>
      </c>
      <c r="J6" s="10">
        <v>45659.342326388891</v>
      </c>
      <c r="K6" s="10">
        <v>45659.343194444453</v>
      </c>
      <c r="L6" s="10">
        <v>45659.345358796287</v>
      </c>
      <c r="M6" s="11">
        <f t="shared" si="0"/>
        <v>0</v>
      </c>
      <c r="N6" s="11">
        <f t="shared" si="1"/>
        <v>2.5115740791079588E-3</v>
      </c>
      <c r="O6" s="11">
        <f t="shared" si="2"/>
        <v>2.7777777722803876E-3</v>
      </c>
      <c r="P6" s="11">
        <f t="shared" si="3"/>
        <v>3.1944444490363821E-3</v>
      </c>
      <c r="Q6" s="11">
        <f t="shared" si="4"/>
        <v>8.6805556202307343E-4</v>
      </c>
      <c r="R6" s="11">
        <f t="shared" si="5"/>
        <v>2.1643518339260481E-3</v>
      </c>
      <c r="S6" s="11">
        <f t="shared" si="6"/>
        <v>9.0046296172658913E-3</v>
      </c>
      <c r="T6" s="11">
        <f t="shared" si="7"/>
        <v>1.151620369637385E-2</v>
      </c>
    </row>
    <row r="7" spans="1:20" x14ac:dyDescent="0.25">
      <c r="A7" s="3" t="s">
        <v>145</v>
      </c>
      <c r="B7" s="9">
        <v>440.26</v>
      </c>
      <c r="C7" s="3" t="s">
        <v>139</v>
      </c>
      <c r="D7" s="10">
        <v>45659.367048611108</v>
      </c>
      <c r="E7" s="10">
        <v>45659.367048611108</v>
      </c>
      <c r="F7" s="10">
        <v>45659.369652777779</v>
      </c>
      <c r="G7" s="10">
        <v>45659.369652777779</v>
      </c>
      <c r="H7" s="10">
        <v>45659.372430555559</v>
      </c>
      <c r="I7" s="10">
        <v>45659.386145833327</v>
      </c>
      <c r="J7" s="10">
        <v>45659.386145833327</v>
      </c>
      <c r="K7" s="10">
        <v>45659.387662037043</v>
      </c>
      <c r="L7" s="10">
        <v>45659.406018518523</v>
      </c>
      <c r="M7" s="11">
        <f t="shared" si="0"/>
        <v>0</v>
      </c>
      <c r="N7" s="11">
        <f t="shared" si="1"/>
        <v>2.6041666715173051E-3</v>
      </c>
      <c r="O7" s="11">
        <f t="shared" si="2"/>
        <v>2.7777777795563452E-3</v>
      </c>
      <c r="P7" s="11">
        <f t="shared" si="3"/>
        <v>1.3715277767914813E-2</v>
      </c>
      <c r="Q7" s="11">
        <f t="shared" si="4"/>
        <v>1.5162037161644548E-3</v>
      </c>
      <c r="R7" s="11">
        <f t="shared" si="5"/>
        <v>1.8356481479713693E-2</v>
      </c>
      <c r="S7" s="11">
        <f t="shared" si="6"/>
        <v>3.6365740743349306E-2</v>
      </c>
      <c r="T7" s="11">
        <f t="shared" si="7"/>
        <v>3.8969907414866611E-2</v>
      </c>
    </row>
    <row r="8" spans="1:20" x14ac:dyDescent="0.25">
      <c r="A8" s="3" t="s">
        <v>146</v>
      </c>
      <c r="B8" s="9">
        <v>212.7</v>
      </c>
      <c r="C8" s="3" t="s">
        <v>142</v>
      </c>
      <c r="D8" s="10">
        <v>45659.375115740739</v>
      </c>
      <c r="E8" s="10">
        <v>45659.375115740739</v>
      </c>
      <c r="F8" s="10">
        <v>45659.376759259263</v>
      </c>
      <c r="G8" s="10">
        <v>45659.376759259263</v>
      </c>
      <c r="H8" s="10">
        <v>45659.379537037043</v>
      </c>
      <c r="I8" s="10">
        <v>45659.382025462961</v>
      </c>
      <c r="J8" s="10">
        <v>45659.382025462961</v>
      </c>
      <c r="K8" s="10">
        <v>45659.382893518523</v>
      </c>
      <c r="L8" s="10">
        <v>45659.38689814815</v>
      </c>
      <c r="M8" s="11">
        <f t="shared" si="0"/>
        <v>0</v>
      </c>
      <c r="N8" s="11">
        <f t="shared" si="1"/>
        <v>1.643518524360843E-3</v>
      </c>
      <c r="O8" s="11">
        <f t="shared" si="2"/>
        <v>2.7777777795563452E-3</v>
      </c>
      <c r="P8" s="11">
        <f t="shared" si="3"/>
        <v>2.4884259182726964E-3</v>
      </c>
      <c r="Q8" s="11">
        <f t="shared" si="4"/>
        <v>8.6805556202307343E-4</v>
      </c>
      <c r="R8" s="11">
        <f t="shared" si="5"/>
        <v>4.0046296271611936E-3</v>
      </c>
      <c r="S8" s="11">
        <f t="shared" si="6"/>
        <v>1.0138888887013309E-2</v>
      </c>
      <c r="T8" s="11">
        <f t="shared" si="7"/>
        <v>1.1782407411374152E-2</v>
      </c>
    </row>
    <row r="9" spans="1:20" x14ac:dyDescent="0.25">
      <c r="A9" s="3" t="s">
        <v>147</v>
      </c>
      <c r="B9" s="9">
        <v>387.06000000000012</v>
      </c>
      <c r="C9" s="3" t="s">
        <v>139</v>
      </c>
      <c r="D9" s="10">
        <v>45659.436840277784</v>
      </c>
      <c r="E9" s="10">
        <v>45659.436840277784</v>
      </c>
      <c r="F9" s="10">
        <v>45659.439328703702</v>
      </c>
      <c r="G9" s="10">
        <v>45659.439328703702</v>
      </c>
      <c r="H9" s="10">
        <v>45659.442106481481</v>
      </c>
      <c r="I9" s="10">
        <v>45659.447187500002</v>
      </c>
      <c r="J9" s="10">
        <v>45659.447187500002</v>
      </c>
      <c r="K9" s="10">
        <v>45659.448067129633</v>
      </c>
      <c r="L9" s="10">
        <v>45659.453125</v>
      </c>
      <c r="M9" s="11">
        <f t="shared" si="0"/>
        <v>0</v>
      </c>
      <c r="N9" s="11">
        <f t="shared" si="1"/>
        <v>2.4884259182726964E-3</v>
      </c>
      <c r="O9" s="11">
        <f t="shared" si="2"/>
        <v>2.7777777795563452E-3</v>
      </c>
      <c r="P9" s="11">
        <f t="shared" si="3"/>
        <v>5.0810185202863067E-3</v>
      </c>
      <c r="Q9" s="11">
        <f t="shared" si="4"/>
        <v>8.7962963152676821E-4</v>
      </c>
      <c r="R9" s="11">
        <f t="shared" si="5"/>
        <v>5.057870366727002E-3</v>
      </c>
      <c r="S9" s="11">
        <f t="shared" si="6"/>
        <v>1.3796296298096422E-2</v>
      </c>
      <c r="T9" s="11">
        <f t="shared" si="7"/>
        <v>1.6284722216369119E-2</v>
      </c>
    </row>
    <row r="10" spans="1:20" x14ac:dyDescent="0.25">
      <c r="A10" s="3" t="s">
        <v>148</v>
      </c>
      <c r="B10" s="9">
        <v>287.12000000000012</v>
      </c>
      <c r="C10" s="3" t="s">
        <v>139</v>
      </c>
      <c r="D10" s="10">
        <v>45659.607175925928</v>
      </c>
      <c r="E10" s="10">
        <v>45659.607175925928</v>
      </c>
      <c r="F10" s="10">
        <v>45659.609432870369</v>
      </c>
      <c r="G10" s="10">
        <v>45659.609432870369</v>
      </c>
      <c r="H10" s="10">
        <v>45659.612210648149</v>
      </c>
      <c r="I10" s="10">
        <v>45659.614560185182</v>
      </c>
      <c r="J10" s="10">
        <v>45659.614560185182</v>
      </c>
      <c r="K10" s="10">
        <v>45659.615428240737</v>
      </c>
      <c r="L10" s="10">
        <v>45659.617337962962</v>
      </c>
      <c r="M10" s="11">
        <f t="shared" si="0"/>
        <v>0</v>
      </c>
      <c r="N10" s="11">
        <f t="shared" si="1"/>
        <v>2.2569444408873096E-3</v>
      </c>
      <c r="O10" s="11">
        <f t="shared" si="2"/>
        <v>2.7777777795563452E-3</v>
      </c>
      <c r="P10" s="11">
        <f t="shared" si="3"/>
        <v>2.3495370332966559E-3</v>
      </c>
      <c r="Q10" s="11">
        <f t="shared" si="4"/>
        <v>8.6805555474711582E-4</v>
      </c>
      <c r="R10" s="11">
        <f t="shared" si="5"/>
        <v>1.9097222248092294E-3</v>
      </c>
      <c r="S10" s="11">
        <f t="shared" si="6"/>
        <v>7.9050925924093463E-3</v>
      </c>
      <c r="T10" s="11">
        <f t="shared" si="7"/>
        <v>1.0162037033296656E-2</v>
      </c>
    </row>
    <row r="11" spans="1:20" x14ac:dyDescent="0.25">
      <c r="A11" s="3" t="s">
        <v>149</v>
      </c>
      <c r="B11" s="9">
        <v>571.90000000000009</v>
      </c>
      <c r="C11" s="3" t="s">
        <v>142</v>
      </c>
      <c r="D11" s="10">
        <v>45659.624675925923</v>
      </c>
      <c r="E11" s="10">
        <v>45659.624675925923</v>
      </c>
      <c r="F11" s="10">
        <v>45659.627152777779</v>
      </c>
      <c r="G11" s="10">
        <v>45659.627152777779</v>
      </c>
      <c r="H11" s="10">
        <v>45659.629930555559</v>
      </c>
      <c r="I11" s="10">
        <v>45659.641655092593</v>
      </c>
      <c r="J11" s="10">
        <v>45659.641655092593</v>
      </c>
      <c r="K11" s="10">
        <v>45659.642523148148</v>
      </c>
      <c r="L11" s="10">
        <v>45659.657384259262</v>
      </c>
      <c r="M11" s="11">
        <f t="shared" si="0"/>
        <v>0</v>
      </c>
      <c r="N11" s="11">
        <f t="shared" si="1"/>
        <v>2.4768518560449593E-3</v>
      </c>
      <c r="O11" s="11">
        <f t="shared" si="2"/>
        <v>2.7777777795563452E-3</v>
      </c>
      <c r="P11" s="11">
        <f t="shared" si="3"/>
        <v>1.1724537034751847E-2</v>
      </c>
      <c r="Q11" s="11">
        <f t="shared" si="4"/>
        <v>8.6805555474711582E-4</v>
      </c>
      <c r="R11" s="11">
        <f t="shared" si="5"/>
        <v>1.4861111114441883E-2</v>
      </c>
      <c r="S11" s="11">
        <f t="shared" si="6"/>
        <v>3.0231481483497191E-2</v>
      </c>
      <c r="T11" s="11">
        <f t="shared" si="7"/>
        <v>3.270833333954215E-2</v>
      </c>
    </row>
    <row r="12" spans="1:20" x14ac:dyDescent="0.25">
      <c r="A12" s="3" t="s">
        <v>150</v>
      </c>
      <c r="B12" s="9">
        <v>267.58</v>
      </c>
      <c r="C12" s="3" t="s">
        <v>139</v>
      </c>
      <c r="D12" s="10">
        <v>45659.626423611109</v>
      </c>
      <c r="E12" s="10">
        <v>45659.626423611109</v>
      </c>
      <c r="F12" s="10">
        <v>45659.628634259258</v>
      </c>
      <c r="G12" s="10">
        <v>45659.628634259258</v>
      </c>
      <c r="H12" s="10">
        <v>45659.631412037037</v>
      </c>
      <c r="I12" s="10">
        <v>45659.633611111109</v>
      </c>
      <c r="J12" s="10">
        <v>45659.633611111109</v>
      </c>
      <c r="K12" s="10">
        <v>45659.634479166663</v>
      </c>
      <c r="L12" s="10">
        <v>45659.636967592603</v>
      </c>
      <c r="M12" s="11">
        <f t="shared" si="0"/>
        <v>0</v>
      </c>
      <c r="N12" s="11">
        <f t="shared" si="1"/>
        <v>2.2106481483206153E-3</v>
      </c>
      <c r="O12" s="11">
        <f t="shared" si="2"/>
        <v>2.7777777795563452E-3</v>
      </c>
      <c r="P12" s="11">
        <f t="shared" si="3"/>
        <v>2.1990740715409629E-3</v>
      </c>
      <c r="Q12" s="11">
        <f t="shared" si="4"/>
        <v>8.6805555474711582E-4</v>
      </c>
      <c r="R12" s="11">
        <f t="shared" si="5"/>
        <v>2.4884259401005693E-3</v>
      </c>
      <c r="S12" s="11">
        <f t="shared" si="6"/>
        <v>8.3333333459449932E-3</v>
      </c>
      <c r="T12" s="11">
        <f t="shared" si="7"/>
        <v>1.0543981494265608E-2</v>
      </c>
    </row>
    <row r="13" spans="1:20" x14ac:dyDescent="0.25">
      <c r="A13" s="3" t="s">
        <v>151</v>
      </c>
      <c r="B13" s="9">
        <v>580.9799999999999</v>
      </c>
      <c r="C13" s="3" t="s">
        <v>142</v>
      </c>
      <c r="D13" s="10">
        <v>45659.737210648149</v>
      </c>
      <c r="E13" s="10">
        <v>45659.737210648149</v>
      </c>
      <c r="F13" s="10">
        <v>45659.739710648151</v>
      </c>
      <c r="G13" s="10">
        <v>45659.739710648151</v>
      </c>
      <c r="H13" s="10">
        <v>45659.742488425924</v>
      </c>
      <c r="I13" s="10">
        <v>45659.758472222216</v>
      </c>
      <c r="J13" s="10">
        <v>45659.758472222216</v>
      </c>
      <c r="K13" s="10">
        <v>45659.759236111109</v>
      </c>
      <c r="L13" s="10">
        <v>45659.778738425928</v>
      </c>
      <c r="M13" s="11">
        <f t="shared" si="0"/>
        <v>0</v>
      </c>
      <c r="N13" s="11">
        <f t="shared" si="1"/>
        <v>2.5000000023283064E-3</v>
      </c>
      <c r="O13" s="11">
        <f t="shared" si="2"/>
        <v>2.7777777722803876E-3</v>
      </c>
      <c r="P13" s="11">
        <f t="shared" si="3"/>
        <v>1.5983796292857733E-2</v>
      </c>
      <c r="Q13" s="11">
        <f t="shared" si="4"/>
        <v>7.638888928340748E-4</v>
      </c>
      <c r="R13" s="11">
        <f t="shared" si="5"/>
        <v>1.9502314818964805E-2</v>
      </c>
      <c r="S13" s="11">
        <f t="shared" si="6"/>
        <v>3.9027777776937E-2</v>
      </c>
      <c r="T13" s="11">
        <f t="shared" si="7"/>
        <v>4.1527777779265307E-2</v>
      </c>
    </row>
    <row r="14" spans="1:20" x14ac:dyDescent="0.25">
      <c r="A14" s="3" t="s">
        <v>152</v>
      </c>
      <c r="B14" s="9">
        <v>350.42</v>
      </c>
      <c r="C14" s="3" t="s">
        <v>139</v>
      </c>
      <c r="D14" s="10">
        <v>45659.838449074072</v>
      </c>
      <c r="E14" s="10">
        <v>45659.838449074072</v>
      </c>
      <c r="F14" s="10">
        <v>45659.840856481482</v>
      </c>
      <c r="G14" s="10">
        <v>45659.840856481482</v>
      </c>
      <c r="H14" s="10">
        <v>45659.843634259261</v>
      </c>
      <c r="I14" s="10">
        <v>45659.856759259259</v>
      </c>
      <c r="J14" s="10">
        <v>45659.856759259259</v>
      </c>
      <c r="K14" s="10">
        <v>45659.857627314806</v>
      </c>
      <c r="L14" s="10">
        <v>45659.87604166667</v>
      </c>
      <c r="M14" s="11">
        <f t="shared" si="0"/>
        <v>0</v>
      </c>
      <c r="N14" s="11">
        <f t="shared" si="1"/>
        <v>2.4074074099189602E-3</v>
      </c>
      <c r="O14" s="11">
        <f t="shared" si="2"/>
        <v>2.7777777795563452E-3</v>
      </c>
      <c r="P14" s="11">
        <f t="shared" si="3"/>
        <v>1.3124999997671694E-2</v>
      </c>
      <c r="Q14" s="11">
        <f t="shared" si="4"/>
        <v>8.6805554747115821E-4</v>
      </c>
      <c r="R14" s="11">
        <f t="shared" si="5"/>
        <v>1.8414351863611955E-2</v>
      </c>
      <c r="S14" s="11">
        <f t="shared" si="6"/>
        <v>3.5185185188311152E-2</v>
      </c>
      <c r="T14" s="11">
        <f t="shared" si="7"/>
        <v>3.7592592598230112E-2</v>
      </c>
    </row>
    <row r="15" spans="1:20" x14ac:dyDescent="0.25">
      <c r="A15" s="3" t="s">
        <v>153</v>
      </c>
      <c r="B15" s="9">
        <v>140.44</v>
      </c>
      <c r="C15" s="3" t="s">
        <v>139</v>
      </c>
      <c r="D15" s="10">
        <v>45660.110601851848</v>
      </c>
      <c r="E15" s="10">
        <v>45660.110601851848</v>
      </c>
      <c r="F15" s="10">
        <v>45660.112523148149</v>
      </c>
      <c r="G15" s="10">
        <v>45660.112523148149</v>
      </c>
      <c r="H15" s="10">
        <v>45660.115300925929</v>
      </c>
      <c r="I15" s="10">
        <v>45660.119409722232</v>
      </c>
      <c r="J15" s="10">
        <v>45660.119409722232</v>
      </c>
      <c r="K15" s="10">
        <v>45660.12027777778</v>
      </c>
      <c r="L15" s="10">
        <v>45660.126446759263</v>
      </c>
      <c r="M15" s="11">
        <f t="shared" si="0"/>
        <v>0</v>
      </c>
      <c r="N15" s="11">
        <f t="shared" si="1"/>
        <v>1.9212963015888818E-3</v>
      </c>
      <c r="O15" s="11">
        <f t="shared" si="2"/>
        <v>2.7777777795563452E-3</v>
      </c>
      <c r="P15" s="11">
        <f t="shared" si="3"/>
        <v>4.1087963036261499E-3</v>
      </c>
      <c r="Q15" s="11">
        <f t="shared" si="4"/>
        <v>8.6805554747115821E-4</v>
      </c>
      <c r="R15" s="11">
        <f t="shared" si="5"/>
        <v>6.1689814829151146E-3</v>
      </c>
      <c r="S15" s="11">
        <f t="shared" si="6"/>
        <v>1.3923611113568768E-2</v>
      </c>
      <c r="T15" s="11">
        <f t="shared" si="7"/>
        <v>1.584490741515765E-2</v>
      </c>
    </row>
    <row r="16" spans="1:20" x14ac:dyDescent="0.25">
      <c r="A16" s="3" t="s">
        <v>154</v>
      </c>
      <c r="B16" s="9">
        <v>497</v>
      </c>
      <c r="C16" s="3" t="s">
        <v>139</v>
      </c>
      <c r="D16" s="10">
        <v>45660.190196759257</v>
      </c>
      <c r="E16" s="10">
        <v>45660.190196759257</v>
      </c>
      <c r="F16" s="10">
        <v>45660.192939814813</v>
      </c>
      <c r="G16" s="10">
        <v>45660.192939814813</v>
      </c>
      <c r="H16" s="10">
        <v>45660.195717592593</v>
      </c>
      <c r="I16" s="10">
        <v>45660.199560185189</v>
      </c>
      <c r="J16" s="10">
        <v>45660.199560185189</v>
      </c>
      <c r="K16" s="10">
        <v>45660.200428240743</v>
      </c>
      <c r="L16" s="10">
        <v>45660.202824074076</v>
      </c>
      <c r="M16" s="11">
        <f t="shared" si="0"/>
        <v>0</v>
      </c>
      <c r="N16" s="11">
        <f t="shared" si="1"/>
        <v>2.7430555564933456E-3</v>
      </c>
      <c r="O16" s="11">
        <f t="shared" si="2"/>
        <v>2.7777777795563452E-3</v>
      </c>
      <c r="P16" s="11">
        <f t="shared" si="3"/>
        <v>3.8425925959018059E-3</v>
      </c>
      <c r="Q16" s="11">
        <f t="shared" si="4"/>
        <v>8.6805555474711582E-4</v>
      </c>
      <c r="R16" s="11">
        <f t="shared" si="5"/>
        <v>2.3958333331393078E-3</v>
      </c>
      <c r="S16" s="11">
        <f t="shared" si="6"/>
        <v>9.8842592633445747E-3</v>
      </c>
      <c r="T16" s="11">
        <f t="shared" si="7"/>
        <v>1.262731481983792E-2</v>
      </c>
    </row>
    <row r="17" spans="1:20" x14ac:dyDescent="0.25">
      <c r="A17" s="3" t="s">
        <v>155</v>
      </c>
      <c r="B17" s="9">
        <v>412.04</v>
      </c>
      <c r="C17" s="3" t="s">
        <v>139</v>
      </c>
      <c r="D17" s="10">
        <v>45660.231574074067</v>
      </c>
      <c r="E17" s="10">
        <v>45660.231574074067</v>
      </c>
      <c r="F17" s="10">
        <v>45660.234120370369</v>
      </c>
      <c r="G17" s="10">
        <v>45660.234120370369</v>
      </c>
      <c r="H17" s="10">
        <v>45660.236898148149</v>
      </c>
      <c r="I17" s="10">
        <v>45660.250173611108</v>
      </c>
      <c r="J17" s="10">
        <v>45660.250173611108</v>
      </c>
      <c r="K17" s="10">
        <v>45660.25104166667</v>
      </c>
      <c r="L17" s="10">
        <v>45660.271087962959</v>
      </c>
      <c r="M17" s="11">
        <f t="shared" si="0"/>
        <v>0</v>
      </c>
      <c r="N17" s="11">
        <f t="shared" si="1"/>
        <v>2.5462963021709584E-3</v>
      </c>
      <c r="O17" s="11">
        <f t="shared" si="2"/>
        <v>2.7777777795563452E-3</v>
      </c>
      <c r="P17" s="11">
        <f t="shared" si="3"/>
        <v>1.3275462959427387E-2</v>
      </c>
      <c r="Q17" s="11">
        <f t="shared" si="4"/>
        <v>8.6805556202307343E-4</v>
      </c>
      <c r="R17" s="11">
        <f t="shared" si="5"/>
        <v>2.0046296289365273E-2</v>
      </c>
      <c r="S17" s="11">
        <f t="shared" si="6"/>
        <v>3.6967592590372078E-2</v>
      </c>
      <c r="T17" s="11">
        <f t="shared" si="7"/>
        <v>3.9513888892543036E-2</v>
      </c>
    </row>
    <row r="18" spans="1:20" x14ac:dyDescent="0.25">
      <c r="A18" s="3" t="s">
        <v>156</v>
      </c>
      <c r="B18" s="9">
        <v>297</v>
      </c>
      <c r="C18" s="3" t="s">
        <v>139</v>
      </c>
      <c r="D18" s="10">
        <v>45660.271898148138</v>
      </c>
      <c r="E18" s="10">
        <v>45660.271898148138</v>
      </c>
      <c r="F18" s="10">
        <v>45660.274178240739</v>
      </c>
      <c r="G18" s="10">
        <v>45660.274178240739</v>
      </c>
      <c r="H18" s="10">
        <v>45660.276956018519</v>
      </c>
      <c r="I18" s="10">
        <v>45660.27925925926</v>
      </c>
      <c r="J18" s="10">
        <v>45660.27925925926</v>
      </c>
      <c r="K18" s="10">
        <v>45660.280127314807</v>
      </c>
      <c r="L18" s="10">
        <v>45660.282523148147</v>
      </c>
      <c r="M18" s="11">
        <f t="shared" si="0"/>
        <v>0</v>
      </c>
      <c r="N18" s="11">
        <f t="shared" si="1"/>
        <v>2.280092601722572E-3</v>
      </c>
      <c r="O18" s="11">
        <f t="shared" si="2"/>
        <v>2.7777777795563452E-3</v>
      </c>
      <c r="P18" s="11">
        <f t="shared" si="3"/>
        <v>2.3032407407299615E-3</v>
      </c>
      <c r="Q18" s="11">
        <f t="shared" si="4"/>
        <v>8.6805554747115821E-4</v>
      </c>
      <c r="R18" s="11">
        <f t="shared" si="5"/>
        <v>2.3958333404152654E-3</v>
      </c>
      <c r="S18" s="11">
        <f t="shared" si="6"/>
        <v>8.3449074081727304E-3</v>
      </c>
      <c r="T18" s="11">
        <f t="shared" si="7"/>
        <v>1.0625000009895302E-2</v>
      </c>
    </row>
    <row r="19" spans="1:20" x14ac:dyDescent="0.25">
      <c r="A19" s="3" t="s">
        <v>157</v>
      </c>
      <c r="B19" s="9">
        <v>306.67999999999989</v>
      </c>
      <c r="C19" s="3" t="s">
        <v>139</v>
      </c>
      <c r="D19" s="10">
        <v>45660.301921296297</v>
      </c>
      <c r="E19" s="10">
        <v>45660.301921296297</v>
      </c>
      <c r="F19" s="10">
        <v>45660.304224537038</v>
      </c>
      <c r="G19" s="10">
        <v>45660.304224537038</v>
      </c>
      <c r="H19" s="10">
        <v>45660.307002314818</v>
      </c>
      <c r="I19" s="10">
        <v>45660.315428240741</v>
      </c>
      <c r="J19" s="10">
        <v>45660.315428240741</v>
      </c>
      <c r="K19" s="10">
        <v>45660.316307870373</v>
      </c>
      <c r="L19" s="10">
        <v>45660.328379629631</v>
      </c>
      <c r="M19" s="11">
        <f t="shared" si="0"/>
        <v>0</v>
      </c>
      <c r="N19" s="11">
        <f t="shared" si="1"/>
        <v>2.3032407407299615E-3</v>
      </c>
      <c r="O19" s="11">
        <f t="shared" si="2"/>
        <v>2.7777777795563452E-3</v>
      </c>
      <c r="P19" s="11">
        <f t="shared" si="3"/>
        <v>8.4259259238024242E-3</v>
      </c>
      <c r="Q19" s="11">
        <f t="shared" si="4"/>
        <v>8.7962963152676821E-4</v>
      </c>
      <c r="R19" s="11">
        <f t="shared" si="5"/>
        <v>1.2071759258105885E-2</v>
      </c>
      <c r="S19" s="11">
        <f t="shared" si="6"/>
        <v>2.4155092592991423E-2</v>
      </c>
      <c r="T19" s="11">
        <f t="shared" si="7"/>
        <v>2.6458333333721384E-2</v>
      </c>
    </row>
    <row r="20" spans="1:20" x14ac:dyDescent="0.25">
      <c r="A20" s="3" t="s">
        <v>158</v>
      </c>
      <c r="B20" s="9">
        <v>256.89999999999998</v>
      </c>
      <c r="C20" s="3" t="s">
        <v>142</v>
      </c>
      <c r="D20" s="10">
        <v>45660.310196759259</v>
      </c>
      <c r="E20" s="10">
        <v>45660.310196759259</v>
      </c>
      <c r="F20" s="10">
        <v>45660.311944444453</v>
      </c>
      <c r="G20" s="10">
        <v>45660.311944444453</v>
      </c>
      <c r="H20" s="10">
        <v>45660.314722222232</v>
      </c>
      <c r="I20" s="10">
        <v>45660.316712962973</v>
      </c>
      <c r="J20" s="10">
        <v>45660.316712962973</v>
      </c>
      <c r="K20" s="10">
        <v>45660.329247685193</v>
      </c>
      <c r="L20" s="10">
        <v>45660.331689814811</v>
      </c>
      <c r="M20" s="11">
        <f t="shared" si="0"/>
        <v>0</v>
      </c>
      <c r="N20" s="11">
        <f t="shared" si="1"/>
        <v>1.7476851935498416E-3</v>
      </c>
      <c r="O20" s="11">
        <f t="shared" si="2"/>
        <v>2.7777777795563452E-3</v>
      </c>
      <c r="P20" s="11">
        <f t="shared" si="3"/>
        <v>1.9907407404389232E-3</v>
      </c>
      <c r="Q20" s="11">
        <f t="shared" si="4"/>
        <v>1.2534722220152617E-2</v>
      </c>
      <c r="R20" s="11">
        <f t="shared" si="5"/>
        <v>2.4421296184300445E-3</v>
      </c>
      <c r="S20" s="11">
        <f t="shared" si="6"/>
        <v>1.9745370358577929E-2</v>
      </c>
      <c r="T20" s="11">
        <f t="shared" si="7"/>
        <v>2.1493055552127771E-2</v>
      </c>
    </row>
    <row r="21" spans="1:20" x14ac:dyDescent="0.25">
      <c r="A21" s="3" t="s">
        <v>159</v>
      </c>
      <c r="B21" s="9">
        <v>396.56000000000012</v>
      </c>
      <c r="C21" s="3" t="s">
        <v>139</v>
      </c>
      <c r="D21" s="10">
        <v>45660.331458333327</v>
      </c>
      <c r="E21" s="10">
        <v>45660.331458333327</v>
      </c>
      <c r="F21" s="10">
        <v>45660.333969907413</v>
      </c>
      <c r="G21" s="10">
        <v>45660.333969907413</v>
      </c>
      <c r="H21" s="10">
        <v>45660.336747685193</v>
      </c>
      <c r="I21" s="10">
        <v>45660.340196759258</v>
      </c>
      <c r="J21" s="10">
        <v>45660.340196759258</v>
      </c>
      <c r="K21" s="10">
        <v>45660.340960648151</v>
      </c>
      <c r="L21" s="10">
        <v>45660.343877314823</v>
      </c>
      <c r="M21" s="11">
        <f t="shared" si="0"/>
        <v>0</v>
      </c>
      <c r="N21" s="11">
        <f t="shared" si="1"/>
        <v>2.5115740863839164E-3</v>
      </c>
      <c r="O21" s="11">
        <f t="shared" si="2"/>
        <v>2.7777777795563452E-3</v>
      </c>
      <c r="P21" s="11">
        <f t="shared" si="3"/>
        <v>3.4490740654291585E-3</v>
      </c>
      <c r="Q21" s="11">
        <f t="shared" si="4"/>
        <v>7.638888928340748E-4</v>
      </c>
      <c r="R21" s="11">
        <f t="shared" si="5"/>
        <v>2.9166666718083434E-3</v>
      </c>
      <c r="S21" s="11">
        <f t="shared" si="6"/>
        <v>9.9074074096279219E-3</v>
      </c>
      <c r="T21" s="11">
        <f t="shared" si="7"/>
        <v>1.2418981496011838E-2</v>
      </c>
    </row>
    <row r="22" spans="1:20" x14ac:dyDescent="0.25">
      <c r="A22" s="3" t="s">
        <v>160</v>
      </c>
      <c r="B22" s="9">
        <v>279.10000000000002</v>
      </c>
      <c r="C22" s="3" t="s">
        <v>139</v>
      </c>
      <c r="D22" s="10">
        <v>45660.365208333344</v>
      </c>
      <c r="E22" s="10">
        <v>45660.365208333344</v>
      </c>
      <c r="F22" s="10">
        <v>45660.367442129631</v>
      </c>
      <c r="G22" s="10">
        <v>45660.367442129631</v>
      </c>
      <c r="H22" s="10">
        <v>45660.370219907411</v>
      </c>
      <c r="I22" s="10">
        <v>45660.373240740737</v>
      </c>
      <c r="J22" s="10">
        <v>45660.373240740737</v>
      </c>
      <c r="K22" s="10">
        <v>45660.374120370368</v>
      </c>
      <c r="L22" s="10">
        <v>45660.378368055557</v>
      </c>
      <c r="M22" s="11">
        <f t="shared" si="0"/>
        <v>0</v>
      </c>
      <c r="N22" s="11">
        <f t="shared" si="1"/>
        <v>2.2337962873280048E-3</v>
      </c>
      <c r="O22" s="11">
        <f t="shared" si="2"/>
        <v>2.7777777795563452E-3</v>
      </c>
      <c r="P22" s="11">
        <f t="shared" si="3"/>
        <v>3.0208333264454268E-3</v>
      </c>
      <c r="Q22" s="11">
        <f t="shared" si="4"/>
        <v>8.7962963152676821E-4</v>
      </c>
      <c r="R22" s="11">
        <f t="shared" si="5"/>
        <v>4.2476851886021905E-3</v>
      </c>
      <c r="S22" s="11">
        <f t="shared" si="6"/>
        <v>1.0925925926130731E-2</v>
      </c>
      <c r="T22" s="11">
        <f t="shared" si="7"/>
        <v>1.3159722213458735E-2</v>
      </c>
    </row>
    <row r="23" spans="1:20" x14ac:dyDescent="0.25">
      <c r="A23" s="3" t="s">
        <v>161</v>
      </c>
      <c r="B23" s="9">
        <v>433.69999999999987</v>
      </c>
      <c r="C23" s="3" t="s">
        <v>139</v>
      </c>
      <c r="D23" s="10">
        <v>45660.437303240738</v>
      </c>
      <c r="E23" s="10">
        <v>45660.437303240738</v>
      </c>
      <c r="F23" s="10">
        <v>45660.439895833333</v>
      </c>
      <c r="G23" s="10">
        <v>45660.439895833333</v>
      </c>
      <c r="H23" s="10">
        <v>45660.442673611113</v>
      </c>
      <c r="I23" s="10">
        <v>45660.448750000003</v>
      </c>
      <c r="J23" s="10">
        <v>45660.448750000003</v>
      </c>
      <c r="K23" s="10">
        <v>45660.449513888889</v>
      </c>
      <c r="L23" s="10">
        <v>45660.456076388888</v>
      </c>
      <c r="M23" s="11">
        <f t="shared" si="0"/>
        <v>0</v>
      </c>
      <c r="N23" s="11">
        <f t="shared" si="1"/>
        <v>2.5925925947376527E-3</v>
      </c>
      <c r="O23" s="11">
        <f t="shared" si="2"/>
        <v>2.7777777795563452E-3</v>
      </c>
      <c r="P23" s="11">
        <f t="shared" si="3"/>
        <v>6.0763888905057684E-3</v>
      </c>
      <c r="Q23" s="11">
        <f t="shared" si="4"/>
        <v>7.6388888555811718E-4</v>
      </c>
      <c r="R23" s="11">
        <f t="shared" si="5"/>
        <v>6.5624999988358468E-3</v>
      </c>
      <c r="S23" s="11">
        <f t="shared" si="6"/>
        <v>1.6180555554456078E-2</v>
      </c>
      <c r="T23" s="11">
        <f t="shared" si="7"/>
        <v>1.877314814919373E-2</v>
      </c>
    </row>
    <row r="24" spans="1:20" x14ac:dyDescent="0.25">
      <c r="A24" s="3" t="s">
        <v>162</v>
      </c>
      <c r="B24" s="9">
        <v>278.02</v>
      </c>
      <c r="C24" s="3" t="s">
        <v>139</v>
      </c>
      <c r="D24" s="10">
        <v>45660.540972222218</v>
      </c>
      <c r="E24" s="10">
        <v>45660.540972222218</v>
      </c>
      <c r="F24" s="10">
        <v>45660.543206018519</v>
      </c>
      <c r="G24" s="10">
        <v>45660.543206018519</v>
      </c>
      <c r="H24" s="10">
        <v>45660.545983796299</v>
      </c>
      <c r="I24" s="10">
        <v>45660.548020833332</v>
      </c>
      <c r="J24" s="10">
        <v>45660.548020833332</v>
      </c>
      <c r="K24" s="10">
        <v>45660.548900462964</v>
      </c>
      <c r="L24" s="10">
        <v>45660.551423611112</v>
      </c>
      <c r="M24" s="11">
        <f t="shared" si="0"/>
        <v>0</v>
      </c>
      <c r="N24" s="11">
        <f t="shared" si="1"/>
        <v>2.2337963018799201E-3</v>
      </c>
      <c r="O24" s="11">
        <f t="shared" si="2"/>
        <v>2.7777777795563452E-3</v>
      </c>
      <c r="P24" s="11">
        <f t="shared" si="3"/>
        <v>2.0370370330056176E-3</v>
      </c>
      <c r="Q24" s="11">
        <f t="shared" si="4"/>
        <v>8.7962963152676821E-4</v>
      </c>
      <c r="R24" s="11">
        <f t="shared" si="5"/>
        <v>2.5231481486116536E-3</v>
      </c>
      <c r="S24" s="11">
        <f t="shared" si="6"/>
        <v>8.2175925927003846E-3</v>
      </c>
      <c r="T24" s="11">
        <f t="shared" si="7"/>
        <v>1.0451388894580305E-2</v>
      </c>
    </row>
    <row r="25" spans="1:20" x14ac:dyDescent="0.25">
      <c r="A25" s="3" t="s">
        <v>163</v>
      </c>
      <c r="B25" s="9">
        <v>62.96</v>
      </c>
      <c r="C25" s="3" t="s">
        <v>164</v>
      </c>
      <c r="D25" s="10">
        <v>45660.596631944441</v>
      </c>
      <c r="E25" s="10">
        <v>45660.596631944441</v>
      </c>
      <c r="F25" s="10">
        <v>45660.597997685189</v>
      </c>
      <c r="G25" s="10">
        <v>45660.597997685189</v>
      </c>
      <c r="H25" s="10">
        <v>45660.600775462961</v>
      </c>
      <c r="I25" s="10">
        <v>45660.601319444453</v>
      </c>
      <c r="J25" s="10">
        <v>45660.601319444453</v>
      </c>
      <c r="K25" s="10">
        <v>45660.602083333331</v>
      </c>
      <c r="L25" s="10">
        <v>45660.604270833333</v>
      </c>
      <c r="M25" s="11">
        <f t="shared" si="0"/>
        <v>0</v>
      </c>
      <c r="N25" s="11">
        <f t="shared" si="1"/>
        <v>1.3657407471328042E-3</v>
      </c>
      <c r="O25" s="11">
        <f t="shared" si="2"/>
        <v>2.7777777722803876E-3</v>
      </c>
      <c r="P25" s="11">
        <f t="shared" si="3"/>
        <v>5.4398149222834036E-4</v>
      </c>
      <c r="Q25" s="11">
        <f t="shared" si="4"/>
        <v>7.6388887828215957E-4</v>
      </c>
      <c r="R25" s="11">
        <f t="shared" si="5"/>
        <v>2.1875000020372681E-3</v>
      </c>
      <c r="S25" s="11">
        <f t="shared" si="6"/>
        <v>6.2731481448281556E-3</v>
      </c>
      <c r="T25" s="11">
        <f t="shared" si="7"/>
        <v>7.6388888919609599E-3</v>
      </c>
    </row>
    <row r="26" spans="1:20" x14ac:dyDescent="0.25">
      <c r="A26" s="3" t="s">
        <v>165</v>
      </c>
      <c r="B26" s="9">
        <v>399.78</v>
      </c>
      <c r="C26" s="3" t="s">
        <v>139</v>
      </c>
      <c r="D26" s="10">
        <v>45660.627523148149</v>
      </c>
      <c r="E26" s="10">
        <v>45660.627523148149</v>
      </c>
      <c r="F26" s="10">
        <v>45660.63003472222</v>
      </c>
      <c r="G26" s="10">
        <v>45660.63003472222</v>
      </c>
      <c r="H26" s="10">
        <v>45660.6328125</v>
      </c>
      <c r="I26" s="10">
        <v>45660.645474537043</v>
      </c>
      <c r="J26" s="10">
        <v>45660.645474537043</v>
      </c>
      <c r="K26" s="10">
        <v>45660.646354166667</v>
      </c>
      <c r="L26" s="10">
        <v>45660.665567129632</v>
      </c>
      <c r="M26" s="11">
        <f t="shared" si="0"/>
        <v>0</v>
      </c>
      <c r="N26" s="11">
        <f t="shared" si="1"/>
        <v>2.5115740718320012E-3</v>
      </c>
      <c r="O26" s="11">
        <f t="shared" si="2"/>
        <v>2.7777777795563452E-3</v>
      </c>
      <c r="P26" s="11">
        <f t="shared" si="3"/>
        <v>1.266203704290092E-2</v>
      </c>
      <c r="Q26" s="11">
        <f t="shared" si="4"/>
        <v>8.7962962425081059E-4</v>
      </c>
      <c r="R26" s="11">
        <f t="shared" si="5"/>
        <v>1.9212962964957114E-2</v>
      </c>
      <c r="S26" s="11">
        <f t="shared" si="6"/>
        <v>3.553240741166519E-2</v>
      </c>
      <c r="T26" s="11">
        <f t="shared" si="7"/>
        <v>3.8043981483497191E-2</v>
      </c>
    </row>
    <row r="27" spans="1:20" x14ac:dyDescent="0.25">
      <c r="A27" s="3" t="s">
        <v>166</v>
      </c>
      <c r="B27" s="9">
        <v>62.96</v>
      </c>
      <c r="C27" s="3" t="s">
        <v>164</v>
      </c>
      <c r="D27" s="10">
        <v>45660.648993055547</v>
      </c>
      <c r="E27" s="10">
        <v>45660.648993055547</v>
      </c>
      <c r="F27" s="10">
        <v>45660.650358796287</v>
      </c>
      <c r="G27" s="10">
        <v>45660.650358796287</v>
      </c>
      <c r="H27" s="10">
        <v>45660.653136574067</v>
      </c>
      <c r="I27" s="10">
        <v>45660.653599537043</v>
      </c>
      <c r="J27" s="10">
        <v>45660.653599537043</v>
      </c>
      <c r="K27" s="10">
        <v>45660.666331018518</v>
      </c>
      <c r="L27" s="10">
        <v>45660.66851851852</v>
      </c>
      <c r="M27" s="11">
        <f t="shared" si="0"/>
        <v>0</v>
      </c>
      <c r="N27" s="11">
        <f t="shared" si="1"/>
        <v>1.3657407398568466E-3</v>
      </c>
      <c r="O27" s="11">
        <f t="shared" si="2"/>
        <v>2.7777777795563452E-3</v>
      </c>
      <c r="P27" s="11">
        <f t="shared" si="3"/>
        <v>4.6296297659864649E-4</v>
      </c>
      <c r="Q27" s="11">
        <f t="shared" si="4"/>
        <v>1.2731481474475004E-2</v>
      </c>
      <c r="R27" s="11">
        <f t="shared" si="5"/>
        <v>2.1875000020372681E-3</v>
      </c>
      <c r="S27" s="11">
        <f t="shared" si="6"/>
        <v>1.8159722232667264E-2</v>
      </c>
      <c r="T27" s="11">
        <f t="shared" si="7"/>
        <v>1.952546297252411E-2</v>
      </c>
    </row>
    <row r="28" spans="1:20" x14ac:dyDescent="0.25">
      <c r="A28" s="3" t="s">
        <v>167</v>
      </c>
      <c r="B28" s="9">
        <v>278.88000000000011</v>
      </c>
      <c r="C28" s="3" t="s">
        <v>139</v>
      </c>
      <c r="D28" s="10">
        <v>45660.716180555559</v>
      </c>
      <c r="E28" s="10">
        <v>45660.716180555559</v>
      </c>
      <c r="F28" s="10">
        <v>45660.718414351853</v>
      </c>
      <c r="G28" s="10">
        <v>45660.718414351853</v>
      </c>
      <c r="H28" s="10">
        <v>45660.721192129633</v>
      </c>
      <c r="I28" s="10">
        <v>45660.723622685182</v>
      </c>
      <c r="J28" s="10">
        <v>45660.723622685182</v>
      </c>
      <c r="K28" s="10">
        <v>45660.724386574067</v>
      </c>
      <c r="L28" s="10">
        <v>45660.726909722223</v>
      </c>
      <c r="M28" s="11">
        <f t="shared" si="0"/>
        <v>0</v>
      </c>
      <c r="N28" s="11">
        <f t="shared" si="1"/>
        <v>2.2337962946039625E-3</v>
      </c>
      <c r="O28" s="11">
        <f t="shared" si="2"/>
        <v>2.7777777795563452E-3</v>
      </c>
      <c r="P28" s="11">
        <f t="shared" si="3"/>
        <v>2.4305555489263497E-3</v>
      </c>
      <c r="Q28" s="11">
        <f t="shared" si="4"/>
        <v>7.6388888555811718E-4</v>
      </c>
      <c r="R28" s="11">
        <f t="shared" si="5"/>
        <v>2.5231481558876112E-3</v>
      </c>
      <c r="S28" s="11">
        <f t="shared" si="6"/>
        <v>8.4953703699284233E-3</v>
      </c>
      <c r="T28" s="11">
        <f t="shared" si="7"/>
        <v>1.0729166664532386E-2</v>
      </c>
    </row>
    <row r="29" spans="1:20" x14ac:dyDescent="0.25">
      <c r="A29" s="3" t="s">
        <v>168</v>
      </c>
      <c r="B29" s="9">
        <v>595.89999999999986</v>
      </c>
      <c r="C29" s="3" t="s">
        <v>169</v>
      </c>
      <c r="D29" s="10">
        <v>45660.833136574067</v>
      </c>
      <c r="E29" s="10">
        <v>45660.833136574067</v>
      </c>
      <c r="F29" s="10">
        <v>45660.835497685177</v>
      </c>
      <c r="G29" s="10">
        <v>45660.835497685177</v>
      </c>
      <c r="H29" s="10">
        <v>45660.838275462957</v>
      </c>
      <c r="I29" s="10">
        <v>45660.849456018521</v>
      </c>
      <c r="J29" s="10">
        <v>45660.849456018521</v>
      </c>
      <c r="K29" s="10">
        <v>45660.850335648152</v>
      </c>
      <c r="L29" s="10">
        <v>45660.864201388889</v>
      </c>
      <c r="M29" s="11">
        <f t="shared" si="0"/>
        <v>0</v>
      </c>
      <c r="N29" s="11">
        <f t="shared" si="1"/>
        <v>2.3611111100763083E-3</v>
      </c>
      <c r="O29" s="11">
        <f t="shared" si="2"/>
        <v>2.7777777795563452E-3</v>
      </c>
      <c r="P29" s="11">
        <f t="shared" si="3"/>
        <v>1.118055556435138E-2</v>
      </c>
      <c r="Q29" s="11">
        <f t="shared" si="4"/>
        <v>8.7962963152676821E-4</v>
      </c>
      <c r="R29" s="11">
        <f t="shared" si="5"/>
        <v>1.3865740736946464E-2</v>
      </c>
      <c r="S29" s="11">
        <f t="shared" si="6"/>
        <v>2.8703703712380957E-2</v>
      </c>
      <c r="T29" s="11">
        <f t="shared" si="7"/>
        <v>3.1064814822457265E-2</v>
      </c>
    </row>
    <row r="30" spans="1:20" x14ac:dyDescent="0.25">
      <c r="A30" s="3" t="s">
        <v>170</v>
      </c>
      <c r="B30" s="9">
        <v>541.14</v>
      </c>
      <c r="C30" s="3" t="s">
        <v>142</v>
      </c>
      <c r="D30" s="10">
        <v>45660.871099537027</v>
      </c>
      <c r="E30" s="10">
        <v>45660.871099537027</v>
      </c>
      <c r="F30" s="10">
        <v>45660.873506944437</v>
      </c>
      <c r="G30" s="10">
        <v>45660.873506944437</v>
      </c>
      <c r="H30" s="10">
        <v>45660.876284722217</v>
      </c>
      <c r="I30" s="10">
        <v>45660.893009259264</v>
      </c>
      <c r="J30" s="10">
        <v>45660.893009259264</v>
      </c>
      <c r="K30" s="10">
        <v>45660.893877314818</v>
      </c>
      <c r="L30" s="10">
        <v>45660.913275462961</v>
      </c>
      <c r="M30" s="11">
        <f t="shared" si="0"/>
        <v>0</v>
      </c>
      <c r="N30" s="11">
        <f t="shared" si="1"/>
        <v>2.4074074099189602E-3</v>
      </c>
      <c r="O30" s="11">
        <f t="shared" si="2"/>
        <v>2.7777777795563452E-3</v>
      </c>
      <c r="P30" s="11">
        <f t="shared" si="3"/>
        <v>1.6724537046684418E-2</v>
      </c>
      <c r="Q30" s="11">
        <f t="shared" si="4"/>
        <v>8.6805555474711582E-4</v>
      </c>
      <c r="R30" s="11">
        <f t="shared" si="5"/>
        <v>1.9398148142499849E-2</v>
      </c>
      <c r="S30" s="11">
        <f t="shared" si="6"/>
        <v>3.9768518523487728E-2</v>
      </c>
      <c r="T30" s="11">
        <f t="shared" si="7"/>
        <v>4.2175925933406688E-2</v>
      </c>
    </row>
    <row r="31" spans="1:20" x14ac:dyDescent="0.25">
      <c r="A31" s="3" t="s">
        <v>171</v>
      </c>
      <c r="B31" s="9">
        <v>294.98</v>
      </c>
      <c r="C31" s="3" t="s">
        <v>139</v>
      </c>
      <c r="D31" s="10">
        <v>45661.235196759262</v>
      </c>
      <c r="E31" s="10">
        <v>45661.235196759262</v>
      </c>
      <c r="F31" s="10">
        <v>45661.23746527778</v>
      </c>
      <c r="G31" s="10">
        <v>45661.23746527778</v>
      </c>
      <c r="H31" s="10">
        <v>45661.240243055552</v>
      </c>
      <c r="I31" s="10">
        <v>45661.244513888887</v>
      </c>
      <c r="J31" s="10">
        <v>45661.244513888887</v>
      </c>
      <c r="K31" s="10">
        <v>45661.245393518519</v>
      </c>
      <c r="L31" s="10">
        <v>45661.250358796293</v>
      </c>
      <c r="M31" s="11">
        <f t="shared" si="0"/>
        <v>0</v>
      </c>
      <c r="N31" s="11">
        <f t="shared" si="1"/>
        <v>2.268518517666962E-3</v>
      </c>
      <c r="O31" s="11">
        <f t="shared" si="2"/>
        <v>2.7777777722803876E-3</v>
      </c>
      <c r="P31" s="11">
        <f t="shared" si="3"/>
        <v>4.2708333348855376E-3</v>
      </c>
      <c r="Q31" s="11">
        <f t="shared" si="4"/>
        <v>8.7962963152676821E-4</v>
      </c>
      <c r="R31" s="11">
        <f t="shared" si="5"/>
        <v>4.9652777743176557E-3</v>
      </c>
      <c r="S31" s="11">
        <f t="shared" si="6"/>
        <v>1.2893518513010349E-2</v>
      </c>
      <c r="T31" s="11">
        <f t="shared" si="7"/>
        <v>1.5162037030677311E-2</v>
      </c>
    </row>
    <row r="32" spans="1:20" x14ac:dyDescent="0.25">
      <c r="A32" s="3" t="s">
        <v>172</v>
      </c>
      <c r="B32" s="9">
        <v>535.32000000000005</v>
      </c>
      <c r="C32" s="3" t="s">
        <v>142</v>
      </c>
      <c r="D32" s="10">
        <v>45662.730578703697</v>
      </c>
      <c r="E32" s="10">
        <v>45662.730578703697</v>
      </c>
      <c r="F32" s="10">
        <v>45662.732974537037</v>
      </c>
      <c r="G32" s="10">
        <v>45662.732974537037</v>
      </c>
      <c r="H32" s="10">
        <v>45662.735752314817</v>
      </c>
      <c r="I32" s="10">
        <v>45662.742430555547</v>
      </c>
      <c r="J32" s="10">
        <v>45662.742430555547</v>
      </c>
      <c r="K32" s="10">
        <v>45662.743298611109</v>
      </c>
      <c r="L32" s="10">
        <v>45662.748738425929</v>
      </c>
      <c r="M32" s="11">
        <f t="shared" si="0"/>
        <v>0</v>
      </c>
      <c r="N32" s="11">
        <f t="shared" si="1"/>
        <v>2.3958333404152654E-3</v>
      </c>
      <c r="O32" s="11">
        <f t="shared" si="2"/>
        <v>2.7777777795563452E-3</v>
      </c>
      <c r="P32" s="11">
        <f t="shared" si="3"/>
        <v>6.6782407302525826E-3</v>
      </c>
      <c r="Q32" s="11">
        <f t="shared" si="4"/>
        <v>8.6805556202307343E-4</v>
      </c>
      <c r="R32" s="11">
        <f t="shared" si="5"/>
        <v>5.439814820419997E-3</v>
      </c>
      <c r="S32" s="11">
        <f t="shared" si="6"/>
        <v>1.5763888892251998E-2</v>
      </c>
      <c r="T32" s="11">
        <f t="shared" si="7"/>
        <v>1.8159722232667264E-2</v>
      </c>
    </row>
    <row r="33" spans="1:20" x14ac:dyDescent="0.25">
      <c r="A33" s="3" t="s">
        <v>173</v>
      </c>
      <c r="B33" s="9">
        <v>590.78000000000009</v>
      </c>
      <c r="C33" s="3" t="s">
        <v>142</v>
      </c>
      <c r="D33" s="10">
        <v>45662.837708333333</v>
      </c>
      <c r="E33" s="10">
        <v>45662.837708333333</v>
      </c>
      <c r="F33" s="10">
        <v>45662.840231481481</v>
      </c>
      <c r="G33" s="10">
        <v>45662.840231481481</v>
      </c>
      <c r="H33" s="10">
        <v>45662.843009259261</v>
      </c>
      <c r="I33" s="10">
        <v>45662.84952546296</v>
      </c>
      <c r="J33" s="10">
        <v>45662.84952546296</v>
      </c>
      <c r="K33" s="10">
        <v>45662.850405092591</v>
      </c>
      <c r="L33" s="10">
        <v>45662.856724537043</v>
      </c>
      <c r="M33" s="11">
        <f t="shared" si="0"/>
        <v>0</v>
      </c>
      <c r="N33" s="11">
        <f t="shared" si="1"/>
        <v>2.5231481486116536E-3</v>
      </c>
      <c r="O33" s="11">
        <f t="shared" si="2"/>
        <v>2.7777777795563452E-3</v>
      </c>
      <c r="P33" s="11">
        <f t="shared" si="3"/>
        <v>6.5162036989931948E-3</v>
      </c>
      <c r="Q33" s="11">
        <f t="shared" si="4"/>
        <v>8.7962963152676821E-4</v>
      </c>
      <c r="R33" s="11">
        <f t="shared" si="5"/>
        <v>6.3194444519467652E-3</v>
      </c>
      <c r="S33" s="11">
        <f t="shared" si="6"/>
        <v>1.6493055562023073E-2</v>
      </c>
      <c r="T33" s="11">
        <f t="shared" si="7"/>
        <v>1.9016203710634727E-2</v>
      </c>
    </row>
    <row r="34" spans="1:20" x14ac:dyDescent="0.25">
      <c r="A34" s="3" t="s">
        <v>174</v>
      </c>
      <c r="B34" s="9">
        <v>241.38</v>
      </c>
      <c r="C34" s="3" t="s">
        <v>139</v>
      </c>
      <c r="D34" s="10">
        <v>45663.735393518517</v>
      </c>
      <c r="E34" s="10">
        <v>45663.735393518517</v>
      </c>
      <c r="F34" s="10">
        <v>45663.737546296303</v>
      </c>
      <c r="G34" s="10">
        <v>45663.737546296303</v>
      </c>
      <c r="H34" s="10">
        <v>45663.740324074082</v>
      </c>
      <c r="I34" s="10">
        <v>45663.742326388892</v>
      </c>
      <c r="J34" s="10">
        <v>45663.742326388892</v>
      </c>
      <c r="K34" s="10">
        <v>45663.743194444447</v>
      </c>
      <c r="L34" s="10">
        <v>45663.745000000003</v>
      </c>
      <c r="M34" s="11">
        <f t="shared" si="0"/>
        <v>0</v>
      </c>
      <c r="N34" s="11">
        <f t="shared" si="1"/>
        <v>2.1527777862502262E-3</v>
      </c>
      <c r="O34" s="11">
        <f t="shared" si="2"/>
        <v>2.7777777795563452E-3</v>
      </c>
      <c r="P34" s="11">
        <f t="shared" si="3"/>
        <v>2.002314809942618E-3</v>
      </c>
      <c r="Q34" s="11">
        <f t="shared" si="4"/>
        <v>8.6805555474711582E-4</v>
      </c>
      <c r="R34" s="11">
        <f t="shared" si="5"/>
        <v>1.8055555556202307E-3</v>
      </c>
      <c r="S34" s="11">
        <f t="shared" si="6"/>
        <v>7.4537036998663098E-3</v>
      </c>
      <c r="T34" s="11">
        <f t="shared" si="7"/>
        <v>9.606481486116536E-3</v>
      </c>
    </row>
    <row r="35" spans="1:20" x14ac:dyDescent="0.25">
      <c r="A35" s="3" t="s">
        <v>175</v>
      </c>
      <c r="B35" s="9">
        <v>291.16000000000003</v>
      </c>
      <c r="C35" s="3" t="s">
        <v>139</v>
      </c>
      <c r="D35" s="10">
        <v>45664.113078703696</v>
      </c>
      <c r="E35" s="10">
        <v>45664.113078703696</v>
      </c>
      <c r="F35" s="10">
        <v>45664.115347222221</v>
      </c>
      <c r="G35" s="10">
        <v>45664.115347222221</v>
      </c>
      <c r="H35" s="10">
        <v>45664.118125000001</v>
      </c>
      <c r="I35" s="10">
        <v>45664.124374999999</v>
      </c>
      <c r="J35" s="10">
        <v>45664.124374999999</v>
      </c>
      <c r="K35" s="10">
        <v>45664.125254629631</v>
      </c>
      <c r="L35" s="10">
        <v>45664.134513888886</v>
      </c>
      <c r="M35" s="11">
        <f t="shared" si="0"/>
        <v>0</v>
      </c>
      <c r="N35" s="11">
        <f t="shared" si="1"/>
        <v>2.2685185249429196E-3</v>
      </c>
      <c r="O35" s="11">
        <f t="shared" si="2"/>
        <v>2.7777777795563452E-3</v>
      </c>
      <c r="P35" s="11">
        <f t="shared" si="3"/>
        <v>6.2499999985448085E-3</v>
      </c>
      <c r="Q35" s="11">
        <f t="shared" si="4"/>
        <v>8.7962963152676821E-4</v>
      </c>
      <c r="R35" s="11">
        <f t="shared" si="5"/>
        <v>9.2592592554865405E-3</v>
      </c>
      <c r="S35" s="11">
        <f t="shared" si="6"/>
        <v>1.9166666665114462E-2</v>
      </c>
      <c r="T35" s="11">
        <f t="shared" si="7"/>
        <v>2.1435185190057382E-2</v>
      </c>
    </row>
    <row r="36" spans="1:20" x14ac:dyDescent="0.25">
      <c r="A36" s="3" t="s">
        <v>176</v>
      </c>
      <c r="B36" s="9">
        <v>297</v>
      </c>
      <c r="C36" s="3" t="s">
        <v>139</v>
      </c>
      <c r="D36" s="10">
        <v>45664.270983796298</v>
      </c>
      <c r="E36" s="10">
        <v>45664.270983796298</v>
      </c>
      <c r="F36" s="10">
        <v>45664.273263888892</v>
      </c>
      <c r="G36" s="10">
        <v>45664.273263888892</v>
      </c>
      <c r="H36" s="10">
        <v>45664.276041666657</v>
      </c>
      <c r="I36" s="10">
        <v>45664.27851851852</v>
      </c>
      <c r="J36" s="10">
        <v>45664.27851851852</v>
      </c>
      <c r="K36" s="10">
        <v>45664.279386574082</v>
      </c>
      <c r="L36" s="10">
        <v>45664.281192129631</v>
      </c>
      <c r="M36" s="11">
        <f t="shared" si="0"/>
        <v>0</v>
      </c>
      <c r="N36" s="11">
        <f t="shared" si="1"/>
        <v>2.2800925944466144E-3</v>
      </c>
      <c r="O36" s="11">
        <f t="shared" si="2"/>
        <v>2.77777776500443E-3</v>
      </c>
      <c r="P36" s="11">
        <f t="shared" si="3"/>
        <v>2.4768518633209169E-3</v>
      </c>
      <c r="Q36" s="11">
        <f t="shared" si="4"/>
        <v>8.6805556202307343E-4</v>
      </c>
      <c r="R36" s="11">
        <f t="shared" si="5"/>
        <v>1.8055555483442731E-3</v>
      </c>
      <c r="S36" s="11">
        <f t="shared" si="6"/>
        <v>7.9282407386926934E-3</v>
      </c>
      <c r="T36" s="11">
        <f t="shared" si="7"/>
        <v>1.0208333333139308E-2</v>
      </c>
    </row>
    <row r="37" spans="1:20" x14ac:dyDescent="0.25">
      <c r="A37" s="3" t="s">
        <v>177</v>
      </c>
      <c r="B37" s="9">
        <v>268.52</v>
      </c>
      <c r="C37" s="3" t="s">
        <v>139</v>
      </c>
      <c r="D37" s="10">
        <v>45664.301805555559</v>
      </c>
      <c r="E37" s="10">
        <v>45664.301805555559</v>
      </c>
      <c r="F37" s="10">
        <v>45664.304016203707</v>
      </c>
      <c r="G37" s="10">
        <v>45664.304016203707</v>
      </c>
      <c r="H37" s="10">
        <v>45664.306793981479</v>
      </c>
      <c r="I37" s="10">
        <v>45664.314884259264</v>
      </c>
      <c r="J37" s="10">
        <v>45664.314884259264</v>
      </c>
      <c r="K37" s="10">
        <v>45664.322372685187</v>
      </c>
      <c r="L37" s="10">
        <v>45664.333136574067</v>
      </c>
      <c r="M37" s="11">
        <f t="shared" si="0"/>
        <v>0</v>
      </c>
      <c r="N37" s="11">
        <f t="shared" si="1"/>
        <v>2.2106481483206153E-3</v>
      </c>
      <c r="O37" s="11">
        <f t="shared" si="2"/>
        <v>2.7777777722803876E-3</v>
      </c>
      <c r="P37" s="11">
        <f t="shared" si="3"/>
        <v>8.0902777845039964E-3</v>
      </c>
      <c r="Q37" s="11">
        <f t="shared" si="4"/>
        <v>7.4884259229293093E-3</v>
      </c>
      <c r="R37" s="11">
        <f t="shared" si="5"/>
        <v>1.0763888880319428E-2</v>
      </c>
      <c r="S37" s="11">
        <f t="shared" si="6"/>
        <v>2.9120370360033121E-2</v>
      </c>
      <c r="T37" s="11">
        <f t="shared" si="7"/>
        <v>3.1331018508353736E-2</v>
      </c>
    </row>
    <row r="38" spans="1:20" x14ac:dyDescent="0.25">
      <c r="A38" s="3" t="s">
        <v>178</v>
      </c>
      <c r="B38" s="9">
        <v>396.56000000000012</v>
      </c>
      <c r="C38" s="3" t="s">
        <v>142</v>
      </c>
      <c r="D38" s="10">
        <v>45664.306064814817</v>
      </c>
      <c r="E38" s="10">
        <v>45664.306064814817</v>
      </c>
      <c r="F38" s="10">
        <v>45664.308136574073</v>
      </c>
      <c r="G38" s="10">
        <v>45664.308136574073</v>
      </c>
      <c r="H38" s="10">
        <v>45664.310914351852</v>
      </c>
      <c r="I38" s="10">
        <v>45664.314212962963</v>
      </c>
      <c r="J38" s="10">
        <v>45664.314212962963</v>
      </c>
      <c r="K38" s="10">
        <v>45664.315949074073</v>
      </c>
      <c r="L38" s="10">
        <v>45664.318761574083</v>
      </c>
      <c r="M38" s="11">
        <f t="shared" si="0"/>
        <v>0</v>
      </c>
      <c r="N38" s="11">
        <f t="shared" si="1"/>
        <v>2.0717592560686171E-3</v>
      </c>
      <c r="O38" s="11">
        <f t="shared" si="2"/>
        <v>2.7777777795563452E-3</v>
      </c>
      <c r="P38" s="11">
        <f t="shared" si="3"/>
        <v>3.2986111109494232E-3</v>
      </c>
      <c r="Q38" s="11">
        <f t="shared" si="4"/>
        <v>1.7361111094942316E-3</v>
      </c>
      <c r="R38" s="11">
        <f t="shared" si="5"/>
        <v>2.8125000098953024E-3</v>
      </c>
      <c r="S38" s="11">
        <f t="shared" si="6"/>
        <v>1.0625000009895302E-2</v>
      </c>
      <c r="T38" s="11">
        <f t="shared" si="7"/>
        <v>1.2696759265963919E-2</v>
      </c>
    </row>
    <row r="39" spans="1:20" x14ac:dyDescent="0.25">
      <c r="A39" s="3" t="s">
        <v>179</v>
      </c>
      <c r="B39" s="9">
        <v>189.86</v>
      </c>
      <c r="C39" s="3" t="s">
        <v>169</v>
      </c>
      <c r="D39" s="10">
        <v>45664.30878472222</v>
      </c>
      <c r="E39" s="10">
        <v>45664.30878472222</v>
      </c>
      <c r="F39" s="10">
        <v>45664.310208333343</v>
      </c>
      <c r="G39" s="10">
        <v>45664.310208333343</v>
      </c>
      <c r="H39" s="10">
        <v>45664.312986111108</v>
      </c>
      <c r="I39" s="10">
        <v>45664.314467592587</v>
      </c>
      <c r="J39" s="10">
        <v>45664.314467592587</v>
      </c>
      <c r="K39" s="10">
        <v>45664.31962962963</v>
      </c>
      <c r="L39" s="10">
        <v>45664.321504629632</v>
      </c>
      <c r="M39" s="11">
        <f t="shared" si="0"/>
        <v>0</v>
      </c>
      <c r="N39" s="11">
        <f t="shared" si="1"/>
        <v>1.4236111237551086E-3</v>
      </c>
      <c r="O39" s="11">
        <f t="shared" si="2"/>
        <v>2.77777776500443E-3</v>
      </c>
      <c r="P39" s="11">
        <f t="shared" si="3"/>
        <v>1.48148147854954E-3</v>
      </c>
      <c r="Q39" s="11">
        <f t="shared" si="4"/>
        <v>5.1620370431919582E-3</v>
      </c>
      <c r="R39" s="11">
        <f t="shared" si="5"/>
        <v>1.8750000017462298E-3</v>
      </c>
      <c r="S39" s="11">
        <f t="shared" si="6"/>
        <v>1.1296296288492158E-2</v>
      </c>
      <c r="T39" s="11">
        <f t="shared" si="7"/>
        <v>1.2719907412247267E-2</v>
      </c>
    </row>
    <row r="40" spans="1:20" x14ac:dyDescent="0.25">
      <c r="A40" s="3" t="s">
        <v>180</v>
      </c>
      <c r="B40" s="9">
        <v>393.9</v>
      </c>
      <c r="C40" s="3" t="s">
        <v>139</v>
      </c>
      <c r="D40" s="10">
        <v>45664.344629629632</v>
      </c>
      <c r="E40" s="10">
        <v>45664.344629629632</v>
      </c>
      <c r="F40" s="10">
        <v>45664.347129629627</v>
      </c>
      <c r="G40" s="10">
        <v>45664.347129629627</v>
      </c>
      <c r="H40" s="10">
        <v>45664.349907407413</v>
      </c>
      <c r="I40" s="10">
        <v>45664.354479166657</v>
      </c>
      <c r="J40" s="10">
        <v>45664.354479166657</v>
      </c>
      <c r="K40" s="10">
        <v>45664.355243055557</v>
      </c>
      <c r="L40" s="10">
        <v>45664.359270833331</v>
      </c>
      <c r="M40" s="11">
        <f t="shared" si="0"/>
        <v>0</v>
      </c>
      <c r="N40" s="11">
        <f t="shared" si="1"/>
        <v>2.4999999950523488E-3</v>
      </c>
      <c r="O40" s="11">
        <f t="shared" si="2"/>
        <v>2.7777777868323028E-3</v>
      </c>
      <c r="P40" s="11">
        <f t="shared" si="3"/>
        <v>4.5717592438450083E-3</v>
      </c>
      <c r="Q40" s="11">
        <f t="shared" si="4"/>
        <v>7.6388890011003241E-4</v>
      </c>
      <c r="R40" s="11">
        <f t="shared" si="5"/>
        <v>4.0277777734445408E-3</v>
      </c>
      <c r="S40" s="11">
        <f t="shared" si="6"/>
        <v>1.2141203704231884E-2</v>
      </c>
      <c r="T40" s="11">
        <f t="shared" si="7"/>
        <v>1.4641203699284233E-2</v>
      </c>
    </row>
    <row r="41" spans="1:20" x14ac:dyDescent="0.25">
      <c r="A41" s="3" t="s">
        <v>181</v>
      </c>
      <c r="B41" s="9">
        <v>296.98</v>
      </c>
      <c r="C41" s="3" t="s">
        <v>142</v>
      </c>
      <c r="D41" s="10">
        <v>45664.358877314808</v>
      </c>
      <c r="E41" s="10">
        <v>45664.358877314808</v>
      </c>
      <c r="F41" s="10">
        <v>45664.360717592594</v>
      </c>
      <c r="G41" s="10">
        <v>45664.360717592594</v>
      </c>
      <c r="H41" s="10">
        <v>45664.363495370373</v>
      </c>
      <c r="I41" s="10">
        <v>45664.372476851851</v>
      </c>
      <c r="J41" s="10">
        <v>45664.372476851851</v>
      </c>
      <c r="K41" s="10">
        <v>45664.373344907413</v>
      </c>
      <c r="L41" s="10">
        <v>45664.385289351849</v>
      </c>
      <c r="M41" s="11">
        <f t="shared" si="0"/>
        <v>0</v>
      </c>
      <c r="N41" s="11">
        <f t="shared" si="1"/>
        <v>1.8402777859591879E-3</v>
      </c>
      <c r="O41" s="11">
        <f t="shared" si="2"/>
        <v>2.7777777795563452E-3</v>
      </c>
      <c r="P41" s="11">
        <f t="shared" si="3"/>
        <v>8.9814814782585017E-3</v>
      </c>
      <c r="Q41" s="11">
        <f t="shared" si="4"/>
        <v>8.6805556202307343E-4</v>
      </c>
      <c r="R41" s="11">
        <f t="shared" si="5"/>
        <v>1.1944444435357582E-2</v>
      </c>
      <c r="S41" s="11">
        <f t="shared" si="6"/>
        <v>2.4571759255195502E-2</v>
      </c>
      <c r="T41" s="11">
        <f t="shared" si="7"/>
        <v>2.641203704115469E-2</v>
      </c>
    </row>
    <row r="42" spans="1:20" x14ac:dyDescent="0.25">
      <c r="A42" s="3" t="s">
        <v>182</v>
      </c>
      <c r="B42" s="9">
        <v>448.64</v>
      </c>
      <c r="C42" s="3" t="s">
        <v>139</v>
      </c>
      <c r="D42" s="10">
        <v>45664.438784722217</v>
      </c>
      <c r="E42" s="10">
        <v>45664.438784722217</v>
      </c>
      <c r="F42" s="10">
        <v>45664.441412037027</v>
      </c>
      <c r="G42" s="10">
        <v>45664.441412037027</v>
      </c>
      <c r="H42" s="10">
        <v>45664.444189814807</v>
      </c>
      <c r="I42" s="10">
        <v>45664.450381944444</v>
      </c>
      <c r="J42" s="10">
        <v>45664.450381944444</v>
      </c>
      <c r="K42" s="10">
        <v>45664.451145833344</v>
      </c>
      <c r="L42" s="10">
        <v>45664.457175925927</v>
      </c>
      <c r="M42" s="11">
        <f t="shared" si="0"/>
        <v>0</v>
      </c>
      <c r="N42" s="11">
        <f t="shared" si="1"/>
        <v>2.6273148105246946E-3</v>
      </c>
      <c r="O42" s="11">
        <f t="shared" si="2"/>
        <v>2.7777777795563452E-3</v>
      </c>
      <c r="P42" s="11">
        <f t="shared" si="3"/>
        <v>6.1921296364744194E-3</v>
      </c>
      <c r="Q42" s="11">
        <f t="shared" si="4"/>
        <v>7.6388890011003241E-4</v>
      </c>
      <c r="R42" s="11">
        <f t="shared" si="5"/>
        <v>6.0300925833871588E-3</v>
      </c>
      <c r="S42" s="11">
        <f t="shared" si="6"/>
        <v>1.5763888899527956E-2</v>
      </c>
      <c r="T42" s="11">
        <f t="shared" si="7"/>
        <v>1.839120371005265E-2</v>
      </c>
    </row>
    <row r="43" spans="1:20" x14ac:dyDescent="0.25">
      <c r="A43" s="3" t="s">
        <v>183</v>
      </c>
      <c r="B43" s="9">
        <v>192.54</v>
      </c>
      <c r="C43" s="3" t="s">
        <v>139</v>
      </c>
      <c r="D43" s="10">
        <v>45664.541354166657</v>
      </c>
      <c r="E43" s="10">
        <v>45664.541354166657</v>
      </c>
      <c r="F43" s="10">
        <v>45664.543391203697</v>
      </c>
      <c r="G43" s="10">
        <v>45664.543391203697</v>
      </c>
      <c r="H43" s="10">
        <v>45664.546168981477</v>
      </c>
      <c r="I43" s="10">
        <v>45664.547581018523</v>
      </c>
      <c r="J43" s="10">
        <v>45664.547581018523</v>
      </c>
      <c r="K43" s="10">
        <v>45664.548449074071</v>
      </c>
      <c r="L43" s="10">
        <v>45664.550879629627</v>
      </c>
      <c r="M43" s="11">
        <f t="shared" si="0"/>
        <v>0</v>
      </c>
      <c r="N43" s="11">
        <f t="shared" si="1"/>
        <v>2.0370370402815752E-3</v>
      </c>
      <c r="O43" s="11">
        <f t="shared" si="2"/>
        <v>2.7777777795563452E-3</v>
      </c>
      <c r="P43" s="11">
        <f t="shared" si="3"/>
        <v>1.4120370469754562E-3</v>
      </c>
      <c r="Q43" s="11">
        <f t="shared" si="4"/>
        <v>8.6805554747115821E-4</v>
      </c>
      <c r="R43" s="11">
        <f t="shared" si="5"/>
        <v>2.4305555562023073E-3</v>
      </c>
      <c r="S43" s="11">
        <f t="shared" si="6"/>
        <v>7.4884259302052669E-3</v>
      </c>
      <c r="T43" s="11">
        <f t="shared" si="7"/>
        <v>9.5254629704868421E-3</v>
      </c>
    </row>
    <row r="44" spans="1:20" x14ac:dyDescent="0.25">
      <c r="A44" s="3" t="s">
        <v>184</v>
      </c>
      <c r="B44" s="9">
        <v>398.04000000000008</v>
      </c>
      <c r="C44" s="3" t="s">
        <v>139</v>
      </c>
      <c r="D44" s="10">
        <v>45664.593055555553</v>
      </c>
      <c r="E44" s="10">
        <v>45664.593055555553</v>
      </c>
      <c r="F44" s="10">
        <v>45664.595567129632</v>
      </c>
      <c r="G44" s="10">
        <v>45664.595567129632</v>
      </c>
      <c r="H44" s="10">
        <v>45664.598344907397</v>
      </c>
      <c r="I44" s="10">
        <v>45664.601805555547</v>
      </c>
      <c r="J44" s="10">
        <v>45664.601805555547</v>
      </c>
      <c r="K44" s="10">
        <v>45664.60255787037</v>
      </c>
      <c r="L44" s="10">
        <v>45664.60460648148</v>
      </c>
      <c r="M44" s="11">
        <f t="shared" si="0"/>
        <v>0</v>
      </c>
      <c r="N44" s="11">
        <f t="shared" si="1"/>
        <v>2.5115740791079588E-3</v>
      </c>
      <c r="O44" s="11">
        <f t="shared" si="2"/>
        <v>2.77777776500443E-3</v>
      </c>
      <c r="P44" s="11">
        <f t="shared" si="3"/>
        <v>3.4606481494847685E-3</v>
      </c>
      <c r="Q44" s="11">
        <f t="shared" si="4"/>
        <v>7.5231482333038002E-4</v>
      </c>
      <c r="R44" s="11">
        <f t="shared" si="5"/>
        <v>2.0486111097852699E-3</v>
      </c>
      <c r="S44" s="11">
        <f t="shared" si="6"/>
        <v>9.0393518476048484E-3</v>
      </c>
      <c r="T44" s="11">
        <f t="shared" si="7"/>
        <v>1.1550925926712807E-2</v>
      </c>
    </row>
    <row r="45" spans="1:20" x14ac:dyDescent="0.25">
      <c r="A45" s="3" t="s">
        <v>185</v>
      </c>
      <c r="B45" s="9">
        <v>321.10000000000002</v>
      </c>
      <c r="C45" s="3" t="s">
        <v>139</v>
      </c>
      <c r="D45" s="10">
        <v>45664.624027777783</v>
      </c>
      <c r="E45" s="10">
        <v>45664.624027777783</v>
      </c>
      <c r="F45" s="10">
        <v>45664.62636574074</v>
      </c>
      <c r="G45" s="10">
        <v>45664.62636574074</v>
      </c>
      <c r="H45" s="10">
        <v>45664.629143518519</v>
      </c>
      <c r="I45" s="10">
        <v>45664.642523148148</v>
      </c>
      <c r="J45" s="10">
        <v>45664.642523148148</v>
      </c>
      <c r="K45" s="10">
        <v>45664.643391203703</v>
      </c>
      <c r="L45" s="10">
        <v>45664.660763888889</v>
      </c>
      <c r="M45" s="11">
        <f t="shared" si="0"/>
        <v>0</v>
      </c>
      <c r="N45" s="11">
        <f t="shared" si="1"/>
        <v>2.3379629565170035E-3</v>
      </c>
      <c r="O45" s="11">
        <f t="shared" si="2"/>
        <v>2.7777777795563452E-3</v>
      </c>
      <c r="P45" s="11">
        <f t="shared" si="3"/>
        <v>1.3379629628616385E-2</v>
      </c>
      <c r="Q45" s="11">
        <f t="shared" si="4"/>
        <v>8.6805555474711582E-4</v>
      </c>
      <c r="R45" s="11">
        <f t="shared" si="5"/>
        <v>1.7372685186273884E-2</v>
      </c>
      <c r="S45" s="11">
        <f t="shared" si="6"/>
        <v>3.439814814919373E-2</v>
      </c>
      <c r="T45" s="11">
        <f t="shared" si="7"/>
        <v>3.6736111105710734E-2</v>
      </c>
    </row>
    <row r="46" spans="1:20" x14ac:dyDescent="0.25">
      <c r="A46" s="3" t="s">
        <v>186</v>
      </c>
      <c r="B46" s="9">
        <v>393.50000000000011</v>
      </c>
      <c r="C46" s="3" t="s">
        <v>142</v>
      </c>
      <c r="D46" s="10">
        <v>45664.639907407407</v>
      </c>
      <c r="E46" s="10">
        <v>45664.639907407407</v>
      </c>
      <c r="F46" s="10">
        <v>45664.641967592594</v>
      </c>
      <c r="G46" s="10">
        <v>45664.641967592594</v>
      </c>
      <c r="H46" s="10">
        <v>45664.644745370373</v>
      </c>
      <c r="I46" s="10">
        <v>45664.647800925923</v>
      </c>
      <c r="J46" s="10">
        <v>45664.647800925923</v>
      </c>
      <c r="K46" s="10">
        <v>45664.661631944437</v>
      </c>
      <c r="L46" s="10">
        <v>45664.66443287037</v>
      </c>
      <c r="M46" s="11">
        <f t="shared" si="0"/>
        <v>0</v>
      </c>
      <c r="N46" s="11">
        <f t="shared" si="1"/>
        <v>2.0601851865649223E-3</v>
      </c>
      <c r="O46" s="11">
        <f t="shared" si="2"/>
        <v>2.7777777795563452E-3</v>
      </c>
      <c r="P46" s="11">
        <f t="shared" si="3"/>
        <v>3.0555555495084263E-3</v>
      </c>
      <c r="Q46" s="11">
        <f t="shared" si="4"/>
        <v>1.3831018513883464E-2</v>
      </c>
      <c r="R46" s="11">
        <f t="shared" si="5"/>
        <v>2.80092593311565E-3</v>
      </c>
      <c r="S46" s="11">
        <f t="shared" si="6"/>
        <v>2.2465277776063886E-2</v>
      </c>
      <c r="T46" s="11">
        <f t="shared" si="7"/>
        <v>2.4525462962628808E-2</v>
      </c>
    </row>
    <row r="47" spans="1:20" x14ac:dyDescent="0.25">
      <c r="A47" s="3" t="s">
        <v>187</v>
      </c>
      <c r="B47" s="9">
        <v>110.3</v>
      </c>
      <c r="C47" s="3" t="s">
        <v>139</v>
      </c>
      <c r="D47" s="10">
        <v>45664.667118055557</v>
      </c>
      <c r="E47" s="10">
        <v>45664.667118055557</v>
      </c>
      <c r="F47" s="10">
        <v>45664.668958333343</v>
      </c>
      <c r="G47" s="10">
        <v>45664.668958333343</v>
      </c>
      <c r="H47" s="10">
        <v>45664.671736111108</v>
      </c>
      <c r="I47" s="10">
        <v>45664.673784722218</v>
      </c>
      <c r="J47" s="10">
        <v>45664.673784722218</v>
      </c>
      <c r="K47" s="10">
        <v>45664.674537037034</v>
      </c>
      <c r="L47" s="10">
        <v>45664.678252314807</v>
      </c>
      <c r="M47" s="11">
        <f t="shared" si="0"/>
        <v>0</v>
      </c>
      <c r="N47" s="11">
        <f t="shared" si="1"/>
        <v>1.8402777859591879E-3</v>
      </c>
      <c r="O47" s="11">
        <f t="shared" si="2"/>
        <v>2.77777776500443E-3</v>
      </c>
      <c r="P47" s="11">
        <f t="shared" si="3"/>
        <v>2.0486111097852699E-3</v>
      </c>
      <c r="Q47" s="11">
        <f t="shared" si="4"/>
        <v>7.5231481605442241E-4</v>
      </c>
      <c r="R47" s="11">
        <f t="shared" si="5"/>
        <v>3.7152777731535025E-3</v>
      </c>
      <c r="S47" s="11">
        <f t="shared" si="6"/>
        <v>9.2939814639976248E-3</v>
      </c>
      <c r="T47" s="11">
        <f t="shared" si="7"/>
        <v>1.1134259249956813E-2</v>
      </c>
    </row>
    <row r="48" spans="1:20" x14ac:dyDescent="0.25">
      <c r="A48" s="3" t="s">
        <v>188</v>
      </c>
      <c r="B48" s="9">
        <v>424.52</v>
      </c>
      <c r="C48" s="3" t="s">
        <v>139</v>
      </c>
      <c r="D48" s="10">
        <v>45664.722557870373</v>
      </c>
      <c r="E48" s="10">
        <v>45664.722557870373</v>
      </c>
      <c r="F48" s="10">
        <v>45664.725127314807</v>
      </c>
      <c r="G48" s="10">
        <v>45664.725127314807</v>
      </c>
      <c r="H48" s="10">
        <v>45664.727905092594</v>
      </c>
      <c r="I48" s="10">
        <v>45664.742222222223</v>
      </c>
      <c r="J48" s="10">
        <v>45664.742222222223</v>
      </c>
      <c r="K48" s="10">
        <v>45664.743090277778</v>
      </c>
      <c r="L48" s="10">
        <v>45664.764780092592</v>
      </c>
      <c r="M48" s="11">
        <f t="shared" si="0"/>
        <v>0</v>
      </c>
      <c r="N48" s="11">
        <f t="shared" si="1"/>
        <v>2.5694444339023903E-3</v>
      </c>
      <c r="O48" s="11">
        <f t="shared" si="2"/>
        <v>2.7777777868323028E-3</v>
      </c>
      <c r="P48" s="11">
        <f t="shared" si="3"/>
        <v>1.43171296294895E-2</v>
      </c>
      <c r="Q48" s="11">
        <f t="shared" si="4"/>
        <v>8.6805555474711582E-4</v>
      </c>
      <c r="R48" s="11">
        <f t="shared" si="5"/>
        <v>2.1689814813726116E-2</v>
      </c>
      <c r="S48" s="11">
        <f t="shared" si="6"/>
        <v>3.9652777784795035E-2</v>
      </c>
      <c r="T48" s="11">
        <f t="shared" si="7"/>
        <v>4.2222222218697425E-2</v>
      </c>
    </row>
    <row r="49" spans="1:20" x14ac:dyDescent="0.25">
      <c r="A49" s="3" t="s">
        <v>189</v>
      </c>
      <c r="B49" s="9">
        <v>211.98</v>
      </c>
      <c r="C49" s="3" t="s">
        <v>142</v>
      </c>
      <c r="D49" s="10">
        <v>45664.752870370372</v>
      </c>
      <c r="E49" s="10">
        <v>45664.752870370372</v>
      </c>
      <c r="F49" s="10">
        <v>45664.754513888889</v>
      </c>
      <c r="G49" s="10">
        <v>45664.754513888889</v>
      </c>
      <c r="H49" s="10">
        <v>45664.757291666669</v>
      </c>
      <c r="I49" s="10">
        <v>45664.758819444447</v>
      </c>
      <c r="J49" s="10">
        <v>45664.758819444447</v>
      </c>
      <c r="K49" s="10">
        <v>45664.765543981477</v>
      </c>
      <c r="L49" s="10">
        <v>45664.767581018517</v>
      </c>
      <c r="M49" s="11">
        <f t="shared" si="0"/>
        <v>0</v>
      </c>
      <c r="N49" s="11">
        <f t="shared" si="1"/>
        <v>1.6435185170848854E-3</v>
      </c>
      <c r="O49" s="11">
        <f t="shared" si="2"/>
        <v>2.7777777795563452E-3</v>
      </c>
      <c r="P49" s="11">
        <f t="shared" si="3"/>
        <v>1.527777778392192E-3</v>
      </c>
      <c r="Q49" s="11">
        <f t="shared" si="4"/>
        <v>6.7245370300952345E-3</v>
      </c>
      <c r="R49" s="11">
        <f t="shared" si="5"/>
        <v>2.0370370402815752E-3</v>
      </c>
      <c r="S49" s="11">
        <f t="shared" si="6"/>
        <v>1.3067129628325347E-2</v>
      </c>
      <c r="T49" s="11">
        <f t="shared" si="7"/>
        <v>1.4710648145410232E-2</v>
      </c>
    </row>
    <row r="50" spans="1:20" x14ac:dyDescent="0.25">
      <c r="A50" s="3" t="s">
        <v>190</v>
      </c>
      <c r="B50" s="9">
        <v>389.06000000000012</v>
      </c>
      <c r="C50" s="3" t="s">
        <v>139</v>
      </c>
      <c r="D50" s="10">
        <v>45664.875254629631</v>
      </c>
      <c r="E50" s="10">
        <v>45664.875254629631</v>
      </c>
      <c r="F50" s="10">
        <v>45664.877743055556</v>
      </c>
      <c r="G50" s="10">
        <v>45664.877743055556</v>
      </c>
      <c r="H50" s="10">
        <v>45664.880520833343</v>
      </c>
      <c r="I50" s="10">
        <v>45664.883645833332</v>
      </c>
      <c r="J50" s="10">
        <v>45664.883645833332</v>
      </c>
      <c r="K50" s="10">
        <v>45664.884432870371</v>
      </c>
      <c r="L50" s="10">
        <v>45664.886574074073</v>
      </c>
      <c r="M50" s="11">
        <f t="shared" si="0"/>
        <v>0</v>
      </c>
      <c r="N50" s="11">
        <f t="shared" si="1"/>
        <v>2.488425925548654E-3</v>
      </c>
      <c r="O50" s="11">
        <f t="shared" si="2"/>
        <v>2.7777777868323028E-3</v>
      </c>
      <c r="P50" s="11">
        <f t="shared" si="3"/>
        <v>3.1249999883584678E-3</v>
      </c>
      <c r="Q50" s="11">
        <f t="shared" si="4"/>
        <v>7.8703703911742195E-4</v>
      </c>
      <c r="R50" s="11">
        <f t="shared" si="5"/>
        <v>2.1412037021946162E-3</v>
      </c>
      <c r="S50" s="11">
        <f t="shared" si="6"/>
        <v>8.8310185165028088E-3</v>
      </c>
      <c r="T50" s="11">
        <f t="shared" si="7"/>
        <v>1.1319444442051463E-2</v>
      </c>
    </row>
    <row r="51" spans="1:20" x14ac:dyDescent="0.25">
      <c r="A51" s="3" t="s">
        <v>191</v>
      </c>
      <c r="B51" s="9">
        <v>325.22000000000003</v>
      </c>
      <c r="C51" s="3" t="s">
        <v>139</v>
      </c>
      <c r="D51" s="10">
        <v>45665.113541666673</v>
      </c>
      <c r="E51" s="10">
        <v>45665.113541666673</v>
      </c>
      <c r="F51" s="10">
        <v>45665.115879629629</v>
      </c>
      <c r="G51" s="10">
        <v>45665.115879629629</v>
      </c>
      <c r="H51" s="10">
        <v>45665.118657407409</v>
      </c>
      <c r="I51" s="10">
        <v>45665.126145833332</v>
      </c>
      <c r="J51" s="10">
        <v>45665.126145833332</v>
      </c>
      <c r="K51" s="10">
        <v>45665.127013888887</v>
      </c>
      <c r="L51" s="10">
        <v>45665.137812499997</v>
      </c>
      <c r="M51" s="11">
        <f t="shared" si="0"/>
        <v>0</v>
      </c>
      <c r="N51" s="11">
        <f t="shared" si="1"/>
        <v>2.3379629565170035E-3</v>
      </c>
      <c r="O51" s="11">
        <f t="shared" si="2"/>
        <v>2.7777777795563452E-3</v>
      </c>
      <c r="P51" s="11">
        <f t="shared" si="3"/>
        <v>7.4884259229293093E-3</v>
      </c>
      <c r="Q51" s="11">
        <f t="shared" si="4"/>
        <v>8.6805555474711582E-4</v>
      </c>
      <c r="R51" s="11">
        <f t="shared" si="5"/>
        <v>1.0798611110658385E-2</v>
      </c>
      <c r="S51" s="11">
        <f t="shared" si="6"/>
        <v>2.1932870367891155E-2</v>
      </c>
      <c r="T51" s="11">
        <f t="shared" si="7"/>
        <v>2.4270833324408159E-2</v>
      </c>
    </row>
    <row r="52" spans="1:20" x14ac:dyDescent="0.25">
      <c r="A52" s="3" t="s">
        <v>192</v>
      </c>
      <c r="B52" s="9">
        <v>514.29999999999995</v>
      </c>
      <c r="C52" s="3" t="s">
        <v>139</v>
      </c>
      <c r="D52" s="10">
        <v>45665.156782407408</v>
      </c>
      <c r="E52" s="10">
        <v>45665.156782407408</v>
      </c>
      <c r="F52" s="10">
        <v>45665.159560185188</v>
      </c>
      <c r="G52" s="10">
        <v>45665.159560185188</v>
      </c>
      <c r="H52" s="10">
        <v>45665.16233796296</v>
      </c>
      <c r="I52" s="10">
        <v>45665.166666666657</v>
      </c>
      <c r="J52" s="10">
        <v>45665.166666666657</v>
      </c>
      <c r="K52" s="10">
        <v>45665.167430555557</v>
      </c>
      <c r="L52" s="10">
        <v>45665.169965277782</v>
      </c>
      <c r="M52" s="11">
        <f t="shared" si="0"/>
        <v>0</v>
      </c>
      <c r="N52" s="11">
        <f t="shared" si="1"/>
        <v>2.7777777795563452E-3</v>
      </c>
      <c r="O52" s="11">
        <f t="shared" si="2"/>
        <v>2.7777777722803876E-3</v>
      </c>
      <c r="P52" s="11">
        <f t="shared" si="3"/>
        <v>4.3287036969559267E-3</v>
      </c>
      <c r="Q52" s="11">
        <f t="shared" si="4"/>
        <v>7.6388890011003241E-4</v>
      </c>
      <c r="R52" s="11">
        <f t="shared" si="5"/>
        <v>2.534722225391306E-3</v>
      </c>
      <c r="S52" s="11">
        <f t="shared" si="6"/>
        <v>1.0405092594737653E-2</v>
      </c>
      <c r="T52" s="11">
        <f t="shared" si="7"/>
        <v>1.3182870374293998E-2</v>
      </c>
    </row>
    <row r="53" spans="1:20" x14ac:dyDescent="0.25">
      <c r="A53" s="3" t="s">
        <v>193</v>
      </c>
      <c r="B53" s="9">
        <v>297</v>
      </c>
      <c r="C53" s="3" t="s">
        <v>139</v>
      </c>
      <c r="D53" s="10">
        <v>45665.250856481478</v>
      </c>
      <c r="E53" s="10">
        <v>45665.250856481478</v>
      </c>
      <c r="F53" s="10">
        <v>45665.253136574072</v>
      </c>
      <c r="G53" s="10">
        <v>45665.253136574072</v>
      </c>
      <c r="H53" s="10">
        <v>45665.255914351852</v>
      </c>
      <c r="I53" s="10">
        <v>45665.258055555547</v>
      </c>
      <c r="J53" s="10">
        <v>45665.258055555547</v>
      </c>
      <c r="K53" s="10">
        <v>45665.258923611109</v>
      </c>
      <c r="L53" s="10">
        <v>45665.260844907411</v>
      </c>
      <c r="M53" s="11">
        <f t="shared" si="0"/>
        <v>0</v>
      </c>
      <c r="N53" s="11">
        <f t="shared" si="1"/>
        <v>2.2800925944466144E-3</v>
      </c>
      <c r="O53" s="11">
        <f t="shared" si="2"/>
        <v>2.7777777795563452E-3</v>
      </c>
      <c r="P53" s="11">
        <f t="shared" si="3"/>
        <v>2.1412036949186586E-3</v>
      </c>
      <c r="Q53" s="11">
        <f t="shared" si="4"/>
        <v>8.6805556202307343E-4</v>
      </c>
      <c r="R53" s="11">
        <f t="shared" si="5"/>
        <v>1.9212963015888818E-3</v>
      </c>
      <c r="S53" s="11">
        <f t="shared" si="6"/>
        <v>7.708333338086959E-3</v>
      </c>
      <c r="T53" s="11">
        <f t="shared" si="7"/>
        <v>9.9884259325335734E-3</v>
      </c>
    </row>
    <row r="54" spans="1:20" x14ac:dyDescent="0.25">
      <c r="A54" s="3" t="s">
        <v>194</v>
      </c>
      <c r="B54" s="9">
        <v>572.02</v>
      </c>
      <c r="C54" s="3" t="s">
        <v>142</v>
      </c>
      <c r="D54" s="10">
        <v>45665.303020833337</v>
      </c>
      <c r="E54" s="10">
        <v>45665.303020833337</v>
      </c>
      <c r="F54" s="10">
        <v>45665.305497685193</v>
      </c>
      <c r="G54" s="10">
        <v>45665.305497685193</v>
      </c>
      <c r="H54" s="10">
        <v>45665.308275462958</v>
      </c>
      <c r="I54" s="10">
        <v>45665.328634259262</v>
      </c>
      <c r="J54" s="10">
        <v>45665.328634259262</v>
      </c>
      <c r="K54" s="10">
        <v>45665.329502314817</v>
      </c>
      <c r="L54" s="10">
        <v>45665.355462962973</v>
      </c>
      <c r="M54" s="11">
        <f t="shared" si="0"/>
        <v>0</v>
      </c>
      <c r="N54" s="11">
        <f t="shared" si="1"/>
        <v>2.4768518560449593E-3</v>
      </c>
      <c r="O54" s="11">
        <f t="shared" si="2"/>
        <v>2.77777776500443E-3</v>
      </c>
      <c r="P54" s="11">
        <f t="shared" si="3"/>
        <v>2.0358796304208227E-2</v>
      </c>
      <c r="Q54" s="11">
        <f t="shared" si="4"/>
        <v>8.6805555474711582E-4</v>
      </c>
      <c r="R54" s="11">
        <f t="shared" si="5"/>
        <v>2.5960648155887611E-2</v>
      </c>
      <c r="S54" s="11">
        <f t="shared" si="6"/>
        <v>4.9965277779847383E-2</v>
      </c>
      <c r="T54" s="11">
        <f t="shared" si="7"/>
        <v>5.2442129635892343E-2</v>
      </c>
    </row>
    <row r="55" spans="1:20" x14ac:dyDescent="0.25">
      <c r="A55" s="3" t="s">
        <v>195</v>
      </c>
      <c r="B55" s="9">
        <v>156.74</v>
      </c>
      <c r="C55" s="3" t="s">
        <v>139</v>
      </c>
      <c r="D55" s="10">
        <v>45665.30568287037</v>
      </c>
      <c r="E55" s="10">
        <v>45665.30568287037</v>
      </c>
      <c r="F55" s="10">
        <v>45665.307638888888</v>
      </c>
      <c r="G55" s="10">
        <v>45665.307638888888</v>
      </c>
      <c r="H55" s="10">
        <v>45665.310416666667</v>
      </c>
      <c r="I55" s="10">
        <v>45665.311539351853</v>
      </c>
      <c r="J55" s="10">
        <v>45665.311539351853</v>
      </c>
      <c r="K55" s="10">
        <v>45665.312407407408</v>
      </c>
      <c r="L55" s="10">
        <v>45665.314131944448</v>
      </c>
      <c r="M55" s="11">
        <f t="shared" si="0"/>
        <v>0</v>
      </c>
      <c r="N55" s="11">
        <f t="shared" si="1"/>
        <v>1.9560185173759237E-3</v>
      </c>
      <c r="O55" s="11">
        <f t="shared" si="2"/>
        <v>2.7777777795563452E-3</v>
      </c>
      <c r="P55" s="11">
        <f t="shared" si="3"/>
        <v>1.1226851856918074E-3</v>
      </c>
      <c r="Q55" s="11">
        <f t="shared" si="4"/>
        <v>8.6805555474711582E-4</v>
      </c>
      <c r="R55" s="11">
        <f t="shared" si="5"/>
        <v>1.7245370399905369E-3</v>
      </c>
      <c r="S55" s="11">
        <f t="shared" si="6"/>
        <v>6.4930555599858053E-3</v>
      </c>
      <c r="T55" s="11">
        <f t="shared" si="7"/>
        <v>8.449074077361729E-3</v>
      </c>
    </row>
    <row r="56" spans="1:20" x14ac:dyDescent="0.25">
      <c r="A56" s="3" t="s">
        <v>196</v>
      </c>
      <c r="B56" s="9">
        <v>389.80000000000013</v>
      </c>
      <c r="C56" s="3" t="s">
        <v>139</v>
      </c>
      <c r="D56" s="10">
        <v>45665.334351851852</v>
      </c>
      <c r="E56" s="10">
        <v>45665.334351851852</v>
      </c>
      <c r="F56" s="10">
        <v>45665.336840277778</v>
      </c>
      <c r="G56" s="10">
        <v>45665.336840277778</v>
      </c>
      <c r="H56" s="10">
        <v>45665.339618055557</v>
      </c>
      <c r="I56" s="10">
        <v>45665.342893518522</v>
      </c>
      <c r="J56" s="10">
        <v>45665.342893518522</v>
      </c>
      <c r="K56" s="10">
        <v>45665.35633101852</v>
      </c>
      <c r="L56" s="10">
        <v>45665.358483796299</v>
      </c>
      <c r="M56" s="11">
        <f t="shared" si="0"/>
        <v>0</v>
      </c>
      <c r="N56" s="11">
        <f t="shared" si="1"/>
        <v>2.488425925548654E-3</v>
      </c>
      <c r="O56" s="11">
        <f t="shared" si="2"/>
        <v>2.7777777795563452E-3</v>
      </c>
      <c r="P56" s="11">
        <f t="shared" si="3"/>
        <v>3.275462964666076E-3</v>
      </c>
      <c r="Q56" s="11">
        <f t="shared" si="4"/>
        <v>1.3437499997962732E-2</v>
      </c>
      <c r="R56" s="11">
        <f t="shared" si="5"/>
        <v>2.1527777789742686E-3</v>
      </c>
      <c r="S56" s="11">
        <f t="shared" si="6"/>
        <v>2.1643518521159422E-2</v>
      </c>
      <c r="T56" s="11">
        <f t="shared" si="7"/>
        <v>2.4131944446708076E-2</v>
      </c>
    </row>
    <row r="57" spans="1:20" x14ac:dyDescent="0.25">
      <c r="A57" s="3" t="s">
        <v>197</v>
      </c>
      <c r="B57" s="9">
        <v>235.2</v>
      </c>
      <c r="C57" s="3" t="s">
        <v>139</v>
      </c>
      <c r="D57" s="10">
        <v>45665.374155092592</v>
      </c>
      <c r="E57" s="10">
        <v>45665.374155092592</v>
      </c>
      <c r="F57" s="10">
        <v>45665.376284722217</v>
      </c>
      <c r="G57" s="10">
        <v>45665.376284722217</v>
      </c>
      <c r="H57" s="10">
        <v>45665.379062499997</v>
      </c>
      <c r="I57" s="10">
        <v>45665.382256944453</v>
      </c>
      <c r="J57" s="10">
        <v>45665.382256944453</v>
      </c>
      <c r="K57" s="10">
        <v>45665.383125</v>
      </c>
      <c r="L57" s="10">
        <v>45665.386712962973</v>
      </c>
      <c r="M57" s="11">
        <f t="shared" si="0"/>
        <v>0</v>
      </c>
      <c r="N57" s="11">
        <f t="shared" si="1"/>
        <v>2.1296296254149638E-3</v>
      </c>
      <c r="O57" s="11">
        <f t="shared" si="2"/>
        <v>2.7777777795563452E-3</v>
      </c>
      <c r="P57" s="11">
        <f t="shared" si="3"/>
        <v>3.1944444563123398E-3</v>
      </c>
      <c r="Q57" s="11">
        <f t="shared" si="4"/>
        <v>8.6805554747115821E-4</v>
      </c>
      <c r="R57" s="11">
        <f t="shared" si="5"/>
        <v>3.5879629722330719E-3</v>
      </c>
      <c r="S57" s="11">
        <f t="shared" si="6"/>
        <v>1.0428240755572915E-2</v>
      </c>
      <c r="T57" s="11">
        <f t="shared" si="7"/>
        <v>1.2557870380987879E-2</v>
      </c>
    </row>
    <row r="58" spans="1:20" x14ac:dyDescent="0.25">
      <c r="A58" s="3" t="s">
        <v>198</v>
      </c>
      <c r="B58" s="9">
        <v>443.16000000000008</v>
      </c>
      <c r="C58" s="3" t="s">
        <v>139</v>
      </c>
      <c r="D58" s="10">
        <v>45665.426006944443</v>
      </c>
      <c r="E58" s="10">
        <v>45665.426006944443</v>
      </c>
      <c r="F58" s="10">
        <v>45665.428622685176</v>
      </c>
      <c r="G58" s="10">
        <v>45665.428622685176</v>
      </c>
      <c r="H58" s="10">
        <v>45665.431400462963</v>
      </c>
      <c r="I58" s="10">
        <v>45665.436990740738</v>
      </c>
      <c r="J58" s="10">
        <v>45665.436990740738</v>
      </c>
      <c r="K58" s="10">
        <v>45665.437858796293</v>
      </c>
      <c r="L58" s="10">
        <v>45665.443124999998</v>
      </c>
      <c r="M58" s="11">
        <f t="shared" si="0"/>
        <v>0</v>
      </c>
      <c r="N58" s="11">
        <f t="shared" si="1"/>
        <v>2.6157407337450422E-3</v>
      </c>
      <c r="O58" s="11">
        <f t="shared" si="2"/>
        <v>2.7777777868323028E-3</v>
      </c>
      <c r="P58" s="11">
        <f t="shared" si="3"/>
        <v>5.5902777748997323E-3</v>
      </c>
      <c r="Q58" s="11">
        <f t="shared" si="4"/>
        <v>8.6805555474711582E-4</v>
      </c>
      <c r="R58" s="11">
        <f t="shared" si="5"/>
        <v>5.2662037051049992E-3</v>
      </c>
      <c r="S58" s="11">
        <f t="shared" si="6"/>
        <v>1.450231482158415E-2</v>
      </c>
      <c r="T58" s="11">
        <f t="shared" si="7"/>
        <v>1.7118055555329192E-2</v>
      </c>
    </row>
    <row r="59" spans="1:20" x14ac:dyDescent="0.25">
      <c r="A59" s="3" t="s">
        <v>199</v>
      </c>
      <c r="B59" s="9">
        <v>296.8</v>
      </c>
      <c r="C59" s="3" t="s">
        <v>139</v>
      </c>
      <c r="D59" s="10">
        <v>45665.532187500001</v>
      </c>
      <c r="E59" s="10">
        <v>45665.532187500001</v>
      </c>
      <c r="F59" s="10">
        <v>45665.534467592603</v>
      </c>
      <c r="G59" s="10">
        <v>45665.534467592603</v>
      </c>
      <c r="H59" s="10">
        <v>45665.537245370368</v>
      </c>
      <c r="I59" s="10">
        <v>45665.539814814823</v>
      </c>
      <c r="J59" s="10">
        <v>45665.539814814823</v>
      </c>
      <c r="K59" s="10">
        <v>45665.540682870371</v>
      </c>
      <c r="L59" s="10">
        <v>45665.542500000003</v>
      </c>
      <c r="M59" s="11">
        <f t="shared" si="0"/>
        <v>0</v>
      </c>
      <c r="N59" s="11">
        <f t="shared" si="1"/>
        <v>2.280092601722572E-3</v>
      </c>
      <c r="O59" s="11">
        <f t="shared" si="2"/>
        <v>2.77777776500443E-3</v>
      </c>
      <c r="P59" s="11">
        <f t="shared" si="3"/>
        <v>2.5694444557302631E-3</v>
      </c>
      <c r="Q59" s="11">
        <f t="shared" si="4"/>
        <v>8.6805554747115821E-4</v>
      </c>
      <c r="R59" s="11">
        <f t="shared" si="5"/>
        <v>1.8171296323998831E-3</v>
      </c>
      <c r="S59" s="11">
        <f t="shared" si="6"/>
        <v>8.0324074006057344E-3</v>
      </c>
      <c r="T59" s="11">
        <f t="shared" si="7"/>
        <v>1.0312500002328306E-2</v>
      </c>
    </row>
    <row r="60" spans="1:20" x14ac:dyDescent="0.25">
      <c r="A60" s="3" t="s">
        <v>200</v>
      </c>
      <c r="B60" s="9">
        <v>365.82000000000011</v>
      </c>
      <c r="C60" s="3" t="s">
        <v>139</v>
      </c>
      <c r="D60" s="10">
        <v>45665.601689814823</v>
      </c>
      <c r="E60" s="10">
        <v>45665.601689814823</v>
      </c>
      <c r="F60" s="10">
        <v>45665.604131944441</v>
      </c>
      <c r="G60" s="10">
        <v>45665.604131944441</v>
      </c>
      <c r="H60" s="10">
        <v>45665.606909722221</v>
      </c>
      <c r="I60" s="10">
        <v>45665.609803240739</v>
      </c>
      <c r="J60" s="10">
        <v>45665.609803240739</v>
      </c>
      <c r="K60" s="10">
        <v>45665.610671296286</v>
      </c>
      <c r="L60" s="10">
        <v>45665.612638888888</v>
      </c>
      <c r="M60" s="11">
        <f t="shared" si="0"/>
        <v>0</v>
      </c>
      <c r="N60" s="11">
        <f t="shared" si="1"/>
        <v>2.4421296184300445E-3</v>
      </c>
      <c r="O60" s="11">
        <f t="shared" si="2"/>
        <v>2.7777777795563452E-3</v>
      </c>
      <c r="P60" s="11">
        <f t="shared" si="3"/>
        <v>2.8935185182490386E-3</v>
      </c>
      <c r="Q60" s="11">
        <f t="shared" si="4"/>
        <v>8.6805554747115821E-4</v>
      </c>
      <c r="R60" s="11">
        <f t="shared" si="5"/>
        <v>1.9675926014315337E-3</v>
      </c>
      <c r="S60" s="11">
        <f t="shared" si="6"/>
        <v>8.5069444467080757E-3</v>
      </c>
      <c r="T60" s="11">
        <f t="shared" si="7"/>
        <v>1.094907406513812E-2</v>
      </c>
    </row>
    <row r="61" spans="1:20" x14ac:dyDescent="0.25">
      <c r="A61" s="3" t="s">
        <v>201</v>
      </c>
      <c r="B61" s="9">
        <v>316.62</v>
      </c>
      <c r="C61" s="3" t="s">
        <v>139</v>
      </c>
      <c r="D61" s="10">
        <v>45665.620625000003</v>
      </c>
      <c r="E61" s="10">
        <v>45665.620625000003</v>
      </c>
      <c r="F61" s="10">
        <v>45665.62295138889</v>
      </c>
      <c r="G61" s="10">
        <v>45665.62295138889</v>
      </c>
      <c r="H61" s="10">
        <v>45665.62572916667</v>
      </c>
      <c r="I61" s="10">
        <v>45665.639930555553</v>
      </c>
      <c r="J61" s="10">
        <v>45665.639930555553</v>
      </c>
      <c r="K61" s="10">
        <v>45665.640694444453</v>
      </c>
      <c r="L61" s="10">
        <v>45665.658576388887</v>
      </c>
      <c r="M61" s="11">
        <f t="shared" si="0"/>
        <v>0</v>
      </c>
      <c r="N61" s="11">
        <f t="shared" si="1"/>
        <v>2.3263888870133087E-3</v>
      </c>
      <c r="O61" s="11">
        <f t="shared" si="2"/>
        <v>2.7777777795563452E-3</v>
      </c>
      <c r="P61" s="11">
        <f t="shared" si="3"/>
        <v>1.4201388883520849E-2</v>
      </c>
      <c r="Q61" s="11">
        <f t="shared" si="4"/>
        <v>7.6388890011003241E-4</v>
      </c>
      <c r="R61" s="11">
        <f t="shared" si="5"/>
        <v>1.7881944433611352E-2</v>
      </c>
      <c r="S61" s="11">
        <f t="shared" si="6"/>
        <v>3.5624999996798579E-2</v>
      </c>
      <c r="T61" s="11">
        <f t="shared" si="7"/>
        <v>3.7951388883811887E-2</v>
      </c>
    </row>
    <row r="62" spans="1:20" x14ac:dyDescent="0.25">
      <c r="A62" s="3" t="s">
        <v>202</v>
      </c>
      <c r="B62" s="9">
        <v>362.0200000000001</v>
      </c>
      <c r="C62" s="3" t="s">
        <v>142</v>
      </c>
      <c r="D62" s="10">
        <v>45665.633101851847</v>
      </c>
      <c r="E62" s="10">
        <v>45665.633101851847</v>
      </c>
      <c r="F62" s="10">
        <v>45665.635092592587</v>
      </c>
      <c r="G62" s="10">
        <v>45665.635092592587</v>
      </c>
      <c r="H62" s="10">
        <v>45665.637870370367</v>
      </c>
      <c r="I62" s="10">
        <v>45665.640740740739</v>
      </c>
      <c r="J62" s="10">
        <v>45665.640740740739</v>
      </c>
      <c r="K62" s="10">
        <v>45665.659444444442</v>
      </c>
      <c r="L62" s="10">
        <v>45665.661504629628</v>
      </c>
      <c r="M62" s="11">
        <f t="shared" si="0"/>
        <v>0</v>
      </c>
      <c r="N62" s="11">
        <f t="shared" si="1"/>
        <v>1.9907407404389232E-3</v>
      </c>
      <c r="O62" s="11">
        <f t="shared" si="2"/>
        <v>2.7777777795563452E-3</v>
      </c>
      <c r="P62" s="11">
        <f t="shared" si="3"/>
        <v>2.8703703719656914E-3</v>
      </c>
      <c r="Q62" s="11">
        <f t="shared" si="4"/>
        <v>1.8703703703067731E-2</v>
      </c>
      <c r="R62" s="11">
        <f t="shared" si="5"/>
        <v>2.0601851865649223E-3</v>
      </c>
      <c r="S62" s="11">
        <f t="shared" si="6"/>
        <v>2.641203704115469E-2</v>
      </c>
      <c r="T62" s="11">
        <f t="shared" si="7"/>
        <v>2.8402777781593613E-2</v>
      </c>
    </row>
    <row r="63" spans="1:20" x14ac:dyDescent="0.25">
      <c r="A63" s="3" t="s">
        <v>203</v>
      </c>
      <c r="B63" s="9">
        <v>209.16</v>
      </c>
      <c r="C63" s="3" t="s">
        <v>139</v>
      </c>
      <c r="D63" s="10">
        <v>45665.723113425927</v>
      </c>
      <c r="E63" s="10">
        <v>45665.723113425927</v>
      </c>
      <c r="F63" s="10">
        <v>45665.725185185183</v>
      </c>
      <c r="G63" s="10">
        <v>45665.725185185183</v>
      </c>
      <c r="H63" s="10">
        <v>45665.727962962963</v>
      </c>
      <c r="I63" s="10">
        <v>45665.729618055557</v>
      </c>
      <c r="J63" s="10">
        <v>45665.729618055557</v>
      </c>
      <c r="K63" s="10">
        <v>45665.730381944442</v>
      </c>
      <c r="L63" s="10">
        <v>45665.731990740736</v>
      </c>
      <c r="M63" s="11">
        <f t="shared" si="0"/>
        <v>0</v>
      </c>
      <c r="N63" s="11">
        <f t="shared" si="1"/>
        <v>2.0717592560686171E-3</v>
      </c>
      <c r="O63" s="11">
        <f t="shared" si="2"/>
        <v>2.7777777795563452E-3</v>
      </c>
      <c r="P63" s="11">
        <f t="shared" si="3"/>
        <v>1.6550925938645378E-3</v>
      </c>
      <c r="Q63" s="11">
        <f t="shared" si="4"/>
        <v>7.6388888555811718E-4</v>
      </c>
      <c r="R63" s="11">
        <f t="shared" si="5"/>
        <v>1.6087962940218858E-3</v>
      </c>
      <c r="S63" s="11">
        <f t="shared" si="6"/>
        <v>6.805555553000886E-3</v>
      </c>
      <c r="T63" s="11">
        <f t="shared" si="7"/>
        <v>8.8773148090695031E-3</v>
      </c>
    </row>
    <row r="64" spans="1:20" x14ac:dyDescent="0.25">
      <c r="A64" s="3" t="s">
        <v>204</v>
      </c>
      <c r="B64" s="9">
        <v>15.74</v>
      </c>
      <c r="C64" s="3" t="s">
        <v>164</v>
      </c>
      <c r="D64" s="10">
        <v>45665.749872685177</v>
      </c>
      <c r="E64" s="10">
        <v>45665.749872685177</v>
      </c>
      <c r="F64" s="10">
        <v>45665.751122685193</v>
      </c>
      <c r="G64" s="10">
        <v>45665.751122685193</v>
      </c>
      <c r="H64" s="10">
        <v>45665.753900462973</v>
      </c>
      <c r="I64" s="10">
        <v>45665.754016203697</v>
      </c>
      <c r="J64" s="10">
        <v>45665.754016203697</v>
      </c>
      <c r="K64" s="10">
        <v>45665.754884259259</v>
      </c>
      <c r="L64" s="10">
        <v>45665.756527777783</v>
      </c>
      <c r="M64" s="11">
        <f t="shared" si="0"/>
        <v>0</v>
      </c>
      <c r="N64" s="11">
        <f t="shared" si="1"/>
        <v>1.2500000157160684E-3</v>
      </c>
      <c r="O64" s="11">
        <f t="shared" si="2"/>
        <v>2.7777777795563452E-3</v>
      </c>
      <c r="P64" s="11">
        <f t="shared" si="3"/>
        <v>1.1574072414077818E-4</v>
      </c>
      <c r="Q64" s="11">
        <f t="shared" si="4"/>
        <v>8.6805556202307343E-4</v>
      </c>
      <c r="R64" s="11">
        <f t="shared" si="5"/>
        <v>1.643518524360843E-3</v>
      </c>
      <c r="S64" s="11">
        <f t="shared" si="6"/>
        <v>5.4050925900810398E-3</v>
      </c>
      <c r="T64" s="11">
        <f t="shared" si="7"/>
        <v>6.6550926057971083E-3</v>
      </c>
    </row>
    <row r="65" spans="1:20" x14ac:dyDescent="0.25">
      <c r="A65" s="3" t="s">
        <v>205</v>
      </c>
      <c r="B65" s="9">
        <v>244.1</v>
      </c>
      <c r="C65" s="3" t="s">
        <v>139</v>
      </c>
      <c r="D65" s="10">
        <v>45665.819722222222</v>
      </c>
      <c r="E65" s="10">
        <v>45665.819722222222</v>
      </c>
      <c r="F65" s="10">
        <v>45665.821875000001</v>
      </c>
      <c r="G65" s="10">
        <v>45665.821875000001</v>
      </c>
      <c r="H65" s="10">
        <v>45665.824652777781</v>
      </c>
      <c r="I65" s="10">
        <v>45665.834918981483</v>
      </c>
      <c r="J65" s="10">
        <v>45665.834918981483</v>
      </c>
      <c r="K65" s="10">
        <v>45665.835682870369</v>
      </c>
      <c r="L65" s="10">
        <v>45665.850405092591</v>
      </c>
      <c r="M65" s="11">
        <f t="shared" si="0"/>
        <v>0</v>
      </c>
      <c r="N65" s="11">
        <f t="shared" si="1"/>
        <v>2.1527777789742686E-3</v>
      </c>
      <c r="O65" s="11">
        <f t="shared" si="2"/>
        <v>2.7777777795563452E-3</v>
      </c>
      <c r="P65" s="11">
        <f t="shared" si="3"/>
        <v>1.0266203702485655E-2</v>
      </c>
      <c r="Q65" s="11">
        <f t="shared" si="4"/>
        <v>7.6388888555811718E-4</v>
      </c>
      <c r="R65" s="11">
        <f t="shared" si="5"/>
        <v>1.4722222222189885E-2</v>
      </c>
      <c r="S65" s="11">
        <f t="shared" si="6"/>
        <v>2.8530092589790002E-2</v>
      </c>
      <c r="T65" s="11">
        <f t="shared" si="7"/>
        <v>3.068287036876427E-2</v>
      </c>
    </row>
    <row r="66" spans="1:20" x14ac:dyDescent="0.25">
      <c r="A66" s="3" t="s">
        <v>206</v>
      </c>
      <c r="B66" s="9">
        <v>99.5</v>
      </c>
      <c r="C66" s="3" t="s">
        <v>142</v>
      </c>
      <c r="D66" s="10">
        <v>45665.836099537039</v>
      </c>
      <c r="E66" s="10">
        <v>45665.836099537039</v>
      </c>
      <c r="F66" s="10">
        <v>45665.837488425917</v>
      </c>
      <c r="G66" s="10">
        <v>45665.837488425917</v>
      </c>
      <c r="H66" s="10">
        <v>45665.840266203697</v>
      </c>
      <c r="I66" s="10">
        <v>45665.841053240743</v>
      </c>
      <c r="J66" s="10">
        <v>45665.841053240743</v>
      </c>
      <c r="K66" s="10">
        <v>45665.851273148153</v>
      </c>
      <c r="L66" s="10">
        <v>45665.852719907409</v>
      </c>
      <c r="M66" s="11">
        <f t="shared" ref="M66:M129" si="8">IF(AND(ISNUMBER(D66),ISNUMBER(E66)),(E66-D66),"")</f>
        <v>0</v>
      </c>
      <c r="N66" s="11">
        <f t="shared" ref="N66:N129" si="9">IF(AND(ISNUMBER(E66),ISNUMBER(F66)),(F66-E66),"")</f>
        <v>1.3888888788642362E-3</v>
      </c>
      <c r="O66" s="11">
        <f t="shared" ref="O66:O129" si="10">IF(AND(ISNUMBER(G66),ISNUMBER(H66)),(H66-G66),"")</f>
        <v>2.7777777795563452E-3</v>
      </c>
      <c r="P66" s="11">
        <f t="shared" ref="P66:P129" si="11">IF(AND(ISNUMBER(H66),ISNUMBER(I66)),(I66-H66),"")</f>
        <v>7.8703704639337957E-4</v>
      </c>
      <c r="Q66" s="11">
        <f t="shared" ref="Q66:Q129" si="12">IF(AND(ISNUMBER(J66),ISNUMBER(K66)),(K66-J66),"")</f>
        <v>1.021990740991896E-2</v>
      </c>
      <c r="R66" s="11">
        <f t="shared" ref="R66:R129" si="13">IF(AND(ISNUMBER(K66),ISNUMBER(L66)),(L66-K66),"")</f>
        <v>1.4467592554865405E-3</v>
      </c>
      <c r="S66" s="11">
        <f t="shared" ref="S66:S129" si="14">IF(AND(ISNUMBER(F66),ISNUMBER(L66)),(L66-F66),"")</f>
        <v>1.5231481491355225E-2</v>
      </c>
      <c r="T66" s="11">
        <f t="shared" ref="T66:T129" si="15">IF(AND(ISNUMBER(D66),ISNUMBER(L66)),(L66-D66),"")</f>
        <v>1.6620370370219462E-2</v>
      </c>
    </row>
    <row r="67" spans="1:20" x14ac:dyDescent="0.25">
      <c r="A67" s="3" t="s">
        <v>207</v>
      </c>
      <c r="B67" s="9">
        <v>164.48</v>
      </c>
      <c r="C67" s="3" t="s">
        <v>139</v>
      </c>
      <c r="D67" s="10">
        <v>45666.115694444437</v>
      </c>
      <c r="E67" s="10">
        <v>45666.115694444437</v>
      </c>
      <c r="F67" s="10">
        <v>45666.117662037039</v>
      </c>
      <c r="G67" s="10">
        <v>45666.117662037039</v>
      </c>
      <c r="H67" s="10">
        <v>45666.120439814818</v>
      </c>
      <c r="I67" s="10">
        <v>45666.123703703714</v>
      </c>
      <c r="J67" s="10">
        <v>45666.123703703714</v>
      </c>
      <c r="K67" s="10">
        <v>45666.124571759261</v>
      </c>
      <c r="L67" s="10">
        <v>45666.129907407398</v>
      </c>
      <c r="M67" s="11">
        <f t="shared" si="8"/>
        <v>0</v>
      </c>
      <c r="N67" s="11">
        <f t="shared" si="9"/>
        <v>1.9675926014315337E-3</v>
      </c>
      <c r="O67" s="11">
        <f t="shared" si="10"/>
        <v>2.7777777795563452E-3</v>
      </c>
      <c r="P67" s="11">
        <f t="shared" si="11"/>
        <v>3.2638888951623812E-3</v>
      </c>
      <c r="Q67" s="11">
        <f t="shared" si="12"/>
        <v>8.6805554747115821E-4</v>
      </c>
      <c r="R67" s="11">
        <f t="shared" si="13"/>
        <v>5.3356481366790831E-3</v>
      </c>
      <c r="S67" s="11">
        <f t="shared" si="14"/>
        <v>1.2245370358868968E-2</v>
      </c>
      <c r="T67" s="11">
        <f t="shared" si="15"/>
        <v>1.4212962960300501E-2</v>
      </c>
    </row>
    <row r="68" spans="1:20" x14ac:dyDescent="0.25">
      <c r="A68" s="3" t="s">
        <v>208</v>
      </c>
      <c r="B68" s="9">
        <v>376.12</v>
      </c>
      <c r="C68" s="3" t="s">
        <v>139</v>
      </c>
      <c r="D68" s="10">
        <v>45666.254513888889</v>
      </c>
      <c r="E68" s="10">
        <v>45666.254513888889</v>
      </c>
      <c r="F68" s="10">
        <v>45666.256979166668</v>
      </c>
      <c r="G68" s="10">
        <v>45666.256979166668</v>
      </c>
      <c r="H68" s="10">
        <v>45666.259756944448</v>
      </c>
      <c r="I68" s="10">
        <v>45666.27103009259</v>
      </c>
      <c r="J68" s="10">
        <v>45666.27103009259</v>
      </c>
      <c r="K68" s="10">
        <v>45666.271793981483</v>
      </c>
      <c r="L68" s="10">
        <v>45666.286412037043</v>
      </c>
      <c r="M68" s="11">
        <f t="shared" si="8"/>
        <v>0</v>
      </c>
      <c r="N68" s="11">
        <f t="shared" si="9"/>
        <v>2.4652777792653069E-3</v>
      </c>
      <c r="O68" s="11">
        <f t="shared" si="10"/>
        <v>2.7777777795563452E-3</v>
      </c>
      <c r="P68" s="11">
        <f t="shared" si="11"/>
        <v>1.1273148142208811E-2</v>
      </c>
      <c r="Q68" s="11">
        <f t="shared" si="12"/>
        <v>7.638888928340748E-4</v>
      </c>
      <c r="R68" s="11">
        <f t="shared" si="13"/>
        <v>1.4618055560276844E-2</v>
      </c>
      <c r="S68" s="11">
        <f t="shared" si="14"/>
        <v>2.9432870374876074E-2</v>
      </c>
      <c r="T68" s="11">
        <f t="shared" si="15"/>
        <v>3.1898148154141381E-2</v>
      </c>
    </row>
    <row r="69" spans="1:20" x14ac:dyDescent="0.25">
      <c r="A69" s="3" t="s">
        <v>209</v>
      </c>
      <c r="B69" s="9">
        <v>185.9</v>
      </c>
      <c r="C69" s="3" t="s">
        <v>142</v>
      </c>
      <c r="D69" s="10">
        <v>45666.272199074083</v>
      </c>
      <c r="E69" s="10">
        <v>45666.272199074083</v>
      </c>
      <c r="F69" s="10">
        <v>45666.273784722223</v>
      </c>
      <c r="G69" s="10">
        <v>45666.273784722223</v>
      </c>
      <c r="H69" s="10">
        <v>45666.276562500003</v>
      </c>
      <c r="I69" s="10">
        <v>45666.278020833342</v>
      </c>
      <c r="J69" s="10">
        <v>45666.278020833342</v>
      </c>
      <c r="K69" s="10">
        <v>45666.287280092591</v>
      </c>
      <c r="L69" s="10">
        <v>45666.289548611108</v>
      </c>
      <c r="M69" s="11">
        <f t="shared" si="8"/>
        <v>0</v>
      </c>
      <c r="N69" s="11">
        <f t="shared" si="9"/>
        <v>1.5856481404625811E-3</v>
      </c>
      <c r="O69" s="11">
        <f t="shared" si="10"/>
        <v>2.7777777795563452E-3</v>
      </c>
      <c r="P69" s="11">
        <f t="shared" si="11"/>
        <v>1.4583333395421505E-3</v>
      </c>
      <c r="Q69" s="11">
        <f t="shared" si="12"/>
        <v>9.2592592482105829E-3</v>
      </c>
      <c r="R69" s="11">
        <f t="shared" si="13"/>
        <v>2.268518517666962E-3</v>
      </c>
      <c r="S69" s="11">
        <f t="shared" si="14"/>
        <v>1.5763888884976041E-2</v>
      </c>
      <c r="T69" s="11">
        <f t="shared" si="15"/>
        <v>1.7349537025438622E-2</v>
      </c>
    </row>
    <row r="70" spans="1:20" x14ac:dyDescent="0.25">
      <c r="A70" s="3" t="s">
        <v>210</v>
      </c>
      <c r="B70" s="9">
        <v>278.68</v>
      </c>
      <c r="C70" s="3" t="s">
        <v>139</v>
      </c>
      <c r="D70" s="10">
        <v>45666.300671296303</v>
      </c>
      <c r="E70" s="10">
        <v>45666.300671296303</v>
      </c>
      <c r="F70" s="10">
        <v>45666.302905092591</v>
      </c>
      <c r="G70" s="10">
        <v>45666.302905092591</v>
      </c>
      <c r="H70" s="10">
        <v>45666.30568287037</v>
      </c>
      <c r="I70" s="10">
        <v>45666.313842592594</v>
      </c>
      <c r="J70" s="10">
        <v>45666.313842592594</v>
      </c>
      <c r="K70" s="10">
        <v>45666.317118055558</v>
      </c>
      <c r="L70" s="10">
        <v>45666.327893518523</v>
      </c>
      <c r="M70" s="11">
        <f t="shared" si="8"/>
        <v>0</v>
      </c>
      <c r="N70" s="11">
        <f t="shared" si="9"/>
        <v>2.2337962873280048E-3</v>
      </c>
      <c r="O70" s="11">
        <f t="shared" si="10"/>
        <v>2.7777777795563452E-3</v>
      </c>
      <c r="P70" s="11">
        <f t="shared" si="11"/>
        <v>8.1597222233540379E-3</v>
      </c>
      <c r="Q70" s="11">
        <f t="shared" si="12"/>
        <v>3.275462964666076E-3</v>
      </c>
      <c r="R70" s="11">
        <f t="shared" si="13"/>
        <v>1.0775462964375038E-2</v>
      </c>
      <c r="S70" s="11">
        <f t="shared" si="14"/>
        <v>2.4988425931951497E-2</v>
      </c>
      <c r="T70" s="11">
        <f t="shared" si="15"/>
        <v>2.7222222219279502E-2</v>
      </c>
    </row>
    <row r="71" spans="1:20" x14ac:dyDescent="0.25">
      <c r="A71" s="3" t="s">
        <v>211</v>
      </c>
      <c r="B71" s="9">
        <v>324.98000000000008</v>
      </c>
      <c r="C71" s="3" t="s">
        <v>142</v>
      </c>
      <c r="D71" s="10">
        <v>45666.306157407409</v>
      </c>
      <c r="E71" s="10">
        <v>45666.306157407409</v>
      </c>
      <c r="F71" s="10">
        <v>45666.308067129627</v>
      </c>
      <c r="G71" s="10">
        <v>45666.308067129627</v>
      </c>
      <c r="H71" s="10">
        <v>45666.310844907413</v>
      </c>
      <c r="I71" s="10">
        <v>45666.313275462962</v>
      </c>
      <c r="J71" s="10">
        <v>45666.313275462962</v>
      </c>
      <c r="K71" s="10">
        <v>45666.314143518517</v>
      </c>
      <c r="L71" s="10">
        <v>45666.316331018519</v>
      </c>
      <c r="M71" s="11">
        <f t="shared" si="8"/>
        <v>0</v>
      </c>
      <c r="N71" s="11">
        <f t="shared" si="9"/>
        <v>1.9097222175332718E-3</v>
      </c>
      <c r="O71" s="11">
        <f t="shared" si="10"/>
        <v>2.7777777868323028E-3</v>
      </c>
      <c r="P71" s="11">
        <f t="shared" si="11"/>
        <v>2.4305555489263497E-3</v>
      </c>
      <c r="Q71" s="11">
        <f t="shared" si="12"/>
        <v>8.6805555474711582E-4</v>
      </c>
      <c r="R71" s="11">
        <f t="shared" si="13"/>
        <v>2.1875000020372681E-3</v>
      </c>
      <c r="S71" s="11">
        <f t="shared" si="14"/>
        <v>8.2638888925430365E-3</v>
      </c>
      <c r="T71" s="11">
        <f t="shared" si="15"/>
        <v>1.0173611110076308E-2</v>
      </c>
    </row>
    <row r="72" spans="1:20" x14ac:dyDescent="0.25">
      <c r="A72" s="3" t="s">
        <v>212</v>
      </c>
      <c r="B72" s="9">
        <v>381.56000000000012</v>
      </c>
      <c r="C72" s="3" t="s">
        <v>142</v>
      </c>
      <c r="D72" s="10">
        <v>45666.327314814807</v>
      </c>
      <c r="E72" s="10">
        <v>45666.327314814807</v>
      </c>
      <c r="F72" s="10">
        <v>45666.329351851848</v>
      </c>
      <c r="G72" s="10">
        <v>45666.329351851848</v>
      </c>
      <c r="H72" s="10">
        <v>45666.332129629627</v>
      </c>
      <c r="I72" s="10">
        <v>45666.335439814808</v>
      </c>
      <c r="J72" s="10">
        <v>45666.335439814808</v>
      </c>
      <c r="K72" s="10">
        <v>45666.336226851847</v>
      </c>
      <c r="L72" s="10">
        <v>45666.339004629634</v>
      </c>
      <c r="M72" s="11">
        <f t="shared" si="8"/>
        <v>0</v>
      </c>
      <c r="N72" s="11">
        <f t="shared" si="9"/>
        <v>2.0370370402815752E-3</v>
      </c>
      <c r="O72" s="11">
        <f t="shared" si="10"/>
        <v>2.7777777795563452E-3</v>
      </c>
      <c r="P72" s="11">
        <f t="shared" si="11"/>
        <v>3.3101851804531179E-3</v>
      </c>
      <c r="Q72" s="11">
        <f t="shared" si="12"/>
        <v>7.8703703911742195E-4</v>
      </c>
      <c r="R72" s="11">
        <f t="shared" si="13"/>
        <v>2.7777777868323028E-3</v>
      </c>
      <c r="S72" s="11">
        <f t="shared" si="14"/>
        <v>9.6527777859591879E-3</v>
      </c>
      <c r="T72" s="11">
        <f t="shared" si="15"/>
        <v>1.1689814826240763E-2</v>
      </c>
    </row>
    <row r="73" spans="1:20" x14ac:dyDescent="0.25">
      <c r="A73" s="3" t="s">
        <v>213</v>
      </c>
      <c r="B73" s="9">
        <v>362</v>
      </c>
      <c r="C73" s="3" t="s">
        <v>139</v>
      </c>
      <c r="D73" s="10">
        <v>45666.364710648151</v>
      </c>
      <c r="E73" s="10">
        <v>45666.364710648151</v>
      </c>
      <c r="F73" s="10">
        <v>45666.3671412037</v>
      </c>
      <c r="G73" s="10">
        <v>45666.3671412037</v>
      </c>
      <c r="H73" s="10">
        <v>45666.36991898148</v>
      </c>
      <c r="I73" s="10">
        <v>45666.373900462961</v>
      </c>
      <c r="J73" s="10">
        <v>45666.373900462961</v>
      </c>
      <c r="K73" s="10">
        <v>45666.374768518523</v>
      </c>
      <c r="L73" s="10">
        <v>45666.379178240742</v>
      </c>
      <c r="M73" s="11">
        <f t="shared" si="8"/>
        <v>0</v>
      </c>
      <c r="N73" s="11">
        <f t="shared" si="9"/>
        <v>2.4305555489263497E-3</v>
      </c>
      <c r="O73" s="11">
        <f t="shared" si="10"/>
        <v>2.7777777795563452E-3</v>
      </c>
      <c r="P73" s="11">
        <f t="shared" si="11"/>
        <v>3.9814814808778465E-3</v>
      </c>
      <c r="Q73" s="11">
        <f t="shared" si="12"/>
        <v>8.6805556202307343E-4</v>
      </c>
      <c r="R73" s="11">
        <f t="shared" si="13"/>
        <v>4.4097222198615782E-3</v>
      </c>
      <c r="S73" s="11">
        <f t="shared" si="14"/>
        <v>1.2037037042318843E-2</v>
      </c>
      <c r="T73" s="11">
        <f t="shared" si="15"/>
        <v>1.4467592591245193E-2</v>
      </c>
    </row>
    <row r="74" spans="1:20" x14ac:dyDescent="0.25">
      <c r="A74" s="3" t="s">
        <v>214</v>
      </c>
      <c r="B74" s="9">
        <v>435.67999999999989</v>
      </c>
      <c r="C74" s="3" t="s">
        <v>139</v>
      </c>
      <c r="D74" s="10">
        <v>45666.451631944437</v>
      </c>
      <c r="E74" s="10">
        <v>45666.451631944437</v>
      </c>
      <c r="F74" s="10">
        <v>45666.454236111109</v>
      </c>
      <c r="G74" s="10">
        <v>45666.454236111109</v>
      </c>
      <c r="H74" s="10">
        <v>45666.457013888888</v>
      </c>
      <c r="I74" s="10">
        <v>45666.461643518523</v>
      </c>
      <c r="J74" s="10">
        <v>45666.461643518523</v>
      </c>
      <c r="K74" s="10">
        <v>45666.462511574071</v>
      </c>
      <c r="L74" s="10">
        <v>45666.467083333337</v>
      </c>
      <c r="M74" s="11">
        <f t="shared" si="8"/>
        <v>0</v>
      </c>
      <c r="N74" s="11">
        <f t="shared" si="9"/>
        <v>2.6041666715173051E-3</v>
      </c>
      <c r="O74" s="11">
        <f t="shared" si="10"/>
        <v>2.7777777795563452E-3</v>
      </c>
      <c r="P74" s="11">
        <f t="shared" si="11"/>
        <v>4.6296296350192279E-3</v>
      </c>
      <c r="Q74" s="11">
        <f t="shared" si="12"/>
        <v>8.6805554747115821E-4</v>
      </c>
      <c r="R74" s="11">
        <f t="shared" si="13"/>
        <v>4.5717592656728812E-3</v>
      </c>
      <c r="S74" s="11">
        <f t="shared" si="14"/>
        <v>1.2847222227719612E-2</v>
      </c>
      <c r="T74" s="11">
        <f t="shared" si="15"/>
        <v>1.5451388899236917E-2</v>
      </c>
    </row>
    <row r="75" spans="1:20" x14ac:dyDescent="0.25">
      <c r="A75" s="3" t="s">
        <v>215</v>
      </c>
      <c r="B75" s="9">
        <v>241.38</v>
      </c>
      <c r="C75" s="3" t="s">
        <v>139</v>
      </c>
      <c r="D75" s="10">
        <v>45666.606782407413</v>
      </c>
      <c r="E75" s="10">
        <v>45666.606782407413</v>
      </c>
      <c r="F75" s="10">
        <v>45666.608935185177</v>
      </c>
      <c r="G75" s="10">
        <v>45666.608935185177</v>
      </c>
      <c r="H75" s="10">
        <v>45666.611712962957</v>
      </c>
      <c r="I75" s="10">
        <v>45666.613645833328</v>
      </c>
      <c r="J75" s="10">
        <v>45666.613645833328</v>
      </c>
      <c r="K75" s="10">
        <v>45666.61451388889</v>
      </c>
      <c r="L75" s="10">
        <v>45666.616770833331</v>
      </c>
      <c r="M75" s="11">
        <f t="shared" si="8"/>
        <v>0</v>
      </c>
      <c r="N75" s="11">
        <f t="shared" si="9"/>
        <v>2.1527777644223534E-3</v>
      </c>
      <c r="O75" s="11">
        <f t="shared" si="10"/>
        <v>2.7777777795563452E-3</v>
      </c>
      <c r="P75" s="11">
        <f t="shared" si="11"/>
        <v>1.9328703710925765E-3</v>
      </c>
      <c r="Q75" s="11">
        <f t="shared" si="12"/>
        <v>8.6805556202307343E-4</v>
      </c>
      <c r="R75" s="11">
        <f t="shared" si="13"/>
        <v>2.2569444408873096E-3</v>
      </c>
      <c r="S75" s="11">
        <f t="shared" si="14"/>
        <v>7.8356481535593048E-3</v>
      </c>
      <c r="T75" s="11">
        <f t="shared" si="15"/>
        <v>9.9884259179816581E-3</v>
      </c>
    </row>
    <row r="76" spans="1:20" x14ac:dyDescent="0.25">
      <c r="A76" s="3" t="s">
        <v>216</v>
      </c>
      <c r="B76" s="9">
        <v>407.54</v>
      </c>
      <c r="C76" s="3" t="s">
        <v>139</v>
      </c>
      <c r="D76" s="10">
        <v>45666.625347222223</v>
      </c>
      <c r="E76" s="10">
        <v>45666.625347222223</v>
      </c>
      <c r="F76" s="10">
        <v>45666.627881944441</v>
      </c>
      <c r="G76" s="10">
        <v>45666.627881944441</v>
      </c>
      <c r="H76" s="10">
        <v>45666.630659722221</v>
      </c>
      <c r="I76" s="10">
        <v>45666.638298611113</v>
      </c>
      <c r="J76" s="10">
        <v>45666.638298611113</v>
      </c>
      <c r="K76" s="10">
        <v>45666.639166666668</v>
      </c>
      <c r="L76" s="10">
        <v>45666.647986111107</v>
      </c>
      <c r="M76" s="11">
        <f t="shared" si="8"/>
        <v>0</v>
      </c>
      <c r="N76" s="11">
        <f t="shared" si="9"/>
        <v>2.5347222181153484E-3</v>
      </c>
      <c r="O76" s="11">
        <f t="shared" si="10"/>
        <v>2.7777777795563452E-3</v>
      </c>
      <c r="P76" s="11">
        <f t="shared" si="11"/>
        <v>7.6388888919609599E-3</v>
      </c>
      <c r="Q76" s="11">
        <f t="shared" si="12"/>
        <v>8.6805555474711582E-4</v>
      </c>
      <c r="R76" s="11">
        <f t="shared" si="13"/>
        <v>8.8194444397231564E-3</v>
      </c>
      <c r="S76" s="11">
        <f t="shared" si="14"/>
        <v>2.0104166665987577E-2</v>
      </c>
      <c r="T76" s="11">
        <f t="shared" si="15"/>
        <v>2.2638888884102926E-2</v>
      </c>
    </row>
    <row r="77" spans="1:20" x14ac:dyDescent="0.25">
      <c r="A77" s="3" t="s">
        <v>217</v>
      </c>
      <c r="B77" s="9">
        <v>314.80000000000013</v>
      </c>
      <c r="C77" s="3" t="s">
        <v>142</v>
      </c>
      <c r="D77" s="10">
        <v>45666.643680555557</v>
      </c>
      <c r="E77" s="10">
        <v>45666.643680555557</v>
      </c>
      <c r="F77" s="10">
        <v>45666.645567129628</v>
      </c>
      <c r="G77" s="10">
        <v>45666.645567129628</v>
      </c>
      <c r="H77" s="10">
        <v>45666.648344907408</v>
      </c>
      <c r="I77" s="10">
        <v>45666.650914351849</v>
      </c>
      <c r="J77" s="10">
        <v>45666.650914351849</v>
      </c>
      <c r="K77" s="10">
        <v>45666.651782407411</v>
      </c>
      <c r="L77" s="10">
        <v>45666.653946759259</v>
      </c>
      <c r="M77" s="11">
        <f t="shared" si="8"/>
        <v>0</v>
      </c>
      <c r="N77" s="11">
        <f t="shared" si="9"/>
        <v>1.8865740712499246E-3</v>
      </c>
      <c r="O77" s="11">
        <f t="shared" si="10"/>
        <v>2.7777777795563452E-3</v>
      </c>
      <c r="P77" s="11">
        <f t="shared" si="11"/>
        <v>2.5694444411783479E-3</v>
      </c>
      <c r="Q77" s="11">
        <f t="shared" si="12"/>
        <v>8.6805556202307343E-4</v>
      </c>
      <c r="R77" s="11">
        <f t="shared" si="13"/>
        <v>2.1643518484779634E-3</v>
      </c>
      <c r="S77" s="11">
        <f t="shared" si="14"/>
        <v>8.3796296312357299E-3</v>
      </c>
      <c r="T77" s="11">
        <f t="shared" si="15"/>
        <v>1.0266203702485655E-2</v>
      </c>
    </row>
    <row r="78" spans="1:20" x14ac:dyDescent="0.25">
      <c r="A78" s="3" t="s">
        <v>218</v>
      </c>
      <c r="B78" s="9">
        <v>318.98</v>
      </c>
      <c r="C78" s="3" t="s">
        <v>139</v>
      </c>
      <c r="D78" s="10">
        <v>45666.738437499997</v>
      </c>
      <c r="E78" s="10">
        <v>45666.738437499997</v>
      </c>
      <c r="F78" s="10">
        <v>45666.740763888891</v>
      </c>
      <c r="G78" s="10">
        <v>45666.740763888891</v>
      </c>
      <c r="H78" s="10">
        <v>45666.743541666663</v>
      </c>
      <c r="I78" s="10">
        <v>45666.755115740743</v>
      </c>
      <c r="J78" s="10">
        <v>45666.755115740743</v>
      </c>
      <c r="K78" s="10">
        <v>45666.755995370368</v>
      </c>
      <c r="L78" s="10">
        <v>45666.770543981482</v>
      </c>
      <c r="M78" s="11">
        <f t="shared" si="8"/>
        <v>0</v>
      </c>
      <c r="N78" s="11">
        <f t="shared" si="9"/>
        <v>2.3263888942892663E-3</v>
      </c>
      <c r="O78" s="11">
        <f t="shared" si="10"/>
        <v>2.7777777722803876E-3</v>
      </c>
      <c r="P78" s="11">
        <f t="shared" si="11"/>
        <v>1.1574074080272112E-2</v>
      </c>
      <c r="Q78" s="11">
        <f t="shared" si="12"/>
        <v>8.7962962425081059E-4</v>
      </c>
      <c r="R78" s="11">
        <f t="shared" si="13"/>
        <v>1.4548611114150845E-2</v>
      </c>
      <c r="S78" s="11">
        <f t="shared" si="14"/>
        <v>2.9780092590954155E-2</v>
      </c>
      <c r="T78" s="11">
        <f t="shared" si="15"/>
        <v>3.2106481485243421E-2</v>
      </c>
    </row>
    <row r="79" spans="1:20" x14ac:dyDescent="0.25">
      <c r="A79" s="3" t="s">
        <v>219</v>
      </c>
      <c r="B79" s="9">
        <v>47.22</v>
      </c>
      <c r="C79" s="3" t="s">
        <v>164</v>
      </c>
      <c r="D79" s="10">
        <v>45666.740023148152</v>
      </c>
      <c r="E79" s="10">
        <v>45666.740023148152</v>
      </c>
      <c r="F79" s="10">
        <v>45666.741354166668</v>
      </c>
      <c r="G79" s="10">
        <v>45666.741354166668</v>
      </c>
      <c r="H79" s="10">
        <v>45666.744131944448</v>
      </c>
      <c r="I79" s="10">
        <v>45666.744502314818</v>
      </c>
      <c r="J79" s="10">
        <v>45666.744502314818</v>
      </c>
      <c r="K79" s="10">
        <v>45666.746134259258</v>
      </c>
      <c r="L79" s="10">
        <v>45666.74795138889</v>
      </c>
      <c r="M79" s="11">
        <f t="shared" si="8"/>
        <v>0</v>
      </c>
      <c r="N79" s="11">
        <f t="shared" si="9"/>
        <v>1.3310185167938471E-3</v>
      </c>
      <c r="O79" s="11">
        <f t="shared" si="10"/>
        <v>2.7777777795563452E-3</v>
      </c>
      <c r="P79" s="11">
        <f t="shared" si="11"/>
        <v>3.7037036963738501E-4</v>
      </c>
      <c r="Q79" s="11">
        <f t="shared" si="12"/>
        <v>1.631944440305233E-3</v>
      </c>
      <c r="R79" s="11">
        <f t="shared" si="13"/>
        <v>1.8171296323998831E-3</v>
      </c>
      <c r="S79" s="11">
        <f t="shared" si="14"/>
        <v>6.5972222218988463E-3</v>
      </c>
      <c r="T79" s="11">
        <f t="shared" si="15"/>
        <v>7.9282407386926934E-3</v>
      </c>
    </row>
    <row r="80" spans="1:20" x14ac:dyDescent="0.25">
      <c r="A80" s="3" t="s">
        <v>220</v>
      </c>
      <c r="B80" s="9">
        <v>417.54</v>
      </c>
      <c r="C80" s="3" t="s">
        <v>142</v>
      </c>
      <c r="D80" s="10">
        <v>45666.741157407407</v>
      </c>
      <c r="E80" s="10">
        <v>45666.741157407407</v>
      </c>
      <c r="F80" s="10">
        <v>45666.743275462963</v>
      </c>
      <c r="G80" s="10">
        <v>45666.743275462963</v>
      </c>
      <c r="H80" s="10">
        <v>45666.746053240742</v>
      </c>
      <c r="I80" s="10">
        <v>45666.758900462963</v>
      </c>
      <c r="J80" s="10">
        <v>45666.758900462963</v>
      </c>
      <c r="K80" s="10">
        <v>45666.771412037036</v>
      </c>
      <c r="L80" s="10">
        <v>45666.790451388893</v>
      </c>
      <c r="M80" s="11">
        <f t="shared" si="8"/>
        <v>0</v>
      </c>
      <c r="N80" s="11">
        <f t="shared" si="9"/>
        <v>2.118055555911269E-3</v>
      </c>
      <c r="O80" s="11">
        <f t="shared" si="10"/>
        <v>2.7777777795563452E-3</v>
      </c>
      <c r="P80" s="11">
        <f t="shared" si="11"/>
        <v>1.2847222220443655E-2</v>
      </c>
      <c r="Q80" s="11">
        <f t="shared" si="12"/>
        <v>1.2511574073869269E-2</v>
      </c>
      <c r="R80" s="11">
        <f t="shared" si="13"/>
        <v>1.9039351856918074E-2</v>
      </c>
      <c r="S80" s="11">
        <f t="shared" si="14"/>
        <v>4.7175925930787344E-2</v>
      </c>
      <c r="T80" s="11">
        <f t="shared" si="15"/>
        <v>4.9293981486698613E-2</v>
      </c>
    </row>
    <row r="81" spans="1:20" x14ac:dyDescent="0.25">
      <c r="A81" s="3" t="s">
        <v>221</v>
      </c>
      <c r="B81" s="9">
        <v>291.68</v>
      </c>
      <c r="C81" s="3" t="s">
        <v>139</v>
      </c>
      <c r="D81" s="10">
        <v>45666.834826388891</v>
      </c>
      <c r="E81" s="10">
        <v>45666.834826388891</v>
      </c>
      <c r="F81" s="10">
        <v>45666.837094907409</v>
      </c>
      <c r="G81" s="10">
        <v>45666.837094907409</v>
      </c>
      <c r="H81" s="10">
        <v>45666.839872685188</v>
      </c>
      <c r="I81" s="10">
        <v>45666.849456018521</v>
      </c>
      <c r="J81" s="10">
        <v>45666.849456018521</v>
      </c>
      <c r="K81" s="10">
        <v>45666.850324074083</v>
      </c>
      <c r="L81" s="10">
        <v>45666.863726851851</v>
      </c>
      <c r="M81" s="11">
        <f t="shared" si="8"/>
        <v>0</v>
      </c>
      <c r="N81" s="11">
        <f t="shared" si="9"/>
        <v>2.268518517666962E-3</v>
      </c>
      <c r="O81" s="11">
        <f t="shared" si="10"/>
        <v>2.7777777795563452E-3</v>
      </c>
      <c r="P81" s="11">
        <f t="shared" si="11"/>
        <v>9.5833333325572312E-3</v>
      </c>
      <c r="Q81" s="11">
        <f t="shared" si="12"/>
        <v>8.6805556202307343E-4</v>
      </c>
      <c r="R81" s="11">
        <f t="shared" si="13"/>
        <v>1.3402777767623775E-2</v>
      </c>
      <c r="S81" s="11">
        <f t="shared" si="14"/>
        <v>2.6631944441760425E-2</v>
      </c>
      <c r="T81" s="11">
        <f t="shared" si="15"/>
        <v>2.8900462959427387E-2</v>
      </c>
    </row>
    <row r="82" spans="1:20" x14ac:dyDescent="0.25">
      <c r="A82" s="3" t="s">
        <v>222</v>
      </c>
      <c r="B82" s="9">
        <v>309.24</v>
      </c>
      <c r="C82" s="3" t="s">
        <v>139</v>
      </c>
      <c r="D82" s="10">
        <v>45667.112291666657</v>
      </c>
      <c r="E82" s="10">
        <v>45667.112291666657</v>
      </c>
      <c r="F82" s="10">
        <v>45667.114594907413</v>
      </c>
      <c r="G82" s="10">
        <v>45667.114594907413</v>
      </c>
      <c r="H82" s="10">
        <v>45667.117372685178</v>
      </c>
      <c r="I82" s="10">
        <v>45667.123506944437</v>
      </c>
      <c r="J82" s="10">
        <v>45667.123506944437</v>
      </c>
      <c r="K82" s="10">
        <v>45667.12427083333</v>
      </c>
      <c r="L82" s="10">
        <v>45667.131747685176</v>
      </c>
      <c r="M82" s="11">
        <f t="shared" si="8"/>
        <v>0</v>
      </c>
      <c r="N82" s="11">
        <f t="shared" si="9"/>
        <v>2.3032407552818768E-3</v>
      </c>
      <c r="O82" s="11">
        <f t="shared" si="10"/>
        <v>2.77777776500443E-3</v>
      </c>
      <c r="P82" s="11">
        <f t="shared" si="11"/>
        <v>6.1342592598521151E-3</v>
      </c>
      <c r="Q82" s="11">
        <f t="shared" si="12"/>
        <v>7.638888928340748E-4</v>
      </c>
      <c r="R82" s="11">
        <f t="shared" si="13"/>
        <v>7.4768518461496569E-3</v>
      </c>
      <c r="S82" s="11">
        <f t="shared" si="14"/>
        <v>1.7152777763840277E-2</v>
      </c>
      <c r="T82" s="11">
        <f t="shared" si="15"/>
        <v>1.9456018519122154E-2</v>
      </c>
    </row>
    <row r="83" spans="1:20" x14ac:dyDescent="0.25">
      <c r="A83" s="3" t="s">
        <v>223</v>
      </c>
      <c r="B83" s="9">
        <v>219.5</v>
      </c>
      <c r="C83" s="3" t="s">
        <v>139</v>
      </c>
      <c r="D83" s="10">
        <v>45667.189085648148</v>
      </c>
      <c r="E83" s="10">
        <v>45667.189085648148</v>
      </c>
      <c r="F83" s="10">
        <v>45667.191180555557</v>
      </c>
      <c r="G83" s="10">
        <v>45667.191180555557</v>
      </c>
      <c r="H83" s="10">
        <v>45667.193958333337</v>
      </c>
      <c r="I83" s="10">
        <v>45667.195567129631</v>
      </c>
      <c r="J83" s="10">
        <v>45667.195567129631</v>
      </c>
      <c r="K83" s="10">
        <v>45667.196446759262</v>
      </c>
      <c r="L83" s="10">
        <v>45667.198078703703</v>
      </c>
      <c r="M83" s="11">
        <f t="shared" si="8"/>
        <v>0</v>
      </c>
      <c r="N83" s="11">
        <f t="shared" si="9"/>
        <v>2.0949074096279219E-3</v>
      </c>
      <c r="O83" s="11">
        <f t="shared" si="10"/>
        <v>2.7777777795563452E-3</v>
      </c>
      <c r="P83" s="11">
        <f t="shared" si="11"/>
        <v>1.6087962940218858E-3</v>
      </c>
      <c r="Q83" s="11">
        <f t="shared" si="12"/>
        <v>8.7962963152676821E-4</v>
      </c>
      <c r="R83" s="11">
        <f t="shared" si="13"/>
        <v>1.631944440305233E-3</v>
      </c>
      <c r="S83" s="11">
        <f t="shared" si="14"/>
        <v>6.8981481454102322E-3</v>
      </c>
      <c r="T83" s="11">
        <f t="shared" si="15"/>
        <v>8.9930555550381541E-3</v>
      </c>
    </row>
    <row r="84" spans="1:20" x14ac:dyDescent="0.25">
      <c r="A84" s="3" t="s">
        <v>224</v>
      </c>
      <c r="B84" s="9">
        <v>298</v>
      </c>
      <c r="C84" s="3" t="s">
        <v>139</v>
      </c>
      <c r="D84" s="10">
        <v>45667.240266203713</v>
      </c>
      <c r="E84" s="10">
        <v>45667.240266203713</v>
      </c>
      <c r="F84" s="10">
        <v>45667.242546296293</v>
      </c>
      <c r="G84" s="10">
        <v>45667.242546296293</v>
      </c>
      <c r="H84" s="10">
        <v>45667.245324074072</v>
      </c>
      <c r="I84" s="10">
        <v>45667.247916666667</v>
      </c>
      <c r="J84" s="10">
        <v>45667.247916666667</v>
      </c>
      <c r="K84" s="10">
        <v>45667.248680555553</v>
      </c>
      <c r="L84" s="10">
        <v>45667.25072916667</v>
      </c>
      <c r="M84" s="11">
        <f t="shared" si="8"/>
        <v>0</v>
      </c>
      <c r="N84" s="11">
        <f t="shared" si="9"/>
        <v>2.2800925798946992E-3</v>
      </c>
      <c r="O84" s="11">
        <f t="shared" si="10"/>
        <v>2.7777777795563452E-3</v>
      </c>
      <c r="P84" s="11">
        <f t="shared" si="11"/>
        <v>2.5925925947376527E-3</v>
      </c>
      <c r="Q84" s="11">
        <f t="shared" si="12"/>
        <v>7.6388888555811718E-4</v>
      </c>
      <c r="R84" s="11">
        <f t="shared" si="13"/>
        <v>2.0486111170612276E-3</v>
      </c>
      <c r="S84" s="11">
        <f t="shared" si="14"/>
        <v>8.1828703769133426E-3</v>
      </c>
      <c r="T84" s="11">
        <f t="shared" si="15"/>
        <v>1.0462962956808042E-2</v>
      </c>
    </row>
    <row r="85" spans="1:20" x14ac:dyDescent="0.25">
      <c r="A85" s="3" t="s">
        <v>225</v>
      </c>
      <c r="B85" s="9">
        <v>386.25999999999988</v>
      </c>
      <c r="C85" s="3" t="s">
        <v>139</v>
      </c>
      <c r="D85" s="10">
        <v>45667.277453703697</v>
      </c>
      <c r="E85" s="10">
        <v>45667.277453703697</v>
      </c>
      <c r="F85" s="10">
        <v>45667.279942129629</v>
      </c>
      <c r="G85" s="10">
        <v>45667.279942129629</v>
      </c>
      <c r="H85" s="10">
        <v>45667.282719907409</v>
      </c>
      <c r="I85" s="10">
        <v>45667.293321759258</v>
      </c>
      <c r="J85" s="10">
        <v>45667.293321759258</v>
      </c>
      <c r="K85" s="10">
        <v>45667.29420138889</v>
      </c>
      <c r="L85" s="10">
        <v>45667.310104166667</v>
      </c>
      <c r="M85" s="11">
        <f t="shared" si="8"/>
        <v>0</v>
      </c>
      <c r="N85" s="11">
        <f t="shared" si="9"/>
        <v>2.4884259328246117E-3</v>
      </c>
      <c r="O85" s="11">
        <f t="shared" si="10"/>
        <v>2.7777777795563452E-3</v>
      </c>
      <c r="P85" s="11">
        <f t="shared" si="11"/>
        <v>1.060185184906004E-2</v>
      </c>
      <c r="Q85" s="11">
        <f t="shared" si="12"/>
        <v>8.7962963152676821E-4</v>
      </c>
      <c r="R85" s="11">
        <f t="shared" si="13"/>
        <v>1.5902777777228039E-2</v>
      </c>
      <c r="S85" s="11">
        <f t="shared" si="14"/>
        <v>3.0162037037371192E-2</v>
      </c>
      <c r="T85" s="11">
        <f t="shared" si="15"/>
        <v>3.2650462970195804E-2</v>
      </c>
    </row>
    <row r="86" spans="1:20" x14ac:dyDescent="0.25">
      <c r="A86" s="3" t="s">
        <v>226</v>
      </c>
      <c r="B86" s="9">
        <v>193.12</v>
      </c>
      <c r="C86" s="3" t="s">
        <v>139</v>
      </c>
      <c r="D86" s="10">
        <v>45667.310162037043</v>
      </c>
      <c r="E86" s="10">
        <v>45667.310162037043</v>
      </c>
      <c r="F86" s="10">
        <v>45667.312199074076</v>
      </c>
      <c r="G86" s="10">
        <v>45667.312199074076</v>
      </c>
      <c r="H86" s="10">
        <v>45667.314976851849</v>
      </c>
      <c r="I86" s="10">
        <v>45667.31658564815</v>
      </c>
      <c r="J86" s="10">
        <v>45667.31658564815</v>
      </c>
      <c r="K86" s="10">
        <v>45667.317453703698</v>
      </c>
      <c r="L86" s="10">
        <v>45667.319814814808</v>
      </c>
      <c r="M86" s="11">
        <f t="shared" si="8"/>
        <v>0</v>
      </c>
      <c r="N86" s="11">
        <f t="shared" si="9"/>
        <v>2.0370370330056176E-3</v>
      </c>
      <c r="O86" s="11">
        <f t="shared" si="10"/>
        <v>2.7777777722803876E-3</v>
      </c>
      <c r="P86" s="11">
        <f t="shared" si="11"/>
        <v>1.6087963012978435E-3</v>
      </c>
      <c r="Q86" s="11">
        <f t="shared" si="12"/>
        <v>8.6805554747115821E-4</v>
      </c>
      <c r="R86" s="11">
        <f t="shared" si="13"/>
        <v>2.3611111100763083E-3</v>
      </c>
      <c r="S86" s="11">
        <f t="shared" si="14"/>
        <v>7.6157407311256975E-3</v>
      </c>
      <c r="T86" s="11">
        <f t="shared" si="15"/>
        <v>9.6527777641313151E-3</v>
      </c>
    </row>
    <row r="87" spans="1:20" x14ac:dyDescent="0.25">
      <c r="A87" s="3" t="s">
        <v>227</v>
      </c>
      <c r="B87" s="9">
        <v>380.82000000000011</v>
      </c>
      <c r="C87" s="3" t="s">
        <v>139</v>
      </c>
      <c r="D87" s="10">
        <v>45667.330104166656</v>
      </c>
      <c r="E87" s="10">
        <v>45667.330104166656</v>
      </c>
      <c r="F87" s="10">
        <v>45667.33258101852</v>
      </c>
      <c r="G87" s="10">
        <v>45667.33258101852</v>
      </c>
      <c r="H87" s="10">
        <v>45667.335358796299</v>
      </c>
      <c r="I87" s="10">
        <v>45667.338263888887</v>
      </c>
      <c r="J87" s="10">
        <v>45667.338263888887</v>
      </c>
      <c r="K87" s="10">
        <v>45667.339143518519</v>
      </c>
      <c r="L87" s="10">
        <v>45667.34171296296</v>
      </c>
      <c r="M87" s="11">
        <f t="shared" si="8"/>
        <v>0</v>
      </c>
      <c r="N87" s="11">
        <f t="shared" si="9"/>
        <v>2.4768518633209169E-3</v>
      </c>
      <c r="O87" s="11">
        <f t="shared" si="10"/>
        <v>2.7777777795563452E-3</v>
      </c>
      <c r="P87" s="11">
        <f t="shared" si="11"/>
        <v>2.9050925877527334E-3</v>
      </c>
      <c r="Q87" s="11">
        <f t="shared" si="12"/>
        <v>8.7962963152676821E-4</v>
      </c>
      <c r="R87" s="11">
        <f t="shared" si="13"/>
        <v>2.5694444411783479E-3</v>
      </c>
      <c r="S87" s="11">
        <f t="shared" si="14"/>
        <v>9.1319444400141947E-3</v>
      </c>
      <c r="T87" s="11">
        <f t="shared" si="15"/>
        <v>1.1608796303335112E-2</v>
      </c>
    </row>
    <row r="88" spans="1:20" x14ac:dyDescent="0.25">
      <c r="A88" s="3" t="s">
        <v>228</v>
      </c>
      <c r="B88" s="9">
        <v>588.41999999999996</v>
      </c>
      <c r="C88" s="3" t="s">
        <v>142</v>
      </c>
      <c r="D88" s="10">
        <v>45667.364861111113</v>
      </c>
      <c r="E88" s="10">
        <v>45667.364861111113</v>
      </c>
      <c r="F88" s="10">
        <v>45667.367372685178</v>
      </c>
      <c r="G88" s="10">
        <v>45667.367372685178</v>
      </c>
      <c r="H88" s="10">
        <v>45667.370150462957</v>
      </c>
      <c r="I88" s="10">
        <v>45667.387280092589</v>
      </c>
      <c r="J88" s="10">
        <v>45667.387280092589</v>
      </c>
      <c r="K88" s="10">
        <v>45667.389305555553</v>
      </c>
      <c r="L88" s="10">
        <v>45667.409224537027</v>
      </c>
      <c r="M88" s="11">
        <f t="shared" si="8"/>
        <v>0</v>
      </c>
      <c r="N88" s="11">
        <f t="shared" si="9"/>
        <v>2.5115740645560436E-3</v>
      </c>
      <c r="O88" s="11">
        <f t="shared" si="10"/>
        <v>2.7777777795563452E-3</v>
      </c>
      <c r="P88" s="11">
        <f t="shared" si="11"/>
        <v>1.7129629632108845E-2</v>
      </c>
      <c r="Q88" s="11">
        <f t="shared" si="12"/>
        <v>2.0254629635019228E-3</v>
      </c>
      <c r="R88" s="11">
        <f t="shared" si="13"/>
        <v>1.9918981473892927E-2</v>
      </c>
      <c r="S88" s="11">
        <f t="shared" si="14"/>
        <v>4.185185184906004E-2</v>
      </c>
      <c r="T88" s="11">
        <f t="shared" si="15"/>
        <v>4.4363425913616084E-2</v>
      </c>
    </row>
    <row r="89" spans="1:20" x14ac:dyDescent="0.25">
      <c r="A89" s="3" t="s">
        <v>229</v>
      </c>
      <c r="B89" s="9">
        <v>206.3</v>
      </c>
      <c r="C89" s="3" t="s">
        <v>139</v>
      </c>
      <c r="D89" s="10">
        <v>45667.374062499999</v>
      </c>
      <c r="E89" s="10">
        <v>45667.374062499999</v>
      </c>
      <c r="F89" s="10">
        <v>45667.376134259262</v>
      </c>
      <c r="G89" s="10">
        <v>45667.376134259262</v>
      </c>
      <c r="H89" s="10">
        <v>45667.378912037027</v>
      </c>
      <c r="I89" s="10">
        <v>45667.3825</v>
      </c>
      <c r="J89" s="10">
        <v>45667.3825</v>
      </c>
      <c r="K89" s="10">
        <v>45667.383368055547</v>
      </c>
      <c r="L89" s="10">
        <v>45667.388425925928</v>
      </c>
      <c r="M89" s="11">
        <f t="shared" si="8"/>
        <v>0</v>
      </c>
      <c r="N89" s="11">
        <f t="shared" si="9"/>
        <v>2.0717592633445747E-3</v>
      </c>
      <c r="O89" s="11">
        <f t="shared" si="10"/>
        <v>2.77777776500443E-3</v>
      </c>
      <c r="P89" s="11">
        <f t="shared" si="11"/>
        <v>3.5879629722330719E-3</v>
      </c>
      <c r="Q89" s="11">
        <f t="shared" si="12"/>
        <v>8.6805554747115821E-4</v>
      </c>
      <c r="R89" s="11">
        <f t="shared" si="13"/>
        <v>5.0578703812789172E-3</v>
      </c>
      <c r="S89" s="11">
        <f t="shared" si="14"/>
        <v>1.2291666665987577E-2</v>
      </c>
      <c r="T89" s="11">
        <f t="shared" si="15"/>
        <v>1.4363425929332152E-2</v>
      </c>
    </row>
    <row r="90" spans="1:20" x14ac:dyDescent="0.25">
      <c r="A90" s="3" t="s">
        <v>230</v>
      </c>
      <c r="B90" s="9">
        <v>259.66000000000003</v>
      </c>
      <c r="C90" s="3" t="s">
        <v>139</v>
      </c>
      <c r="D90" s="10">
        <v>45667.429629629631</v>
      </c>
      <c r="E90" s="10">
        <v>45667.429629629631</v>
      </c>
      <c r="F90" s="10">
        <v>45667.431817129633</v>
      </c>
      <c r="G90" s="10">
        <v>45667.431817129633</v>
      </c>
      <c r="H90" s="10">
        <v>45667.434594907398</v>
      </c>
      <c r="I90" s="10">
        <v>45667.436863425923</v>
      </c>
      <c r="J90" s="10">
        <v>45667.436863425923</v>
      </c>
      <c r="K90" s="10">
        <v>45667.437650462962</v>
      </c>
      <c r="L90" s="10">
        <v>45667.440127314818</v>
      </c>
      <c r="M90" s="11">
        <f t="shared" si="8"/>
        <v>0</v>
      </c>
      <c r="N90" s="11">
        <f t="shared" si="9"/>
        <v>2.1875000020372681E-3</v>
      </c>
      <c r="O90" s="11">
        <f t="shared" si="10"/>
        <v>2.77777776500443E-3</v>
      </c>
      <c r="P90" s="11">
        <f t="shared" si="11"/>
        <v>2.2685185249429196E-3</v>
      </c>
      <c r="Q90" s="11">
        <f t="shared" si="12"/>
        <v>7.8703703911742195E-4</v>
      </c>
      <c r="R90" s="11">
        <f t="shared" si="13"/>
        <v>2.4768518560449593E-3</v>
      </c>
      <c r="S90" s="11">
        <f t="shared" si="14"/>
        <v>8.3101851851097308E-3</v>
      </c>
      <c r="T90" s="11">
        <f t="shared" si="15"/>
        <v>1.0497685187146999E-2</v>
      </c>
    </row>
    <row r="91" spans="1:20" x14ac:dyDescent="0.25">
      <c r="A91" s="3" t="s">
        <v>231</v>
      </c>
      <c r="B91" s="9">
        <v>95.339999999999989</v>
      </c>
      <c r="C91" s="3" t="s">
        <v>139</v>
      </c>
      <c r="D91" s="10">
        <v>45667.544988425929</v>
      </c>
      <c r="E91" s="10">
        <v>45667.544988425929</v>
      </c>
      <c r="F91" s="10">
        <v>45667.546793981477</v>
      </c>
      <c r="G91" s="10">
        <v>45667.546793981477</v>
      </c>
      <c r="H91" s="10">
        <v>45667.549571759257</v>
      </c>
      <c r="I91" s="10">
        <v>45667.55028935185</v>
      </c>
      <c r="J91" s="10">
        <v>45667.55028935185</v>
      </c>
      <c r="K91" s="10">
        <v>45667.551168981481</v>
      </c>
      <c r="L91" s="10">
        <v>45667.552627314813</v>
      </c>
      <c r="M91" s="11">
        <f t="shared" si="8"/>
        <v>0</v>
      </c>
      <c r="N91" s="11">
        <f t="shared" si="9"/>
        <v>1.8055555483442731E-3</v>
      </c>
      <c r="O91" s="11">
        <f t="shared" si="10"/>
        <v>2.7777777795563452E-3</v>
      </c>
      <c r="P91" s="11">
        <f t="shared" si="11"/>
        <v>7.1759259299142286E-4</v>
      </c>
      <c r="Q91" s="11">
        <f t="shared" si="12"/>
        <v>8.7962963152676821E-4</v>
      </c>
      <c r="R91" s="11">
        <f t="shared" si="13"/>
        <v>1.4583333322661929E-3</v>
      </c>
      <c r="S91" s="11">
        <f t="shared" si="14"/>
        <v>5.8333333363407291E-3</v>
      </c>
      <c r="T91" s="11">
        <f t="shared" si="15"/>
        <v>7.6388888846850023E-3</v>
      </c>
    </row>
    <row r="92" spans="1:20" x14ac:dyDescent="0.25">
      <c r="A92" s="3" t="s">
        <v>232</v>
      </c>
      <c r="B92" s="9">
        <v>23.24</v>
      </c>
      <c r="C92" s="3" t="s">
        <v>164</v>
      </c>
      <c r="D92" s="10">
        <v>45667.59134259259</v>
      </c>
      <c r="E92" s="10">
        <v>45667.59134259259</v>
      </c>
      <c r="F92" s="10">
        <v>45667.592615740738</v>
      </c>
      <c r="G92" s="10">
        <v>45667.592615740738</v>
      </c>
      <c r="H92" s="10">
        <v>45667.595393518517</v>
      </c>
      <c r="I92" s="10">
        <v>45667.595590277779</v>
      </c>
      <c r="J92" s="10">
        <v>45667.595590277779</v>
      </c>
      <c r="K92" s="10">
        <v>45667.596388888887</v>
      </c>
      <c r="L92" s="10">
        <v>45667.598032407397</v>
      </c>
      <c r="M92" s="11">
        <f t="shared" si="8"/>
        <v>0</v>
      </c>
      <c r="N92" s="11">
        <f t="shared" si="9"/>
        <v>1.2731481474475004E-3</v>
      </c>
      <c r="O92" s="11">
        <f t="shared" si="10"/>
        <v>2.7777777795563452E-3</v>
      </c>
      <c r="P92" s="11">
        <f t="shared" si="11"/>
        <v>1.9675926159834489E-4</v>
      </c>
      <c r="Q92" s="11">
        <f t="shared" si="12"/>
        <v>7.9861110862111673E-4</v>
      </c>
      <c r="R92" s="11">
        <f t="shared" si="13"/>
        <v>1.6435185098089278E-3</v>
      </c>
      <c r="S92" s="11">
        <f t="shared" si="14"/>
        <v>5.4166666595847346E-3</v>
      </c>
      <c r="T92" s="11">
        <f t="shared" si="15"/>
        <v>6.689814807032235E-3</v>
      </c>
    </row>
    <row r="93" spans="1:20" x14ac:dyDescent="0.25">
      <c r="A93" s="3" t="s">
        <v>233</v>
      </c>
      <c r="B93" s="9">
        <v>393.50000000000011</v>
      </c>
      <c r="C93" s="3" t="s">
        <v>139</v>
      </c>
      <c r="D93" s="10">
        <v>45667.617430555547</v>
      </c>
      <c r="E93" s="10">
        <v>45667.617430555547</v>
      </c>
      <c r="F93" s="10">
        <v>45667.619930555556</v>
      </c>
      <c r="G93" s="10">
        <v>45667.619930555556</v>
      </c>
      <c r="H93" s="10">
        <v>45667.622708333343</v>
      </c>
      <c r="I93" s="10">
        <v>45667.625648148147</v>
      </c>
      <c r="J93" s="10">
        <v>45667.625648148147</v>
      </c>
      <c r="K93" s="10">
        <v>45667.626527777778</v>
      </c>
      <c r="L93" s="10">
        <v>45667.629317129627</v>
      </c>
      <c r="M93" s="11">
        <f t="shared" si="8"/>
        <v>0</v>
      </c>
      <c r="N93" s="11">
        <f t="shared" si="9"/>
        <v>2.5000000096042641E-3</v>
      </c>
      <c r="O93" s="11">
        <f t="shared" si="10"/>
        <v>2.7777777868323028E-3</v>
      </c>
      <c r="P93" s="11">
        <f t="shared" si="11"/>
        <v>2.9398148035397753E-3</v>
      </c>
      <c r="Q93" s="11">
        <f t="shared" si="12"/>
        <v>8.7962963152676821E-4</v>
      </c>
      <c r="R93" s="11">
        <f t="shared" si="13"/>
        <v>2.78935184906004E-3</v>
      </c>
      <c r="S93" s="11">
        <f t="shared" si="14"/>
        <v>9.3865740709588863E-3</v>
      </c>
      <c r="T93" s="11">
        <f t="shared" si="15"/>
        <v>1.188657408056315E-2</v>
      </c>
    </row>
    <row r="94" spans="1:20" x14ac:dyDescent="0.25">
      <c r="A94" s="3" t="s">
        <v>234</v>
      </c>
      <c r="B94" s="9">
        <v>302.12000000000012</v>
      </c>
      <c r="C94" s="3" t="s">
        <v>139</v>
      </c>
      <c r="D94" s="10">
        <v>45667.728252314817</v>
      </c>
      <c r="E94" s="10">
        <v>45667.728252314817</v>
      </c>
      <c r="F94" s="10">
        <v>45667.730543981481</v>
      </c>
      <c r="G94" s="10">
        <v>45667.730543981481</v>
      </c>
      <c r="H94" s="10">
        <v>45667.73332175926</v>
      </c>
      <c r="I94" s="10">
        <v>45667.735949074071</v>
      </c>
      <c r="J94" s="10">
        <v>45667.735949074071</v>
      </c>
      <c r="K94" s="10">
        <v>45667.736747685187</v>
      </c>
      <c r="L94" s="10">
        <v>45667.738680555558</v>
      </c>
      <c r="M94" s="11">
        <f t="shared" si="8"/>
        <v>0</v>
      </c>
      <c r="N94" s="11">
        <f t="shared" si="9"/>
        <v>2.2916666639503092E-3</v>
      </c>
      <c r="O94" s="11">
        <f t="shared" si="10"/>
        <v>2.7777777795563452E-3</v>
      </c>
      <c r="P94" s="11">
        <f t="shared" si="11"/>
        <v>2.6273148105246946E-3</v>
      </c>
      <c r="Q94" s="11">
        <f t="shared" si="12"/>
        <v>7.9861111589707434E-4</v>
      </c>
      <c r="R94" s="11">
        <f t="shared" si="13"/>
        <v>1.9328703710925765E-3</v>
      </c>
      <c r="S94" s="11">
        <f t="shared" si="14"/>
        <v>8.1365740770706907E-3</v>
      </c>
      <c r="T94" s="11">
        <f t="shared" si="15"/>
        <v>1.0428240741021E-2</v>
      </c>
    </row>
    <row r="95" spans="1:20" x14ac:dyDescent="0.25">
      <c r="A95" s="3" t="s">
        <v>235</v>
      </c>
      <c r="B95" s="9">
        <v>577.59999999999991</v>
      </c>
      <c r="C95" s="3" t="s">
        <v>142</v>
      </c>
      <c r="D95" s="10">
        <v>45667.735196759262</v>
      </c>
      <c r="E95" s="10">
        <v>45667.735196759262</v>
      </c>
      <c r="F95" s="10">
        <v>45667.737685185188</v>
      </c>
      <c r="G95" s="10">
        <v>45667.737685185188</v>
      </c>
      <c r="H95" s="10">
        <v>45667.74046296296</v>
      </c>
      <c r="I95" s="10">
        <v>45667.758101851847</v>
      </c>
      <c r="J95" s="10">
        <v>45667.758101851847</v>
      </c>
      <c r="K95" s="10">
        <v>45667.758888888893</v>
      </c>
      <c r="L95" s="10">
        <v>45667.779398148137</v>
      </c>
      <c r="M95" s="11">
        <f t="shared" si="8"/>
        <v>0</v>
      </c>
      <c r="N95" s="11">
        <f t="shared" si="9"/>
        <v>2.488425925548654E-3</v>
      </c>
      <c r="O95" s="11">
        <f t="shared" si="10"/>
        <v>2.7777777722803876E-3</v>
      </c>
      <c r="P95" s="11">
        <f t="shared" si="11"/>
        <v>1.763888888672227E-2</v>
      </c>
      <c r="Q95" s="11">
        <f t="shared" si="12"/>
        <v>7.8703704639337957E-4</v>
      </c>
      <c r="R95" s="11">
        <f t="shared" si="13"/>
        <v>2.0509259244136047E-2</v>
      </c>
      <c r="S95" s="11">
        <f t="shared" si="14"/>
        <v>4.1712962949532084E-2</v>
      </c>
      <c r="T95" s="11">
        <f t="shared" si="15"/>
        <v>4.4201388875080738E-2</v>
      </c>
    </row>
    <row r="96" spans="1:20" x14ac:dyDescent="0.25">
      <c r="A96" s="3" t="s">
        <v>236</v>
      </c>
      <c r="B96" s="9">
        <v>300.45999999999998</v>
      </c>
      <c r="C96" s="3" t="s">
        <v>139</v>
      </c>
      <c r="D96" s="10">
        <v>45667.841099537043</v>
      </c>
      <c r="E96" s="10">
        <v>45667.841099537043</v>
      </c>
      <c r="F96" s="10">
        <v>45667.843391203707</v>
      </c>
      <c r="G96" s="10">
        <v>45667.843391203707</v>
      </c>
      <c r="H96" s="10">
        <v>45667.846168981479</v>
      </c>
      <c r="I96" s="10">
        <v>45667.856122685182</v>
      </c>
      <c r="J96" s="10">
        <v>45667.856122685182</v>
      </c>
      <c r="K96" s="10">
        <v>45667.856990740736</v>
      </c>
      <c r="L96" s="10">
        <v>45667.870520833327</v>
      </c>
      <c r="M96" s="11">
        <f t="shared" si="8"/>
        <v>0</v>
      </c>
      <c r="N96" s="11">
        <f t="shared" si="9"/>
        <v>2.2916666639503092E-3</v>
      </c>
      <c r="O96" s="11">
        <f t="shared" si="10"/>
        <v>2.7777777722803876E-3</v>
      </c>
      <c r="P96" s="11">
        <f t="shared" si="11"/>
        <v>9.9537037021946162E-3</v>
      </c>
      <c r="Q96" s="11">
        <f t="shared" si="12"/>
        <v>8.6805555474711582E-4</v>
      </c>
      <c r="R96" s="11">
        <f t="shared" si="13"/>
        <v>1.3530092590372078E-2</v>
      </c>
      <c r="S96" s="11">
        <f t="shared" si="14"/>
        <v>2.7129629619594198E-2</v>
      </c>
      <c r="T96" s="11">
        <f t="shared" si="15"/>
        <v>2.9421296283544507E-2</v>
      </c>
    </row>
    <row r="97" spans="1:20" x14ac:dyDescent="0.25">
      <c r="A97" s="3" t="s">
        <v>237</v>
      </c>
      <c r="B97" s="9">
        <v>366.58</v>
      </c>
      <c r="C97" s="3" t="s">
        <v>139</v>
      </c>
      <c r="D97" s="10">
        <v>45668.206817129627</v>
      </c>
      <c r="E97" s="10">
        <v>45668.206817129627</v>
      </c>
      <c r="F97" s="10">
        <v>45668.20925925926</v>
      </c>
      <c r="G97" s="10">
        <v>45668.20925925926</v>
      </c>
      <c r="H97" s="10">
        <v>45668.212037037039</v>
      </c>
      <c r="I97" s="10">
        <v>45668.217060185183</v>
      </c>
      <c r="J97" s="10">
        <v>45668.217060185183</v>
      </c>
      <c r="K97" s="10">
        <v>45668.217928240738</v>
      </c>
      <c r="L97" s="10">
        <v>45668.223923611113</v>
      </c>
      <c r="M97" s="11">
        <f t="shared" si="8"/>
        <v>0</v>
      </c>
      <c r="N97" s="11">
        <f t="shared" si="9"/>
        <v>2.4421296329819597E-3</v>
      </c>
      <c r="O97" s="11">
        <f t="shared" si="10"/>
        <v>2.7777777795563452E-3</v>
      </c>
      <c r="P97" s="11">
        <f t="shared" si="11"/>
        <v>5.0231481436640024E-3</v>
      </c>
      <c r="Q97" s="11">
        <f t="shared" si="12"/>
        <v>8.6805555474711582E-4</v>
      </c>
      <c r="R97" s="11">
        <f t="shared" si="13"/>
        <v>5.9953703748760745E-3</v>
      </c>
      <c r="S97" s="11">
        <f t="shared" si="14"/>
        <v>1.4664351852843538E-2</v>
      </c>
      <c r="T97" s="11">
        <f t="shared" si="15"/>
        <v>1.7106481485825498E-2</v>
      </c>
    </row>
    <row r="98" spans="1:20" x14ac:dyDescent="0.25">
      <c r="A98" s="3" t="s">
        <v>238</v>
      </c>
      <c r="B98" s="9">
        <v>382.72</v>
      </c>
      <c r="C98" s="3" t="s">
        <v>139</v>
      </c>
      <c r="D98" s="10">
        <v>45668.228726851848</v>
      </c>
      <c r="E98" s="10">
        <v>45668.228726851848</v>
      </c>
      <c r="F98" s="10">
        <v>45668.231203703697</v>
      </c>
      <c r="G98" s="10">
        <v>45668.231203703697</v>
      </c>
      <c r="H98" s="10">
        <v>45668.233981481477</v>
      </c>
      <c r="I98" s="10">
        <v>45668.240300925929</v>
      </c>
      <c r="J98" s="10">
        <v>45668.240300925929</v>
      </c>
      <c r="K98" s="10">
        <v>45668.241168981483</v>
      </c>
      <c r="L98" s="10">
        <v>45668.249108796299</v>
      </c>
      <c r="M98" s="11">
        <f t="shared" si="8"/>
        <v>0</v>
      </c>
      <c r="N98" s="11">
        <f t="shared" si="9"/>
        <v>2.4768518487690017E-3</v>
      </c>
      <c r="O98" s="11">
        <f t="shared" si="10"/>
        <v>2.7777777795563452E-3</v>
      </c>
      <c r="P98" s="11">
        <f t="shared" si="11"/>
        <v>6.3194444519467652E-3</v>
      </c>
      <c r="Q98" s="11">
        <f t="shared" si="12"/>
        <v>8.6805555474711582E-4</v>
      </c>
      <c r="R98" s="11">
        <f t="shared" si="13"/>
        <v>7.9398148154723458E-3</v>
      </c>
      <c r="S98" s="11">
        <f t="shared" si="14"/>
        <v>1.7905092601722572E-2</v>
      </c>
      <c r="T98" s="11">
        <f t="shared" si="15"/>
        <v>2.0381944450491574E-2</v>
      </c>
    </row>
    <row r="99" spans="1:20" x14ac:dyDescent="0.25">
      <c r="A99" s="3" t="s">
        <v>239</v>
      </c>
      <c r="B99" s="9">
        <v>554.12000000000012</v>
      </c>
      <c r="C99" s="3" t="s">
        <v>142</v>
      </c>
      <c r="D99" s="10">
        <v>45669.737129629633</v>
      </c>
      <c r="E99" s="10">
        <v>45669.737129629633</v>
      </c>
      <c r="F99" s="10">
        <v>45669.739560185182</v>
      </c>
      <c r="G99" s="10">
        <v>45669.739560185182</v>
      </c>
      <c r="H99" s="10">
        <v>45669.742337962962</v>
      </c>
      <c r="I99" s="10">
        <v>45669.748865740738</v>
      </c>
      <c r="J99" s="10">
        <v>45669.748865740738</v>
      </c>
      <c r="K99" s="10">
        <v>45669.749745370369</v>
      </c>
      <c r="L99" s="10">
        <v>45669.755891203713</v>
      </c>
      <c r="M99" s="11">
        <f t="shared" si="8"/>
        <v>0</v>
      </c>
      <c r="N99" s="11">
        <f t="shared" si="9"/>
        <v>2.4305555489263497E-3</v>
      </c>
      <c r="O99" s="11">
        <f t="shared" si="10"/>
        <v>2.7777777795563452E-3</v>
      </c>
      <c r="P99" s="11">
        <f t="shared" si="11"/>
        <v>6.5277777757728472E-3</v>
      </c>
      <c r="Q99" s="11">
        <f t="shared" si="12"/>
        <v>8.7962963152676821E-4</v>
      </c>
      <c r="R99" s="11">
        <f t="shared" si="13"/>
        <v>6.1458333439077251E-3</v>
      </c>
      <c r="S99" s="11">
        <f t="shared" si="14"/>
        <v>1.6331018530763686E-2</v>
      </c>
      <c r="T99" s="11">
        <f t="shared" si="15"/>
        <v>1.8761574079690035E-2</v>
      </c>
    </row>
    <row r="100" spans="1:20" x14ac:dyDescent="0.25">
      <c r="A100" s="3" t="s">
        <v>240</v>
      </c>
      <c r="B100" s="9">
        <v>208.1</v>
      </c>
      <c r="C100" s="3" t="s">
        <v>139</v>
      </c>
      <c r="D100" s="10">
        <v>45669.834988425922</v>
      </c>
      <c r="E100" s="10">
        <v>45669.834988425922</v>
      </c>
      <c r="F100" s="10">
        <v>45669.837060185193</v>
      </c>
      <c r="G100" s="10">
        <v>45669.837060185193</v>
      </c>
      <c r="H100" s="10">
        <v>45669.839837962973</v>
      </c>
      <c r="I100" s="10">
        <v>45669.842592592591</v>
      </c>
      <c r="J100" s="10">
        <v>45669.842592592591</v>
      </c>
      <c r="K100" s="10">
        <v>45669.843460648153</v>
      </c>
      <c r="L100" s="10">
        <v>45669.847175925926</v>
      </c>
      <c r="M100" s="11">
        <f t="shared" si="8"/>
        <v>0</v>
      </c>
      <c r="N100" s="11">
        <f t="shared" si="9"/>
        <v>2.0717592706205323E-3</v>
      </c>
      <c r="O100" s="11">
        <f t="shared" si="10"/>
        <v>2.7777777795563452E-3</v>
      </c>
      <c r="P100" s="11">
        <f t="shared" si="11"/>
        <v>2.7546296187210828E-3</v>
      </c>
      <c r="Q100" s="11">
        <f t="shared" si="12"/>
        <v>8.6805556202307343E-4</v>
      </c>
      <c r="R100" s="11">
        <f t="shared" si="13"/>
        <v>3.7152777731535025E-3</v>
      </c>
      <c r="S100" s="11">
        <f t="shared" si="14"/>
        <v>1.0115740733454004E-2</v>
      </c>
      <c r="T100" s="11">
        <f t="shared" si="15"/>
        <v>1.2187500004074536E-2</v>
      </c>
    </row>
    <row r="101" spans="1:20" x14ac:dyDescent="0.25">
      <c r="A101" s="3" t="s">
        <v>241</v>
      </c>
      <c r="B101" s="9">
        <v>181.54</v>
      </c>
      <c r="C101" s="3" t="s">
        <v>139</v>
      </c>
      <c r="D101" s="10">
        <v>45670.103425925918</v>
      </c>
      <c r="E101" s="10">
        <v>45670.103425925918</v>
      </c>
      <c r="F101" s="10">
        <v>45670.105439814812</v>
      </c>
      <c r="G101" s="10">
        <v>45670.105439814812</v>
      </c>
      <c r="H101" s="10">
        <v>45670.108217592591</v>
      </c>
      <c r="I101" s="10">
        <v>45670.110706018517</v>
      </c>
      <c r="J101" s="10">
        <v>45670.110706018517</v>
      </c>
      <c r="K101" s="10">
        <v>45670.111585648148</v>
      </c>
      <c r="L101" s="10">
        <v>45670.114942129629</v>
      </c>
      <c r="M101" s="11">
        <f t="shared" si="8"/>
        <v>0</v>
      </c>
      <c r="N101" s="11">
        <f t="shared" si="9"/>
        <v>2.013888893998228E-3</v>
      </c>
      <c r="O101" s="11">
        <f t="shared" si="10"/>
        <v>2.7777777795563452E-3</v>
      </c>
      <c r="P101" s="11">
        <f t="shared" si="11"/>
        <v>2.488425925548654E-3</v>
      </c>
      <c r="Q101" s="11">
        <f t="shared" si="12"/>
        <v>8.7962963152676821E-4</v>
      </c>
      <c r="R101" s="11">
        <f t="shared" si="13"/>
        <v>3.3564814802957699E-3</v>
      </c>
      <c r="S101" s="11">
        <f t="shared" si="14"/>
        <v>9.5023148169275373E-3</v>
      </c>
      <c r="T101" s="11">
        <f t="shared" si="15"/>
        <v>1.1516203710925765E-2</v>
      </c>
    </row>
    <row r="102" spans="1:20" x14ac:dyDescent="0.25">
      <c r="A102" s="3" t="s">
        <v>242</v>
      </c>
      <c r="B102" s="9">
        <v>301.2</v>
      </c>
      <c r="C102" s="3" t="s">
        <v>139</v>
      </c>
      <c r="D102" s="10">
        <v>45670.18650462963</v>
      </c>
      <c r="E102" s="10">
        <v>45670.18650462963</v>
      </c>
      <c r="F102" s="10">
        <v>45670.188796296286</v>
      </c>
      <c r="G102" s="10">
        <v>45670.188796296286</v>
      </c>
      <c r="H102" s="10">
        <v>45670.191574074073</v>
      </c>
      <c r="I102" s="10">
        <v>45670.194004629629</v>
      </c>
      <c r="J102" s="10">
        <v>45670.194004629629</v>
      </c>
      <c r="K102" s="10">
        <v>45670.194872685177</v>
      </c>
      <c r="L102" s="10">
        <v>45670.197557870371</v>
      </c>
      <c r="M102" s="11">
        <f t="shared" si="8"/>
        <v>0</v>
      </c>
      <c r="N102" s="11">
        <f t="shared" si="9"/>
        <v>2.2916666566743515E-3</v>
      </c>
      <c r="O102" s="11">
        <f t="shared" si="10"/>
        <v>2.7777777868323028E-3</v>
      </c>
      <c r="P102" s="11">
        <f t="shared" si="11"/>
        <v>2.4305555562023073E-3</v>
      </c>
      <c r="Q102" s="11">
        <f t="shared" si="12"/>
        <v>8.6805554747115821E-4</v>
      </c>
      <c r="R102" s="11">
        <f t="shared" si="13"/>
        <v>2.6851851944229566E-3</v>
      </c>
      <c r="S102" s="11">
        <f t="shared" si="14"/>
        <v>8.7615740849287249E-3</v>
      </c>
      <c r="T102" s="11">
        <f t="shared" si="15"/>
        <v>1.1053240741603076E-2</v>
      </c>
    </row>
    <row r="103" spans="1:20" x14ac:dyDescent="0.25">
      <c r="A103" s="3" t="s">
        <v>243</v>
      </c>
      <c r="B103" s="9">
        <v>298</v>
      </c>
      <c r="C103" s="3" t="s">
        <v>139</v>
      </c>
      <c r="D103" s="10">
        <v>45670.25335648148</v>
      </c>
      <c r="E103" s="10">
        <v>45670.25335648148</v>
      </c>
      <c r="F103" s="10">
        <v>45670.255636574067</v>
      </c>
      <c r="G103" s="10">
        <v>45670.255636574067</v>
      </c>
      <c r="H103" s="10">
        <v>45670.258414351847</v>
      </c>
      <c r="I103" s="10">
        <v>45670.260798611111</v>
      </c>
      <c r="J103" s="10">
        <v>45670.260798611111</v>
      </c>
      <c r="K103" s="10">
        <v>45670.261678240742</v>
      </c>
      <c r="L103" s="10">
        <v>45670.264363425929</v>
      </c>
      <c r="M103" s="11">
        <f t="shared" si="8"/>
        <v>0</v>
      </c>
      <c r="N103" s="11">
        <f t="shared" si="9"/>
        <v>2.2800925871706568E-3</v>
      </c>
      <c r="O103" s="11">
        <f t="shared" si="10"/>
        <v>2.7777777795563452E-3</v>
      </c>
      <c r="P103" s="11">
        <f t="shared" si="11"/>
        <v>2.384259263635613E-3</v>
      </c>
      <c r="Q103" s="11">
        <f t="shared" si="12"/>
        <v>8.7962963152676821E-4</v>
      </c>
      <c r="R103" s="11">
        <f t="shared" si="13"/>
        <v>2.6851851871469989E-3</v>
      </c>
      <c r="S103" s="11">
        <f t="shared" si="14"/>
        <v>8.7268518618657254E-3</v>
      </c>
      <c r="T103" s="11">
        <f t="shared" si="15"/>
        <v>1.1006944449036382E-2</v>
      </c>
    </row>
    <row r="104" spans="1:20" x14ac:dyDescent="0.25">
      <c r="A104" s="3" t="s">
        <v>244</v>
      </c>
      <c r="B104" s="9">
        <v>205.52</v>
      </c>
      <c r="C104" s="3" t="s">
        <v>139</v>
      </c>
      <c r="D104" s="10">
        <v>45670.293182870373</v>
      </c>
      <c r="E104" s="10">
        <v>45670.293182870373</v>
      </c>
      <c r="F104" s="10">
        <v>45670.295254629629</v>
      </c>
      <c r="G104" s="10">
        <v>45670.295254629629</v>
      </c>
      <c r="H104" s="10">
        <v>45670.298032407409</v>
      </c>
      <c r="I104" s="10">
        <v>45670.299687500003</v>
      </c>
      <c r="J104" s="10">
        <v>45670.299687500003</v>
      </c>
      <c r="K104" s="10">
        <v>45670.300555555557</v>
      </c>
      <c r="L104" s="10">
        <v>45670.302719907413</v>
      </c>
      <c r="M104" s="11">
        <f t="shared" si="8"/>
        <v>0</v>
      </c>
      <c r="N104" s="11">
        <f t="shared" si="9"/>
        <v>2.0717592560686171E-3</v>
      </c>
      <c r="O104" s="11">
        <f t="shared" si="10"/>
        <v>2.7777777795563452E-3</v>
      </c>
      <c r="P104" s="11">
        <f t="shared" si="11"/>
        <v>1.6550925938645378E-3</v>
      </c>
      <c r="Q104" s="11">
        <f t="shared" si="12"/>
        <v>8.6805555474711582E-4</v>
      </c>
      <c r="R104" s="11">
        <f t="shared" si="13"/>
        <v>2.164351855753921E-3</v>
      </c>
      <c r="S104" s="11">
        <f t="shared" si="14"/>
        <v>7.4652777839219198E-3</v>
      </c>
      <c r="T104" s="11">
        <f t="shared" si="15"/>
        <v>9.5370370399905369E-3</v>
      </c>
    </row>
    <row r="105" spans="1:20" x14ac:dyDescent="0.25">
      <c r="A105" s="3" t="s">
        <v>245</v>
      </c>
      <c r="B105" s="9">
        <v>397.30000000000013</v>
      </c>
      <c r="C105" s="3" t="s">
        <v>142</v>
      </c>
      <c r="D105" s="10">
        <v>45670.302118055559</v>
      </c>
      <c r="E105" s="10">
        <v>45670.302118055559</v>
      </c>
      <c r="F105" s="10">
        <v>45670.304189814808</v>
      </c>
      <c r="G105" s="10">
        <v>45670.304189814808</v>
      </c>
      <c r="H105" s="10">
        <v>45670.306967592587</v>
      </c>
      <c r="I105" s="10">
        <v>45670.310150462959</v>
      </c>
      <c r="J105" s="10">
        <v>45670.310150462959</v>
      </c>
      <c r="K105" s="10">
        <v>45670.311018518521</v>
      </c>
      <c r="L105" s="10">
        <v>45670.313831018517</v>
      </c>
      <c r="M105" s="11">
        <f t="shared" si="8"/>
        <v>0</v>
      </c>
      <c r="N105" s="11">
        <f t="shared" si="9"/>
        <v>2.0717592487926595E-3</v>
      </c>
      <c r="O105" s="11">
        <f t="shared" si="10"/>
        <v>2.7777777795563452E-3</v>
      </c>
      <c r="P105" s="11">
        <f t="shared" si="11"/>
        <v>3.1828703722567298E-3</v>
      </c>
      <c r="Q105" s="11">
        <f t="shared" si="12"/>
        <v>8.6805556202307343E-4</v>
      </c>
      <c r="R105" s="11">
        <f t="shared" si="13"/>
        <v>2.8124999953433871E-3</v>
      </c>
      <c r="S105" s="11">
        <f t="shared" si="14"/>
        <v>9.6412037091795355E-3</v>
      </c>
      <c r="T105" s="11">
        <f t="shared" si="15"/>
        <v>1.1712962957972195E-2</v>
      </c>
    </row>
    <row r="106" spans="1:20" x14ac:dyDescent="0.25">
      <c r="A106" s="3" t="s">
        <v>246</v>
      </c>
      <c r="B106" s="9">
        <v>497.28</v>
      </c>
      <c r="C106" s="3" t="s">
        <v>139</v>
      </c>
      <c r="D106" s="10">
        <v>45670.304513888892</v>
      </c>
      <c r="E106" s="10">
        <v>45670.304513888892</v>
      </c>
      <c r="F106" s="10">
        <v>45670.307256944441</v>
      </c>
      <c r="G106" s="10">
        <v>45670.307256944441</v>
      </c>
      <c r="H106" s="10">
        <v>45670.310034722221</v>
      </c>
      <c r="I106" s="10">
        <v>45670.328043981477</v>
      </c>
      <c r="J106" s="10">
        <v>45670.328043981477</v>
      </c>
      <c r="K106" s="10">
        <v>45670.328912037039</v>
      </c>
      <c r="L106" s="10">
        <v>45670.351666666669</v>
      </c>
      <c r="M106" s="11">
        <f t="shared" si="8"/>
        <v>0</v>
      </c>
      <c r="N106" s="11">
        <f t="shared" si="9"/>
        <v>2.743055549217388E-3</v>
      </c>
      <c r="O106" s="11">
        <f t="shared" si="10"/>
        <v>2.7777777795563452E-3</v>
      </c>
      <c r="P106" s="11">
        <f t="shared" si="11"/>
        <v>1.8009259256359655E-2</v>
      </c>
      <c r="Q106" s="11">
        <f t="shared" si="12"/>
        <v>8.6805556202307343E-4</v>
      </c>
      <c r="R106" s="11">
        <f t="shared" si="13"/>
        <v>2.2754629630071577E-2</v>
      </c>
      <c r="S106" s="11">
        <f t="shared" si="14"/>
        <v>4.4409722228010651E-2</v>
      </c>
      <c r="T106" s="11">
        <f t="shared" si="15"/>
        <v>4.7152777777228039E-2</v>
      </c>
    </row>
    <row r="107" spans="1:20" x14ac:dyDescent="0.25">
      <c r="A107" s="3" t="s">
        <v>247</v>
      </c>
      <c r="B107" s="9">
        <v>393.8</v>
      </c>
      <c r="C107" s="3" t="s">
        <v>139</v>
      </c>
      <c r="D107" s="10">
        <v>45670.375069444453</v>
      </c>
      <c r="E107" s="10">
        <v>45670.375069444453</v>
      </c>
      <c r="F107" s="10">
        <v>45670.377569444441</v>
      </c>
      <c r="G107" s="10">
        <v>45670.377569444441</v>
      </c>
      <c r="H107" s="10">
        <v>45670.380347222221</v>
      </c>
      <c r="I107" s="10">
        <v>45670.384375000001</v>
      </c>
      <c r="J107" s="10">
        <v>45670.384375000001</v>
      </c>
      <c r="K107" s="10">
        <v>45670.385243055563</v>
      </c>
      <c r="L107" s="10">
        <v>45670.389386574083</v>
      </c>
      <c r="M107" s="11">
        <f t="shared" si="8"/>
        <v>0</v>
      </c>
      <c r="N107" s="11">
        <f t="shared" si="9"/>
        <v>2.4999999877763912E-3</v>
      </c>
      <c r="O107" s="11">
        <f t="shared" si="10"/>
        <v>2.7777777795563452E-3</v>
      </c>
      <c r="P107" s="11">
        <f t="shared" si="11"/>
        <v>4.0277777807204984E-3</v>
      </c>
      <c r="Q107" s="11">
        <f t="shared" si="12"/>
        <v>8.6805556202307343E-4</v>
      </c>
      <c r="R107" s="11">
        <f t="shared" si="13"/>
        <v>4.1435185194131918E-3</v>
      </c>
      <c r="S107" s="11">
        <f t="shared" si="14"/>
        <v>1.1817129641713109E-2</v>
      </c>
      <c r="T107" s="11">
        <f t="shared" si="15"/>
        <v>1.43171296294895E-2</v>
      </c>
    </row>
    <row r="108" spans="1:20" x14ac:dyDescent="0.25">
      <c r="A108" s="3" t="s">
        <v>248</v>
      </c>
      <c r="B108" s="9">
        <v>445.28</v>
      </c>
      <c r="C108" s="3" t="s">
        <v>142</v>
      </c>
      <c r="D108" s="10">
        <v>45670.37604166667</v>
      </c>
      <c r="E108" s="10">
        <v>45670.37604166667</v>
      </c>
      <c r="F108" s="10">
        <v>45670.378229166658</v>
      </c>
      <c r="G108" s="10">
        <v>45670.378229166658</v>
      </c>
      <c r="H108" s="10">
        <v>45670.381006944437</v>
      </c>
      <c r="I108" s="10">
        <v>45670.394270833327</v>
      </c>
      <c r="J108" s="10">
        <v>45670.394270833327</v>
      </c>
      <c r="K108" s="10">
        <v>45670.395138888889</v>
      </c>
      <c r="L108" s="10">
        <v>45670.41101851852</v>
      </c>
      <c r="M108" s="11">
        <f t="shared" si="8"/>
        <v>0</v>
      </c>
      <c r="N108" s="11">
        <f t="shared" si="9"/>
        <v>2.1874999874853529E-3</v>
      </c>
      <c r="O108" s="11">
        <f t="shared" si="10"/>
        <v>2.7777777795563452E-3</v>
      </c>
      <c r="P108" s="11">
        <f t="shared" si="11"/>
        <v>1.3263888889923692E-2</v>
      </c>
      <c r="Q108" s="11">
        <f t="shared" si="12"/>
        <v>8.6805556202307343E-4</v>
      </c>
      <c r="R108" s="11">
        <f t="shared" si="13"/>
        <v>1.5879629630944692E-2</v>
      </c>
      <c r="S108" s="11">
        <f t="shared" si="14"/>
        <v>3.2789351862447802E-2</v>
      </c>
      <c r="T108" s="11">
        <f t="shared" si="15"/>
        <v>3.4976851849933155E-2</v>
      </c>
    </row>
    <row r="109" spans="1:20" x14ac:dyDescent="0.25">
      <c r="A109" s="3" t="s">
        <v>249</v>
      </c>
      <c r="B109" s="9">
        <v>407.92</v>
      </c>
      <c r="C109" s="3" t="s">
        <v>139</v>
      </c>
      <c r="D109" s="10">
        <v>45670.419004629628</v>
      </c>
      <c r="E109" s="10">
        <v>45670.419004629628</v>
      </c>
      <c r="F109" s="10">
        <v>45670.421539351853</v>
      </c>
      <c r="G109" s="10">
        <v>45670.421539351853</v>
      </c>
      <c r="H109" s="10">
        <v>45670.424317129633</v>
      </c>
      <c r="I109" s="10">
        <v>45670.429965277777</v>
      </c>
      <c r="J109" s="10">
        <v>45670.429965277777</v>
      </c>
      <c r="K109" s="10">
        <v>45670.430833333332</v>
      </c>
      <c r="L109" s="10">
        <v>45670.436631944453</v>
      </c>
      <c r="M109" s="11">
        <f t="shared" si="8"/>
        <v>0</v>
      </c>
      <c r="N109" s="11">
        <f t="shared" si="9"/>
        <v>2.534722225391306E-3</v>
      </c>
      <c r="O109" s="11">
        <f t="shared" si="10"/>
        <v>2.7777777795563452E-3</v>
      </c>
      <c r="P109" s="11">
        <f t="shared" si="11"/>
        <v>5.648148144246079E-3</v>
      </c>
      <c r="Q109" s="11">
        <f t="shared" si="12"/>
        <v>8.6805555474711582E-4</v>
      </c>
      <c r="R109" s="11">
        <f t="shared" si="13"/>
        <v>5.7986111205536872E-3</v>
      </c>
      <c r="S109" s="11">
        <f t="shared" si="14"/>
        <v>1.5092592599103227E-2</v>
      </c>
      <c r="T109" s="11">
        <f t="shared" si="15"/>
        <v>1.7627314824494533E-2</v>
      </c>
    </row>
    <row r="110" spans="1:20" x14ac:dyDescent="0.25">
      <c r="A110" s="3" t="s">
        <v>250</v>
      </c>
      <c r="B110" s="9">
        <v>234.88000000000011</v>
      </c>
      <c r="C110" s="3" t="s">
        <v>139</v>
      </c>
      <c r="D110" s="10">
        <v>45670.51152777778</v>
      </c>
      <c r="E110" s="10">
        <v>45670.51152777778</v>
      </c>
      <c r="F110" s="10">
        <v>45670.513657407413</v>
      </c>
      <c r="G110" s="10">
        <v>45670.513657407413</v>
      </c>
      <c r="H110" s="10">
        <v>45670.516435185193</v>
      </c>
      <c r="I110" s="10">
        <v>45670.518240740741</v>
      </c>
      <c r="J110" s="10">
        <v>45670.518240740741</v>
      </c>
      <c r="K110" s="10">
        <v>45670.519108796303</v>
      </c>
      <c r="L110" s="10">
        <v>45670.520902777767</v>
      </c>
      <c r="M110" s="11">
        <f t="shared" si="8"/>
        <v>0</v>
      </c>
      <c r="N110" s="11">
        <f t="shared" si="9"/>
        <v>2.1296296326909214E-3</v>
      </c>
      <c r="O110" s="11">
        <f t="shared" si="10"/>
        <v>2.7777777795563452E-3</v>
      </c>
      <c r="P110" s="11">
        <f t="shared" si="11"/>
        <v>1.8055555483442731E-3</v>
      </c>
      <c r="Q110" s="11">
        <f t="shared" si="12"/>
        <v>8.6805556202307343E-4</v>
      </c>
      <c r="R110" s="11">
        <f t="shared" si="13"/>
        <v>1.7939814642886631E-3</v>
      </c>
      <c r="S110" s="11">
        <f t="shared" si="14"/>
        <v>7.2453703542123549E-3</v>
      </c>
      <c r="T110" s="11">
        <f t="shared" si="15"/>
        <v>9.3749999869032763E-3</v>
      </c>
    </row>
    <row r="111" spans="1:20" x14ac:dyDescent="0.25">
      <c r="A111" s="3" t="s">
        <v>251</v>
      </c>
      <c r="B111" s="9">
        <v>388.32000000000011</v>
      </c>
      <c r="C111" s="3" t="s">
        <v>139</v>
      </c>
      <c r="D111" s="10">
        <v>45670.602002314823</v>
      </c>
      <c r="E111" s="10">
        <v>45670.602002314823</v>
      </c>
      <c r="F111" s="10">
        <v>45670.604490740741</v>
      </c>
      <c r="G111" s="10">
        <v>45670.604490740741</v>
      </c>
      <c r="H111" s="10">
        <v>45670.607268518521</v>
      </c>
      <c r="I111" s="10">
        <v>45670.610532407409</v>
      </c>
      <c r="J111" s="10">
        <v>45670.610532407409</v>
      </c>
      <c r="K111" s="10">
        <v>45670.611400462964</v>
      </c>
      <c r="L111" s="10">
        <v>45670.613425925927</v>
      </c>
      <c r="M111" s="11">
        <f t="shared" si="8"/>
        <v>0</v>
      </c>
      <c r="N111" s="11">
        <f t="shared" si="9"/>
        <v>2.4884259182726964E-3</v>
      </c>
      <c r="O111" s="11">
        <f t="shared" si="10"/>
        <v>2.7777777795563452E-3</v>
      </c>
      <c r="P111" s="11">
        <f t="shared" si="11"/>
        <v>3.2638888878864236E-3</v>
      </c>
      <c r="Q111" s="11">
        <f t="shared" si="12"/>
        <v>8.6805555474711582E-4</v>
      </c>
      <c r="R111" s="11">
        <f t="shared" si="13"/>
        <v>2.0254629635019228E-3</v>
      </c>
      <c r="S111" s="11">
        <f t="shared" si="14"/>
        <v>8.9351851856918074E-3</v>
      </c>
      <c r="T111" s="11">
        <f t="shared" si="15"/>
        <v>1.1423611103964504E-2</v>
      </c>
    </row>
    <row r="112" spans="1:20" x14ac:dyDescent="0.25">
      <c r="A112" s="3" t="s">
        <v>252</v>
      </c>
      <c r="B112" s="9">
        <v>367.5</v>
      </c>
      <c r="C112" s="3" t="s">
        <v>139</v>
      </c>
      <c r="D112" s="10">
        <v>45670.615451388891</v>
      </c>
      <c r="E112" s="10">
        <v>45670.615451388891</v>
      </c>
      <c r="F112" s="10">
        <v>45670.617893518523</v>
      </c>
      <c r="G112" s="10">
        <v>45670.617893518523</v>
      </c>
      <c r="H112" s="10">
        <v>45670.620671296303</v>
      </c>
      <c r="I112" s="10">
        <v>45670.633564814823</v>
      </c>
      <c r="J112" s="10">
        <v>45670.633564814823</v>
      </c>
      <c r="K112" s="10">
        <v>45670.634432870371</v>
      </c>
      <c r="L112" s="10">
        <v>45670.654537037037</v>
      </c>
      <c r="M112" s="11">
        <f t="shared" si="8"/>
        <v>0</v>
      </c>
      <c r="N112" s="11">
        <f t="shared" si="9"/>
        <v>2.4421296329819597E-3</v>
      </c>
      <c r="O112" s="11">
        <f t="shared" si="10"/>
        <v>2.7777777795563452E-3</v>
      </c>
      <c r="P112" s="11">
        <f t="shared" si="11"/>
        <v>1.2893518520286307E-2</v>
      </c>
      <c r="Q112" s="11">
        <f t="shared" si="12"/>
        <v>8.6805554747115821E-4</v>
      </c>
      <c r="R112" s="11">
        <f t="shared" si="13"/>
        <v>2.0104166665987577E-2</v>
      </c>
      <c r="S112" s="11">
        <f t="shared" si="14"/>
        <v>3.6643518513301387E-2</v>
      </c>
      <c r="T112" s="11">
        <f t="shared" si="15"/>
        <v>3.9085648146283347E-2</v>
      </c>
    </row>
    <row r="113" spans="1:20" x14ac:dyDescent="0.25">
      <c r="A113" s="3" t="s">
        <v>253</v>
      </c>
      <c r="B113" s="9">
        <v>393.50000000000011</v>
      </c>
      <c r="C113" s="3" t="s">
        <v>142</v>
      </c>
      <c r="D113" s="10">
        <v>45670.639421296299</v>
      </c>
      <c r="E113" s="10">
        <v>45670.639421296299</v>
      </c>
      <c r="F113" s="10">
        <v>45670.641481481478</v>
      </c>
      <c r="G113" s="10">
        <v>45670.641481481478</v>
      </c>
      <c r="H113" s="10">
        <v>45670.644259259258</v>
      </c>
      <c r="I113" s="10">
        <v>45670.647291666668</v>
      </c>
      <c r="J113" s="10">
        <v>45670.647291666668</v>
      </c>
      <c r="K113" s="10">
        <v>45670.655405092592</v>
      </c>
      <c r="L113" s="10">
        <v>45670.657638888893</v>
      </c>
      <c r="M113" s="11">
        <f t="shared" si="8"/>
        <v>0</v>
      </c>
      <c r="N113" s="11">
        <f t="shared" si="9"/>
        <v>2.0601851792889647E-3</v>
      </c>
      <c r="O113" s="11">
        <f t="shared" si="10"/>
        <v>2.7777777795563452E-3</v>
      </c>
      <c r="P113" s="11">
        <f t="shared" si="11"/>
        <v>3.0324074105010368E-3</v>
      </c>
      <c r="Q113" s="11">
        <f t="shared" si="12"/>
        <v>8.1134259235113859E-3</v>
      </c>
      <c r="R113" s="11">
        <f t="shared" si="13"/>
        <v>2.2337963018799201E-3</v>
      </c>
      <c r="S113" s="11">
        <f t="shared" si="14"/>
        <v>1.6157407415448688E-2</v>
      </c>
      <c r="T113" s="11">
        <f t="shared" si="15"/>
        <v>1.8217592594737653E-2</v>
      </c>
    </row>
    <row r="114" spans="1:20" x14ac:dyDescent="0.25">
      <c r="A114" s="3" t="s">
        <v>254</v>
      </c>
      <c r="B114" s="9">
        <v>387.6</v>
      </c>
      <c r="C114" s="3" t="s">
        <v>139</v>
      </c>
      <c r="D114" s="10">
        <v>45670.667164351849</v>
      </c>
      <c r="E114" s="10">
        <v>45670.667164351849</v>
      </c>
      <c r="F114" s="10">
        <v>45670.669652777768</v>
      </c>
      <c r="G114" s="10">
        <v>45670.669652777768</v>
      </c>
      <c r="H114" s="10">
        <v>45670.672430555547</v>
      </c>
      <c r="I114" s="10">
        <v>45670.676793981482</v>
      </c>
      <c r="J114" s="10">
        <v>45670.676793981482</v>
      </c>
      <c r="K114" s="10">
        <v>45670.677662037036</v>
      </c>
      <c r="L114" s="10">
        <v>45670.682245370372</v>
      </c>
      <c r="M114" s="11">
        <f t="shared" si="8"/>
        <v>0</v>
      </c>
      <c r="N114" s="11">
        <f t="shared" si="9"/>
        <v>2.4884259182726964E-3</v>
      </c>
      <c r="O114" s="11">
        <f t="shared" si="10"/>
        <v>2.7777777795563452E-3</v>
      </c>
      <c r="P114" s="11">
        <f t="shared" si="11"/>
        <v>4.3634259345708415E-3</v>
      </c>
      <c r="Q114" s="11">
        <f t="shared" si="12"/>
        <v>8.6805555474711582E-4</v>
      </c>
      <c r="R114" s="11">
        <f t="shared" si="13"/>
        <v>4.5833333351765759E-3</v>
      </c>
      <c r="S114" s="11">
        <f t="shared" si="14"/>
        <v>1.2592592604050878E-2</v>
      </c>
      <c r="T114" s="11">
        <f t="shared" si="15"/>
        <v>1.5081018522323575E-2</v>
      </c>
    </row>
    <row r="115" spans="1:20" x14ac:dyDescent="0.25">
      <c r="A115" s="3" t="s">
        <v>255</v>
      </c>
      <c r="B115" s="9">
        <v>185.92</v>
      </c>
      <c r="C115" s="3" t="s">
        <v>139</v>
      </c>
      <c r="D115" s="10">
        <v>45670.726840277777</v>
      </c>
      <c r="E115" s="10">
        <v>45670.726840277777</v>
      </c>
      <c r="F115" s="10">
        <v>45670.728865740741</v>
      </c>
      <c r="G115" s="10">
        <v>45670.728865740741</v>
      </c>
      <c r="H115" s="10">
        <v>45670.73164351852</v>
      </c>
      <c r="I115" s="10">
        <v>45670.733067129629</v>
      </c>
      <c r="J115" s="10">
        <v>45670.733067129629</v>
      </c>
      <c r="K115" s="10">
        <v>45670.733935185177</v>
      </c>
      <c r="L115" s="10">
        <v>45670.735486111109</v>
      </c>
      <c r="M115" s="11">
        <f t="shared" si="8"/>
        <v>0</v>
      </c>
      <c r="N115" s="11">
        <f t="shared" si="9"/>
        <v>2.0254629635019228E-3</v>
      </c>
      <c r="O115" s="11">
        <f t="shared" si="10"/>
        <v>2.7777777795563452E-3</v>
      </c>
      <c r="P115" s="11">
        <f t="shared" si="11"/>
        <v>1.4236111092031933E-3</v>
      </c>
      <c r="Q115" s="11">
        <f t="shared" si="12"/>
        <v>8.6805554747115821E-4</v>
      </c>
      <c r="R115" s="11">
        <f t="shared" si="13"/>
        <v>1.5509259319514968E-3</v>
      </c>
      <c r="S115" s="11">
        <f t="shared" si="14"/>
        <v>6.6203703681821935E-3</v>
      </c>
      <c r="T115" s="11">
        <f t="shared" si="15"/>
        <v>8.6458333316841163E-3</v>
      </c>
    </row>
    <row r="116" spans="1:20" x14ac:dyDescent="0.25">
      <c r="A116" s="3" t="s">
        <v>256</v>
      </c>
      <c r="B116" s="9">
        <v>389.06000000000012</v>
      </c>
      <c r="C116" s="3" t="s">
        <v>139</v>
      </c>
      <c r="D116" s="10">
        <v>45670.877766203703</v>
      </c>
      <c r="E116" s="10">
        <v>45670.877766203703</v>
      </c>
      <c r="F116" s="10">
        <v>45670.880254629628</v>
      </c>
      <c r="G116" s="10">
        <v>45670.880254629628</v>
      </c>
      <c r="H116" s="10">
        <v>45670.883032407408</v>
      </c>
      <c r="I116" s="10">
        <v>45670.886307870373</v>
      </c>
      <c r="J116" s="10">
        <v>45670.886307870373</v>
      </c>
      <c r="K116" s="10">
        <v>45670.887175925927</v>
      </c>
      <c r="L116" s="10">
        <v>45670.889201388891</v>
      </c>
      <c r="M116" s="11">
        <f t="shared" si="8"/>
        <v>0</v>
      </c>
      <c r="N116" s="11">
        <f t="shared" si="9"/>
        <v>2.488425925548654E-3</v>
      </c>
      <c r="O116" s="11">
        <f t="shared" si="10"/>
        <v>2.7777777795563452E-3</v>
      </c>
      <c r="P116" s="11">
        <f t="shared" si="11"/>
        <v>3.275462964666076E-3</v>
      </c>
      <c r="Q116" s="11">
        <f t="shared" si="12"/>
        <v>8.6805555474711582E-4</v>
      </c>
      <c r="R116" s="11">
        <f t="shared" si="13"/>
        <v>2.0254629635019228E-3</v>
      </c>
      <c r="S116" s="11">
        <f t="shared" si="14"/>
        <v>8.9467592624714598E-3</v>
      </c>
      <c r="T116" s="11">
        <f t="shared" si="15"/>
        <v>1.1435185188020114E-2</v>
      </c>
    </row>
    <row r="117" spans="1:20" x14ac:dyDescent="0.25">
      <c r="A117" s="3" t="s">
        <v>257</v>
      </c>
      <c r="B117" s="9">
        <v>147.41999999999999</v>
      </c>
      <c r="C117" s="3" t="s">
        <v>139</v>
      </c>
      <c r="D117" s="10">
        <v>45671.102476851847</v>
      </c>
      <c r="E117" s="10">
        <v>45671.102476851847</v>
      </c>
      <c r="F117" s="10">
        <v>45671.104409722233</v>
      </c>
      <c r="G117" s="10">
        <v>45671.104409722233</v>
      </c>
      <c r="H117" s="10">
        <v>45671.107187499998</v>
      </c>
      <c r="I117" s="10">
        <v>45671.111342592587</v>
      </c>
      <c r="J117" s="10">
        <v>45671.111342592587</v>
      </c>
      <c r="K117" s="10">
        <v>45671.112210648149</v>
      </c>
      <c r="L117" s="10">
        <v>45671.11928240741</v>
      </c>
      <c r="M117" s="11">
        <f t="shared" si="8"/>
        <v>0</v>
      </c>
      <c r="N117" s="11">
        <f t="shared" si="9"/>
        <v>1.9328703856444918E-3</v>
      </c>
      <c r="O117" s="11">
        <f t="shared" si="10"/>
        <v>2.77777776500443E-3</v>
      </c>
      <c r="P117" s="11">
        <f t="shared" si="11"/>
        <v>4.1550925889168866E-3</v>
      </c>
      <c r="Q117" s="11">
        <f t="shared" si="12"/>
        <v>8.6805556202307343E-4</v>
      </c>
      <c r="R117" s="11">
        <f t="shared" si="13"/>
        <v>7.07175926072523E-3</v>
      </c>
      <c r="S117" s="11">
        <f t="shared" si="14"/>
        <v>1.487268517666962E-2</v>
      </c>
      <c r="T117" s="11">
        <f t="shared" si="15"/>
        <v>1.6805555562314112E-2</v>
      </c>
    </row>
    <row r="118" spans="1:20" x14ac:dyDescent="0.25">
      <c r="A118" s="3" t="s">
        <v>258</v>
      </c>
      <c r="B118" s="9">
        <v>297</v>
      </c>
      <c r="C118" s="3" t="s">
        <v>139</v>
      </c>
      <c r="D118" s="10">
        <v>45671.270497685182</v>
      </c>
      <c r="E118" s="10">
        <v>45671.270497685182</v>
      </c>
      <c r="F118" s="10">
        <v>45671.272777777784</v>
      </c>
      <c r="G118" s="10">
        <v>45671.272777777784</v>
      </c>
      <c r="H118" s="10">
        <v>45671.275555555563</v>
      </c>
      <c r="I118" s="10">
        <v>45671.278043981481</v>
      </c>
      <c r="J118" s="10">
        <v>45671.278043981481</v>
      </c>
      <c r="K118" s="10">
        <v>45671.278912037043</v>
      </c>
      <c r="L118" s="10">
        <v>45671.280729166669</v>
      </c>
      <c r="M118" s="11">
        <f t="shared" si="8"/>
        <v>0</v>
      </c>
      <c r="N118" s="11">
        <f t="shared" si="9"/>
        <v>2.280092601722572E-3</v>
      </c>
      <c r="O118" s="11">
        <f t="shared" si="10"/>
        <v>2.7777777795563452E-3</v>
      </c>
      <c r="P118" s="11">
        <f t="shared" si="11"/>
        <v>2.4884259182726964E-3</v>
      </c>
      <c r="Q118" s="11">
        <f t="shared" si="12"/>
        <v>8.6805556202307343E-4</v>
      </c>
      <c r="R118" s="11">
        <f t="shared" si="13"/>
        <v>1.8171296251239255E-3</v>
      </c>
      <c r="S118" s="11">
        <f t="shared" si="14"/>
        <v>7.9513888849760406E-3</v>
      </c>
      <c r="T118" s="11">
        <f t="shared" si="15"/>
        <v>1.0231481486698613E-2</v>
      </c>
    </row>
    <row r="119" spans="1:20" x14ac:dyDescent="0.25">
      <c r="A119" s="3" t="s">
        <v>259</v>
      </c>
      <c r="B119" s="9">
        <v>363.78</v>
      </c>
      <c r="C119" s="3" t="s">
        <v>142</v>
      </c>
      <c r="D119" s="10">
        <v>45671.276365740741</v>
      </c>
      <c r="E119" s="10">
        <v>45671.276365740741</v>
      </c>
      <c r="F119" s="10">
        <v>45671.278356481482</v>
      </c>
      <c r="G119" s="10">
        <v>45671.278356481482</v>
      </c>
      <c r="H119" s="10">
        <v>45671.281134259261</v>
      </c>
      <c r="I119" s="10">
        <v>45671.289965277778</v>
      </c>
      <c r="J119" s="10">
        <v>45671.289965277778</v>
      </c>
      <c r="K119" s="10">
        <v>45671.290833333333</v>
      </c>
      <c r="L119" s="10">
        <v>45671.303194444437</v>
      </c>
      <c r="M119" s="11">
        <f t="shared" si="8"/>
        <v>0</v>
      </c>
      <c r="N119" s="11">
        <f t="shared" si="9"/>
        <v>1.9907407404389232E-3</v>
      </c>
      <c r="O119" s="11">
        <f t="shared" si="10"/>
        <v>2.7777777795563452E-3</v>
      </c>
      <c r="P119" s="11">
        <f t="shared" si="11"/>
        <v>8.8310185165028088E-3</v>
      </c>
      <c r="Q119" s="11">
        <f t="shared" si="12"/>
        <v>8.6805555474711582E-4</v>
      </c>
      <c r="R119" s="11">
        <f t="shared" si="13"/>
        <v>1.2361111104837619E-2</v>
      </c>
      <c r="S119" s="11">
        <f t="shared" si="14"/>
        <v>2.4837962955643889E-2</v>
      </c>
      <c r="T119" s="11">
        <f t="shared" si="15"/>
        <v>2.6828703696082812E-2</v>
      </c>
    </row>
    <row r="120" spans="1:20" x14ac:dyDescent="0.25">
      <c r="A120" s="3" t="s">
        <v>260</v>
      </c>
      <c r="B120" s="9">
        <v>213.84</v>
      </c>
      <c r="C120" s="3" t="s">
        <v>139</v>
      </c>
      <c r="D120" s="10">
        <v>45671.305347222216</v>
      </c>
      <c r="E120" s="10">
        <v>45671.305347222216</v>
      </c>
      <c r="F120" s="10">
        <v>45671.307430555556</v>
      </c>
      <c r="G120" s="10">
        <v>45671.307430555556</v>
      </c>
      <c r="H120" s="10">
        <v>45671.310208333343</v>
      </c>
      <c r="I120" s="10">
        <v>45671.311990740738</v>
      </c>
      <c r="J120" s="10">
        <v>45671.311990740738</v>
      </c>
      <c r="K120" s="10">
        <v>45671.312719907408</v>
      </c>
      <c r="L120" s="10">
        <v>45671.31490740741</v>
      </c>
      <c r="M120" s="11">
        <f t="shared" si="8"/>
        <v>0</v>
      </c>
      <c r="N120" s="11">
        <f t="shared" si="9"/>
        <v>2.0833333401242271E-3</v>
      </c>
      <c r="O120" s="11">
        <f t="shared" si="10"/>
        <v>2.7777777868323028E-3</v>
      </c>
      <c r="P120" s="11">
        <f t="shared" si="11"/>
        <v>1.7824073947849683E-3</v>
      </c>
      <c r="Q120" s="11">
        <f t="shared" si="12"/>
        <v>7.2916666977107525E-4</v>
      </c>
      <c r="R120" s="11">
        <f t="shared" si="13"/>
        <v>2.1875000020372681E-3</v>
      </c>
      <c r="S120" s="11">
        <f t="shared" si="14"/>
        <v>7.4768518534256145E-3</v>
      </c>
      <c r="T120" s="11">
        <f t="shared" si="15"/>
        <v>9.5601851935498416E-3</v>
      </c>
    </row>
    <row r="121" spans="1:20" x14ac:dyDescent="0.25">
      <c r="A121" s="3" t="s">
        <v>261</v>
      </c>
      <c r="B121" s="9">
        <v>389.80000000000013</v>
      </c>
      <c r="C121" s="3" t="s">
        <v>139</v>
      </c>
      <c r="D121" s="10">
        <v>45671.333680555559</v>
      </c>
      <c r="E121" s="10">
        <v>45671.333680555559</v>
      </c>
      <c r="F121" s="10">
        <v>45671.336168981477</v>
      </c>
      <c r="G121" s="10">
        <v>45671.336168981477</v>
      </c>
      <c r="H121" s="10">
        <v>45671.338946759257</v>
      </c>
      <c r="I121" s="10">
        <v>45671.341724537036</v>
      </c>
      <c r="J121" s="10">
        <v>45671.341724537036</v>
      </c>
      <c r="K121" s="10">
        <v>45671.342604166668</v>
      </c>
      <c r="L121" s="10">
        <v>45671.34474537037</v>
      </c>
      <c r="M121" s="11">
        <f t="shared" si="8"/>
        <v>0</v>
      </c>
      <c r="N121" s="11">
        <f t="shared" si="9"/>
        <v>2.4884259182726964E-3</v>
      </c>
      <c r="O121" s="11">
        <f t="shared" si="10"/>
        <v>2.7777777795563452E-3</v>
      </c>
      <c r="P121" s="11">
        <f t="shared" si="11"/>
        <v>2.7777777795563452E-3</v>
      </c>
      <c r="Q121" s="11">
        <f t="shared" si="12"/>
        <v>8.7962963152676821E-4</v>
      </c>
      <c r="R121" s="11">
        <f t="shared" si="13"/>
        <v>2.1412037021946162E-3</v>
      </c>
      <c r="S121" s="11">
        <f t="shared" si="14"/>
        <v>8.5763888928340748E-3</v>
      </c>
      <c r="T121" s="11">
        <f t="shared" si="15"/>
        <v>1.1064814811106771E-2</v>
      </c>
    </row>
    <row r="122" spans="1:20" x14ac:dyDescent="0.25">
      <c r="A122" s="3" t="s">
        <v>262</v>
      </c>
      <c r="B122" s="9">
        <v>591.62</v>
      </c>
      <c r="C122" s="3" t="s">
        <v>142</v>
      </c>
      <c r="D122" s="10">
        <v>45671.375034722223</v>
      </c>
      <c r="E122" s="10">
        <v>45671.375034722223</v>
      </c>
      <c r="F122" s="10">
        <v>45671.377557870372</v>
      </c>
      <c r="G122" s="10">
        <v>45671.377557870372</v>
      </c>
      <c r="H122" s="10">
        <v>45671.380335648151</v>
      </c>
      <c r="I122" s="10">
        <v>45671.397465277783</v>
      </c>
      <c r="J122" s="10">
        <v>45671.397465277783</v>
      </c>
      <c r="K122" s="10">
        <v>45671.398333333331</v>
      </c>
      <c r="L122" s="10">
        <v>45671.420717592591</v>
      </c>
      <c r="M122" s="11">
        <f t="shared" si="8"/>
        <v>0</v>
      </c>
      <c r="N122" s="11">
        <f t="shared" si="9"/>
        <v>2.5231481486116536E-3</v>
      </c>
      <c r="O122" s="11">
        <f t="shared" si="10"/>
        <v>2.7777777795563452E-3</v>
      </c>
      <c r="P122" s="11">
        <f t="shared" si="11"/>
        <v>1.7129629632108845E-2</v>
      </c>
      <c r="Q122" s="11">
        <f t="shared" si="12"/>
        <v>8.6805554747115821E-4</v>
      </c>
      <c r="R122" s="11">
        <f t="shared" si="13"/>
        <v>2.2384259260434192E-2</v>
      </c>
      <c r="S122" s="11">
        <f t="shared" si="14"/>
        <v>4.315972221957054E-2</v>
      </c>
      <c r="T122" s="11">
        <f t="shared" si="15"/>
        <v>4.5682870368182193E-2</v>
      </c>
    </row>
    <row r="123" spans="1:20" x14ac:dyDescent="0.25">
      <c r="A123" s="3" t="s">
        <v>263</v>
      </c>
      <c r="B123" s="9">
        <v>393.9</v>
      </c>
      <c r="C123" s="3" t="s">
        <v>139</v>
      </c>
      <c r="D123" s="10">
        <v>45671.378171296303</v>
      </c>
      <c r="E123" s="10">
        <v>45671.378171296303</v>
      </c>
      <c r="F123" s="10">
        <v>45671.380671296298</v>
      </c>
      <c r="G123" s="10">
        <v>45671.380671296298</v>
      </c>
      <c r="H123" s="10">
        <v>45671.383449074077</v>
      </c>
      <c r="I123" s="10">
        <v>45671.388356481482</v>
      </c>
      <c r="J123" s="10">
        <v>45671.388356481482</v>
      </c>
      <c r="K123" s="10">
        <v>45671.389224537037</v>
      </c>
      <c r="L123" s="10">
        <v>45671.395462962973</v>
      </c>
      <c r="M123" s="11">
        <f t="shared" si="8"/>
        <v>0</v>
      </c>
      <c r="N123" s="11">
        <f t="shared" si="9"/>
        <v>2.4999999950523488E-3</v>
      </c>
      <c r="O123" s="11">
        <f t="shared" si="10"/>
        <v>2.7777777795563452E-3</v>
      </c>
      <c r="P123" s="11">
        <f t="shared" si="11"/>
        <v>4.907407404971309E-3</v>
      </c>
      <c r="Q123" s="11">
        <f t="shared" si="12"/>
        <v>8.6805555474711582E-4</v>
      </c>
      <c r="R123" s="11">
        <f t="shared" si="13"/>
        <v>6.2384259363170713E-3</v>
      </c>
      <c r="S123" s="11">
        <f t="shared" si="14"/>
        <v>1.4791666675591841E-2</v>
      </c>
      <c r="T123" s="11">
        <f t="shared" si="15"/>
        <v>1.729166667064419E-2</v>
      </c>
    </row>
    <row r="124" spans="1:20" x14ac:dyDescent="0.25">
      <c r="A124" s="3" t="s">
        <v>264</v>
      </c>
      <c r="B124" s="9">
        <v>439.66</v>
      </c>
      <c r="C124" s="3" t="s">
        <v>139</v>
      </c>
      <c r="D124" s="10">
        <v>45671.409247685187</v>
      </c>
      <c r="E124" s="10">
        <v>45671.409247685187</v>
      </c>
      <c r="F124" s="10">
        <v>45671.411851851852</v>
      </c>
      <c r="G124" s="10">
        <v>45671.411851851852</v>
      </c>
      <c r="H124" s="10">
        <v>45671.414629629631</v>
      </c>
      <c r="I124" s="10">
        <v>45671.419120370367</v>
      </c>
      <c r="J124" s="10">
        <v>45671.419120370367</v>
      </c>
      <c r="K124" s="10">
        <v>45671.421585648153</v>
      </c>
      <c r="L124" s="10">
        <v>45671.425416666672</v>
      </c>
      <c r="M124" s="11">
        <f t="shared" si="8"/>
        <v>0</v>
      </c>
      <c r="N124" s="11">
        <f t="shared" si="9"/>
        <v>2.6041666642413475E-3</v>
      </c>
      <c r="O124" s="11">
        <f t="shared" si="10"/>
        <v>2.7777777795563452E-3</v>
      </c>
      <c r="P124" s="11">
        <f t="shared" si="11"/>
        <v>4.4907407354912721E-3</v>
      </c>
      <c r="Q124" s="11">
        <f t="shared" si="12"/>
        <v>2.4652777865412645E-3</v>
      </c>
      <c r="R124" s="11">
        <f t="shared" si="13"/>
        <v>3.8310185191221535E-3</v>
      </c>
      <c r="S124" s="11">
        <f t="shared" si="14"/>
        <v>1.3564814820711035E-2</v>
      </c>
      <c r="T124" s="11">
        <f t="shared" si="15"/>
        <v>1.6168981484952383E-2</v>
      </c>
    </row>
    <row r="125" spans="1:20" x14ac:dyDescent="0.25">
      <c r="A125" s="3" t="s">
        <v>265</v>
      </c>
      <c r="B125" s="9">
        <v>297.8</v>
      </c>
      <c r="C125" s="3" t="s">
        <v>139</v>
      </c>
      <c r="D125" s="10">
        <v>45671.535405092603</v>
      </c>
      <c r="E125" s="10">
        <v>45671.535405092603</v>
      </c>
      <c r="F125" s="10">
        <v>45671.537685185183</v>
      </c>
      <c r="G125" s="10">
        <v>45671.537685185183</v>
      </c>
      <c r="H125" s="10">
        <v>45671.540462962963</v>
      </c>
      <c r="I125" s="10">
        <v>45671.542939814812</v>
      </c>
      <c r="J125" s="10">
        <v>45671.542939814812</v>
      </c>
      <c r="K125" s="10">
        <v>45671.543807870366</v>
      </c>
      <c r="L125" s="10">
        <v>45671.545844907407</v>
      </c>
      <c r="M125" s="11">
        <f t="shared" si="8"/>
        <v>0</v>
      </c>
      <c r="N125" s="11">
        <f t="shared" si="9"/>
        <v>2.2800925798946992E-3</v>
      </c>
      <c r="O125" s="11">
        <f t="shared" si="10"/>
        <v>2.7777777795563452E-3</v>
      </c>
      <c r="P125" s="11">
        <f t="shared" si="11"/>
        <v>2.4768518487690017E-3</v>
      </c>
      <c r="Q125" s="11">
        <f t="shared" si="12"/>
        <v>8.6805555474711582E-4</v>
      </c>
      <c r="R125" s="11">
        <f t="shared" si="13"/>
        <v>2.0370370402815752E-3</v>
      </c>
      <c r="S125" s="11">
        <f t="shared" si="14"/>
        <v>8.1597222233540379E-3</v>
      </c>
      <c r="T125" s="11">
        <f t="shared" si="15"/>
        <v>1.0439814803248737E-2</v>
      </c>
    </row>
    <row r="126" spans="1:20" x14ac:dyDescent="0.25">
      <c r="A126" s="3" t="s">
        <v>266</v>
      </c>
      <c r="B126" s="9">
        <v>225.64</v>
      </c>
      <c r="C126" s="3" t="s">
        <v>139</v>
      </c>
      <c r="D126" s="10">
        <v>45671.599606481483</v>
      </c>
      <c r="E126" s="10">
        <v>45671.599606481483</v>
      </c>
      <c r="F126" s="10">
        <v>45671.601724537039</v>
      </c>
      <c r="G126" s="10">
        <v>45671.601724537039</v>
      </c>
      <c r="H126" s="10">
        <v>45671.604502314818</v>
      </c>
      <c r="I126" s="10">
        <v>45671.60628472222</v>
      </c>
      <c r="J126" s="10">
        <v>45671.60628472222</v>
      </c>
      <c r="K126" s="10">
        <v>45671.607152777768</v>
      </c>
      <c r="L126" s="10">
        <v>45671.609027777777</v>
      </c>
      <c r="M126" s="11">
        <f t="shared" si="8"/>
        <v>0</v>
      </c>
      <c r="N126" s="11">
        <f t="shared" si="9"/>
        <v>2.118055555911269E-3</v>
      </c>
      <c r="O126" s="11">
        <f t="shared" si="10"/>
        <v>2.7777777795563452E-3</v>
      </c>
      <c r="P126" s="11">
        <f t="shared" si="11"/>
        <v>1.782407402060926E-3</v>
      </c>
      <c r="Q126" s="11">
        <f t="shared" si="12"/>
        <v>8.6805554747115821E-4</v>
      </c>
      <c r="R126" s="11">
        <f t="shared" si="13"/>
        <v>1.8750000090221874E-3</v>
      </c>
      <c r="S126" s="11">
        <f t="shared" si="14"/>
        <v>7.3032407381106168E-3</v>
      </c>
      <c r="T126" s="11">
        <f t="shared" si="15"/>
        <v>9.4212962940218858E-3</v>
      </c>
    </row>
    <row r="127" spans="1:20" x14ac:dyDescent="0.25">
      <c r="A127" s="3" t="s">
        <v>267</v>
      </c>
      <c r="B127" s="9">
        <v>584.6</v>
      </c>
      <c r="C127" s="3" t="s">
        <v>142</v>
      </c>
      <c r="D127" s="10">
        <v>45671.619780092587</v>
      </c>
      <c r="E127" s="10">
        <v>45671.619780092587</v>
      </c>
      <c r="F127" s="10">
        <v>45671.622291666667</v>
      </c>
      <c r="G127" s="10">
        <v>45671.622291666667</v>
      </c>
      <c r="H127" s="10">
        <v>45671.625069444453</v>
      </c>
      <c r="I127" s="10">
        <v>45671.641030092593</v>
      </c>
      <c r="J127" s="10">
        <v>45671.641030092593</v>
      </c>
      <c r="K127" s="10">
        <v>45671.641898148147</v>
      </c>
      <c r="L127" s="10">
        <v>45671.660462962973</v>
      </c>
      <c r="M127" s="11">
        <f t="shared" si="8"/>
        <v>0</v>
      </c>
      <c r="N127" s="11">
        <f t="shared" si="9"/>
        <v>2.5115740791079588E-3</v>
      </c>
      <c r="O127" s="11">
        <f t="shared" si="10"/>
        <v>2.7777777868323028E-3</v>
      </c>
      <c r="P127" s="11">
        <f t="shared" si="11"/>
        <v>1.5960648139298428E-2</v>
      </c>
      <c r="Q127" s="11">
        <f t="shared" si="12"/>
        <v>8.6805555474711582E-4</v>
      </c>
      <c r="R127" s="11">
        <f t="shared" si="13"/>
        <v>1.8564814825367648E-2</v>
      </c>
      <c r="S127" s="11">
        <f t="shared" si="14"/>
        <v>3.8171296306245495E-2</v>
      </c>
      <c r="T127" s="11">
        <f t="shared" si="15"/>
        <v>4.0682870385353453E-2</v>
      </c>
    </row>
    <row r="128" spans="1:20" x14ac:dyDescent="0.25">
      <c r="A128" s="3" t="s">
        <v>268</v>
      </c>
      <c r="B128" s="9">
        <v>173.14</v>
      </c>
      <c r="C128" s="3" t="s">
        <v>139</v>
      </c>
      <c r="D128" s="10">
        <v>45671.644016203703</v>
      </c>
      <c r="E128" s="10">
        <v>45671.644016203703</v>
      </c>
      <c r="F128" s="10">
        <v>45671.646006944437</v>
      </c>
      <c r="G128" s="10">
        <v>45671.646006944437</v>
      </c>
      <c r="H128" s="10">
        <v>45671.648784722223</v>
      </c>
      <c r="I128" s="10">
        <v>45671.650219907409</v>
      </c>
      <c r="J128" s="10">
        <v>45671.650219907409</v>
      </c>
      <c r="K128" s="10">
        <v>45671.66133101852</v>
      </c>
      <c r="L128" s="10">
        <v>45671.663425925923</v>
      </c>
      <c r="M128" s="11">
        <f t="shared" si="8"/>
        <v>0</v>
      </c>
      <c r="N128" s="11">
        <f t="shared" si="9"/>
        <v>1.9907407331629656E-3</v>
      </c>
      <c r="O128" s="11">
        <f t="shared" si="10"/>
        <v>2.7777777868323028E-3</v>
      </c>
      <c r="P128" s="11">
        <f t="shared" si="11"/>
        <v>1.4351851859828457E-3</v>
      </c>
      <c r="Q128" s="11">
        <f t="shared" si="12"/>
        <v>1.1111111110949423E-2</v>
      </c>
      <c r="R128" s="11">
        <f t="shared" si="13"/>
        <v>2.0949074023519643E-3</v>
      </c>
      <c r="S128" s="11">
        <f t="shared" si="14"/>
        <v>1.7418981486116536E-2</v>
      </c>
      <c r="T128" s="11">
        <f t="shared" si="15"/>
        <v>1.9409722219279502E-2</v>
      </c>
    </row>
    <row r="129" spans="1:20" x14ac:dyDescent="0.25">
      <c r="A129" s="3" t="s">
        <v>269</v>
      </c>
      <c r="B129" s="9">
        <v>40.9</v>
      </c>
      <c r="C129" s="3" t="s">
        <v>164</v>
      </c>
      <c r="D129" s="10">
        <v>45671.65216435185</v>
      </c>
      <c r="E129" s="10">
        <v>45671.65216435185</v>
      </c>
      <c r="F129" s="10">
        <v>45671.65347222222</v>
      </c>
      <c r="G129" s="10">
        <v>45671.65347222222</v>
      </c>
      <c r="H129" s="10">
        <v>45671.65625</v>
      </c>
      <c r="I129" s="10">
        <v>45671.656597222223</v>
      </c>
      <c r="J129" s="10">
        <v>45671.656597222223</v>
      </c>
      <c r="K129" s="10">
        <v>45671.664293981477</v>
      </c>
      <c r="L129" s="10">
        <v>45671.666319444441</v>
      </c>
      <c r="M129" s="11">
        <f t="shared" si="8"/>
        <v>0</v>
      </c>
      <c r="N129" s="11">
        <f t="shared" si="9"/>
        <v>1.3078703705104999E-3</v>
      </c>
      <c r="O129" s="11">
        <f t="shared" si="10"/>
        <v>2.7777777795563452E-3</v>
      </c>
      <c r="P129" s="11">
        <f t="shared" si="11"/>
        <v>3.4722222335403785E-4</v>
      </c>
      <c r="Q129" s="11">
        <f t="shared" si="12"/>
        <v>7.696759254031349E-3</v>
      </c>
      <c r="R129" s="11">
        <f t="shared" si="13"/>
        <v>2.0254629635019228E-3</v>
      </c>
      <c r="S129" s="11">
        <f t="shared" si="14"/>
        <v>1.2847222220443655E-2</v>
      </c>
      <c r="T129" s="11">
        <f t="shared" si="15"/>
        <v>1.4155092590954155E-2</v>
      </c>
    </row>
    <row r="130" spans="1:20" x14ac:dyDescent="0.25">
      <c r="A130" s="3" t="s">
        <v>270</v>
      </c>
      <c r="B130" s="9">
        <v>490.11999999999989</v>
      </c>
      <c r="C130" s="3" t="s">
        <v>139</v>
      </c>
      <c r="D130" s="10">
        <v>45671.730023148149</v>
      </c>
      <c r="E130" s="10">
        <v>45671.730023148149</v>
      </c>
      <c r="F130" s="10">
        <v>45671.732743055552</v>
      </c>
      <c r="G130" s="10">
        <v>45671.732743055552</v>
      </c>
      <c r="H130" s="10">
        <v>45671.735520833332</v>
      </c>
      <c r="I130" s="10">
        <v>45671.749641203707</v>
      </c>
      <c r="J130" s="10">
        <v>45671.749641203707</v>
      </c>
      <c r="K130" s="10">
        <v>45671.753055555557</v>
      </c>
      <c r="L130" s="10">
        <v>45671.770138888889</v>
      </c>
      <c r="M130" s="11">
        <f t="shared" ref="M130:M193" si="16">IF(AND(ISNUMBER(D130),ISNUMBER(E130)),(E130-D130),"")</f>
        <v>0</v>
      </c>
      <c r="N130" s="11">
        <f t="shared" ref="N130:N193" si="17">IF(AND(ISNUMBER(E130),ISNUMBER(F130)),(F130-E130),"")</f>
        <v>2.7199074029340409E-3</v>
      </c>
      <c r="O130" s="11">
        <f t="shared" ref="O130:O193" si="18">IF(AND(ISNUMBER(G130),ISNUMBER(H130)),(H130-G130),"")</f>
        <v>2.7777777795563452E-3</v>
      </c>
      <c r="P130" s="11">
        <f t="shared" ref="P130:P193" si="19">IF(AND(ISNUMBER(H130),ISNUMBER(I130)),(I130-H130),"")</f>
        <v>1.4120370375167113E-2</v>
      </c>
      <c r="Q130" s="11">
        <f t="shared" ref="Q130:Q193" si="20">IF(AND(ISNUMBER(J130),ISNUMBER(K130)),(K130-J130),"")</f>
        <v>3.4143518496421166E-3</v>
      </c>
      <c r="R130" s="11">
        <f t="shared" ref="R130:R193" si="21">IF(AND(ISNUMBER(K130),ISNUMBER(L130)),(L130-K130),"")</f>
        <v>1.7083333332266193E-2</v>
      </c>
      <c r="S130" s="11">
        <f t="shared" ref="S130:S193" si="22">IF(AND(ISNUMBER(F130),ISNUMBER(L130)),(L130-F130),"")</f>
        <v>3.7395833336631767E-2</v>
      </c>
      <c r="T130" s="11">
        <f t="shared" ref="T130:T193" si="23">IF(AND(ISNUMBER(D130),ISNUMBER(L130)),(L130-D130),"")</f>
        <v>4.0115740739565808E-2</v>
      </c>
    </row>
    <row r="131" spans="1:20" x14ac:dyDescent="0.25">
      <c r="A131" s="3" t="s">
        <v>271</v>
      </c>
      <c r="B131" s="9">
        <v>62.96</v>
      </c>
      <c r="C131" s="3" t="s">
        <v>164</v>
      </c>
      <c r="D131" s="10">
        <v>45671.74459490741</v>
      </c>
      <c r="E131" s="10">
        <v>45671.74459490741</v>
      </c>
      <c r="F131" s="10">
        <v>45671.74596064815</v>
      </c>
      <c r="G131" s="10">
        <v>45671.74596064815</v>
      </c>
      <c r="H131" s="10">
        <v>45671.748738425929</v>
      </c>
      <c r="I131" s="10">
        <v>45671.749224537038</v>
      </c>
      <c r="J131" s="10">
        <v>45671.749224537038</v>
      </c>
      <c r="K131" s="10">
        <v>45671.750104166669</v>
      </c>
      <c r="L131" s="10">
        <v>45671.752187500002</v>
      </c>
      <c r="M131" s="11">
        <f t="shared" si="16"/>
        <v>0</v>
      </c>
      <c r="N131" s="11">
        <f t="shared" si="17"/>
        <v>1.3657407398568466E-3</v>
      </c>
      <c r="O131" s="11">
        <f t="shared" si="18"/>
        <v>2.7777777795563452E-3</v>
      </c>
      <c r="P131" s="11">
        <f t="shared" si="19"/>
        <v>4.8611110833007842E-4</v>
      </c>
      <c r="Q131" s="11">
        <f t="shared" si="20"/>
        <v>8.7962963152676821E-4</v>
      </c>
      <c r="R131" s="11">
        <f t="shared" si="21"/>
        <v>2.0833333328482695E-3</v>
      </c>
      <c r="S131" s="11">
        <f t="shared" si="22"/>
        <v>6.2268518522614613E-3</v>
      </c>
      <c r="T131" s="11">
        <f t="shared" si="23"/>
        <v>7.5925925921183079E-3</v>
      </c>
    </row>
    <row r="132" spans="1:20" x14ac:dyDescent="0.25">
      <c r="A132" s="3" t="s">
        <v>272</v>
      </c>
      <c r="B132" s="9">
        <v>15.74</v>
      </c>
      <c r="C132" s="3" t="s">
        <v>164</v>
      </c>
      <c r="D132" s="10">
        <v>45671.82476851852</v>
      </c>
      <c r="E132" s="10">
        <v>45671.82476851852</v>
      </c>
      <c r="F132" s="10">
        <v>45671.826018518521</v>
      </c>
      <c r="G132" s="10">
        <v>45671.826018518521</v>
      </c>
      <c r="H132" s="10">
        <v>45671.828796296293</v>
      </c>
      <c r="I132" s="10">
        <v>45671.828935185193</v>
      </c>
      <c r="J132" s="10">
        <v>45671.828935185193</v>
      </c>
      <c r="K132" s="10">
        <v>45671.829814814817</v>
      </c>
      <c r="L132" s="10">
        <v>45671.831331018519</v>
      </c>
      <c r="M132" s="11">
        <f t="shared" si="16"/>
        <v>0</v>
      </c>
      <c r="N132" s="11">
        <f t="shared" si="17"/>
        <v>1.2500000011641532E-3</v>
      </c>
      <c r="O132" s="11">
        <f t="shared" si="18"/>
        <v>2.7777777722803876E-3</v>
      </c>
      <c r="P132" s="11">
        <f t="shared" si="19"/>
        <v>1.388888995279558E-4</v>
      </c>
      <c r="Q132" s="11">
        <f t="shared" si="20"/>
        <v>8.7962962425081059E-4</v>
      </c>
      <c r="R132" s="11">
        <f t="shared" si="21"/>
        <v>1.5162037016125396E-3</v>
      </c>
      <c r="S132" s="11">
        <f t="shared" si="22"/>
        <v>5.3124999976716936E-3</v>
      </c>
      <c r="T132" s="11">
        <f t="shared" si="23"/>
        <v>6.5624999988358468E-3</v>
      </c>
    </row>
    <row r="133" spans="1:20" x14ac:dyDescent="0.25">
      <c r="A133" s="3" t="s">
        <v>273</v>
      </c>
      <c r="B133" s="9">
        <v>313.18</v>
      </c>
      <c r="C133" s="3" t="s">
        <v>139</v>
      </c>
      <c r="D133" s="10">
        <v>45672.09983796296</v>
      </c>
      <c r="E133" s="10">
        <v>45672.09983796296</v>
      </c>
      <c r="F133" s="10">
        <v>45672.102152777778</v>
      </c>
      <c r="G133" s="10">
        <v>45672.102152777778</v>
      </c>
      <c r="H133" s="10">
        <v>45672.104930555557</v>
      </c>
      <c r="I133" s="10">
        <v>45672.110208333332</v>
      </c>
      <c r="J133" s="10">
        <v>45672.110208333332</v>
      </c>
      <c r="K133" s="10">
        <v>45672.111076388886</v>
      </c>
      <c r="L133" s="10">
        <v>45672.118969907409</v>
      </c>
      <c r="M133" s="11">
        <f t="shared" si="16"/>
        <v>0</v>
      </c>
      <c r="N133" s="11">
        <f t="shared" si="17"/>
        <v>2.3148148175096139E-3</v>
      </c>
      <c r="O133" s="11">
        <f t="shared" si="18"/>
        <v>2.7777777795563452E-3</v>
      </c>
      <c r="P133" s="11">
        <f t="shared" si="19"/>
        <v>5.277777774608694E-3</v>
      </c>
      <c r="Q133" s="11">
        <f t="shared" si="20"/>
        <v>8.6805555474711582E-4</v>
      </c>
      <c r="R133" s="11">
        <f t="shared" si="21"/>
        <v>7.8935185229056515E-3</v>
      </c>
      <c r="S133" s="11">
        <f t="shared" si="22"/>
        <v>1.6817129631817807E-2</v>
      </c>
      <c r="T133" s="11">
        <f t="shared" si="23"/>
        <v>1.913194444932742E-2</v>
      </c>
    </row>
    <row r="134" spans="1:20" x14ac:dyDescent="0.25">
      <c r="A134" s="3" t="s">
        <v>274</v>
      </c>
      <c r="B134" s="9">
        <v>521.9</v>
      </c>
      <c r="C134" s="3" t="s">
        <v>139</v>
      </c>
      <c r="D134" s="10">
        <v>45672.191122685188</v>
      </c>
      <c r="E134" s="10">
        <v>45672.191122685188</v>
      </c>
      <c r="F134" s="10">
        <v>45672.193923611107</v>
      </c>
      <c r="G134" s="10">
        <v>45672.193923611107</v>
      </c>
      <c r="H134" s="10">
        <v>45672.196701388893</v>
      </c>
      <c r="I134" s="10">
        <v>45672.20108796296</v>
      </c>
      <c r="J134" s="10">
        <v>45672.20108796296</v>
      </c>
      <c r="K134" s="10">
        <v>45672.201967592591</v>
      </c>
      <c r="L134" s="10">
        <v>45672.204884259263</v>
      </c>
      <c r="M134" s="11">
        <f t="shared" si="16"/>
        <v>0</v>
      </c>
      <c r="N134" s="11">
        <f t="shared" si="17"/>
        <v>2.8009259185637347E-3</v>
      </c>
      <c r="O134" s="11">
        <f t="shared" si="18"/>
        <v>2.7777777868323028E-3</v>
      </c>
      <c r="P134" s="11">
        <f t="shared" si="19"/>
        <v>4.3865740663022734E-3</v>
      </c>
      <c r="Q134" s="11">
        <f t="shared" si="20"/>
        <v>8.7962963152676821E-4</v>
      </c>
      <c r="R134" s="11">
        <f t="shared" si="21"/>
        <v>2.9166666718083434E-3</v>
      </c>
      <c r="S134" s="11">
        <f t="shared" si="22"/>
        <v>1.0960648156469688E-2</v>
      </c>
      <c r="T134" s="11">
        <f t="shared" si="23"/>
        <v>1.3761574075033423E-2</v>
      </c>
    </row>
    <row r="135" spans="1:20" x14ac:dyDescent="0.25">
      <c r="A135" s="3" t="s">
        <v>275</v>
      </c>
      <c r="B135" s="9">
        <v>298</v>
      </c>
      <c r="C135" s="3" t="s">
        <v>139</v>
      </c>
      <c r="D135" s="10">
        <v>45672.269918981481</v>
      </c>
      <c r="E135" s="10">
        <v>45672.269918981481</v>
      </c>
      <c r="F135" s="10">
        <v>45672.272199074083</v>
      </c>
      <c r="G135" s="10">
        <v>45672.272199074083</v>
      </c>
      <c r="H135" s="10">
        <v>45672.274976851862</v>
      </c>
      <c r="I135" s="10">
        <v>45672.277222222219</v>
      </c>
      <c r="J135" s="10">
        <v>45672.277222222219</v>
      </c>
      <c r="K135" s="10">
        <v>45672.278090277781</v>
      </c>
      <c r="L135" s="10">
        <v>45672.279895833337</v>
      </c>
      <c r="M135" s="11">
        <f t="shared" si="16"/>
        <v>0</v>
      </c>
      <c r="N135" s="11">
        <f t="shared" si="17"/>
        <v>2.280092601722572E-3</v>
      </c>
      <c r="O135" s="11">
        <f t="shared" si="18"/>
        <v>2.7777777795563452E-3</v>
      </c>
      <c r="P135" s="11">
        <f t="shared" si="19"/>
        <v>2.2453703568316996E-3</v>
      </c>
      <c r="Q135" s="11">
        <f t="shared" si="20"/>
        <v>8.6805556202307343E-4</v>
      </c>
      <c r="R135" s="11">
        <f t="shared" si="21"/>
        <v>1.8055555556202307E-3</v>
      </c>
      <c r="S135" s="11">
        <f t="shared" si="22"/>
        <v>7.696759254031349E-3</v>
      </c>
      <c r="T135" s="11">
        <f t="shared" si="23"/>
        <v>9.976851855753921E-3</v>
      </c>
    </row>
    <row r="136" spans="1:20" x14ac:dyDescent="0.25">
      <c r="A136" s="3" t="s">
        <v>276</v>
      </c>
      <c r="B136" s="9">
        <v>406.34</v>
      </c>
      <c r="C136" s="3" t="s">
        <v>139</v>
      </c>
      <c r="D136" s="10">
        <v>45672.296990740739</v>
      </c>
      <c r="E136" s="10">
        <v>45672.296990740739</v>
      </c>
      <c r="F136" s="10">
        <v>45672.299525462957</v>
      </c>
      <c r="G136" s="10">
        <v>45672.299525462957</v>
      </c>
      <c r="H136" s="10">
        <v>45672.302303240736</v>
      </c>
      <c r="I136" s="10">
        <v>45672.314606481479</v>
      </c>
      <c r="J136" s="10">
        <v>45672.314606481479</v>
      </c>
      <c r="K136" s="10">
        <v>45672.315474537027</v>
      </c>
      <c r="L136" s="10">
        <v>45672.331666666672</v>
      </c>
      <c r="M136" s="11">
        <f t="shared" si="16"/>
        <v>0</v>
      </c>
      <c r="N136" s="11">
        <f t="shared" si="17"/>
        <v>2.5347222181153484E-3</v>
      </c>
      <c r="O136" s="11">
        <f t="shared" si="18"/>
        <v>2.7777777795563452E-3</v>
      </c>
      <c r="P136" s="11">
        <f t="shared" si="19"/>
        <v>1.230324074276723E-2</v>
      </c>
      <c r="Q136" s="11">
        <f t="shared" si="20"/>
        <v>8.6805554747115821E-4</v>
      </c>
      <c r="R136" s="11">
        <f t="shared" si="21"/>
        <v>1.6192129645787645E-2</v>
      </c>
      <c r="S136" s="11">
        <f t="shared" si="22"/>
        <v>3.2141203715582378E-2</v>
      </c>
      <c r="T136" s="11">
        <f t="shared" si="23"/>
        <v>3.4675925933697727E-2</v>
      </c>
    </row>
    <row r="137" spans="1:20" x14ac:dyDescent="0.25">
      <c r="A137" s="3" t="s">
        <v>277</v>
      </c>
      <c r="B137" s="9">
        <v>256.98</v>
      </c>
      <c r="C137" s="3" t="s">
        <v>142</v>
      </c>
      <c r="D137" s="10">
        <v>45672.311550925922</v>
      </c>
      <c r="E137" s="10">
        <v>45672.311550925922</v>
      </c>
      <c r="F137" s="10">
        <v>45672.313298611109</v>
      </c>
      <c r="G137" s="10">
        <v>45672.313298611109</v>
      </c>
      <c r="H137" s="10">
        <v>45672.316076388888</v>
      </c>
      <c r="I137" s="10">
        <v>45672.318009259259</v>
      </c>
      <c r="J137" s="10">
        <v>45672.318009259259</v>
      </c>
      <c r="K137" s="10">
        <v>45672.332546296297</v>
      </c>
      <c r="L137" s="10">
        <v>45672.334826388891</v>
      </c>
      <c r="M137" s="11">
        <f t="shared" si="16"/>
        <v>0</v>
      </c>
      <c r="N137" s="11">
        <f t="shared" si="17"/>
        <v>1.747685186273884E-3</v>
      </c>
      <c r="O137" s="11">
        <f t="shared" si="18"/>
        <v>2.7777777795563452E-3</v>
      </c>
      <c r="P137" s="11">
        <f t="shared" si="19"/>
        <v>1.9328703710925765E-3</v>
      </c>
      <c r="Q137" s="11">
        <f t="shared" si="20"/>
        <v>1.4537037037371192E-2</v>
      </c>
      <c r="R137" s="11">
        <f t="shared" si="21"/>
        <v>2.2800925944466144E-3</v>
      </c>
      <c r="S137" s="11">
        <f t="shared" si="22"/>
        <v>2.1527777782466728E-2</v>
      </c>
      <c r="T137" s="11">
        <f t="shared" si="23"/>
        <v>2.3275462968740612E-2</v>
      </c>
    </row>
    <row r="138" spans="1:20" x14ac:dyDescent="0.25">
      <c r="A138" s="3" t="s">
        <v>278</v>
      </c>
      <c r="B138" s="9">
        <v>374.06000000000012</v>
      </c>
      <c r="C138" s="3" t="s">
        <v>139</v>
      </c>
      <c r="D138" s="10">
        <v>45672.335405092592</v>
      </c>
      <c r="E138" s="10">
        <v>45672.335405092592</v>
      </c>
      <c r="F138" s="10">
        <v>45672.337858796287</v>
      </c>
      <c r="G138" s="10">
        <v>45672.337858796287</v>
      </c>
      <c r="H138" s="10">
        <v>45672.340636574067</v>
      </c>
      <c r="I138" s="10">
        <v>45672.3434375</v>
      </c>
      <c r="J138" s="10">
        <v>45672.3434375</v>
      </c>
      <c r="K138" s="10">
        <v>45672.344317129631</v>
      </c>
      <c r="L138" s="10">
        <v>45672.34710648148</v>
      </c>
      <c r="M138" s="11">
        <f t="shared" si="16"/>
        <v>0</v>
      </c>
      <c r="N138" s="11">
        <f t="shared" si="17"/>
        <v>2.4537036952096969E-3</v>
      </c>
      <c r="O138" s="11">
        <f t="shared" si="18"/>
        <v>2.7777777795563452E-3</v>
      </c>
      <c r="P138" s="11">
        <f t="shared" si="19"/>
        <v>2.80092593311565E-3</v>
      </c>
      <c r="Q138" s="11">
        <f t="shared" si="20"/>
        <v>8.7962963152676821E-4</v>
      </c>
      <c r="R138" s="11">
        <f t="shared" si="21"/>
        <v>2.78935184906004E-3</v>
      </c>
      <c r="S138" s="11">
        <f t="shared" si="22"/>
        <v>9.2476851932588033E-3</v>
      </c>
      <c r="T138" s="11">
        <f t="shared" si="23"/>
        <v>1.17013888884685E-2</v>
      </c>
    </row>
    <row r="139" spans="1:20" x14ac:dyDescent="0.25">
      <c r="A139" s="3" t="s">
        <v>279</v>
      </c>
      <c r="B139" s="9">
        <v>285.72000000000003</v>
      </c>
      <c r="C139" s="3" t="s">
        <v>139</v>
      </c>
      <c r="D139" s="10">
        <v>45672.370324074072</v>
      </c>
      <c r="E139" s="10">
        <v>45672.370324074072</v>
      </c>
      <c r="F139" s="10">
        <v>45672.372581018521</v>
      </c>
      <c r="G139" s="10">
        <v>45672.372581018521</v>
      </c>
      <c r="H139" s="10">
        <v>45672.375358796293</v>
      </c>
      <c r="I139" s="10">
        <v>45672.384895833333</v>
      </c>
      <c r="J139" s="10">
        <v>45672.384895833333</v>
      </c>
      <c r="K139" s="10">
        <v>45672.385763888888</v>
      </c>
      <c r="L139" s="10">
        <v>45672.399293981478</v>
      </c>
      <c r="M139" s="11">
        <f t="shared" si="16"/>
        <v>0</v>
      </c>
      <c r="N139" s="11">
        <f t="shared" si="17"/>
        <v>2.2569444481632672E-3</v>
      </c>
      <c r="O139" s="11">
        <f t="shared" si="18"/>
        <v>2.7777777722803876E-3</v>
      </c>
      <c r="P139" s="11">
        <f t="shared" si="19"/>
        <v>9.5370370399905369E-3</v>
      </c>
      <c r="Q139" s="11">
        <f t="shared" si="20"/>
        <v>8.6805555474711582E-4</v>
      </c>
      <c r="R139" s="11">
        <f t="shared" si="21"/>
        <v>1.3530092590372078E-2</v>
      </c>
      <c r="S139" s="11">
        <f t="shared" si="22"/>
        <v>2.6712962957390118E-2</v>
      </c>
      <c r="T139" s="11">
        <f t="shared" si="23"/>
        <v>2.8969907405553386E-2</v>
      </c>
    </row>
    <row r="140" spans="1:20" x14ac:dyDescent="0.25">
      <c r="A140" s="3" t="s">
        <v>280</v>
      </c>
      <c r="B140" s="9">
        <v>355.3</v>
      </c>
      <c r="C140" s="3" t="s">
        <v>142</v>
      </c>
      <c r="D140" s="10">
        <v>45672.378738425927</v>
      </c>
      <c r="E140" s="10">
        <v>45672.378738425927</v>
      </c>
      <c r="F140" s="10">
        <v>45672.38071759259</v>
      </c>
      <c r="G140" s="10">
        <v>45672.38071759259</v>
      </c>
      <c r="H140" s="10">
        <v>45672.38349537037</v>
      </c>
      <c r="I140" s="10">
        <v>45672.387129629627</v>
      </c>
      <c r="J140" s="10">
        <v>45672.387129629627</v>
      </c>
      <c r="K140" s="10">
        <v>45672.40016203704</v>
      </c>
      <c r="L140" s="10">
        <v>45672.403634259259</v>
      </c>
      <c r="M140" s="11">
        <f t="shared" si="16"/>
        <v>0</v>
      </c>
      <c r="N140" s="11">
        <f t="shared" si="17"/>
        <v>1.9791666636592709E-3</v>
      </c>
      <c r="O140" s="11">
        <f t="shared" si="18"/>
        <v>2.7777777795563452E-3</v>
      </c>
      <c r="P140" s="11">
        <f t="shared" si="19"/>
        <v>3.6342592575238086E-3</v>
      </c>
      <c r="Q140" s="11">
        <f t="shared" si="20"/>
        <v>1.3032407412538305E-2</v>
      </c>
      <c r="R140" s="11">
        <f t="shared" si="21"/>
        <v>3.4722222189884633E-3</v>
      </c>
      <c r="S140" s="11">
        <f t="shared" si="22"/>
        <v>2.2916666668606922E-2</v>
      </c>
      <c r="T140" s="11">
        <f t="shared" si="23"/>
        <v>2.4895833332266193E-2</v>
      </c>
    </row>
    <row r="141" spans="1:20" x14ac:dyDescent="0.25">
      <c r="A141" s="3" t="s">
        <v>281</v>
      </c>
      <c r="B141" s="9">
        <v>273.60000000000002</v>
      </c>
      <c r="C141" s="3" t="s">
        <v>139</v>
      </c>
      <c r="D141" s="10">
        <v>45672.414571759262</v>
      </c>
      <c r="E141" s="10">
        <v>45672.414571759262</v>
      </c>
      <c r="F141" s="10">
        <v>45672.41679398148</v>
      </c>
      <c r="G141" s="10">
        <v>45672.41679398148</v>
      </c>
      <c r="H141" s="10">
        <v>45672.419571759259</v>
      </c>
      <c r="I141" s="10">
        <v>45672.422858796293</v>
      </c>
      <c r="J141" s="10">
        <v>45672.422858796293</v>
      </c>
      <c r="K141" s="10">
        <v>45672.423726851863</v>
      </c>
      <c r="L141" s="10">
        <v>45672.427534722221</v>
      </c>
      <c r="M141" s="11">
        <f t="shared" si="16"/>
        <v>0</v>
      </c>
      <c r="N141" s="11">
        <f t="shared" si="17"/>
        <v>2.2222222178243101E-3</v>
      </c>
      <c r="O141" s="11">
        <f t="shared" si="18"/>
        <v>2.7777777795563452E-3</v>
      </c>
      <c r="P141" s="11">
        <f t="shared" si="19"/>
        <v>3.2870370341697708E-3</v>
      </c>
      <c r="Q141" s="11">
        <f t="shared" si="20"/>
        <v>8.6805556929903105E-4</v>
      </c>
      <c r="R141" s="11">
        <f t="shared" si="21"/>
        <v>3.8078703582868911E-3</v>
      </c>
      <c r="S141" s="11">
        <f t="shared" si="22"/>
        <v>1.0740740741312038E-2</v>
      </c>
      <c r="T141" s="11">
        <f t="shared" si="23"/>
        <v>1.2962962959136348E-2</v>
      </c>
    </row>
    <row r="142" spans="1:20" x14ac:dyDescent="0.25">
      <c r="A142" s="3" t="s">
        <v>282</v>
      </c>
      <c r="B142" s="9">
        <v>120.92</v>
      </c>
      <c r="C142" s="3" t="s">
        <v>139</v>
      </c>
      <c r="D142" s="10">
        <v>45672.540914351863</v>
      </c>
      <c r="E142" s="10">
        <v>45672.540914351863</v>
      </c>
      <c r="F142" s="10">
        <v>45672.54278935185</v>
      </c>
      <c r="G142" s="10">
        <v>45672.54278935185</v>
      </c>
      <c r="H142" s="10">
        <v>45672.545567129629</v>
      </c>
      <c r="I142" s="10">
        <v>45672.54650462963</v>
      </c>
      <c r="J142" s="10">
        <v>45672.54650462963</v>
      </c>
      <c r="K142" s="10">
        <v>45672.547372685192</v>
      </c>
      <c r="L142" s="10">
        <v>45672.549363425933</v>
      </c>
      <c r="M142" s="11">
        <f t="shared" si="16"/>
        <v>0</v>
      </c>
      <c r="N142" s="11">
        <f t="shared" si="17"/>
        <v>1.8749999871943146E-3</v>
      </c>
      <c r="O142" s="11">
        <f t="shared" si="18"/>
        <v>2.7777777795563452E-3</v>
      </c>
      <c r="P142" s="11">
        <f t="shared" si="19"/>
        <v>9.3750000087311491E-4</v>
      </c>
      <c r="Q142" s="11">
        <f t="shared" si="20"/>
        <v>8.6805556202307343E-4</v>
      </c>
      <c r="R142" s="11">
        <f t="shared" si="21"/>
        <v>1.9907407404389232E-3</v>
      </c>
      <c r="S142" s="11">
        <f t="shared" si="22"/>
        <v>6.5740740828914568E-3</v>
      </c>
      <c r="T142" s="11">
        <f t="shared" si="23"/>
        <v>8.4490740700857714E-3</v>
      </c>
    </row>
    <row r="143" spans="1:20" x14ac:dyDescent="0.25">
      <c r="A143" s="3" t="s">
        <v>283</v>
      </c>
      <c r="B143" s="9">
        <v>515.64</v>
      </c>
      <c r="C143" s="3" t="s">
        <v>139</v>
      </c>
      <c r="D143" s="10">
        <v>45672.627418981479</v>
      </c>
      <c r="E143" s="10">
        <v>45672.627418981479</v>
      </c>
      <c r="F143" s="10">
        <v>45672.630208333343</v>
      </c>
      <c r="G143" s="10">
        <v>45672.630208333343</v>
      </c>
      <c r="H143" s="10">
        <v>45672.632986111108</v>
      </c>
      <c r="I143" s="10">
        <v>45672.646828703713</v>
      </c>
      <c r="J143" s="10">
        <v>45672.646828703713</v>
      </c>
      <c r="K143" s="10">
        <v>45672.647696759261</v>
      </c>
      <c r="L143" s="10">
        <v>45672.665509259263</v>
      </c>
      <c r="M143" s="11">
        <f t="shared" si="16"/>
        <v>0</v>
      </c>
      <c r="N143" s="11">
        <f t="shared" si="17"/>
        <v>2.7893518636119552E-3</v>
      </c>
      <c r="O143" s="11">
        <f t="shared" si="18"/>
        <v>2.77777776500443E-3</v>
      </c>
      <c r="P143" s="11">
        <f t="shared" si="19"/>
        <v>1.3842592605215032E-2</v>
      </c>
      <c r="Q143" s="11">
        <f t="shared" si="20"/>
        <v>8.6805554747115821E-4</v>
      </c>
      <c r="R143" s="11">
        <f t="shared" si="21"/>
        <v>1.7812500002037268E-2</v>
      </c>
      <c r="S143" s="11">
        <f t="shared" si="22"/>
        <v>3.5300925919727888E-2</v>
      </c>
      <c r="T143" s="11">
        <f t="shared" si="23"/>
        <v>3.8090277783339843E-2</v>
      </c>
    </row>
    <row r="144" spans="1:20" x14ac:dyDescent="0.25">
      <c r="A144" s="3" t="s">
        <v>284</v>
      </c>
      <c r="B144" s="9">
        <v>110.18</v>
      </c>
      <c r="C144" s="3" t="s">
        <v>142</v>
      </c>
      <c r="D144" s="10">
        <v>45672.647766203707</v>
      </c>
      <c r="E144" s="10">
        <v>45672.647766203707</v>
      </c>
      <c r="F144" s="10">
        <v>45672.649178240739</v>
      </c>
      <c r="G144" s="10">
        <v>45672.649178240739</v>
      </c>
      <c r="H144" s="10">
        <v>45672.651956018519</v>
      </c>
      <c r="I144" s="10">
        <v>45672.65284722222</v>
      </c>
      <c r="J144" s="10">
        <v>45672.65284722222</v>
      </c>
      <c r="K144" s="10">
        <v>45672.666377314818</v>
      </c>
      <c r="L144" s="10">
        <v>45672.667847222219</v>
      </c>
      <c r="M144" s="11">
        <f t="shared" si="16"/>
        <v>0</v>
      </c>
      <c r="N144" s="11">
        <f t="shared" si="17"/>
        <v>1.4120370324235409E-3</v>
      </c>
      <c r="O144" s="11">
        <f t="shared" si="18"/>
        <v>2.7777777795563452E-3</v>
      </c>
      <c r="P144" s="11">
        <f t="shared" si="19"/>
        <v>8.9120370103046298E-4</v>
      </c>
      <c r="Q144" s="11">
        <f t="shared" si="20"/>
        <v>1.3530092597648036E-2</v>
      </c>
      <c r="R144" s="11">
        <f t="shared" si="21"/>
        <v>1.4699074017698877E-3</v>
      </c>
      <c r="S144" s="11">
        <f t="shared" si="22"/>
        <v>1.8668981480004732E-2</v>
      </c>
      <c r="T144" s="11">
        <f t="shared" si="23"/>
        <v>2.0081018512428273E-2</v>
      </c>
    </row>
    <row r="145" spans="1:20" x14ac:dyDescent="0.25">
      <c r="A145" s="3" t="s">
        <v>285</v>
      </c>
      <c r="B145" s="9">
        <v>325.36000000000013</v>
      </c>
      <c r="C145" s="3" t="s">
        <v>139</v>
      </c>
      <c r="D145" s="10">
        <v>45672.718310185177</v>
      </c>
      <c r="E145" s="10">
        <v>45672.718310185177</v>
      </c>
      <c r="F145" s="10">
        <v>45672.720648148148</v>
      </c>
      <c r="G145" s="10">
        <v>45672.720648148148</v>
      </c>
      <c r="H145" s="10">
        <v>45672.723425925928</v>
      </c>
      <c r="I145" s="10">
        <v>45672.725960648153</v>
      </c>
      <c r="J145" s="10">
        <v>45672.725960648153</v>
      </c>
      <c r="K145" s="10">
        <v>45672.7268287037</v>
      </c>
      <c r="L145" s="10">
        <v>45672.728703703702</v>
      </c>
      <c r="M145" s="11">
        <f t="shared" si="16"/>
        <v>0</v>
      </c>
      <c r="N145" s="11">
        <f t="shared" si="17"/>
        <v>2.3379629710689187E-3</v>
      </c>
      <c r="O145" s="11">
        <f t="shared" si="18"/>
        <v>2.7777777795563452E-3</v>
      </c>
      <c r="P145" s="11">
        <f t="shared" si="19"/>
        <v>2.534722225391306E-3</v>
      </c>
      <c r="Q145" s="11">
        <f t="shared" si="20"/>
        <v>8.6805554747115821E-4</v>
      </c>
      <c r="R145" s="11">
        <f t="shared" si="21"/>
        <v>1.8750000017462298E-3</v>
      </c>
      <c r="S145" s="11">
        <f t="shared" si="22"/>
        <v>8.0555555541650392E-3</v>
      </c>
      <c r="T145" s="11">
        <f t="shared" si="23"/>
        <v>1.0393518525233958E-2</v>
      </c>
    </row>
    <row r="146" spans="1:20" x14ac:dyDescent="0.25">
      <c r="A146" s="3" t="s">
        <v>286</v>
      </c>
      <c r="B146" s="9">
        <v>296.64</v>
      </c>
      <c r="C146" s="3" t="s">
        <v>139</v>
      </c>
      <c r="D146" s="10">
        <v>45672.735393518517</v>
      </c>
      <c r="E146" s="10">
        <v>45672.735393518517</v>
      </c>
      <c r="F146" s="10">
        <v>45672.737673611111</v>
      </c>
      <c r="G146" s="10">
        <v>45672.737673611111</v>
      </c>
      <c r="H146" s="10">
        <v>45672.740451388891</v>
      </c>
      <c r="I146" s="10">
        <v>45672.753611111111</v>
      </c>
      <c r="J146" s="10">
        <v>45672.753611111111</v>
      </c>
      <c r="K146" s="10">
        <v>45672.754479166673</v>
      </c>
      <c r="L146" s="10">
        <v>45672.773182870369</v>
      </c>
      <c r="M146" s="11">
        <f t="shared" si="16"/>
        <v>0</v>
      </c>
      <c r="N146" s="11">
        <f t="shared" si="17"/>
        <v>2.2800925944466144E-3</v>
      </c>
      <c r="O146" s="11">
        <f t="shared" si="18"/>
        <v>2.7777777795563452E-3</v>
      </c>
      <c r="P146" s="11">
        <f t="shared" si="19"/>
        <v>1.3159722220734693E-2</v>
      </c>
      <c r="Q146" s="11">
        <f t="shared" si="20"/>
        <v>8.6805556202307343E-4</v>
      </c>
      <c r="R146" s="11">
        <f t="shared" si="21"/>
        <v>1.8703703695791773E-2</v>
      </c>
      <c r="S146" s="11">
        <f t="shared" si="22"/>
        <v>3.5509259258105885E-2</v>
      </c>
      <c r="T146" s="11">
        <f t="shared" si="23"/>
        <v>3.77893518525525E-2</v>
      </c>
    </row>
    <row r="147" spans="1:20" x14ac:dyDescent="0.25">
      <c r="A147" s="3" t="s">
        <v>287</v>
      </c>
      <c r="B147" s="9">
        <v>200.34</v>
      </c>
      <c r="C147" s="3" t="s">
        <v>139</v>
      </c>
      <c r="D147" s="10">
        <v>45673.110509259262</v>
      </c>
      <c r="E147" s="10">
        <v>45673.110509259262</v>
      </c>
      <c r="F147" s="10">
        <v>45673.112557870372</v>
      </c>
      <c r="G147" s="10">
        <v>45673.112557870372</v>
      </c>
      <c r="H147" s="10">
        <v>45673.115335648137</v>
      </c>
      <c r="I147" s="10">
        <v>45673.119375000002</v>
      </c>
      <c r="J147" s="10">
        <v>45673.119375000002</v>
      </c>
      <c r="K147" s="10">
        <v>45673.120162037027</v>
      </c>
      <c r="L147" s="10">
        <v>45673.1253125</v>
      </c>
      <c r="M147" s="11">
        <f t="shared" si="16"/>
        <v>0</v>
      </c>
      <c r="N147" s="11">
        <f t="shared" si="17"/>
        <v>2.0486111097852699E-3</v>
      </c>
      <c r="O147" s="11">
        <f t="shared" si="18"/>
        <v>2.77777776500443E-3</v>
      </c>
      <c r="P147" s="11">
        <f t="shared" si="19"/>
        <v>4.0393518647761084E-3</v>
      </c>
      <c r="Q147" s="11">
        <f t="shared" si="20"/>
        <v>7.8703702456550673E-4</v>
      </c>
      <c r="R147" s="11">
        <f t="shared" si="21"/>
        <v>5.1504629736882634E-3</v>
      </c>
      <c r="S147" s="11">
        <f t="shared" si="22"/>
        <v>1.2754629628034309E-2</v>
      </c>
      <c r="T147" s="11">
        <f t="shared" si="23"/>
        <v>1.4803240737819578E-2</v>
      </c>
    </row>
    <row r="148" spans="1:20" x14ac:dyDescent="0.25">
      <c r="A148" s="3" t="s">
        <v>288</v>
      </c>
      <c r="B148" s="9">
        <v>297</v>
      </c>
      <c r="C148" s="3" t="s">
        <v>139</v>
      </c>
      <c r="D148" s="10">
        <v>45673.264710648153</v>
      </c>
      <c r="E148" s="10">
        <v>45673.264710648153</v>
      </c>
      <c r="F148" s="10">
        <v>45673.26699074074</v>
      </c>
      <c r="G148" s="10">
        <v>45673.26699074074</v>
      </c>
      <c r="H148" s="10">
        <v>45673.269768518519</v>
      </c>
      <c r="I148" s="10">
        <v>45673.271932870368</v>
      </c>
      <c r="J148" s="10">
        <v>45673.271932870368</v>
      </c>
      <c r="K148" s="10">
        <v>45673.272800925923</v>
      </c>
      <c r="L148" s="10">
        <v>45673.274606481478</v>
      </c>
      <c r="M148" s="11">
        <f t="shared" si="16"/>
        <v>0</v>
      </c>
      <c r="N148" s="11">
        <f t="shared" si="17"/>
        <v>2.2800925871706568E-3</v>
      </c>
      <c r="O148" s="11">
        <f t="shared" si="18"/>
        <v>2.7777777795563452E-3</v>
      </c>
      <c r="P148" s="11">
        <f t="shared" si="19"/>
        <v>2.1643518484779634E-3</v>
      </c>
      <c r="Q148" s="11">
        <f t="shared" si="20"/>
        <v>8.6805555474711582E-4</v>
      </c>
      <c r="R148" s="11">
        <f t="shared" si="21"/>
        <v>1.8055555556202307E-3</v>
      </c>
      <c r="S148" s="11">
        <f t="shared" si="22"/>
        <v>7.6157407384016551E-3</v>
      </c>
      <c r="T148" s="11">
        <f t="shared" si="23"/>
        <v>9.8958333255723119E-3</v>
      </c>
    </row>
    <row r="149" spans="1:20" x14ac:dyDescent="0.25">
      <c r="A149" s="3" t="s">
        <v>289</v>
      </c>
      <c r="B149" s="9">
        <v>390.7</v>
      </c>
      <c r="C149" s="3" t="s">
        <v>139</v>
      </c>
      <c r="D149" s="10">
        <v>45673.301053240742</v>
      </c>
      <c r="E149" s="10">
        <v>45673.301053240742</v>
      </c>
      <c r="F149" s="10">
        <v>45673.303553240738</v>
      </c>
      <c r="G149" s="10">
        <v>45673.303553240738</v>
      </c>
      <c r="H149" s="10">
        <v>45673.306331018517</v>
      </c>
      <c r="I149" s="10">
        <v>45673.318541666667</v>
      </c>
      <c r="J149" s="10">
        <v>45673.318541666667</v>
      </c>
      <c r="K149" s="10">
        <v>45673.319421296299</v>
      </c>
      <c r="L149" s="10">
        <v>45673.33865740741</v>
      </c>
      <c r="M149" s="11">
        <f t="shared" si="16"/>
        <v>0</v>
      </c>
      <c r="N149" s="11">
        <f t="shared" si="17"/>
        <v>2.4999999950523488E-3</v>
      </c>
      <c r="O149" s="11">
        <f t="shared" si="18"/>
        <v>2.7777777795563452E-3</v>
      </c>
      <c r="P149" s="11">
        <f t="shared" si="19"/>
        <v>1.2210648150357883E-2</v>
      </c>
      <c r="Q149" s="11">
        <f t="shared" si="20"/>
        <v>8.7962963152676821E-4</v>
      </c>
      <c r="R149" s="11">
        <f t="shared" si="21"/>
        <v>1.9236111111240461E-2</v>
      </c>
      <c r="S149" s="11">
        <f t="shared" si="22"/>
        <v>3.5104166672681458E-2</v>
      </c>
      <c r="T149" s="11">
        <f t="shared" si="23"/>
        <v>3.7604166667733807E-2</v>
      </c>
    </row>
    <row r="150" spans="1:20" x14ac:dyDescent="0.25">
      <c r="A150" s="3" t="s">
        <v>290</v>
      </c>
      <c r="B150" s="9">
        <v>126</v>
      </c>
      <c r="C150" s="3" t="s">
        <v>142</v>
      </c>
      <c r="D150" s="10">
        <v>45673.301319444443</v>
      </c>
      <c r="E150" s="10">
        <v>45673.301319444443</v>
      </c>
      <c r="F150" s="10">
        <v>45673.302766203713</v>
      </c>
      <c r="G150" s="10">
        <v>45673.302766203713</v>
      </c>
      <c r="H150" s="10">
        <v>45673.305543981478</v>
      </c>
      <c r="I150" s="10">
        <v>45673.306631944448</v>
      </c>
      <c r="J150" s="10">
        <v>45673.306631944448</v>
      </c>
      <c r="K150" s="10">
        <v>45673.307511574072</v>
      </c>
      <c r="L150" s="10">
        <v>45673.309699074067</v>
      </c>
      <c r="M150" s="11">
        <f t="shared" si="16"/>
        <v>0</v>
      </c>
      <c r="N150" s="11">
        <f t="shared" si="17"/>
        <v>1.4467592700384557E-3</v>
      </c>
      <c r="O150" s="11">
        <f t="shared" si="18"/>
        <v>2.77777776500443E-3</v>
      </c>
      <c r="P150" s="11">
        <f t="shared" si="19"/>
        <v>1.0879629699047655E-3</v>
      </c>
      <c r="Q150" s="11">
        <f t="shared" si="20"/>
        <v>8.7962962425081059E-4</v>
      </c>
      <c r="R150" s="11">
        <f t="shared" si="21"/>
        <v>2.1874999947613105E-3</v>
      </c>
      <c r="S150" s="11">
        <f t="shared" si="22"/>
        <v>6.9328703539213166E-3</v>
      </c>
      <c r="T150" s="11">
        <f t="shared" si="23"/>
        <v>8.3796296239597723E-3</v>
      </c>
    </row>
    <row r="151" spans="1:20" x14ac:dyDescent="0.25">
      <c r="A151" s="3" t="s">
        <v>291</v>
      </c>
      <c r="B151" s="9">
        <v>396.56000000000012</v>
      </c>
      <c r="C151" s="3" t="s">
        <v>142</v>
      </c>
      <c r="D151" s="10">
        <v>45673.330833333333</v>
      </c>
      <c r="E151" s="10">
        <v>45673.330833333333</v>
      </c>
      <c r="F151" s="10">
        <v>45673.332905092589</v>
      </c>
      <c r="G151" s="10">
        <v>45673.332905092589</v>
      </c>
      <c r="H151" s="10">
        <v>45673.335682870369</v>
      </c>
      <c r="I151" s="10">
        <v>45673.338576388887</v>
      </c>
      <c r="J151" s="10">
        <v>45673.338576388887</v>
      </c>
      <c r="K151" s="10">
        <v>45673.339525462958</v>
      </c>
      <c r="L151" s="10">
        <v>45673.341539351852</v>
      </c>
      <c r="M151" s="11">
        <f t="shared" si="16"/>
        <v>0</v>
      </c>
      <c r="N151" s="11">
        <f t="shared" si="17"/>
        <v>2.0717592560686171E-3</v>
      </c>
      <c r="O151" s="11">
        <f t="shared" si="18"/>
        <v>2.7777777795563452E-3</v>
      </c>
      <c r="P151" s="11">
        <f t="shared" si="19"/>
        <v>2.8935185182490386E-3</v>
      </c>
      <c r="Q151" s="11">
        <f t="shared" si="20"/>
        <v>9.4907407037680969E-4</v>
      </c>
      <c r="R151" s="11">
        <f t="shared" si="21"/>
        <v>2.013888893998228E-3</v>
      </c>
      <c r="S151" s="11">
        <f t="shared" si="22"/>
        <v>8.6342592621804215E-3</v>
      </c>
      <c r="T151" s="11">
        <f t="shared" si="23"/>
        <v>1.0706018518249039E-2</v>
      </c>
    </row>
    <row r="152" spans="1:20" x14ac:dyDescent="0.25">
      <c r="A152" s="3" t="s">
        <v>292</v>
      </c>
      <c r="B152" s="9">
        <v>417.48</v>
      </c>
      <c r="C152" s="3" t="s">
        <v>139</v>
      </c>
      <c r="D152" s="10">
        <v>45673.375405092593</v>
      </c>
      <c r="E152" s="10">
        <v>45673.375405092593</v>
      </c>
      <c r="F152" s="10">
        <v>45673.377962962957</v>
      </c>
      <c r="G152" s="10">
        <v>45673.377962962957</v>
      </c>
      <c r="H152" s="10">
        <v>45673.380740740737</v>
      </c>
      <c r="I152" s="10">
        <v>45673.394224537027</v>
      </c>
      <c r="J152" s="10">
        <v>45673.394224537027</v>
      </c>
      <c r="K152" s="10">
        <v>45673.395011574074</v>
      </c>
      <c r="L152" s="10">
        <v>45673.411550925928</v>
      </c>
      <c r="M152" s="11">
        <f t="shared" si="16"/>
        <v>0</v>
      </c>
      <c r="N152" s="11">
        <f t="shared" si="17"/>
        <v>2.5578703643986955E-3</v>
      </c>
      <c r="O152" s="11">
        <f t="shared" si="18"/>
        <v>2.7777777795563452E-3</v>
      </c>
      <c r="P152" s="11">
        <f t="shared" si="19"/>
        <v>1.3483796290529426E-2</v>
      </c>
      <c r="Q152" s="11">
        <f t="shared" si="20"/>
        <v>7.8703704639337957E-4</v>
      </c>
      <c r="R152" s="11">
        <f t="shared" si="21"/>
        <v>1.6539351854589768E-2</v>
      </c>
      <c r="S152" s="11">
        <f t="shared" si="22"/>
        <v>3.3587962971068919E-2</v>
      </c>
      <c r="T152" s="11">
        <f t="shared" si="23"/>
        <v>3.6145833335467614E-2</v>
      </c>
    </row>
    <row r="153" spans="1:20" x14ac:dyDescent="0.25">
      <c r="A153" s="3" t="s">
        <v>293</v>
      </c>
      <c r="B153" s="9">
        <v>389.4</v>
      </c>
      <c r="C153" s="3" t="s">
        <v>142</v>
      </c>
      <c r="D153" s="10">
        <v>45673.376168981478</v>
      </c>
      <c r="E153" s="10">
        <v>45673.376168981478</v>
      </c>
      <c r="F153" s="10">
        <v>45673.378217592603</v>
      </c>
      <c r="G153" s="10">
        <v>45673.378217592603</v>
      </c>
      <c r="H153" s="10">
        <v>45673.380995370368</v>
      </c>
      <c r="I153" s="10">
        <v>45673.385254629633</v>
      </c>
      <c r="J153" s="10">
        <v>45673.385254629633</v>
      </c>
      <c r="K153" s="10">
        <v>45673.386053240742</v>
      </c>
      <c r="L153" s="10">
        <v>45673.390497685177</v>
      </c>
      <c r="M153" s="11">
        <f t="shared" si="16"/>
        <v>0</v>
      </c>
      <c r="N153" s="11">
        <f t="shared" si="17"/>
        <v>2.0486111243371852E-3</v>
      </c>
      <c r="O153" s="11">
        <f t="shared" si="18"/>
        <v>2.77777776500443E-3</v>
      </c>
      <c r="P153" s="11">
        <f t="shared" si="19"/>
        <v>4.2592592653818429E-3</v>
      </c>
      <c r="Q153" s="11">
        <f t="shared" si="20"/>
        <v>7.9861110862111673E-4</v>
      </c>
      <c r="R153" s="11">
        <f t="shared" si="21"/>
        <v>4.4444444356486201E-3</v>
      </c>
      <c r="S153" s="11">
        <f t="shared" si="22"/>
        <v>1.228009257465601E-2</v>
      </c>
      <c r="T153" s="11">
        <f t="shared" si="23"/>
        <v>1.4328703698993195E-2</v>
      </c>
    </row>
    <row r="154" spans="1:20" x14ac:dyDescent="0.25">
      <c r="A154" s="3" t="s">
        <v>294</v>
      </c>
      <c r="B154" s="9">
        <v>359.34000000000009</v>
      </c>
      <c r="C154" s="3" t="s">
        <v>139</v>
      </c>
      <c r="D154" s="10">
        <v>45673.441157407397</v>
      </c>
      <c r="E154" s="10">
        <v>45673.441157407397</v>
      </c>
      <c r="F154" s="10">
        <v>45673.443576388891</v>
      </c>
      <c r="G154" s="10">
        <v>45673.443576388891</v>
      </c>
      <c r="H154" s="10">
        <v>45673.44635416667</v>
      </c>
      <c r="I154" s="10">
        <v>45673.45034722222</v>
      </c>
      <c r="J154" s="10">
        <v>45673.45034722222</v>
      </c>
      <c r="K154" s="10">
        <v>45673.45113425926</v>
      </c>
      <c r="L154" s="10">
        <v>45673.454780092587</v>
      </c>
      <c r="M154" s="11">
        <f t="shared" si="16"/>
        <v>0</v>
      </c>
      <c r="N154" s="11">
        <f t="shared" si="17"/>
        <v>2.4189814939745702E-3</v>
      </c>
      <c r="O154" s="11">
        <f t="shared" si="18"/>
        <v>2.7777777795563452E-3</v>
      </c>
      <c r="P154" s="11">
        <f t="shared" si="19"/>
        <v>3.9930555503815413E-3</v>
      </c>
      <c r="Q154" s="11">
        <f t="shared" si="20"/>
        <v>7.8703703911742195E-4</v>
      </c>
      <c r="R154" s="11">
        <f t="shared" si="21"/>
        <v>3.6458333270275034E-3</v>
      </c>
      <c r="S154" s="11">
        <f t="shared" si="22"/>
        <v>1.1203703696082812E-2</v>
      </c>
      <c r="T154" s="11">
        <f t="shared" si="23"/>
        <v>1.3622685190057382E-2</v>
      </c>
    </row>
    <row r="155" spans="1:20" x14ac:dyDescent="0.25">
      <c r="A155" s="3" t="s">
        <v>295</v>
      </c>
      <c r="B155" s="9">
        <v>172.98</v>
      </c>
      <c r="C155" s="3" t="s">
        <v>139</v>
      </c>
      <c r="D155" s="10">
        <v>45673.532060185193</v>
      </c>
      <c r="E155" s="10">
        <v>45673.532060185193</v>
      </c>
      <c r="F155" s="10">
        <v>45673.534050925933</v>
      </c>
      <c r="G155" s="10">
        <v>45673.534050925933</v>
      </c>
      <c r="H155" s="10">
        <v>45673.536828703713</v>
      </c>
      <c r="I155" s="10">
        <v>45673.538124999999</v>
      </c>
      <c r="J155" s="10">
        <v>45673.538124999999</v>
      </c>
      <c r="K155" s="10">
        <v>45673.539004629631</v>
      </c>
      <c r="L155" s="10">
        <v>45673.541388888887</v>
      </c>
      <c r="M155" s="11">
        <f t="shared" si="16"/>
        <v>0</v>
      </c>
      <c r="N155" s="11">
        <f t="shared" si="17"/>
        <v>1.9907407404389232E-3</v>
      </c>
      <c r="O155" s="11">
        <f t="shared" si="18"/>
        <v>2.7777777795563452E-3</v>
      </c>
      <c r="P155" s="11">
        <f t="shared" si="19"/>
        <v>1.2962962864548899E-3</v>
      </c>
      <c r="Q155" s="11">
        <f t="shared" si="20"/>
        <v>8.7962963152676821E-4</v>
      </c>
      <c r="R155" s="11">
        <f t="shared" si="21"/>
        <v>2.3842592563596554E-3</v>
      </c>
      <c r="S155" s="11">
        <f t="shared" si="22"/>
        <v>7.3379629538976587E-3</v>
      </c>
      <c r="T155" s="11">
        <f t="shared" si="23"/>
        <v>9.328703694336582E-3</v>
      </c>
    </row>
    <row r="156" spans="1:20" x14ac:dyDescent="0.25">
      <c r="A156" s="3" t="s">
        <v>296</v>
      </c>
      <c r="B156" s="9">
        <v>233.88</v>
      </c>
      <c r="C156" s="3" t="s">
        <v>139</v>
      </c>
      <c r="D156" s="10">
        <v>45673.604884259257</v>
      </c>
      <c r="E156" s="10">
        <v>45673.604884259257</v>
      </c>
      <c r="F156" s="10">
        <v>45673.60701388889</v>
      </c>
      <c r="G156" s="10">
        <v>45673.60701388889</v>
      </c>
      <c r="H156" s="10">
        <v>45673.609791666669</v>
      </c>
      <c r="I156" s="10">
        <v>45673.611689814818</v>
      </c>
      <c r="J156" s="10">
        <v>45673.611689814818</v>
      </c>
      <c r="K156" s="10">
        <v>45673.612476851849</v>
      </c>
      <c r="L156" s="10">
        <v>45673.614259259259</v>
      </c>
      <c r="M156" s="11">
        <f t="shared" si="16"/>
        <v>0</v>
      </c>
      <c r="N156" s="11">
        <f t="shared" si="17"/>
        <v>2.1296296326909214E-3</v>
      </c>
      <c r="O156" s="11">
        <f t="shared" si="18"/>
        <v>2.7777777795563452E-3</v>
      </c>
      <c r="P156" s="11">
        <f t="shared" si="19"/>
        <v>1.898148148029577E-3</v>
      </c>
      <c r="Q156" s="11">
        <f t="shared" si="20"/>
        <v>7.8703703184146434E-4</v>
      </c>
      <c r="R156" s="11">
        <f t="shared" si="21"/>
        <v>1.7824074093368836E-3</v>
      </c>
      <c r="S156" s="11">
        <f t="shared" si="22"/>
        <v>7.2453703687642701E-3</v>
      </c>
      <c r="T156" s="11">
        <f t="shared" si="23"/>
        <v>9.3750000014551915E-3</v>
      </c>
    </row>
    <row r="157" spans="1:20" x14ac:dyDescent="0.25">
      <c r="A157" s="3" t="s">
        <v>297</v>
      </c>
      <c r="B157" s="9">
        <v>338.94</v>
      </c>
      <c r="C157" s="3" t="s">
        <v>139</v>
      </c>
      <c r="D157" s="10">
        <v>45673.614374999997</v>
      </c>
      <c r="E157" s="10">
        <v>45673.614374999997</v>
      </c>
      <c r="F157" s="10">
        <v>45673.616747685177</v>
      </c>
      <c r="G157" s="10">
        <v>45673.616747685177</v>
      </c>
      <c r="H157" s="10">
        <v>45673.619525462957</v>
      </c>
      <c r="I157" s="10">
        <v>45673.627893518518</v>
      </c>
      <c r="J157" s="10">
        <v>45673.627893518518</v>
      </c>
      <c r="K157" s="10">
        <v>45673.62877314815</v>
      </c>
      <c r="L157" s="10">
        <v>45673.640752314823</v>
      </c>
      <c r="M157" s="11">
        <f t="shared" si="16"/>
        <v>0</v>
      </c>
      <c r="N157" s="11">
        <f t="shared" si="17"/>
        <v>2.372685179580003E-3</v>
      </c>
      <c r="O157" s="11">
        <f t="shared" si="18"/>
        <v>2.7777777795563452E-3</v>
      </c>
      <c r="P157" s="11">
        <f t="shared" si="19"/>
        <v>8.3680555617320351E-3</v>
      </c>
      <c r="Q157" s="11">
        <f t="shared" si="20"/>
        <v>8.7962963152676821E-4</v>
      </c>
      <c r="R157" s="11">
        <f t="shared" si="21"/>
        <v>1.1979166672972497E-2</v>
      </c>
      <c r="S157" s="11">
        <f t="shared" si="22"/>
        <v>2.4004629645787645E-2</v>
      </c>
      <c r="T157" s="11">
        <f t="shared" si="23"/>
        <v>2.6377314825367648E-2</v>
      </c>
    </row>
    <row r="158" spans="1:20" x14ac:dyDescent="0.25">
      <c r="A158" s="3" t="s">
        <v>298</v>
      </c>
      <c r="B158" s="9">
        <v>62.96</v>
      </c>
      <c r="C158" s="3" t="s">
        <v>164</v>
      </c>
      <c r="D158" s="10">
        <v>45673.643576388888</v>
      </c>
      <c r="E158" s="10">
        <v>45673.643576388888</v>
      </c>
      <c r="F158" s="10">
        <v>45673.644942129627</v>
      </c>
      <c r="G158" s="10">
        <v>45673.644942129627</v>
      </c>
      <c r="H158" s="10">
        <v>45673.647719907407</v>
      </c>
      <c r="I158" s="10">
        <v>45673.648229166669</v>
      </c>
      <c r="J158" s="10">
        <v>45673.648229166669</v>
      </c>
      <c r="K158" s="10">
        <v>45673.649016203701</v>
      </c>
      <c r="L158" s="10">
        <v>45673.651435185187</v>
      </c>
      <c r="M158" s="11">
        <f t="shared" si="16"/>
        <v>0</v>
      </c>
      <c r="N158" s="11">
        <f t="shared" si="17"/>
        <v>1.3657407398568466E-3</v>
      </c>
      <c r="O158" s="11">
        <f t="shared" si="18"/>
        <v>2.7777777795563452E-3</v>
      </c>
      <c r="P158" s="11">
        <f t="shared" si="19"/>
        <v>5.092592618893832E-4</v>
      </c>
      <c r="Q158" s="11">
        <f t="shared" si="20"/>
        <v>7.8703703184146434E-4</v>
      </c>
      <c r="R158" s="11">
        <f t="shared" si="21"/>
        <v>2.4189814866986126E-3</v>
      </c>
      <c r="S158" s="11">
        <f t="shared" si="22"/>
        <v>6.4930555599858053E-3</v>
      </c>
      <c r="T158" s="11">
        <f t="shared" si="23"/>
        <v>7.8587962998426519E-3</v>
      </c>
    </row>
    <row r="159" spans="1:20" x14ac:dyDescent="0.25">
      <c r="A159" s="3" t="s">
        <v>299</v>
      </c>
      <c r="B159" s="9">
        <v>119.3</v>
      </c>
      <c r="C159" s="3" t="s">
        <v>139</v>
      </c>
      <c r="D159" s="10">
        <v>45673.670590277783</v>
      </c>
      <c r="E159" s="10">
        <v>45673.670590277783</v>
      </c>
      <c r="F159" s="10">
        <v>45673.672453703701</v>
      </c>
      <c r="G159" s="10">
        <v>45673.672453703701</v>
      </c>
      <c r="H159" s="10">
        <v>45673.67523148148</v>
      </c>
      <c r="I159" s="10">
        <v>45673.677094907413</v>
      </c>
      <c r="J159" s="10">
        <v>45673.677094907413</v>
      </c>
      <c r="K159" s="10">
        <v>45673.677974537037</v>
      </c>
      <c r="L159" s="10">
        <v>45673.681296296287</v>
      </c>
      <c r="M159" s="11">
        <f t="shared" si="16"/>
        <v>0</v>
      </c>
      <c r="N159" s="11">
        <f t="shared" si="17"/>
        <v>1.8634259176906198E-3</v>
      </c>
      <c r="O159" s="11">
        <f t="shared" si="18"/>
        <v>2.7777777795563452E-3</v>
      </c>
      <c r="P159" s="11">
        <f t="shared" si="19"/>
        <v>1.8634259322425351E-3</v>
      </c>
      <c r="Q159" s="11">
        <f t="shared" si="20"/>
        <v>8.7962962425081059E-4</v>
      </c>
      <c r="R159" s="11">
        <f t="shared" si="21"/>
        <v>3.3217592499568127E-3</v>
      </c>
      <c r="S159" s="11">
        <f t="shared" si="22"/>
        <v>8.8425925860065036E-3</v>
      </c>
      <c r="T159" s="11">
        <f t="shared" si="23"/>
        <v>1.0706018503697123E-2</v>
      </c>
    </row>
    <row r="160" spans="1:20" x14ac:dyDescent="0.25">
      <c r="A160" s="3" t="s">
        <v>300</v>
      </c>
      <c r="B160" s="9">
        <v>503.12</v>
      </c>
      <c r="C160" s="3" t="s">
        <v>139</v>
      </c>
      <c r="D160" s="10">
        <v>45673.726736111108</v>
      </c>
      <c r="E160" s="10">
        <v>45673.726736111108</v>
      </c>
      <c r="F160" s="10">
        <v>45673.729490740741</v>
      </c>
      <c r="G160" s="10">
        <v>45673.729490740741</v>
      </c>
      <c r="H160" s="10">
        <v>45673.732268518521</v>
      </c>
      <c r="I160" s="10">
        <v>45673.740648148138</v>
      </c>
      <c r="J160" s="10">
        <v>45673.740648148138</v>
      </c>
      <c r="K160" s="10">
        <v>45673.741446759261</v>
      </c>
      <c r="L160" s="10">
        <v>45673.750127314823</v>
      </c>
      <c r="M160" s="11">
        <f t="shared" si="16"/>
        <v>0</v>
      </c>
      <c r="N160" s="11">
        <f t="shared" si="17"/>
        <v>2.754629633272998E-3</v>
      </c>
      <c r="O160" s="11">
        <f t="shared" si="18"/>
        <v>2.7777777795563452E-3</v>
      </c>
      <c r="P160" s="11">
        <f t="shared" si="19"/>
        <v>8.3796296166838147E-3</v>
      </c>
      <c r="Q160" s="11">
        <f t="shared" si="20"/>
        <v>7.9861112317303196E-4</v>
      </c>
      <c r="R160" s="11">
        <f t="shared" si="21"/>
        <v>8.6805555620230734E-3</v>
      </c>
      <c r="S160" s="11">
        <f t="shared" si="22"/>
        <v>2.0636574081436265E-2</v>
      </c>
      <c r="T160" s="11">
        <f t="shared" si="23"/>
        <v>2.3391203714709263E-2</v>
      </c>
    </row>
    <row r="161" spans="1:20" x14ac:dyDescent="0.25">
      <c r="A161" s="3" t="s">
        <v>301</v>
      </c>
      <c r="B161" s="9">
        <v>220.98</v>
      </c>
      <c r="C161" s="3" t="s">
        <v>139</v>
      </c>
      <c r="D161" s="10">
        <v>45673.835138888891</v>
      </c>
      <c r="E161" s="10">
        <v>45673.835138888891</v>
      </c>
      <c r="F161" s="10">
        <v>45673.837245370371</v>
      </c>
      <c r="G161" s="10">
        <v>45673.837245370371</v>
      </c>
      <c r="H161" s="10">
        <v>45673.84002314815</v>
      </c>
      <c r="I161" s="10">
        <v>45673.847500000003</v>
      </c>
      <c r="J161" s="10">
        <v>45673.847500000003</v>
      </c>
      <c r="K161" s="10">
        <v>45673.848379629628</v>
      </c>
      <c r="L161" s="10">
        <v>45673.859930555547</v>
      </c>
      <c r="M161" s="11">
        <f t="shared" si="16"/>
        <v>0</v>
      </c>
      <c r="N161" s="11">
        <f t="shared" si="17"/>
        <v>2.1064814791316167E-3</v>
      </c>
      <c r="O161" s="11">
        <f t="shared" si="18"/>
        <v>2.7777777795563452E-3</v>
      </c>
      <c r="P161" s="11">
        <f t="shared" si="19"/>
        <v>7.4768518534256145E-3</v>
      </c>
      <c r="Q161" s="11">
        <f t="shared" si="20"/>
        <v>8.7962962425081059E-4</v>
      </c>
      <c r="R161" s="11">
        <f t="shared" si="21"/>
        <v>1.155092591943685E-2</v>
      </c>
      <c r="S161" s="11">
        <f t="shared" si="22"/>
        <v>2.268518517666962E-2</v>
      </c>
      <c r="T161" s="11">
        <f t="shared" si="23"/>
        <v>2.4791666655801237E-2</v>
      </c>
    </row>
    <row r="162" spans="1:20" x14ac:dyDescent="0.25">
      <c r="A162" s="3" t="s">
        <v>302</v>
      </c>
      <c r="B162" s="9">
        <v>209.32</v>
      </c>
      <c r="C162" s="3" t="s">
        <v>139</v>
      </c>
      <c r="D162" s="10">
        <v>45674.113958333342</v>
      </c>
      <c r="E162" s="10">
        <v>45674.113958333342</v>
      </c>
      <c r="F162" s="10">
        <v>45674.116030092591</v>
      </c>
      <c r="G162" s="10">
        <v>45674.116030092591</v>
      </c>
      <c r="H162" s="10">
        <v>45674.118807870371</v>
      </c>
      <c r="I162" s="10">
        <v>45674.123738425929</v>
      </c>
      <c r="J162" s="10">
        <v>45674.123738425929</v>
      </c>
      <c r="K162" s="10">
        <v>45674.124525462961</v>
      </c>
      <c r="L162" s="10">
        <v>45674.131956018522</v>
      </c>
      <c r="M162" s="11">
        <f t="shared" si="16"/>
        <v>0</v>
      </c>
      <c r="N162" s="11">
        <f t="shared" si="17"/>
        <v>2.0717592487926595E-3</v>
      </c>
      <c r="O162" s="11">
        <f t="shared" si="18"/>
        <v>2.7777777795563452E-3</v>
      </c>
      <c r="P162" s="11">
        <f t="shared" si="19"/>
        <v>4.9305555585306138E-3</v>
      </c>
      <c r="Q162" s="11">
        <f t="shared" si="20"/>
        <v>7.8703703184146434E-4</v>
      </c>
      <c r="R162" s="11">
        <f t="shared" si="21"/>
        <v>7.4305555608589202E-3</v>
      </c>
      <c r="S162" s="11">
        <f t="shared" si="22"/>
        <v>1.5925925930787344E-2</v>
      </c>
      <c r="T162" s="11">
        <f t="shared" si="23"/>
        <v>1.7997685179580003E-2</v>
      </c>
    </row>
    <row r="163" spans="1:20" x14ac:dyDescent="0.25">
      <c r="A163" s="3" t="s">
        <v>303</v>
      </c>
      <c r="B163" s="9">
        <v>513.29999999999995</v>
      </c>
      <c r="C163" s="3" t="s">
        <v>139</v>
      </c>
      <c r="D163" s="10">
        <v>45674.184351851851</v>
      </c>
      <c r="E163" s="10">
        <v>45674.184351851851</v>
      </c>
      <c r="F163" s="10">
        <v>45674.18712962963</v>
      </c>
      <c r="G163" s="10">
        <v>45674.18712962963</v>
      </c>
      <c r="H163" s="10">
        <v>45674.18990740741</v>
      </c>
      <c r="I163" s="10">
        <v>45674.193738425929</v>
      </c>
      <c r="J163" s="10">
        <v>45674.193738425929</v>
      </c>
      <c r="K163" s="10">
        <v>45674.194618055553</v>
      </c>
      <c r="L163" s="10">
        <v>45674.19771990741</v>
      </c>
      <c r="M163" s="11">
        <f t="shared" si="16"/>
        <v>0</v>
      </c>
      <c r="N163" s="11">
        <f t="shared" si="17"/>
        <v>2.7777777795563452E-3</v>
      </c>
      <c r="O163" s="11">
        <f t="shared" si="18"/>
        <v>2.7777777795563452E-3</v>
      </c>
      <c r="P163" s="11">
        <f t="shared" si="19"/>
        <v>3.8310185191221535E-3</v>
      </c>
      <c r="Q163" s="11">
        <f t="shared" si="20"/>
        <v>8.7962962425081059E-4</v>
      </c>
      <c r="R163" s="11">
        <f t="shared" si="21"/>
        <v>3.1018518566270359E-3</v>
      </c>
      <c r="S163" s="11">
        <f t="shared" si="22"/>
        <v>1.0590277779556345E-2</v>
      </c>
      <c r="T163" s="11">
        <f t="shared" si="23"/>
        <v>1.336805555911269E-2</v>
      </c>
    </row>
    <row r="164" spans="1:20" x14ac:dyDescent="0.25">
      <c r="A164" s="3" t="s">
        <v>304</v>
      </c>
      <c r="B164" s="9">
        <v>297</v>
      </c>
      <c r="C164" s="3" t="s">
        <v>139</v>
      </c>
      <c r="D164" s="10">
        <v>45674.269606481481</v>
      </c>
      <c r="E164" s="10">
        <v>45674.269606481481</v>
      </c>
      <c r="F164" s="10">
        <v>45674.271886574083</v>
      </c>
      <c r="G164" s="10">
        <v>45674.271886574083</v>
      </c>
      <c r="H164" s="10">
        <v>45674.274664351848</v>
      </c>
      <c r="I164" s="10">
        <v>45674.277071759258</v>
      </c>
      <c r="J164" s="10">
        <v>45674.277071759258</v>
      </c>
      <c r="K164" s="10">
        <v>45674.277858796297</v>
      </c>
      <c r="L164" s="10">
        <v>45674.279780092591</v>
      </c>
      <c r="M164" s="11">
        <f t="shared" si="16"/>
        <v>0</v>
      </c>
      <c r="N164" s="11">
        <f t="shared" si="17"/>
        <v>2.280092601722572E-3</v>
      </c>
      <c r="O164" s="11">
        <f t="shared" si="18"/>
        <v>2.77777776500443E-3</v>
      </c>
      <c r="P164" s="11">
        <f t="shared" si="19"/>
        <v>2.4074074099189602E-3</v>
      </c>
      <c r="Q164" s="11">
        <f t="shared" si="20"/>
        <v>7.8703703911742195E-4</v>
      </c>
      <c r="R164" s="11">
        <f t="shared" si="21"/>
        <v>1.9212962943129241E-3</v>
      </c>
      <c r="S164" s="11">
        <f t="shared" si="22"/>
        <v>7.8935185083537363E-3</v>
      </c>
      <c r="T164" s="11">
        <f t="shared" si="23"/>
        <v>1.0173611110076308E-2</v>
      </c>
    </row>
    <row r="165" spans="1:20" x14ac:dyDescent="0.25">
      <c r="A165" s="3" t="s">
        <v>305</v>
      </c>
      <c r="B165" s="9">
        <v>492.30000000000013</v>
      </c>
      <c r="C165" s="3" t="s">
        <v>139</v>
      </c>
      <c r="D165" s="10">
        <v>45674.289664351847</v>
      </c>
      <c r="E165" s="10">
        <v>45674.289664351847</v>
      </c>
      <c r="F165" s="10">
        <v>45674.292395833327</v>
      </c>
      <c r="G165" s="10">
        <v>45674.292395833327</v>
      </c>
      <c r="H165" s="10">
        <v>45674.295173611114</v>
      </c>
      <c r="I165" s="10">
        <v>45674.306620370371</v>
      </c>
      <c r="J165" s="10">
        <v>45674.306620370371</v>
      </c>
      <c r="K165" s="10">
        <v>45674.307500000003</v>
      </c>
      <c r="L165" s="10">
        <v>45674.324363425927</v>
      </c>
      <c r="M165" s="11">
        <f t="shared" si="16"/>
        <v>0</v>
      </c>
      <c r="N165" s="11">
        <f t="shared" si="17"/>
        <v>2.7314814797136933E-3</v>
      </c>
      <c r="O165" s="11">
        <f t="shared" si="18"/>
        <v>2.7777777868323028E-3</v>
      </c>
      <c r="P165" s="11">
        <f t="shared" si="19"/>
        <v>1.1446759257523809E-2</v>
      </c>
      <c r="Q165" s="11">
        <f t="shared" si="20"/>
        <v>8.7962963152676821E-4</v>
      </c>
      <c r="R165" s="11">
        <f t="shared" si="21"/>
        <v>1.6863425924384501E-2</v>
      </c>
      <c r="S165" s="11">
        <f t="shared" si="22"/>
        <v>3.196759260026738E-2</v>
      </c>
      <c r="T165" s="11">
        <f t="shared" si="23"/>
        <v>3.4699074079981074E-2</v>
      </c>
    </row>
    <row r="166" spans="1:20" x14ac:dyDescent="0.25">
      <c r="A166" s="3" t="s">
        <v>306</v>
      </c>
      <c r="B166" s="9">
        <v>339.84000000000009</v>
      </c>
      <c r="C166" s="3" t="s">
        <v>142</v>
      </c>
      <c r="D166" s="10">
        <v>45674.31145833333</v>
      </c>
      <c r="E166" s="10">
        <v>45674.31145833333</v>
      </c>
      <c r="F166" s="10">
        <v>45674.313402777778</v>
      </c>
      <c r="G166" s="10">
        <v>45674.313402777778</v>
      </c>
      <c r="H166" s="10">
        <v>45674.316180555557</v>
      </c>
      <c r="I166" s="10">
        <v>45674.318715277783</v>
      </c>
      <c r="J166" s="10">
        <v>45674.318715277783</v>
      </c>
      <c r="K166" s="10">
        <v>45674.325162037043</v>
      </c>
      <c r="L166" s="10">
        <v>45674.327164351853</v>
      </c>
      <c r="M166" s="11">
        <f t="shared" si="16"/>
        <v>0</v>
      </c>
      <c r="N166" s="11">
        <f t="shared" si="17"/>
        <v>1.9444444478722289E-3</v>
      </c>
      <c r="O166" s="11">
        <f t="shared" si="18"/>
        <v>2.7777777795563452E-3</v>
      </c>
      <c r="P166" s="11">
        <f t="shared" si="19"/>
        <v>2.534722225391306E-3</v>
      </c>
      <c r="Q166" s="11">
        <f t="shared" si="20"/>
        <v>6.4467592601431534E-3</v>
      </c>
      <c r="R166" s="11">
        <f t="shared" si="21"/>
        <v>2.002314809942618E-3</v>
      </c>
      <c r="S166" s="11">
        <f t="shared" si="22"/>
        <v>1.3761574075033423E-2</v>
      </c>
      <c r="T166" s="11">
        <f t="shared" si="23"/>
        <v>1.5706018522905651E-2</v>
      </c>
    </row>
    <row r="167" spans="1:20" x14ac:dyDescent="0.25">
      <c r="A167" s="3" t="s">
        <v>307</v>
      </c>
      <c r="B167" s="9">
        <v>287.86</v>
      </c>
      <c r="C167" s="3" t="s">
        <v>139</v>
      </c>
      <c r="D167" s="10">
        <v>45674.332280092603</v>
      </c>
      <c r="E167" s="10">
        <v>45674.332280092603</v>
      </c>
      <c r="F167" s="10">
        <v>45674.334537037037</v>
      </c>
      <c r="G167" s="10">
        <v>45674.334537037037</v>
      </c>
      <c r="H167" s="10">
        <v>45674.337314814817</v>
      </c>
      <c r="I167" s="10">
        <v>45674.339629629627</v>
      </c>
      <c r="J167" s="10">
        <v>45674.339629629627</v>
      </c>
      <c r="K167" s="10">
        <v>45674.340509259258</v>
      </c>
      <c r="L167" s="10">
        <v>45674.342893518522</v>
      </c>
      <c r="M167" s="11">
        <f t="shared" si="16"/>
        <v>0</v>
      </c>
      <c r="N167" s="11">
        <f t="shared" si="17"/>
        <v>2.256944433611352E-3</v>
      </c>
      <c r="O167" s="11">
        <f t="shared" si="18"/>
        <v>2.7777777795563452E-3</v>
      </c>
      <c r="P167" s="11">
        <f t="shared" si="19"/>
        <v>2.3148148102336563E-3</v>
      </c>
      <c r="Q167" s="11">
        <f t="shared" si="20"/>
        <v>8.7962963152676821E-4</v>
      </c>
      <c r="R167" s="11">
        <f t="shared" si="21"/>
        <v>2.384259263635613E-3</v>
      </c>
      <c r="S167" s="11">
        <f t="shared" si="22"/>
        <v>8.3564814849523827E-3</v>
      </c>
      <c r="T167" s="11">
        <f t="shared" si="23"/>
        <v>1.0613425918563735E-2</v>
      </c>
    </row>
    <row r="168" spans="1:20" x14ac:dyDescent="0.25">
      <c r="A168" s="3" t="s">
        <v>308</v>
      </c>
      <c r="B168" s="9">
        <v>560.62</v>
      </c>
      <c r="C168" s="3" t="s">
        <v>142</v>
      </c>
      <c r="D168" s="10">
        <v>45674.3594212963</v>
      </c>
      <c r="E168" s="10">
        <v>45674.3594212963</v>
      </c>
      <c r="F168" s="10">
        <v>45674.361875000002</v>
      </c>
      <c r="G168" s="10">
        <v>45674.361875000002</v>
      </c>
      <c r="H168" s="10">
        <v>45674.364652777767</v>
      </c>
      <c r="I168" s="10">
        <v>45674.378877314812</v>
      </c>
      <c r="J168" s="10">
        <v>45674.378877314812</v>
      </c>
      <c r="K168" s="10">
        <v>45674.379745370366</v>
      </c>
      <c r="L168" s="10">
        <v>45674.397951388892</v>
      </c>
      <c r="M168" s="11">
        <f t="shared" si="16"/>
        <v>0</v>
      </c>
      <c r="N168" s="11">
        <f t="shared" si="17"/>
        <v>2.4537037024856545E-3</v>
      </c>
      <c r="O168" s="11">
        <f t="shared" si="18"/>
        <v>2.77777776500443E-3</v>
      </c>
      <c r="P168" s="11">
        <f t="shared" si="19"/>
        <v>1.4224537044356111E-2</v>
      </c>
      <c r="Q168" s="11">
        <f t="shared" si="20"/>
        <v>8.6805555474711582E-4</v>
      </c>
      <c r="R168" s="11">
        <f t="shared" si="21"/>
        <v>1.8206018525233958E-2</v>
      </c>
      <c r="S168" s="11">
        <f t="shared" si="22"/>
        <v>3.6076388889341615E-2</v>
      </c>
      <c r="T168" s="11">
        <f t="shared" si="23"/>
        <v>3.853009259182727E-2</v>
      </c>
    </row>
    <row r="169" spans="1:20" x14ac:dyDescent="0.25">
      <c r="A169" s="3" t="s">
        <v>309</v>
      </c>
      <c r="B169" s="9">
        <v>336.5</v>
      </c>
      <c r="C169" s="3" t="s">
        <v>139</v>
      </c>
      <c r="D169" s="10">
        <v>45674.366412037038</v>
      </c>
      <c r="E169" s="10">
        <v>45674.366412037038</v>
      </c>
      <c r="F169" s="10">
        <v>45674.368784722217</v>
      </c>
      <c r="G169" s="10">
        <v>45674.368784722217</v>
      </c>
      <c r="H169" s="10">
        <v>45674.371562499997</v>
      </c>
      <c r="I169" s="10">
        <v>45674.3750462963</v>
      </c>
      <c r="J169" s="10">
        <v>45674.3750462963</v>
      </c>
      <c r="K169" s="10">
        <v>45674.375914351847</v>
      </c>
      <c r="L169" s="10">
        <v>45674.377442129633</v>
      </c>
      <c r="M169" s="11">
        <f t="shared" si="16"/>
        <v>0</v>
      </c>
      <c r="N169" s="11">
        <f t="shared" si="17"/>
        <v>2.372685179580003E-3</v>
      </c>
      <c r="O169" s="11">
        <f t="shared" si="18"/>
        <v>2.7777777795563452E-3</v>
      </c>
      <c r="P169" s="11">
        <f t="shared" si="19"/>
        <v>3.4837963030440733E-3</v>
      </c>
      <c r="Q169" s="11">
        <f t="shared" si="20"/>
        <v>8.6805554747115821E-4</v>
      </c>
      <c r="R169" s="11">
        <f t="shared" si="21"/>
        <v>1.5277777856681496E-3</v>
      </c>
      <c r="S169" s="11">
        <f t="shared" si="22"/>
        <v>8.6574074157397263E-3</v>
      </c>
      <c r="T169" s="11">
        <f t="shared" si="23"/>
        <v>1.1030092595319729E-2</v>
      </c>
    </row>
    <row r="170" spans="1:20" x14ac:dyDescent="0.25">
      <c r="A170" s="3" t="s">
        <v>310</v>
      </c>
      <c r="B170" s="9">
        <v>443.2</v>
      </c>
      <c r="C170" s="3" t="s">
        <v>139</v>
      </c>
      <c r="D170" s="10">
        <v>45674.423032407409</v>
      </c>
      <c r="E170" s="10">
        <v>45674.423032407409</v>
      </c>
      <c r="F170" s="10">
        <v>45674.42564814815</v>
      </c>
      <c r="G170" s="10">
        <v>45674.42564814815</v>
      </c>
      <c r="H170" s="10">
        <v>45674.428425925929</v>
      </c>
      <c r="I170" s="10">
        <v>45674.433437500003</v>
      </c>
      <c r="J170" s="10">
        <v>45674.433437500003</v>
      </c>
      <c r="K170" s="10">
        <v>45674.434305555558</v>
      </c>
      <c r="L170" s="10">
        <v>45674.435474537036</v>
      </c>
      <c r="M170" s="11">
        <f t="shared" si="16"/>
        <v>0</v>
      </c>
      <c r="N170" s="11">
        <f t="shared" si="17"/>
        <v>2.6157407410209998E-3</v>
      </c>
      <c r="O170" s="11">
        <f t="shared" si="18"/>
        <v>2.7777777795563452E-3</v>
      </c>
      <c r="P170" s="11">
        <f t="shared" si="19"/>
        <v>5.0115740741603076E-3</v>
      </c>
      <c r="Q170" s="11">
        <f t="shared" si="20"/>
        <v>8.6805555474711582E-4</v>
      </c>
      <c r="R170" s="11">
        <f t="shared" si="21"/>
        <v>1.1689814782585017E-3</v>
      </c>
      <c r="S170" s="11">
        <f t="shared" si="22"/>
        <v>9.8263888867222704E-3</v>
      </c>
      <c r="T170" s="11">
        <f t="shared" si="23"/>
        <v>1.244212962774327E-2</v>
      </c>
    </row>
    <row r="171" spans="1:20" x14ac:dyDescent="0.25">
      <c r="A171" s="3" t="s">
        <v>311</v>
      </c>
      <c r="B171" s="9">
        <v>238.44</v>
      </c>
      <c r="C171" s="3" t="s">
        <v>139</v>
      </c>
      <c r="D171" s="10">
        <v>45674.53434027778</v>
      </c>
      <c r="E171" s="10">
        <v>45674.53434027778</v>
      </c>
      <c r="F171" s="10">
        <v>45674.536481481482</v>
      </c>
      <c r="G171" s="10">
        <v>45674.536481481482</v>
      </c>
      <c r="H171" s="10">
        <v>45674.539259259262</v>
      </c>
      <c r="I171" s="10">
        <v>45674.541076388887</v>
      </c>
      <c r="J171" s="10">
        <v>45674.541076388887</v>
      </c>
      <c r="K171" s="10">
        <v>45674.541956018518</v>
      </c>
      <c r="L171" s="10">
        <v>45674.543749999997</v>
      </c>
      <c r="M171" s="11">
        <f t="shared" si="16"/>
        <v>0</v>
      </c>
      <c r="N171" s="11">
        <f t="shared" si="17"/>
        <v>2.1412037021946162E-3</v>
      </c>
      <c r="O171" s="11">
        <f t="shared" si="18"/>
        <v>2.7777777795563452E-3</v>
      </c>
      <c r="P171" s="11">
        <f t="shared" si="19"/>
        <v>1.8171296251239255E-3</v>
      </c>
      <c r="Q171" s="11">
        <f t="shared" si="20"/>
        <v>8.7962963152676821E-4</v>
      </c>
      <c r="R171" s="11">
        <f t="shared" si="21"/>
        <v>1.7939814788405783E-3</v>
      </c>
      <c r="S171" s="11">
        <f t="shared" si="22"/>
        <v>7.2685185150476173E-3</v>
      </c>
      <c r="T171" s="11">
        <f t="shared" si="23"/>
        <v>9.4097222172422335E-3</v>
      </c>
    </row>
    <row r="172" spans="1:20" x14ac:dyDescent="0.25">
      <c r="A172" s="3" t="s">
        <v>312</v>
      </c>
      <c r="B172" s="9">
        <v>220.36</v>
      </c>
      <c r="C172" s="3" t="s">
        <v>139</v>
      </c>
      <c r="D172" s="10">
        <v>45674.647650462961</v>
      </c>
      <c r="E172" s="10">
        <v>45674.647650462961</v>
      </c>
      <c r="F172" s="10">
        <v>45674.649745370371</v>
      </c>
      <c r="G172" s="10">
        <v>45674.649745370371</v>
      </c>
      <c r="H172" s="10">
        <v>45674.65252314815</v>
      </c>
      <c r="I172" s="10">
        <v>45674.654444444437</v>
      </c>
      <c r="J172" s="10">
        <v>45674.654444444437</v>
      </c>
      <c r="K172" s="10">
        <v>45674.655312499999</v>
      </c>
      <c r="L172" s="10">
        <v>45674.657824074071</v>
      </c>
      <c r="M172" s="11">
        <f t="shared" si="16"/>
        <v>0</v>
      </c>
      <c r="N172" s="11">
        <f t="shared" si="17"/>
        <v>2.0949074096279219E-3</v>
      </c>
      <c r="O172" s="11">
        <f t="shared" si="18"/>
        <v>2.7777777795563452E-3</v>
      </c>
      <c r="P172" s="11">
        <f t="shared" si="19"/>
        <v>1.9212962870369665E-3</v>
      </c>
      <c r="Q172" s="11">
        <f t="shared" si="20"/>
        <v>8.6805556202307343E-4</v>
      </c>
      <c r="R172" s="11">
        <f t="shared" si="21"/>
        <v>2.5115740718320012E-3</v>
      </c>
      <c r="S172" s="11">
        <f t="shared" si="22"/>
        <v>8.0787037004483864E-3</v>
      </c>
      <c r="T172" s="11">
        <f t="shared" si="23"/>
        <v>1.0173611110076308E-2</v>
      </c>
    </row>
    <row r="173" spans="1:20" x14ac:dyDescent="0.25">
      <c r="A173" s="3" t="s">
        <v>313</v>
      </c>
      <c r="B173" s="9">
        <v>302.12000000000012</v>
      </c>
      <c r="C173" s="3" t="s">
        <v>139</v>
      </c>
      <c r="D173" s="10">
        <v>45674.729085648149</v>
      </c>
      <c r="E173" s="10">
        <v>45674.729085648149</v>
      </c>
      <c r="F173" s="10">
        <v>45674.731377314813</v>
      </c>
      <c r="G173" s="10">
        <v>45674.731377314813</v>
      </c>
      <c r="H173" s="10">
        <v>45674.734155092592</v>
      </c>
      <c r="I173" s="10">
        <v>45674.736458333333</v>
      </c>
      <c r="J173" s="10">
        <v>45674.736458333333</v>
      </c>
      <c r="K173" s="10">
        <v>45674.737337962957</v>
      </c>
      <c r="L173" s="10">
        <v>45674.739166666674</v>
      </c>
      <c r="M173" s="11">
        <f t="shared" si="16"/>
        <v>0</v>
      </c>
      <c r="N173" s="11">
        <f t="shared" si="17"/>
        <v>2.2916666639503092E-3</v>
      </c>
      <c r="O173" s="11">
        <f t="shared" si="18"/>
        <v>2.7777777795563452E-3</v>
      </c>
      <c r="P173" s="11">
        <f t="shared" si="19"/>
        <v>2.3032407407299615E-3</v>
      </c>
      <c r="Q173" s="11">
        <f t="shared" si="20"/>
        <v>8.7962962425081059E-4</v>
      </c>
      <c r="R173" s="11">
        <f t="shared" si="21"/>
        <v>1.8287037164554931E-3</v>
      </c>
      <c r="S173" s="11">
        <f t="shared" si="22"/>
        <v>7.7893518609926105E-3</v>
      </c>
      <c r="T173" s="11">
        <f t="shared" si="23"/>
        <v>1.008101852494292E-2</v>
      </c>
    </row>
    <row r="174" spans="1:20" x14ac:dyDescent="0.25">
      <c r="A174" s="3" t="s">
        <v>314</v>
      </c>
      <c r="B174" s="9">
        <v>110.18</v>
      </c>
      <c r="C174" s="3" t="s">
        <v>139</v>
      </c>
      <c r="D174" s="10">
        <v>45674.749756944453</v>
      </c>
      <c r="E174" s="10">
        <v>45674.749756944453</v>
      </c>
      <c r="F174" s="10">
        <v>45674.751597222217</v>
      </c>
      <c r="G174" s="10">
        <v>45674.751597222217</v>
      </c>
      <c r="H174" s="10">
        <v>45674.754374999997</v>
      </c>
      <c r="I174" s="10">
        <v>45674.755335648151</v>
      </c>
      <c r="J174" s="10">
        <v>45674.755335648151</v>
      </c>
      <c r="K174" s="10">
        <v>45674.756203703713</v>
      </c>
      <c r="L174" s="10">
        <v>45674.758379629631</v>
      </c>
      <c r="M174" s="11">
        <f t="shared" si="16"/>
        <v>0</v>
      </c>
      <c r="N174" s="11">
        <f t="shared" si="17"/>
        <v>1.8402777641313151E-3</v>
      </c>
      <c r="O174" s="11">
        <f t="shared" si="18"/>
        <v>2.7777777795563452E-3</v>
      </c>
      <c r="P174" s="11">
        <f t="shared" si="19"/>
        <v>9.6064815443241969E-4</v>
      </c>
      <c r="Q174" s="11">
        <f t="shared" si="20"/>
        <v>8.6805556202307343E-4</v>
      </c>
      <c r="R174" s="11">
        <f t="shared" si="21"/>
        <v>2.1759259179816581E-3</v>
      </c>
      <c r="S174" s="11">
        <f t="shared" si="22"/>
        <v>6.7824074139934964E-3</v>
      </c>
      <c r="T174" s="11">
        <f t="shared" si="23"/>
        <v>8.6226851781248115E-3</v>
      </c>
    </row>
    <row r="175" spans="1:20" x14ac:dyDescent="0.25">
      <c r="A175" s="3" t="s">
        <v>315</v>
      </c>
      <c r="B175" s="9">
        <v>344.99999999999989</v>
      </c>
      <c r="C175" s="3" t="s">
        <v>139</v>
      </c>
      <c r="D175" s="10">
        <v>45674.837546296287</v>
      </c>
      <c r="E175" s="10">
        <v>45674.837546296287</v>
      </c>
      <c r="F175" s="10">
        <v>45674.839930555558</v>
      </c>
      <c r="G175" s="10">
        <v>45674.839930555558</v>
      </c>
      <c r="H175" s="10">
        <v>45674.84270833333</v>
      </c>
      <c r="I175" s="10">
        <v>45674.852395833332</v>
      </c>
      <c r="J175" s="10">
        <v>45674.852395833332</v>
      </c>
      <c r="K175" s="10">
        <v>45674.853275462963</v>
      </c>
      <c r="L175" s="10">
        <v>45674.866122685176</v>
      </c>
      <c r="M175" s="11">
        <f t="shared" si="16"/>
        <v>0</v>
      </c>
      <c r="N175" s="11">
        <f t="shared" si="17"/>
        <v>2.3842592709115706E-3</v>
      </c>
      <c r="O175" s="11">
        <f t="shared" si="18"/>
        <v>2.7777777722803876E-3</v>
      </c>
      <c r="P175" s="11">
        <f t="shared" si="19"/>
        <v>9.6875000017462298E-3</v>
      </c>
      <c r="Q175" s="11">
        <f t="shared" si="20"/>
        <v>8.7962963152676821E-4</v>
      </c>
      <c r="R175" s="11">
        <f t="shared" si="21"/>
        <v>1.2847222213167697E-2</v>
      </c>
      <c r="S175" s="11">
        <f t="shared" si="22"/>
        <v>2.6192129618721083E-2</v>
      </c>
      <c r="T175" s="11">
        <f t="shared" si="23"/>
        <v>2.8576388889632653E-2</v>
      </c>
    </row>
    <row r="176" spans="1:20" x14ac:dyDescent="0.25">
      <c r="A176" s="3" t="s">
        <v>316</v>
      </c>
      <c r="B176" s="9">
        <v>371.52</v>
      </c>
      <c r="C176" s="3" t="s">
        <v>139</v>
      </c>
      <c r="D176" s="10">
        <v>45675.016168981478</v>
      </c>
      <c r="E176" s="10">
        <v>45675.016168981478</v>
      </c>
      <c r="F176" s="10">
        <v>45675.018622685187</v>
      </c>
      <c r="G176" s="10">
        <v>45675.018622685187</v>
      </c>
      <c r="H176" s="10">
        <v>45675.02140046296</v>
      </c>
      <c r="I176" s="10">
        <v>45675.028078703697</v>
      </c>
      <c r="J176" s="10">
        <v>45675.028078703697</v>
      </c>
      <c r="K176" s="10">
        <v>45675.028946759259</v>
      </c>
      <c r="L176" s="10">
        <v>45675.034699074073</v>
      </c>
      <c r="M176" s="11">
        <f t="shared" si="16"/>
        <v>0</v>
      </c>
      <c r="N176" s="11">
        <f t="shared" si="17"/>
        <v>2.4537037097616121E-3</v>
      </c>
      <c r="O176" s="11">
        <f t="shared" si="18"/>
        <v>2.7777777722803876E-3</v>
      </c>
      <c r="P176" s="11">
        <f t="shared" si="19"/>
        <v>6.6782407375285402E-3</v>
      </c>
      <c r="Q176" s="11">
        <f t="shared" si="20"/>
        <v>8.6805556202307343E-4</v>
      </c>
      <c r="R176" s="11">
        <f t="shared" si="21"/>
        <v>5.7523148134350777E-3</v>
      </c>
      <c r="S176" s="11">
        <f t="shared" si="22"/>
        <v>1.6076388885267079E-2</v>
      </c>
      <c r="T176" s="11">
        <f t="shared" si="23"/>
        <v>1.8530092595028691E-2</v>
      </c>
    </row>
    <row r="177" spans="1:20" x14ac:dyDescent="0.25">
      <c r="A177" s="3" t="s">
        <v>317</v>
      </c>
      <c r="B177" s="9">
        <v>413.14</v>
      </c>
      <c r="C177" s="3" t="s">
        <v>139</v>
      </c>
      <c r="D177" s="10">
        <v>45675.237893518519</v>
      </c>
      <c r="E177" s="10">
        <v>45675.237893518519</v>
      </c>
      <c r="F177" s="10">
        <v>45675.240439814806</v>
      </c>
      <c r="G177" s="10">
        <v>45675.240439814806</v>
      </c>
      <c r="H177" s="10">
        <v>45675.243217592593</v>
      </c>
      <c r="I177" s="10">
        <v>45675.248379629629</v>
      </c>
      <c r="J177" s="10">
        <v>45675.248379629629</v>
      </c>
      <c r="K177" s="10">
        <v>45675.249259259261</v>
      </c>
      <c r="L177" s="10">
        <v>45675.25267361111</v>
      </c>
      <c r="M177" s="11">
        <f t="shared" si="16"/>
        <v>0</v>
      </c>
      <c r="N177" s="11">
        <f t="shared" si="17"/>
        <v>2.5462962876190431E-3</v>
      </c>
      <c r="O177" s="11">
        <f t="shared" si="18"/>
        <v>2.7777777868323028E-3</v>
      </c>
      <c r="P177" s="11">
        <f t="shared" si="19"/>
        <v>5.1620370359160006E-3</v>
      </c>
      <c r="Q177" s="11">
        <f t="shared" si="20"/>
        <v>8.7962963152676821E-4</v>
      </c>
      <c r="R177" s="11">
        <f t="shared" si="21"/>
        <v>3.4143518496421166E-3</v>
      </c>
      <c r="S177" s="11">
        <f t="shared" si="22"/>
        <v>1.2233796303917188E-2</v>
      </c>
      <c r="T177" s="11">
        <f t="shared" si="23"/>
        <v>1.4780092591536231E-2</v>
      </c>
    </row>
    <row r="178" spans="1:20" x14ac:dyDescent="0.25">
      <c r="A178" s="3" t="s">
        <v>318</v>
      </c>
      <c r="B178" s="9">
        <v>256.8</v>
      </c>
      <c r="C178" s="3" t="s">
        <v>139</v>
      </c>
      <c r="D178" s="10">
        <v>45675.268148148149</v>
      </c>
      <c r="E178" s="10">
        <v>45675.268148148149</v>
      </c>
      <c r="F178" s="10">
        <v>45675.270335648151</v>
      </c>
      <c r="G178" s="10">
        <v>45675.270335648151</v>
      </c>
      <c r="H178" s="10">
        <v>45675.273113425923</v>
      </c>
      <c r="I178" s="10">
        <v>45675.28565972222</v>
      </c>
      <c r="J178" s="10">
        <v>45675.28565972222</v>
      </c>
      <c r="K178" s="10">
        <v>45675.286527777767</v>
      </c>
      <c r="L178" s="10">
        <v>45675.298935185187</v>
      </c>
      <c r="M178" s="11">
        <f t="shared" si="16"/>
        <v>0</v>
      </c>
      <c r="N178" s="11">
        <f t="shared" si="17"/>
        <v>2.1875000020372681E-3</v>
      </c>
      <c r="O178" s="11">
        <f t="shared" si="18"/>
        <v>2.7777777722803876E-3</v>
      </c>
      <c r="P178" s="11">
        <f t="shared" si="19"/>
        <v>1.2546296296932269E-2</v>
      </c>
      <c r="Q178" s="11">
        <f t="shared" si="20"/>
        <v>8.6805554747115821E-4</v>
      </c>
      <c r="R178" s="11">
        <f t="shared" si="21"/>
        <v>1.2407407419232186E-2</v>
      </c>
      <c r="S178" s="11">
        <f t="shared" si="22"/>
        <v>2.8599537035916001E-2</v>
      </c>
      <c r="T178" s="11">
        <f t="shared" si="23"/>
        <v>3.0787037037953269E-2</v>
      </c>
    </row>
    <row r="179" spans="1:20" x14ac:dyDescent="0.25">
      <c r="A179" s="3" t="s">
        <v>319</v>
      </c>
      <c r="B179" s="9">
        <v>592.24000000000012</v>
      </c>
      <c r="C179" s="3" t="s">
        <v>142</v>
      </c>
      <c r="D179" s="10">
        <v>45676.729710648149</v>
      </c>
      <c r="E179" s="10">
        <v>45676.729710648149</v>
      </c>
      <c r="F179" s="10">
        <v>45676.732233796298</v>
      </c>
      <c r="G179" s="10">
        <v>45676.732233796298</v>
      </c>
      <c r="H179" s="10">
        <v>45676.735011574077</v>
      </c>
      <c r="I179" s="10">
        <v>45676.740543981483</v>
      </c>
      <c r="J179" s="10">
        <v>45676.740543981483</v>
      </c>
      <c r="K179" s="10">
        <v>45676.741423611107</v>
      </c>
      <c r="L179" s="10">
        <v>45676.746180555558</v>
      </c>
      <c r="M179" s="11">
        <f t="shared" si="16"/>
        <v>0</v>
      </c>
      <c r="N179" s="11">
        <f t="shared" si="17"/>
        <v>2.5231481486116536E-3</v>
      </c>
      <c r="O179" s="11">
        <f t="shared" si="18"/>
        <v>2.7777777795563452E-3</v>
      </c>
      <c r="P179" s="11">
        <f t="shared" si="19"/>
        <v>5.5324074055533856E-3</v>
      </c>
      <c r="Q179" s="11">
        <f t="shared" si="20"/>
        <v>8.7962962425081059E-4</v>
      </c>
      <c r="R179" s="11">
        <f t="shared" si="21"/>
        <v>4.7569444504915737E-3</v>
      </c>
      <c r="S179" s="11">
        <f t="shared" si="22"/>
        <v>1.3946759259852115E-2</v>
      </c>
      <c r="T179" s="11">
        <f t="shared" si="23"/>
        <v>1.6469907408463769E-2</v>
      </c>
    </row>
    <row r="180" spans="1:20" x14ac:dyDescent="0.25">
      <c r="A180" s="3" t="s">
        <v>320</v>
      </c>
      <c r="B180" s="9">
        <v>170.18</v>
      </c>
      <c r="C180" s="3" t="s">
        <v>139</v>
      </c>
      <c r="D180" s="10">
        <v>45676.841828703713</v>
      </c>
      <c r="E180" s="10">
        <v>45676.841828703713</v>
      </c>
      <c r="F180" s="10">
        <v>45676.843807870369</v>
      </c>
      <c r="G180" s="10">
        <v>45676.843807870369</v>
      </c>
      <c r="H180" s="10">
        <v>45676.846585648149</v>
      </c>
      <c r="I180" s="10">
        <v>45676.849224537043</v>
      </c>
      <c r="J180" s="10">
        <v>45676.849224537043</v>
      </c>
      <c r="K180" s="10">
        <v>45676.850092592591</v>
      </c>
      <c r="L180" s="10">
        <v>45676.853935185187</v>
      </c>
      <c r="M180" s="11">
        <f t="shared" si="16"/>
        <v>0</v>
      </c>
      <c r="N180" s="11">
        <f t="shared" si="17"/>
        <v>1.9791666563833132E-3</v>
      </c>
      <c r="O180" s="11">
        <f t="shared" si="18"/>
        <v>2.7777777795563452E-3</v>
      </c>
      <c r="P180" s="11">
        <f t="shared" si="19"/>
        <v>2.6388888945803046E-3</v>
      </c>
      <c r="Q180" s="11">
        <f t="shared" si="20"/>
        <v>8.6805554747115821E-4</v>
      </c>
      <c r="R180" s="11">
        <f t="shared" si="21"/>
        <v>3.8425925959018059E-3</v>
      </c>
      <c r="S180" s="11">
        <f t="shared" si="22"/>
        <v>1.0127314817509614E-2</v>
      </c>
      <c r="T180" s="11">
        <f t="shared" si="23"/>
        <v>1.2106481473892927E-2</v>
      </c>
    </row>
    <row r="181" spans="1:20" x14ac:dyDescent="0.25">
      <c r="A181" s="3" t="s">
        <v>321</v>
      </c>
      <c r="B181" s="9">
        <v>260.7</v>
      </c>
      <c r="C181" s="3" t="s">
        <v>139</v>
      </c>
      <c r="D181" s="10">
        <v>45677.102581018517</v>
      </c>
      <c r="E181" s="10">
        <v>45677.102581018517</v>
      </c>
      <c r="F181" s="10">
        <v>45677.104780092603</v>
      </c>
      <c r="G181" s="10">
        <v>45677.104780092603</v>
      </c>
      <c r="H181" s="10">
        <v>45677.107557870368</v>
      </c>
      <c r="I181" s="10">
        <v>45677.112557870372</v>
      </c>
      <c r="J181" s="10">
        <v>45677.112557870372</v>
      </c>
      <c r="K181" s="10">
        <v>45677.113437499997</v>
      </c>
      <c r="L181" s="10">
        <v>45677.120995370373</v>
      </c>
      <c r="M181" s="11">
        <f t="shared" si="16"/>
        <v>0</v>
      </c>
      <c r="N181" s="11">
        <f t="shared" si="17"/>
        <v>2.1990740860928781E-3</v>
      </c>
      <c r="O181" s="11">
        <f t="shared" si="18"/>
        <v>2.77777776500443E-3</v>
      </c>
      <c r="P181" s="11">
        <f t="shared" si="19"/>
        <v>5.0000000046566129E-3</v>
      </c>
      <c r="Q181" s="11">
        <f t="shared" si="20"/>
        <v>8.7962962425081059E-4</v>
      </c>
      <c r="R181" s="11">
        <f t="shared" si="21"/>
        <v>7.557870376331266E-3</v>
      </c>
      <c r="S181" s="11">
        <f t="shared" si="22"/>
        <v>1.6215277770243119E-2</v>
      </c>
      <c r="T181" s="11">
        <f t="shared" si="23"/>
        <v>1.8414351856335998E-2</v>
      </c>
    </row>
    <row r="182" spans="1:20" x14ac:dyDescent="0.25">
      <c r="A182" s="3" t="s">
        <v>322</v>
      </c>
      <c r="B182" s="9">
        <v>329.7</v>
      </c>
      <c r="C182" s="3" t="s">
        <v>139</v>
      </c>
      <c r="D182" s="10">
        <v>45677.188043981478</v>
      </c>
      <c r="E182" s="10">
        <v>45677.188043981478</v>
      </c>
      <c r="F182" s="10">
        <v>45677.190393518518</v>
      </c>
      <c r="G182" s="10">
        <v>45677.190393518518</v>
      </c>
      <c r="H182" s="10">
        <v>45677.193171296298</v>
      </c>
      <c r="I182" s="10">
        <v>45677.196053240739</v>
      </c>
      <c r="J182" s="10">
        <v>45677.196053240739</v>
      </c>
      <c r="K182" s="10">
        <v>45677.196921296287</v>
      </c>
      <c r="L182" s="10">
        <v>45677.199675925927</v>
      </c>
      <c r="M182" s="11">
        <f t="shared" si="16"/>
        <v>0</v>
      </c>
      <c r="N182" s="11">
        <f t="shared" si="17"/>
        <v>2.3495370405726135E-3</v>
      </c>
      <c r="O182" s="11">
        <f t="shared" si="18"/>
        <v>2.7777777795563452E-3</v>
      </c>
      <c r="P182" s="11">
        <f t="shared" si="19"/>
        <v>2.8819444414693862E-3</v>
      </c>
      <c r="Q182" s="11">
        <f t="shared" si="20"/>
        <v>8.6805554747115821E-4</v>
      </c>
      <c r="R182" s="11">
        <f t="shared" si="21"/>
        <v>2.7546296405489556E-3</v>
      </c>
      <c r="S182" s="11">
        <f t="shared" si="22"/>
        <v>9.2824074090458453E-3</v>
      </c>
      <c r="T182" s="11">
        <f t="shared" si="23"/>
        <v>1.1631944449618459E-2</v>
      </c>
    </row>
    <row r="183" spans="1:20" x14ac:dyDescent="0.25">
      <c r="A183" s="3" t="s">
        <v>323</v>
      </c>
      <c r="B183" s="9">
        <v>293.44</v>
      </c>
      <c r="C183" s="3" t="s">
        <v>139</v>
      </c>
      <c r="D183" s="10">
        <v>45677.247164351851</v>
      </c>
      <c r="E183" s="10">
        <v>45677.247164351851</v>
      </c>
      <c r="F183" s="10">
        <v>45677.249432870369</v>
      </c>
      <c r="G183" s="10">
        <v>45677.249432870369</v>
      </c>
      <c r="H183" s="10">
        <v>45677.252210648148</v>
      </c>
      <c r="I183" s="10">
        <v>45677.25445601852</v>
      </c>
      <c r="J183" s="10">
        <v>45677.25445601852</v>
      </c>
      <c r="K183" s="10">
        <v>45677.255335648151</v>
      </c>
      <c r="L183" s="10">
        <v>45677.255335648151</v>
      </c>
      <c r="M183" s="11">
        <f t="shared" si="16"/>
        <v>0</v>
      </c>
      <c r="N183" s="11">
        <f t="shared" si="17"/>
        <v>2.268518517666962E-3</v>
      </c>
      <c r="O183" s="11">
        <f t="shared" si="18"/>
        <v>2.7777777795563452E-3</v>
      </c>
      <c r="P183" s="11">
        <f t="shared" si="19"/>
        <v>2.2453703713836148E-3</v>
      </c>
      <c r="Q183" s="11">
        <f t="shared" si="20"/>
        <v>8.7962963152676821E-4</v>
      </c>
      <c r="R183" s="11">
        <f t="shared" si="21"/>
        <v>0</v>
      </c>
      <c r="S183" s="11">
        <f t="shared" si="22"/>
        <v>5.9027777824667282E-3</v>
      </c>
      <c r="T183" s="11">
        <f t="shared" si="23"/>
        <v>8.1712963001336902E-3</v>
      </c>
    </row>
    <row r="184" spans="1:20" x14ac:dyDescent="0.25">
      <c r="A184" s="3" t="s">
        <v>324</v>
      </c>
      <c r="B184" s="9">
        <v>594.32000000000005</v>
      </c>
      <c r="C184" s="3" t="s">
        <v>169</v>
      </c>
      <c r="D184" s="10">
        <v>45677.302199074067</v>
      </c>
      <c r="E184" s="10">
        <v>45677.302199074067</v>
      </c>
      <c r="F184" s="10">
        <v>45677.304560185177</v>
      </c>
      <c r="G184" s="10">
        <v>45677.304560185177</v>
      </c>
      <c r="H184" s="10">
        <v>45677.307337962957</v>
      </c>
      <c r="I184" s="10">
        <v>45677.329710648148</v>
      </c>
      <c r="J184" s="10">
        <v>45677.329710648148</v>
      </c>
      <c r="K184" s="10">
        <v>45677.330578703702</v>
      </c>
      <c r="L184" s="10">
        <v>45677.351863425924</v>
      </c>
      <c r="M184" s="11">
        <f t="shared" si="16"/>
        <v>0</v>
      </c>
      <c r="N184" s="11">
        <f t="shared" si="17"/>
        <v>2.3611111100763083E-3</v>
      </c>
      <c r="O184" s="11">
        <f t="shared" si="18"/>
        <v>2.7777777795563452E-3</v>
      </c>
      <c r="P184" s="11">
        <f t="shared" si="19"/>
        <v>2.2372685190930497E-2</v>
      </c>
      <c r="Q184" s="11">
        <f t="shared" si="20"/>
        <v>8.6805555474711582E-4</v>
      </c>
      <c r="R184" s="11">
        <f t="shared" si="21"/>
        <v>2.1284722221025731E-2</v>
      </c>
      <c r="S184" s="11">
        <f t="shared" si="22"/>
        <v>4.7303240746259689E-2</v>
      </c>
      <c r="T184" s="11">
        <f t="shared" si="23"/>
        <v>4.9664351856335998E-2</v>
      </c>
    </row>
    <row r="185" spans="1:20" x14ac:dyDescent="0.25">
      <c r="A185" s="3" t="s">
        <v>325</v>
      </c>
      <c r="B185" s="9">
        <v>380.82000000000011</v>
      </c>
      <c r="C185" s="3" t="s">
        <v>139</v>
      </c>
      <c r="D185" s="10">
        <v>45677.309756944444</v>
      </c>
      <c r="E185" s="10">
        <v>45677.309756944444</v>
      </c>
      <c r="F185" s="10">
        <v>45677.3122337963</v>
      </c>
      <c r="G185" s="10">
        <v>45677.3122337963</v>
      </c>
      <c r="H185" s="10">
        <v>45677.315011574072</v>
      </c>
      <c r="I185" s="10">
        <v>45677.317916666667</v>
      </c>
      <c r="J185" s="10">
        <v>45677.317916666667</v>
      </c>
      <c r="K185" s="10">
        <v>45677.319513888891</v>
      </c>
      <c r="L185" s="10">
        <v>45677.319513888891</v>
      </c>
      <c r="M185" s="11">
        <f t="shared" si="16"/>
        <v>0</v>
      </c>
      <c r="N185" s="11">
        <f t="shared" si="17"/>
        <v>2.4768518560449593E-3</v>
      </c>
      <c r="O185" s="11">
        <f t="shared" si="18"/>
        <v>2.7777777722803876E-3</v>
      </c>
      <c r="P185" s="11">
        <f t="shared" si="19"/>
        <v>2.905092595028691E-3</v>
      </c>
      <c r="Q185" s="11">
        <f t="shared" si="20"/>
        <v>1.5972222245181911E-3</v>
      </c>
      <c r="R185" s="11">
        <f t="shared" si="21"/>
        <v>0</v>
      </c>
      <c r="S185" s="11">
        <f t="shared" si="22"/>
        <v>7.2800925918272696E-3</v>
      </c>
      <c r="T185" s="11">
        <f t="shared" si="23"/>
        <v>9.7569444478722289E-3</v>
      </c>
    </row>
    <row r="186" spans="1:20" x14ac:dyDescent="0.25">
      <c r="A186" s="3" t="s">
        <v>326</v>
      </c>
      <c r="B186" s="9">
        <v>330.78000000000009</v>
      </c>
      <c r="C186" s="3" t="s">
        <v>142</v>
      </c>
      <c r="D186" s="10">
        <v>45677.312615740739</v>
      </c>
      <c r="E186" s="10">
        <v>45677.312615740739</v>
      </c>
      <c r="F186" s="10">
        <v>45677.31453703704</v>
      </c>
      <c r="G186" s="10">
        <v>45677.31453703704</v>
      </c>
      <c r="H186" s="10">
        <v>45677.317314814813</v>
      </c>
      <c r="I186" s="10">
        <v>45677.319780092592</v>
      </c>
      <c r="J186" s="10">
        <v>45677.319780092592</v>
      </c>
      <c r="K186" s="10">
        <v>45677.321111111109</v>
      </c>
      <c r="L186" s="10">
        <v>45677.321111111109</v>
      </c>
      <c r="M186" s="11">
        <f t="shared" si="16"/>
        <v>0</v>
      </c>
      <c r="N186" s="11">
        <f t="shared" si="17"/>
        <v>1.9212963015888818E-3</v>
      </c>
      <c r="O186" s="11">
        <f t="shared" si="18"/>
        <v>2.7777777722803876E-3</v>
      </c>
      <c r="P186" s="11">
        <f t="shared" si="19"/>
        <v>2.4652777792653069E-3</v>
      </c>
      <c r="Q186" s="11">
        <f t="shared" si="20"/>
        <v>1.3310185167938471E-3</v>
      </c>
      <c r="R186" s="11">
        <f t="shared" si="21"/>
        <v>0</v>
      </c>
      <c r="S186" s="11">
        <f t="shared" si="22"/>
        <v>6.5740740683395416E-3</v>
      </c>
      <c r="T186" s="11">
        <f t="shared" si="23"/>
        <v>8.4953703699284233E-3</v>
      </c>
    </row>
    <row r="187" spans="1:20" x14ac:dyDescent="0.25">
      <c r="A187" s="3" t="s">
        <v>327</v>
      </c>
      <c r="B187" s="9">
        <v>520.79999999999995</v>
      </c>
      <c r="C187" s="3" t="s">
        <v>139</v>
      </c>
      <c r="D187" s="10">
        <v>45677.363888888889</v>
      </c>
      <c r="E187" s="10">
        <v>45677.363888888889</v>
      </c>
      <c r="F187" s="10">
        <v>45677.366689814808</v>
      </c>
      <c r="G187" s="10">
        <v>45677.366689814808</v>
      </c>
      <c r="H187" s="10">
        <v>45677.369467592587</v>
      </c>
      <c r="I187" s="10">
        <v>45677.387754629628</v>
      </c>
      <c r="J187" s="10">
        <v>45677.387754629628</v>
      </c>
      <c r="K187" s="10">
        <v>45677.388541666667</v>
      </c>
      <c r="L187" s="10">
        <v>45677.407581018517</v>
      </c>
      <c r="M187" s="11">
        <f t="shared" si="16"/>
        <v>0</v>
      </c>
      <c r="N187" s="11">
        <f t="shared" si="17"/>
        <v>2.8009259185637347E-3</v>
      </c>
      <c r="O187" s="11">
        <f t="shared" si="18"/>
        <v>2.7777777795563452E-3</v>
      </c>
      <c r="P187" s="11">
        <f t="shared" si="19"/>
        <v>1.8287037040863652E-2</v>
      </c>
      <c r="Q187" s="11">
        <f t="shared" si="20"/>
        <v>7.8703703911742195E-4</v>
      </c>
      <c r="R187" s="11">
        <f t="shared" si="21"/>
        <v>1.9039351849642117E-2</v>
      </c>
      <c r="S187" s="11">
        <f t="shared" si="22"/>
        <v>4.0891203709179536E-2</v>
      </c>
      <c r="T187" s="11">
        <f t="shared" si="23"/>
        <v>4.369212962774327E-2</v>
      </c>
    </row>
    <row r="188" spans="1:20" x14ac:dyDescent="0.25">
      <c r="A188" s="3" t="s">
        <v>328</v>
      </c>
      <c r="B188" s="9">
        <v>386.4</v>
      </c>
      <c r="C188" s="3" t="s">
        <v>142</v>
      </c>
      <c r="D188" s="10">
        <v>45677.374374999999</v>
      </c>
      <c r="E188" s="10">
        <v>45677.374374999999</v>
      </c>
      <c r="F188" s="10">
        <v>45677.376423611109</v>
      </c>
      <c r="G188" s="10">
        <v>45677.376423611109</v>
      </c>
      <c r="H188" s="10">
        <v>45677.379201388889</v>
      </c>
      <c r="I188" s="10">
        <v>45677.383333333331</v>
      </c>
      <c r="J188" s="10">
        <v>45677.383333333331</v>
      </c>
      <c r="K188" s="10">
        <v>45677.384131944447</v>
      </c>
      <c r="L188" s="10">
        <v>45677.385555555556</v>
      </c>
      <c r="M188" s="11">
        <f t="shared" si="16"/>
        <v>0</v>
      </c>
      <c r="N188" s="11">
        <f t="shared" si="17"/>
        <v>2.0486111097852699E-3</v>
      </c>
      <c r="O188" s="11">
        <f t="shared" si="18"/>
        <v>2.7777777795563452E-3</v>
      </c>
      <c r="P188" s="11">
        <f t="shared" si="19"/>
        <v>4.1319444426335394E-3</v>
      </c>
      <c r="Q188" s="11">
        <f t="shared" si="20"/>
        <v>7.9861111589707434E-4</v>
      </c>
      <c r="R188" s="11">
        <f t="shared" si="21"/>
        <v>1.4236111092031933E-3</v>
      </c>
      <c r="S188" s="11">
        <f t="shared" si="22"/>
        <v>9.1319444472901523E-3</v>
      </c>
      <c r="T188" s="11">
        <f t="shared" si="23"/>
        <v>1.1180555557075422E-2</v>
      </c>
    </row>
    <row r="189" spans="1:20" x14ac:dyDescent="0.25">
      <c r="A189" s="3" t="s">
        <v>329</v>
      </c>
      <c r="B189" s="9">
        <v>319.68</v>
      </c>
      <c r="C189" s="3" t="s">
        <v>139</v>
      </c>
      <c r="D189" s="10">
        <v>45677.439837962957</v>
      </c>
      <c r="E189" s="10">
        <v>45677.439837962957</v>
      </c>
      <c r="F189" s="10">
        <v>45677.442164351851</v>
      </c>
      <c r="G189" s="10">
        <v>45677.442164351851</v>
      </c>
      <c r="H189" s="10">
        <v>45677.44494212963</v>
      </c>
      <c r="I189" s="10">
        <v>45677.449571759258</v>
      </c>
      <c r="J189" s="10">
        <v>45677.449571759258</v>
      </c>
      <c r="K189" s="10">
        <v>45677.450439814813</v>
      </c>
      <c r="L189" s="10">
        <v>45677.45511574074</v>
      </c>
      <c r="M189" s="11">
        <f t="shared" si="16"/>
        <v>0</v>
      </c>
      <c r="N189" s="11">
        <f t="shared" si="17"/>
        <v>2.3263888942892663E-3</v>
      </c>
      <c r="O189" s="11">
        <f t="shared" si="18"/>
        <v>2.7777777795563452E-3</v>
      </c>
      <c r="P189" s="11">
        <f t="shared" si="19"/>
        <v>4.6296296277432702E-3</v>
      </c>
      <c r="Q189" s="11">
        <f t="shared" si="20"/>
        <v>8.6805555474711582E-4</v>
      </c>
      <c r="R189" s="11">
        <f t="shared" si="21"/>
        <v>4.6759259275859222E-3</v>
      </c>
      <c r="S189" s="11">
        <f t="shared" si="22"/>
        <v>1.2951388889632653E-2</v>
      </c>
      <c r="T189" s="11">
        <f t="shared" si="23"/>
        <v>1.527777778392192E-2</v>
      </c>
    </row>
    <row r="190" spans="1:20" x14ac:dyDescent="0.25">
      <c r="A190" s="3" t="s">
        <v>330</v>
      </c>
      <c r="B190" s="9">
        <v>104.96</v>
      </c>
      <c r="C190" s="3" t="s">
        <v>139</v>
      </c>
      <c r="D190" s="10">
        <v>45677.530717592592</v>
      </c>
      <c r="E190" s="10">
        <v>45677.530717592592</v>
      </c>
      <c r="F190" s="10">
        <v>45677.532546296286</v>
      </c>
      <c r="G190" s="10">
        <v>45677.532546296286</v>
      </c>
      <c r="H190" s="10">
        <v>45677.535324074073</v>
      </c>
      <c r="I190" s="10">
        <v>45677.536215277767</v>
      </c>
      <c r="J190" s="10">
        <v>45677.536215277767</v>
      </c>
      <c r="K190" s="10">
        <v>45677.537083333344</v>
      </c>
      <c r="L190" s="10">
        <v>45677.539201388892</v>
      </c>
      <c r="M190" s="11">
        <f t="shared" si="16"/>
        <v>0</v>
      </c>
      <c r="N190" s="11">
        <f t="shared" si="17"/>
        <v>1.8287036946276203E-3</v>
      </c>
      <c r="O190" s="11">
        <f t="shared" si="18"/>
        <v>2.7777777868323028E-3</v>
      </c>
      <c r="P190" s="11">
        <f t="shared" si="19"/>
        <v>8.9120369375450537E-4</v>
      </c>
      <c r="Q190" s="11">
        <f t="shared" si="20"/>
        <v>8.6805557657498866E-4</v>
      </c>
      <c r="R190" s="11">
        <f t="shared" si="21"/>
        <v>2.1180555486353114E-3</v>
      </c>
      <c r="S190" s="11">
        <f t="shared" si="22"/>
        <v>6.6550926057971083E-3</v>
      </c>
      <c r="T190" s="11">
        <f t="shared" si="23"/>
        <v>8.4837963004247285E-3</v>
      </c>
    </row>
    <row r="191" spans="1:20" x14ac:dyDescent="0.25">
      <c r="A191" s="3" t="s">
        <v>331</v>
      </c>
      <c r="B191" s="9">
        <v>389.06000000000012</v>
      </c>
      <c r="C191" s="3" t="s">
        <v>139</v>
      </c>
      <c r="D191" s="10">
        <v>45677.599351851852</v>
      </c>
      <c r="E191" s="10">
        <v>45677.599351851852</v>
      </c>
      <c r="F191" s="10">
        <v>45677.601840277777</v>
      </c>
      <c r="G191" s="10">
        <v>45677.601840277777</v>
      </c>
      <c r="H191" s="10">
        <v>45677.604618055557</v>
      </c>
      <c r="I191" s="10">
        <v>45677.607592592591</v>
      </c>
      <c r="J191" s="10">
        <v>45677.607592592591</v>
      </c>
      <c r="K191" s="10">
        <v>45677.608472222222</v>
      </c>
      <c r="L191" s="10">
        <v>45677.610949074071</v>
      </c>
      <c r="M191" s="11">
        <f t="shared" si="16"/>
        <v>0</v>
      </c>
      <c r="N191" s="11">
        <f t="shared" si="17"/>
        <v>2.488425925548654E-3</v>
      </c>
      <c r="O191" s="11">
        <f t="shared" si="18"/>
        <v>2.7777777795563452E-3</v>
      </c>
      <c r="P191" s="11">
        <f t="shared" si="19"/>
        <v>2.9745370338787325E-3</v>
      </c>
      <c r="Q191" s="11">
        <f t="shared" si="20"/>
        <v>8.7962963152676821E-4</v>
      </c>
      <c r="R191" s="11">
        <f t="shared" si="21"/>
        <v>2.4768518487690017E-3</v>
      </c>
      <c r="S191" s="11">
        <f t="shared" si="22"/>
        <v>9.1087962937308475E-3</v>
      </c>
      <c r="T191" s="11">
        <f t="shared" si="23"/>
        <v>1.1597222219279502E-2</v>
      </c>
    </row>
    <row r="192" spans="1:20" x14ac:dyDescent="0.25">
      <c r="A192" s="3" t="s">
        <v>332</v>
      </c>
      <c r="B192" s="9">
        <v>301.52</v>
      </c>
      <c r="C192" s="3" t="s">
        <v>139</v>
      </c>
      <c r="D192" s="10">
        <v>45677.629826388889</v>
      </c>
      <c r="E192" s="10">
        <v>45677.629826388889</v>
      </c>
      <c r="F192" s="10">
        <v>45677.632118055553</v>
      </c>
      <c r="G192" s="10">
        <v>45677.632118055553</v>
      </c>
      <c r="H192" s="10">
        <v>45677.634895833333</v>
      </c>
      <c r="I192" s="10">
        <v>45677.647430555553</v>
      </c>
      <c r="J192" s="10">
        <v>45677.647430555553</v>
      </c>
      <c r="K192" s="10">
        <v>45677.648298611108</v>
      </c>
      <c r="L192" s="10">
        <v>45677.664375</v>
      </c>
      <c r="M192" s="11">
        <f t="shared" si="16"/>
        <v>0</v>
      </c>
      <c r="N192" s="11">
        <f t="shared" si="17"/>
        <v>2.2916666639503092E-3</v>
      </c>
      <c r="O192" s="11">
        <f t="shared" si="18"/>
        <v>2.7777777795563452E-3</v>
      </c>
      <c r="P192" s="11">
        <f t="shared" si="19"/>
        <v>1.2534722220152617E-2</v>
      </c>
      <c r="Q192" s="11">
        <f t="shared" si="20"/>
        <v>8.6805555474711582E-4</v>
      </c>
      <c r="R192" s="11">
        <f t="shared" si="21"/>
        <v>1.6076388892543036E-2</v>
      </c>
      <c r="S192" s="11">
        <f t="shared" si="22"/>
        <v>3.2256944446999114E-2</v>
      </c>
      <c r="T192" s="11">
        <f t="shared" si="23"/>
        <v>3.4548611110949423E-2</v>
      </c>
    </row>
    <row r="193" spans="1:20" x14ac:dyDescent="0.25">
      <c r="A193" s="3" t="s">
        <v>333</v>
      </c>
      <c r="B193" s="9">
        <v>229.6</v>
      </c>
      <c r="C193" s="3" t="s">
        <v>142</v>
      </c>
      <c r="D193" s="10">
        <v>45677.657442129632</v>
      </c>
      <c r="E193" s="10">
        <v>45677.657442129632</v>
      </c>
      <c r="F193" s="10">
        <v>45677.659131944441</v>
      </c>
      <c r="G193" s="10">
        <v>45677.659131944441</v>
      </c>
      <c r="H193" s="10">
        <v>45677.661909722221</v>
      </c>
      <c r="I193" s="10">
        <v>45677.664953703701</v>
      </c>
      <c r="J193" s="10">
        <v>45677.664953703701</v>
      </c>
      <c r="K193" s="10">
        <v>45677.666701388887</v>
      </c>
      <c r="L193" s="10">
        <v>45677.66814814815</v>
      </c>
      <c r="M193" s="11">
        <f t="shared" si="16"/>
        <v>0</v>
      </c>
      <c r="N193" s="11">
        <f t="shared" si="17"/>
        <v>1.6898148096515797E-3</v>
      </c>
      <c r="O193" s="11">
        <f t="shared" si="18"/>
        <v>2.7777777795563452E-3</v>
      </c>
      <c r="P193" s="11">
        <f t="shared" si="19"/>
        <v>3.0439814800047316E-3</v>
      </c>
      <c r="Q193" s="11">
        <f t="shared" si="20"/>
        <v>1.747685186273884E-3</v>
      </c>
      <c r="R193" s="11">
        <f t="shared" si="21"/>
        <v>1.4467592627624981E-3</v>
      </c>
      <c r="S193" s="11">
        <f t="shared" si="22"/>
        <v>9.0162037085974589E-3</v>
      </c>
      <c r="T193" s="11">
        <f t="shared" si="23"/>
        <v>1.0706018518249039E-2</v>
      </c>
    </row>
    <row r="194" spans="1:20" x14ac:dyDescent="0.25">
      <c r="A194" s="3" t="s">
        <v>334</v>
      </c>
      <c r="B194" s="9">
        <v>110.18</v>
      </c>
      <c r="C194" s="3" t="s">
        <v>169</v>
      </c>
      <c r="D194" s="10">
        <v>45677.659189814818</v>
      </c>
      <c r="E194" s="10">
        <v>45677.659189814818</v>
      </c>
      <c r="F194" s="10">
        <v>45677.660428240742</v>
      </c>
      <c r="G194" s="10">
        <v>45677.660428240742</v>
      </c>
      <c r="H194" s="10">
        <v>45677.663206018522</v>
      </c>
      <c r="I194" s="10">
        <v>45677.664097222223</v>
      </c>
      <c r="J194" s="10">
        <v>45677.664097222223</v>
      </c>
      <c r="K194" s="10">
        <v>45677.665833333333</v>
      </c>
      <c r="L194" s="10">
        <v>45677.665833333333</v>
      </c>
      <c r="M194" s="11">
        <f t="shared" ref="M194:M257" si="24">IF(AND(ISNUMBER(D194),ISNUMBER(E194)),(E194-D194),"")</f>
        <v>0</v>
      </c>
      <c r="N194" s="11">
        <f t="shared" ref="N194:N257" si="25">IF(AND(ISNUMBER(E194),ISNUMBER(F194)),(F194-E194),"")</f>
        <v>1.2384259243845008E-3</v>
      </c>
      <c r="O194" s="11">
        <f t="shared" ref="O194:O257" si="26">IF(AND(ISNUMBER(G194),ISNUMBER(H194)),(H194-G194),"")</f>
        <v>2.7777777795563452E-3</v>
      </c>
      <c r="P194" s="11">
        <f t="shared" ref="P194:P257" si="27">IF(AND(ISNUMBER(H194),ISNUMBER(I194)),(I194-H194),"")</f>
        <v>8.9120370103046298E-4</v>
      </c>
      <c r="Q194" s="11">
        <f t="shared" ref="Q194:Q257" si="28">IF(AND(ISNUMBER(J194),ISNUMBER(K194)),(K194-J194),"")</f>
        <v>1.7361111094942316E-3</v>
      </c>
      <c r="R194" s="11">
        <f t="shared" ref="R194:R257" si="29">IF(AND(ISNUMBER(K194),ISNUMBER(L194)),(L194-K194),"")</f>
        <v>0</v>
      </c>
      <c r="S194" s="11">
        <f t="shared" ref="S194:S257" si="30">IF(AND(ISNUMBER(F194),ISNUMBER(L194)),(L194-F194),"")</f>
        <v>5.4050925900810398E-3</v>
      </c>
      <c r="T194" s="11">
        <f t="shared" ref="T194:T257" si="31">IF(AND(ISNUMBER(D194),ISNUMBER(L194)),(L194-D194),"")</f>
        <v>6.6435185144655406E-3</v>
      </c>
    </row>
    <row r="195" spans="1:20" x14ac:dyDescent="0.25">
      <c r="A195" s="3" t="s">
        <v>335</v>
      </c>
      <c r="B195" s="9">
        <v>325.36000000000013</v>
      </c>
      <c r="C195" s="3" t="s">
        <v>139</v>
      </c>
      <c r="D195" s="10">
        <v>45677.707835648151</v>
      </c>
      <c r="E195" s="10">
        <v>45677.707835648151</v>
      </c>
      <c r="F195" s="10">
        <v>45677.710173611107</v>
      </c>
      <c r="G195" s="10">
        <v>45677.710173611107</v>
      </c>
      <c r="H195" s="10">
        <v>45677.712951388887</v>
      </c>
      <c r="I195" s="10">
        <v>45677.715462962973</v>
      </c>
      <c r="J195" s="10">
        <v>45677.715462962973</v>
      </c>
      <c r="K195" s="10">
        <v>45677.716331018521</v>
      </c>
      <c r="L195" s="10">
        <v>45677.718217592592</v>
      </c>
      <c r="M195" s="11">
        <f t="shared" si="24"/>
        <v>0</v>
      </c>
      <c r="N195" s="11">
        <f t="shared" si="25"/>
        <v>2.3379629565170035E-3</v>
      </c>
      <c r="O195" s="11">
        <f t="shared" si="26"/>
        <v>2.7777777795563452E-3</v>
      </c>
      <c r="P195" s="11">
        <f t="shared" si="27"/>
        <v>2.5115740863839164E-3</v>
      </c>
      <c r="Q195" s="11">
        <f t="shared" si="28"/>
        <v>8.6805554747115821E-4</v>
      </c>
      <c r="R195" s="11">
        <f t="shared" si="29"/>
        <v>1.8865740712499246E-3</v>
      </c>
      <c r="S195" s="11">
        <f t="shared" si="30"/>
        <v>8.0439814846613444E-3</v>
      </c>
      <c r="T195" s="11">
        <f t="shared" si="31"/>
        <v>1.0381944441178348E-2</v>
      </c>
    </row>
    <row r="196" spans="1:20" x14ac:dyDescent="0.25">
      <c r="A196" s="3" t="s">
        <v>336</v>
      </c>
      <c r="B196" s="9">
        <v>398.04000000000008</v>
      </c>
      <c r="C196" s="3" t="s">
        <v>139</v>
      </c>
      <c r="D196" s="10">
        <v>45677.875381944446</v>
      </c>
      <c r="E196" s="10">
        <v>45677.875381944446</v>
      </c>
      <c r="F196" s="10">
        <v>45677.877893518518</v>
      </c>
      <c r="G196" s="10">
        <v>45677.877893518518</v>
      </c>
      <c r="H196" s="10">
        <v>45677.880671296298</v>
      </c>
      <c r="I196" s="10">
        <v>45677.883819444447</v>
      </c>
      <c r="J196" s="10">
        <v>45677.883819444447</v>
      </c>
      <c r="K196" s="10">
        <v>45677.884699074071</v>
      </c>
      <c r="L196" s="10">
        <v>45677.887615740743</v>
      </c>
      <c r="M196" s="11">
        <f t="shared" si="24"/>
        <v>0</v>
      </c>
      <c r="N196" s="11">
        <f t="shared" si="25"/>
        <v>2.5115740718320012E-3</v>
      </c>
      <c r="O196" s="11">
        <f t="shared" si="26"/>
        <v>2.7777777795563452E-3</v>
      </c>
      <c r="P196" s="11">
        <f t="shared" si="27"/>
        <v>3.1481481491937302E-3</v>
      </c>
      <c r="Q196" s="11">
        <f t="shared" si="28"/>
        <v>8.7962962425081059E-4</v>
      </c>
      <c r="R196" s="11">
        <f t="shared" si="29"/>
        <v>2.9166666718083434E-3</v>
      </c>
      <c r="S196" s="11">
        <f t="shared" si="30"/>
        <v>9.7222222248092294E-3</v>
      </c>
      <c r="T196" s="11">
        <f t="shared" si="31"/>
        <v>1.2233796296641231E-2</v>
      </c>
    </row>
    <row r="197" spans="1:20" x14ac:dyDescent="0.25">
      <c r="A197" s="3" t="s">
        <v>337</v>
      </c>
      <c r="B197" s="9">
        <v>315.58</v>
      </c>
      <c r="C197" s="3" t="s">
        <v>139</v>
      </c>
      <c r="D197" s="10">
        <v>45678.117129629631</v>
      </c>
      <c r="E197" s="10">
        <v>45678.117129629631</v>
      </c>
      <c r="F197" s="10">
        <v>45678.119456018518</v>
      </c>
      <c r="G197" s="10">
        <v>45678.119456018518</v>
      </c>
      <c r="H197" s="10">
        <v>45678.122233796297</v>
      </c>
      <c r="I197" s="10">
        <v>45678.128692129627</v>
      </c>
      <c r="J197" s="10">
        <v>45678.128692129627</v>
      </c>
      <c r="K197" s="10">
        <v>45678.129560185182</v>
      </c>
      <c r="L197" s="10">
        <v>45678.138958333337</v>
      </c>
      <c r="M197" s="11">
        <f t="shared" si="24"/>
        <v>0</v>
      </c>
      <c r="N197" s="11">
        <f t="shared" si="25"/>
        <v>2.3263888870133087E-3</v>
      </c>
      <c r="O197" s="11">
        <f t="shared" si="26"/>
        <v>2.7777777795563452E-3</v>
      </c>
      <c r="P197" s="11">
        <f t="shared" si="27"/>
        <v>6.4583333296468481E-3</v>
      </c>
      <c r="Q197" s="11">
        <f t="shared" si="28"/>
        <v>8.6805555474711582E-4</v>
      </c>
      <c r="R197" s="11">
        <f t="shared" si="29"/>
        <v>9.3981481550144963E-3</v>
      </c>
      <c r="S197" s="11">
        <f t="shared" si="30"/>
        <v>1.9502314818964805E-2</v>
      </c>
      <c r="T197" s="11">
        <f t="shared" si="31"/>
        <v>2.1828703705978114E-2</v>
      </c>
    </row>
    <row r="198" spans="1:20" x14ac:dyDescent="0.25">
      <c r="A198" s="3" t="s">
        <v>338</v>
      </c>
      <c r="B198" s="9">
        <v>233.08</v>
      </c>
      <c r="C198" s="3" t="s">
        <v>139</v>
      </c>
      <c r="D198" s="10">
        <v>45678.274814814817</v>
      </c>
      <c r="E198" s="10">
        <v>45678.274814814817</v>
      </c>
      <c r="F198" s="10">
        <v>45678.276944444442</v>
      </c>
      <c r="G198" s="10">
        <v>45678.276944444442</v>
      </c>
      <c r="H198" s="10">
        <v>45678.279722222222</v>
      </c>
      <c r="I198" s="10">
        <v>45678.281574074077</v>
      </c>
      <c r="J198" s="10">
        <v>45678.281574074077</v>
      </c>
      <c r="K198" s="10">
        <v>45678.282453703701</v>
      </c>
      <c r="L198" s="10">
        <v>45678.28434027778</v>
      </c>
      <c r="M198" s="11">
        <f t="shared" si="24"/>
        <v>0</v>
      </c>
      <c r="N198" s="11">
        <f t="shared" si="25"/>
        <v>2.1296296254149638E-3</v>
      </c>
      <c r="O198" s="11">
        <f t="shared" si="26"/>
        <v>2.7777777795563452E-3</v>
      </c>
      <c r="P198" s="11">
        <f t="shared" si="27"/>
        <v>1.8518518554628827E-3</v>
      </c>
      <c r="Q198" s="11">
        <f t="shared" si="28"/>
        <v>8.7962962425081059E-4</v>
      </c>
      <c r="R198" s="11">
        <f t="shared" si="29"/>
        <v>1.8865740785258822E-3</v>
      </c>
      <c r="S198" s="11">
        <f t="shared" si="30"/>
        <v>7.3958333377959207E-3</v>
      </c>
      <c r="T198" s="11">
        <f t="shared" si="31"/>
        <v>9.5254629632108845E-3</v>
      </c>
    </row>
    <row r="199" spans="1:20" x14ac:dyDescent="0.25">
      <c r="A199" s="3" t="s">
        <v>339</v>
      </c>
      <c r="B199" s="9">
        <v>394.96</v>
      </c>
      <c r="C199" s="3" t="s">
        <v>139</v>
      </c>
      <c r="D199" s="10">
        <v>45678.300358796303</v>
      </c>
      <c r="E199" s="10">
        <v>45678.300358796303</v>
      </c>
      <c r="F199" s="10">
        <v>45678.302858796298</v>
      </c>
      <c r="G199" s="10">
        <v>45678.302858796298</v>
      </c>
      <c r="H199" s="10">
        <v>45678.305636574078</v>
      </c>
      <c r="I199" s="10">
        <v>45678.317754629628</v>
      </c>
      <c r="J199" s="10">
        <v>45678.317754629628</v>
      </c>
      <c r="K199" s="10">
        <v>45678.318622685183</v>
      </c>
      <c r="L199" s="10">
        <v>45678.332974537043</v>
      </c>
      <c r="M199" s="11">
        <f t="shared" si="24"/>
        <v>0</v>
      </c>
      <c r="N199" s="11">
        <f t="shared" si="25"/>
        <v>2.4999999950523488E-3</v>
      </c>
      <c r="O199" s="11">
        <f t="shared" si="26"/>
        <v>2.7777777795563452E-3</v>
      </c>
      <c r="P199" s="11">
        <f t="shared" si="27"/>
        <v>1.211805555067258E-2</v>
      </c>
      <c r="Q199" s="11">
        <f t="shared" si="28"/>
        <v>8.6805555474711582E-4</v>
      </c>
      <c r="R199" s="11">
        <f t="shared" si="29"/>
        <v>1.4351851859828457E-2</v>
      </c>
      <c r="S199" s="11">
        <f t="shared" si="30"/>
        <v>3.0115740744804498E-2</v>
      </c>
      <c r="T199" s="11">
        <f t="shared" si="31"/>
        <v>3.2615740739856847E-2</v>
      </c>
    </row>
    <row r="200" spans="1:20" x14ac:dyDescent="0.25">
      <c r="A200" s="3" t="s">
        <v>340</v>
      </c>
      <c r="B200" s="9">
        <v>381.56000000000012</v>
      </c>
      <c r="C200" s="3" t="s">
        <v>142</v>
      </c>
      <c r="D200" s="10">
        <v>45678.305960648147</v>
      </c>
      <c r="E200" s="10">
        <v>45678.305960648147</v>
      </c>
      <c r="F200" s="10">
        <v>45678.307997685188</v>
      </c>
      <c r="G200" s="10">
        <v>45678.307997685188</v>
      </c>
      <c r="H200" s="10">
        <v>45678.31077546296</v>
      </c>
      <c r="I200" s="10">
        <v>45678.313796296286</v>
      </c>
      <c r="J200" s="10">
        <v>45678.313796296286</v>
      </c>
      <c r="K200" s="10">
        <v>45678.314664351848</v>
      </c>
      <c r="L200" s="10">
        <v>45678.314664351848</v>
      </c>
      <c r="M200" s="11">
        <f t="shared" si="24"/>
        <v>0</v>
      </c>
      <c r="N200" s="11">
        <f t="shared" si="25"/>
        <v>2.0370370402815752E-3</v>
      </c>
      <c r="O200" s="11">
        <f t="shared" si="26"/>
        <v>2.7777777722803876E-3</v>
      </c>
      <c r="P200" s="11">
        <f t="shared" si="27"/>
        <v>3.0208333264454268E-3</v>
      </c>
      <c r="Q200" s="11">
        <f t="shared" si="28"/>
        <v>8.6805556202307343E-4</v>
      </c>
      <c r="R200" s="11">
        <f t="shared" si="29"/>
        <v>0</v>
      </c>
      <c r="S200" s="11">
        <f t="shared" si="30"/>
        <v>6.6666666607488878E-3</v>
      </c>
      <c r="T200" s="11">
        <f t="shared" si="31"/>
        <v>8.703703701030463E-3</v>
      </c>
    </row>
    <row r="201" spans="1:20" x14ac:dyDescent="0.25">
      <c r="A201" s="3" t="s">
        <v>341</v>
      </c>
      <c r="B201" s="9">
        <v>339.1</v>
      </c>
      <c r="C201" s="3" t="s">
        <v>169</v>
      </c>
      <c r="D201" s="10">
        <v>45678.314085648148</v>
      </c>
      <c r="E201" s="10">
        <v>45678.314085648148</v>
      </c>
      <c r="F201" s="10">
        <v>45678.31585648148</v>
      </c>
      <c r="G201" s="10">
        <v>45678.31585648148</v>
      </c>
      <c r="H201" s="10">
        <v>45678.31863425926</v>
      </c>
      <c r="I201" s="10">
        <v>45678.321377314824</v>
      </c>
      <c r="J201" s="10">
        <v>45678.321377314824</v>
      </c>
      <c r="K201" s="10">
        <v>45678.33384259259</v>
      </c>
      <c r="L201" s="10">
        <v>45678.336400462962</v>
      </c>
      <c r="M201" s="11">
        <f t="shared" si="24"/>
        <v>0</v>
      </c>
      <c r="N201" s="11">
        <f t="shared" si="25"/>
        <v>1.7708333325572312E-3</v>
      </c>
      <c r="O201" s="11">
        <f t="shared" si="26"/>
        <v>2.7777777795563452E-3</v>
      </c>
      <c r="P201" s="11">
        <f t="shared" si="27"/>
        <v>2.7430555637693033E-3</v>
      </c>
      <c r="Q201" s="11">
        <f t="shared" si="28"/>
        <v>1.246527776675066E-2</v>
      </c>
      <c r="R201" s="11">
        <f t="shared" si="29"/>
        <v>2.5578703716746531E-3</v>
      </c>
      <c r="S201" s="11">
        <f t="shared" si="30"/>
        <v>2.0543981481750961E-2</v>
      </c>
      <c r="T201" s="11">
        <f t="shared" si="31"/>
        <v>2.2314814814308193E-2</v>
      </c>
    </row>
    <row r="202" spans="1:20" x14ac:dyDescent="0.25">
      <c r="A202" s="3" t="s">
        <v>342</v>
      </c>
      <c r="B202" s="9">
        <v>469.52</v>
      </c>
      <c r="C202" s="3" t="s">
        <v>139</v>
      </c>
      <c r="D202" s="10">
        <v>45678.365624999999</v>
      </c>
      <c r="E202" s="10">
        <v>45678.365624999999</v>
      </c>
      <c r="F202" s="10">
        <v>45678.368298611109</v>
      </c>
      <c r="G202" s="10">
        <v>45678.368298611109</v>
      </c>
      <c r="H202" s="10">
        <v>45678.371076388888</v>
      </c>
      <c r="I202" s="10">
        <v>45678.383483796293</v>
      </c>
      <c r="J202" s="10">
        <v>45678.383483796293</v>
      </c>
      <c r="K202" s="10">
        <v>45678.387152777781</v>
      </c>
      <c r="L202" s="10">
        <v>45678.400185185194</v>
      </c>
      <c r="M202" s="11">
        <f t="shared" si="24"/>
        <v>0</v>
      </c>
      <c r="N202" s="11">
        <f t="shared" si="25"/>
        <v>2.6736111103673466E-3</v>
      </c>
      <c r="O202" s="11">
        <f t="shared" si="26"/>
        <v>2.7777777795563452E-3</v>
      </c>
      <c r="P202" s="11">
        <f t="shared" si="27"/>
        <v>1.2407407404680271E-2</v>
      </c>
      <c r="Q202" s="11">
        <f t="shared" si="28"/>
        <v>3.6689814878627658E-3</v>
      </c>
      <c r="R202" s="11">
        <f t="shared" si="29"/>
        <v>1.3032407412538305E-2</v>
      </c>
      <c r="S202" s="11">
        <f t="shared" si="30"/>
        <v>3.1886574084637687E-2</v>
      </c>
      <c r="T202" s="11">
        <f t="shared" si="31"/>
        <v>3.4560185195005033E-2</v>
      </c>
    </row>
    <row r="203" spans="1:20" x14ac:dyDescent="0.25">
      <c r="A203" s="3" t="s">
        <v>343</v>
      </c>
      <c r="B203" s="9">
        <v>114.8</v>
      </c>
      <c r="C203" s="3" t="s">
        <v>142</v>
      </c>
      <c r="D203" s="10">
        <v>45678.376006944447</v>
      </c>
      <c r="E203" s="10">
        <v>45678.376006944447</v>
      </c>
      <c r="F203" s="10">
        <v>45678.377430555563</v>
      </c>
      <c r="G203" s="10">
        <v>45678.377430555563</v>
      </c>
      <c r="H203" s="10">
        <v>45678.380208333343</v>
      </c>
      <c r="I203" s="10">
        <v>45678.382152777784</v>
      </c>
      <c r="J203" s="10">
        <v>45678.382152777784</v>
      </c>
      <c r="K203" s="10">
        <v>45678.383032407408</v>
      </c>
      <c r="L203" s="10">
        <v>45678.386284722219</v>
      </c>
      <c r="M203" s="11">
        <f t="shared" si="24"/>
        <v>0</v>
      </c>
      <c r="N203" s="11">
        <f t="shared" si="25"/>
        <v>1.423611116479151E-3</v>
      </c>
      <c r="O203" s="11">
        <f t="shared" si="26"/>
        <v>2.7777777795563452E-3</v>
      </c>
      <c r="P203" s="11">
        <f t="shared" si="27"/>
        <v>1.9444444405962713E-3</v>
      </c>
      <c r="Q203" s="11">
        <f t="shared" si="28"/>
        <v>8.7962962425081059E-4</v>
      </c>
      <c r="R203" s="11">
        <f t="shared" si="29"/>
        <v>3.2523148111067712E-3</v>
      </c>
      <c r="S203" s="11">
        <f t="shared" si="30"/>
        <v>8.8541666555101983E-3</v>
      </c>
      <c r="T203" s="11">
        <f t="shared" si="31"/>
        <v>1.0277777771989349E-2</v>
      </c>
    </row>
    <row r="204" spans="1:20" x14ac:dyDescent="0.25">
      <c r="A204" s="3" t="s">
        <v>344</v>
      </c>
      <c r="B204" s="9">
        <v>418.38</v>
      </c>
      <c r="C204" s="3" t="s">
        <v>139</v>
      </c>
      <c r="D204" s="10">
        <v>45678.418726851851</v>
      </c>
      <c r="E204" s="10">
        <v>45678.418726851851</v>
      </c>
      <c r="F204" s="10">
        <v>45678.421284722222</v>
      </c>
      <c r="G204" s="10">
        <v>45678.421284722222</v>
      </c>
      <c r="H204" s="10">
        <v>45678.424062500002</v>
      </c>
      <c r="I204" s="10">
        <v>45678.429606481477</v>
      </c>
      <c r="J204" s="10">
        <v>45678.429606481477</v>
      </c>
      <c r="K204" s="10">
        <v>45678.430474537039</v>
      </c>
      <c r="L204" s="10">
        <v>45678.436400462961</v>
      </c>
      <c r="M204" s="11">
        <f t="shared" si="24"/>
        <v>0</v>
      </c>
      <c r="N204" s="11">
        <f t="shared" si="25"/>
        <v>2.5578703716746531E-3</v>
      </c>
      <c r="O204" s="11">
        <f t="shared" si="26"/>
        <v>2.7777777795563452E-3</v>
      </c>
      <c r="P204" s="11">
        <f t="shared" si="27"/>
        <v>5.5439814750570804E-3</v>
      </c>
      <c r="Q204" s="11">
        <f t="shared" si="28"/>
        <v>8.6805556202307343E-4</v>
      </c>
      <c r="R204" s="11">
        <f t="shared" si="29"/>
        <v>5.9259259214741178E-3</v>
      </c>
      <c r="S204" s="11">
        <f t="shared" si="30"/>
        <v>1.5115740738110617E-2</v>
      </c>
      <c r="T204" s="11">
        <f t="shared" si="31"/>
        <v>1.767361110978527E-2</v>
      </c>
    </row>
    <row r="205" spans="1:20" x14ac:dyDescent="0.25">
      <c r="A205" s="3" t="s">
        <v>345</v>
      </c>
      <c r="B205" s="9">
        <v>398.04000000000008</v>
      </c>
      <c r="C205" s="3" t="s">
        <v>139</v>
      </c>
      <c r="D205" s="10">
        <v>45678.602129629631</v>
      </c>
      <c r="E205" s="10">
        <v>45678.602129629631</v>
      </c>
      <c r="F205" s="10">
        <v>45678.604641203703</v>
      </c>
      <c r="G205" s="10">
        <v>45678.604641203703</v>
      </c>
      <c r="H205" s="10">
        <v>45678.607418981483</v>
      </c>
      <c r="I205" s="10">
        <v>45678.610474537039</v>
      </c>
      <c r="J205" s="10">
        <v>45678.610474537039</v>
      </c>
      <c r="K205" s="10">
        <v>45678.611354166656</v>
      </c>
      <c r="L205" s="10">
        <v>45678.614201388889</v>
      </c>
      <c r="M205" s="11">
        <f t="shared" si="24"/>
        <v>0</v>
      </c>
      <c r="N205" s="11">
        <f t="shared" si="25"/>
        <v>2.5115740718320012E-3</v>
      </c>
      <c r="O205" s="11">
        <f t="shared" si="26"/>
        <v>2.7777777795563452E-3</v>
      </c>
      <c r="P205" s="11">
        <f t="shared" si="27"/>
        <v>3.055555556784384E-3</v>
      </c>
      <c r="Q205" s="11">
        <f t="shared" si="28"/>
        <v>8.7962961697485298E-4</v>
      </c>
      <c r="R205" s="11">
        <f t="shared" si="29"/>
        <v>2.8472222329583019E-3</v>
      </c>
      <c r="S205" s="11">
        <f t="shared" si="30"/>
        <v>9.560185186273884E-3</v>
      </c>
      <c r="T205" s="11">
        <f t="shared" si="31"/>
        <v>1.2071759258105885E-2</v>
      </c>
    </row>
    <row r="206" spans="1:20" x14ac:dyDescent="0.25">
      <c r="A206" s="3" t="s">
        <v>346</v>
      </c>
      <c r="B206" s="9">
        <v>582.38</v>
      </c>
      <c r="C206" s="3" t="s">
        <v>142</v>
      </c>
      <c r="D206" s="10">
        <v>45678.608634259261</v>
      </c>
      <c r="E206" s="10">
        <v>45678.608634259261</v>
      </c>
      <c r="F206" s="10">
        <v>45678.611134259263</v>
      </c>
      <c r="G206" s="10">
        <v>45678.611134259263</v>
      </c>
      <c r="H206" s="10">
        <v>45678.613912037043</v>
      </c>
      <c r="I206" s="10">
        <v>45678.625821759262</v>
      </c>
      <c r="J206" s="10">
        <v>45678.625821759262</v>
      </c>
      <c r="K206" s="10">
        <v>45678.626701388886</v>
      </c>
      <c r="L206" s="10">
        <v>45678.640231481477</v>
      </c>
      <c r="M206" s="11">
        <f t="shared" si="24"/>
        <v>0</v>
      </c>
      <c r="N206" s="11">
        <f t="shared" si="25"/>
        <v>2.5000000023283064E-3</v>
      </c>
      <c r="O206" s="11">
        <f t="shared" si="26"/>
        <v>2.7777777795563452E-3</v>
      </c>
      <c r="P206" s="11">
        <f t="shared" si="27"/>
        <v>1.190972221957054E-2</v>
      </c>
      <c r="Q206" s="11">
        <f t="shared" si="28"/>
        <v>8.7962962425081059E-4</v>
      </c>
      <c r="R206" s="11">
        <f t="shared" si="29"/>
        <v>1.3530092590372078E-2</v>
      </c>
      <c r="S206" s="11">
        <f t="shared" si="30"/>
        <v>2.9097222213749774E-2</v>
      </c>
      <c r="T206" s="11">
        <f t="shared" si="31"/>
        <v>3.159722221607808E-2</v>
      </c>
    </row>
    <row r="207" spans="1:20" x14ac:dyDescent="0.25">
      <c r="A207" s="3" t="s">
        <v>347</v>
      </c>
      <c r="B207" s="9">
        <v>125.92</v>
      </c>
      <c r="C207" s="3" t="s">
        <v>139</v>
      </c>
      <c r="D207" s="10">
        <v>45678.625428240739</v>
      </c>
      <c r="E207" s="10">
        <v>45678.625428240739</v>
      </c>
      <c r="F207" s="10">
        <v>45678.627314814818</v>
      </c>
      <c r="G207" s="10">
        <v>45678.627314814818</v>
      </c>
      <c r="H207" s="10">
        <v>45678.63009259259</v>
      </c>
      <c r="I207" s="10">
        <v>45678.63108796296</v>
      </c>
      <c r="J207" s="10">
        <v>45678.63108796296</v>
      </c>
      <c r="K207" s="10">
        <v>45678.641099537039</v>
      </c>
      <c r="L207" s="10">
        <v>45678.64329861111</v>
      </c>
      <c r="M207" s="11">
        <f t="shared" si="24"/>
        <v>0</v>
      </c>
      <c r="N207" s="11">
        <f t="shared" si="25"/>
        <v>1.8865740785258822E-3</v>
      </c>
      <c r="O207" s="11">
        <f t="shared" si="26"/>
        <v>2.7777777722803876E-3</v>
      </c>
      <c r="P207" s="11">
        <f t="shared" si="27"/>
        <v>9.9537037021946162E-4</v>
      </c>
      <c r="Q207" s="11">
        <f t="shared" si="28"/>
        <v>1.0011574078816921E-2</v>
      </c>
      <c r="R207" s="11">
        <f t="shared" si="29"/>
        <v>2.1990740715409629E-3</v>
      </c>
      <c r="S207" s="11">
        <f t="shared" si="30"/>
        <v>1.5983796292857733E-2</v>
      </c>
      <c r="T207" s="11">
        <f t="shared" si="31"/>
        <v>1.7870370371383615E-2</v>
      </c>
    </row>
    <row r="208" spans="1:20" x14ac:dyDescent="0.25">
      <c r="A208" s="3" t="s">
        <v>348</v>
      </c>
      <c r="B208" s="9">
        <v>187.4</v>
      </c>
      <c r="C208" s="3" t="s">
        <v>139</v>
      </c>
      <c r="D208" s="10">
        <v>45678.868263888893</v>
      </c>
      <c r="E208" s="10">
        <v>45678.868263888893</v>
      </c>
      <c r="F208" s="10">
        <v>45678.870289351849</v>
      </c>
      <c r="G208" s="10">
        <v>45678.870289351849</v>
      </c>
      <c r="H208" s="10">
        <v>45678.873067129629</v>
      </c>
      <c r="I208" s="10">
        <v>45678.874548611107</v>
      </c>
      <c r="J208" s="10">
        <v>45678.874548611107</v>
      </c>
      <c r="K208" s="10">
        <v>45678.875428240739</v>
      </c>
      <c r="L208" s="10">
        <v>45678.87777777778</v>
      </c>
      <c r="M208" s="11">
        <f t="shared" si="24"/>
        <v>0</v>
      </c>
      <c r="N208" s="11">
        <f t="shared" si="25"/>
        <v>2.0254629562259652E-3</v>
      </c>
      <c r="O208" s="11">
        <f t="shared" si="26"/>
        <v>2.7777777795563452E-3</v>
      </c>
      <c r="P208" s="11">
        <f t="shared" si="27"/>
        <v>1.48148147854954E-3</v>
      </c>
      <c r="Q208" s="11">
        <f t="shared" si="28"/>
        <v>8.7962963152676821E-4</v>
      </c>
      <c r="R208" s="11">
        <f t="shared" si="29"/>
        <v>2.3495370405726135E-3</v>
      </c>
      <c r="S208" s="11">
        <f t="shared" si="30"/>
        <v>7.4884259302052669E-3</v>
      </c>
      <c r="T208" s="11">
        <f t="shared" si="31"/>
        <v>9.5138888864312321E-3</v>
      </c>
    </row>
    <row r="209" spans="1:20" x14ac:dyDescent="0.25">
      <c r="A209" s="3" t="s">
        <v>349</v>
      </c>
      <c r="B209" s="9">
        <v>298.58</v>
      </c>
      <c r="C209" s="3" t="s">
        <v>139</v>
      </c>
      <c r="D209" s="10">
        <v>45679.102962962963</v>
      </c>
      <c r="E209" s="10">
        <v>45679.102962962963</v>
      </c>
      <c r="F209" s="10">
        <v>45679.105243055557</v>
      </c>
      <c r="G209" s="10">
        <v>45679.105243055557</v>
      </c>
      <c r="H209" s="10">
        <v>45679.108020833337</v>
      </c>
      <c r="I209" s="10">
        <v>45679.113668981481</v>
      </c>
      <c r="J209" s="10">
        <v>45679.113668981481</v>
      </c>
      <c r="K209" s="10">
        <v>45679.114537037043</v>
      </c>
      <c r="L209" s="10">
        <v>45679.12127314815</v>
      </c>
      <c r="M209" s="11">
        <f t="shared" si="24"/>
        <v>0</v>
      </c>
      <c r="N209" s="11">
        <f t="shared" si="25"/>
        <v>2.2800925944466144E-3</v>
      </c>
      <c r="O209" s="11">
        <f t="shared" si="26"/>
        <v>2.7777777795563452E-3</v>
      </c>
      <c r="P209" s="11">
        <f t="shared" si="27"/>
        <v>5.648148144246079E-3</v>
      </c>
      <c r="Q209" s="11">
        <f t="shared" si="28"/>
        <v>8.6805556202307343E-4</v>
      </c>
      <c r="R209" s="11">
        <f t="shared" si="29"/>
        <v>6.7361111068748869E-3</v>
      </c>
      <c r="S209" s="11">
        <f t="shared" si="30"/>
        <v>1.6030092592700385E-2</v>
      </c>
      <c r="T209" s="11">
        <f t="shared" si="31"/>
        <v>1.8310185187146999E-2</v>
      </c>
    </row>
    <row r="210" spans="1:20" x14ac:dyDescent="0.25">
      <c r="A210" s="3" t="s">
        <v>350</v>
      </c>
      <c r="B210" s="9">
        <v>366.6</v>
      </c>
      <c r="C210" s="3" t="s">
        <v>139</v>
      </c>
      <c r="D210" s="10">
        <v>45679.189895833333</v>
      </c>
      <c r="E210" s="10">
        <v>45679.189895833333</v>
      </c>
      <c r="F210" s="10">
        <v>45679.192337962973</v>
      </c>
      <c r="G210" s="10">
        <v>45679.192337962973</v>
      </c>
      <c r="H210" s="10">
        <v>45679.195115740738</v>
      </c>
      <c r="I210" s="10">
        <v>45679.198020833333</v>
      </c>
      <c r="J210" s="10">
        <v>45679.198020833333</v>
      </c>
      <c r="K210" s="10">
        <v>45679.198900462958</v>
      </c>
      <c r="L210" s="10">
        <v>45679.201736111107</v>
      </c>
      <c r="M210" s="11">
        <f t="shared" si="24"/>
        <v>0</v>
      </c>
      <c r="N210" s="11">
        <f t="shared" si="25"/>
        <v>2.4421296402579173E-3</v>
      </c>
      <c r="O210" s="11">
        <f t="shared" si="26"/>
        <v>2.77777776500443E-3</v>
      </c>
      <c r="P210" s="11">
        <f t="shared" si="27"/>
        <v>2.905092595028691E-3</v>
      </c>
      <c r="Q210" s="11">
        <f t="shared" si="28"/>
        <v>8.7962962425081059E-4</v>
      </c>
      <c r="R210" s="11">
        <f t="shared" si="29"/>
        <v>2.8356481489026919E-3</v>
      </c>
      <c r="S210" s="11">
        <f t="shared" si="30"/>
        <v>9.3981481331866235E-3</v>
      </c>
      <c r="T210" s="11">
        <f t="shared" si="31"/>
        <v>1.1840277773444541E-2</v>
      </c>
    </row>
    <row r="211" spans="1:20" x14ac:dyDescent="0.25">
      <c r="A211" s="3" t="s">
        <v>351</v>
      </c>
      <c r="B211" s="9">
        <v>291.7</v>
      </c>
      <c r="C211" s="3" t="s">
        <v>139</v>
      </c>
      <c r="D211" s="10">
        <v>45679.264374999999</v>
      </c>
      <c r="E211" s="10">
        <v>45679.264374999999</v>
      </c>
      <c r="F211" s="10">
        <v>45679.266643518517</v>
      </c>
      <c r="G211" s="10">
        <v>45679.266643518517</v>
      </c>
      <c r="H211" s="10">
        <v>45679.269421296303</v>
      </c>
      <c r="I211" s="10">
        <v>45679.271782407413</v>
      </c>
      <c r="J211" s="10">
        <v>45679.271782407413</v>
      </c>
      <c r="K211" s="10">
        <v>45679.272650462961</v>
      </c>
      <c r="L211" s="10">
        <v>45679.275243055563</v>
      </c>
      <c r="M211" s="11">
        <f t="shared" si="24"/>
        <v>0</v>
      </c>
      <c r="N211" s="11">
        <f t="shared" si="25"/>
        <v>2.268518517666962E-3</v>
      </c>
      <c r="O211" s="11">
        <f t="shared" si="26"/>
        <v>2.7777777868323028E-3</v>
      </c>
      <c r="P211" s="11">
        <f t="shared" si="27"/>
        <v>2.3611111100763083E-3</v>
      </c>
      <c r="Q211" s="11">
        <f t="shared" si="28"/>
        <v>8.6805554747115821E-4</v>
      </c>
      <c r="R211" s="11">
        <f t="shared" si="29"/>
        <v>2.5925926020136103E-3</v>
      </c>
      <c r="S211" s="11">
        <f t="shared" si="30"/>
        <v>8.5995370463933796E-3</v>
      </c>
      <c r="T211" s="11">
        <f t="shared" si="31"/>
        <v>1.0868055564060342E-2</v>
      </c>
    </row>
    <row r="212" spans="1:20" x14ac:dyDescent="0.25">
      <c r="A212" s="3" t="s">
        <v>352</v>
      </c>
      <c r="B212" s="9">
        <v>467.5200000000001</v>
      </c>
      <c r="C212" s="3" t="s">
        <v>139</v>
      </c>
      <c r="D212" s="10">
        <v>45679.281840277778</v>
      </c>
      <c r="E212" s="10">
        <v>45679.281840277778</v>
      </c>
      <c r="F212" s="10">
        <v>45679.284513888888</v>
      </c>
      <c r="G212" s="10">
        <v>45679.284513888888</v>
      </c>
      <c r="H212" s="10">
        <v>45679.287291666667</v>
      </c>
      <c r="I212" s="10">
        <v>45679.301412037043</v>
      </c>
      <c r="J212" s="10">
        <v>45679.301412037043</v>
      </c>
      <c r="K212" s="10">
        <v>45679.302291666667</v>
      </c>
      <c r="L212" s="10">
        <v>45679.320763888893</v>
      </c>
      <c r="M212" s="11">
        <f t="shared" si="24"/>
        <v>0</v>
      </c>
      <c r="N212" s="11">
        <f t="shared" si="25"/>
        <v>2.6736111103673466E-3</v>
      </c>
      <c r="O212" s="11">
        <f t="shared" si="26"/>
        <v>2.7777777795563452E-3</v>
      </c>
      <c r="P212" s="11">
        <f t="shared" si="27"/>
        <v>1.4120370375167113E-2</v>
      </c>
      <c r="Q212" s="11">
        <f t="shared" si="28"/>
        <v>8.7962962425081059E-4</v>
      </c>
      <c r="R212" s="11">
        <f t="shared" si="29"/>
        <v>1.8472222225682344E-2</v>
      </c>
      <c r="S212" s="11">
        <f t="shared" si="30"/>
        <v>3.6250000004656613E-2</v>
      </c>
      <c r="T212" s="11">
        <f t="shared" si="31"/>
        <v>3.8923611115023959E-2</v>
      </c>
    </row>
    <row r="213" spans="1:20" x14ac:dyDescent="0.25">
      <c r="A213" s="3" t="s">
        <v>353</v>
      </c>
      <c r="B213" s="9">
        <v>330.7</v>
      </c>
      <c r="C213" s="3" t="s">
        <v>142</v>
      </c>
      <c r="D213" s="10">
        <v>45679.311539351853</v>
      </c>
      <c r="E213" s="10">
        <v>45679.311539351853</v>
      </c>
      <c r="F213" s="10">
        <v>45679.313460648147</v>
      </c>
      <c r="G213" s="10">
        <v>45679.313460648147</v>
      </c>
      <c r="H213" s="10">
        <v>45679.316238425927</v>
      </c>
      <c r="I213" s="10">
        <v>45679.318854166668</v>
      </c>
      <c r="J213" s="10">
        <v>45679.318854166668</v>
      </c>
      <c r="K213" s="10">
        <v>45679.321631944447</v>
      </c>
      <c r="L213" s="10">
        <v>45679.321631944447</v>
      </c>
      <c r="M213" s="11">
        <f t="shared" si="24"/>
        <v>0</v>
      </c>
      <c r="N213" s="11">
        <f t="shared" si="25"/>
        <v>1.9212962943129241E-3</v>
      </c>
      <c r="O213" s="11">
        <f t="shared" si="26"/>
        <v>2.7777777795563452E-3</v>
      </c>
      <c r="P213" s="11">
        <f t="shared" si="27"/>
        <v>2.6157407410209998E-3</v>
      </c>
      <c r="Q213" s="11">
        <f t="shared" si="28"/>
        <v>2.7777777795563452E-3</v>
      </c>
      <c r="R213" s="11">
        <f t="shared" si="29"/>
        <v>0</v>
      </c>
      <c r="S213" s="11">
        <f t="shared" si="30"/>
        <v>8.1712963001336902E-3</v>
      </c>
      <c r="T213" s="11">
        <f t="shared" si="31"/>
        <v>1.0092592594446614E-2</v>
      </c>
    </row>
    <row r="214" spans="1:20" x14ac:dyDescent="0.25">
      <c r="A214" s="3" t="s">
        <v>354</v>
      </c>
      <c r="B214" s="9">
        <v>295.36000000000013</v>
      </c>
      <c r="C214" s="3" t="s">
        <v>139</v>
      </c>
      <c r="D214" s="10">
        <v>45679.331388888888</v>
      </c>
      <c r="E214" s="10">
        <v>45679.331388888888</v>
      </c>
      <c r="F214" s="10">
        <v>45679.333657407413</v>
      </c>
      <c r="G214" s="10">
        <v>45679.333657407413</v>
      </c>
      <c r="H214" s="10">
        <v>45679.336435185192</v>
      </c>
      <c r="I214" s="10">
        <v>45679.339016203703</v>
      </c>
      <c r="J214" s="10">
        <v>45679.339016203703</v>
      </c>
      <c r="K214" s="10">
        <v>45679.339803240742</v>
      </c>
      <c r="L214" s="10">
        <v>45679.339803240742</v>
      </c>
      <c r="M214" s="11">
        <f t="shared" si="24"/>
        <v>0</v>
      </c>
      <c r="N214" s="11">
        <f t="shared" si="25"/>
        <v>2.2685185249429196E-3</v>
      </c>
      <c r="O214" s="11">
        <f t="shared" si="26"/>
        <v>2.7777777795563452E-3</v>
      </c>
      <c r="P214" s="11">
        <f t="shared" si="27"/>
        <v>2.5810185106820427E-3</v>
      </c>
      <c r="Q214" s="11">
        <f t="shared" si="28"/>
        <v>7.8703703911742195E-4</v>
      </c>
      <c r="R214" s="11">
        <f t="shared" si="29"/>
        <v>0</v>
      </c>
      <c r="S214" s="11">
        <f t="shared" si="30"/>
        <v>6.1458333293558098E-3</v>
      </c>
      <c r="T214" s="11">
        <f t="shared" si="31"/>
        <v>8.4143518542987294E-3</v>
      </c>
    </row>
    <row r="215" spans="1:20" x14ac:dyDescent="0.25">
      <c r="A215" s="3" t="s">
        <v>355</v>
      </c>
      <c r="B215" s="9">
        <v>331.2</v>
      </c>
      <c r="C215" s="3" t="s">
        <v>139</v>
      </c>
      <c r="D215" s="10">
        <v>45679.348773148151</v>
      </c>
      <c r="E215" s="10">
        <v>45679.348773148151</v>
      </c>
      <c r="F215" s="10">
        <v>45679.351134259261</v>
      </c>
      <c r="G215" s="10">
        <v>45679.351134259261</v>
      </c>
      <c r="H215" s="10">
        <v>45679.353912037041</v>
      </c>
      <c r="I215" s="10">
        <v>45679.35733796296</v>
      </c>
      <c r="J215" s="10">
        <v>45679.35733796296</v>
      </c>
      <c r="K215" s="10">
        <v>45679.358217592591</v>
      </c>
      <c r="L215" s="10">
        <v>45679.361226851863</v>
      </c>
      <c r="M215" s="11">
        <f t="shared" si="24"/>
        <v>0</v>
      </c>
      <c r="N215" s="11">
        <f t="shared" si="25"/>
        <v>2.3611111100763083E-3</v>
      </c>
      <c r="O215" s="11">
        <f t="shared" si="26"/>
        <v>2.7777777795563452E-3</v>
      </c>
      <c r="P215" s="11">
        <f t="shared" si="27"/>
        <v>3.4259259191458113E-3</v>
      </c>
      <c r="Q215" s="11">
        <f t="shared" si="28"/>
        <v>8.7962963152676821E-4</v>
      </c>
      <c r="R215" s="11">
        <f t="shared" si="29"/>
        <v>3.0092592714936472E-3</v>
      </c>
      <c r="S215" s="11">
        <f t="shared" si="30"/>
        <v>1.0092592601722572E-2</v>
      </c>
      <c r="T215" s="11">
        <f t="shared" si="31"/>
        <v>1.245370371179888E-2</v>
      </c>
    </row>
    <row r="216" spans="1:20" x14ac:dyDescent="0.25">
      <c r="A216" s="3" t="s">
        <v>356</v>
      </c>
      <c r="B216" s="9">
        <v>515.17999999999995</v>
      </c>
      <c r="C216" s="3" t="s">
        <v>139</v>
      </c>
      <c r="D216" s="10">
        <v>45679.37909722222</v>
      </c>
      <c r="E216" s="10">
        <v>45679.37909722222</v>
      </c>
      <c r="F216" s="10">
        <v>45679.381874999999</v>
      </c>
      <c r="G216" s="10">
        <v>45679.381874999999</v>
      </c>
      <c r="H216" s="10">
        <v>45679.384652777779</v>
      </c>
      <c r="I216" s="10">
        <v>45679.399456018517</v>
      </c>
      <c r="J216" s="10">
        <v>45679.399456018517</v>
      </c>
      <c r="K216" s="10">
        <v>45679.400254629632</v>
      </c>
      <c r="L216" s="10">
        <v>45679.418900462973</v>
      </c>
      <c r="M216" s="11">
        <f t="shared" si="24"/>
        <v>0</v>
      </c>
      <c r="N216" s="11">
        <f t="shared" si="25"/>
        <v>2.7777777795563452E-3</v>
      </c>
      <c r="O216" s="11">
        <f t="shared" si="26"/>
        <v>2.7777777795563452E-3</v>
      </c>
      <c r="P216" s="11">
        <f t="shared" si="27"/>
        <v>1.4803240737819578E-2</v>
      </c>
      <c r="Q216" s="11">
        <f t="shared" si="28"/>
        <v>7.9861111589707434E-4</v>
      </c>
      <c r="R216" s="11">
        <f t="shared" si="29"/>
        <v>1.8645833340997342E-2</v>
      </c>
      <c r="S216" s="11">
        <f t="shared" si="30"/>
        <v>3.702546297427034E-2</v>
      </c>
      <c r="T216" s="11">
        <f t="shared" si="31"/>
        <v>3.9803240753826685E-2</v>
      </c>
    </row>
    <row r="217" spans="1:20" x14ac:dyDescent="0.25">
      <c r="A217" s="3" t="s">
        <v>357</v>
      </c>
      <c r="B217" s="9">
        <v>446.24000000000012</v>
      </c>
      <c r="C217" s="3" t="s">
        <v>139</v>
      </c>
      <c r="D217" s="10">
        <v>45679.432384259257</v>
      </c>
      <c r="E217" s="10">
        <v>45679.432384259257</v>
      </c>
      <c r="F217" s="10">
        <v>45679.435011574067</v>
      </c>
      <c r="G217" s="10">
        <v>45679.435011574067</v>
      </c>
      <c r="H217" s="10">
        <v>45679.437789351847</v>
      </c>
      <c r="I217" s="10">
        <v>45679.441099537027</v>
      </c>
      <c r="J217" s="10">
        <v>45679.441099537027</v>
      </c>
      <c r="K217" s="10">
        <v>45679.441967592589</v>
      </c>
      <c r="L217" s="10">
        <v>45679.444131944438</v>
      </c>
      <c r="M217" s="11">
        <f t="shared" si="24"/>
        <v>0</v>
      </c>
      <c r="N217" s="11">
        <f t="shared" si="25"/>
        <v>2.6273148105246946E-3</v>
      </c>
      <c r="O217" s="11">
        <f t="shared" si="26"/>
        <v>2.7777777795563452E-3</v>
      </c>
      <c r="P217" s="11">
        <f t="shared" si="27"/>
        <v>3.3101851804531179E-3</v>
      </c>
      <c r="Q217" s="11">
        <f t="shared" si="28"/>
        <v>8.6805556202307343E-4</v>
      </c>
      <c r="R217" s="11">
        <f t="shared" si="29"/>
        <v>2.1643518484779634E-3</v>
      </c>
      <c r="S217" s="11">
        <f t="shared" si="30"/>
        <v>9.1203703705104999E-3</v>
      </c>
      <c r="T217" s="11">
        <f t="shared" si="31"/>
        <v>1.1747685181035195E-2</v>
      </c>
    </row>
    <row r="218" spans="1:20" x14ac:dyDescent="0.25">
      <c r="A218" s="3" t="s">
        <v>358</v>
      </c>
      <c r="B218" s="9">
        <v>33.9</v>
      </c>
      <c r="C218" s="3" t="s">
        <v>164</v>
      </c>
      <c r="D218" s="10">
        <v>45679.541504629633</v>
      </c>
      <c r="E218" s="10">
        <v>45679.541504629633</v>
      </c>
      <c r="F218" s="10">
        <v>45679.542800925927</v>
      </c>
      <c r="G218" s="10">
        <v>45679.542800925927</v>
      </c>
      <c r="H218" s="10">
        <v>45679.545578703714</v>
      </c>
      <c r="I218" s="10">
        <v>45679.545868055553</v>
      </c>
      <c r="J218" s="10">
        <v>45679.545868055553</v>
      </c>
      <c r="K218" s="10">
        <v>45679.546666666669</v>
      </c>
      <c r="L218" s="10">
        <v>45679.548217592594</v>
      </c>
      <c r="M218" s="11">
        <f t="shared" si="24"/>
        <v>0</v>
      </c>
      <c r="N218" s="11">
        <f t="shared" si="25"/>
        <v>1.2962962937308475E-3</v>
      </c>
      <c r="O218" s="11">
        <f t="shared" si="26"/>
        <v>2.7777777868323028E-3</v>
      </c>
      <c r="P218" s="11">
        <f t="shared" si="27"/>
        <v>2.8935183945577592E-4</v>
      </c>
      <c r="Q218" s="11">
        <f t="shared" si="28"/>
        <v>7.9861111589707434E-4</v>
      </c>
      <c r="R218" s="11">
        <f t="shared" si="29"/>
        <v>1.5509259246755391E-3</v>
      </c>
      <c r="S218" s="11">
        <f t="shared" si="30"/>
        <v>5.4166666668606922E-3</v>
      </c>
      <c r="T218" s="11">
        <f t="shared" si="31"/>
        <v>6.7129629605915397E-3</v>
      </c>
    </row>
    <row r="219" spans="1:20" x14ac:dyDescent="0.25">
      <c r="A219" s="3" t="s">
        <v>359</v>
      </c>
      <c r="B219" s="9">
        <v>62.96</v>
      </c>
      <c r="C219" s="3" t="s">
        <v>164</v>
      </c>
      <c r="D219" s="10">
        <v>45679.633287037039</v>
      </c>
      <c r="E219" s="10">
        <v>45679.633287037039</v>
      </c>
      <c r="F219" s="10">
        <v>45679.634652777779</v>
      </c>
      <c r="G219" s="10">
        <v>45679.634652777779</v>
      </c>
      <c r="H219" s="10">
        <v>45679.637430555558</v>
      </c>
      <c r="I219" s="10">
        <v>45679.63789351852</v>
      </c>
      <c r="J219" s="10">
        <v>45679.63789351852</v>
      </c>
      <c r="K219" s="10">
        <v>45679.638773148137</v>
      </c>
      <c r="L219" s="10">
        <v>45679.640393518523</v>
      </c>
      <c r="M219" s="11">
        <f t="shared" si="24"/>
        <v>0</v>
      </c>
      <c r="N219" s="11">
        <f t="shared" si="25"/>
        <v>1.3657407398568466E-3</v>
      </c>
      <c r="O219" s="11">
        <f t="shared" si="26"/>
        <v>2.7777777795563452E-3</v>
      </c>
      <c r="P219" s="11">
        <f t="shared" si="27"/>
        <v>4.6296296204673126E-4</v>
      </c>
      <c r="Q219" s="11">
        <f t="shared" si="28"/>
        <v>8.7962961697485298E-4</v>
      </c>
      <c r="R219" s="11">
        <f t="shared" si="29"/>
        <v>1.6203703853534535E-3</v>
      </c>
      <c r="S219" s="11">
        <f t="shared" si="30"/>
        <v>5.7407407439313829E-3</v>
      </c>
      <c r="T219" s="11">
        <f t="shared" si="31"/>
        <v>7.1064814837882295E-3</v>
      </c>
    </row>
    <row r="220" spans="1:20" x14ac:dyDescent="0.25">
      <c r="A220" s="3" t="s">
        <v>360</v>
      </c>
      <c r="B220" s="9">
        <v>591.50000000000011</v>
      </c>
      <c r="C220" s="3" t="s">
        <v>142</v>
      </c>
      <c r="D220" s="10">
        <v>45679.722812499997</v>
      </c>
      <c r="E220" s="10">
        <v>45679.722812499997</v>
      </c>
      <c r="F220" s="10">
        <v>45679.725335648152</v>
      </c>
      <c r="G220" s="10">
        <v>45679.725335648152</v>
      </c>
      <c r="H220" s="10">
        <v>45679.728113425917</v>
      </c>
      <c r="I220" s="10">
        <v>45679.743576388893</v>
      </c>
      <c r="J220" s="10">
        <v>45679.743576388893</v>
      </c>
      <c r="K220" s="10">
        <v>45679.744444444441</v>
      </c>
      <c r="L220" s="10">
        <v>45679.76121527778</v>
      </c>
      <c r="M220" s="11">
        <f t="shared" si="24"/>
        <v>0</v>
      </c>
      <c r="N220" s="11">
        <f t="shared" si="25"/>
        <v>2.5231481558876112E-3</v>
      </c>
      <c r="O220" s="11">
        <f t="shared" si="26"/>
        <v>2.77777776500443E-3</v>
      </c>
      <c r="P220" s="11">
        <f t="shared" si="27"/>
        <v>1.546296297601657E-2</v>
      </c>
      <c r="Q220" s="11">
        <f t="shared" si="28"/>
        <v>8.6805554747115821E-4</v>
      </c>
      <c r="R220" s="11">
        <f t="shared" si="29"/>
        <v>1.6770833339251112E-2</v>
      </c>
      <c r="S220" s="11">
        <f t="shared" si="30"/>
        <v>3.587962962774327E-2</v>
      </c>
      <c r="T220" s="11">
        <f t="shared" si="31"/>
        <v>3.8402777783630881E-2</v>
      </c>
    </row>
    <row r="221" spans="1:20" x14ac:dyDescent="0.25">
      <c r="A221" s="3" t="s">
        <v>361</v>
      </c>
      <c r="B221" s="9">
        <v>325.36000000000013</v>
      </c>
      <c r="C221" s="3" t="s">
        <v>139</v>
      </c>
      <c r="D221" s="10">
        <v>45679.731099537043</v>
      </c>
      <c r="E221" s="10">
        <v>45679.731099537043</v>
      </c>
      <c r="F221" s="10">
        <v>45679.733437499999</v>
      </c>
      <c r="G221" s="10">
        <v>45679.733437499999</v>
      </c>
      <c r="H221" s="10">
        <v>45679.736215277779</v>
      </c>
      <c r="I221" s="10">
        <v>45679.738634259258</v>
      </c>
      <c r="J221" s="10">
        <v>45679.738634259258</v>
      </c>
      <c r="K221" s="10">
        <v>45679.739502314813</v>
      </c>
      <c r="L221" s="10">
        <v>45679.741377314807</v>
      </c>
      <c r="M221" s="11">
        <f t="shared" si="24"/>
        <v>0</v>
      </c>
      <c r="N221" s="11">
        <f t="shared" si="25"/>
        <v>2.3379629565170035E-3</v>
      </c>
      <c r="O221" s="11">
        <f t="shared" si="26"/>
        <v>2.7777777795563452E-3</v>
      </c>
      <c r="P221" s="11">
        <f t="shared" si="27"/>
        <v>2.418981479422655E-3</v>
      </c>
      <c r="Q221" s="11">
        <f t="shared" si="28"/>
        <v>8.6805555474711582E-4</v>
      </c>
      <c r="R221" s="11">
        <f t="shared" si="29"/>
        <v>1.8749999944702722E-3</v>
      </c>
      <c r="S221" s="11">
        <f t="shared" si="30"/>
        <v>7.9398148081963882E-3</v>
      </c>
      <c r="T221" s="11">
        <f t="shared" si="31"/>
        <v>1.0277777764713392E-2</v>
      </c>
    </row>
    <row r="222" spans="1:20" x14ac:dyDescent="0.25">
      <c r="A222" s="3" t="s">
        <v>362</v>
      </c>
      <c r="B222" s="9">
        <v>74.62</v>
      </c>
      <c r="C222" s="3" t="s">
        <v>139</v>
      </c>
      <c r="D222" s="10">
        <v>45679.741932870369</v>
      </c>
      <c r="E222" s="10">
        <v>45679.741932870369</v>
      </c>
      <c r="F222" s="10">
        <v>45679.743692129632</v>
      </c>
      <c r="G222" s="10">
        <v>45679.743692129632</v>
      </c>
      <c r="H222" s="10">
        <v>45679.746469907397</v>
      </c>
      <c r="I222" s="10">
        <v>45679.747025462973</v>
      </c>
      <c r="J222" s="10">
        <v>45679.747025462973</v>
      </c>
      <c r="K222" s="10">
        <v>45679.762002314812</v>
      </c>
      <c r="L222" s="10">
        <v>45679.762002314812</v>
      </c>
      <c r="M222" s="11">
        <f t="shared" si="24"/>
        <v>0</v>
      </c>
      <c r="N222" s="11">
        <f t="shared" si="25"/>
        <v>1.7592592630535364E-3</v>
      </c>
      <c r="O222" s="11">
        <f t="shared" si="26"/>
        <v>2.77777776500443E-3</v>
      </c>
      <c r="P222" s="11">
        <f t="shared" si="27"/>
        <v>5.5555557628395036E-4</v>
      </c>
      <c r="Q222" s="11">
        <f t="shared" si="28"/>
        <v>1.4976851838582661E-2</v>
      </c>
      <c r="R222" s="11">
        <f t="shared" si="29"/>
        <v>0</v>
      </c>
      <c r="S222" s="11">
        <f t="shared" si="30"/>
        <v>1.8310185179871041E-2</v>
      </c>
      <c r="T222" s="11">
        <f t="shared" si="31"/>
        <v>2.0069444442924578E-2</v>
      </c>
    </row>
    <row r="223" spans="1:20" x14ac:dyDescent="0.25">
      <c r="A223" s="3" t="s">
        <v>363</v>
      </c>
      <c r="B223" s="9">
        <v>298.72000000000003</v>
      </c>
      <c r="C223" s="3" t="s">
        <v>139</v>
      </c>
      <c r="D223" s="10">
        <v>45679.835023148153</v>
      </c>
      <c r="E223" s="10">
        <v>45679.835023148153</v>
      </c>
      <c r="F223" s="10">
        <v>45679.83730324074</v>
      </c>
      <c r="G223" s="10">
        <v>45679.83730324074</v>
      </c>
      <c r="H223" s="10">
        <v>45679.840081018519</v>
      </c>
      <c r="I223" s="10">
        <v>45679.849120370367</v>
      </c>
      <c r="J223" s="10">
        <v>45679.849120370367</v>
      </c>
      <c r="K223" s="10">
        <v>45679.849988425929</v>
      </c>
      <c r="L223" s="10">
        <v>45679.864236111112</v>
      </c>
      <c r="M223" s="11">
        <f t="shared" si="24"/>
        <v>0</v>
      </c>
      <c r="N223" s="11">
        <f t="shared" si="25"/>
        <v>2.2800925871706568E-3</v>
      </c>
      <c r="O223" s="11">
        <f t="shared" si="26"/>
        <v>2.7777777795563452E-3</v>
      </c>
      <c r="P223" s="11">
        <f t="shared" si="27"/>
        <v>9.0393518476048484E-3</v>
      </c>
      <c r="Q223" s="11">
        <f t="shared" si="28"/>
        <v>8.6805556202307343E-4</v>
      </c>
      <c r="R223" s="11">
        <f t="shared" si="29"/>
        <v>1.4247685183363501E-2</v>
      </c>
      <c r="S223" s="11">
        <f t="shared" si="30"/>
        <v>2.6932870372547768E-2</v>
      </c>
      <c r="T223" s="11">
        <f t="shared" si="31"/>
        <v>2.9212962959718425E-2</v>
      </c>
    </row>
    <row r="224" spans="1:20" x14ac:dyDescent="0.25">
      <c r="A224" s="3" t="s">
        <v>364</v>
      </c>
      <c r="B224" s="9">
        <v>310.44</v>
      </c>
      <c r="C224" s="3" t="s">
        <v>139</v>
      </c>
      <c r="D224" s="10">
        <v>45680.112175925933</v>
      </c>
      <c r="E224" s="10">
        <v>45680.112175925933</v>
      </c>
      <c r="F224" s="10">
        <v>45680.114490740743</v>
      </c>
      <c r="G224" s="10">
        <v>45680.114490740743</v>
      </c>
      <c r="H224" s="10">
        <v>45680.117268518523</v>
      </c>
      <c r="I224" s="10">
        <v>45680.122650462959</v>
      </c>
      <c r="J224" s="10">
        <v>45680.122650462959</v>
      </c>
      <c r="K224" s="10">
        <v>45680.123437499999</v>
      </c>
      <c r="L224" s="10">
        <v>45680.130208333343</v>
      </c>
      <c r="M224" s="11">
        <f t="shared" si="24"/>
        <v>0</v>
      </c>
      <c r="N224" s="11">
        <f t="shared" si="25"/>
        <v>2.3148148102336563E-3</v>
      </c>
      <c r="O224" s="11">
        <f t="shared" si="26"/>
        <v>2.7777777795563452E-3</v>
      </c>
      <c r="P224" s="11">
        <f t="shared" si="27"/>
        <v>5.381944436521735E-3</v>
      </c>
      <c r="Q224" s="11">
        <f t="shared" si="28"/>
        <v>7.8703703911742195E-4</v>
      </c>
      <c r="R224" s="11">
        <f t="shared" si="29"/>
        <v>6.7708333444898017E-3</v>
      </c>
      <c r="S224" s="11">
        <f t="shared" si="30"/>
        <v>1.5717592599685304E-2</v>
      </c>
      <c r="T224" s="11">
        <f t="shared" si="31"/>
        <v>1.803240740991896E-2</v>
      </c>
    </row>
    <row r="225" spans="1:20" x14ac:dyDescent="0.25">
      <c r="A225" s="3" t="s">
        <v>365</v>
      </c>
      <c r="B225" s="9">
        <v>144.44</v>
      </c>
      <c r="C225" s="3" t="s">
        <v>139</v>
      </c>
      <c r="D225" s="10">
        <v>45680.263206018521</v>
      </c>
      <c r="E225" s="10">
        <v>45680.263206018521</v>
      </c>
      <c r="F225" s="10">
        <v>45680.265127314808</v>
      </c>
      <c r="G225" s="10">
        <v>45680.265127314808</v>
      </c>
      <c r="H225" s="10">
        <v>45680.267905092587</v>
      </c>
      <c r="I225" s="10">
        <v>45680.268993055557</v>
      </c>
      <c r="J225" s="10">
        <v>45680.268993055557</v>
      </c>
      <c r="K225" s="10">
        <v>45680.269861111112</v>
      </c>
      <c r="L225" s="10">
        <v>45680.272175925929</v>
      </c>
      <c r="M225" s="11">
        <f t="shared" si="24"/>
        <v>0</v>
      </c>
      <c r="N225" s="11">
        <f t="shared" si="25"/>
        <v>1.9212962870369665E-3</v>
      </c>
      <c r="O225" s="11">
        <f t="shared" si="26"/>
        <v>2.7777777795563452E-3</v>
      </c>
      <c r="P225" s="11">
        <f t="shared" si="27"/>
        <v>1.0879629699047655E-3</v>
      </c>
      <c r="Q225" s="11">
        <f t="shared" si="28"/>
        <v>8.6805555474711582E-4</v>
      </c>
      <c r="R225" s="11">
        <f t="shared" si="29"/>
        <v>2.3148148175096139E-3</v>
      </c>
      <c r="S225" s="11">
        <f t="shared" si="30"/>
        <v>7.0486111217178404E-3</v>
      </c>
      <c r="T225" s="11">
        <f t="shared" si="31"/>
        <v>8.969907408754807E-3</v>
      </c>
    </row>
    <row r="226" spans="1:20" x14ac:dyDescent="0.25">
      <c r="A226" s="3" t="s">
        <v>366</v>
      </c>
      <c r="B226" s="9">
        <v>257.60000000000002</v>
      </c>
      <c r="C226" s="3" t="s">
        <v>139</v>
      </c>
      <c r="D226" s="10">
        <v>45680.281458333331</v>
      </c>
      <c r="E226" s="10">
        <v>45680.281458333331</v>
      </c>
      <c r="F226" s="10">
        <v>45680.283645833333</v>
      </c>
      <c r="G226" s="10">
        <v>45680.283645833333</v>
      </c>
      <c r="H226" s="10">
        <v>45680.286423611113</v>
      </c>
      <c r="I226" s="10">
        <v>45680.295439814807</v>
      </c>
      <c r="J226" s="10">
        <v>45680.295439814807</v>
      </c>
      <c r="K226" s="10">
        <v>45680.296226851853</v>
      </c>
      <c r="L226" s="10">
        <v>45680.304791666669</v>
      </c>
      <c r="M226" s="11">
        <f t="shared" si="24"/>
        <v>0</v>
      </c>
      <c r="N226" s="11">
        <f t="shared" si="25"/>
        <v>2.1875000020372681E-3</v>
      </c>
      <c r="O226" s="11">
        <f t="shared" si="26"/>
        <v>2.7777777795563452E-3</v>
      </c>
      <c r="P226" s="11">
        <f t="shared" si="27"/>
        <v>9.0162036940455437E-3</v>
      </c>
      <c r="Q226" s="11">
        <f t="shared" si="28"/>
        <v>7.8703704639337957E-4</v>
      </c>
      <c r="R226" s="11">
        <f t="shared" si="29"/>
        <v>8.5648148160544224E-3</v>
      </c>
      <c r="S226" s="11">
        <f t="shared" si="30"/>
        <v>2.1145833336049691E-2</v>
      </c>
      <c r="T226" s="11">
        <f t="shared" si="31"/>
        <v>2.3333333338086959E-2</v>
      </c>
    </row>
    <row r="227" spans="1:20" x14ac:dyDescent="0.25">
      <c r="A227" s="3" t="s">
        <v>367</v>
      </c>
      <c r="B227" s="9">
        <v>205.52</v>
      </c>
      <c r="C227" s="3" t="s">
        <v>142</v>
      </c>
      <c r="D227" s="10">
        <v>45680.295266203713</v>
      </c>
      <c r="E227" s="10">
        <v>45680.295266203713</v>
      </c>
      <c r="F227" s="10">
        <v>45680.296898148154</v>
      </c>
      <c r="G227" s="10">
        <v>45680.296898148154</v>
      </c>
      <c r="H227" s="10">
        <v>45680.299675925933</v>
      </c>
      <c r="I227" s="10">
        <v>45680.301238425927</v>
      </c>
      <c r="J227" s="10">
        <v>45680.301238425927</v>
      </c>
      <c r="K227" s="10">
        <v>45680.305659722217</v>
      </c>
      <c r="L227" s="10">
        <v>45680.305659722217</v>
      </c>
      <c r="M227" s="11">
        <f t="shared" si="24"/>
        <v>0</v>
      </c>
      <c r="N227" s="11">
        <f t="shared" si="25"/>
        <v>1.631944440305233E-3</v>
      </c>
      <c r="O227" s="11">
        <f t="shared" si="26"/>
        <v>2.7777777795563452E-3</v>
      </c>
      <c r="P227" s="11">
        <f t="shared" si="27"/>
        <v>1.5624999941792339E-3</v>
      </c>
      <c r="Q227" s="11">
        <f t="shared" si="28"/>
        <v>4.421296289365273E-3</v>
      </c>
      <c r="R227" s="11">
        <f t="shared" si="29"/>
        <v>0</v>
      </c>
      <c r="S227" s="11">
        <f t="shared" si="30"/>
        <v>8.7615740631008521E-3</v>
      </c>
      <c r="T227" s="11">
        <f t="shared" si="31"/>
        <v>1.0393518503406085E-2</v>
      </c>
    </row>
    <row r="228" spans="1:20" x14ac:dyDescent="0.25">
      <c r="A228" s="3" t="s">
        <v>368</v>
      </c>
      <c r="B228" s="9">
        <v>397.30000000000013</v>
      </c>
      <c r="C228" s="3" t="s">
        <v>139</v>
      </c>
      <c r="D228" s="10">
        <v>45680.319085648152</v>
      </c>
      <c r="E228" s="10">
        <v>45680.319085648152</v>
      </c>
      <c r="F228" s="10">
        <v>45680.321597222217</v>
      </c>
      <c r="G228" s="10">
        <v>45680.321597222217</v>
      </c>
      <c r="H228" s="10">
        <v>45680.324374999997</v>
      </c>
      <c r="I228" s="10">
        <v>45680.327569444453</v>
      </c>
      <c r="J228" s="10">
        <v>45680.327569444453</v>
      </c>
      <c r="K228" s="10">
        <v>45680.328298611108</v>
      </c>
      <c r="L228" s="10">
        <v>45680.328298611108</v>
      </c>
      <c r="M228" s="11">
        <f t="shared" si="24"/>
        <v>0</v>
      </c>
      <c r="N228" s="11">
        <f t="shared" si="25"/>
        <v>2.5115740645560436E-3</v>
      </c>
      <c r="O228" s="11">
        <f t="shared" si="26"/>
        <v>2.7777777795563452E-3</v>
      </c>
      <c r="P228" s="11">
        <f t="shared" si="27"/>
        <v>3.1944444563123398E-3</v>
      </c>
      <c r="Q228" s="11">
        <f t="shared" si="28"/>
        <v>7.2916665521916002E-4</v>
      </c>
      <c r="R228" s="11">
        <f t="shared" si="29"/>
        <v>0</v>
      </c>
      <c r="S228" s="11">
        <f t="shared" si="30"/>
        <v>6.701388891087845E-3</v>
      </c>
      <c r="T228" s="11">
        <f t="shared" si="31"/>
        <v>9.2129629556438886E-3</v>
      </c>
    </row>
    <row r="229" spans="1:20" x14ac:dyDescent="0.25">
      <c r="A229" s="3" t="s">
        <v>369</v>
      </c>
      <c r="B229" s="9">
        <v>396.5</v>
      </c>
      <c r="C229" s="3" t="s">
        <v>139</v>
      </c>
      <c r="D229" s="10">
        <v>45680.361284722218</v>
      </c>
      <c r="E229" s="10">
        <v>45680.361284722218</v>
      </c>
      <c r="F229" s="10">
        <v>45680.363796296297</v>
      </c>
      <c r="G229" s="10">
        <v>45680.363796296297</v>
      </c>
      <c r="H229" s="10">
        <v>45680.366574074083</v>
      </c>
      <c r="I229" s="10">
        <v>45680.370289351849</v>
      </c>
      <c r="J229" s="10">
        <v>45680.370289351849</v>
      </c>
      <c r="K229" s="10">
        <v>45680.371157407397</v>
      </c>
      <c r="L229" s="10">
        <v>45680.375648148147</v>
      </c>
      <c r="M229" s="11">
        <f t="shared" si="24"/>
        <v>0</v>
      </c>
      <c r="N229" s="11">
        <f t="shared" si="25"/>
        <v>2.5115740791079588E-3</v>
      </c>
      <c r="O229" s="11">
        <f t="shared" si="26"/>
        <v>2.7777777868323028E-3</v>
      </c>
      <c r="P229" s="11">
        <f t="shared" si="27"/>
        <v>3.7152777658775449E-3</v>
      </c>
      <c r="Q229" s="11">
        <f t="shared" si="28"/>
        <v>8.6805554747115821E-4</v>
      </c>
      <c r="R229" s="11">
        <f t="shared" si="29"/>
        <v>4.4907407500431873E-3</v>
      </c>
      <c r="S229" s="11">
        <f t="shared" si="30"/>
        <v>1.1851851850224193E-2</v>
      </c>
      <c r="T229" s="11">
        <f t="shared" si="31"/>
        <v>1.4363425929332152E-2</v>
      </c>
    </row>
    <row r="230" spans="1:20" x14ac:dyDescent="0.25">
      <c r="A230" s="3" t="s">
        <v>370</v>
      </c>
      <c r="B230" s="9">
        <v>543.93999999999994</v>
      </c>
      <c r="C230" s="3" t="s">
        <v>142</v>
      </c>
      <c r="D230" s="10">
        <v>45680.376377314817</v>
      </c>
      <c r="E230" s="10">
        <v>45680.376377314817</v>
      </c>
      <c r="F230" s="10">
        <v>45680.378784722219</v>
      </c>
      <c r="G230" s="10">
        <v>45680.378784722219</v>
      </c>
      <c r="H230" s="10">
        <v>45680.381562499999</v>
      </c>
      <c r="I230" s="10">
        <v>45680.397777777784</v>
      </c>
      <c r="J230" s="10">
        <v>45680.397777777784</v>
      </c>
      <c r="K230" s="10">
        <v>45680.398518518523</v>
      </c>
      <c r="L230" s="10">
        <v>45680.417210648149</v>
      </c>
      <c r="M230" s="11">
        <f t="shared" si="24"/>
        <v>0</v>
      </c>
      <c r="N230" s="11">
        <f t="shared" si="25"/>
        <v>2.4074074026430026E-3</v>
      </c>
      <c r="O230" s="11">
        <f t="shared" si="26"/>
        <v>2.7777777795563452E-3</v>
      </c>
      <c r="P230" s="11">
        <f t="shared" si="27"/>
        <v>1.6215277784795035E-2</v>
      </c>
      <c r="Q230" s="11">
        <f t="shared" si="28"/>
        <v>7.4074073927477002E-4</v>
      </c>
      <c r="R230" s="11">
        <f t="shared" si="29"/>
        <v>1.8692129626288079E-2</v>
      </c>
      <c r="S230" s="11">
        <f t="shared" si="30"/>
        <v>3.8425925929914229E-2</v>
      </c>
      <c r="T230" s="11">
        <f t="shared" si="31"/>
        <v>4.0833333332557231E-2</v>
      </c>
    </row>
    <row r="231" spans="1:20" x14ac:dyDescent="0.25">
      <c r="A231" s="3" t="s">
        <v>371</v>
      </c>
      <c r="B231" s="9">
        <v>448.7</v>
      </c>
      <c r="C231" s="3" t="s">
        <v>139</v>
      </c>
      <c r="D231" s="10">
        <v>45680.43478009259</v>
      </c>
      <c r="E231" s="10">
        <v>45680.43478009259</v>
      </c>
      <c r="F231" s="10">
        <v>45680.437407407408</v>
      </c>
      <c r="G231" s="10">
        <v>45680.437407407408</v>
      </c>
      <c r="H231" s="10">
        <v>45680.440185185187</v>
      </c>
      <c r="I231" s="10">
        <v>45680.447870370372</v>
      </c>
      <c r="J231" s="10">
        <v>45680.447870370372</v>
      </c>
      <c r="K231" s="10">
        <v>45680.448634259257</v>
      </c>
      <c r="L231" s="10">
        <v>45680.451493055552</v>
      </c>
      <c r="M231" s="11">
        <f t="shared" si="24"/>
        <v>0</v>
      </c>
      <c r="N231" s="11">
        <f t="shared" si="25"/>
        <v>2.6273148178006522E-3</v>
      </c>
      <c r="O231" s="11">
        <f t="shared" si="26"/>
        <v>2.7777777795563452E-3</v>
      </c>
      <c r="P231" s="11">
        <f t="shared" si="27"/>
        <v>7.6851851845276542E-3</v>
      </c>
      <c r="Q231" s="11">
        <f t="shared" si="28"/>
        <v>7.6388888555811718E-4</v>
      </c>
      <c r="R231" s="11">
        <f t="shared" si="29"/>
        <v>2.8587962951860391E-3</v>
      </c>
      <c r="S231" s="11">
        <f t="shared" si="30"/>
        <v>1.4085648144828156E-2</v>
      </c>
      <c r="T231" s="11">
        <f t="shared" si="31"/>
        <v>1.6712962962628808E-2</v>
      </c>
    </row>
    <row r="232" spans="1:20" x14ac:dyDescent="0.25">
      <c r="A232" s="3" t="s">
        <v>372</v>
      </c>
      <c r="B232" s="9">
        <v>396.56000000000012</v>
      </c>
      <c r="C232" s="3" t="s">
        <v>139</v>
      </c>
      <c r="D232" s="10">
        <v>45680.601944444446</v>
      </c>
      <c r="E232" s="10">
        <v>45680.601944444446</v>
      </c>
      <c r="F232" s="10">
        <v>45680.604456018518</v>
      </c>
      <c r="G232" s="10">
        <v>45680.604456018518</v>
      </c>
      <c r="H232" s="10">
        <v>45680.607233796298</v>
      </c>
      <c r="I232" s="10">
        <v>45680.610115740739</v>
      </c>
      <c r="J232" s="10">
        <v>45680.610115740739</v>
      </c>
      <c r="K232" s="10">
        <v>45680.610983796287</v>
      </c>
      <c r="L232" s="10">
        <v>45680.613252314812</v>
      </c>
      <c r="M232" s="11">
        <f t="shared" si="24"/>
        <v>0</v>
      </c>
      <c r="N232" s="11">
        <f t="shared" si="25"/>
        <v>2.5115740718320012E-3</v>
      </c>
      <c r="O232" s="11">
        <f t="shared" si="26"/>
        <v>2.7777777795563452E-3</v>
      </c>
      <c r="P232" s="11">
        <f t="shared" si="27"/>
        <v>2.8819444414693862E-3</v>
      </c>
      <c r="Q232" s="11">
        <f t="shared" si="28"/>
        <v>8.6805554747115821E-4</v>
      </c>
      <c r="R232" s="11">
        <f t="shared" si="29"/>
        <v>2.2685185249429196E-3</v>
      </c>
      <c r="S232" s="11">
        <f t="shared" si="30"/>
        <v>8.7962962934398092E-3</v>
      </c>
      <c r="T232" s="11">
        <f t="shared" si="31"/>
        <v>1.130787036527181E-2</v>
      </c>
    </row>
    <row r="233" spans="1:20" x14ac:dyDescent="0.25">
      <c r="A233" s="3" t="s">
        <v>373</v>
      </c>
      <c r="B233" s="9">
        <v>318.43999999999988</v>
      </c>
      <c r="C233" s="3" t="s">
        <v>142</v>
      </c>
      <c r="D233" s="10">
        <v>45680.611550925933</v>
      </c>
      <c r="E233" s="10">
        <v>45680.611550925933</v>
      </c>
      <c r="F233" s="10">
        <v>45680.613437499997</v>
      </c>
      <c r="G233" s="10">
        <v>45680.613437499997</v>
      </c>
      <c r="H233" s="10">
        <v>45680.616215277783</v>
      </c>
      <c r="I233" s="10">
        <v>45680.62604166667</v>
      </c>
      <c r="J233" s="10">
        <v>45680.62604166667</v>
      </c>
      <c r="K233" s="10">
        <v>45680.626909722218</v>
      </c>
      <c r="L233" s="10">
        <v>45680.638229166667</v>
      </c>
      <c r="M233" s="11">
        <f t="shared" si="24"/>
        <v>0</v>
      </c>
      <c r="N233" s="11">
        <f t="shared" si="25"/>
        <v>1.886574063973967E-3</v>
      </c>
      <c r="O233" s="11">
        <f t="shared" si="26"/>
        <v>2.7777777868323028E-3</v>
      </c>
      <c r="P233" s="11">
        <f t="shared" si="27"/>
        <v>9.8263888867222704E-3</v>
      </c>
      <c r="Q233" s="11">
        <f t="shared" si="28"/>
        <v>8.6805554747115821E-4</v>
      </c>
      <c r="R233" s="11">
        <f t="shared" si="29"/>
        <v>1.131944444932742E-2</v>
      </c>
      <c r="S233" s="11">
        <f t="shared" si="30"/>
        <v>2.4791666670353152E-2</v>
      </c>
      <c r="T233" s="11">
        <f t="shared" si="31"/>
        <v>2.6678240734327119E-2</v>
      </c>
    </row>
    <row r="234" spans="1:20" x14ac:dyDescent="0.25">
      <c r="A234" s="3" t="s">
        <v>374</v>
      </c>
      <c r="B234" s="9">
        <v>94.44</v>
      </c>
      <c r="C234" s="3" t="s">
        <v>139</v>
      </c>
      <c r="D234" s="10">
        <v>45680.642928240741</v>
      </c>
      <c r="E234" s="10">
        <v>45680.642928240741</v>
      </c>
      <c r="F234" s="10">
        <v>45680.644733796304</v>
      </c>
      <c r="G234" s="10">
        <v>45680.644733796304</v>
      </c>
      <c r="H234" s="10">
        <v>45680.647511574083</v>
      </c>
      <c r="I234" s="10">
        <v>45680.648252314822</v>
      </c>
      <c r="J234" s="10">
        <v>45680.648252314822</v>
      </c>
      <c r="K234" s="10">
        <v>45680.649039351847</v>
      </c>
      <c r="L234" s="10">
        <v>45680.649039351847</v>
      </c>
      <c r="M234" s="11">
        <f t="shared" si="24"/>
        <v>0</v>
      </c>
      <c r="N234" s="11">
        <f t="shared" si="25"/>
        <v>1.8055555628961883E-3</v>
      </c>
      <c r="O234" s="11">
        <f t="shared" si="26"/>
        <v>2.7777777795563452E-3</v>
      </c>
      <c r="P234" s="11">
        <f t="shared" si="27"/>
        <v>7.4074073927477002E-4</v>
      </c>
      <c r="Q234" s="11">
        <f t="shared" si="28"/>
        <v>7.8703702456550673E-4</v>
      </c>
      <c r="R234" s="11">
        <f t="shared" si="29"/>
        <v>0</v>
      </c>
      <c r="S234" s="11">
        <f t="shared" si="30"/>
        <v>4.3055555433966219E-3</v>
      </c>
      <c r="T234" s="11">
        <f t="shared" si="31"/>
        <v>6.1111111062928103E-3</v>
      </c>
    </row>
    <row r="235" spans="1:20" x14ac:dyDescent="0.25">
      <c r="A235" s="3" t="s">
        <v>375</v>
      </c>
      <c r="B235" s="9">
        <v>144.4</v>
      </c>
      <c r="C235" s="3" t="s">
        <v>139</v>
      </c>
      <c r="D235" s="10">
        <v>45680.654942129629</v>
      </c>
      <c r="E235" s="10">
        <v>45680.654942129629</v>
      </c>
      <c r="F235" s="10">
        <v>45680.656863425917</v>
      </c>
      <c r="G235" s="10">
        <v>45680.656863425917</v>
      </c>
      <c r="H235" s="10">
        <v>45680.659641203703</v>
      </c>
      <c r="I235" s="10">
        <v>45680.661631944437</v>
      </c>
      <c r="J235" s="10">
        <v>45680.661631944437</v>
      </c>
      <c r="K235" s="10">
        <v>45680.662499999999</v>
      </c>
      <c r="L235" s="10">
        <v>45680.662499999999</v>
      </c>
      <c r="M235" s="11">
        <f t="shared" si="24"/>
        <v>0</v>
      </c>
      <c r="N235" s="11">
        <f t="shared" si="25"/>
        <v>1.9212962870369665E-3</v>
      </c>
      <c r="O235" s="11">
        <f t="shared" si="26"/>
        <v>2.7777777868323028E-3</v>
      </c>
      <c r="P235" s="11">
        <f t="shared" si="27"/>
        <v>1.9907407331629656E-3</v>
      </c>
      <c r="Q235" s="11">
        <f t="shared" si="28"/>
        <v>8.6805556202307343E-4</v>
      </c>
      <c r="R235" s="11">
        <f t="shared" si="29"/>
        <v>0</v>
      </c>
      <c r="S235" s="11">
        <f t="shared" si="30"/>
        <v>5.6365740820183419E-3</v>
      </c>
      <c r="T235" s="11">
        <f t="shared" si="31"/>
        <v>7.5578703690553084E-3</v>
      </c>
    </row>
    <row r="236" spans="1:20" x14ac:dyDescent="0.25">
      <c r="A236" s="3" t="s">
        <v>376</v>
      </c>
      <c r="B236" s="9">
        <v>331.26</v>
      </c>
      <c r="C236" s="3" t="s">
        <v>139</v>
      </c>
      <c r="D236" s="10">
        <v>45680.708553240736</v>
      </c>
      <c r="E236" s="10">
        <v>45680.708553240736</v>
      </c>
      <c r="F236" s="10">
        <v>45680.710914351846</v>
      </c>
      <c r="G236" s="10">
        <v>45680.710914351846</v>
      </c>
      <c r="H236" s="10">
        <v>45680.713692129633</v>
      </c>
      <c r="I236" s="10">
        <v>45680.727743055562</v>
      </c>
      <c r="J236" s="10">
        <v>45680.727743055562</v>
      </c>
      <c r="K236" s="10">
        <v>45680.728530092587</v>
      </c>
      <c r="L236" s="10">
        <v>45680.74832175926</v>
      </c>
      <c r="M236" s="11">
        <f t="shared" si="24"/>
        <v>0</v>
      </c>
      <c r="N236" s="11">
        <f t="shared" si="25"/>
        <v>2.3611111100763083E-3</v>
      </c>
      <c r="O236" s="11">
        <f t="shared" si="26"/>
        <v>2.7777777868323028E-3</v>
      </c>
      <c r="P236" s="11">
        <f t="shared" si="27"/>
        <v>1.4050925929041114E-2</v>
      </c>
      <c r="Q236" s="11">
        <f t="shared" si="28"/>
        <v>7.8703702456550673E-4</v>
      </c>
      <c r="R236" s="11">
        <f t="shared" si="29"/>
        <v>1.9791666672972497E-2</v>
      </c>
      <c r="S236" s="11">
        <f t="shared" si="30"/>
        <v>3.740740741341142E-2</v>
      </c>
      <c r="T236" s="11">
        <f t="shared" si="31"/>
        <v>3.9768518523487728E-2</v>
      </c>
    </row>
    <row r="237" spans="1:20" x14ac:dyDescent="0.25">
      <c r="A237" s="3" t="s">
        <v>377</v>
      </c>
      <c r="B237" s="9">
        <v>54.72</v>
      </c>
      <c r="C237" s="3" t="s">
        <v>164</v>
      </c>
      <c r="D237" s="10">
        <v>45680.733252314807</v>
      </c>
      <c r="E237" s="10">
        <v>45680.733252314807</v>
      </c>
      <c r="F237" s="10">
        <v>45680.734594907408</v>
      </c>
      <c r="G237" s="10">
        <v>45680.734594907408</v>
      </c>
      <c r="H237" s="10">
        <v>45680.737372685187</v>
      </c>
      <c r="I237" s="10">
        <v>45680.737800925926</v>
      </c>
      <c r="J237" s="10">
        <v>45680.737800925926</v>
      </c>
      <c r="K237" s="10">
        <v>45680.749189814807</v>
      </c>
      <c r="L237" s="10">
        <v>45680.751122685193</v>
      </c>
      <c r="M237" s="11">
        <f t="shared" si="24"/>
        <v>0</v>
      </c>
      <c r="N237" s="11">
        <f t="shared" si="25"/>
        <v>1.3425926008494571E-3</v>
      </c>
      <c r="O237" s="11">
        <f t="shared" si="26"/>
        <v>2.7777777795563452E-3</v>
      </c>
      <c r="P237" s="11">
        <f t="shared" si="27"/>
        <v>4.2824073898373172E-4</v>
      </c>
      <c r="Q237" s="11">
        <f t="shared" si="28"/>
        <v>1.1388888880901504E-2</v>
      </c>
      <c r="R237" s="11">
        <f t="shared" si="29"/>
        <v>1.9328703856444918E-3</v>
      </c>
      <c r="S237" s="11">
        <f t="shared" si="30"/>
        <v>1.6527777785086073E-2</v>
      </c>
      <c r="T237" s="11">
        <f t="shared" si="31"/>
        <v>1.787037038593553E-2</v>
      </c>
    </row>
    <row r="238" spans="1:20" x14ac:dyDescent="0.25">
      <c r="A238" s="3" t="s">
        <v>378</v>
      </c>
      <c r="B238" s="9">
        <v>85.46</v>
      </c>
      <c r="C238" s="3" t="s">
        <v>139</v>
      </c>
      <c r="D238" s="10">
        <v>45680.873379629629</v>
      </c>
      <c r="E238" s="10">
        <v>45680.873379629629</v>
      </c>
      <c r="F238" s="10">
        <v>45680.875173611108</v>
      </c>
      <c r="G238" s="10">
        <v>45680.875173611108</v>
      </c>
      <c r="H238" s="10">
        <v>45680.877951388888</v>
      </c>
      <c r="I238" s="10">
        <v>45680.878599537027</v>
      </c>
      <c r="J238" s="10">
        <v>45680.878599537027</v>
      </c>
      <c r="K238" s="10">
        <v>45680.879467592589</v>
      </c>
      <c r="L238" s="10">
        <v>45680.881122685183</v>
      </c>
      <c r="M238" s="11">
        <f t="shared" si="24"/>
        <v>0</v>
      </c>
      <c r="N238" s="11">
        <f t="shared" si="25"/>
        <v>1.7939814788405783E-3</v>
      </c>
      <c r="O238" s="11">
        <f t="shared" si="26"/>
        <v>2.7777777795563452E-3</v>
      </c>
      <c r="P238" s="11">
        <f t="shared" si="27"/>
        <v>6.4814813958946615E-4</v>
      </c>
      <c r="Q238" s="11">
        <f t="shared" si="28"/>
        <v>8.6805556202307343E-4</v>
      </c>
      <c r="R238" s="11">
        <f t="shared" si="29"/>
        <v>1.6550925938645378E-3</v>
      </c>
      <c r="S238" s="11">
        <f t="shared" si="30"/>
        <v>5.9490740750334226E-3</v>
      </c>
      <c r="T238" s="11">
        <f t="shared" si="31"/>
        <v>7.7430555538740009E-3</v>
      </c>
    </row>
    <row r="239" spans="1:20" x14ac:dyDescent="0.25">
      <c r="A239" s="3" t="s">
        <v>379</v>
      </c>
      <c r="B239" s="9">
        <v>295.24</v>
      </c>
      <c r="C239" s="3" t="s">
        <v>139</v>
      </c>
      <c r="D239" s="10">
        <v>45681.110520833332</v>
      </c>
      <c r="E239" s="10">
        <v>45681.110520833332</v>
      </c>
      <c r="F239" s="10">
        <v>45681.11278935185</v>
      </c>
      <c r="G239" s="10">
        <v>45681.11278935185</v>
      </c>
      <c r="H239" s="10">
        <v>45681.115567129629</v>
      </c>
      <c r="I239" s="10">
        <v>45681.121678240743</v>
      </c>
      <c r="J239" s="10">
        <v>45681.121678240743</v>
      </c>
      <c r="K239" s="10">
        <v>45681.122465277767</v>
      </c>
      <c r="L239" s="10">
        <v>45681.131111111114</v>
      </c>
      <c r="M239" s="11">
        <f t="shared" si="24"/>
        <v>0</v>
      </c>
      <c r="N239" s="11">
        <f t="shared" si="25"/>
        <v>2.268518517666962E-3</v>
      </c>
      <c r="O239" s="11">
        <f t="shared" si="26"/>
        <v>2.7777777795563452E-3</v>
      </c>
      <c r="P239" s="11">
        <f t="shared" si="27"/>
        <v>6.1111111135687679E-3</v>
      </c>
      <c r="Q239" s="11">
        <f t="shared" si="28"/>
        <v>7.8703702456550673E-4</v>
      </c>
      <c r="R239" s="11">
        <f t="shared" si="29"/>
        <v>8.6458333462360315E-3</v>
      </c>
      <c r="S239" s="11">
        <f t="shared" si="30"/>
        <v>1.8321759263926651E-2</v>
      </c>
      <c r="T239" s="11">
        <f t="shared" si="31"/>
        <v>2.0590277781593613E-2</v>
      </c>
    </row>
    <row r="240" spans="1:20" x14ac:dyDescent="0.25">
      <c r="A240" s="3" t="s">
        <v>380</v>
      </c>
      <c r="B240" s="9">
        <v>118.2</v>
      </c>
      <c r="C240" s="3" t="s">
        <v>139</v>
      </c>
      <c r="D240" s="10">
        <v>45681.188773148147</v>
      </c>
      <c r="E240" s="10">
        <v>45681.188773148147</v>
      </c>
      <c r="F240" s="10">
        <v>45681.190636574072</v>
      </c>
      <c r="G240" s="10">
        <v>45681.190636574072</v>
      </c>
      <c r="H240" s="10">
        <v>45681.193414351852</v>
      </c>
      <c r="I240" s="10">
        <v>45681.19431712963</v>
      </c>
      <c r="J240" s="10">
        <v>45681.19431712963</v>
      </c>
      <c r="K240" s="10">
        <v>45681.195185185177</v>
      </c>
      <c r="L240" s="10">
        <v>45681.197175925918</v>
      </c>
      <c r="M240" s="11">
        <f t="shared" si="24"/>
        <v>0</v>
      </c>
      <c r="N240" s="11">
        <f t="shared" si="25"/>
        <v>1.8634259249665774E-3</v>
      </c>
      <c r="O240" s="11">
        <f t="shared" si="26"/>
        <v>2.7777777795563452E-3</v>
      </c>
      <c r="P240" s="11">
        <f t="shared" si="27"/>
        <v>9.0277777781011537E-4</v>
      </c>
      <c r="Q240" s="11">
        <f t="shared" si="28"/>
        <v>8.6805554747115821E-4</v>
      </c>
      <c r="R240" s="11">
        <f t="shared" si="29"/>
        <v>1.9907407404389232E-3</v>
      </c>
      <c r="S240" s="11">
        <f t="shared" si="30"/>
        <v>6.539351845276542E-3</v>
      </c>
      <c r="T240" s="11">
        <f t="shared" si="31"/>
        <v>8.4027777702431194E-3</v>
      </c>
    </row>
    <row r="241" spans="1:20" x14ac:dyDescent="0.25">
      <c r="A241" s="3" t="s">
        <v>381</v>
      </c>
      <c r="B241" s="9">
        <v>297</v>
      </c>
      <c r="C241" s="3" t="s">
        <v>139</v>
      </c>
      <c r="D241" s="10">
        <v>45681.257708333331</v>
      </c>
      <c r="E241" s="10">
        <v>45681.257708333331</v>
      </c>
      <c r="F241" s="10">
        <v>45681.259988425933</v>
      </c>
      <c r="G241" s="10">
        <v>45681.259988425933</v>
      </c>
      <c r="H241" s="10">
        <v>45681.262766203698</v>
      </c>
      <c r="I241" s="10">
        <v>45681.264988425923</v>
      </c>
      <c r="J241" s="10">
        <v>45681.264988425923</v>
      </c>
      <c r="K241" s="10">
        <v>45681.265775462962</v>
      </c>
      <c r="L241" s="10">
        <v>45681.267592592587</v>
      </c>
      <c r="M241" s="11">
        <f t="shared" si="24"/>
        <v>0</v>
      </c>
      <c r="N241" s="11">
        <f t="shared" si="25"/>
        <v>2.280092601722572E-3</v>
      </c>
      <c r="O241" s="11">
        <f t="shared" si="26"/>
        <v>2.77777776500443E-3</v>
      </c>
      <c r="P241" s="11">
        <f t="shared" si="27"/>
        <v>2.2222222251002677E-3</v>
      </c>
      <c r="Q241" s="11">
        <f t="shared" si="28"/>
        <v>7.8703703911742195E-4</v>
      </c>
      <c r="R241" s="11">
        <f t="shared" si="29"/>
        <v>1.8171296251239255E-3</v>
      </c>
      <c r="S241" s="11">
        <f t="shared" si="30"/>
        <v>7.6041666543460451E-3</v>
      </c>
      <c r="T241" s="11">
        <f t="shared" si="31"/>
        <v>9.8842592560686171E-3</v>
      </c>
    </row>
    <row r="242" spans="1:20" x14ac:dyDescent="0.25">
      <c r="A242" s="3" t="s">
        <v>382</v>
      </c>
      <c r="B242" s="9">
        <v>240.42</v>
      </c>
      <c r="C242" s="3" t="s">
        <v>139</v>
      </c>
      <c r="D242" s="10">
        <v>45681.289340277777</v>
      </c>
      <c r="E242" s="10">
        <v>45681.289340277777</v>
      </c>
      <c r="F242" s="10">
        <v>45681.291493055563</v>
      </c>
      <c r="G242" s="10">
        <v>45681.291493055563</v>
      </c>
      <c r="H242" s="10">
        <v>45681.294270833343</v>
      </c>
      <c r="I242" s="10">
        <v>45681.296087962961</v>
      </c>
      <c r="J242" s="10">
        <v>45681.296087962961</v>
      </c>
      <c r="K242" s="10">
        <v>45681.296956018523</v>
      </c>
      <c r="L242" s="10">
        <v>45681.299201388887</v>
      </c>
      <c r="M242" s="11">
        <f t="shared" si="24"/>
        <v>0</v>
      </c>
      <c r="N242" s="11">
        <f t="shared" si="25"/>
        <v>2.1527777862502262E-3</v>
      </c>
      <c r="O242" s="11">
        <f t="shared" si="26"/>
        <v>2.7777777795563452E-3</v>
      </c>
      <c r="P242" s="11">
        <f t="shared" si="27"/>
        <v>1.8171296178479679E-3</v>
      </c>
      <c r="Q242" s="11">
        <f t="shared" si="28"/>
        <v>8.6805556202307343E-4</v>
      </c>
      <c r="R242" s="11">
        <f t="shared" si="29"/>
        <v>2.2453703641076572E-3</v>
      </c>
      <c r="S242" s="11">
        <f t="shared" si="30"/>
        <v>7.7083333235350437E-3</v>
      </c>
      <c r="T242" s="11">
        <f t="shared" si="31"/>
        <v>9.8611111097852699E-3</v>
      </c>
    </row>
    <row r="243" spans="1:20" x14ac:dyDescent="0.25">
      <c r="A243" s="3" t="s">
        <v>383</v>
      </c>
      <c r="B243" s="9">
        <v>406.2</v>
      </c>
      <c r="C243" s="3" t="s">
        <v>139</v>
      </c>
      <c r="D243" s="10">
        <v>45681.299884259257</v>
      </c>
      <c r="E243" s="10">
        <v>45681.299884259257</v>
      </c>
      <c r="F243" s="10">
        <v>45681.302418981482</v>
      </c>
      <c r="G243" s="10">
        <v>45681.302418981482</v>
      </c>
      <c r="H243" s="10">
        <v>45681.305196759262</v>
      </c>
      <c r="I243" s="10">
        <v>45681.319907407407</v>
      </c>
      <c r="J243" s="10">
        <v>45681.319907407407</v>
      </c>
      <c r="K243" s="10">
        <v>45681.320787037039</v>
      </c>
      <c r="L243" s="10">
        <v>45681.330509259264</v>
      </c>
      <c r="M243" s="11">
        <f t="shared" si="24"/>
        <v>0</v>
      </c>
      <c r="N243" s="11">
        <f t="shared" si="25"/>
        <v>2.534722225391306E-3</v>
      </c>
      <c r="O243" s="11">
        <f t="shared" si="26"/>
        <v>2.7777777795563452E-3</v>
      </c>
      <c r="P243" s="11">
        <f t="shared" si="27"/>
        <v>1.4710648145410232E-2</v>
      </c>
      <c r="Q243" s="11">
        <f t="shared" si="28"/>
        <v>8.7962963152676821E-4</v>
      </c>
      <c r="R243" s="11">
        <f t="shared" si="29"/>
        <v>9.7222222248092294E-3</v>
      </c>
      <c r="S243" s="11">
        <f t="shared" si="30"/>
        <v>2.8090277781302575E-2</v>
      </c>
      <c r="T243" s="11">
        <f t="shared" si="31"/>
        <v>3.0625000006693881E-2</v>
      </c>
    </row>
    <row r="244" spans="1:20" x14ac:dyDescent="0.25">
      <c r="A244" s="3" t="s">
        <v>384</v>
      </c>
      <c r="B244" s="9">
        <v>390.54000000000008</v>
      </c>
      <c r="C244" s="3" t="s">
        <v>142</v>
      </c>
      <c r="D244" s="10">
        <v>45681.304131944453</v>
      </c>
      <c r="E244" s="10">
        <v>45681.304131944453</v>
      </c>
      <c r="F244" s="10">
        <v>45681.306192129632</v>
      </c>
      <c r="G244" s="10">
        <v>45681.306192129632</v>
      </c>
      <c r="H244" s="10">
        <v>45681.308969907397</v>
      </c>
      <c r="I244" s="10">
        <v>45681.311932870369</v>
      </c>
      <c r="J244" s="10">
        <v>45681.311932870369</v>
      </c>
      <c r="K244" s="10">
        <v>45681.3128125</v>
      </c>
      <c r="L244" s="10">
        <v>45681.3128125</v>
      </c>
      <c r="M244" s="11">
        <f t="shared" si="24"/>
        <v>0</v>
      </c>
      <c r="N244" s="11">
        <f t="shared" si="25"/>
        <v>2.0601851792889647E-3</v>
      </c>
      <c r="O244" s="11">
        <f t="shared" si="26"/>
        <v>2.77777776500443E-3</v>
      </c>
      <c r="P244" s="11">
        <f t="shared" si="27"/>
        <v>2.9629629716509953E-3</v>
      </c>
      <c r="Q244" s="11">
        <f t="shared" si="28"/>
        <v>8.7962963152676821E-4</v>
      </c>
      <c r="R244" s="11">
        <f t="shared" si="29"/>
        <v>0</v>
      </c>
      <c r="S244" s="11">
        <f t="shared" si="30"/>
        <v>6.6203703681821935E-3</v>
      </c>
      <c r="T244" s="11">
        <f t="shared" si="31"/>
        <v>8.6805555474711582E-3</v>
      </c>
    </row>
    <row r="245" spans="1:20" x14ac:dyDescent="0.25">
      <c r="A245" s="3" t="s">
        <v>385</v>
      </c>
      <c r="B245" s="9">
        <v>147.80000000000001</v>
      </c>
      <c r="C245" s="3" t="s">
        <v>139</v>
      </c>
      <c r="D245" s="10">
        <v>45681.365115740737</v>
      </c>
      <c r="E245" s="10">
        <v>45681.365115740737</v>
      </c>
      <c r="F245" s="10">
        <v>45681.367048611108</v>
      </c>
      <c r="G245" s="10">
        <v>45681.367048611108</v>
      </c>
      <c r="H245" s="10">
        <v>45681.369826388887</v>
      </c>
      <c r="I245" s="10">
        <v>45681.372094907398</v>
      </c>
      <c r="J245" s="10">
        <v>45681.372094907398</v>
      </c>
      <c r="K245" s="10">
        <v>45681.372974537036</v>
      </c>
      <c r="L245" s="10">
        <v>45681.376319444447</v>
      </c>
      <c r="M245" s="11">
        <f t="shared" si="24"/>
        <v>0</v>
      </c>
      <c r="N245" s="11">
        <f t="shared" si="25"/>
        <v>1.9328703710925765E-3</v>
      </c>
      <c r="O245" s="11">
        <f t="shared" si="26"/>
        <v>2.7777777795563452E-3</v>
      </c>
      <c r="P245" s="11">
        <f t="shared" si="27"/>
        <v>2.2685185103910044E-3</v>
      </c>
      <c r="Q245" s="11">
        <f t="shared" si="28"/>
        <v>8.7962963880272582E-4</v>
      </c>
      <c r="R245" s="11">
        <f t="shared" si="29"/>
        <v>3.3449074107920751E-3</v>
      </c>
      <c r="S245" s="11">
        <f t="shared" si="30"/>
        <v>9.2708333395421505E-3</v>
      </c>
      <c r="T245" s="11">
        <f t="shared" si="31"/>
        <v>1.1203703710634727E-2</v>
      </c>
    </row>
    <row r="246" spans="1:20" x14ac:dyDescent="0.25">
      <c r="A246" s="3" t="s">
        <v>386</v>
      </c>
      <c r="B246" s="9">
        <v>318.77999999999997</v>
      </c>
      <c r="C246" s="3" t="s">
        <v>142</v>
      </c>
      <c r="D246" s="10">
        <v>45681.37537037037</v>
      </c>
      <c r="E246" s="10">
        <v>45681.37537037037</v>
      </c>
      <c r="F246" s="10">
        <v>45681.377256944441</v>
      </c>
      <c r="G246" s="10">
        <v>45681.377256944441</v>
      </c>
      <c r="H246" s="10">
        <v>45681.38003472222</v>
      </c>
      <c r="I246" s="10">
        <v>45681.38989583333</v>
      </c>
      <c r="J246" s="10">
        <v>45681.38989583333</v>
      </c>
      <c r="K246" s="10">
        <v>45681.390763888892</v>
      </c>
      <c r="L246" s="10">
        <v>45681.399039351847</v>
      </c>
      <c r="M246" s="11">
        <f t="shared" si="24"/>
        <v>0</v>
      </c>
      <c r="N246" s="11">
        <f t="shared" si="25"/>
        <v>1.8865740712499246E-3</v>
      </c>
      <c r="O246" s="11">
        <f t="shared" si="26"/>
        <v>2.7777777795563452E-3</v>
      </c>
      <c r="P246" s="11">
        <f t="shared" si="27"/>
        <v>9.8611111097852699E-3</v>
      </c>
      <c r="Q246" s="11">
        <f t="shared" si="28"/>
        <v>8.6805556202307343E-4</v>
      </c>
      <c r="R246" s="11">
        <f t="shared" si="29"/>
        <v>8.2754629547707736E-3</v>
      </c>
      <c r="S246" s="11">
        <f t="shared" si="30"/>
        <v>2.1782407406135462E-2</v>
      </c>
      <c r="T246" s="11">
        <f t="shared" si="31"/>
        <v>2.3668981477385387E-2</v>
      </c>
    </row>
    <row r="247" spans="1:20" x14ac:dyDescent="0.25">
      <c r="A247" s="3" t="s">
        <v>387</v>
      </c>
      <c r="B247" s="9">
        <v>437.48</v>
      </c>
      <c r="C247" s="3" t="s">
        <v>139</v>
      </c>
      <c r="D247" s="10">
        <v>45681.410937499997</v>
      </c>
      <c r="E247" s="10">
        <v>45681.410937499997</v>
      </c>
      <c r="F247" s="10">
        <v>45681.413541666669</v>
      </c>
      <c r="G247" s="10">
        <v>45681.413541666669</v>
      </c>
      <c r="H247" s="10">
        <v>45681.416319444441</v>
      </c>
      <c r="I247" s="10">
        <v>45681.420937499999</v>
      </c>
      <c r="J247" s="10">
        <v>45681.420937499999</v>
      </c>
      <c r="K247" s="10">
        <v>45681.421805555547</v>
      </c>
      <c r="L247" s="10">
        <v>45681.423078703701</v>
      </c>
      <c r="M247" s="11">
        <f t="shared" si="24"/>
        <v>0</v>
      </c>
      <c r="N247" s="11">
        <f t="shared" si="25"/>
        <v>2.6041666715173051E-3</v>
      </c>
      <c r="O247" s="11">
        <f t="shared" si="26"/>
        <v>2.7777777722803876E-3</v>
      </c>
      <c r="P247" s="11">
        <f t="shared" si="27"/>
        <v>4.6180555582395755E-3</v>
      </c>
      <c r="Q247" s="11">
        <f t="shared" si="28"/>
        <v>8.6805554747115821E-4</v>
      </c>
      <c r="R247" s="11">
        <f t="shared" si="29"/>
        <v>1.273148154723458E-3</v>
      </c>
      <c r="S247" s="11">
        <f t="shared" si="30"/>
        <v>9.5370370327145793E-3</v>
      </c>
      <c r="T247" s="11">
        <f t="shared" si="31"/>
        <v>1.2141203704231884E-2</v>
      </c>
    </row>
    <row r="248" spans="1:20" x14ac:dyDescent="0.25">
      <c r="A248" s="3" t="s">
        <v>388</v>
      </c>
      <c r="B248" s="9">
        <v>177.54</v>
      </c>
      <c r="C248" s="3" t="s">
        <v>139</v>
      </c>
      <c r="D248" s="10">
        <v>45681.542303240742</v>
      </c>
      <c r="E248" s="10">
        <v>45681.542303240742</v>
      </c>
      <c r="F248" s="10">
        <v>45681.544305555559</v>
      </c>
      <c r="G248" s="10">
        <v>45681.544305555559</v>
      </c>
      <c r="H248" s="10">
        <v>45681.547083333331</v>
      </c>
      <c r="I248" s="10">
        <v>45681.548506944448</v>
      </c>
      <c r="J248" s="10">
        <v>45681.548506944448</v>
      </c>
      <c r="K248" s="10">
        <v>45681.549386574072</v>
      </c>
      <c r="L248" s="10">
        <v>45681.551481481481</v>
      </c>
      <c r="M248" s="11">
        <f t="shared" si="24"/>
        <v>0</v>
      </c>
      <c r="N248" s="11">
        <f t="shared" si="25"/>
        <v>2.0023148172185756E-3</v>
      </c>
      <c r="O248" s="11">
        <f t="shared" si="26"/>
        <v>2.7777777722803876E-3</v>
      </c>
      <c r="P248" s="11">
        <f t="shared" si="27"/>
        <v>1.423611116479151E-3</v>
      </c>
      <c r="Q248" s="11">
        <f t="shared" si="28"/>
        <v>8.7962962425081059E-4</v>
      </c>
      <c r="R248" s="11">
        <f t="shared" si="29"/>
        <v>2.0949074096279219E-3</v>
      </c>
      <c r="S248" s="11">
        <f t="shared" si="30"/>
        <v>7.175925922638271E-3</v>
      </c>
      <c r="T248" s="11">
        <f t="shared" si="31"/>
        <v>9.1782407398568466E-3</v>
      </c>
    </row>
    <row r="249" spans="1:20" x14ac:dyDescent="0.25">
      <c r="A249" s="3" t="s">
        <v>389</v>
      </c>
      <c r="B249" s="9">
        <v>296.10000000000002</v>
      </c>
      <c r="C249" s="3" t="s">
        <v>139</v>
      </c>
      <c r="D249" s="10">
        <v>45681.602708333332</v>
      </c>
      <c r="E249" s="10">
        <v>45681.602708333332</v>
      </c>
      <c r="F249" s="10">
        <v>45681.604988425926</v>
      </c>
      <c r="G249" s="10">
        <v>45681.604988425926</v>
      </c>
      <c r="H249" s="10">
        <v>45681.607766203713</v>
      </c>
      <c r="I249" s="10">
        <v>45681.610162037039</v>
      </c>
      <c r="J249" s="10">
        <v>45681.610162037039</v>
      </c>
      <c r="K249" s="10">
        <v>45681.611030092587</v>
      </c>
      <c r="L249" s="10">
        <v>45681.613634259258</v>
      </c>
      <c r="M249" s="11">
        <f t="shared" si="24"/>
        <v>0</v>
      </c>
      <c r="N249" s="11">
        <f t="shared" si="25"/>
        <v>2.2800925944466144E-3</v>
      </c>
      <c r="O249" s="11">
        <f t="shared" si="26"/>
        <v>2.7777777868323028E-3</v>
      </c>
      <c r="P249" s="11">
        <f t="shared" si="27"/>
        <v>2.3958333258633502E-3</v>
      </c>
      <c r="Q249" s="11">
        <f t="shared" si="28"/>
        <v>8.6805554747115821E-4</v>
      </c>
      <c r="R249" s="11">
        <f t="shared" si="29"/>
        <v>2.6041666715173051E-3</v>
      </c>
      <c r="S249" s="11">
        <f t="shared" si="30"/>
        <v>8.6458333316841163E-3</v>
      </c>
      <c r="T249" s="11">
        <f t="shared" si="31"/>
        <v>1.0925925926130731E-2</v>
      </c>
    </row>
    <row r="250" spans="1:20" x14ac:dyDescent="0.25">
      <c r="A250" s="3" t="s">
        <v>390</v>
      </c>
      <c r="B250" s="9">
        <v>313.04000000000002</v>
      </c>
      <c r="C250" s="3" t="s">
        <v>139</v>
      </c>
      <c r="D250" s="10">
        <v>45681.619803240741</v>
      </c>
      <c r="E250" s="10">
        <v>45681.619803240741</v>
      </c>
      <c r="F250" s="10">
        <v>45681.622118055559</v>
      </c>
      <c r="G250" s="10">
        <v>45681.622118055559</v>
      </c>
      <c r="H250" s="10">
        <v>45681.624895833331</v>
      </c>
      <c r="I250" s="10">
        <v>45681.635740740741</v>
      </c>
      <c r="J250" s="10">
        <v>45681.635740740741</v>
      </c>
      <c r="K250" s="10">
        <v>45681.63652777778</v>
      </c>
      <c r="L250" s="10">
        <v>45681.648819444446</v>
      </c>
      <c r="M250" s="11">
        <f t="shared" si="24"/>
        <v>0</v>
      </c>
      <c r="N250" s="11">
        <f t="shared" si="25"/>
        <v>2.3148148175096139E-3</v>
      </c>
      <c r="O250" s="11">
        <f t="shared" si="26"/>
        <v>2.7777777722803876E-3</v>
      </c>
      <c r="P250" s="11">
        <f t="shared" si="27"/>
        <v>1.0844907410501037E-2</v>
      </c>
      <c r="Q250" s="11">
        <f t="shared" si="28"/>
        <v>7.8703703911742195E-4</v>
      </c>
      <c r="R250" s="11">
        <f t="shared" si="29"/>
        <v>1.2291666665987577E-2</v>
      </c>
      <c r="S250" s="11">
        <f t="shared" si="30"/>
        <v>2.6701388887886424E-2</v>
      </c>
      <c r="T250" s="11">
        <f t="shared" si="31"/>
        <v>2.9016203705396038E-2</v>
      </c>
    </row>
    <row r="251" spans="1:20" x14ac:dyDescent="0.25">
      <c r="A251" s="3" t="s">
        <v>391</v>
      </c>
      <c r="B251" s="9">
        <v>15.74</v>
      </c>
      <c r="C251" s="3" t="s">
        <v>164</v>
      </c>
      <c r="D251" s="10">
        <v>45681.632719907408</v>
      </c>
      <c r="E251" s="10">
        <v>45681.632719907408</v>
      </c>
      <c r="F251" s="10">
        <v>45681.633969907409</v>
      </c>
      <c r="G251" s="10">
        <v>45681.633969907409</v>
      </c>
      <c r="H251" s="10">
        <v>45681.636747685188</v>
      </c>
      <c r="I251" s="10">
        <v>45681.636874999997</v>
      </c>
      <c r="J251" s="10">
        <v>45681.636874999997</v>
      </c>
      <c r="K251" s="10">
        <v>45681.649699074071</v>
      </c>
      <c r="L251" s="10">
        <v>45681.649699074071</v>
      </c>
      <c r="M251" s="11">
        <f t="shared" si="24"/>
        <v>0</v>
      </c>
      <c r="N251" s="11">
        <f t="shared" si="25"/>
        <v>1.2500000011641532E-3</v>
      </c>
      <c r="O251" s="11">
        <f t="shared" si="26"/>
        <v>2.7777777795563452E-3</v>
      </c>
      <c r="P251" s="11">
        <f t="shared" si="27"/>
        <v>1.2731480819638819E-4</v>
      </c>
      <c r="Q251" s="11">
        <f t="shared" si="28"/>
        <v>1.2824074074160308E-2</v>
      </c>
      <c r="R251" s="11">
        <f t="shared" si="29"/>
        <v>0</v>
      </c>
      <c r="S251" s="11">
        <f t="shared" si="30"/>
        <v>1.5729166661913041E-2</v>
      </c>
      <c r="T251" s="11">
        <f t="shared" si="31"/>
        <v>1.6979166663077194E-2</v>
      </c>
    </row>
    <row r="252" spans="1:20" x14ac:dyDescent="0.25">
      <c r="A252" s="3" t="s">
        <v>392</v>
      </c>
      <c r="B252" s="9">
        <v>232.4</v>
      </c>
      <c r="C252" s="3" t="s">
        <v>139</v>
      </c>
      <c r="D252" s="10">
        <v>45681.728472222218</v>
      </c>
      <c r="E252" s="10">
        <v>45681.728472222218</v>
      </c>
      <c r="F252" s="10">
        <v>45681.73060185185</v>
      </c>
      <c r="G252" s="10">
        <v>45681.73060185185</v>
      </c>
      <c r="H252" s="10">
        <v>45681.73337962963</v>
      </c>
      <c r="I252" s="10">
        <v>45681.735266203701</v>
      </c>
      <c r="J252" s="10">
        <v>45681.735266203701</v>
      </c>
      <c r="K252" s="10">
        <v>45681.737812500003</v>
      </c>
      <c r="L252" s="10">
        <v>45681.740266203713</v>
      </c>
      <c r="M252" s="11">
        <f t="shared" si="24"/>
        <v>0</v>
      </c>
      <c r="N252" s="11">
        <f t="shared" si="25"/>
        <v>2.1296296326909214E-3</v>
      </c>
      <c r="O252" s="11">
        <f t="shared" si="26"/>
        <v>2.7777777795563452E-3</v>
      </c>
      <c r="P252" s="11">
        <f t="shared" si="27"/>
        <v>1.8865740712499246E-3</v>
      </c>
      <c r="Q252" s="11">
        <f t="shared" si="28"/>
        <v>2.5462963021709584E-3</v>
      </c>
      <c r="R252" s="11">
        <f t="shared" si="29"/>
        <v>2.4537037097616121E-3</v>
      </c>
      <c r="S252" s="11">
        <f t="shared" si="30"/>
        <v>9.6643518627388403E-3</v>
      </c>
      <c r="T252" s="11">
        <f t="shared" si="31"/>
        <v>1.1793981495429762E-2</v>
      </c>
    </row>
    <row r="253" spans="1:20" x14ac:dyDescent="0.25">
      <c r="A253" s="3" t="s">
        <v>393</v>
      </c>
      <c r="B253" s="9">
        <v>134.69999999999999</v>
      </c>
      <c r="C253" s="3" t="s">
        <v>142</v>
      </c>
      <c r="D253" s="10">
        <v>45681.729166666657</v>
      </c>
      <c r="E253" s="10">
        <v>45681.729166666657</v>
      </c>
      <c r="F253" s="10">
        <v>45681.730636574073</v>
      </c>
      <c r="G253" s="10">
        <v>45681.730636574073</v>
      </c>
      <c r="H253" s="10">
        <v>45681.733414351853</v>
      </c>
      <c r="I253" s="10">
        <v>45681.734432870369</v>
      </c>
      <c r="J253" s="10">
        <v>45681.734432870369</v>
      </c>
      <c r="K253" s="10">
        <v>45681.735300925917</v>
      </c>
      <c r="L253" s="10">
        <v>45681.736932870372</v>
      </c>
      <c r="M253" s="11">
        <f t="shared" si="24"/>
        <v>0</v>
      </c>
      <c r="N253" s="11">
        <f t="shared" si="25"/>
        <v>1.4699074163218029E-3</v>
      </c>
      <c r="O253" s="11">
        <f t="shared" si="26"/>
        <v>2.7777777795563452E-3</v>
      </c>
      <c r="P253" s="11">
        <f t="shared" si="27"/>
        <v>1.0185185165028088E-3</v>
      </c>
      <c r="Q253" s="11">
        <f t="shared" si="28"/>
        <v>8.6805554747115821E-4</v>
      </c>
      <c r="R253" s="11">
        <f t="shared" si="29"/>
        <v>1.6319444548571482E-3</v>
      </c>
      <c r="S253" s="11">
        <f t="shared" si="30"/>
        <v>6.2962962983874604E-3</v>
      </c>
      <c r="T253" s="11">
        <f t="shared" si="31"/>
        <v>7.7662037147092633E-3</v>
      </c>
    </row>
    <row r="254" spans="1:20" x14ac:dyDescent="0.25">
      <c r="A254" s="3" t="s">
        <v>394</v>
      </c>
      <c r="B254" s="9">
        <v>582.48</v>
      </c>
      <c r="C254" s="3" t="s">
        <v>142</v>
      </c>
      <c r="D254" s="10">
        <v>45682.069756944453</v>
      </c>
      <c r="E254" s="10">
        <v>45682.069756944453</v>
      </c>
      <c r="F254" s="10">
        <v>45682.072256944448</v>
      </c>
      <c r="G254" s="10">
        <v>45682.072256944448</v>
      </c>
      <c r="H254" s="10">
        <v>45682.07503472222</v>
      </c>
      <c r="I254" s="10">
        <v>45682.081909722219</v>
      </c>
      <c r="J254" s="10">
        <v>45682.081909722219</v>
      </c>
      <c r="K254" s="10">
        <v>45682.082777777781</v>
      </c>
      <c r="L254" s="10">
        <v>45682.088738425933</v>
      </c>
      <c r="M254" s="11">
        <f t="shared" si="24"/>
        <v>0</v>
      </c>
      <c r="N254" s="11">
        <f t="shared" si="25"/>
        <v>2.4999999950523488E-3</v>
      </c>
      <c r="O254" s="11">
        <f t="shared" si="26"/>
        <v>2.7777777722803876E-3</v>
      </c>
      <c r="P254" s="11">
        <f t="shared" si="27"/>
        <v>6.8749999991268851E-3</v>
      </c>
      <c r="Q254" s="11">
        <f t="shared" si="28"/>
        <v>8.6805556202307343E-4</v>
      </c>
      <c r="R254" s="11">
        <f t="shared" si="29"/>
        <v>5.9606481518130749E-3</v>
      </c>
      <c r="S254" s="11">
        <f t="shared" si="30"/>
        <v>1.6481481485243421E-2</v>
      </c>
      <c r="T254" s="11">
        <f t="shared" si="31"/>
        <v>1.898148148029577E-2</v>
      </c>
    </row>
    <row r="255" spans="1:20" x14ac:dyDescent="0.25">
      <c r="A255" s="3" t="s">
        <v>395</v>
      </c>
      <c r="B255" s="9">
        <v>560.0200000000001</v>
      </c>
      <c r="C255" s="3" t="s">
        <v>142</v>
      </c>
      <c r="D255" s="10">
        <v>45683.740358796298</v>
      </c>
      <c r="E255" s="10">
        <v>45683.740358796298</v>
      </c>
      <c r="F255" s="10">
        <v>45683.742812500001</v>
      </c>
      <c r="G255" s="10">
        <v>45683.742812500001</v>
      </c>
      <c r="H255" s="10">
        <v>45683.74559027778</v>
      </c>
      <c r="I255" s="10">
        <v>45683.752175925933</v>
      </c>
      <c r="J255" s="10">
        <v>45683.752175925933</v>
      </c>
      <c r="K255" s="10">
        <v>45683.75304398148</v>
      </c>
      <c r="L255" s="10">
        <v>45683.75886574074</v>
      </c>
      <c r="M255" s="11">
        <f t="shared" si="24"/>
        <v>0</v>
      </c>
      <c r="N255" s="11">
        <f t="shared" si="25"/>
        <v>2.4537037024856545E-3</v>
      </c>
      <c r="O255" s="11">
        <f t="shared" si="26"/>
        <v>2.7777777795563452E-3</v>
      </c>
      <c r="P255" s="11">
        <f t="shared" si="27"/>
        <v>6.5856481523951516E-3</v>
      </c>
      <c r="Q255" s="11">
        <f t="shared" si="28"/>
        <v>8.6805554747115821E-4</v>
      </c>
      <c r="R255" s="11">
        <f t="shared" si="29"/>
        <v>5.8217592595610768E-3</v>
      </c>
      <c r="S255" s="11">
        <f t="shared" si="30"/>
        <v>1.6053240738983732E-2</v>
      </c>
      <c r="T255" s="11">
        <f t="shared" si="31"/>
        <v>1.8506944441469386E-2</v>
      </c>
    </row>
    <row r="256" spans="1:20" x14ac:dyDescent="0.25">
      <c r="A256" s="3" t="s">
        <v>396</v>
      </c>
      <c r="B256" s="9">
        <v>258.95999999999998</v>
      </c>
      <c r="C256" s="3" t="s">
        <v>139</v>
      </c>
      <c r="D256" s="10">
        <v>45684.108055555553</v>
      </c>
      <c r="E256" s="10">
        <v>45684.108055555553</v>
      </c>
      <c r="F256" s="10">
        <v>45684.110243055547</v>
      </c>
      <c r="G256" s="10">
        <v>45684.110243055547</v>
      </c>
      <c r="H256" s="10">
        <v>45684.113020833327</v>
      </c>
      <c r="I256" s="10">
        <v>45684.118356481478</v>
      </c>
      <c r="J256" s="10">
        <v>45684.118356481478</v>
      </c>
      <c r="K256" s="10">
        <v>45684.11922453704</v>
      </c>
      <c r="L256" s="10">
        <v>45684.126770833333</v>
      </c>
      <c r="M256" s="11">
        <f t="shared" si="24"/>
        <v>0</v>
      </c>
      <c r="N256" s="11">
        <f t="shared" si="25"/>
        <v>2.1874999947613105E-3</v>
      </c>
      <c r="O256" s="11">
        <f t="shared" si="26"/>
        <v>2.7777777795563452E-3</v>
      </c>
      <c r="P256" s="11">
        <f t="shared" si="27"/>
        <v>5.3356481512309983E-3</v>
      </c>
      <c r="Q256" s="11">
        <f t="shared" si="28"/>
        <v>8.6805556202307343E-4</v>
      </c>
      <c r="R256" s="11">
        <f t="shared" si="29"/>
        <v>7.546296292275656E-3</v>
      </c>
      <c r="S256" s="11">
        <f t="shared" si="30"/>
        <v>1.6527777785086073E-2</v>
      </c>
      <c r="T256" s="11">
        <f t="shared" si="31"/>
        <v>1.8715277779847383E-2</v>
      </c>
    </row>
    <row r="257" spans="1:20" x14ac:dyDescent="0.25">
      <c r="A257" s="3" t="s">
        <v>397</v>
      </c>
      <c r="B257" s="9">
        <v>298.2</v>
      </c>
      <c r="C257" s="3" t="s">
        <v>139</v>
      </c>
      <c r="D257" s="10">
        <v>45684.188576388893</v>
      </c>
      <c r="E257" s="10">
        <v>45684.188576388893</v>
      </c>
      <c r="F257" s="10">
        <v>45684.19085648148</v>
      </c>
      <c r="G257" s="10">
        <v>45684.19085648148</v>
      </c>
      <c r="H257" s="10">
        <v>45684.19363425926</v>
      </c>
      <c r="I257" s="10">
        <v>45684.196030092593</v>
      </c>
      <c r="J257" s="10">
        <v>45684.196030092593</v>
      </c>
      <c r="K257" s="10">
        <v>45684.196898148148</v>
      </c>
      <c r="L257" s="10">
        <v>45684.19871527778</v>
      </c>
      <c r="M257" s="11">
        <f t="shared" si="24"/>
        <v>0</v>
      </c>
      <c r="N257" s="11">
        <f t="shared" si="25"/>
        <v>2.2800925871706568E-3</v>
      </c>
      <c r="O257" s="11">
        <f t="shared" si="26"/>
        <v>2.7777777795563452E-3</v>
      </c>
      <c r="P257" s="11">
        <f t="shared" si="27"/>
        <v>2.3958333331393078E-3</v>
      </c>
      <c r="Q257" s="11">
        <f t="shared" si="28"/>
        <v>8.6805555474711582E-4</v>
      </c>
      <c r="R257" s="11">
        <f t="shared" si="29"/>
        <v>1.8171296323998831E-3</v>
      </c>
      <c r="S257" s="11">
        <f t="shared" si="30"/>
        <v>7.8587962998426519E-3</v>
      </c>
      <c r="T257" s="11">
        <f t="shared" si="31"/>
        <v>1.0138888887013309E-2</v>
      </c>
    </row>
    <row r="258" spans="1:20" x14ac:dyDescent="0.25">
      <c r="A258" s="3" t="s">
        <v>398</v>
      </c>
      <c r="B258" s="9">
        <v>284.8</v>
      </c>
      <c r="C258" s="3" t="s">
        <v>139</v>
      </c>
      <c r="D258" s="10">
        <v>45684.273912037039</v>
      </c>
      <c r="E258" s="10">
        <v>45684.273912037039</v>
      </c>
      <c r="F258" s="10">
        <v>45684.27615740741</v>
      </c>
      <c r="G258" s="10">
        <v>45684.27615740741</v>
      </c>
      <c r="H258" s="10">
        <v>45684.278935185182</v>
      </c>
      <c r="I258" s="10">
        <v>45684.28125</v>
      </c>
      <c r="J258" s="10">
        <v>45684.28125</v>
      </c>
      <c r="K258" s="10">
        <v>45684.282118055547</v>
      </c>
      <c r="L258" s="10">
        <v>45684.284490740742</v>
      </c>
      <c r="M258" s="11">
        <f t="shared" ref="M258:M321" si="32">IF(AND(ISNUMBER(D258),ISNUMBER(E258)),(E258-D258),"")</f>
        <v>0</v>
      </c>
      <c r="N258" s="11">
        <f t="shared" ref="N258:N321" si="33">IF(AND(ISNUMBER(E258),ISNUMBER(F258)),(F258-E258),"")</f>
        <v>2.2453703713836148E-3</v>
      </c>
      <c r="O258" s="11">
        <f t="shared" ref="O258:O321" si="34">IF(AND(ISNUMBER(G258),ISNUMBER(H258)),(H258-G258),"")</f>
        <v>2.7777777722803876E-3</v>
      </c>
      <c r="P258" s="11">
        <f t="shared" ref="P258:P321" si="35">IF(AND(ISNUMBER(H258),ISNUMBER(I258)),(I258-H258),"")</f>
        <v>2.3148148175096139E-3</v>
      </c>
      <c r="Q258" s="11">
        <f t="shared" ref="Q258:Q321" si="36">IF(AND(ISNUMBER(J258),ISNUMBER(K258)),(K258-J258),"")</f>
        <v>8.6805554747115821E-4</v>
      </c>
      <c r="R258" s="11">
        <f t="shared" ref="R258:R321" si="37">IF(AND(ISNUMBER(K258),ISNUMBER(L258)),(L258-K258),"")</f>
        <v>2.3726851941319183E-3</v>
      </c>
      <c r="S258" s="11">
        <f t="shared" ref="S258:S321" si="38">IF(AND(ISNUMBER(F258),ISNUMBER(L258)),(L258-F258),"")</f>
        <v>8.333333331393078E-3</v>
      </c>
      <c r="T258" s="11">
        <f t="shared" ref="T258:T321" si="39">IF(AND(ISNUMBER(D258),ISNUMBER(L258)),(L258-D258),"")</f>
        <v>1.0578703702776693E-2</v>
      </c>
    </row>
    <row r="259" spans="1:20" x14ac:dyDescent="0.25">
      <c r="A259" s="3" t="s">
        <v>399</v>
      </c>
      <c r="B259" s="9">
        <v>589.19999999999993</v>
      </c>
      <c r="C259" s="3" t="s">
        <v>142</v>
      </c>
      <c r="D259" s="10">
        <v>45684.296446759261</v>
      </c>
      <c r="E259" s="10">
        <v>45684.296446759261</v>
      </c>
      <c r="F259" s="10">
        <v>45684.298958333333</v>
      </c>
      <c r="G259" s="10">
        <v>45684.298958333333</v>
      </c>
      <c r="H259" s="10">
        <v>45684.301736111112</v>
      </c>
      <c r="I259" s="10">
        <v>45684.313750000001</v>
      </c>
      <c r="J259" s="10">
        <v>45684.313750000001</v>
      </c>
      <c r="K259" s="10">
        <v>45684.31454861111</v>
      </c>
      <c r="L259" s="10">
        <v>45684.321412037039</v>
      </c>
      <c r="M259" s="11">
        <f t="shared" si="32"/>
        <v>0</v>
      </c>
      <c r="N259" s="11">
        <f t="shared" si="33"/>
        <v>2.5115740718320012E-3</v>
      </c>
      <c r="O259" s="11">
        <f t="shared" si="34"/>
        <v>2.7777777795563452E-3</v>
      </c>
      <c r="P259" s="11">
        <f t="shared" si="35"/>
        <v>1.2013888888759539E-2</v>
      </c>
      <c r="Q259" s="11">
        <f t="shared" si="36"/>
        <v>7.9861110862111673E-4</v>
      </c>
      <c r="R259" s="11">
        <f t="shared" si="37"/>
        <v>6.8634259296231903E-3</v>
      </c>
      <c r="S259" s="11">
        <f t="shared" si="38"/>
        <v>2.2453703706560191E-2</v>
      </c>
      <c r="T259" s="11">
        <f t="shared" si="39"/>
        <v>2.4965277778392192E-2</v>
      </c>
    </row>
    <row r="260" spans="1:20" x14ac:dyDescent="0.25">
      <c r="A260" s="3" t="s">
        <v>400</v>
      </c>
      <c r="B260" s="9">
        <v>253.64</v>
      </c>
      <c r="C260" s="3" t="s">
        <v>139</v>
      </c>
      <c r="D260" s="10">
        <v>45684.310416666667</v>
      </c>
      <c r="E260" s="10">
        <v>45684.310416666667</v>
      </c>
      <c r="F260" s="10">
        <v>45684.312592592592</v>
      </c>
      <c r="G260" s="10">
        <v>45684.312592592592</v>
      </c>
      <c r="H260" s="10">
        <v>45684.315370370372</v>
      </c>
      <c r="I260" s="10">
        <v>45684.317430555559</v>
      </c>
      <c r="J260" s="10">
        <v>45684.317430555559</v>
      </c>
      <c r="K260" s="10">
        <v>45684.322291666656</v>
      </c>
      <c r="L260" s="10">
        <v>45684.322291666656</v>
      </c>
      <c r="M260" s="11">
        <f t="shared" si="32"/>
        <v>0</v>
      </c>
      <c r="N260" s="11">
        <f t="shared" si="33"/>
        <v>2.1759259252576157E-3</v>
      </c>
      <c r="O260" s="11">
        <f t="shared" si="34"/>
        <v>2.7777777795563452E-3</v>
      </c>
      <c r="P260" s="11">
        <f t="shared" si="35"/>
        <v>2.0601851865649223E-3</v>
      </c>
      <c r="Q260" s="11">
        <f t="shared" si="36"/>
        <v>4.8611110978526995E-3</v>
      </c>
      <c r="R260" s="11">
        <f t="shared" si="37"/>
        <v>0</v>
      </c>
      <c r="S260" s="11">
        <f t="shared" si="38"/>
        <v>9.699074063973967E-3</v>
      </c>
      <c r="T260" s="11">
        <f t="shared" si="39"/>
        <v>1.1874999989231583E-2</v>
      </c>
    </row>
    <row r="261" spans="1:20" x14ac:dyDescent="0.25">
      <c r="A261" s="3" t="s">
        <v>401</v>
      </c>
      <c r="B261" s="9">
        <v>389.06000000000012</v>
      </c>
      <c r="C261" s="3" t="s">
        <v>139</v>
      </c>
      <c r="D261" s="10">
        <v>45684.328668981478</v>
      </c>
      <c r="E261" s="10">
        <v>45684.328668981478</v>
      </c>
      <c r="F261" s="10">
        <v>45684.331157407411</v>
      </c>
      <c r="G261" s="10">
        <v>45684.331157407411</v>
      </c>
      <c r="H261" s="10">
        <v>45684.333935185183</v>
      </c>
      <c r="I261" s="10">
        <v>45684.337083333332</v>
      </c>
      <c r="J261" s="10">
        <v>45684.337083333332</v>
      </c>
      <c r="K261" s="10">
        <v>45684.337951388887</v>
      </c>
      <c r="L261" s="10">
        <v>45684.337951388887</v>
      </c>
      <c r="M261" s="11">
        <f t="shared" si="32"/>
        <v>0</v>
      </c>
      <c r="N261" s="11">
        <f t="shared" si="33"/>
        <v>2.4884259328246117E-3</v>
      </c>
      <c r="O261" s="11">
        <f t="shared" si="34"/>
        <v>2.7777777722803876E-3</v>
      </c>
      <c r="P261" s="11">
        <f t="shared" si="35"/>
        <v>3.1481481491937302E-3</v>
      </c>
      <c r="Q261" s="11">
        <f t="shared" si="36"/>
        <v>8.6805555474711582E-4</v>
      </c>
      <c r="R261" s="11">
        <f t="shared" si="37"/>
        <v>0</v>
      </c>
      <c r="S261" s="11">
        <f t="shared" si="38"/>
        <v>6.7939814762212336E-3</v>
      </c>
      <c r="T261" s="11">
        <f t="shared" si="39"/>
        <v>9.2824074090458453E-3</v>
      </c>
    </row>
    <row r="262" spans="1:20" x14ac:dyDescent="0.25">
      <c r="A262" s="3" t="s">
        <v>402</v>
      </c>
      <c r="B262" s="9">
        <v>586.66</v>
      </c>
      <c r="C262" s="3" t="s">
        <v>142</v>
      </c>
      <c r="D262" s="10">
        <v>45684.353043981479</v>
      </c>
      <c r="E262" s="10">
        <v>45684.353043981479</v>
      </c>
      <c r="F262" s="10">
        <v>45684.355555555558</v>
      </c>
      <c r="G262" s="10">
        <v>45684.355555555558</v>
      </c>
      <c r="H262" s="10">
        <v>45684.35833333333</v>
      </c>
      <c r="I262" s="10">
        <v>45684.374930555547</v>
      </c>
      <c r="J262" s="10">
        <v>45684.374930555547</v>
      </c>
      <c r="K262" s="10">
        <v>45684.375798611109</v>
      </c>
      <c r="L262" s="10">
        <v>45684.390856481477</v>
      </c>
      <c r="M262" s="11">
        <f t="shared" si="32"/>
        <v>0</v>
      </c>
      <c r="N262" s="11">
        <f t="shared" si="33"/>
        <v>2.5115740791079588E-3</v>
      </c>
      <c r="O262" s="11">
        <f t="shared" si="34"/>
        <v>2.7777777722803876E-3</v>
      </c>
      <c r="P262" s="11">
        <f t="shared" si="35"/>
        <v>1.6597222216660157E-2</v>
      </c>
      <c r="Q262" s="11">
        <f t="shared" si="36"/>
        <v>8.6805556202307343E-4</v>
      </c>
      <c r="R262" s="11">
        <f t="shared" si="37"/>
        <v>1.505787036876427E-2</v>
      </c>
      <c r="S262" s="11">
        <f t="shared" si="38"/>
        <v>3.5300925919727888E-2</v>
      </c>
      <c r="T262" s="11">
        <f t="shared" si="39"/>
        <v>3.7812499998835847E-2</v>
      </c>
    </row>
    <row r="263" spans="1:20" x14ac:dyDescent="0.25">
      <c r="A263" s="3" t="s">
        <v>403</v>
      </c>
      <c r="B263" s="9">
        <v>390.5</v>
      </c>
      <c r="C263" s="3" t="s">
        <v>139</v>
      </c>
      <c r="D263" s="10">
        <v>45684.353356481479</v>
      </c>
      <c r="E263" s="10">
        <v>45684.353356481479</v>
      </c>
      <c r="F263" s="10">
        <v>45684.355856481481</v>
      </c>
      <c r="G263" s="10">
        <v>45684.355856481481</v>
      </c>
      <c r="H263" s="10">
        <v>45684.358634259261</v>
      </c>
      <c r="I263" s="10">
        <v>45684.362604166658</v>
      </c>
      <c r="J263" s="10">
        <v>45684.362604166658</v>
      </c>
      <c r="K263" s="10">
        <v>45684.36347222222</v>
      </c>
      <c r="L263" s="10">
        <v>45684.36347222222</v>
      </c>
      <c r="M263" s="11">
        <f t="shared" si="32"/>
        <v>0</v>
      </c>
      <c r="N263" s="11">
        <f t="shared" si="33"/>
        <v>2.5000000023283064E-3</v>
      </c>
      <c r="O263" s="11">
        <f t="shared" si="34"/>
        <v>2.7777777795563452E-3</v>
      </c>
      <c r="P263" s="11">
        <f t="shared" si="35"/>
        <v>3.9699073968222365E-3</v>
      </c>
      <c r="Q263" s="11">
        <f t="shared" si="36"/>
        <v>8.6805556202307343E-4</v>
      </c>
      <c r="R263" s="11">
        <f t="shared" si="37"/>
        <v>0</v>
      </c>
      <c r="S263" s="11">
        <f t="shared" si="38"/>
        <v>7.6157407384016551E-3</v>
      </c>
      <c r="T263" s="11">
        <f t="shared" si="39"/>
        <v>1.0115740740729962E-2</v>
      </c>
    </row>
    <row r="264" spans="1:20" x14ac:dyDescent="0.25">
      <c r="A264" s="3" t="s">
        <v>404</v>
      </c>
      <c r="B264" s="9">
        <v>435.49999999999989</v>
      </c>
      <c r="C264" s="3" t="s">
        <v>139</v>
      </c>
      <c r="D264" s="10">
        <v>45684.437118055554</v>
      </c>
      <c r="E264" s="10">
        <v>45684.437118055554</v>
      </c>
      <c r="F264" s="10">
        <v>45684.439722222232</v>
      </c>
      <c r="G264" s="10">
        <v>45684.439722222232</v>
      </c>
      <c r="H264" s="10">
        <v>45684.442499999997</v>
      </c>
      <c r="I264" s="10">
        <v>45684.44703703704</v>
      </c>
      <c r="J264" s="10">
        <v>45684.44703703704</v>
      </c>
      <c r="K264" s="10">
        <v>45684.447905092587</v>
      </c>
      <c r="L264" s="10">
        <v>45684.452025462961</v>
      </c>
      <c r="M264" s="11">
        <f t="shared" si="32"/>
        <v>0</v>
      </c>
      <c r="N264" s="11">
        <f t="shared" si="33"/>
        <v>2.6041666787932627E-3</v>
      </c>
      <c r="O264" s="11">
        <f t="shared" si="34"/>
        <v>2.77777776500443E-3</v>
      </c>
      <c r="P264" s="11">
        <f t="shared" si="35"/>
        <v>4.5370370426098816E-3</v>
      </c>
      <c r="Q264" s="11">
        <f t="shared" si="36"/>
        <v>8.6805554747115821E-4</v>
      </c>
      <c r="R264" s="11">
        <f t="shared" si="37"/>
        <v>4.1203703731298447E-3</v>
      </c>
      <c r="S264" s="11">
        <f t="shared" si="38"/>
        <v>1.2303240728215314E-2</v>
      </c>
      <c r="T264" s="11">
        <f t="shared" si="39"/>
        <v>1.4907407407008577E-2</v>
      </c>
    </row>
    <row r="265" spans="1:20" x14ac:dyDescent="0.25">
      <c r="A265" s="3" t="s">
        <v>405</v>
      </c>
      <c r="B265" s="9">
        <v>212.1</v>
      </c>
      <c r="C265" s="3" t="s">
        <v>139</v>
      </c>
      <c r="D265" s="10">
        <v>45684.528611111113</v>
      </c>
      <c r="E265" s="10">
        <v>45684.528611111113</v>
      </c>
      <c r="F265" s="10">
        <v>45684.530694444453</v>
      </c>
      <c r="G265" s="10">
        <v>45684.530694444453</v>
      </c>
      <c r="H265" s="10">
        <v>45684.533472222232</v>
      </c>
      <c r="I265" s="10">
        <v>45684.535185185188</v>
      </c>
      <c r="J265" s="10">
        <v>45684.535185185188</v>
      </c>
      <c r="K265" s="10">
        <v>45684.536064814813</v>
      </c>
      <c r="L265" s="10">
        <v>45684.538240740738</v>
      </c>
      <c r="M265" s="11">
        <f t="shared" si="32"/>
        <v>0</v>
      </c>
      <c r="N265" s="11">
        <f t="shared" si="33"/>
        <v>2.0833333401242271E-3</v>
      </c>
      <c r="O265" s="11">
        <f t="shared" si="34"/>
        <v>2.7777777795563452E-3</v>
      </c>
      <c r="P265" s="11">
        <f t="shared" si="35"/>
        <v>1.7129629559349269E-3</v>
      </c>
      <c r="Q265" s="11">
        <f t="shared" si="36"/>
        <v>8.7962962425081059E-4</v>
      </c>
      <c r="R265" s="11">
        <f t="shared" si="37"/>
        <v>2.1759259252576157E-3</v>
      </c>
      <c r="S265" s="11">
        <f t="shared" si="38"/>
        <v>7.5462962849996984E-3</v>
      </c>
      <c r="T265" s="11">
        <f t="shared" si="39"/>
        <v>9.6296296251239255E-3</v>
      </c>
    </row>
    <row r="266" spans="1:20" x14ac:dyDescent="0.25">
      <c r="A266" s="3" t="s">
        <v>406</v>
      </c>
      <c r="B266" s="9">
        <v>381.56000000000012</v>
      </c>
      <c r="C266" s="3" t="s">
        <v>139</v>
      </c>
      <c r="D266" s="10">
        <v>45684.597511574073</v>
      </c>
      <c r="E266" s="10">
        <v>45684.597511574073</v>
      </c>
      <c r="F266" s="10">
        <v>45684.599988425929</v>
      </c>
      <c r="G266" s="10">
        <v>45684.599988425929</v>
      </c>
      <c r="H266" s="10">
        <v>45684.602766203701</v>
      </c>
      <c r="I266" s="10">
        <v>45684.605833333328</v>
      </c>
      <c r="J266" s="10">
        <v>45684.605833333328</v>
      </c>
      <c r="K266" s="10">
        <v>45684.60670138889</v>
      </c>
      <c r="L266" s="10">
        <v>45684.609502314823</v>
      </c>
      <c r="M266" s="11">
        <f t="shared" si="32"/>
        <v>0</v>
      </c>
      <c r="N266" s="11">
        <f t="shared" si="33"/>
        <v>2.4768518560449593E-3</v>
      </c>
      <c r="O266" s="11">
        <f t="shared" si="34"/>
        <v>2.7777777722803876E-3</v>
      </c>
      <c r="P266" s="11">
        <f t="shared" si="35"/>
        <v>3.0671296262880787E-3</v>
      </c>
      <c r="Q266" s="11">
        <f t="shared" si="36"/>
        <v>8.6805556202307343E-4</v>
      </c>
      <c r="R266" s="11">
        <f t="shared" si="37"/>
        <v>2.80092593311565E-3</v>
      </c>
      <c r="S266" s="11">
        <f t="shared" si="38"/>
        <v>9.5138888937071897E-3</v>
      </c>
      <c r="T266" s="11">
        <f t="shared" si="39"/>
        <v>1.1990740749752149E-2</v>
      </c>
    </row>
    <row r="267" spans="1:20" x14ac:dyDescent="0.25">
      <c r="A267" s="3" t="s">
        <v>407</v>
      </c>
      <c r="B267" s="9">
        <v>15.74</v>
      </c>
      <c r="C267" s="3" t="s">
        <v>164</v>
      </c>
      <c r="D267" s="10">
        <v>45684.643055555563</v>
      </c>
      <c r="E267" s="10">
        <v>45684.643055555563</v>
      </c>
      <c r="F267" s="10">
        <v>45684.644305555557</v>
      </c>
      <c r="G267" s="10">
        <v>45684.644305555557</v>
      </c>
      <c r="H267" s="10">
        <v>45684.647083333337</v>
      </c>
      <c r="I267" s="10">
        <v>45684.647210648152</v>
      </c>
      <c r="J267" s="10">
        <v>45684.647210648152</v>
      </c>
      <c r="K267" s="10">
        <v>45684.648090277777</v>
      </c>
      <c r="L267" s="10">
        <v>45684.650173611109</v>
      </c>
      <c r="M267" s="11">
        <f t="shared" si="32"/>
        <v>0</v>
      </c>
      <c r="N267" s="11">
        <f t="shared" si="33"/>
        <v>1.2499999938881956E-3</v>
      </c>
      <c r="O267" s="11">
        <f t="shared" si="34"/>
        <v>2.7777777795563452E-3</v>
      </c>
      <c r="P267" s="11">
        <f t="shared" si="35"/>
        <v>1.273148154723458E-4</v>
      </c>
      <c r="Q267" s="11">
        <f t="shared" si="36"/>
        <v>8.7962962425081059E-4</v>
      </c>
      <c r="R267" s="11">
        <f t="shared" si="37"/>
        <v>2.0833333328482695E-3</v>
      </c>
      <c r="S267" s="11">
        <f t="shared" si="38"/>
        <v>5.8680555521277711E-3</v>
      </c>
      <c r="T267" s="11">
        <f t="shared" si="39"/>
        <v>7.1180555460159667E-3</v>
      </c>
    </row>
    <row r="268" spans="1:20" x14ac:dyDescent="0.25">
      <c r="A268" s="3" t="s">
        <v>408</v>
      </c>
      <c r="B268" s="9">
        <v>383.1</v>
      </c>
      <c r="C268" s="3" t="s">
        <v>139</v>
      </c>
      <c r="D268" s="10">
        <v>45684.662835648152</v>
      </c>
      <c r="E268" s="10">
        <v>45684.662835648152</v>
      </c>
      <c r="F268" s="10">
        <v>45684.665312500001</v>
      </c>
      <c r="G268" s="10">
        <v>45684.665312500001</v>
      </c>
      <c r="H268" s="10">
        <v>45684.668090277781</v>
      </c>
      <c r="I268" s="10">
        <v>45684.672210648147</v>
      </c>
      <c r="J268" s="10">
        <v>45684.672210648147</v>
      </c>
      <c r="K268" s="10">
        <v>45684.673078703701</v>
      </c>
      <c r="L268" s="10">
        <v>45684.67765046296</v>
      </c>
      <c r="M268" s="11">
        <f t="shared" si="32"/>
        <v>0</v>
      </c>
      <c r="N268" s="11">
        <f t="shared" si="33"/>
        <v>2.4768518487690017E-3</v>
      </c>
      <c r="O268" s="11">
        <f t="shared" si="34"/>
        <v>2.7777777795563452E-3</v>
      </c>
      <c r="P268" s="11">
        <f t="shared" si="35"/>
        <v>4.1203703658538871E-3</v>
      </c>
      <c r="Q268" s="11">
        <f t="shared" si="36"/>
        <v>8.6805555474711582E-4</v>
      </c>
      <c r="R268" s="11">
        <f t="shared" si="37"/>
        <v>4.5717592583969235E-3</v>
      </c>
      <c r="S268" s="11">
        <f t="shared" si="38"/>
        <v>1.2337962958554272E-2</v>
      </c>
      <c r="T268" s="11">
        <f t="shared" si="39"/>
        <v>1.4814814807323273E-2</v>
      </c>
    </row>
    <row r="269" spans="1:20" x14ac:dyDescent="0.25">
      <c r="A269" s="3" t="s">
        <v>409</v>
      </c>
      <c r="B269" s="9">
        <v>232.4</v>
      </c>
      <c r="C269" s="3" t="s">
        <v>139</v>
      </c>
      <c r="D269" s="10">
        <v>45684.730185185188</v>
      </c>
      <c r="E269" s="10">
        <v>45684.730185185188</v>
      </c>
      <c r="F269" s="10">
        <v>45684.732314814813</v>
      </c>
      <c r="G269" s="10">
        <v>45684.732314814813</v>
      </c>
      <c r="H269" s="10">
        <v>45684.735092592593</v>
      </c>
      <c r="I269" s="10">
        <v>45684.736979166657</v>
      </c>
      <c r="J269" s="10">
        <v>45684.736979166657</v>
      </c>
      <c r="K269" s="10">
        <v>45684.737847222219</v>
      </c>
      <c r="L269" s="10">
        <v>45684.739733796298</v>
      </c>
      <c r="M269" s="11">
        <f t="shared" si="32"/>
        <v>0</v>
      </c>
      <c r="N269" s="11">
        <f t="shared" si="33"/>
        <v>2.1296296254149638E-3</v>
      </c>
      <c r="O269" s="11">
        <f t="shared" si="34"/>
        <v>2.7777777795563452E-3</v>
      </c>
      <c r="P269" s="11">
        <f t="shared" si="35"/>
        <v>1.886574063973967E-3</v>
      </c>
      <c r="Q269" s="11">
        <f t="shared" si="36"/>
        <v>8.6805556202307343E-4</v>
      </c>
      <c r="R269" s="11">
        <f t="shared" si="37"/>
        <v>1.8865740785258822E-3</v>
      </c>
      <c r="S269" s="11">
        <f t="shared" si="38"/>
        <v>7.4189814840792678E-3</v>
      </c>
      <c r="T269" s="11">
        <f t="shared" si="39"/>
        <v>9.5486111094942316E-3</v>
      </c>
    </row>
    <row r="270" spans="1:20" x14ac:dyDescent="0.25">
      <c r="A270" s="3" t="s">
        <v>410</v>
      </c>
      <c r="B270" s="9">
        <v>445.98</v>
      </c>
      <c r="C270" s="3" t="s">
        <v>142</v>
      </c>
      <c r="D270" s="10">
        <v>45684.736273148148</v>
      </c>
      <c r="E270" s="10">
        <v>45684.736273148148</v>
      </c>
      <c r="F270" s="10">
        <v>45684.73846064815</v>
      </c>
      <c r="G270" s="10">
        <v>45684.73846064815</v>
      </c>
      <c r="H270" s="10">
        <v>45684.741238425922</v>
      </c>
      <c r="I270" s="10">
        <v>45684.747002314813</v>
      </c>
      <c r="J270" s="10">
        <v>45684.747002314813</v>
      </c>
      <c r="K270" s="10">
        <v>45684.747870370367</v>
      </c>
      <c r="L270" s="10">
        <v>45684.753854166673</v>
      </c>
      <c r="M270" s="11">
        <f t="shared" si="32"/>
        <v>0</v>
      </c>
      <c r="N270" s="11">
        <f t="shared" si="33"/>
        <v>2.1875000020372681E-3</v>
      </c>
      <c r="O270" s="11">
        <f t="shared" si="34"/>
        <v>2.7777777722803876E-3</v>
      </c>
      <c r="P270" s="11">
        <f t="shared" si="35"/>
        <v>5.7638888902147301E-3</v>
      </c>
      <c r="Q270" s="11">
        <f t="shared" si="36"/>
        <v>8.6805555474711582E-4</v>
      </c>
      <c r="R270" s="11">
        <f t="shared" si="37"/>
        <v>5.9837963053723797E-3</v>
      </c>
      <c r="S270" s="11">
        <f t="shared" si="38"/>
        <v>1.5393518522614613E-2</v>
      </c>
      <c r="T270" s="11">
        <f t="shared" si="39"/>
        <v>1.7581018524651881E-2</v>
      </c>
    </row>
    <row r="271" spans="1:20" x14ac:dyDescent="0.25">
      <c r="A271" s="3" t="s">
        <v>411</v>
      </c>
      <c r="B271" s="9">
        <v>397.30000000000013</v>
      </c>
      <c r="C271" s="3" t="s">
        <v>139</v>
      </c>
      <c r="D271" s="10">
        <v>45684.87395833333</v>
      </c>
      <c r="E271" s="10">
        <v>45684.87395833333</v>
      </c>
      <c r="F271" s="10">
        <v>45684.876469907409</v>
      </c>
      <c r="G271" s="10">
        <v>45684.876469907409</v>
      </c>
      <c r="H271" s="10">
        <v>45684.879247685189</v>
      </c>
      <c r="I271" s="10">
        <v>45684.882430555554</v>
      </c>
      <c r="J271" s="10">
        <v>45684.882430555554</v>
      </c>
      <c r="K271" s="10">
        <v>45684.883310185192</v>
      </c>
      <c r="L271" s="10">
        <v>45684.885462962957</v>
      </c>
      <c r="M271" s="11">
        <f t="shared" si="32"/>
        <v>0</v>
      </c>
      <c r="N271" s="11">
        <f t="shared" si="33"/>
        <v>2.5115740791079588E-3</v>
      </c>
      <c r="O271" s="11">
        <f t="shared" si="34"/>
        <v>2.7777777795563452E-3</v>
      </c>
      <c r="P271" s="11">
        <f t="shared" si="35"/>
        <v>3.1828703649807721E-3</v>
      </c>
      <c r="Q271" s="11">
        <f t="shared" si="36"/>
        <v>8.7962963880272582E-4</v>
      </c>
      <c r="R271" s="11">
        <f t="shared" si="37"/>
        <v>2.1527777644223534E-3</v>
      </c>
      <c r="S271" s="11">
        <f t="shared" si="38"/>
        <v>8.9930555477621965E-3</v>
      </c>
      <c r="T271" s="11">
        <f t="shared" si="39"/>
        <v>1.1504629626870155E-2</v>
      </c>
    </row>
    <row r="272" spans="1:20" x14ac:dyDescent="0.25">
      <c r="A272" s="3" t="s">
        <v>412</v>
      </c>
      <c r="B272" s="9">
        <v>145.68</v>
      </c>
      <c r="C272" s="3" t="s">
        <v>139</v>
      </c>
      <c r="D272" s="10">
        <v>45685.119618055563</v>
      </c>
      <c r="E272" s="10">
        <v>45685.119618055563</v>
      </c>
      <c r="F272" s="10">
        <v>45685.121550925927</v>
      </c>
      <c r="G272" s="10">
        <v>45685.121550925927</v>
      </c>
      <c r="H272" s="10">
        <v>45685.124328703707</v>
      </c>
      <c r="I272" s="10">
        <v>45685.127662037034</v>
      </c>
      <c r="J272" s="10">
        <v>45685.127662037034</v>
      </c>
      <c r="K272" s="10">
        <v>45685.128530092603</v>
      </c>
      <c r="L272" s="10">
        <v>45685.133819444447</v>
      </c>
      <c r="M272" s="11">
        <f t="shared" si="32"/>
        <v>0</v>
      </c>
      <c r="N272" s="11">
        <f t="shared" si="33"/>
        <v>1.9328703638166189E-3</v>
      </c>
      <c r="O272" s="11">
        <f t="shared" si="34"/>
        <v>2.7777777795563452E-3</v>
      </c>
      <c r="P272" s="11">
        <f t="shared" si="35"/>
        <v>3.3333333267364651E-3</v>
      </c>
      <c r="Q272" s="11">
        <f t="shared" si="36"/>
        <v>8.6805556929903105E-4</v>
      </c>
      <c r="R272" s="11">
        <f t="shared" si="37"/>
        <v>5.2893518441123888E-3</v>
      </c>
      <c r="S272" s="11">
        <f t="shared" si="38"/>
        <v>1.226851851970423E-2</v>
      </c>
      <c r="T272" s="11">
        <f t="shared" si="39"/>
        <v>1.4201388883520849E-2</v>
      </c>
    </row>
    <row r="273" spans="1:20" x14ac:dyDescent="0.25">
      <c r="A273" s="3" t="s">
        <v>413</v>
      </c>
      <c r="B273" s="9">
        <v>297</v>
      </c>
      <c r="C273" s="3" t="s">
        <v>139</v>
      </c>
      <c r="D273" s="10">
        <v>45685.270173611112</v>
      </c>
      <c r="E273" s="10">
        <v>45685.270173611112</v>
      </c>
      <c r="F273" s="10">
        <v>45685.272453703707</v>
      </c>
      <c r="G273" s="10">
        <v>45685.272453703707</v>
      </c>
      <c r="H273" s="10">
        <v>45685.275231481479</v>
      </c>
      <c r="I273" s="10">
        <v>45685.277604166673</v>
      </c>
      <c r="J273" s="10">
        <v>45685.277604166673</v>
      </c>
      <c r="K273" s="10">
        <v>45685.278483796297</v>
      </c>
      <c r="L273" s="10">
        <v>45685.280752314808</v>
      </c>
      <c r="M273" s="11">
        <f t="shared" si="32"/>
        <v>0</v>
      </c>
      <c r="N273" s="11">
        <f t="shared" si="33"/>
        <v>2.2800925944466144E-3</v>
      </c>
      <c r="O273" s="11">
        <f t="shared" si="34"/>
        <v>2.7777777722803876E-3</v>
      </c>
      <c r="P273" s="11">
        <f t="shared" si="35"/>
        <v>2.3726851941319183E-3</v>
      </c>
      <c r="Q273" s="11">
        <f t="shared" si="36"/>
        <v>8.7962962425081059E-4</v>
      </c>
      <c r="R273" s="11">
        <f t="shared" si="37"/>
        <v>2.2685185103910044E-3</v>
      </c>
      <c r="S273" s="11">
        <f t="shared" si="38"/>
        <v>8.2986111010541208E-3</v>
      </c>
      <c r="T273" s="11">
        <f t="shared" si="39"/>
        <v>1.0578703695500735E-2</v>
      </c>
    </row>
    <row r="274" spans="1:20" x14ac:dyDescent="0.25">
      <c r="A274" s="3" t="s">
        <v>414</v>
      </c>
      <c r="B274" s="9">
        <v>299.88</v>
      </c>
      <c r="C274" s="3" t="s">
        <v>139</v>
      </c>
      <c r="D274" s="10">
        <v>45685.29991898148</v>
      </c>
      <c r="E274" s="10">
        <v>45685.29991898148</v>
      </c>
      <c r="F274" s="10">
        <v>45685.302199074067</v>
      </c>
      <c r="G274" s="10">
        <v>45685.302199074067</v>
      </c>
      <c r="H274" s="10">
        <v>45685.304976851847</v>
      </c>
      <c r="I274" s="10">
        <v>45685.31386574074</v>
      </c>
      <c r="J274" s="10">
        <v>45685.31386574074</v>
      </c>
      <c r="K274" s="10">
        <v>45685.314733796287</v>
      </c>
      <c r="L274" s="10">
        <v>45685.323993055557</v>
      </c>
      <c r="M274" s="11">
        <f t="shared" si="32"/>
        <v>0</v>
      </c>
      <c r="N274" s="11">
        <f t="shared" si="33"/>
        <v>2.2800925871706568E-3</v>
      </c>
      <c r="O274" s="11">
        <f t="shared" si="34"/>
        <v>2.7777777795563452E-3</v>
      </c>
      <c r="P274" s="11">
        <f t="shared" si="35"/>
        <v>8.8888888931251131E-3</v>
      </c>
      <c r="Q274" s="11">
        <f t="shared" si="36"/>
        <v>8.6805554747115821E-4</v>
      </c>
      <c r="R274" s="11">
        <f t="shared" si="37"/>
        <v>9.2592592700384557E-3</v>
      </c>
      <c r="S274" s="11">
        <f t="shared" si="38"/>
        <v>2.1793981490191072E-2</v>
      </c>
      <c r="T274" s="11">
        <f t="shared" si="39"/>
        <v>2.4074074077361729E-2</v>
      </c>
    </row>
    <row r="275" spans="1:20" x14ac:dyDescent="0.25">
      <c r="A275" s="3" t="s">
        <v>415</v>
      </c>
      <c r="B275" s="9">
        <v>157.47999999999999</v>
      </c>
      <c r="C275" s="3" t="s">
        <v>142</v>
      </c>
      <c r="D275" s="10">
        <v>45685.31354166667</v>
      </c>
      <c r="E275" s="10">
        <v>45685.31354166667</v>
      </c>
      <c r="F275" s="10">
        <v>45685.315057870372</v>
      </c>
      <c r="G275" s="10">
        <v>45685.315057870372</v>
      </c>
      <c r="H275" s="10">
        <v>45685.317835648151</v>
      </c>
      <c r="I275" s="10">
        <v>45685.319108796299</v>
      </c>
      <c r="J275" s="10">
        <v>45685.319108796299</v>
      </c>
      <c r="K275" s="10">
        <v>45685.324780092589</v>
      </c>
      <c r="L275" s="10">
        <v>45685.324780092589</v>
      </c>
      <c r="M275" s="11">
        <f t="shared" si="32"/>
        <v>0</v>
      </c>
      <c r="N275" s="11">
        <f t="shared" si="33"/>
        <v>1.5162037016125396E-3</v>
      </c>
      <c r="O275" s="11">
        <f t="shared" si="34"/>
        <v>2.7777777795563452E-3</v>
      </c>
      <c r="P275" s="11">
        <f t="shared" si="35"/>
        <v>1.2731481474475004E-3</v>
      </c>
      <c r="Q275" s="11">
        <f t="shared" si="36"/>
        <v>5.6712962905294262E-3</v>
      </c>
      <c r="R275" s="11">
        <f t="shared" si="37"/>
        <v>0</v>
      </c>
      <c r="S275" s="11">
        <f t="shared" si="38"/>
        <v>9.7222222175332718E-3</v>
      </c>
      <c r="T275" s="11">
        <f t="shared" si="39"/>
        <v>1.1238425919145811E-2</v>
      </c>
    </row>
    <row r="276" spans="1:20" x14ac:dyDescent="0.25">
      <c r="A276" s="3" t="s">
        <v>416</v>
      </c>
      <c r="B276" s="9">
        <v>398.04000000000008</v>
      </c>
      <c r="C276" s="3" t="s">
        <v>169</v>
      </c>
      <c r="D276" s="10">
        <v>45685.32068287037</v>
      </c>
      <c r="E276" s="10">
        <v>45685.32068287037</v>
      </c>
      <c r="F276" s="10">
        <v>45685.322592592587</v>
      </c>
      <c r="G276" s="10">
        <v>45685.322592592587</v>
      </c>
      <c r="H276" s="10">
        <v>45685.325370370367</v>
      </c>
      <c r="I276" s="10">
        <v>45685.328599537039</v>
      </c>
      <c r="J276" s="10">
        <v>45685.328599537039</v>
      </c>
      <c r="K276" s="10">
        <v>45685.329467592594</v>
      </c>
      <c r="L276" s="10">
        <v>45685.329467592594</v>
      </c>
      <c r="M276" s="11">
        <f t="shared" si="32"/>
        <v>0</v>
      </c>
      <c r="N276" s="11">
        <f t="shared" si="33"/>
        <v>1.9097222175332718E-3</v>
      </c>
      <c r="O276" s="11">
        <f t="shared" si="34"/>
        <v>2.7777777795563452E-3</v>
      </c>
      <c r="P276" s="11">
        <f t="shared" si="35"/>
        <v>3.2291666720993817E-3</v>
      </c>
      <c r="Q276" s="11">
        <f t="shared" si="36"/>
        <v>8.6805555474711582E-4</v>
      </c>
      <c r="R276" s="11">
        <f t="shared" si="37"/>
        <v>0</v>
      </c>
      <c r="S276" s="11">
        <f t="shared" si="38"/>
        <v>6.8750000064028427E-3</v>
      </c>
      <c r="T276" s="11">
        <f t="shared" si="39"/>
        <v>8.7847222239361145E-3</v>
      </c>
    </row>
    <row r="277" spans="1:20" x14ac:dyDescent="0.25">
      <c r="A277" s="3" t="s">
        <v>417</v>
      </c>
      <c r="B277" s="9">
        <v>584.21999999999991</v>
      </c>
      <c r="C277" s="3" t="s">
        <v>142</v>
      </c>
      <c r="D277" s="10">
        <v>45685.364895833343</v>
      </c>
      <c r="E277" s="10">
        <v>45685.364895833343</v>
      </c>
      <c r="F277" s="10">
        <v>45685.367395833331</v>
      </c>
      <c r="G277" s="10">
        <v>45685.367395833331</v>
      </c>
      <c r="H277" s="10">
        <v>45685.370173611111</v>
      </c>
      <c r="I277" s="10">
        <v>45685.388888888891</v>
      </c>
      <c r="J277" s="10">
        <v>45685.388888888891</v>
      </c>
      <c r="K277" s="10">
        <v>45685.392592592587</v>
      </c>
      <c r="L277" s="10">
        <v>45685.411631944437</v>
      </c>
      <c r="M277" s="11">
        <f t="shared" si="32"/>
        <v>0</v>
      </c>
      <c r="N277" s="11">
        <f t="shared" si="33"/>
        <v>2.4999999877763912E-3</v>
      </c>
      <c r="O277" s="11">
        <f t="shared" si="34"/>
        <v>2.7777777795563452E-3</v>
      </c>
      <c r="P277" s="11">
        <f t="shared" si="35"/>
        <v>1.8715277779847383E-2</v>
      </c>
      <c r="Q277" s="11">
        <f t="shared" si="36"/>
        <v>3.7037036963738501E-3</v>
      </c>
      <c r="R277" s="11">
        <f t="shared" si="37"/>
        <v>1.9039351849642117E-2</v>
      </c>
      <c r="S277" s="11">
        <f t="shared" si="38"/>
        <v>4.4236111105419695E-2</v>
      </c>
      <c r="T277" s="11">
        <f t="shared" si="39"/>
        <v>4.6736111093196087E-2</v>
      </c>
    </row>
    <row r="278" spans="1:20" x14ac:dyDescent="0.25">
      <c r="A278" s="3" t="s">
        <v>418</v>
      </c>
      <c r="B278" s="9">
        <v>222.8</v>
      </c>
      <c r="C278" s="3" t="s">
        <v>139</v>
      </c>
      <c r="D278" s="10">
        <v>45685.37877314815</v>
      </c>
      <c r="E278" s="10">
        <v>45685.37877314815</v>
      </c>
      <c r="F278" s="10">
        <v>45685.380879629629</v>
      </c>
      <c r="G278" s="10">
        <v>45685.380879629629</v>
      </c>
      <c r="H278" s="10">
        <v>45685.383657407408</v>
      </c>
      <c r="I278" s="10">
        <v>45685.38652777778</v>
      </c>
      <c r="J278" s="10">
        <v>45685.38652777778</v>
      </c>
      <c r="K278" s="10">
        <v>45685.387395833342</v>
      </c>
      <c r="L278" s="10">
        <v>45685.391712962963</v>
      </c>
      <c r="M278" s="11">
        <f t="shared" si="32"/>
        <v>0</v>
      </c>
      <c r="N278" s="11">
        <f t="shared" si="33"/>
        <v>2.1064814791316167E-3</v>
      </c>
      <c r="O278" s="11">
        <f t="shared" si="34"/>
        <v>2.7777777795563452E-3</v>
      </c>
      <c r="P278" s="11">
        <f t="shared" si="35"/>
        <v>2.8703703719656914E-3</v>
      </c>
      <c r="Q278" s="11">
        <f t="shared" si="36"/>
        <v>8.6805556202307343E-4</v>
      </c>
      <c r="R278" s="11">
        <f t="shared" si="37"/>
        <v>4.3171296201762743E-3</v>
      </c>
      <c r="S278" s="11">
        <f t="shared" si="38"/>
        <v>1.0833333333721384E-2</v>
      </c>
      <c r="T278" s="11">
        <f t="shared" si="39"/>
        <v>1.2939814812853001E-2</v>
      </c>
    </row>
    <row r="279" spans="1:20" x14ac:dyDescent="0.25">
      <c r="A279" s="3" t="s">
        <v>419</v>
      </c>
      <c r="B279" s="9">
        <v>273.02</v>
      </c>
      <c r="C279" s="3" t="s">
        <v>139</v>
      </c>
      <c r="D279" s="10">
        <v>45685.437291666669</v>
      </c>
      <c r="E279" s="10">
        <v>45685.437291666669</v>
      </c>
      <c r="F279" s="10">
        <v>45685.439513888887</v>
      </c>
      <c r="G279" s="10">
        <v>45685.439513888887</v>
      </c>
      <c r="H279" s="10">
        <v>45685.442291666674</v>
      </c>
      <c r="I279" s="10">
        <v>45685.446817129632</v>
      </c>
      <c r="J279" s="10">
        <v>45685.446817129632</v>
      </c>
      <c r="K279" s="10">
        <v>45685.447581018518</v>
      </c>
      <c r="L279" s="10">
        <v>45685.453692129631</v>
      </c>
      <c r="M279" s="11">
        <f t="shared" si="32"/>
        <v>0</v>
      </c>
      <c r="N279" s="11">
        <f t="shared" si="33"/>
        <v>2.2222222178243101E-3</v>
      </c>
      <c r="O279" s="11">
        <f t="shared" si="34"/>
        <v>2.7777777868323028E-3</v>
      </c>
      <c r="P279" s="11">
        <f t="shared" si="35"/>
        <v>4.5254629585542716E-3</v>
      </c>
      <c r="Q279" s="11">
        <f t="shared" si="36"/>
        <v>7.6388888555811718E-4</v>
      </c>
      <c r="R279" s="11">
        <f t="shared" si="37"/>
        <v>6.1111111135687679E-3</v>
      </c>
      <c r="S279" s="11">
        <f t="shared" si="38"/>
        <v>1.417824074451346E-2</v>
      </c>
      <c r="T279" s="11">
        <f t="shared" si="39"/>
        <v>1.640046296233777E-2</v>
      </c>
    </row>
    <row r="280" spans="1:20" x14ac:dyDescent="0.25">
      <c r="A280" s="3" t="s">
        <v>420</v>
      </c>
      <c r="B280" s="9">
        <v>291.89999999999998</v>
      </c>
      <c r="C280" s="3" t="s">
        <v>139</v>
      </c>
      <c r="D280" s="10">
        <v>45685.538668981477</v>
      </c>
      <c r="E280" s="10">
        <v>45685.538668981477</v>
      </c>
      <c r="F280" s="10">
        <v>45685.540937500002</v>
      </c>
      <c r="G280" s="10">
        <v>45685.540937500002</v>
      </c>
      <c r="H280" s="10">
        <v>45685.543715277781</v>
      </c>
      <c r="I280" s="10">
        <v>45685.545844907407</v>
      </c>
      <c r="J280" s="10">
        <v>45685.545844907407</v>
      </c>
      <c r="K280" s="10">
        <v>45685.546712962961</v>
      </c>
      <c r="L280" s="10">
        <v>45685.548518518517</v>
      </c>
      <c r="M280" s="11">
        <f t="shared" si="32"/>
        <v>0</v>
      </c>
      <c r="N280" s="11">
        <f t="shared" si="33"/>
        <v>2.2685185249429196E-3</v>
      </c>
      <c r="O280" s="11">
        <f t="shared" si="34"/>
        <v>2.7777777795563452E-3</v>
      </c>
      <c r="P280" s="11">
        <f t="shared" si="35"/>
        <v>2.1296296254149638E-3</v>
      </c>
      <c r="Q280" s="11">
        <f t="shared" si="36"/>
        <v>8.6805555474711582E-4</v>
      </c>
      <c r="R280" s="11">
        <f t="shared" si="37"/>
        <v>1.8055555556202307E-3</v>
      </c>
      <c r="S280" s="11">
        <f t="shared" si="38"/>
        <v>7.5810185153386556E-3</v>
      </c>
      <c r="T280" s="11">
        <f t="shared" si="39"/>
        <v>9.8495370402815752E-3</v>
      </c>
    </row>
    <row r="281" spans="1:20" x14ac:dyDescent="0.25">
      <c r="A281" s="3" t="s">
        <v>421</v>
      </c>
      <c r="B281" s="9">
        <v>389.80000000000013</v>
      </c>
      <c r="C281" s="3" t="s">
        <v>139</v>
      </c>
      <c r="D281" s="10">
        <v>45685.593784722223</v>
      </c>
      <c r="E281" s="10">
        <v>45685.593784722223</v>
      </c>
      <c r="F281" s="10">
        <v>45685.596273148149</v>
      </c>
      <c r="G281" s="10">
        <v>45685.596273148149</v>
      </c>
      <c r="H281" s="10">
        <v>45685.599050925928</v>
      </c>
      <c r="I281" s="10">
        <v>45685.602337962962</v>
      </c>
      <c r="J281" s="10">
        <v>45685.602337962962</v>
      </c>
      <c r="K281" s="10">
        <v>45685.603101851862</v>
      </c>
      <c r="L281" s="10">
        <v>45685.605995370373</v>
      </c>
      <c r="M281" s="11">
        <f t="shared" si="32"/>
        <v>0</v>
      </c>
      <c r="N281" s="11">
        <f t="shared" si="33"/>
        <v>2.488425925548654E-3</v>
      </c>
      <c r="O281" s="11">
        <f t="shared" si="34"/>
        <v>2.7777777795563452E-3</v>
      </c>
      <c r="P281" s="11">
        <f t="shared" si="35"/>
        <v>3.2870370341697708E-3</v>
      </c>
      <c r="Q281" s="11">
        <f t="shared" si="36"/>
        <v>7.6388890011003241E-4</v>
      </c>
      <c r="R281" s="11">
        <f t="shared" si="37"/>
        <v>2.893518510973081E-3</v>
      </c>
      <c r="S281" s="11">
        <f t="shared" si="38"/>
        <v>9.7222222248092294E-3</v>
      </c>
      <c r="T281" s="11">
        <f t="shared" si="39"/>
        <v>1.2210648150357883E-2</v>
      </c>
    </row>
    <row r="282" spans="1:20" x14ac:dyDescent="0.25">
      <c r="A282" s="3" t="s">
        <v>422</v>
      </c>
      <c r="B282" s="9">
        <v>558.12</v>
      </c>
      <c r="C282" s="3" t="s">
        <v>142</v>
      </c>
      <c r="D282" s="10">
        <v>45685.600902777784</v>
      </c>
      <c r="E282" s="10">
        <v>45685.600902777784</v>
      </c>
      <c r="F282" s="10">
        <v>45685.603344907409</v>
      </c>
      <c r="G282" s="10">
        <v>45685.603344907409</v>
      </c>
      <c r="H282" s="10">
        <v>45685.606122685182</v>
      </c>
      <c r="I282" s="10">
        <v>45685.619722222233</v>
      </c>
      <c r="J282" s="10">
        <v>45685.619722222233</v>
      </c>
      <c r="K282" s="10">
        <v>45685.620486111111</v>
      </c>
      <c r="L282" s="10">
        <v>45685.632233796299</v>
      </c>
      <c r="M282" s="11">
        <f t="shared" si="32"/>
        <v>0</v>
      </c>
      <c r="N282" s="11">
        <f t="shared" si="33"/>
        <v>2.4421296257060021E-3</v>
      </c>
      <c r="O282" s="11">
        <f t="shared" si="34"/>
        <v>2.7777777722803876E-3</v>
      </c>
      <c r="P282" s="11">
        <f t="shared" si="35"/>
        <v>1.3599537051049992E-2</v>
      </c>
      <c r="Q282" s="11">
        <f t="shared" si="36"/>
        <v>7.6388887828215957E-4</v>
      </c>
      <c r="R282" s="11">
        <f t="shared" si="37"/>
        <v>1.1747685188311152E-2</v>
      </c>
      <c r="S282" s="11">
        <f t="shared" si="38"/>
        <v>2.8888888889923692E-2</v>
      </c>
      <c r="T282" s="11">
        <f t="shared" si="39"/>
        <v>3.1331018515629694E-2</v>
      </c>
    </row>
    <row r="283" spans="1:20" x14ac:dyDescent="0.25">
      <c r="A283" s="3" t="s">
        <v>423</v>
      </c>
      <c r="B283" s="9">
        <v>31.48</v>
      </c>
      <c r="C283" s="3" t="s">
        <v>164</v>
      </c>
      <c r="D283" s="10">
        <v>45685.64644675926</v>
      </c>
      <c r="E283" s="10">
        <v>45685.64644675926</v>
      </c>
      <c r="F283" s="10">
        <v>45685.647731481477</v>
      </c>
      <c r="G283" s="10">
        <v>45685.647731481477</v>
      </c>
      <c r="H283" s="10">
        <v>45685.650509259263</v>
      </c>
      <c r="I283" s="10">
        <v>45685.650763888887</v>
      </c>
      <c r="J283" s="10">
        <v>45685.650763888887</v>
      </c>
      <c r="K283" s="10">
        <v>45685.651631944442</v>
      </c>
      <c r="L283" s="10">
        <v>45685.651631944442</v>
      </c>
      <c r="M283" s="11">
        <f t="shared" si="32"/>
        <v>0</v>
      </c>
      <c r="N283" s="11">
        <f t="shared" si="33"/>
        <v>1.2847222169511952E-3</v>
      </c>
      <c r="O283" s="11">
        <f t="shared" si="34"/>
        <v>2.7777777868323028E-3</v>
      </c>
      <c r="P283" s="11">
        <f t="shared" si="35"/>
        <v>2.5462962366873398E-4</v>
      </c>
      <c r="Q283" s="11">
        <f t="shared" si="36"/>
        <v>8.6805555474711582E-4</v>
      </c>
      <c r="R283" s="11">
        <f t="shared" si="37"/>
        <v>0</v>
      </c>
      <c r="S283" s="11">
        <f t="shared" si="38"/>
        <v>3.9004629652481526E-3</v>
      </c>
      <c r="T283" s="11">
        <f t="shared" si="39"/>
        <v>5.1851851821993478E-3</v>
      </c>
    </row>
    <row r="284" spans="1:20" x14ac:dyDescent="0.25">
      <c r="A284" s="3" t="s">
        <v>424</v>
      </c>
      <c r="B284" s="9">
        <v>232.68</v>
      </c>
      <c r="C284" s="3" t="s">
        <v>139</v>
      </c>
      <c r="D284" s="10">
        <v>45685.811574074083</v>
      </c>
      <c r="E284" s="10">
        <v>45685.811574074083</v>
      </c>
      <c r="F284" s="10">
        <v>45685.813703703701</v>
      </c>
      <c r="G284" s="10">
        <v>45685.813703703701</v>
      </c>
      <c r="H284" s="10">
        <v>45685.816481481481</v>
      </c>
      <c r="I284" s="10">
        <v>45685.818298611113</v>
      </c>
      <c r="J284" s="10">
        <v>45685.818298611113</v>
      </c>
      <c r="K284" s="10">
        <v>45685.819166666668</v>
      </c>
      <c r="L284" s="10">
        <v>45685.821388888893</v>
      </c>
      <c r="M284" s="11">
        <f t="shared" si="32"/>
        <v>0</v>
      </c>
      <c r="N284" s="11">
        <f t="shared" si="33"/>
        <v>2.1296296181390062E-3</v>
      </c>
      <c r="O284" s="11">
        <f t="shared" si="34"/>
        <v>2.7777777795563452E-3</v>
      </c>
      <c r="P284" s="11">
        <f t="shared" si="35"/>
        <v>1.8171296323998831E-3</v>
      </c>
      <c r="Q284" s="11">
        <f t="shared" si="36"/>
        <v>8.6805555474711582E-4</v>
      </c>
      <c r="R284" s="11">
        <f t="shared" si="37"/>
        <v>2.2222222251002677E-3</v>
      </c>
      <c r="S284" s="11">
        <f t="shared" si="38"/>
        <v>7.6851851918036118E-3</v>
      </c>
      <c r="T284" s="11">
        <f t="shared" si="39"/>
        <v>9.814814809942618E-3</v>
      </c>
    </row>
    <row r="285" spans="1:20" x14ac:dyDescent="0.25">
      <c r="A285" s="3" t="s">
        <v>425</v>
      </c>
      <c r="B285" s="9">
        <v>397.30000000000013</v>
      </c>
      <c r="C285" s="3" t="s">
        <v>139</v>
      </c>
      <c r="D285" s="10">
        <v>45685.874062499999</v>
      </c>
      <c r="E285" s="10">
        <v>45685.874062499999</v>
      </c>
      <c r="F285" s="10">
        <v>45685.876574074071</v>
      </c>
      <c r="G285" s="10">
        <v>45685.876574074071</v>
      </c>
      <c r="H285" s="10">
        <v>45685.879351851851</v>
      </c>
      <c r="I285" s="10">
        <v>45685.882465277777</v>
      </c>
      <c r="J285" s="10">
        <v>45685.882465277777</v>
      </c>
      <c r="K285" s="10">
        <v>45685.883344907408</v>
      </c>
      <c r="L285" s="10">
        <v>45685.885613425933</v>
      </c>
      <c r="M285" s="11">
        <f t="shared" si="32"/>
        <v>0</v>
      </c>
      <c r="N285" s="11">
        <f t="shared" si="33"/>
        <v>2.5115740718320012E-3</v>
      </c>
      <c r="O285" s="11">
        <f t="shared" si="34"/>
        <v>2.7777777795563452E-3</v>
      </c>
      <c r="P285" s="11">
        <f t="shared" si="35"/>
        <v>3.1134259261307307E-3</v>
      </c>
      <c r="Q285" s="11">
        <f t="shared" si="36"/>
        <v>8.7962963152676821E-4</v>
      </c>
      <c r="R285" s="11">
        <f t="shared" si="37"/>
        <v>2.2685185249429196E-3</v>
      </c>
      <c r="S285" s="11">
        <f t="shared" si="38"/>
        <v>9.0393518621567637E-3</v>
      </c>
      <c r="T285" s="11">
        <f t="shared" si="39"/>
        <v>1.1550925933988765E-2</v>
      </c>
    </row>
    <row r="286" spans="1:20" x14ac:dyDescent="0.25">
      <c r="A286" s="3" t="s">
        <v>426</v>
      </c>
      <c r="B286" s="9">
        <v>260.32</v>
      </c>
      <c r="C286" s="3" t="s">
        <v>139</v>
      </c>
      <c r="D286" s="10">
        <v>45686.113530092603</v>
      </c>
      <c r="E286" s="10">
        <v>45686.113530092603</v>
      </c>
      <c r="F286" s="10">
        <v>45686.115717592591</v>
      </c>
      <c r="G286" s="10">
        <v>45686.115717592591</v>
      </c>
      <c r="H286" s="10">
        <v>45686.118495370371</v>
      </c>
      <c r="I286" s="10">
        <v>45686.123553240737</v>
      </c>
      <c r="J286" s="10">
        <v>45686.123553240737</v>
      </c>
      <c r="K286" s="10">
        <v>45686.124421296299</v>
      </c>
      <c r="L286" s="10">
        <v>45686.13181712963</v>
      </c>
      <c r="M286" s="11">
        <f t="shared" si="32"/>
        <v>0</v>
      </c>
      <c r="N286" s="11">
        <f t="shared" si="33"/>
        <v>2.1874999874853529E-3</v>
      </c>
      <c r="O286" s="11">
        <f t="shared" si="34"/>
        <v>2.7777777795563452E-3</v>
      </c>
      <c r="P286" s="11">
        <f t="shared" si="35"/>
        <v>5.057870366727002E-3</v>
      </c>
      <c r="Q286" s="11">
        <f t="shared" si="36"/>
        <v>8.6805556202307343E-4</v>
      </c>
      <c r="R286" s="11">
        <f t="shared" si="37"/>
        <v>7.3958333305199631E-3</v>
      </c>
      <c r="S286" s="11">
        <f t="shared" si="38"/>
        <v>1.6099537038826384E-2</v>
      </c>
      <c r="T286" s="11">
        <f t="shared" si="39"/>
        <v>1.8287037026311737E-2</v>
      </c>
    </row>
    <row r="287" spans="1:20" x14ac:dyDescent="0.25">
      <c r="A287" s="3" t="s">
        <v>427</v>
      </c>
      <c r="B287" s="9">
        <v>106.9</v>
      </c>
      <c r="C287" s="3" t="s">
        <v>139</v>
      </c>
      <c r="D287" s="10">
        <v>45686.179548611108</v>
      </c>
      <c r="E287" s="10">
        <v>45686.179548611108</v>
      </c>
      <c r="F287" s="10">
        <v>45686.181388888886</v>
      </c>
      <c r="G287" s="10">
        <v>45686.181388888886</v>
      </c>
      <c r="H287" s="10">
        <v>45686.184166666673</v>
      </c>
      <c r="I287" s="10">
        <v>45686.184999999998</v>
      </c>
      <c r="J287" s="10">
        <v>45686.184999999998</v>
      </c>
      <c r="K287" s="10">
        <v>45686.185879629629</v>
      </c>
      <c r="L287" s="10">
        <v>45686.187372685177</v>
      </c>
      <c r="M287" s="11">
        <f t="shared" si="32"/>
        <v>0</v>
      </c>
      <c r="N287" s="11">
        <f t="shared" si="33"/>
        <v>1.8402777786832303E-3</v>
      </c>
      <c r="O287" s="11">
        <f t="shared" si="34"/>
        <v>2.7777777868323028E-3</v>
      </c>
      <c r="P287" s="11">
        <f t="shared" si="35"/>
        <v>8.3333332440815866E-4</v>
      </c>
      <c r="Q287" s="11">
        <f t="shared" si="36"/>
        <v>8.7962963152676821E-4</v>
      </c>
      <c r="R287" s="11">
        <f t="shared" si="37"/>
        <v>1.4930555480532348E-3</v>
      </c>
      <c r="S287" s="11">
        <f t="shared" si="38"/>
        <v>5.9837962908204645E-3</v>
      </c>
      <c r="T287" s="11">
        <f t="shared" si="39"/>
        <v>7.8240740695036948E-3</v>
      </c>
    </row>
    <row r="288" spans="1:20" x14ac:dyDescent="0.25">
      <c r="A288" s="3" t="s">
        <v>428</v>
      </c>
      <c r="B288" s="9">
        <v>297</v>
      </c>
      <c r="C288" s="3" t="s">
        <v>139</v>
      </c>
      <c r="D288" s="10">
        <v>45686.260104166657</v>
      </c>
      <c r="E288" s="10">
        <v>45686.260104166657</v>
      </c>
      <c r="F288" s="10">
        <v>45686.262384259258</v>
      </c>
      <c r="G288" s="10">
        <v>45686.262384259258</v>
      </c>
      <c r="H288" s="10">
        <v>45686.265162037038</v>
      </c>
      <c r="I288" s="10">
        <v>45686.267476851863</v>
      </c>
      <c r="J288" s="10">
        <v>45686.267476851863</v>
      </c>
      <c r="K288" s="10">
        <v>45686.26834490741</v>
      </c>
      <c r="L288" s="10">
        <v>45686.270613425928</v>
      </c>
      <c r="M288" s="11">
        <f t="shared" si="32"/>
        <v>0</v>
      </c>
      <c r="N288" s="11">
        <f t="shared" si="33"/>
        <v>2.280092601722572E-3</v>
      </c>
      <c r="O288" s="11">
        <f t="shared" si="34"/>
        <v>2.7777777795563452E-3</v>
      </c>
      <c r="P288" s="11">
        <f t="shared" si="35"/>
        <v>2.3148148247855715E-3</v>
      </c>
      <c r="Q288" s="11">
        <f t="shared" si="36"/>
        <v>8.6805554747115821E-4</v>
      </c>
      <c r="R288" s="11">
        <f t="shared" si="37"/>
        <v>2.268518517666962E-3</v>
      </c>
      <c r="S288" s="11">
        <f t="shared" si="38"/>
        <v>8.2291666694800369E-3</v>
      </c>
      <c r="T288" s="11">
        <f t="shared" si="39"/>
        <v>1.0509259271202609E-2</v>
      </c>
    </row>
    <row r="289" spans="1:20" x14ac:dyDescent="0.25">
      <c r="A289" s="3" t="s">
        <v>429</v>
      </c>
      <c r="B289" s="9">
        <v>397.30000000000013</v>
      </c>
      <c r="C289" s="3" t="s">
        <v>139</v>
      </c>
      <c r="D289" s="10">
        <v>45686.302986111114</v>
      </c>
      <c r="E289" s="10">
        <v>45686.302986111114</v>
      </c>
      <c r="F289" s="10">
        <v>45686.305497685193</v>
      </c>
      <c r="G289" s="10">
        <v>45686.305497685193</v>
      </c>
      <c r="H289" s="10">
        <v>45686.308275462958</v>
      </c>
      <c r="I289" s="10">
        <v>45686.311388888891</v>
      </c>
      <c r="J289" s="10">
        <v>45686.311388888891</v>
      </c>
      <c r="K289" s="10">
        <v>45686.312268518523</v>
      </c>
      <c r="L289" s="10">
        <v>45686.315104166657</v>
      </c>
      <c r="M289" s="11">
        <f t="shared" si="32"/>
        <v>0</v>
      </c>
      <c r="N289" s="11">
        <f t="shared" si="33"/>
        <v>2.5115740791079588E-3</v>
      </c>
      <c r="O289" s="11">
        <f t="shared" si="34"/>
        <v>2.77777776500443E-3</v>
      </c>
      <c r="P289" s="11">
        <f t="shared" si="35"/>
        <v>3.1134259334066883E-3</v>
      </c>
      <c r="Q289" s="11">
        <f t="shared" si="36"/>
        <v>8.7962963152676821E-4</v>
      </c>
      <c r="R289" s="11">
        <f t="shared" si="37"/>
        <v>2.8356481343507767E-3</v>
      </c>
      <c r="S289" s="11">
        <f t="shared" si="38"/>
        <v>9.6064814642886631E-3</v>
      </c>
      <c r="T289" s="11">
        <f t="shared" si="39"/>
        <v>1.2118055543396622E-2</v>
      </c>
    </row>
    <row r="290" spans="1:20" x14ac:dyDescent="0.25">
      <c r="A290" s="3" t="s">
        <v>430</v>
      </c>
      <c r="B290" s="9">
        <v>129.34</v>
      </c>
      <c r="C290" s="3" t="s">
        <v>142</v>
      </c>
      <c r="D290" s="10">
        <v>45686.312106481477</v>
      </c>
      <c r="E290" s="10">
        <v>45686.312106481477</v>
      </c>
      <c r="F290" s="10">
        <v>45686.31355324074</v>
      </c>
      <c r="G290" s="10">
        <v>45686.31355324074</v>
      </c>
      <c r="H290" s="10">
        <v>45686.316331018519</v>
      </c>
      <c r="I290" s="10">
        <v>45686.317349537043</v>
      </c>
      <c r="J290" s="10">
        <v>45686.317349537043</v>
      </c>
      <c r="K290" s="10">
        <v>45686.318229166667</v>
      </c>
      <c r="L290" s="10">
        <v>45686.320381944453</v>
      </c>
      <c r="M290" s="11">
        <f t="shared" si="32"/>
        <v>0</v>
      </c>
      <c r="N290" s="11">
        <f t="shared" si="33"/>
        <v>1.4467592627624981E-3</v>
      </c>
      <c r="O290" s="11">
        <f t="shared" si="34"/>
        <v>2.7777777795563452E-3</v>
      </c>
      <c r="P290" s="11">
        <f t="shared" si="35"/>
        <v>1.0185185237787664E-3</v>
      </c>
      <c r="Q290" s="11">
        <f t="shared" si="36"/>
        <v>8.7962962425081059E-4</v>
      </c>
      <c r="R290" s="11">
        <f t="shared" si="37"/>
        <v>2.1527777862502262E-3</v>
      </c>
      <c r="S290" s="11">
        <f t="shared" si="38"/>
        <v>6.8287037138361484E-3</v>
      </c>
      <c r="T290" s="11">
        <f t="shared" si="39"/>
        <v>8.2754629765986465E-3</v>
      </c>
    </row>
    <row r="291" spans="1:20" x14ac:dyDescent="0.25">
      <c r="A291" s="3" t="s">
        <v>431</v>
      </c>
      <c r="B291" s="9">
        <v>79.5</v>
      </c>
      <c r="C291" s="3" t="s">
        <v>139</v>
      </c>
      <c r="D291" s="10">
        <v>45686.346250000002</v>
      </c>
      <c r="E291" s="10">
        <v>45686.346250000002</v>
      </c>
      <c r="F291" s="10">
        <v>45686.348020833328</v>
      </c>
      <c r="G291" s="10">
        <v>45686.348020833328</v>
      </c>
      <c r="H291" s="10">
        <v>45686.350798611107</v>
      </c>
      <c r="I291" s="10">
        <v>45686.352418981478</v>
      </c>
      <c r="J291" s="10">
        <v>45686.352418981478</v>
      </c>
      <c r="K291" s="10">
        <v>45686.353298611109</v>
      </c>
      <c r="L291" s="10">
        <v>45686.356527777767</v>
      </c>
      <c r="M291" s="11">
        <f t="shared" si="32"/>
        <v>0</v>
      </c>
      <c r="N291" s="11">
        <f t="shared" si="33"/>
        <v>1.7708333252812736E-3</v>
      </c>
      <c r="O291" s="11">
        <f t="shared" si="34"/>
        <v>2.7777777795563452E-3</v>
      </c>
      <c r="P291" s="11">
        <f t="shared" si="35"/>
        <v>1.6203703708015382E-3</v>
      </c>
      <c r="Q291" s="11">
        <f t="shared" si="36"/>
        <v>8.7962963152676821E-4</v>
      </c>
      <c r="R291" s="11">
        <f t="shared" si="37"/>
        <v>3.2291666575474665E-3</v>
      </c>
      <c r="S291" s="11">
        <f t="shared" si="38"/>
        <v>8.5069444394321181E-3</v>
      </c>
      <c r="T291" s="11">
        <f t="shared" si="39"/>
        <v>1.0277777764713392E-2</v>
      </c>
    </row>
    <row r="292" spans="1:20" x14ac:dyDescent="0.25">
      <c r="A292" s="3" t="s">
        <v>432</v>
      </c>
      <c r="B292" s="9">
        <v>436</v>
      </c>
      <c r="C292" s="3" t="s">
        <v>139</v>
      </c>
      <c r="D292" s="10">
        <v>45686.37605324074</v>
      </c>
      <c r="E292" s="10">
        <v>45686.37605324074</v>
      </c>
      <c r="F292" s="10">
        <v>45686.378657407397</v>
      </c>
      <c r="G292" s="10">
        <v>45686.378657407397</v>
      </c>
      <c r="H292" s="10">
        <v>45686.381435185183</v>
      </c>
      <c r="I292" s="10">
        <v>45686.394270833327</v>
      </c>
      <c r="J292" s="10">
        <v>45686.394270833327</v>
      </c>
      <c r="K292" s="10">
        <v>45686.395138888889</v>
      </c>
      <c r="L292" s="10">
        <v>45686.407349537039</v>
      </c>
      <c r="M292" s="11">
        <f t="shared" si="32"/>
        <v>0</v>
      </c>
      <c r="N292" s="11">
        <f t="shared" si="33"/>
        <v>2.6041666569653898E-3</v>
      </c>
      <c r="O292" s="11">
        <f t="shared" si="34"/>
        <v>2.7777777868323028E-3</v>
      </c>
      <c r="P292" s="11">
        <f t="shared" si="35"/>
        <v>1.2835648143664002E-2</v>
      </c>
      <c r="Q292" s="11">
        <f t="shared" si="36"/>
        <v>8.6805556202307343E-4</v>
      </c>
      <c r="R292" s="11">
        <f t="shared" si="37"/>
        <v>1.2210648150357883E-2</v>
      </c>
      <c r="S292" s="11">
        <f t="shared" si="38"/>
        <v>2.8692129642877262E-2</v>
      </c>
      <c r="T292" s="11">
        <f t="shared" si="39"/>
        <v>3.1296296299842652E-2</v>
      </c>
    </row>
    <row r="293" spans="1:20" x14ac:dyDescent="0.25">
      <c r="A293" s="3" t="s">
        <v>433</v>
      </c>
      <c r="B293" s="9">
        <v>241.3</v>
      </c>
      <c r="C293" s="3" t="s">
        <v>139</v>
      </c>
      <c r="D293" s="10">
        <v>45686.437384259261</v>
      </c>
      <c r="E293" s="10">
        <v>45686.437384259261</v>
      </c>
      <c r="F293" s="10">
        <v>45686.43953703704</v>
      </c>
      <c r="G293" s="10">
        <v>45686.43953703704</v>
      </c>
      <c r="H293" s="10">
        <v>45686.442314814813</v>
      </c>
      <c r="I293" s="10">
        <v>45686.445173611108</v>
      </c>
      <c r="J293" s="10">
        <v>45686.445173611108</v>
      </c>
      <c r="K293" s="10">
        <v>45686.446053240739</v>
      </c>
      <c r="L293" s="10">
        <v>45686.449652777781</v>
      </c>
      <c r="M293" s="11">
        <f t="shared" si="32"/>
        <v>0</v>
      </c>
      <c r="N293" s="11">
        <f t="shared" si="33"/>
        <v>2.1527777789742686E-3</v>
      </c>
      <c r="O293" s="11">
        <f t="shared" si="34"/>
        <v>2.7777777722803876E-3</v>
      </c>
      <c r="P293" s="11">
        <f t="shared" si="35"/>
        <v>2.8587962951860391E-3</v>
      </c>
      <c r="Q293" s="11">
        <f t="shared" si="36"/>
        <v>8.7962963152676821E-4</v>
      </c>
      <c r="R293" s="11">
        <f t="shared" si="37"/>
        <v>3.5995370417367667E-3</v>
      </c>
      <c r="S293" s="11">
        <f t="shared" si="38"/>
        <v>1.0115740740729962E-2</v>
      </c>
      <c r="T293" s="11">
        <f t="shared" si="39"/>
        <v>1.226851851970423E-2</v>
      </c>
    </row>
    <row r="294" spans="1:20" x14ac:dyDescent="0.25">
      <c r="A294" s="3" t="s">
        <v>434</v>
      </c>
      <c r="B294" s="9">
        <v>259.66000000000003</v>
      </c>
      <c r="C294" s="3" t="s">
        <v>139</v>
      </c>
      <c r="D294" s="10">
        <v>45686.544652777768</v>
      </c>
      <c r="E294" s="10">
        <v>45686.544652777768</v>
      </c>
      <c r="F294" s="10">
        <v>45686.546840277777</v>
      </c>
      <c r="G294" s="10">
        <v>45686.546840277777</v>
      </c>
      <c r="H294" s="10">
        <v>45686.549618055556</v>
      </c>
      <c r="I294" s="10">
        <v>45686.551689814813</v>
      </c>
      <c r="J294" s="10">
        <v>45686.551689814813</v>
      </c>
      <c r="K294" s="10">
        <v>45686.552557870367</v>
      </c>
      <c r="L294" s="10">
        <v>45686.554282407407</v>
      </c>
      <c r="M294" s="11">
        <f t="shared" si="32"/>
        <v>0</v>
      </c>
      <c r="N294" s="11">
        <f t="shared" si="33"/>
        <v>2.1875000093132257E-3</v>
      </c>
      <c r="O294" s="11">
        <f t="shared" si="34"/>
        <v>2.7777777795563452E-3</v>
      </c>
      <c r="P294" s="11">
        <f t="shared" si="35"/>
        <v>2.0717592560686171E-3</v>
      </c>
      <c r="Q294" s="11">
        <f t="shared" si="36"/>
        <v>8.6805555474711582E-4</v>
      </c>
      <c r="R294" s="11">
        <f t="shared" si="37"/>
        <v>1.7245370399905369E-3</v>
      </c>
      <c r="S294" s="11">
        <f t="shared" si="38"/>
        <v>7.442129630362615E-3</v>
      </c>
      <c r="T294" s="11">
        <f t="shared" si="39"/>
        <v>9.6296296396758407E-3</v>
      </c>
    </row>
    <row r="295" spans="1:20" x14ac:dyDescent="0.25">
      <c r="A295" s="3" t="s">
        <v>435</v>
      </c>
      <c r="B295" s="9">
        <v>398.04000000000008</v>
      </c>
      <c r="C295" s="3" t="s">
        <v>139</v>
      </c>
      <c r="D295" s="10">
        <v>45686.603356481479</v>
      </c>
      <c r="E295" s="10">
        <v>45686.603356481479</v>
      </c>
      <c r="F295" s="10">
        <v>45686.605868055558</v>
      </c>
      <c r="G295" s="10">
        <v>45686.605868055558</v>
      </c>
      <c r="H295" s="10">
        <v>45686.60864583333</v>
      </c>
      <c r="I295" s="10">
        <v>45686.611701388887</v>
      </c>
      <c r="J295" s="10">
        <v>45686.611701388887</v>
      </c>
      <c r="K295" s="10">
        <v>45686.612581018519</v>
      </c>
      <c r="L295" s="10">
        <v>45686.614629629628</v>
      </c>
      <c r="M295" s="11">
        <f t="shared" si="32"/>
        <v>0</v>
      </c>
      <c r="N295" s="11">
        <f t="shared" si="33"/>
        <v>2.5115740791079588E-3</v>
      </c>
      <c r="O295" s="11">
        <f t="shared" si="34"/>
        <v>2.7777777722803876E-3</v>
      </c>
      <c r="P295" s="11">
        <f t="shared" si="35"/>
        <v>3.055555556784384E-3</v>
      </c>
      <c r="Q295" s="11">
        <f t="shared" si="36"/>
        <v>8.7962963152676821E-4</v>
      </c>
      <c r="R295" s="11">
        <f t="shared" si="37"/>
        <v>2.0486111097852699E-3</v>
      </c>
      <c r="S295" s="11">
        <f t="shared" si="38"/>
        <v>8.7615740703768097E-3</v>
      </c>
      <c r="T295" s="11">
        <f t="shared" si="39"/>
        <v>1.1273148149484769E-2</v>
      </c>
    </row>
    <row r="296" spans="1:20" x14ac:dyDescent="0.25">
      <c r="A296" s="3" t="s">
        <v>436</v>
      </c>
      <c r="B296" s="9">
        <v>504.14</v>
      </c>
      <c r="C296" s="3" t="s">
        <v>139</v>
      </c>
      <c r="D296" s="10">
        <v>45686.617928240739</v>
      </c>
      <c r="E296" s="10">
        <v>45686.617928240739</v>
      </c>
      <c r="F296" s="10">
        <v>45686.620682870373</v>
      </c>
      <c r="G296" s="10">
        <v>45686.620682870373</v>
      </c>
      <c r="H296" s="10">
        <v>45686.623460648138</v>
      </c>
      <c r="I296" s="10">
        <v>45686.63789351852</v>
      </c>
      <c r="J296" s="10">
        <v>45686.63789351852</v>
      </c>
      <c r="K296" s="10">
        <v>45686.638761574082</v>
      </c>
      <c r="L296" s="10">
        <v>45686.654722222222</v>
      </c>
      <c r="M296" s="11">
        <f t="shared" si="32"/>
        <v>0</v>
      </c>
      <c r="N296" s="11">
        <f t="shared" si="33"/>
        <v>2.754629633272998E-3</v>
      </c>
      <c r="O296" s="11">
        <f t="shared" si="34"/>
        <v>2.77777776500443E-3</v>
      </c>
      <c r="P296" s="11">
        <f t="shared" si="35"/>
        <v>1.4432870382734109E-2</v>
      </c>
      <c r="Q296" s="11">
        <f t="shared" si="36"/>
        <v>8.6805556202307343E-4</v>
      </c>
      <c r="R296" s="11">
        <f t="shared" si="37"/>
        <v>1.5960648139298428E-2</v>
      </c>
      <c r="S296" s="11">
        <f t="shared" si="38"/>
        <v>3.403935184906004E-2</v>
      </c>
      <c r="T296" s="11">
        <f t="shared" si="39"/>
        <v>3.6793981482333038E-2</v>
      </c>
    </row>
    <row r="297" spans="1:20" x14ac:dyDescent="0.25">
      <c r="A297" s="3" t="s">
        <v>437</v>
      </c>
      <c r="B297" s="9">
        <v>15.74</v>
      </c>
      <c r="C297" s="3" t="s">
        <v>164</v>
      </c>
      <c r="D297" s="10">
        <v>45686.658530092587</v>
      </c>
      <c r="E297" s="10">
        <v>45686.658530092587</v>
      </c>
      <c r="F297" s="10">
        <v>45686.659780092603</v>
      </c>
      <c r="G297" s="10">
        <v>45686.659780092603</v>
      </c>
      <c r="H297" s="10">
        <v>45686.662557870368</v>
      </c>
      <c r="I297" s="10">
        <v>45686.66269675926</v>
      </c>
      <c r="J297" s="10">
        <v>45686.66269675926</v>
      </c>
      <c r="K297" s="10">
        <v>45686.663483796299</v>
      </c>
      <c r="L297" s="10">
        <v>45686.663483796299</v>
      </c>
      <c r="M297" s="11">
        <f t="shared" si="32"/>
        <v>0</v>
      </c>
      <c r="N297" s="11">
        <f t="shared" si="33"/>
        <v>1.2500000157160684E-3</v>
      </c>
      <c r="O297" s="11">
        <f t="shared" si="34"/>
        <v>2.77777776500443E-3</v>
      </c>
      <c r="P297" s="11">
        <f t="shared" si="35"/>
        <v>1.3888889225199819E-4</v>
      </c>
      <c r="Q297" s="11">
        <f t="shared" si="36"/>
        <v>7.8703703911742195E-4</v>
      </c>
      <c r="R297" s="11">
        <f t="shared" si="37"/>
        <v>0</v>
      </c>
      <c r="S297" s="11">
        <f t="shared" si="38"/>
        <v>3.7037036963738501E-3</v>
      </c>
      <c r="T297" s="11">
        <f t="shared" si="39"/>
        <v>4.9537037120899186E-3</v>
      </c>
    </row>
    <row r="298" spans="1:20" x14ac:dyDescent="0.25">
      <c r="A298" s="3" t="s">
        <v>438</v>
      </c>
      <c r="B298" s="9">
        <v>302.12000000000012</v>
      </c>
      <c r="C298" s="3" t="s">
        <v>139</v>
      </c>
      <c r="D298" s="10">
        <v>45686.728506944448</v>
      </c>
      <c r="E298" s="10">
        <v>45686.728506944448</v>
      </c>
      <c r="F298" s="10">
        <v>45686.730798611112</v>
      </c>
      <c r="G298" s="10">
        <v>45686.730798611112</v>
      </c>
      <c r="H298" s="10">
        <v>45686.733576388891</v>
      </c>
      <c r="I298" s="10">
        <v>45686.735798611109</v>
      </c>
      <c r="J298" s="10">
        <v>45686.735798611109</v>
      </c>
      <c r="K298" s="10">
        <v>45686.736666666657</v>
      </c>
      <c r="L298" s="10">
        <v>45686.738495370373</v>
      </c>
      <c r="M298" s="11">
        <f t="shared" si="32"/>
        <v>0</v>
      </c>
      <c r="N298" s="11">
        <f t="shared" si="33"/>
        <v>2.2916666639503092E-3</v>
      </c>
      <c r="O298" s="11">
        <f t="shared" si="34"/>
        <v>2.7777777795563452E-3</v>
      </c>
      <c r="P298" s="11">
        <f t="shared" si="35"/>
        <v>2.2222222178243101E-3</v>
      </c>
      <c r="Q298" s="11">
        <f t="shared" si="36"/>
        <v>8.6805554747115821E-4</v>
      </c>
      <c r="R298" s="11">
        <f t="shared" si="37"/>
        <v>1.8287037164554931E-3</v>
      </c>
      <c r="S298" s="11">
        <f t="shared" si="38"/>
        <v>7.6967592613073066E-3</v>
      </c>
      <c r="T298" s="11">
        <f t="shared" si="39"/>
        <v>9.9884259252576157E-3</v>
      </c>
    </row>
    <row r="299" spans="1:20" x14ac:dyDescent="0.25">
      <c r="A299" s="3" t="s">
        <v>439</v>
      </c>
      <c r="B299" s="9">
        <v>377.42</v>
      </c>
      <c r="C299" s="3" t="s">
        <v>142</v>
      </c>
      <c r="D299" s="10">
        <v>45686.733310185176</v>
      </c>
      <c r="E299" s="10">
        <v>45686.733310185176</v>
      </c>
      <c r="F299" s="10">
        <v>45686.735335648147</v>
      </c>
      <c r="G299" s="10">
        <v>45686.735335648147</v>
      </c>
      <c r="H299" s="10">
        <v>45686.738113425927</v>
      </c>
      <c r="I299" s="10">
        <v>45686.752372685187</v>
      </c>
      <c r="J299" s="10">
        <v>45686.752372685187</v>
      </c>
      <c r="K299" s="10">
        <v>45686.753240740742</v>
      </c>
      <c r="L299" s="10">
        <v>45686.771168981482</v>
      </c>
      <c r="M299" s="11">
        <f t="shared" si="32"/>
        <v>0</v>
      </c>
      <c r="N299" s="11">
        <f t="shared" si="33"/>
        <v>2.0254629707778804E-3</v>
      </c>
      <c r="O299" s="11">
        <f t="shared" si="34"/>
        <v>2.7777777795563452E-3</v>
      </c>
      <c r="P299" s="11">
        <f t="shared" si="35"/>
        <v>1.4259259260143153E-2</v>
      </c>
      <c r="Q299" s="11">
        <f t="shared" si="36"/>
        <v>8.6805555474711582E-4</v>
      </c>
      <c r="R299" s="11">
        <f t="shared" si="37"/>
        <v>1.7928240740729962E-2</v>
      </c>
      <c r="S299" s="11">
        <f t="shared" si="38"/>
        <v>3.5833333335176576E-2</v>
      </c>
      <c r="T299" s="11">
        <f t="shared" si="39"/>
        <v>3.7858796305954456E-2</v>
      </c>
    </row>
    <row r="300" spans="1:20" x14ac:dyDescent="0.25">
      <c r="A300" s="3" t="s">
        <v>440</v>
      </c>
      <c r="B300" s="9">
        <v>380.82000000000011</v>
      </c>
      <c r="C300" s="3" t="s">
        <v>139</v>
      </c>
      <c r="D300" s="10">
        <v>45686.865081018521</v>
      </c>
      <c r="E300" s="10">
        <v>45686.865081018521</v>
      </c>
      <c r="F300" s="10">
        <v>45686.86755787037</v>
      </c>
      <c r="G300" s="10">
        <v>45686.86755787037</v>
      </c>
      <c r="H300" s="10">
        <v>45686.870335648149</v>
      </c>
      <c r="I300" s="10">
        <v>45686.873645833337</v>
      </c>
      <c r="J300" s="10">
        <v>45686.873645833337</v>
      </c>
      <c r="K300" s="10">
        <v>45686.874513888892</v>
      </c>
      <c r="L300" s="10">
        <v>45686.877083333333</v>
      </c>
      <c r="M300" s="11">
        <f t="shared" si="32"/>
        <v>0</v>
      </c>
      <c r="N300" s="11">
        <f t="shared" si="33"/>
        <v>2.4768518487690017E-3</v>
      </c>
      <c r="O300" s="11">
        <f t="shared" si="34"/>
        <v>2.7777777795563452E-3</v>
      </c>
      <c r="P300" s="11">
        <f t="shared" si="35"/>
        <v>3.3101851877290756E-3</v>
      </c>
      <c r="Q300" s="11">
        <f t="shared" si="36"/>
        <v>8.6805555474711582E-4</v>
      </c>
      <c r="R300" s="11">
        <f t="shared" si="37"/>
        <v>2.5694444411783479E-3</v>
      </c>
      <c r="S300" s="11">
        <f t="shared" si="38"/>
        <v>9.5254629632108845E-3</v>
      </c>
      <c r="T300" s="11">
        <f t="shared" si="39"/>
        <v>1.2002314811979886E-2</v>
      </c>
    </row>
    <row r="301" spans="1:20" x14ac:dyDescent="0.25">
      <c r="A301" s="3" t="s">
        <v>441</v>
      </c>
      <c r="B301" s="9">
        <v>136.9</v>
      </c>
      <c r="C301" s="3" t="s">
        <v>139</v>
      </c>
      <c r="D301" s="10">
        <v>45687.112384259257</v>
      </c>
      <c r="E301" s="10">
        <v>45687.112384259257</v>
      </c>
      <c r="F301" s="10">
        <v>45687.114293981482</v>
      </c>
      <c r="G301" s="10">
        <v>45687.114293981482</v>
      </c>
      <c r="H301" s="10">
        <v>45687.117071759261</v>
      </c>
      <c r="I301" s="10">
        <v>45687.122303240743</v>
      </c>
      <c r="J301" s="10">
        <v>45687.122303240743</v>
      </c>
      <c r="K301" s="10">
        <v>45687.123171296298</v>
      </c>
      <c r="L301" s="10">
        <v>45687.13140046296</v>
      </c>
      <c r="M301" s="11">
        <f t="shared" si="32"/>
        <v>0</v>
      </c>
      <c r="N301" s="11">
        <f t="shared" si="33"/>
        <v>1.9097222248092294E-3</v>
      </c>
      <c r="O301" s="11">
        <f t="shared" si="34"/>
        <v>2.7777777795563452E-3</v>
      </c>
      <c r="P301" s="11">
        <f t="shared" si="35"/>
        <v>5.2314814820419997E-3</v>
      </c>
      <c r="Q301" s="11">
        <f t="shared" si="36"/>
        <v>8.6805555474711582E-4</v>
      </c>
      <c r="R301" s="11">
        <f t="shared" si="37"/>
        <v>8.2291666622040793E-3</v>
      </c>
      <c r="S301" s="11">
        <f t="shared" si="38"/>
        <v>1.710648147854954E-2</v>
      </c>
      <c r="T301" s="11">
        <f t="shared" si="39"/>
        <v>1.9016203703358769E-2</v>
      </c>
    </row>
    <row r="302" spans="1:20" x14ac:dyDescent="0.25">
      <c r="A302" s="3" t="s">
        <v>442</v>
      </c>
      <c r="B302" s="9">
        <v>297</v>
      </c>
      <c r="C302" s="3" t="s">
        <v>139</v>
      </c>
      <c r="D302" s="10">
        <v>45687.261840277781</v>
      </c>
      <c r="E302" s="10">
        <v>45687.261840277781</v>
      </c>
      <c r="F302" s="10">
        <v>45687.264120370368</v>
      </c>
      <c r="G302" s="10">
        <v>45687.264120370368</v>
      </c>
      <c r="H302" s="10">
        <v>45687.266898148147</v>
      </c>
      <c r="I302" s="10">
        <v>45687.269490740742</v>
      </c>
      <c r="J302" s="10">
        <v>45687.269490740742</v>
      </c>
      <c r="K302" s="10">
        <v>45687.270358796297</v>
      </c>
      <c r="L302" s="10">
        <v>45687.272280092591</v>
      </c>
      <c r="M302" s="11">
        <f t="shared" si="32"/>
        <v>0</v>
      </c>
      <c r="N302" s="11">
        <f t="shared" si="33"/>
        <v>2.2800925871706568E-3</v>
      </c>
      <c r="O302" s="11">
        <f t="shared" si="34"/>
        <v>2.7777777795563452E-3</v>
      </c>
      <c r="P302" s="11">
        <f t="shared" si="35"/>
        <v>2.5925925947376527E-3</v>
      </c>
      <c r="Q302" s="11">
        <f t="shared" si="36"/>
        <v>8.6805555474711582E-4</v>
      </c>
      <c r="R302" s="11">
        <f t="shared" si="37"/>
        <v>1.9212962943129241E-3</v>
      </c>
      <c r="S302" s="11">
        <f t="shared" si="38"/>
        <v>8.1597222233540379E-3</v>
      </c>
      <c r="T302" s="11">
        <f t="shared" si="39"/>
        <v>1.0439814810524695E-2</v>
      </c>
    </row>
    <row r="303" spans="1:20" x14ac:dyDescent="0.25">
      <c r="A303" s="3" t="s">
        <v>443</v>
      </c>
      <c r="B303" s="9">
        <v>336.5</v>
      </c>
      <c r="C303" s="3" t="s">
        <v>139</v>
      </c>
      <c r="D303" s="10">
        <v>45687.288715277777</v>
      </c>
      <c r="E303" s="10">
        <v>45687.288715277777</v>
      </c>
      <c r="F303" s="10">
        <v>45687.291087962964</v>
      </c>
      <c r="G303" s="10">
        <v>45687.291087962964</v>
      </c>
      <c r="H303" s="10">
        <v>45687.293865740743</v>
      </c>
      <c r="I303" s="10">
        <v>45687.296469907407</v>
      </c>
      <c r="J303" s="10">
        <v>45687.296469907407</v>
      </c>
      <c r="K303" s="10">
        <v>45687.297349537039</v>
      </c>
      <c r="L303" s="10">
        <v>45687.297349537039</v>
      </c>
      <c r="M303" s="11">
        <f t="shared" si="32"/>
        <v>0</v>
      </c>
      <c r="N303" s="11">
        <f t="shared" si="33"/>
        <v>2.3726851868559606E-3</v>
      </c>
      <c r="O303" s="11">
        <f t="shared" si="34"/>
        <v>2.7777777795563452E-3</v>
      </c>
      <c r="P303" s="11">
        <f t="shared" si="35"/>
        <v>2.6041666642413475E-3</v>
      </c>
      <c r="Q303" s="11">
        <f t="shared" si="36"/>
        <v>8.7962963152676821E-4</v>
      </c>
      <c r="R303" s="11">
        <f t="shared" si="37"/>
        <v>0</v>
      </c>
      <c r="S303" s="11">
        <f t="shared" si="38"/>
        <v>6.2615740753244609E-3</v>
      </c>
      <c r="T303" s="11">
        <f t="shared" si="39"/>
        <v>8.6342592621804215E-3</v>
      </c>
    </row>
    <row r="304" spans="1:20" x14ac:dyDescent="0.25">
      <c r="A304" s="3" t="s">
        <v>444</v>
      </c>
      <c r="B304" s="9">
        <v>598.87999999999988</v>
      </c>
      <c r="C304" s="3" t="s">
        <v>169</v>
      </c>
      <c r="D304" s="10">
        <v>45687.300046296303</v>
      </c>
      <c r="E304" s="10">
        <v>45687.300046296303</v>
      </c>
      <c r="F304" s="10">
        <v>45687.302418981482</v>
      </c>
      <c r="G304" s="10">
        <v>45687.302418981482</v>
      </c>
      <c r="H304" s="10">
        <v>45687.305196759262</v>
      </c>
      <c r="I304" s="10">
        <v>45687.323020833333</v>
      </c>
      <c r="J304" s="10">
        <v>45687.323020833333</v>
      </c>
      <c r="K304" s="10">
        <v>45687.323888888888</v>
      </c>
      <c r="L304" s="10">
        <v>45687.339421296303</v>
      </c>
      <c r="M304" s="11">
        <f t="shared" si="32"/>
        <v>0</v>
      </c>
      <c r="N304" s="11">
        <f t="shared" si="33"/>
        <v>2.372685179580003E-3</v>
      </c>
      <c r="O304" s="11">
        <f t="shared" si="34"/>
        <v>2.7777777795563452E-3</v>
      </c>
      <c r="P304" s="11">
        <f t="shared" si="35"/>
        <v>1.7824074071540963E-2</v>
      </c>
      <c r="Q304" s="11">
        <f t="shared" si="36"/>
        <v>8.6805555474711582E-4</v>
      </c>
      <c r="R304" s="11">
        <f t="shared" si="37"/>
        <v>1.5532407414866611E-2</v>
      </c>
      <c r="S304" s="11">
        <f t="shared" si="38"/>
        <v>3.7002314820711035E-2</v>
      </c>
      <c r="T304" s="11">
        <f t="shared" si="39"/>
        <v>3.9375000000291038E-2</v>
      </c>
    </row>
    <row r="305" spans="1:20" x14ac:dyDescent="0.25">
      <c r="A305" s="3" t="s">
        <v>445</v>
      </c>
      <c r="B305" s="9">
        <v>380.82000000000011</v>
      </c>
      <c r="C305" s="3" t="s">
        <v>139</v>
      </c>
      <c r="D305" s="10">
        <v>45687.327488425923</v>
      </c>
      <c r="E305" s="10">
        <v>45687.327488425923</v>
      </c>
      <c r="F305" s="10">
        <v>45687.329965277779</v>
      </c>
      <c r="G305" s="10">
        <v>45687.329965277779</v>
      </c>
      <c r="H305" s="10">
        <v>45687.332743055558</v>
      </c>
      <c r="I305" s="10">
        <v>45687.336053240739</v>
      </c>
      <c r="J305" s="10">
        <v>45687.336053240739</v>
      </c>
      <c r="K305" s="10">
        <v>45687.340300925927</v>
      </c>
      <c r="L305" s="10">
        <v>45687.34275462963</v>
      </c>
      <c r="M305" s="11">
        <f t="shared" si="32"/>
        <v>0</v>
      </c>
      <c r="N305" s="11">
        <f t="shared" si="33"/>
        <v>2.4768518560449593E-3</v>
      </c>
      <c r="O305" s="11">
        <f t="shared" si="34"/>
        <v>2.7777777795563452E-3</v>
      </c>
      <c r="P305" s="11">
        <f t="shared" si="35"/>
        <v>3.3101851804531179E-3</v>
      </c>
      <c r="Q305" s="11">
        <f t="shared" si="36"/>
        <v>4.2476851886021905E-3</v>
      </c>
      <c r="R305" s="11">
        <f t="shared" si="37"/>
        <v>2.4537037024856545E-3</v>
      </c>
      <c r="S305" s="11">
        <f t="shared" si="38"/>
        <v>1.2789351851097308E-2</v>
      </c>
      <c r="T305" s="11">
        <f t="shared" si="39"/>
        <v>1.5266203707142267E-2</v>
      </c>
    </row>
    <row r="306" spans="1:20" x14ac:dyDescent="0.25">
      <c r="A306" s="3" t="s">
        <v>446</v>
      </c>
      <c r="B306" s="9">
        <v>213.1</v>
      </c>
      <c r="C306" s="3" t="s">
        <v>139</v>
      </c>
      <c r="D306" s="10">
        <v>45687.348391203697</v>
      </c>
      <c r="E306" s="10">
        <v>45687.348391203697</v>
      </c>
      <c r="F306" s="10">
        <v>45687.350474537037</v>
      </c>
      <c r="G306" s="10">
        <v>45687.350474537037</v>
      </c>
      <c r="H306" s="10">
        <v>45687.353252314817</v>
      </c>
      <c r="I306" s="10">
        <v>45687.357407407413</v>
      </c>
      <c r="J306" s="10">
        <v>45687.357407407413</v>
      </c>
      <c r="K306" s="10">
        <v>45687.358275462961</v>
      </c>
      <c r="L306" s="10">
        <v>45687.360324074078</v>
      </c>
      <c r="M306" s="11">
        <f t="shared" si="32"/>
        <v>0</v>
      </c>
      <c r="N306" s="11">
        <f t="shared" si="33"/>
        <v>2.0833333401242271E-3</v>
      </c>
      <c r="O306" s="11">
        <f t="shared" si="34"/>
        <v>2.7777777795563452E-3</v>
      </c>
      <c r="P306" s="11">
        <f t="shared" si="35"/>
        <v>4.1550925961928442E-3</v>
      </c>
      <c r="Q306" s="11">
        <f t="shared" si="36"/>
        <v>8.6805554747115821E-4</v>
      </c>
      <c r="R306" s="11">
        <f t="shared" si="37"/>
        <v>2.0486111170612276E-3</v>
      </c>
      <c r="S306" s="11">
        <f t="shared" si="38"/>
        <v>9.8495370402815752E-3</v>
      </c>
      <c r="T306" s="11">
        <f t="shared" si="39"/>
        <v>1.1932870380405802E-2</v>
      </c>
    </row>
    <row r="307" spans="1:20" x14ac:dyDescent="0.25">
      <c r="A307" s="3" t="s">
        <v>447</v>
      </c>
      <c r="B307" s="9">
        <v>355.78</v>
      </c>
      <c r="C307" s="3" t="s">
        <v>139</v>
      </c>
      <c r="D307" s="10">
        <v>45687.380300925928</v>
      </c>
      <c r="E307" s="10">
        <v>45687.380300925928</v>
      </c>
      <c r="F307" s="10">
        <v>45687.382719907408</v>
      </c>
      <c r="G307" s="10">
        <v>45687.382719907408</v>
      </c>
      <c r="H307" s="10">
        <v>45687.385497685187</v>
      </c>
      <c r="I307" s="10">
        <v>45687.393460648149</v>
      </c>
      <c r="J307" s="10">
        <v>45687.393460648149</v>
      </c>
      <c r="K307" s="10">
        <v>45687.39434027778</v>
      </c>
      <c r="L307" s="10">
        <v>45687.404594907413</v>
      </c>
      <c r="M307" s="11">
        <f t="shared" si="32"/>
        <v>0</v>
      </c>
      <c r="N307" s="11">
        <f t="shared" si="33"/>
        <v>2.418981479422655E-3</v>
      </c>
      <c r="O307" s="11">
        <f t="shared" si="34"/>
        <v>2.7777777795563452E-3</v>
      </c>
      <c r="P307" s="11">
        <f t="shared" si="35"/>
        <v>7.962962961755693E-3</v>
      </c>
      <c r="Q307" s="11">
        <f t="shared" si="36"/>
        <v>8.7962963152676821E-4</v>
      </c>
      <c r="R307" s="11">
        <f t="shared" si="37"/>
        <v>1.025462963298196E-2</v>
      </c>
      <c r="S307" s="11">
        <f t="shared" si="38"/>
        <v>2.1875000005820766E-2</v>
      </c>
      <c r="T307" s="11">
        <f t="shared" si="39"/>
        <v>2.4293981485243421E-2</v>
      </c>
    </row>
    <row r="308" spans="1:20" x14ac:dyDescent="0.25">
      <c r="A308" s="3" t="s">
        <v>448</v>
      </c>
      <c r="B308" s="9">
        <v>435.14</v>
      </c>
      <c r="C308" s="3" t="s">
        <v>139</v>
      </c>
      <c r="D308" s="10">
        <v>45687.411168981482</v>
      </c>
      <c r="E308" s="10">
        <v>45687.411168981482</v>
      </c>
      <c r="F308" s="10">
        <v>45687.413761574076</v>
      </c>
      <c r="G308" s="10">
        <v>45687.413761574076</v>
      </c>
      <c r="H308" s="10">
        <v>45687.416539351849</v>
      </c>
      <c r="I308" s="10">
        <v>45687.422627314823</v>
      </c>
      <c r="J308" s="10">
        <v>45687.422627314823</v>
      </c>
      <c r="K308" s="10">
        <v>45687.423495370371</v>
      </c>
      <c r="L308" s="10">
        <v>45687.423495370371</v>
      </c>
      <c r="M308" s="11">
        <f t="shared" si="32"/>
        <v>0</v>
      </c>
      <c r="N308" s="11">
        <f t="shared" si="33"/>
        <v>2.5925925947376527E-3</v>
      </c>
      <c r="O308" s="11">
        <f t="shared" si="34"/>
        <v>2.7777777722803876E-3</v>
      </c>
      <c r="P308" s="11">
        <f t="shared" si="35"/>
        <v>6.0879629745613784E-3</v>
      </c>
      <c r="Q308" s="11">
        <f t="shared" si="36"/>
        <v>8.6805554747115821E-4</v>
      </c>
      <c r="R308" s="11">
        <f t="shared" si="37"/>
        <v>0</v>
      </c>
      <c r="S308" s="11">
        <f t="shared" si="38"/>
        <v>9.7337962943129241E-3</v>
      </c>
      <c r="T308" s="11">
        <f t="shared" si="39"/>
        <v>1.2326388889050577E-2</v>
      </c>
    </row>
    <row r="309" spans="1:20" x14ac:dyDescent="0.25">
      <c r="A309" s="3" t="s">
        <v>449</v>
      </c>
      <c r="B309" s="9">
        <v>291.7</v>
      </c>
      <c r="C309" s="3" t="s">
        <v>139</v>
      </c>
      <c r="D309" s="10">
        <v>45687.539282407408</v>
      </c>
      <c r="E309" s="10">
        <v>45687.539282407408</v>
      </c>
      <c r="F309" s="10">
        <v>45687.541550925933</v>
      </c>
      <c r="G309" s="10">
        <v>45687.541550925933</v>
      </c>
      <c r="H309" s="10">
        <v>45687.544328703712</v>
      </c>
      <c r="I309" s="10">
        <v>45687.546585648153</v>
      </c>
      <c r="J309" s="10">
        <v>45687.546585648153</v>
      </c>
      <c r="K309" s="10">
        <v>45687.547465277778</v>
      </c>
      <c r="L309" s="10">
        <v>45687.549259259264</v>
      </c>
      <c r="M309" s="11">
        <f t="shared" si="32"/>
        <v>0</v>
      </c>
      <c r="N309" s="11">
        <f t="shared" si="33"/>
        <v>2.2685185249429196E-3</v>
      </c>
      <c r="O309" s="11">
        <f t="shared" si="34"/>
        <v>2.7777777795563452E-3</v>
      </c>
      <c r="P309" s="11">
        <f t="shared" si="35"/>
        <v>2.2569444408873096E-3</v>
      </c>
      <c r="Q309" s="11">
        <f t="shared" si="36"/>
        <v>8.7962962425081059E-4</v>
      </c>
      <c r="R309" s="11">
        <f t="shared" si="37"/>
        <v>1.793981486116536E-3</v>
      </c>
      <c r="S309" s="11">
        <f t="shared" si="38"/>
        <v>7.7083333308110014E-3</v>
      </c>
      <c r="T309" s="11">
        <f t="shared" si="39"/>
        <v>9.976851855753921E-3</v>
      </c>
    </row>
    <row r="310" spans="1:20" x14ac:dyDescent="0.25">
      <c r="A310" s="3" t="s">
        <v>450</v>
      </c>
      <c r="B310" s="9">
        <v>388.32000000000011</v>
      </c>
      <c r="C310" s="3" t="s">
        <v>139</v>
      </c>
      <c r="D310" s="10">
        <v>45687.603379629632</v>
      </c>
      <c r="E310" s="10">
        <v>45687.603379629632</v>
      </c>
      <c r="F310" s="10">
        <v>45687.605868055558</v>
      </c>
      <c r="G310" s="10">
        <v>45687.605868055558</v>
      </c>
      <c r="H310" s="10">
        <v>45687.60864583333</v>
      </c>
      <c r="I310" s="10">
        <v>45687.612037037034</v>
      </c>
      <c r="J310" s="10">
        <v>45687.612037037034</v>
      </c>
      <c r="K310" s="10">
        <v>45687.612905092603</v>
      </c>
      <c r="L310" s="10">
        <v>45687.612905092603</v>
      </c>
      <c r="M310" s="11">
        <f t="shared" si="32"/>
        <v>0</v>
      </c>
      <c r="N310" s="11">
        <f t="shared" si="33"/>
        <v>2.488425925548654E-3</v>
      </c>
      <c r="O310" s="11">
        <f t="shared" si="34"/>
        <v>2.7777777722803876E-3</v>
      </c>
      <c r="P310" s="11">
        <f t="shared" si="35"/>
        <v>3.3912037033587694E-3</v>
      </c>
      <c r="Q310" s="11">
        <f t="shared" si="36"/>
        <v>8.6805556929903105E-4</v>
      </c>
      <c r="R310" s="11">
        <f t="shared" si="37"/>
        <v>0</v>
      </c>
      <c r="S310" s="11">
        <f t="shared" si="38"/>
        <v>7.037037044938188E-3</v>
      </c>
      <c r="T310" s="11">
        <f t="shared" si="39"/>
        <v>9.5254629704868421E-3</v>
      </c>
    </row>
    <row r="311" spans="1:20" x14ac:dyDescent="0.25">
      <c r="A311" s="3" t="s">
        <v>451</v>
      </c>
      <c r="B311" s="9">
        <v>267.54000000000002</v>
      </c>
      <c r="C311" s="3" t="s">
        <v>139</v>
      </c>
      <c r="D311" s="10">
        <v>45687.618969907409</v>
      </c>
      <c r="E311" s="10">
        <v>45687.618969907409</v>
      </c>
      <c r="F311" s="10">
        <v>45687.621180555558</v>
      </c>
      <c r="G311" s="10">
        <v>45687.621180555558</v>
      </c>
      <c r="H311" s="10">
        <v>45687.62395833333</v>
      </c>
      <c r="I311" s="10">
        <v>45687.633321759262</v>
      </c>
      <c r="J311" s="10">
        <v>45687.633321759262</v>
      </c>
      <c r="K311" s="10">
        <v>45687.634201388893</v>
      </c>
      <c r="L311" s="10">
        <v>45687.647673611107</v>
      </c>
      <c r="M311" s="11">
        <f t="shared" si="32"/>
        <v>0</v>
      </c>
      <c r="N311" s="11">
        <f t="shared" si="33"/>
        <v>2.2106481483206153E-3</v>
      </c>
      <c r="O311" s="11">
        <f t="shared" si="34"/>
        <v>2.7777777722803876E-3</v>
      </c>
      <c r="P311" s="11">
        <f t="shared" si="35"/>
        <v>9.3634259319514968E-3</v>
      </c>
      <c r="Q311" s="11">
        <f t="shared" si="36"/>
        <v>8.7962963152676821E-4</v>
      </c>
      <c r="R311" s="11">
        <f t="shared" si="37"/>
        <v>1.3472222213749774E-2</v>
      </c>
      <c r="S311" s="11">
        <f t="shared" si="38"/>
        <v>2.6493055549508426E-2</v>
      </c>
      <c r="T311" s="11">
        <f t="shared" si="39"/>
        <v>2.8703703697829042E-2</v>
      </c>
    </row>
    <row r="312" spans="1:20" x14ac:dyDescent="0.25">
      <c r="A312" s="3" t="s">
        <v>452</v>
      </c>
      <c r="B312" s="9">
        <v>15.74</v>
      </c>
      <c r="C312" s="3" t="s">
        <v>164</v>
      </c>
      <c r="D312" s="10">
        <v>45687.64775462963</v>
      </c>
      <c r="E312" s="10">
        <v>45687.64775462963</v>
      </c>
      <c r="F312" s="10">
        <v>45687.649004629631</v>
      </c>
      <c r="G312" s="10">
        <v>45687.649004629631</v>
      </c>
      <c r="H312" s="10">
        <v>45687.651782407411</v>
      </c>
      <c r="I312" s="10">
        <v>45687.651921296303</v>
      </c>
      <c r="J312" s="10">
        <v>45687.651921296303</v>
      </c>
      <c r="K312" s="10">
        <v>45687.652789351851</v>
      </c>
      <c r="L312" s="10">
        <v>45687.654305555552</v>
      </c>
      <c r="M312" s="11">
        <f t="shared" si="32"/>
        <v>0</v>
      </c>
      <c r="N312" s="11">
        <f t="shared" si="33"/>
        <v>1.2500000011641532E-3</v>
      </c>
      <c r="O312" s="11">
        <f t="shared" si="34"/>
        <v>2.7777777795563452E-3</v>
      </c>
      <c r="P312" s="11">
        <f t="shared" si="35"/>
        <v>1.3888889225199819E-4</v>
      </c>
      <c r="Q312" s="11">
        <f t="shared" si="36"/>
        <v>8.6805554747115821E-4</v>
      </c>
      <c r="R312" s="11">
        <f t="shared" si="37"/>
        <v>1.5162037016125396E-3</v>
      </c>
      <c r="S312" s="11">
        <f t="shared" si="38"/>
        <v>5.3009259208920412E-3</v>
      </c>
      <c r="T312" s="11">
        <f t="shared" si="39"/>
        <v>6.5509259220561944E-3</v>
      </c>
    </row>
    <row r="313" spans="1:20" x14ac:dyDescent="0.25">
      <c r="A313" s="3" t="s">
        <v>453</v>
      </c>
      <c r="B313" s="9">
        <v>47.22</v>
      </c>
      <c r="C313" s="3" t="s">
        <v>164</v>
      </c>
      <c r="D313" s="10">
        <v>45687.723692129628</v>
      </c>
      <c r="E313" s="10">
        <v>45687.723692129628</v>
      </c>
      <c r="F313" s="10">
        <v>45687.725023148138</v>
      </c>
      <c r="G313" s="10">
        <v>45687.725023148138</v>
      </c>
      <c r="H313" s="10">
        <v>45687.727800925917</v>
      </c>
      <c r="I313" s="10">
        <v>45687.728159722217</v>
      </c>
      <c r="J313" s="10">
        <v>45687.728159722217</v>
      </c>
      <c r="K313" s="10">
        <v>45687.729039351849</v>
      </c>
      <c r="L313" s="10">
        <v>45687.730624999997</v>
      </c>
      <c r="M313" s="11">
        <f t="shared" si="32"/>
        <v>0</v>
      </c>
      <c r="N313" s="11">
        <f t="shared" si="33"/>
        <v>1.3310185095178895E-3</v>
      </c>
      <c r="O313" s="11">
        <f t="shared" si="34"/>
        <v>2.7777777795563452E-3</v>
      </c>
      <c r="P313" s="11">
        <f t="shared" si="35"/>
        <v>3.5879630013369024E-4</v>
      </c>
      <c r="Q313" s="11">
        <f t="shared" si="36"/>
        <v>8.7962963152676821E-4</v>
      </c>
      <c r="R313" s="11">
        <f t="shared" si="37"/>
        <v>1.5856481477385387E-3</v>
      </c>
      <c r="S313" s="11">
        <f t="shared" si="38"/>
        <v>5.6018518589553423E-3</v>
      </c>
      <c r="T313" s="11">
        <f t="shared" si="39"/>
        <v>6.9328703684732318E-3</v>
      </c>
    </row>
    <row r="314" spans="1:20" x14ac:dyDescent="0.25">
      <c r="A314" s="3" t="s">
        <v>454</v>
      </c>
      <c r="B314" s="9">
        <v>135.13999999999999</v>
      </c>
      <c r="C314" s="3" t="s">
        <v>139</v>
      </c>
      <c r="D314" s="10">
        <v>45687.82130787037</v>
      </c>
      <c r="E314" s="10">
        <v>45687.82130787037</v>
      </c>
      <c r="F314" s="10">
        <v>45687.823206018518</v>
      </c>
      <c r="G314" s="10">
        <v>45687.823206018518</v>
      </c>
      <c r="H314" s="10">
        <v>45687.825983796298</v>
      </c>
      <c r="I314" s="10">
        <v>45687.827164351853</v>
      </c>
      <c r="J314" s="10">
        <v>45687.827164351853</v>
      </c>
      <c r="K314" s="10">
        <v>45687.828032407408</v>
      </c>
      <c r="L314" s="10">
        <v>45687.829467592594</v>
      </c>
      <c r="M314" s="11">
        <f t="shared" si="32"/>
        <v>0</v>
      </c>
      <c r="N314" s="11">
        <f t="shared" si="33"/>
        <v>1.898148148029577E-3</v>
      </c>
      <c r="O314" s="11">
        <f t="shared" si="34"/>
        <v>2.7777777795563452E-3</v>
      </c>
      <c r="P314" s="11">
        <f t="shared" si="35"/>
        <v>1.1805555550381541E-3</v>
      </c>
      <c r="Q314" s="11">
        <f t="shared" si="36"/>
        <v>8.6805555474711582E-4</v>
      </c>
      <c r="R314" s="11">
        <f t="shared" si="37"/>
        <v>1.4351851859828457E-3</v>
      </c>
      <c r="S314" s="11">
        <f t="shared" si="38"/>
        <v>6.2615740753244609E-3</v>
      </c>
      <c r="T314" s="11">
        <f t="shared" si="39"/>
        <v>8.1597222233540379E-3</v>
      </c>
    </row>
    <row r="315" spans="1:20" x14ac:dyDescent="0.25">
      <c r="A315" s="3" t="s">
        <v>455</v>
      </c>
      <c r="B315" s="9">
        <v>389.06000000000012</v>
      </c>
      <c r="C315" s="3" t="s">
        <v>139</v>
      </c>
      <c r="D315" s="10">
        <v>45687.850914351853</v>
      </c>
      <c r="E315" s="10">
        <v>45687.850914351853</v>
      </c>
      <c r="F315" s="10">
        <v>45687.853402777779</v>
      </c>
      <c r="G315" s="10">
        <v>45687.853402777779</v>
      </c>
      <c r="H315" s="10">
        <v>45687.856180555558</v>
      </c>
      <c r="I315" s="10">
        <v>45687.859201388892</v>
      </c>
      <c r="J315" s="10">
        <v>45687.859201388892</v>
      </c>
      <c r="K315" s="10">
        <v>45687.860081018523</v>
      </c>
      <c r="L315" s="10">
        <v>45687.862847222219</v>
      </c>
      <c r="M315" s="11">
        <f t="shared" si="32"/>
        <v>0</v>
      </c>
      <c r="N315" s="11">
        <f t="shared" si="33"/>
        <v>2.488425925548654E-3</v>
      </c>
      <c r="O315" s="11">
        <f t="shared" si="34"/>
        <v>2.7777777795563452E-3</v>
      </c>
      <c r="P315" s="11">
        <f t="shared" si="35"/>
        <v>3.0208333337213844E-3</v>
      </c>
      <c r="Q315" s="11">
        <f t="shared" si="36"/>
        <v>8.7962963152676821E-4</v>
      </c>
      <c r="R315" s="11">
        <f t="shared" si="37"/>
        <v>2.7662036955007352E-3</v>
      </c>
      <c r="S315" s="11">
        <f t="shared" si="38"/>
        <v>9.444444440305233E-3</v>
      </c>
      <c r="T315" s="11">
        <f t="shared" si="39"/>
        <v>1.1932870365853887E-2</v>
      </c>
    </row>
    <row r="316" spans="1:20" x14ac:dyDescent="0.25">
      <c r="A316" s="3" t="s">
        <v>456</v>
      </c>
      <c r="B316" s="9">
        <v>199.94</v>
      </c>
      <c r="C316" s="3" t="s">
        <v>139</v>
      </c>
      <c r="D316" s="10">
        <v>45688.115636574083</v>
      </c>
      <c r="E316" s="10">
        <v>45688.115636574083</v>
      </c>
      <c r="F316" s="10">
        <v>45688.117685185192</v>
      </c>
      <c r="G316" s="10">
        <v>45688.117685185192</v>
      </c>
      <c r="H316" s="10">
        <v>45688.120462962957</v>
      </c>
      <c r="I316" s="10">
        <v>45688.126793981479</v>
      </c>
      <c r="J316" s="10">
        <v>45688.126793981479</v>
      </c>
      <c r="K316" s="10">
        <v>45688.127662037034</v>
      </c>
      <c r="L316" s="10">
        <v>45688.135405092587</v>
      </c>
      <c r="M316" s="11">
        <f t="shared" si="32"/>
        <v>0</v>
      </c>
      <c r="N316" s="11">
        <f t="shared" si="33"/>
        <v>2.0486111097852699E-3</v>
      </c>
      <c r="O316" s="11">
        <f t="shared" si="34"/>
        <v>2.77777776500443E-3</v>
      </c>
      <c r="P316" s="11">
        <f t="shared" si="35"/>
        <v>6.33101852145046E-3</v>
      </c>
      <c r="Q316" s="11">
        <f t="shared" si="36"/>
        <v>8.6805555474711582E-4</v>
      </c>
      <c r="R316" s="11">
        <f t="shared" si="37"/>
        <v>7.7430555538740009E-3</v>
      </c>
      <c r="S316" s="11">
        <f t="shared" si="38"/>
        <v>1.7719907395076007E-2</v>
      </c>
      <c r="T316" s="11">
        <f t="shared" si="39"/>
        <v>1.9768518504861277E-2</v>
      </c>
    </row>
    <row r="317" spans="1:20" x14ac:dyDescent="0.25">
      <c r="A317" s="3" t="s">
        <v>457</v>
      </c>
      <c r="B317" s="9">
        <v>238.6</v>
      </c>
      <c r="C317" s="3" t="s">
        <v>139</v>
      </c>
      <c r="D317" s="10">
        <v>45688.184965277767</v>
      </c>
      <c r="E317" s="10">
        <v>45688.184965277767</v>
      </c>
      <c r="F317" s="10">
        <v>45688.187106481477</v>
      </c>
      <c r="G317" s="10">
        <v>45688.187106481477</v>
      </c>
      <c r="H317" s="10">
        <v>45688.189884259264</v>
      </c>
      <c r="I317" s="10">
        <v>45688.191736111112</v>
      </c>
      <c r="J317" s="10">
        <v>45688.191736111112</v>
      </c>
      <c r="K317" s="10">
        <v>45688.192615740743</v>
      </c>
      <c r="L317" s="10">
        <v>45688.192615740743</v>
      </c>
      <c r="M317" s="11">
        <f t="shared" si="32"/>
        <v>0</v>
      </c>
      <c r="N317" s="11">
        <f t="shared" si="33"/>
        <v>2.1412037094705738E-3</v>
      </c>
      <c r="O317" s="11">
        <f t="shared" si="34"/>
        <v>2.7777777868323028E-3</v>
      </c>
      <c r="P317" s="11">
        <f t="shared" si="35"/>
        <v>1.8518518481869251E-3</v>
      </c>
      <c r="Q317" s="11">
        <f t="shared" si="36"/>
        <v>8.7962963152676821E-4</v>
      </c>
      <c r="R317" s="11">
        <f t="shared" si="37"/>
        <v>0</v>
      </c>
      <c r="S317" s="11">
        <f t="shared" si="38"/>
        <v>5.5092592665459961E-3</v>
      </c>
      <c r="T317" s="11">
        <f t="shared" si="39"/>
        <v>7.6504629760165699E-3</v>
      </c>
    </row>
    <row r="318" spans="1:20" x14ac:dyDescent="0.25">
      <c r="A318" s="3" t="s">
        <v>458</v>
      </c>
      <c r="B318" s="9">
        <v>297</v>
      </c>
      <c r="C318" s="3" t="s">
        <v>139</v>
      </c>
      <c r="D318" s="10">
        <v>45688.247534722221</v>
      </c>
      <c r="E318" s="10">
        <v>45688.247534722221</v>
      </c>
      <c r="F318" s="10">
        <v>45688.249814814822</v>
      </c>
      <c r="G318" s="10">
        <v>45688.249814814822</v>
      </c>
      <c r="H318" s="10">
        <v>45688.252592592587</v>
      </c>
      <c r="I318" s="10">
        <v>45688.255185185182</v>
      </c>
      <c r="J318" s="10">
        <v>45688.255185185182</v>
      </c>
      <c r="K318" s="10">
        <v>45688.256053240737</v>
      </c>
      <c r="L318" s="10">
        <v>45688.257974537039</v>
      </c>
      <c r="M318" s="11">
        <f t="shared" si="32"/>
        <v>0</v>
      </c>
      <c r="N318" s="11">
        <f t="shared" si="33"/>
        <v>2.280092601722572E-3</v>
      </c>
      <c r="O318" s="11">
        <f t="shared" si="34"/>
        <v>2.77777776500443E-3</v>
      </c>
      <c r="P318" s="11">
        <f t="shared" si="35"/>
        <v>2.5925925947376527E-3</v>
      </c>
      <c r="Q318" s="11">
        <f t="shared" si="36"/>
        <v>8.6805555474711582E-4</v>
      </c>
      <c r="R318" s="11">
        <f t="shared" si="37"/>
        <v>1.9212963015888818E-3</v>
      </c>
      <c r="S318" s="11">
        <f t="shared" si="38"/>
        <v>8.1597222160780802E-3</v>
      </c>
      <c r="T318" s="11">
        <f t="shared" si="39"/>
        <v>1.0439814817800652E-2</v>
      </c>
    </row>
    <row r="319" spans="1:20" x14ac:dyDescent="0.25">
      <c r="A319" s="3" t="s">
        <v>459</v>
      </c>
      <c r="B319" s="9">
        <v>74.62</v>
      </c>
      <c r="C319" s="3" t="s">
        <v>139</v>
      </c>
      <c r="D319" s="10">
        <v>45688.291192129633</v>
      </c>
      <c r="E319" s="10">
        <v>45688.291192129633</v>
      </c>
      <c r="F319" s="10">
        <v>45688.292951388888</v>
      </c>
      <c r="G319" s="10">
        <v>45688.292951388888</v>
      </c>
      <c r="H319" s="10">
        <v>45688.295729166668</v>
      </c>
      <c r="I319" s="10">
        <v>45688.296307870369</v>
      </c>
      <c r="J319" s="10">
        <v>45688.296307870369</v>
      </c>
      <c r="K319" s="10">
        <v>45688.2971875</v>
      </c>
      <c r="L319" s="10">
        <v>45688.29923611111</v>
      </c>
      <c r="M319" s="11">
        <f t="shared" si="32"/>
        <v>0</v>
      </c>
      <c r="N319" s="11">
        <f t="shared" si="33"/>
        <v>1.7592592557775788E-3</v>
      </c>
      <c r="O319" s="11">
        <f t="shared" si="34"/>
        <v>2.7777777795563452E-3</v>
      </c>
      <c r="P319" s="11">
        <f t="shared" si="35"/>
        <v>5.7870370073942468E-4</v>
      </c>
      <c r="Q319" s="11">
        <f t="shared" si="36"/>
        <v>8.7962963152676821E-4</v>
      </c>
      <c r="R319" s="11">
        <f t="shared" si="37"/>
        <v>2.0486111097852699E-3</v>
      </c>
      <c r="S319" s="11">
        <f t="shared" si="38"/>
        <v>6.284722221607808E-3</v>
      </c>
      <c r="T319" s="11">
        <f t="shared" si="39"/>
        <v>8.0439814773853868E-3</v>
      </c>
    </row>
    <row r="320" spans="1:20" x14ac:dyDescent="0.25">
      <c r="A320" s="3" t="s">
        <v>460</v>
      </c>
      <c r="B320" s="9">
        <v>585.28000000000009</v>
      </c>
      <c r="C320" s="3" t="s">
        <v>142</v>
      </c>
      <c r="D320" s="10">
        <v>45688.294074074067</v>
      </c>
      <c r="E320" s="10">
        <v>45688.294074074067</v>
      </c>
      <c r="F320" s="10">
        <v>45688.296585648153</v>
      </c>
      <c r="G320" s="10">
        <v>45688.296585648153</v>
      </c>
      <c r="H320" s="10">
        <v>45688.299363425933</v>
      </c>
      <c r="I320" s="10">
        <v>45688.313043981478</v>
      </c>
      <c r="J320" s="10">
        <v>45688.313043981478</v>
      </c>
      <c r="K320" s="10">
        <v>45688.313923611109</v>
      </c>
      <c r="L320" s="10">
        <v>45688.330648148149</v>
      </c>
      <c r="M320" s="11">
        <f t="shared" si="32"/>
        <v>0</v>
      </c>
      <c r="N320" s="11">
        <f t="shared" si="33"/>
        <v>2.5115740863839164E-3</v>
      </c>
      <c r="O320" s="11">
        <f t="shared" si="34"/>
        <v>2.7777777795563452E-3</v>
      </c>
      <c r="P320" s="11">
        <f t="shared" si="35"/>
        <v>1.3680555544851813E-2</v>
      </c>
      <c r="Q320" s="11">
        <f t="shared" si="36"/>
        <v>8.7962963152676821E-4</v>
      </c>
      <c r="R320" s="11">
        <f t="shared" si="37"/>
        <v>1.672453703940846E-2</v>
      </c>
      <c r="S320" s="11">
        <f t="shared" si="38"/>
        <v>3.4062499995343387E-2</v>
      </c>
      <c r="T320" s="11">
        <f t="shared" si="39"/>
        <v>3.6574074081727304E-2</v>
      </c>
    </row>
    <row r="321" spans="1:20" x14ac:dyDescent="0.25">
      <c r="A321" s="3" t="s">
        <v>461</v>
      </c>
      <c r="B321" s="9">
        <v>381.56000000000012</v>
      </c>
      <c r="C321" s="3" t="s">
        <v>139</v>
      </c>
      <c r="D321" s="10">
        <v>45688.333784722221</v>
      </c>
      <c r="E321" s="10">
        <v>45688.333784722221</v>
      </c>
      <c r="F321" s="10">
        <v>45688.336261574077</v>
      </c>
      <c r="G321" s="10">
        <v>45688.336261574077</v>
      </c>
      <c r="H321" s="10">
        <v>45688.339039351849</v>
      </c>
      <c r="I321" s="10">
        <v>45688.341840277782</v>
      </c>
      <c r="J321" s="10">
        <v>45688.341840277782</v>
      </c>
      <c r="K321" s="10">
        <v>45688.342719907407</v>
      </c>
      <c r="L321" s="10">
        <v>45688.345486111109</v>
      </c>
      <c r="M321" s="11">
        <f t="shared" si="32"/>
        <v>0</v>
      </c>
      <c r="N321" s="11">
        <f t="shared" si="33"/>
        <v>2.4768518560449593E-3</v>
      </c>
      <c r="O321" s="11">
        <f t="shared" si="34"/>
        <v>2.7777777722803876E-3</v>
      </c>
      <c r="P321" s="11">
        <f t="shared" si="35"/>
        <v>2.80092593311565E-3</v>
      </c>
      <c r="Q321" s="11">
        <f t="shared" si="36"/>
        <v>8.7962962425081059E-4</v>
      </c>
      <c r="R321" s="11">
        <f t="shared" si="37"/>
        <v>2.7662037027766928E-3</v>
      </c>
      <c r="S321" s="11">
        <f t="shared" si="38"/>
        <v>9.2245370324235409E-3</v>
      </c>
      <c r="T321" s="11">
        <f t="shared" si="39"/>
        <v>1.17013888884685E-2</v>
      </c>
    </row>
    <row r="322" spans="1:20" x14ac:dyDescent="0.25">
      <c r="A322" s="3" t="s">
        <v>462</v>
      </c>
      <c r="B322" s="9">
        <v>237.1</v>
      </c>
      <c r="C322" s="3" t="s">
        <v>139</v>
      </c>
      <c r="D322" s="10">
        <v>45688.369340277779</v>
      </c>
      <c r="E322" s="10">
        <v>45688.369340277779</v>
      </c>
      <c r="F322" s="10">
        <v>45688.371481481481</v>
      </c>
      <c r="G322" s="10">
        <v>45688.371481481481</v>
      </c>
      <c r="H322" s="10">
        <v>45688.374259259261</v>
      </c>
      <c r="I322" s="10">
        <v>45688.377175925933</v>
      </c>
      <c r="J322" s="10">
        <v>45688.377175925933</v>
      </c>
      <c r="K322" s="10">
        <v>45688.37804398148</v>
      </c>
      <c r="L322" s="10">
        <v>45688.381712962961</v>
      </c>
      <c r="M322" s="11">
        <f t="shared" ref="M322:M332" si="40">IF(AND(ISNUMBER(D322),ISNUMBER(E322)),(E322-D322),"")</f>
        <v>0</v>
      </c>
      <c r="N322" s="11">
        <f t="shared" ref="N322:N332" si="41">IF(AND(ISNUMBER(E322),ISNUMBER(F322)),(F322-E322),"")</f>
        <v>2.1412037021946162E-3</v>
      </c>
      <c r="O322" s="11">
        <f t="shared" ref="O322:O332" si="42">IF(AND(ISNUMBER(G322),ISNUMBER(H322)),(H322-G322),"")</f>
        <v>2.7777777795563452E-3</v>
      </c>
      <c r="P322" s="11">
        <f t="shared" ref="P322:P332" si="43">IF(AND(ISNUMBER(H322),ISNUMBER(I322)),(I322-H322),"")</f>
        <v>2.9166666718083434E-3</v>
      </c>
      <c r="Q322" s="11">
        <f t="shared" ref="Q322:Q332" si="44">IF(AND(ISNUMBER(J322),ISNUMBER(K322)),(K322-J322),"")</f>
        <v>8.6805554747115821E-4</v>
      </c>
      <c r="R322" s="11">
        <f t="shared" ref="R322:R332" si="45">IF(AND(ISNUMBER(K322),ISNUMBER(L322)),(L322-K322),"")</f>
        <v>3.6689814805868082E-3</v>
      </c>
      <c r="S322" s="11">
        <f t="shared" ref="S322:S332" si="46">IF(AND(ISNUMBER(F322),ISNUMBER(L322)),(L322-F322),"")</f>
        <v>1.0231481479422655E-2</v>
      </c>
      <c r="T322" s="11">
        <f t="shared" ref="T322:T332" si="47">IF(AND(ISNUMBER(D322),ISNUMBER(L322)),(L322-D322),"")</f>
        <v>1.2372685181617271E-2</v>
      </c>
    </row>
    <row r="323" spans="1:20" x14ac:dyDescent="0.25">
      <c r="A323" s="3" t="s">
        <v>463</v>
      </c>
      <c r="B323" s="9">
        <v>376.62</v>
      </c>
      <c r="C323" s="3" t="s">
        <v>142</v>
      </c>
      <c r="D323" s="10">
        <v>45688.374641203707</v>
      </c>
      <c r="E323" s="10">
        <v>45688.374641203707</v>
      </c>
      <c r="F323" s="10">
        <v>45688.376666666663</v>
      </c>
      <c r="G323" s="10">
        <v>45688.376666666663</v>
      </c>
      <c r="H323" s="10">
        <v>45688.379444444443</v>
      </c>
      <c r="I323" s="10">
        <v>45688.389768518522</v>
      </c>
      <c r="J323" s="10">
        <v>45688.389768518522</v>
      </c>
      <c r="K323" s="10">
        <v>45688.390636574077</v>
      </c>
      <c r="L323" s="10">
        <v>45688.401585648149</v>
      </c>
      <c r="M323" s="11">
        <f t="shared" si="40"/>
        <v>0</v>
      </c>
      <c r="N323" s="11">
        <f t="shared" si="41"/>
        <v>2.0254629562259652E-3</v>
      </c>
      <c r="O323" s="11">
        <f t="shared" si="42"/>
        <v>2.7777777795563452E-3</v>
      </c>
      <c r="P323" s="11">
        <f t="shared" si="43"/>
        <v>1.0324074079107959E-2</v>
      </c>
      <c r="Q323" s="11">
        <f t="shared" si="44"/>
        <v>8.6805555474711582E-4</v>
      </c>
      <c r="R323" s="11">
        <f t="shared" si="45"/>
        <v>1.0949074072414078E-2</v>
      </c>
      <c r="S323" s="11">
        <f t="shared" si="46"/>
        <v>2.4918981485825498E-2</v>
      </c>
      <c r="T323" s="11">
        <f t="shared" si="47"/>
        <v>2.6944444442051463E-2</v>
      </c>
    </row>
    <row r="324" spans="1:20" x14ac:dyDescent="0.25">
      <c r="A324" s="3" t="s">
        <v>464</v>
      </c>
      <c r="B324" s="9">
        <v>445.36</v>
      </c>
      <c r="C324" s="3" t="s">
        <v>139</v>
      </c>
      <c r="D324" s="10">
        <v>45688.439085648148</v>
      </c>
      <c r="E324" s="10">
        <v>45688.439085648148</v>
      </c>
      <c r="F324" s="10">
        <v>45688.441701388889</v>
      </c>
      <c r="G324" s="10">
        <v>45688.441701388889</v>
      </c>
      <c r="H324" s="10">
        <v>45688.444479166668</v>
      </c>
      <c r="I324" s="10">
        <v>45688.450416666667</v>
      </c>
      <c r="J324" s="10">
        <v>45688.450416666667</v>
      </c>
      <c r="K324" s="10">
        <v>45688.451284722221</v>
      </c>
      <c r="L324" s="10">
        <v>45688.457013888888</v>
      </c>
      <c r="M324" s="11">
        <f t="shared" si="40"/>
        <v>0</v>
      </c>
      <c r="N324" s="11">
        <f t="shared" si="41"/>
        <v>2.6157407410209998E-3</v>
      </c>
      <c r="O324" s="11">
        <f t="shared" si="42"/>
        <v>2.7777777795563452E-3</v>
      </c>
      <c r="P324" s="11">
        <f t="shared" si="43"/>
        <v>5.9374999982537702E-3</v>
      </c>
      <c r="Q324" s="11">
        <f t="shared" si="44"/>
        <v>8.6805555474711582E-4</v>
      </c>
      <c r="R324" s="11">
        <f t="shared" si="45"/>
        <v>5.7291666671517305E-3</v>
      </c>
      <c r="S324" s="11">
        <f t="shared" si="46"/>
        <v>1.5312499999708962E-2</v>
      </c>
      <c r="T324" s="11">
        <f t="shared" si="47"/>
        <v>1.7928240740729962E-2</v>
      </c>
    </row>
    <row r="325" spans="1:20" x14ac:dyDescent="0.25">
      <c r="A325" s="3" t="s">
        <v>465</v>
      </c>
      <c r="B325" s="9">
        <v>247.34</v>
      </c>
      <c r="C325" s="3" t="s">
        <v>139</v>
      </c>
      <c r="D325" s="10">
        <v>45688.518587962957</v>
      </c>
      <c r="E325" s="10">
        <v>45688.518587962957</v>
      </c>
      <c r="F325" s="10">
        <v>45688.520752314813</v>
      </c>
      <c r="G325" s="10">
        <v>45688.520752314813</v>
      </c>
      <c r="H325" s="10">
        <v>45688.523530092592</v>
      </c>
      <c r="I325" s="10">
        <v>45688.525381944448</v>
      </c>
      <c r="J325" s="10">
        <v>45688.525381944448</v>
      </c>
      <c r="K325" s="10">
        <v>45688.526261574072</v>
      </c>
      <c r="L325" s="10">
        <v>45688.528414351851</v>
      </c>
      <c r="M325" s="11">
        <f t="shared" si="40"/>
        <v>0</v>
      </c>
      <c r="N325" s="11">
        <f t="shared" si="41"/>
        <v>2.164351855753921E-3</v>
      </c>
      <c r="O325" s="11">
        <f t="shared" si="42"/>
        <v>2.7777777795563452E-3</v>
      </c>
      <c r="P325" s="11">
        <f t="shared" si="43"/>
        <v>1.8518518554628827E-3</v>
      </c>
      <c r="Q325" s="11">
        <f t="shared" si="44"/>
        <v>8.7962962425081059E-4</v>
      </c>
      <c r="R325" s="11">
        <f t="shared" si="45"/>
        <v>2.1527777789742686E-3</v>
      </c>
      <c r="S325" s="11">
        <f t="shared" si="46"/>
        <v>7.662037038244307E-3</v>
      </c>
      <c r="T325" s="11">
        <f t="shared" si="47"/>
        <v>9.826388893998228E-3</v>
      </c>
    </row>
    <row r="326" spans="1:20" x14ac:dyDescent="0.25">
      <c r="A326" s="3" t="s">
        <v>466</v>
      </c>
      <c r="B326" s="9">
        <v>186.66</v>
      </c>
      <c r="C326" s="3" t="s">
        <v>139</v>
      </c>
      <c r="D326" s="10">
        <v>45688.591469907413</v>
      </c>
      <c r="E326" s="10">
        <v>45688.591469907413</v>
      </c>
      <c r="F326" s="10">
        <v>45688.593495370369</v>
      </c>
      <c r="G326" s="10">
        <v>45688.593495370369</v>
      </c>
      <c r="H326" s="10">
        <v>45688.596273148149</v>
      </c>
      <c r="I326" s="10">
        <v>45688.597824074073</v>
      </c>
      <c r="J326" s="10">
        <v>45688.597824074073</v>
      </c>
      <c r="K326" s="10">
        <v>45688.598692129628</v>
      </c>
      <c r="L326" s="10">
        <v>45688.600254629629</v>
      </c>
      <c r="M326" s="11">
        <f t="shared" si="40"/>
        <v>0</v>
      </c>
      <c r="N326" s="11">
        <f t="shared" si="41"/>
        <v>2.0254629562259652E-3</v>
      </c>
      <c r="O326" s="11">
        <f t="shared" si="42"/>
        <v>2.7777777795563452E-3</v>
      </c>
      <c r="P326" s="11">
        <f t="shared" si="43"/>
        <v>1.5509259246755391E-3</v>
      </c>
      <c r="Q326" s="11">
        <f t="shared" si="44"/>
        <v>8.6805555474711582E-4</v>
      </c>
      <c r="R326" s="11">
        <f t="shared" si="45"/>
        <v>1.5625000014551915E-3</v>
      </c>
      <c r="S326" s="11">
        <f t="shared" si="46"/>
        <v>6.7592592604341917E-3</v>
      </c>
      <c r="T326" s="11">
        <f t="shared" si="47"/>
        <v>8.7847222166601568E-3</v>
      </c>
    </row>
    <row r="327" spans="1:20" x14ac:dyDescent="0.25">
      <c r="A327" s="3" t="s">
        <v>467</v>
      </c>
      <c r="B327" s="9">
        <v>332.46</v>
      </c>
      <c r="C327" s="3" t="s">
        <v>139</v>
      </c>
      <c r="D327" s="10">
        <v>45688.625740740739</v>
      </c>
      <c r="E327" s="10">
        <v>45688.625740740739</v>
      </c>
      <c r="F327" s="10">
        <v>45688.628101851849</v>
      </c>
      <c r="G327" s="10">
        <v>45688.628101851849</v>
      </c>
      <c r="H327" s="10">
        <v>45688.630879629629</v>
      </c>
      <c r="I327" s="10">
        <v>45688.640173611107</v>
      </c>
      <c r="J327" s="10">
        <v>45688.640173611107</v>
      </c>
      <c r="K327" s="10">
        <v>45688.641041666669</v>
      </c>
      <c r="L327" s="10">
        <v>45688.654108796298</v>
      </c>
      <c r="M327" s="11">
        <f t="shared" si="40"/>
        <v>0</v>
      </c>
      <c r="N327" s="11">
        <f t="shared" si="41"/>
        <v>2.3611111100763083E-3</v>
      </c>
      <c r="O327" s="11">
        <f t="shared" si="42"/>
        <v>2.7777777795563452E-3</v>
      </c>
      <c r="P327" s="11">
        <f t="shared" si="43"/>
        <v>9.29398147854954E-3</v>
      </c>
      <c r="Q327" s="11">
        <f t="shared" si="44"/>
        <v>8.6805556202307343E-4</v>
      </c>
      <c r="R327" s="11">
        <f t="shared" si="45"/>
        <v>1.3067129628325347E-2</v>
      </c>
      <c r="S327" s="11">
        <f t="shared" si="46"/>
        <v>2.6006944448454306E-2</v>
      </c>
      <c r="T327" s="11">
        <f t="shared" si="47"/>
        <v>2.8368055558530614E-2</v>
      </c>
    </row>
    <row r="328" spans="1:20" x14ac:dyDescent="0.25">
      <c r="A328" s="3" t="s">
        <v>468</v>
      </c>
      <c r="B328" s="9">
        <v>420.55999999999989</v>
      </c>
      <c r="C328" s="3" t="s">
        <v>142</v>
      </c>
      <c r="D328" s="10">
        <v>45688.637939814813</v>
      </c>
      <c r="E328" s="10">
        <v>45688.637939814813</v>
      </c>
      <c r="F328" s="10">
        <v>45688.640069444453</v>
      </c>
      <c r="G328" s="10">
        <v>45688.640069444453</v>
      </c>
      <c r="H328" s="10">
        <v>45688.642847222232</v>
      </c>
      <c r="I328" s="10">
        <v>45688.657465277778</v>
      </c>
      <c r="J328" s="10">
        <v>45688.657465277778</v>
      </c>
      <c r="K328" s="10">
        <v>45688.658333333333</v>
      </c>
      <c r="L328" s="10">
        <v>45688.675798611112</v>
      </c>
      <c r="M328" s="11">
        <f t="shared" si="40"/>
        <v>0</v>
      </c>
      <c r="N328" s="11">
        <f t="shared" si="41"/>
        <v>2.129629639966879E-3</v>
      </c>
      <c r="O328" s="11">
        <f t="shared" si="42"/>
        <v>2.7777777795563452E-3</v>
      </c>
      <c r="P328" s="11">
        <f t="shared" si="43"/>
        <v>1.4618055545724928E-2</v>
      </c>
      <c r="Q328" s="11">
        <f t="shared" si="44"/>
        <v>8.6805555474711582E-4</v>
      </c>
      <c r="R328" s="11">
        <f t="shared" si="45"/>
        <v>1.746527777868323E-2</v>
      </c>
      <c r="S328" s="11">
        <f t="shared" si="46"/>
        <v>3.572916665871162E-2</v>
      </c>
      <c r="T328" s="11">
        <f t="shared" si="47"/>
        <v>3.7858796298678499E-2</v>
      </c>
    </row>
    <row r="329" spans="1:20" x14ac:dyDescent="0.25">
      <c r="A329" s="3" t="s">
        <v>469</v>
      </c>
      <c r="B329" s="9">
        <v>47.22</v>
      </c>
      <c r="C329" s="3" t="s">
        <v>164</v>
      </c>
      <c r="D329" s="10">
        <v>45688.647418981483</v>
      </c>
      <c r="E329" s="10">
        <v>45688.647418981483</v>
      </c>
      <c r="F329" s="10">
        <v>45688.64875</v>
      </c>
      <c r="G329" s="10">
        <v>45688.64875</v>
      </c>
      <c r="H329" s="10">
        <v>45688.65152777778</v>
      </c>
      <c r="I329" s="10">
        <v>45688.651875000003</v>
      </c>
      <c r="J329" s="10">
        <v>45688.651875000003</v>
      </c>
      <c r="K329" s="10">
        <v>45688.654976851853</v>
      </c>
      <c r="L329" s="10">
        <v>45688.654976851853</v>
      </c>
      <c r="M329" s="11">
        <f t="shared" si="40"/>
        <v>0</v>
      </c>
      <c r="N329" s="11">
        <f t="shared" si="41"/>
        <v>1.3310185167938471E-3</v>
      </c>
      <c r="O329" s="11">
        <f t="shared" si="42"/>
        <v>2.7777777795563452E-3</v>
      </c>
      <c r="P329" s="11">
        <f t="shared" si="43"/>
        <v>3.4722222335403785E-4</v>
      </c>
      <c r="Q329" s="11">
        <f t="shared" si="44"/>
        <v>3.1018518493510783E-3</v>
      </c>
      <c r="R329" s="11">
        <f t="shared" si="45"/>
        <v>0</v>
      </c>
      <c r="S329" s="11">
        <f t="shared" si="46"/>
        <v>6.2268518522614613E-3</v>
      </c>
      <c r="T329" s="11">
        <f t="shared" si="47"/>
        <v>7.5578703690553084E-3</v>
      </c>
    </row>
    <row r="330" spans="1:20" x14ac:dyDescent="0.25">
      <c r="A330" s="3" t="s">
        <v>470</v>
      </c>
      <c r="B330" s="9">
        <v>302.12000000000012</v>
      </c>
      <c r="C330" s="3" t="s">
        <v>139</v>
      </c>
      <c r="D330" s="10">
        <v>45688.729768518519</v>
      </c>
      <c r="E330" s="10">
        <v>45688.729768518519</v>
      </c>
      <c r="F330" s="10">
        <v>45688.732060185182</v>
      </c>
      <c r="G330" s="10">
        <v>45688.732060185182</v>
      </c>
      <c r="H330" s="10">
        <v>45688.734837962962</v>
      </c>
      <c r="I330" s="10">
        <v>45688.737349537027</v>
      </c>
      <c r="J330" s="10">
        <v>45688.737349537027</v>
      </c>
      <c r="K330" s="10">
        <v>45688.738217592603</v>
      </c>
      <c r="L330" s="10">
        <v>45688.740162037036</v>
      </c>
      <c r="M330" s="11">
        <f t="shared" si="40"/>
        <v>0</v>
      </c>
      <c r="N330" s="11">
        <f t="shared" si="41"/>
        <v>2.2916666639503092E-3</v>
      </c>
      <c r="O330" s="11">
        <f t="shared" si="42"/>
        <v>2.7777777795563452E-3</v>
      </c>
      <c r="P330" s="11">
        <f t="shared" si="43"/>
        <v>2.5115740645560436E-3</v>
      </c>
      <c r="Q330" s="11">
        <f t="shared" si="44"/>
        <v>8.6805557657498866E-4</v>
      </c>
      <c r="R330" s="11">
        <f t="shared" si="45"/>
        <v>1.9444444333203137E-3</v>
      </c>
      <c r="S330" s="11">
        <f t="shared" si="46"/>
        <v>8.1018518540076911E-3</v>
      </c>
      <c r="T330" s="11">
        <f t="shared" si="47"/>
        <v>1.0393518517958E-2</v>
      </c>
    </row>
    <row r="331" spans="1:20" x14ac:dyDescent="0.25">
      <c r="A331" s="3" t="s">
        <v>471</v>
      </c>
      <c r="B331" s="9">
        <v>193.12</v>
      </c>
      <c r="C331" s="3" t="s">
        <v>142</v>
      </c>
      <c r="D331" s="10">
        <v>45688.739953703713</v>
      </c>
      <c r="E331" s="10">
        <v>45688.739953703713</v>
      </c>
      <c r="F331" s="10">
        <v>45688.741550925923</v>
      </c>
      <c r="G331" s="10">
        <v>45688.741550925923</v>
      </c>
      <c r="H331" s="10">
        <v>45688.744328703702</v>
      </c>
      <c r="I331" s="10">
        <v>45688.745833333327</v>
      </c>
      <c r="J331" s="10">
        <v>45688.745833333327</v>
      </c>
      <c r="K331" s="10">
        <v>45688.746712962973</v>
      </c>
      <c r="L331" s="10">
        <v>45688.74900462963</v>
      </c>
      <c r="M331" s="11">
        <f t="shared" si="40"/>
        <v>0</v>
      </c>
      <c r="N331" s="11">
        <f t="shared" si="41"/>
        <v>1.5972222099662758E-3</v>
      </c>
      <c r="O331" s="11">
        <f t="shared" si="42"/>
        <v>2.7777777795563452E-3</v>
      </c>
      <c r="P331" s="11">
        <f t="shared" si="43"/>
        <v>1.5046296248328872E-3</v>
      </c>
      <c r="Q331" s="11">
        <f t="shared" si="44"/>
        <v>8.7962964607868344E-4</v>
      </c>
      <c r="R331" s="11">
        <f t="shared" si="45"/>
        <v>2.2916666566743515E-3</v>
      </c>
      <c r="S331" s="11">
        <f t="shared" si="46"/>
        <v>7.4537037071422674E-3</v>
      </c>
      <c r="T331" s="11">
        <f t="shared" si="47"/>
        <v>9.0509259171085432E-3</v>
      </c>
    </row>
    <row r="332" spans="1:20" x14ac:dyDescent="0.25">
      <c r="A332" s="3" t="s">
        <v>472</v>
      </c>
      <c r="B332" s="9">
        <v>351.04</v>
      </c>
      <c r="C332" s="3" t="s">
        <v>139</v>
      </c>
      <c r="D332" s="10">
        <v>45688.836527777778</v>
      </c>
      <c r="E332" s="10">
        <v>45688.836527777778</v>
      </c>
      <c r="F332" s="10">
        <v>45688.838935185187</v>
      </c>
      <c r="G332" s="10">
        <v>45688.838935185187</v>
      </c>
      <c r="H332" s="10">
        <v>45688.84171296296</v>
      </c>
      <c r="I332" s="10">
        <v>45688.850173611107</v>
      </c>
      <c r="J332" s="10">
        <v>45688.850173611107</v>
      </c>
      <c r="K332" s="10">
        <v>45688.851053240738</v>
      </c>
      <c r="L332" s="10">
        <v>45688.862488425933</v>
      </c>
      <c r="M332" s="11">
        <f t="shared" si="40"/>
        <v>0</v>
      </c>
      <c r="N332" s="11">
        <f t="shared" si="41"/>
        <v>2.4074074099189602E-3</v>
      </c>
      <c r="O332" s="11">
        <f t="shared" si="42"/>
        <v>2.7777777722803876E-3</v>
      </c>
      <c r="P332" s="11">
        <f t="shared" si="43"/>
        <v>8.4606481468654238E-3</v>
      </c>
      <c r="Q332" s="11">
        <f t="shared" si="44"/>
        <v>8.7962963152676821E-4</v>
      </c>
      <c r="R332" s="11">
        <f t="shared" si="45"/>
        <v>1.1435185195296071E-2</v>
      </c>
      <c r="S332" s="11">
        <f t="shared" si="46"/>
        <v>2.3553240745968651E-2</v>
      </c>
      <c r="T332" s="11">
        <f t="shared" si="47"/>
        <v>2.5960648155887611E-2</v>
      </c>
    </row>
  </sheetData>
  <autoFilter ref="A1:T33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190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7" width="19" customWidth="1"/>
    <col min="8" max="8" width="8.140625" customWidth="1"/>
    <col min="9" max="12" width="19" customWidth="1"/>
    <col min="13" max="14" width="8.140625" customWidth="1"/>
    <col min="15" max="15" width="19" customWidth="1"/>
    <col min="16" max="16" width="8.140625" customWidth="1"/>
    <col min="17" max="17" width="100" customWidth="1"/>
  </cols>
  <sheetData>
    <row r="1" spans="1:17" ht="45" customHeight="1" x14ac:dyDescent="0.25">
      <c r="A1" s="1" t="s">
        <v>125</v>
      </c>
      <c r="B1" s="1" t="s">
        <v>473</v>
      </c>
      <c r="C1" s="1" t="s">
        <v>126</v>
      </c>
      <c r="D1" s="1" t="s">
        <v>474</v>
      </c>
      <c r="E1" s="1" t="s">
        <v>130</v>
      </c>
      <c r="F1" s="1" t="s">
        <v>475</v>
      </c>
      <c r="G1" s="1" t="s">
        <v>476</v>
      </c>
      <c r="H1" s="1" t="s">
        <v>477</v>
      </c>
      <c r="I1" s="1" t="s">
        <v>478</v>
      </c>
      <c r="J1" s="1" t="s">
        <v>479</v>
      </c>
      <c r="K1" s="1" t="s">
        <v>480</v>
      </c>
      <c r="L1" s="1" t="s">
        <v>481</v>
      </c>
      <c r="M1" s="1" t="s">
        <v>48</v>
      </c>
      <c r="N1" s="1" t="s">
        <v>51</v>
      </c>
      <c r="O1" s="1" t="s">
        <v>482</v>
      </c>
      <c r="P1" s="1" t="s">
        <v>54</v>
      </c>
      <c r="Q1" s="1" t="s">
        <v>57</v>
      </c>
    </row>
    <row r="2" spans="1:17" ht="51" x14ac:dyDescent="0.25">
      <c r="A2" s="3" t="s">
        <v>483</v>
      </c>
      <c r="B2" s="3" t="s">
        <v>138</v>
      </c>
      <c r="C2" s="9">
        <v>19.899999999999999</v>
      </c>
      <c r="D2" s="3" t="s">
        <v>484</v>
      </c>
      <c r="E2" s="10">
        <v>45659.113043981481</v>
      </c>
      <c r="F2" s="10">
        <v>45659.121018518519</v>
      </c>
      <c r="G2" s="10">
        <v>45659.122187499997</v>
      </c>
      <c r="H2" s="3" t="s">
        <v>485</v>
      </c>
      <c r="I2" s="10">
        <v>45660.262696759259</v>
      </c>
      <c r="J2" s="10">
        <v>45660.280532407407</v>
      </c>
      <c r="K2" s="10">
        <v>45660.280532407407</v>
      </c>
      <c r="L2" s="10">
        <v>45660.281238425923</v>
      </c>
      <c r="M2" s="11">
        <f t="shared" ref="M2:M65" si="0">IF(AND(ISNUMBER(E2),ISNUMBER(G2)),(G2-E2),"")</f>
        <v>9.1435185167938471E-3</v>
      </c>
      <c r="N2" s="11">
        <f t="shared" ref="N2:N65" si="1">IF(AND(ISNUMBER(G2),ISNUMBER(L2)),(L2-G2),"")</f>
        <v>1.1590509259258397</v>
      </c>
      <c r="O2" s="10">
        <v>45659.124374999999</v>
      </c>
      <c r="P2" s="11">
        <f t="shared" ref="P2:P65" si="2">IF(AND(ISNUMBER(I2),ISNUMBER(O2)),(I2-O2),"")</f>
        <v>1.13832175925927</v>
      </c>
      <c r="Q2" s="12" t="s">
        <v>486</v>
      </c>
    </row>
    <row r="3" spans="1:17" x14ac:dyDescent="0.25">
      <c r="A3" s="3" t="s">
        <v>487</v>
      </c>
      <c r="B3" s="3" t="s">
        <v>138</v>
      </c>
      <c r="C3" s="9">
        <v>103.9</v>
      </c>
      <c r="D3" s="3" t="s">
        <v>488</v>
      </c>
      <c r="E3" s="10">
        <v>45659.113043981481</v>
      </c>
      <c r="F3" s="10">
        <v>45659.122187499997</v>
      </c>
      <c r="G3" s="10">
        <v>45659.123668981483</v>
      </c>
      <c r="H3" s="3" t="s">
        <v>489</v>
      </c>
      <c r="I3" s="10">
        <v>45659.126701388886</v>
      </c>
      <c r="J3" s="10">
        <v>45659.144733796304</v>
      </c>
      <c r="K3" s="10">
        <v>45659.144733796304</v>
      </c>
      <c r="L3" s="10">
        <v>45659.145405092589</v>
      </c>
      <c r="M3" s="11">
        <f t="shared" si="0"/>
        <v>1.0625000002619345E-2</v>
      </c>
      <c r="N3" s="11">
        <f t="shared" si="1"/>
        <v>2.173611110629281E-2</v>
      </c>
      <c r="O3" s="10">
        <v>45659.125833333332</v>
      </c>
      <c r="P3" s="11">
        <f t="shared" si="2"/>
        <v>8.6805555474711582E-4</v>
      </c>
      <c r="Q3" s="12" t="s">
        <v>490</v>
      </c>
    </row>
    <row r="4" spans="1:17" ht="38.25" x14ac:dyDescent="0.25">
      <c r="A4" s="3" t="s">
        <v>491</v>
      </c>
      <c r="B4" s="3" t="s">
        <v>138</v>
      </c>
      <c r="C4" s="9">
        <v>71.739999999999995</v>
      </c>
      <c r="D4" s="3" t="s">
        <v>492</v>
      </c>
      <c r="E4" s="10">
        <v>45659.113043981481</v>
      </c>
      <c r="F4" s="10">
        <v>45659.123668981483</v>
      </c>
      <c r="G4" s="10">
        <v>45659.125717592593</v>
      </c>
      <c r="H4" s="3" t="s">
        <v>493</v>
      </c>
      <c r="I4" s="10">
        <v>45659.641388888893</v>
      </c>
      <c r="J4" s="10">
        <v>45659.704479166663</v>
      </c>
      <c r="K4" s="10">
        <v>45659.704606481479</v>
      </c>
      <c r="L4" s="10">
        <v>45659.705833333333</v>
      </c>
      <c r="M4" s="11">
        <f t="shared" si="0"/>
        <v>1.2673611112404615E-2</v>
      </c>
      <c r="N4" s="11">
        <f t="shared" si="1"/>
        <v>0.58011574074043892</v>
      </c>
      <c r="O4" s="10">
        <v>45659.127893518518</v>
      </c>
      <c r="P4" s="11">
        <f t="shared" si="2"/>
        <v>0.51349537037458504</v>
      </c>
      <c r="Q4" s="12" t="s">
        <v>494</v>
      </c>
    </row>
    <row r="5" spans="1:17" ht="38.25" x14ac:dyDescent="0.25">
      <c r="A5" s="3" t="s">
        <v>495</v>
      </c>
      <c r="B5" s="3" t="s">
        <v>138</v>
      </c>
      <c r="C5" s="9">
        <v>31.48</v>
      </c>
      <c r="D5" s="3" t="s">
        <v>496</v>
      </c>
      <c r="E5" s="10">
        <v>45659.113043981481</v>
      </c>
      <c r="F5" s="10">
        <v>45659.125717592593</v>
      </c>
      <c r="G5" s="10">
        <v>45659.12777777778</v>
      </c>
      <c r="H5" s="3" t="s">
        <v>497</v>
      </c>
      <c r="I5" s="10">
        <v>45660.277326388888</v>
      </c>
      <c r="J5" s="10">
        <v>45660.312858796293</v>
      </c>
      <c r="K5" s="10">
        <v>45660.312858796293</v>
      </c>
      <c r="L5" s="10">
        <v>45660.313831018517</v>
      </c>
      <c r="M5" s="11">
        <f t="shared" si="0"/>
        <v>1.4733796298969537E-2</v>
      </c>
      <c r="N5" s="11">
        <f t="shared" si="1"/>
        <v>1.1860532407372375</v>
      </c>
      <c r="O5" s="10">
        <v>45659.129942129628</v>
      </c>
      <c r="P5" s="11">
        <f t="shared" si="2"/>
        <v>1.1473842592604342</v>
      </c>
      <c r="Q5" s="12" t="s">
        <v>498</v>
      </c>
    </row>
    <row r="6" spans="1:17" x14ac:dyDescent="0.25">
      <c r="A6" s="3" t="s">
        <v>499</v>
      </c>
      <c r="B6" s="3" t="s">
        <v>140</v>
      </c>
      <c r="C6" s="9">
        <v>182.7</v>
      </c>
      <c r="D6" s="3" t="s">
        <v>500</v>
      </c>
      <c r="E6" s="10">
        <v>45659.271226851852</v>
      </c>
      <c r="F6" s="10">
        <v>45659.276192129633</v>
      </c>
      <c r="G6" s="10">
        <v>45659.277858796297</v>
      </c>
      <c r="H6" s="3" t="s">
        <v>501</v>
      </c>
      <c r="I6" s="10">
        <v>45659.281099537038</v>
      </c>
      <c r="J6" s="10">
        <v>45659.3128125</v>
      </c>
      <c r="K6" s="10">
        <v>45659.3128125</v>
      </c>
      <c r="L6" s="10">
        <v>45659.313668981478</v>
      </c>
      <c r="M6" s="11">
        <f t="shared" si="0"/>
        <v>6.6319444449618459E-3</v>
      </c>
      <c r="N6" s="11">
        <f t="shared" si="1"/>
        <v>3.5810185181617271E-2</v>
      </c>
      <c r="O6" s="10">
        <v>45659.28025462963</v>
      </c>
      <c r="P6" s="11">
        <f t="shared" si="2"/>
        <v>8.4490740846376866E-4</v>
      </c>
      <c r="Q6" s="12" t="s">
        <v>502</v>
      </c>
    </row>
    <row r="7" spans="1:17" ht="38.25" x14ac:dyDescent="0.25">
      <c r="A7" s="3" t="s">
        <v>503</v>
      </c>
      <c r="B7" s="3" t="s">
        <v>141</v>
      </c>
      <c r="C7" s="9">
        <v>15.74</v>
      </c>
      <c r="D7" s="3" t="s">
        <v>484</v>
      </c>
      <c r="E7" s="10">
        <v>45659.300416666672</v>
      </c>
      <c r="F7" s="10">
        <v>45659.319074074083</v>
      </c>
      <c r="G7" s="10">
        <v>45659.320208333331</v>
      </c>
      <c r="H7" s="3" t="s">
        <v>485</v>
      </c>
      <c r="I7" s="10">
        <v>45660.262696759259</v>
      </c>
      <c r="J7" s="10">
        <v>45660.280532407407</v>
      </c>
      <c r="K7" s="10">
        <v>45660.280532407407</v>
      </c>
      <c r="L7" s="10">
        <v>45660.281238425923</v>
      </c>
      <c r="M7" s="11">
        <f t="shared" si="0"/>
        <v>1.9791666658420581E-2</v>
      </c>
      <c r="N7" s="11">
        <f t="shared" si="1"/>
        <v>0.96103009259240935</v>
      </c>
      <c r="O7" s="10">
        <v>45659.324131944442</v>
      </c>
      <c r="P7" s="11">
        <f t="shared" si="2"/>
        <v>0.93856481481634546</v>
      </c>
      <c r="Q7" s="12" t="s">
        <v>504</v>
      </c>
    </row>
    <row r="8" spans="1:17" x14ac:dyDescent="0.25">
      <c r="A8" s="3" t="s">
        <v>505</v>
      </c>
      <c r="B8" s="3" t="s">
        <v>141</v>
      </c>
      <c r="C8" s="9">
        <v>264.62</v>
      </c>
      <c r="D8" s="3" t="s">
        <v>506</v>
      </c>
      <c r="E8" s="10">
        <v>45659.300416666672</v>
      </c>
      <c r="F8" s="10">
        <v>45659.320208333331</v>
      </c>
      <c r="G8" s="10">
        <v>45659.322488425933</v>
      </c>
      <c r="H8" s="3" t="s">
        <v>507</v>
      </c>
      <c r="I8" s="10">
        <v>45659.325868055559</v>
      </c>
      <c r="J8" s="10">
        <v>45659.371805555558</v>
      </c>
      <c r="K8" s="10">
        <v>45659.371805555558</v>
      </c>
      <c r="L8" s="10">
        <v>45659.373020833344</v>
      </c>
      <c r="M8" s="11">
        <f t="shared" si="0"/>
        <v>2.2071759260143153E-2</v>
      </c>
      <c r="N8" s="11">
        <f t="shared" si="1"/>
        <v>5.0532407411083113E-2</v>
      </c>
      <c r="O8" s="10">
        <v>45659.324884259258</v>
      </c>
      <c r="P8" s="11">
        <f t="shared" si="2"/>
        <v>9.8379630071576685E-4</v>
      </c>
      <c r="Q8" s="12" t="s">
        <v>508</v>
      </c>
    </row>
    <row r="9" spans="1:17" ht="38.25" x14ac:dyDescent="0.25">
      <c r="A9" s="3" t="s">
        <v>509</v>
      </c>
      <c r="B9" s="3" t="s">
        <v>141</v>
      </c>
      <c r="C9" s="9">
        <v>21</v>
      </c>
      <c r="D9" s="3" t="s">
        <v>488</v>
      </c>
      <c r="E9" s="10">
        <v>45659.300416666672</v>
      </c>
      <c r="F9" s="10">
        <v>45659.322488425933</v>
      </c>
      <c r="G9" s="10">
        <v>45659.324224537027</v>
      </c>
      <c r="H9" s="3" t="s">
        <v>510</v>
      </c>
      <c r="I9" s="10">
        <v>45659.784050925933</v>
      </c>
      <c r="J9" s="10">
        <v>45659.801898148151</v>
      </c>
      <c r="K9" s="10">
        <v>45659.801898148151</v>
      </c>
      <c r="L9" s="10">
        <v>45659.802673611113</v>
      </c>
      <c r="M9" s="11">
        <f t="shared" si="0"/>
        <v>2.380787035508547E-2</v>
      </c>
      <c r="N9" s="11">
        <f t="shared" si="1"/>
        <v>0.47844907408580184</v>
      </c>
      <c r="O9" s="10">
        <v>45659.326597222222</v>
      </c>
      <c r="P9" s="11">
        <f t="shared" si="2"/>
        <v>0.45745370371150784</v>
      </c>
      <c r="Q9" s="12" t="s">
        <v>511</v>
      </c>
    </row>
    <row r="10" spans="1:17" ht="38.25" x14ac:dyDescent="0.25">
      <c r="A10" s="3" t="s">
        <v>512</v>
      </c>
      <c r="B10" s="3" t="s">
        <v>141</v>
      </c>
      <c r="C10" s="9">
        <v>12.04</v>
      </c>
      <c r="D10" s="3" t="s">
        <v>492</v>
      </c>
      <c r="E10" s="10">
        <v>45659.300416666672</v>
      </c>
      <c r="F10" s="10">
        <v>45659.324224537027</v>
      </c>
      <c r="G10" s="10">
        <v>45659.326099537036</v>
      </c>
      <c r="H10" s="3" t="s">
        <v>493</v>
      </c>
      <c r="I10" s="10">
        <v>45659.641388888893</v>
      </c>
      <c r="J10" s="10">
        <v>45659.704479166663</v>
      </c>
      <c r="K10" s="10">
        <v>45659.704606481479</v>
      </c>
      <c r="L10" s="10">
        <v>45659.705833333333</v>
      </c>
      <c r="M10" s="11">
        <f t="shared" si="0"/>
        <v>2.5682870364107657E-2</v>
      </c>
      <c r="N10" s="11">
        <f t="shared" si="1"/>
        <v>0.37973379629693227</v>
      </c>
      <c r="O10" s="10">
        <v>45659.330023148148</v>
      </c>
      <c r="P10" s="11">
        <f t="shared" si="2"/>
        <v>0.3113657407448045</v>
      </c>
      <c r="Q10" s="12" t="s">
        <v>513</v>
      </c>
    </row>
    <row r="11" spans="1:17" ht="25.5" x14ac:dyDescent="0.25">
      <c r="A11" s="3" t="s">
        <v>514</v>
      </c>
      <c r="B11" s="3" t="s">
        <v>141</v>
      </c>
      <c r="C11" s="9">
        <v>98.6</v>
      </c>
      <c r="D11" s="3" t="s">
        <v>515</v>
      </c>
      <c r="E11" s="10">
        <v>45659.300416666672</v>
      </c>
      <c r="F11" s="10">
        <v>45659.326099537036</v>
      </c>
      <c r="G11" s="10">
        <v>45659.328217592592</v>
      </c>
      <c r="H11" s="3" t="s">
        <v>516</v>
      </c>
      <c r="I11" s="10">
        <v>45659.414317129631</v>
      </c>
      <c r="J11" s="10">
        <v>45659.437615740739</v>
      </c>
      <c r="K11" s="10">
        <v>45659.437615740739</v>
      </c>
      <c r="L11" s="10">
        <v>45659.438483796293</v>
      </c>
      <c r="M11" s="11">
        <f t="shared" si="0"/>
        <v>2.7800925920018926E-2</v>
      </c>
      <c r="N11" s="11">
        <f t="shared" si="1"/>
        <v>0.11026620370103046</v>
      </c>
      <c r="O11" s="10">
        <v>45659.330590277779</v>
      </c>
      <c r="P11" s="11">
        <f t="shared" si="2"/>
        <v>8.3726851851679385E-2</v>
      </c>
      <c r="Q11" s="12" t="s">
        <v>517</v>
      </c>
    </row>
    <row r="12" spans="1:17" ht="38.25" x14ac:dyDescent="0.25">
      <c r="A12" s="3" t="s">
        <v>518</v>
      </c>
      <c r="B12" s="3" t="s">
        <v>141</v>
      </c>
      <c r="C12" s="9">
        <v>21</v>
      </c>
      <c r="D12" s="3" t="s">
        <v>519</v>
      </c>
      <c r="E12" s="10">
        <v>45659.300416666672</v>
      </c>
      <c r="F12" s="10">
        <v>45659.328217592592</v>
      </c>
      <c r="G12" s="10">
        <v>45659.329918981479</v>
      </c>
      <c r="H12" s="3" t="s">
        <v>520</v>
      </c>
      <c r="I12" s="10">
        <v>45659.662002314813</v>
      </c>
      <c r="J12" s="10">
        <v>45659.681932870371</v>
      </c>
      <c r="K12" s="10">
        <v>45659.681932870371</v>
      </c>
      <c r="L12" s="10">
        <v>45659.682708333326</v>
      </c>
      <c r="M12" s="11">
        <f t="shared" si="0"/>
        <v>2.9502314806450158E-2</v>
      </c>
      <c r="N12" s="11">
        <f t="shared" si="1"/>
        <v>0.35278935184760485</v>
      </c>
      <c r="O12" s="10">
        <v>45659.333287037043</v>
      </c>
      <c r="P12" s="11">
        <f t="shared" si="2"/>
        <v>0.32871527777024312</v>
      </c>
      <c r="Q12" s="12" t="s">
        <v>521</v>
      </c>
    </row>
    <row r="13" spans="1:17" ht="51" x14ac:dyDescent="0.25">
      <c r="A13" s="3" t="s">
        <v>522</v>
      </c>
      <c r="B13" s="3" t="s">
        <v>141</v>
      </c>
      <c r="C13" s="9">
        <v>15.74</v>
      </c>
      <c r="D13" s="3" t="s">
        <v>523</v>
      </c>
      <c r="E13" s="10">
        <v>45659.300416666672</v>
      </c>
      <c r="F13" s="10">
        <v>45659.329918981479</v>
      </c>
      <c r="G13" s="10">
        <v>45659.331504629627</v>
      </c>
      <c r="H13" s="3" t="s">
        <v>524</v>
      </c>
      <c r="I13" s="10">
        <v>45660.894756944443</v>
      </c>
      <c r="J13" s="10">
        <v>45660.914722222216</v>
      </c>
      <c r="K13" s="10">
        <v>45660.914722222216</v>
      </c>
      <c r="L13" s="10">
        <v>45660.915590277778</v>
      </c>
      <c r="M13" s="11">
        <f t="shared" si="0"/>
        <v>3.1087962954188697E-2</v>
      </c>
      <c r="N13" s="11">
        <f t="shared" si="1"/>
        <v>1.5840856481518131</v>
      </c>
      <c r="O13" s="10">
        <v>45659.333877314813</v>
      </c>
      <c r="P13" s="11">
        <f t="shared" si="2"/>
        <v>1.5608796296291985</v>
      </c>
      <c r="Q13" s="12" t="s">
        <v>525</v>
      </c>
    </row>
    <row r="14" spans="1:17" ht="25.5" x14ac:dyDescent="0.25">
      <c r="A14" s="3" t="s">
        <v>526</v>
      </c>
      <c r="B14" s="3" t="s">
        <v>141</v>
      </c>
      <c r="C14" s="9">
        <v>54</v>
      </c>
      <c r="D14" s="3" t="s">
        <v>527</v>
      </c>
      <c r="E14" s="10">
        <v>45659.300416666672</v>
      </c>
      <c r="F14" s="10">
        <v>45659.331504629627</v>
      </c>
      <c r="G14" s="10">
        <v>45659.333067129628</v>
      </c>
      <c r="H14" s="3" t="s">
        <v>528</v>
      </c>
      <c r="I14" s="10">
        <v>45659.416493055563</v>
      </c>
      <c r="J14" s="10">
        <v>45659.435243055559</v>
      </c>
      <c r="K14" s="10">
        <v>45659.435243055559</v>
      </c>
      <c r="L14" s="10">
        <v>45659.436030092591</v>
      </c>
      <c r="M14" s="11">
        <f t="shared" si="0"/>
        <v>3.2650462955643889E-2</v>
      </c>
      <c r="N14" s="11">
        <f t="shared" si="1"/>
        <v>0.10296296296291985</v>
      </c>
      <c r="O14" s="10">
        <v>45659.336550925917</v>
      </c>
      <c r="P14" s="11">
        <f t="shared" si="2"/>
        <v>7.9942129646951798E-2</v>
      </c>
      <c r="Q14" s="12" t="s">
        <v>529</v>
      </c>
    </row>
    <row r="15" spans="1:17" ht="38.25" x14ac:dyDescent="0.25">
      <c r="A15" s="3" t="s">
        <v>530</v>
      </c>
      <c r="B15" s="3" t="s">
        <v>141</v>
      </c>
      <c r="C15" s="9">
        <v>19.899999999999999</v>
      </c>
      <c r="D15" s="3" t="s">
        <v>488</v>
      </c>
      <c r="E15" s="10">
        <v>45659.300416666672</v>
      </c>
      <c r="F15" s="10">
        <v>45659.333067129628</v>
      </c>
      <c r="G15" s="10">
        <v>45659.334803240738</v>
      </c>
      <c r="H15" s="3" t="s">
        <v>510</v>
      </c>
      <c r="I15" s="10">
        <v>45659.784050925933</v>
      </c>
      <c r="J15" s="10">
        <v>45659.801898148151</v>
      </c>
      <c r="K15" s="10">
        <v>45659.801898148151</v>
      </c>
      <c r="L15" s="10">
        <v>45659.802673611113</v>
      </c>
      <c r="M15" s="11">
        <f t="shared" si="0"/>
        <v>3.438657406513812E-2</v>
      </c>
      <c r="N15" s="11">
        <f t="shared" si="1"/>
        <v>0.46787037037574919</v>
      </c>
      <c r="O15" s="10">
        <v>45659.338703703703</v>
      </c>
      <c r="P15" s="11">
        <f t="shared" si="2"/>
        <v>0.44534722223033896</v>
      </c>
      <c r="Q15" s="12" t="s">
        <v>531</v>
      </c>
    </row>
    <row r="16" spans="1:17" ht="38.25" x14ac:dyDescent="0.25">
      <c r="A16" s="3" t="s">
        <v>532</v>
      </c>
      <c r="B16" s="3" t="s">
        <v>141</v>
      </c>
      <c r="C16" s="9">
        <v>15.74</v>
      </c>
      <c r="D16" s="3" t="s">
        <v>533</v>
      </c>
      <c r="E16" s="10">
        <v>45659.300416666672</v>
      </c>
      <c r="F16" s="10">
        <v>45659.334803240738</v>
      </c>
      <c r="G16" s="10">
        <v>45659.336157407408</v>
      </c>
      <c r="H16" s="3" t="s">
        <v>534</v>
      </c>
      <c r="I16" s="10">
        <v>45659.870798611111</v>
      </c>
      <c r="J16" s="10">
        <v>45659.898125</v>
      </c>
      <c r="K16" s="10">
        <v>45659.898125</v>
      </c>
      <c r="L16" s="10">
        <v>45659.898969907408</v>
      </c>
      <c r="M16" s="11">
        <f t="shared" si="0"/>
        <v>3.5740740735491272E-2</v>
      </c>
      <c r="N16" s="11">
        <f t="shared" si="1"/>
        <v>0.56281250000029104</v>
      </c>
      <c r="O16" s="10">
        <v>45659.339814814812</v>
      </c>
      <c r="P16" s="11">
        <f t="shared" si="2"/>
        <v>0.53098379629955161</v>
      </c>
      <c r="Q16" s="12" t="s">
        <v>535</v>
      </c>
    </row>
    <row r="17" spans="1:17" ht="38.25" x14ac:dyDescent="0.25">
      <c r="A17" s="3" t="s">
        <v>536</v>
      </c>
      <c r="B17" s="3" t="s">
        <v>141</v>
      </c>
      <c r="C17" s="9">
        <v>19.899999999999999</v>
      </c>
      <c r="D17" s="3" t="s">
        <v>519</v>
      </c>
      <c r="E17" s="10">
        <v>45659.300416666672</v>
      </c>
      <c r="F17" s="10">
        <v>45659.336157407408</v>
      </c>
      <c r="G17" s="10">
        <v>45659.337858796287</v>
      </c>
      <c r="H17" s="3" t="s">
        <v>520</v>
      </c>
      <c r="I17" s="10">
        <v>45659.662002314813</v>
      </c>
      <c r="J17" s="10">
        <v>45659.681932870371</v>
      </c>
      <c r="K17" s="10">
        <v>45659.681932870371</v>
      </c>
      <c r="L17" s="10">
        <v>45659.682708333326</v>
      </c>
      <c r="M17" s="11">
        <f t="shared" si="0"/>
        <v>3.7442129614646547E-2</v>
      </c>
      <c r="N17" s="11">
        <f t="shared" si="1"/>
        <v>0.34484953703940846</v>
      </c>
      <c r="O17" s="10">
        <v>45659.343449074076</v>
      </c>
      <c r="P17" s="11">
        <f t="shared" si="2"/>
        <v>0.31855324073694646</v>
      </c>
      <c r="Q17" s="12" t="s">
        <v>537</v>
      </c>
    </row>
    <row r="18" spans="1:17" ht="38.25" x14ac:dyDescent="0.25">
      <c r="A18" s="3" t="s">
        <v>538</v>
      </c>
      <c r="B18" s="3" t="s">
        <v>141</v>
      </c>
      <c r="C18" s="9">
        <v>19.899999999999999</v>
      </c>
      <c r="D18" s="3" t="s">
        <v>539</v>
      </c>
      <c r="E18" s="10">
        <v>45659.300416666672</v>
      </c>
      <c r="F18" s="10">
        <v>45659.337858796287</v>
      </c>
      <c r="G18" s="10">
        <v>45659.339131944442</v>
      </c>
      <c r="H18" s="3" t="s">
        <v>540</v>
      </c>
      <c r="I18" s="10">
        <v>45660.668599537043</v>
      </c>
      <c r="J18" s="10">
        <v>45660.689328703702</v>
      </c>
      <c r="K18" s="10">
        <v>45660.689328703702</v>
      </c>
      <c r="L18" s="10">
        <v>45660.690150462957</v>
      </c>
      <c r="M18" s="11">
        <f t="shared" si="0"/>
        <v>3.8715277769370005E-2</v>
      </c>
      <c r="N18" s="11">
        <f t="shared" si="1"/>
        <v>1.3510185185150476</v>
      </c>
      <c r="O18" s="10">
        <v>45659.343078703707</v>
      </c>
      <c r="P18" s="11">
        <f t="shared" si="2"/>
        <v>1.3255208333357587</v>
      </c>
      <c r="Q18" s="12" t="s">
        <v>541</v>
      </c>
    </row>
    <row r="19" spans="1:17" x14ac:dyDescent="0.25">
      <c r="A19" s="3" t="s">
        <v>542</v>
      </c>
      <c r="B19" s="3" t="s">
        <v>143</v>
      </c>
      <c r="C19" s="9">
        <v>188.96</v>
      </c>
      <c r="D19" s="3" t="s">
        <v>500</v>
      </c>
      <c r="E19" s="10">
        <v>45659.308865740742</v>
      </c>
      <c r="F19" s="10">
        <v>45659.313958333332</v>
      </c>
      <c r="G19" s="10">
        <v>45659.316319444442</v>
      </c>
      <c r="H19" s="3" t="s">
        <v>543</v>
      </c>
      <c r="I19" s="10">
        <v>45659.319548611107</v>
      </c>
      <c r="J19" s="10">
        <v>45659.352349537039</v>
      </c>
      <c r="K19" s="10">
        <v>45659.352349537039</v>
      </c>
      <c r="L19" s="10">
        <v>45659.353333333333</v>
      </c>
      <c r="M19" s="11">
        <f t="shared" si="0"/>
        <v>7.4537036998663098E-3</v>
      </c>
      <c r="N19" s="11">
        <f t="shared" si="1"/>
        <v>3.701388889021473E-2</v>
      </c>
      <c r="O19" s="10">
        <v>45659.318715277783</v>
      </c>
      <c r="P19" s="11">
        <f t="shared" si="2"/>
        <v>8.3333332440815866E-4</v>
      </c>
      <c r="Q19" s="12" t="s">
        <v>544</v>
      </c>
    </row>
    <row r="20" spans="1:17" x14ac:dyDescent="0.25">
      <c r="A20" s="3" t="s">
        <v>545</v>
      </c>
      <c r="B20" s="3" t="s">
        <v>144</v>
      </c>
      <c r="C20" s="9">
        <v>396.56000000000012</v>
      </c>
      <c r="D20" s="3" t="s">
        <v>500</v>
      </c>
      <c r="E20" s="10">
        <v>45659.336354166669</v>
      </c>
      <c r="F20" s="10">
        <v>45659.343194444453</v>
      </c>
      <c r="G20" s="10">
        <v>45659.345358796287</v>
      </c>
      <c r="H20" s="3" t="s">
        <v>546</v>
      </c>
      <c r="I20" s="10">
        <v>45659.349444444437</v>
      </c>
      <c r="J20" s="10">
        <v>45659.418298611112</v>
      </c>
      <c r="K20" s="10">
        <v>45659.418298611112</v>
      </c>
      <c r="L20" s="10">
        <v>45659.419641203713</v>
      </c>
      <c r="M20" s="11">
        <f t="shared" si="0"/>
        <v>9.0046296172658913E-3</v>
      </c>
      <c r="N20" s="11">
        <f t="shared" si="1"/>
        <v>7.4282407425926067E-2</v>
      </c>
      <c r="O20" s="10">
        <v>45659.347731481481</v>
      </c>
      <c r="P20" s="11">
        <f t="shared" si="2"/>
        <v>1.7129629559349269E-3</v>
      </c>
      <c r="Q20" s="12" t="s">
        <v>547</v>
      </c>
    </row>
    <row r="21" spans="1:17" ht="38.25" x14ac:dyDescent="0.25">
      <c r="A21" s="3" t="s">
        <v>548</v>
      </c>
      <c r="B21" s="3" t="s">
        <v>145</v>
      </c>
      <c r="C21" s="9">
        <v>21</v>
      </c>
      <c r="D21" s="3" t="s">
        <v>519</v>
      </c>
      <c r="E21" s="10">
        <v>45659.369652777779</v>
      </c>
      <c r="F21" s="10">
        <v>45659.387662037043</v>
      </c>
      <c r="G21" s="10">
        <v>45659.389398148152</v>
      </c>
      <c r="H21" s="3" t="s">
        <v>520</v>
      </c>
      <c r="I21" s="10">
        <v>45659.662002314813</v>
      </c>
      <c r="J21" s="10">
        <v>45659.681932870371</v>
      </c>
      <c r="K21" s="10">
        <v>45659.681932870371</v>
      </c>
      <c r="L21" s="10">
        <v>45659.682708333326</v>
      </c>
      <c r="M21" s="11">
        <f t="shared" si="0"/>
        <v>1.9745370373129845E-2</v>
      </c>
      <c r="N21" s="11">
        <f t="shared" si="1"/>
        <v>0.29331018517405028</v>
      </c>
      <c r="O21" s="10">
        <v>45659.392962962957</v>
      </c>
      <c r="P21" s="11">
        <f t="shared" si="2"/>
        <v>0.26903935185691807</v>
      </c>
      <c r="Q21" s="12" t="s">
        <v>549</v>
      </c>
    </row>
    <row r="22" spans="1:17" ht="38.25" x14ac:dyDescent="0.25">
      <c r="A22" s="3" t="s">
        <v>550</v>
      </c>
      <c r="B22" s="3" t="s">
        <v>145</v>
      </c>
      <c r="C22" s="9">
        <v>19.899999999999999</v>
      </c>
      <c r="D22" s="3" t="s">
        <v>523</v>
      </c>
      <c r="E22" s="10">
        <v>45659.369652777779</v>
      </c>
      <c r="F22" s="10">
        <v>45659.389398148152</v>
      </c>
      <c r="G22" s="10">
        <v>45659.391018518523</v>
      </c>
      <c r="H22" s="3" t="s">
        <v>524</v>
      </c>
      <c r="I22" s="10">
        <v>45660.894756944443</v>
      </c>
      <c r="J22" s="10">
        <v>45660.914722222216</v>
      </c>
      <c r="K22" s="10">
        <v>45660.914722222216</v>
      </c>
      <c r="L22" s="10">
        <v>45660.915590277778</v>
      </c>
      <c r="M22" s="11">
        <f t="shared" si="0"/>
        <v>2.1365740743931383E-2</v>
      </c>
      <c r="N22" s="11">
        <f t="shared" si="1"/>
        <v>1.5245717592551955</v>
      </c>
      <c r="O22" s="10">
        <v>45659.394942129627</v>
      </c>
      <c r="P22" s="11">
        <f t="shared" si="2"/>
        <v>1.4998148148151813</v>
      </c>
      <c r="Q22" s="12" t="s">
        <v>551</v>
      </c>
    </row>
    <row r="23" spans="1:17" ht="25.5" x14ac:dyDescent="0.25">
      <c r="A23" s="3" t="s">
        <v>552</v>
      </c>
      <c r="B23" s="3" t="s">
        <v>145</v>
      </c>
      <c r="C23" s="9">
        <v>35.64</v>
      </c>
      <c r="D23" s="3" t="s">
        <v>515</v>
      </c>
      <c r="E23" s="10">
        <v>45659.369652777779</v>
      </c>
      <c r="F23" s="10">
        <v>45659.391018518523</v>
      </c>
      <c r="G23" s="10">
        <v>45659.393020833333</v>
      </c>
      <c r="H23" s="3" t="s">
        <v>516</v>
      </c>
      <c r="I23" s="10">
        <v>45659.414317129631</v>
      </c>
      <c r="J23" s="10">
        <v>45659.437615740739</v>
      </c>
      <c r="K23" s="10">
        <v>45659.437615740739</v>
      </c>
      <c r="L23" s="10">
        <v>45659.438483796293</v>
      </c>
      <c r="M23" s="11">
        <f t="shared" si="0"/>
        <v>2.3368055553874001E-2</v>
      </c>
      <c r="N23" s="11">
        <f t="shared" si="1"/>
        <v>4.5462962960300501E-2</v>
      </c>
      <c r="O23" s="10">
        <v>45659.397314814807</v>
      </c>
      <c r="P23" s="11">
        <f t="shared" si="2"/>
        <v>1.7002314823912457E-2</v>
      </c>
      <c r="Q23" s="12" t="s">
        <v>553</v>
      </c>
    </row>
    <row r="24" spans="1:17" ht="25.5" x14ac:dyDescent="0.25">
      <c r="A24" s="3" t="s">
        <v>554</v>
      </c>
      <c r="B24" s="3" t="s">
        <v>145</v>
      </c>
      <c r="C24" s="9">
        <v>36.4</v>
      </c>
      <c r="D24" s="3" t="s">
        <v>519</v>
      </c>
      <c r="E24" s="10">
        <v>45659.369652777779</v>
      </c>
      <c r="F24" s="10">
        <v>45659.393020833333</v>
      </c>
      <c r="G24" s="10">
        <v>45659.394791666673</v>
      </c>
      <c r="H24" s="3" t="s">
        <v>520</v>
      </c>
      <c r="I24" s="10">
        <v>45659.662002314813</v>
      </c>
      <c r="J24" s="10">
        <v>45659.681932870371</v>
      </c>
      <c r="K24" s="10">
        <v>45659.681932870371</v>
      </c>
      <c r="L24" s="10">
        <v>45659.682708333326</v>
      </c>
      <c r="M24" s="11">
        <f t="shared" si="0"/>
        <v>2.513888889370719E-2</v>
      </c>
      <c r="N24" s="11">
        <f t="shared" si="1"/>
        <v>0.28791666665347293</v>
      </c>
      <c r="O24" s="10">
        <v>45659.399733796286</v>
      </c>
      <c r="P24" s="11">
        <f t="shared" si="2"/>
        <v>0.26226851852698019</v>
      </c>
      <c r="Q24" s="12" t="s">
        <v>555</v>
      </c>
    </row>
    <row r="25" spans="1:17" ht="25.5" x14ac:dyDescent="0.25">
      <c r="A25" s="3" t="s">
        <v>556</v>
      </c>
      <c r="B25" s="3" t="s">
        <v>145</v>
      </c>
      <c r="C25" s="9">
        <v>54</v>
      </c>
      <c r="D25" s="3" t="s">
        <v>527</v>
      </c>
      <c r="E25" s="10">
        <v>45659.369652777779</v>
      </c>
      <c r="F25" s="10">
        <v>45659.394791666673</v>
      </c>
      <c r="G25" s="10">
        <v>45659.396377314813</v>
      </c>
      <c r="H25" s="3" t="s">
        <v>528</v>
      </c>
      <c r="I25" s="10">
        <v>45659.416493055563</v>
      </c>
      <c r="J25" s="10">
        <v>45659.435243055559</v>
      </c>
      <c r="K25" s="10">
        <v>45659.435243055559</v>
      </c>
      <c r="L25" s="10">
        <v>45659.436030092591</v>
      </c>
      <c r="M25" s="11">
        <f t="shared" si="0"/>
        <v>2.6724537034169771E-2</v>
      </c>
      <c r="N25" s="11">
        <f t="shared" si="1"/>
        <v>3.9652777777519077E-2</v>
      </c>
      <c r="O25" s="10">
        <v>45659.401678240742</v>
      </c>
      <c r="P25" s="11">
        <f t="shared" si="2"/>
        <v>1.4814814821875188E-2</v>
      </c>
      <c r="Q25" s="12" t="s">
        <v>557</v>
      </c>
    </row>
    <row r="26" spans="1:17" ht="25.5" x14ac:dyDescent="0.25">
      <c r="A26" s="3" t="s">
        <v>558</v>
      </c>
      <c r="B26" s="3" t="s">
        <v>145</v>
      </c>
      <c r="C26" s="9">
        <v>12.04</v>
      </c>
      <c r="D26" s="3" t="s">
        <v>492</v>
      </c>
      <c r="E26" s="10">
        <v>45659.369652777779</v>
      </c>
      <c r="F26" s="10">
        <v>45659.396377314813</v>
      </c>
      <c r="G26" s="10">
        <v>45659.398275462961</v>
      </c>
      <c r="H26" s="3" t="s">
        <v>493</v>
      </c>
      <c r="I26" s="10">
        <v>45659.641388888893</v>
      </c>
      <c r="J26" s="10">
        <v>45659.704479166663</v>
      </c>
      <c r="K26" s="10">
        <v>45659.704606481479</v>
      </c>
      <c r="L26" s="10">
        <v>45659.705833333333</v>
      </c>
      <c r="M26" s="11">
        <f t="shared" si="0"/>
        <v>2.8622685182199348E-2</v>
      </c>
      <c r="N26" s="11">
        <f t="shared" si="1"/>
        <v>0.30755787037196569</v>
      </c>
      <c r="O26" s="10">
        <v>45659.40452546296</v>
      </c>
      <c r="P26" s="11">
        <f t="shared" si="2"/>
        <v>0.23686342593282461</v>
      </c>
      <c r="Q26" s="12" t="s">
        <v>559</v>
      </c>
    </row>
    <row r="27" spans="1:17" ht="38.25" x14ac:dyDescent="0.25">
      <c r="A27" s="3" t="s">
        <v>560</v>
      </c>
      <c r="B27" s="3" t="s">
        <v>145</v>
      </c>
      <c r="C27" s="9">
        <v>31.48</v>
      </c>
      <c r="D27" s="3" t="s">
        <v>533</v>
      </c>
      <c r="E27" s="10">
        <v>45659.369652777779</v>
      </c>
      <c r="F27" s="10">
        <v>45659.398275462961</v>
      </c>
      <c r="G27" s="10">
        <v>45659.399699074071</v>
      </c>
      <c r="H27" s="3" t="s">
        <v>534</v>
      </c>
      <c r="I27" s="10">
        <v>45659.870798611111</v>
      </c>
      <c r="J27" s="10">
        <v>45659.898125</v>
      </c>
      <c r="K27" s="10">
        <v>45659.898125</v>
      </c>
      <c r="L27" s="10">
        <v>45659.898969907408</v>
      </c>
      <c r="M27" s="11">
        <f t="shared" si="0"/>
        <v>3.0046296291402541E-2</v>
      </c>
      <c r="N27" s="11">
        <f t="shared" si="1"/>
        <v>0.49927083333750488</v>
      </c>
      <c r="O27" s="10">
        <v>45659.406030092592</v>
      </c>
      <c r="P27" s="11">
        <f t="shared" si="2"/>
        <v>0.46476851851912215</v>
      </c>
      <c r="Q27" s="12" t="s">
        <v>561</v>
      </c>
    </row>
    <row r="28" spans="1:17" ht="25.5" x14ac:dyDescent="0.25">
      <c r="A28" s="3" t="s">
        <v>562</v>
      </c>
      <c r="B28" s="3" t="s">
        <v>145</v>
      </c>
      <c r="C28" s="9">
        <v>19.899999999999999</v>
      </c>
      <c r="D28" s="3" t="s">
        <v>563</v>
      </c>
      <c r="E28" s="10">
        <v>45659.369652777779</v>
      </c>
      <c r="F28" s="10">
        <v>45659.399699074071</v>
      </c>
      <c r="G28" s="10">
        <v>45659.401666666658</v>
      </c>
      <c r="H28" s="3" t="s">
        <v>564</v>
      </c>
      <c r="I28" s="10">
        <v>45660.330300925933</v>
      </c>
      <c r="J28" s="10">
        <v>45660.362268518518</v>
      </c>
      <c r="K28" s="10">
        <v>45660.362268518518</v>
      </c>
      <c r="L28" s="10">
        <v>45660.363240740742</v>
      </c>
      <c r="M28" s="11">
        <f t="shared" si="0"/>
        <v>3.201388887828216E-2</v>
      </c>
      <c r="N28" s="11">
        <f t="shared" si="1"/>
        <v>0.96157407408463769</v>
      </c>
      <c r="O28" s="10">
        <v>45659.407789351862</v>
      </c>
      <c r="P28" s="11">
        <f t="shared" si="2"/>
        <v>0.92251157407008577</v>
      </c>
      <c r="Q28" s="12" t="s">
        <v>565</v>
      </c>
    </row>
    <row r="29" spans="1:17" x14ac:dyDescent="0.25">
      <c r="A29" s="3" t="s">
        <v>566</v>
      </c>
      <c r="B29" s="3" t="s">
        <v>145</v>
      </c>
      <c r="C29" s="9">
        <v>194.16</v>
      </c>
      <c r="D29" s="3" t="s">
        <v>506</v>
      </c>
      <c r="E29" s="10">
        <v>45659.369652777779</v>
      </c>
      <c r="F29" s="10">
        <v>45659.401666666658</v>
      </c>
      <c r="G29" s="10">
        <v>45659.403993055559</v>
      </c>
      <c r="H29" s="3" t="s">
        <v>567</v>
      </c>
      <c r="I29" s="10">
        <v>45659.420034722221</v>
      </c>
      <c r="J29" s="10">
        <v>45659.453738425917</v>
      </c>
      <c r="K29" s="10">
        <v>45659.453738425917</v>
      </c>
      <c r="L29" s="10">
        <v>45659.454571759263</v>
      </c>
      <c r="M29" s="11">
        <f t="shared" si="0"/>
        <v>3.4340277779847383E-2</v>
      </c>
      <c r="N29" s="11">
        <f t="shared" si="1"/>
        <v>5.0578703703649808E-2</v>
      </c>
      <c r="O29" s="10">
        <v>45659.408993055556</v>
      </c>
      <c r="P29" s="11">
        <f t="shared" si="2"/>
        <v>1.1041666664823424E-2</v>
      </c>
      <c r="Q29" s="12" t="s">
        <v>568</v>
      </c>
    </row>
    <row r="30" spans="1:17" ht="38.25" x14ac:dyDescent="0.25">
      <c r="A30" s="3" t="s">
        <v>569</v>
      </c>
      <c r="B30" s="3" t="s">
        <v>145</v>
      </c>
      <c r="C30" s="9">
        <v>15.74</v>
      </c>
      <c r="D30" s="3" t="s">
        <v>496</v>
      </c>
      <c r="E30" s="10">
        <v>45659.369652777779</v>
      </c>
      <c r="F30" s="10">
        <v>45659.403993055559</v>
      </c>
      <c r="G30" s="10">
        <v>45659.406018518523</v>
      </c>
      <c r="H30" s="3" t="s">
        <v>497</v>
      </c>
      <c r="I30" s="10">
        <v>45660.277326388888</v>
      </c>
      <c r="J30" s="10">
        <v>45660.312858796293</v>
      </c>
      <c r="K30" s="10">
        <v>45660.312858796293</v>
      </c>
      <c r="L30" s="10">
        <v>45660.313831018517</v>
      </c>
      <c r="M30" s="11">
        <f t="shared" si="0"/>
        <v>3.6365740743349306E-2</v>
      </c>
      <c r="N30" s="11">
        <f t="shared" si="1"/>
        <v>0.90781249999417923</v>
      </c>
      <c r="O30" s="10">
        <v>45659.412581018521</v>
      </c>
      <c r="P30" s="11">
        <f t="shared" si="2"/>
        <v>0.86474537036701804</v>
      </c>
      <c r="Q30" s="12" t="s">
        <v>570</v>
      </c>
    </row>
    <row r="31" spans="1:17" ht="25.5" x14ac:dyDescent="0.25">
      <c r="A31" s="3" t="s">
        <v>571</v>
      </c>
      <c r="B31" s="3" t="s">
        <v>146</v>
      </c>
      <c r="C31" s="9">
        <v>70.5</v>
      </c>
      <c r="D31" s="3" t="s">
        <v>572</v>
      </c>
      <c r="E31" s="10">
        <v>45659.376759259263</v>
      </c>
      <c r="F31" s="10">
        <v>45659.382893518523</v>
      </c>
      <c r="G31" s="10">
        <v>45659.384722222218</v>
      </c>
      <c r="H31" s="3" t="s">
        <v>573</v>
      </c>
      <c r="I31" s="10">
        <v>45660.38177083333</v>
      </c>
      <c r="J31" s="10">
        <v>45660.420266203713</v>
      </c>
      <c r="K31" s="10">
        <v>45660.421168981477</v>
      </c>
      <c r="L31" s="10">
        <v>45660.422280092593</v>
      </c>
      <c r="M31" s="11">
        <f t="shared" si="0"/>
        <v>7.9629629544797353E-3</v>
      </c>
      <c r="N31" s="11">
        <f t="shared" si="1"/>
        <v>1.0375578703751671</v>
      </c>
      <c r="O31" s="10">
        <v>45659.387083333328</v>
      </c>
      <c r="P31" s="11">
        <f t="shared" si="2"/>
        <v>0.99468750000232831</v>
      </c>
      <c r="Q31" s="12" t="s">
        <v>574</v>
      </c>
    </row>
    <row r="32" spans="1:17" x14ac:dyDescent="0.25">
      <c r="A32" s="3" t="s">
        <v>575</v>
      </c>
      <c r="B32" s="3" t="s">
        <v>146</v>
      </c>
      <c r="C32" s="9">
        <v>142.19999999999999</v>
      </c>
      <c r="D32" s="3" t="s">
        <v>500</v>
      </c>
      <c r="E32" s="10">
        <v>45659.376759259263</v>
      </c>
      <c r="F32" s="10">
        <v>45659.384722222218</v>
      </c>
      <c r="G32" s="10">
        <v>45659.38689814815</v>
      </c>
      <c r="H32" s="3" t="s">
        <v>576</v>
      </c>
      <c r="I32" s="10">
        <v>45659.390127314808</v>
      </c>
      <c r="J32" s="10">
        <v>45659.414814814823</v>
      </c>
      <c r="K32" s="10">
        <v>45659.414814814823</v>
      </c>
      <c r="L32" s="10">
        <v>45659.415520833332</v>
      </c>
      <c r="M32" s="11">
        <f t="shared" si="0"/>
        <v>1.0138888887013309E-2</v>
      </c>
      <c r="N32" s="11">
        <f t="shared" si="1"/>
        <v>2.8622685182199348E-2</v>
      </c>
      <c r="O32" s="10">
        <v>45659.389293981483</v>
      </c>
      <c r="P32" s="11">
        <f t="shared" si="2"/>
        <v>8.3333332440815866E-4</v>
      </c>
      <c r="Q32" s="12" t="s">
        <v>577</v>
      </c>
    </row>
    <row r="33" spans="1:17" ht="25.5" x14ac:dyDescent="0.25">
      <c r="A33" s="3" t="s">
        <v>578</v>
      </c>
      <c r="B33" s="3" t="s">
        <v>147</v>
      </c>
      <c r="C33" s="9">
        <v>39.799999999999997</v>
      </c>
      <c r="D33" s="3" t="s">
        <v>500</v>
      </c>
      <c r="E33" s="10">
        <v>45659.439328703702</v>
      </c>
      <c r="F33" s="10">
        <v>45659.448067129633</v>
      </c>
      <c r="G33" s="10">
        <v>45659.44939814815</v>
      </c>
      <c r="H33" s="3" t="s">
        <v>579</v>
      </c>
      <c r="I33" s="10">
        <v>45659.457916666674</v>
      </c>
      <c r="J33" s="10">
        <v>45659.521666666667</v>
      </c>
      <c r="K33" s="10">
        <v>45659.521666666667</v>
      </c>
      <c r="L33" s="10">
        <v>45659.522939814808</v>
      </c>
      <c r="M33" s="11">
        <f t="shared" si="0"/>
        <v>1.0069444448163267E-2</v>
      </c>
      <c r="N33" s="11">
        <f t="shared" si="1"/>
        <v>7.3541666657547466E-2</v>
      </c>
      <c r="O33" s="10">
        <v>45659.451793981483</v>
      </c>
      <c r="P33" s="11">
        <f t="shared" si="2"/>
        <v>6.1226851903484203E-3</v>
      </c>
      <c r="Q33" s="12" t="s">
        <v>580</v>
      </c>
    </row>
    <row r="34" spans="1:17" ht="25.5" x14ac:dyDescent="0.25">
      <c r="A34" s="3" t="s">
        <v>581</v>
      </c>
      <c r="B34" s="3" t="s">
        <v>147</v>
      </c>
      <c r="C34" s="9">
        <v>19.899999999999999</v>
      </c>
      <c r="D34" s="3" t="s">
        <v>572</v>
      </c>
      <c r="E34" s="10">
        <v>45659.439328703702</v>
      </c>
      <c r="F34" s="10">
        <v>45659.44939814815</v>
      </c>
      <c r="G34" s="10">
        <v>45659.45113425926</v>
      </c>
      <c r="H34" s="3" t="s">
        <v>573</v>
      </c>
      <c r="I34" s="10">
        <v>45660.38177083333</v>
      </c>
      <c r="J34" s="10">
        <v>45660.420266203713</v>
      </c>
      <c r="K34" s="10">
        <v>45660.421168981477</v>
      </c>
      <c r="L34" s="10">
        <v>45660.422280092593</v>
      </c>
      <c r="M34" s="11">
        <f t="shared" si="0"/>
        <v>1.1805555557657499E-2</v>
      </c>
      <c r="N34" s="11">
        <f t="shared" si="1"/>
        <v>0.97114583333313931</v>
      </c>
      <c r="O34" s="10">
        <v>45659.454699074071</v>
      </c>
      <c r="P34" s="11">
        <f t="shared" si="2"/>
        <v>0.927071759258979</v>
      </c>
      <c r="Q34" s="12" t="s">
        <v>582</v>
      </c>
    </row>
    <row r="35" spans="1:17" ht="25.5" x14ac:dyDescent="0.25">
      <c r="A35" s="3" t="s">
        <v>583</v>
      </c>
      <c r="B35" s="3" t="s">
        <v>147</v>
      </c>
      <c r="C35" s="9">
        <v>327.36000000000013</v>
      </c>
      <c r="D35" s="3" t="s">
        <v>500</v>
      </c>
      <c r="E35" s="10">
        <v>45659.439328703702</v>
      </c>
      <c r="F35" s="10">
        <v>45659.45113425926</v>
      </c>
      <c r="G35" s="10">
        <v>45659.453125</v>
      </c>
      <c r="H35" s="3" t="s">
        <v>579</v>
      </c>
      <c r="I35" s="10">
        <v>45659.457916666674</v>
      </c>
      <c r="J35" s="10">
        <v>45659.521666666667</v>
      </c>
      <c r="K35" s="10">
        <v>45659.521666666667</v>
      </c>
      <c r="L35" s="10">
        <v>45659.522939814808</v>
      </c>
      <c r="M35" s="11">
        <f t="shared" si="0"/>
        <v>1.3796296298096422E-2</v>
      </c>
      <c r="N35" s="11">
        <f t="shared" si="1"/>
        <v>6.9814814807614312E-2</v>
      </c>
      <c r="O35" s="10">
        <v>45659.457048611112</v>
      </c>
      <c r="P35" s="11">
        <f t="shared" si="2"/>
        <v>8.6805556202307343E-4</v>
      </c>
      <c r="Q35" s="12" t="s">
        <v>584</v>
      </c>
    </row>
    <row r="36" spans="1:17" x14ac:dyDescent="0.25">
      <c r="A36" s="3" t="s">
        <v>585</v>
      </c>
      <c r="B36" s="3" t="s">
        <v>148</v>
      </c>
      <c r="C36" s="9">
        <v>287.12000000000012</v>
      </c>
      <c r="D36" s="3" t="s">
        <v>500</v>
      </c>
      <c r="E36" s="10">
        <v>45659.609432870369</v>
      </c>
      <c r="F36" s="10">
        <v>45659.615428240737</v>
      </c>
      <c r="G36" s="10">
        <v>45659.617337962962</v>
      </c>
      <c r="H36" s="3" t="s">
        <v>586</v>
      </c>
      <c r="I36" s="10">
        <v>45659.620381944442</v>
      </c>
      <c r="J36" s="10">
        <v>45659.670231481483</v>
      </c>
      <c r="K36" s="10">
        <v>45659.670231481483</v>
      </c>
      <c r="L36" s="10">
        <v>45659.671319444453</v>
      </c>
      <c r="M36" s="11">
        <f t="shared" si="0"/>
        <v>7.9050925924093463E-3</v>
      </c>
      <c r="N36" s="11">
        <f t="shared" si="1"/>
        <v>5.3981481491064187E-2</v>
      </c>
      <c r="O36" s="10">
        <v>45659.619513888887</v>
      </c>
      <c r="P36" s="11">
        <f t="shared" si="2"/>
        <v>8.6805555474711582E-4</v>
      </c>
      <c r="Q36" s="12" t="s">
        <v>587</v>
      </c>
    </row>
    <row r="37" spans="1:17" ht="25.5" x14ac:dyDescent="0.25">
      <c r="A37" s="3" t="s">
        <v>588</v>
      </c>
      <c r="B37" s="3" t="s">
        <v>149</v>
      </c>
      <c r="C37" s="9">
        <v>81</v>
      </c>
      <c r="D37" s="3" t="s">
        <v>527</v>
      </c>
      <c r="E37" s="10">
        <v>45659.627152777779</v>
      </c>
      <c r="F37" s="10">
        <v>45659.642523148148</v>
      </c>
      <c r="G37" s="10">
        <v>45659.644594907397</v>
      </c>
      <c r="H37" s="3" t="s">
        <v>589</v>
      </c>
      <c r="I37" s="10">
        <v>45659.772152777783</v>
      </c>
      <c r="J37" s="10">
        <v>45659.809652777767</v>
      </c>
      <c r="K37" s="10">
        <v>45659.809652777767</v>
      </c>
      <c r="L37" s="10">
        <v>45659.810694444437</v>
      </c>
      <c r="M37" s="11">
        <f t="shared" si="0"/>
        <v>1.7442129617847968E-2</v>
      </c>
      <c r="N37" s="11">
        <f t="shared" si="1"/>
        <v>0.16609953704028158</v>
      </c>
      <c r="O37" s="10">
        <v>45659.646770833337</v>
      </c>
      <c r="P37" s="11">
        <f t="shared" si="2"/>
        <v>0.12538194444641704</v>
      </c>
      <c r="Q37" s="12" t="s">
        <v>590</v>
      </c>
    </row>
    <row r="38" spans="1:17" ht="25.5" x14ac:dyDescent="0.25">
      <c r="A38" s="3" t="s">
        <v>591</v>
      </c>
      <c r="B38" s="3" t="s">
        <v>149</v>
      </c>
      <c r="C38" s="9">
        <v>12.04</v>
      </c>
      <c r="D38" s="3" t="s">
        <v>492</v>
      </c>
      <c r="E38" s="10">
        <v>45659.627152777779</v>
      </c>
      <c r="F38" s="10">
        <v>45659.644594907397</v>
      </c>
      <c r="G38" s="10">
        <v>45659.646469907413</v>
      </c>
      <c r="H38" s="3" t="s">
        <v>592</v>
      </c>
      <c r="I38" s="10">
        <v>45659.776388888888</v>
      </c>
      <c r="J38" s="10">
        <v>45659.81009259259</v>
      </c>
      <c r="K38" s="10">
        <v>45659.810694444437</v>
      </c>
      <c r="L38" s="10">
        <v>45659.811539351853</v>
      </c>
      <c r="M38" s="11">
        <f t="shared" si="0"/>
        <v>1.9317129634146113E-2</v>
      </c>
      <c r="N38" s="11">
        <f t="shared" si="1"/>
        <v>0.16506944443972316</v>
      </c>
      <c r="O38" s="10">
        <v>45659.648634259262</v>
      </c>
      <c r="P38" s="11">
        <f t="shared" si="2"/>
        <v>0.12775462962599704</v>
      </c>
      <c r="Q38" s="12" t="s">
        <v>593</v>
      </c>
    </row>
    <row r="39" spans="1:17" ht="51" x14ac:dyDescent="0.25">
      <c r="A39" s="3" t="s">
        <v>594</v>
      </c>
      <c r="B39" s="3" t="s">
        <v>149</v>
      </c>
      <c r="C39" s="9">
        <v>14</v>
      </c>
      <c r="D39" s="3" t="s">
        <v>595</v>
      </c>
      <c r="E39" s="10">
        <v>45659.627152777779</v>
      </c>
      <c r="F39" s="10">
        <v>45659.646469907413</v>
      </c>
      <c r="G39" s="10">
        <v>45659.647939814808</v>
      </c>
      <c r="H39" s="3" t="s">
        <v>596</v>
      </c>
      <c r="I39" s="10">
        <v>45666.32508101852</v>
      </c>
      <c r="J39" s="10">
        <v>45666.39607638889</v>
      </c>
      <c r="K39" s="10">
        <v>45666.39607638889</v>
      </c>
      <c r="L39" s="10">
        <v>45666.397569444453</v>
      </c>
      <c r="M39" s="11">
        <f t="shared" si="0"/>
        <v>2.0787037028640043E-2</v>
      </c>
      <c r="N39" s="11">
        <f t="shared" si="1"/>
        <v>6.7496296296449145</v>
      </c>
      <c r="O39" s="10">
        <v>45659.65011574074</v>
      </c>
      <c r="P39" s="11">
        <f t="shared" si="2"/>
        <v>6.6749652777798474</v>
      </c>
      <c r="Q39" s="12" t="s">
        <v>597</v>
      </c>
    </row>
    <row r="40" spans="1:17" ht="25.5" x14ac:dyDescent="0.25">
      <c r="A40" s="3" t="s">
        <v>598</v>
      </c>
      <c r="B40" s="3" t="s">
        <v>149</v>
      </c>
      <c r="C40" s="9">
        <v>16.5</v>
      </c>
      <c r="D40" s="3" t="s">
        <v>519</v>
      </c>
      <c r="E40" s="10">
        <v>45659.627152777779</v>
      </c>
      <c r="F40" s="10">
        <v>45659.647939814808</v>
      </c>
      <c r="G40" s="10">
        <v>45659.649629629632</v>
      </c>
      <c r="H40" s="3" t="s">
        <v>520</v>
      </c>
      <c r="I40" s="10">
        <v>45659.662002314813</v>
      </c>
      <c r="J40" s="10">
        <v>45659.681932870371</v>
      </c>
      <c r="K40" s="10">
        <v>45659.681932870371</v>
      </c>
      <c r="L40" s="10">
        <v>45659.682708333326</v>
      </c>
      <c r="M40" s="11">
        <f t="shared" si="0"/>
        <v>2.2476851852843538E-2</v>
      </c>
      <c r="N40" s="11">
        <f t="shared" si="1"/>
        <v>3.307870369462762E-2</v>
      </c>
      <c r="O40" s="10">
        <v>45659.653182870366</v>
      </c>
      <c r="P40" s="11">
        <f t="shared" si="2"/>
        <v>8.819444446999114E-3</v>
      </c>
      <c r="Q40" s="12" t="s">
        <v>599</v>
      </c>
    </row>
    <row r="41" spans="1:17" x14ac:dyDescent="0.25">
      <c r="A41" s="3" t="s">
        <v>600</v>
      </c>
      <c r="B41" s="3" t="s">
        <v>149</v>
      </c>
      <c r="C41" s="9">
        <v>257.12000000000012</v>
      </c>
      <c r="D41" s="3" t="s">
        <v>506</v>
      </c>
      <c r="E41" s="10">
        <v>45659.627152777779</v>
      </c>
      <c r="F41" s="10">
        <v>45659.649629629632</v>
      </c>
      <c r="G41" s="10">
        <v>45659.652083333327</v>
      </c>
      <c r="H41" s="3" t="s">
        <v>601</v>
      </c>
      <c r="I41" s="10">
        <v>45659.671967592592</v>
      </c>
      <c r="J41" s="10">
        <v>45659.716608796298</v>
      </c>
      <c r="K41" s="10">
        <v>45659.716608796298</v>
      </c>
      <c r="L41" s="10">
        <v>45659.717581018522</v>
      </c>
      <c r="M41" s="11">
        <f t="shared" si="0"/>
        <v>2.4930555548053235E-2</v>
      </c>
      <c r="N41" s="11">
        <f t="shared" si="1"/>
        <v>6.5497685194713995E-2</v>
      </c>
      <c r="O41" s="10">
        <v>45659.65425925926</v>
      </c>
      <c r="P41" s="11">
        <f t="shared" si="2"/>
        <v>1.7708333332848269E-2</v>
      </c>
      <c r="Q41" s="12" t="s">
        <v>602</v>
      </c>
    </row>
    <row r="42" spans="1:17" ht="38.25" x14ac:dyDescent="0.25">
      <c r="A42" s="3" t="s">
        <v>603</v>
      </c>
      <c r="B42" s="3" t="s">
        <v>149</v>
      </c>
      <c r="C42" s="9">
        <v>31.48</v>
      </c>
      <c r="D42" s="3" t="s">
        <v>533</v>
      </c>
      <c r="E42" s="10">
        <v>45659.627152777779</v>
      </c>
      <c r="F42" s="10">
        <v>45659.652083333327</v>
      </c>
      <c r="G42" s="10">
        <v>45659.65347222222</v>
      </c>
      <c r="H42" s="3" t="s">
        <v>534</v>
      </c>
      <c r="I42" s="10">
        <v>45659.870798611111</v>
      </c>
      <c r="J42" s="10">
        <v>45659.898125</v>
      </c>
      <c r="K42" s="10">
        <v>45659.898125</v>
      </c>
      <c r="L42" s="10">
        <v>45659.898969907408</v>
      </c>
      <c r="M42" s="11">
        <f t="shared" si="0"/>
        <v>2.6319444441469386E-2</v>
      </c>
      <c r="N42" s="11">
        <f t="shared" si="1"/>
        <v>0.24549768518772908</v>
      </c>
      <c r="O42" s="10">
        <v>45659.657500000001</v>
      </c>
      <c r="P42" s="11">
        <f t="shared" si="2"/>
        <v>0.21329861111007631</v>
      </c>
      <c r="Q42" s="12" t="s">
        <v>604</v>
      </c>
    </row>
    <row r="43" spans="1:17" ht="25.5" x14ac:dyDescent="0.25">
      <c r="A43" s="3" t="s">
        <v>605</v>
      </c>
      <c r="B43" s="3" t="s">
        <v>149</v>
      </c>
      <c r="C43" s="9">
        <v>42</v>
      </c>
      <c r="D43" s="3" t="s">
        <v>488</v>
      </c>
      <c r="E43" s="10">
        <v>45659.627152777779</v>
      </c>
      <c r="F43" s="10">
        <v>45659.65347222222</v>
      </c>
      <c r="G43" s="10">
        <v>45659.65525462963</v>
      </c>
      <c r="H43" s="3" t="s">
        <v>510</v>
      </c>
      <c r="I43" s="10">
        <v>45659.784050925933</v>
      </c>
      <c r="J43" s="10">
        <v>45659.801898148151</v>
      </c>
      <c r="K43" s="10">
        <v>45659.801898148151</v>
      </c>
      <c r="L43" s="10">
        <v>45659.802673611113</v>
      </c>
      <c r="M43" s="11">
        <f t="shared" si="0"/>
        <v>2.810185185080627E-2</v>
      </c>
      <c r="N43" s="11">
        <f t="shared" si="1"/>
        <v>0.14741898148349719</v>
      </c>
      <c r="O43" s="10">
        <v>45659.658831018518</v>
      </c>
      <c r="P43" s="11">
        <f t="shared" si="2"/>
        <v>0.12521990741515765</v>
      </c>
      <c r="Q43" s="12" t="s">
        <v>606</v>
      </c>
    </row>
    <row r="44" spans="1:17" x14ac:dyDescent="0.25">
      <c r="A44" s="3" t="s">
        <v>607</v>
      </c>
      <c r="B44" s="3" t="s">
        <v>149</v>
      </c>
      <c r="C44" s="9">
        <v>117.76</v>
      </c>
      <c r="D44" s="3" t="s">
        <v>515</v>
      </c>
      <c r="E44" s="10">
        <v>45659.627152777779</v>
      </c>
      <c r="F44" s="10">
        <v>45659.65525462963</v>
      </c>
      <c r="G44" s="10">
        <v>45659.657384259262</v>
      </c>
      <c r="H44" s="3" t="s">
        <v>608</v>
      </c>
      <c r="I44" s="10">
        <v>45659.683506944442</v>
      </c>
      <c r="J44" s="10">
        <v>45659.703946759262</v>
      </c>
      <c r="K44" s="10">
        <v>45659.703946759262</v>
      </c>
      <c r="L44" s="10">
        <v>45659.704606481479</v>
      </c>
      <c r="M44" s="11">
        <f t="shared" si="0"/>
        <v>3.0231481483497191E-2</v>
      </c>
      <c r="N44" s="11">
        <f t="shared" si="1"/>
        <v>4.722222221607808E-2</v>
      </c>
      <c r="O44" s="10">
        <v>45659.660439814812</v>
      </c>
      <c r="P44" s="11">
        <f t="shared" si="2"/>
        <v>2.3067129630362615E-2</v>
      </c>
      <c r="Q44" s="12" t="s">
        <v>609</v>
      </c>
    </row>
    <row r="45" spans="1:17" ht="25.5" x14ac:dyDescent="0.25">
      <c r="A45" s="3" t="s">
        <v>610</v>
      </c>
      <c r="B45" s="3" t="s">
        <v>150</v>
      </c>
      <c r="C45" s="9">
        <v>267.58</v>
      </c>
      <c r="D45" s="3" t="s">
        <v>500</v>
      </c>
      <c r="E45" s="10">
        <v>45659.628634259258</v>
      </c>
      <c r="F45" s="10">
        <v>45659.634479166663</v>
      </c>
      <c r="G45" s="10">
        <v>45659.636967592603</v>
      </c>
      <c r="H45" s="3" t="s">
        <v>493</v>
      </c>
      <c r="I45" s="10">
        <v>45659.641388888893</v>
      </c>
      <c r="J45" s="10">
        <v>45659.704479166663</v>
      </c>
      <c r="K45" s="10">
        <v>45659.704606481479</v>
      </c>
      <c r="L45" s="10">
        <v>45659.705833333333</v>
      </c>
      <c r="M45" s="11">
        <f t="shared" si="0"/>
        <v>8.3333333459449932E-3</v>
      </c>
      <c r="N45" s="11">
        <f t="shared" si="1"/>
        <v>6.8865740729961544E-2</v>
      </c>
      <c r="O45" s="10">
        <v>45659.640532407408</v>
      </c>
      <c r="P45" s="11">
        <f t="shared" si="2"/>
        <v>8.5648148524342105E-4</v>
      </c>
      <c r="Q45" s="12" t="s">
        <v>611</v>
      </c>
    </row>
    <row r="46" spans="1:17" ht="38.25" x14ac:dyDescent="0.25">
      <c r="A46" s="3" t="s">
        <v>612</v>
      </c>
      <c r="B46" s="3" t="s">
        <v>151</v>
      </c>
      <c r="C46" s="9">
        <v>15.74</v>
      </c>
      <c r="D46" s="3" t="s">
        <v>484</v>
      </c>
      <c r="E46" s="10">
        <v>45659.739710648151</v>
      </c>
      <c r="F46" s="10">
        <v>45659.759236111109</v>
      </c>
      <c r="G46" s="10">
        <v>45659.760370370372</v>
      </c>
      <c r="H46" s="3" t="s">
        <v>485</v>
      </c>
      <c r="I46" s="10">
        <v>45660.262696759259</v>
      </c>
      <c r="J46" s="10">
        <v>45660.280532407407</v>
      </c>
      <c r="K46" s="10">
        <v>45660.280532407407</v>
      </c>
      <c r="L46" s="10">
        <v>45660.281238425923</v>
      </c>
      <c r="M46" s="11">
        <f t="shared" si="0"/>
        <v>2.0659722220443655E-2</v>
      </c>
      <c r="N46" s="11">
        <f t="shared" si="1"/>
        <v>0.52086805555154569</v>
      </c>
      <c r="O46" s="10">
        <v>45659.764293981483</v>
      </c>
      <c r="P46" s="11">
        <f t="shared" si="2"/>
        <v>0.49840277777548181</v>
      </c>
      <c r="Q46" s="12" t="s">
        <v>613</v>
      </c>
    </row>
    <row r="47" spans="1:17" ht="38.25" x14ac:dyDescent="0.25">
      <c r="A47" s="3" t="s">
        <v>614</v>
      </c>
      <c r="B47" s="3" t="s">
        <v>151</v>
      </c>
      <c r="C47" s="9">
        <v>15.74</v>
      </c>
      <c r="D47" s="3" t="s">
        <v>496</v>
      </c>
      <c r="E47" s="10">
        <v>45659.739710648151</v>
      </c>
      <c r="F47" s="10">
        <v>45659.760370370372</v>
      </c>
      <c r="G47" s="10">
        <v>45659.762372685182</v>
      </c>
      <c r="H47" s="3" t="s">
        <v>497</v>
      </c>
      <c r="I47" s="10">
        <v>45660.277326388888</v>
      </c>
      <c r="J47" s="10">
        <v>45660.312858796293</v>
      </c>
      <c r="K47" s="10">
        <v>45660.312858796293</v>
      </c>
      <c r="L47" s="10">
        <v>45660.313831018517</v>
      </c>
      <c r="M47" s="11">
        <f t="shared" si="0"/>
        <v>2.2662037030386273E-2</v>
      </c>
      <c r="N47" s="11">
        <f t="shared" si="1"/>
        <v>0.55145833333517658</v>
      </c>
      <c r="O47" s="10">
        <v>45659.766273148147</v>
      </c>
      <c r="P47" s="11">
        <f t="shared" si="2"/>
        <v>0.51105324074160308</v>
      </c>
      <c r="Q47" s="12" t="s">
        <v>615</v>
      </c>
    </row>
    <row r="48" spans="1:17" ht="25.5" x14ac:dyDescent="0.25">
      <c r="A48" s="3" t="s">
        <v>616</v>
      </c>
      <c r="B48" s="3" t="s">
        <v>151</v>
      </c>
      <c r="C48" s="9">
        <v>21</v>
      </c>
      <c r="D48" s="3" t="s">
        <v>519</v>
      </c>
      <c r="E48" s="10">
        <v>45659.739710648151</v>
      </c>
      <c r="F48" s="10">
        <v>45659.762372685182</v>
      </c>
      <c r="G48" s="10">
        <v>45659.76363425926</v>
      </c>
      <c r="H48" s="3" t="s">
        <v>617</v>
      </c>
      <c r="I48" s="10">
        <v>45659.881701388891</v>
      </c>
      <c r="J48" s="10">
        <v>45659.899351851847</v>
      </c>
      <c r="K48" s="10">
        <v>45659.899351851847</v>
      </c>
      <c r="L48" s="10">
        <v>45659.900023148148</v>
      </c>
      <c r="M48" s="11">
        <f t="shared" si="0"/>
        <v>2.3923611108330078E-2</v>
      </c>
      <c r="N48" s="11">
        <f t="shared" si="1"/>
        <v>0.13638888888817746</v>
      </c>
      <c r="O48" s="10">
        <v>45659.766030092593</v>
      </c>
      <c r="P48" s="11">
        <f t="shared" si="2"/>
        <v>0.11567129629838746</v>
      </c>
      <c r="Q48" s="12" t="s">
        <v>618</v>
      </c>
    </row>
    <row r="49" spans="1:17" ht="38.25" x14ac:dyDescent="0.25">
      <c r="A49" s="3" t="s">
        <v>619</v>
      </c>
      <c r="B49" s="3" t="s">
        <v>151</v>
      </c>
      <c r="C49" s="9">
        <v>14</v>
      </c>
      <c r="D49" s="3" t="s">
        <v>523</v>
      </c>
      <c r="E49" s="10">
        <v>45659.739710648151</v>
      </c>
      <c r="F49" s="10">
        <v>45659.76363425926</v>
      </c>
      <c r="G49" s="10">
        <v>45659.765208333331</v>
      </c>
      <c r="H49" s="3" t="s">
        <v>524</v>
      </c>
      <c r="I49" s="10">
        <v>45660.894756944443</v>
      </c>
      <c r="J49" s="10">
        <v>45660.914722222216</v>
      </c>
      <c r="K49" s="10">
        <v>45660.914722222216</v>
      </c>
      <c r="L49" s="10">
        <v>45660.915590277778</v>
      </c>
      <c r="M49" s="11">
        <f t="shared" si="0"/>
        <v>2.5497685179288965E-2</v>
      </c>
      <c r="N49" s="11">
        <f t="shared" si="1"/>
        <v>1.1503819444478722</v>
      </c>
      <c r="O49" s="10">
        <v>45659.769131944442</v>
      </c>
      <c r="P49" s="11">
        <f t="shared" si="2"/>
        <v>1.1256250000005821</v>
      </c>
      <c r="Q49" s="12" t="s">
        <v>620</v>
      </c>
    </row>
    <row r="50" spans="1:17" ht="25.5" x14ac:dyDescent="0.25">
      <c r="A50" s="3" t="s">
        <v>621</v>
      </c>
      <c r="B50" s="3" t="s">
        <v>151</v>
      </c>
      <c r="C50" s="9">
        <v>135</v>
      </c>
      <c r="D50" s="3" t="s">
        <v>527</v>
      </c>
      <c r="E50" s="10">
        <v>45659.739710648151</v>
      </c>
      <c r="F50" s="10">
        <v>45659.765208333331</v>
      </c>
      <c r="G50" s="10">
        <v>45659.767407407409</v>
      </c>
      <c r="H50" s="3" t="s">
        <v>589</v>
      </c>
      <c r="I50" s="10">
        <v>45659.772152777783</v>
      </c>
      <c r="J50" s="10">
        <v>45659.809652777767</v>
      </c>
      <c r="K50" s="10">
        <v>45659.809652777767</v>
      </c>
      <c r="L50" s="10">
        <v>45659.810694444437</v>
      </c>
      <c r="M50" s="11">
        <f t="shared" si="0"/>
        <v>2.7696759258105885E-2</v>
      </c>
      <c r="N50" s="11">
        <f t="shared" si="1"/>
        <v>4.3287037027766928E-2</v>
      </c>
      <c r="O50" s="10">
        <v>45659.771319444437</v>
      </c>
      <c r="P50" s="11">
        <f t="shared" si="2"/>
        <v>8.333333462360315E-4</v>
      </c>
      <c r="Q50" s="12" t="s">
        <v>622</v>
      </c>
    </row>
    <row r="51" spans="1:17" ht="25.5" x14ac:dyDescent="0.25">
      <c r="A51" s="3" t="s">
        <v>623</v>
      </c>
      <c r="B51" s="3" t="s">
        <v>151</v>
      </c>
      <c r="C51" s="9">
        <v>15.74</v>
      </c>
      <c r="D51" s="3" t="s">
        <v>533</v>
      </c>
      <c r="E51" s="10">
        <v>45659.739710648151</v>
      </c>
      <c r="F51" s="10">
        <v>45659.767407407409</v>
      </c>
      <c r="G51" s="10">
        <v>45659.768773148149</v>
      </c>
      <c r="H51" s="3" t="s">
        <v>534</v>
      </c>
      <c r="I51" s="10">
        <v>45659.870798611111</v>
      </c>
      <c r="J51" s="10">
        <v>45659.898125</v>
      </c>
      <c r="K51" s="10">
        <v>45659.898125</v>
      </c>
      <c r="L51" s="10">
        <v>45659.898969907408</v>
      </c>
      <c r="M51" s="11">
        <f t="shared" si="0"/>
        <v>2.9062499997962732E-2</v>
      </c>
      <c r="N51" s="11">
        <f t="shared" si="1"/>
        <v>0.130196759258979</v>
      </c>
      <c r="O51" s="10">
        <v>45659.772696759261</v>
      </c>
      <c r="P51" s="11">
        <f t="shared" si="2"/>
        <v>9.8101851850515231E-2</v>
      </c>
      <c r="Q51" s="12" t="s">
        <v>624</v>
      </c>
    </row>
    <row r="52" spans="1:17" ht="25.5" x14ac:dyDescent="0.25">
      <c r="A52" s="3" t="s">
        <v>625</v>
      </c>
      <c r="B52" s="3" t="s">
        <v>151</v>
      </c>
      <c r="C52" s="9">
        <v>97.859999999999985</v>
      </c>
      <c r="D52" s="3" t="s">
        <v>515</v>
      </c>
      <c r="E52" s="10">
        <v>45659.739710648151</v>
      </c>
      <c r="F52" s="10">
        <v>45659.768773148149</v>
      </c>
      <c r="G52" s="10">
        <v>45659.770844907413</v>
      </c>
      <c r="H52" s="3" t="s">
        <v>626</v>
      </c>
      <c r="I52" s="10">
        <v>45659.879062499997</v>
      </c>
      <c r="J52" s="10">
        <v>45659.899502314824</v>
      </c>
      <c r="K52" s="10">
        <v>45659.900023148148</v>
      </c>
      <c r="L52" s="10">
        <v>45659.900671296287</v>
      </c>
      <c r="M52" s="11">
        <f t="shared" si="0"/>
        <v>3.1134259261307307E-2</v>
      </c>
      <c r="N52" s="11">
        <f t="shared" si="1"/>
        <v>0.1298263888747897</v>
      </c>
      <c r="O52" s="10">
        <v>45659.773240740738</v>
      </c>
      <c r="P52" s="11">
        <f t="shared" si="2"/>
        <v>0.10582175925810589</v>
      </c>
      <c r="Q52" s="12" t="s">
        <v>627</v>
      </c>
    </row>
    <row r="53" spans="1:17" x14ac:dyDescent="0.25">
      <c r="A53" s="3" t="s">
        <v>628</v>
      </c>
      <c r="B53" s="3" t="s">
        <v>151</v>
      </c>
      <c r="C53" s="9">
        <v>194.16</v>
      </c>
      <c r="D53" s="3" t="s">
        <v>506</v>
      </c>
      <c r="E53" s="10">
        <v>45659.739710648151</v>
      </c>
      <c r="F53" s="10">
        <v>45659.770844907413</v>
      </c>
      <c r="G53" s="10">
        <v>45659.773148148153</v>
      </c>
      <c r="H53" s="3" t="s">
        <v>592</v>
      </c>
      <c r="I53" s="10">
        <v>45659.776388888888</v>
      </c>
      <c r="J53" s="10">
        <v>45659.81009259259</v>
      </c>
      <c r="K53" s="10">
        <v>45659.810694444437</v>
      </c>
      <c r="L53" s="10">
        <v>45659.811539351853</v>
      </c>
      <c r="M53" s="11">
        <f t="shared" si="0"/>
        <v>3.3437500002037268E-2</v>
      </c>
      <c r="N53" s="11">
        <f t="shared" si="1"/>
        <v>3.8391203699575271E-2</v>
      </c>
      <c r="O53" s="10">
        <v>45659.775520833333</v>
      </c>
      <c r="P53" s="11">
        <f t="shared" si="2"/>
        <v>8.6805555474711582E-4</v>
      </c>
      <c r="Q53" s="12" t="s">
        <v>629</v>
      </c>
    </row>
    <row r="54" spans="1:17" ht="25.5" x14ac:dyDescent="0.25">
      <c r="A54" s="3" t="s">
        <v>630</v>
      </c>
      <c r="B54" s="3" t="s">
        <v>151</v>
      </c>
      <c r="C54" s="9">
        <v>39.799999999999997</v>
      </c>
      <c r="D54" s="3" t="s">
        <v>563</v>
      </c>
      <c r="E54" s="10">
        <v>45659.739710648151</v>
      </c>
      <c r="F54" s="10">
        <v>45659.773148148153</v>
      </c>
      <c r="G54" s="10">
        <v>45659.775127314817</v>
      </c>
      <c r="H54" s="3" t="s">
        <v>564</v>
      </c>
      <c r="I54" s="10">
        <v>45660.330300925933</v>
      </c>
      <c r="J54" s="10">
        <v>45660.362268518518</v>
      </c>
      <c r="K54" s="10">
        <v>45660.362268518518</v>
      </c>
      <c r="L54" s="10">
        <v>45660.363240740742</v>
      </c>
      <c r="M54" s="11">
        <f t="shared" si="0"/>
        <v>3.5416666665696539E-2</v>
      </c>
      <c r="N54" s="11">
        <f t="shared" si="1"/>
        <v>0.58811342592525762</v>
      </c>
      <c r="O54" s="10">
        <v>45659.779050925928</v>
      </c>
      <c r="P54" s="11">
        <f t="shared" si="2"/>
        <v>0.55125000000407454</v>
      </c>
      <c r="Q54" s="12" t="s">
        <v>631</v>
      </c>
    </row>
    <row r="55" spans="1:17" ht="25.5" x14ac:dyDescent="0.25">
      <c r="A55" s="3" t="s">
        <v>632</v>
      </c>
      <c r="B55" s="3" t="s">
        <v>151</v>
      </c>
      <c r="C55" s="9">
        <v>19.899999999999999</v>
      </c>
      <c r="D55" s="3" t="s">
        <v>488</v>
      </c>
      <c r="E55" s="10">
        <v>45659.739710648151</v>
      </c>
      <c r="F55" s="10">
        <v>45659.775127314817</v>
      </c>
      <c r="G55" s="10">
        <v>45659.776863425926</v>
      </c>
      <c r="H55" s="3" t="s">
        <v>510</v>
      </c>
      <c r="I55" s="10">
        <v>45659.784050925933</v>
      </c>
      <c r="J55" s="10">
        <v>45659.801898148151</v>
      </c>
      <c r="K55" s="10">
        <v>45659.801898148151</v>
      </c>
      <c r="L55" s="10">
        <v>45659.802673611113</v>
      </c>
      <c r="M55" s="11">
        <f t="shared" si="0"/>
        <v>3.7152777775190771E-2</v>
      </c>
      <c r="N55" s="11">
        <f t="shared" si="1"/>
        <v>2.5810185186855961E-2</v>
      </c>
      <c r="O55" s="10">
        <v>45659.780763888892</v>
      </c>
      <c r="P55" s="11">
        <f t="shared" si="2"/>
        <v>3.2870370414457284E-3</v>
      </c>
      <c r="Q55" s="12" t="s">
        <v>633</v>
      </c>
    </row>
    <row r="56" spans="1:17" ht="25.5" x14ac:dyDescent="0.25">
      <c r="A56" s="3" t="s">
        <v>634</v>
      </c>
      <c r="B56" s="3" t="s">
        <v>151</v>
      </c>
      <c r="C56" s="9">
        <v>12.04</v>
      </c>
      <c r="D56" s="3" t="s">
        <v>492</v>
      </c>
      <c r="E56" s="10">
        <v>45659.739710648151</v>
      </c>
      <c r="F56" s="10">
        <v>45659.776863425926</v>
      </c>
      <c r="G56" s="10">
        <v>45659.778738425928</v>
      </c>
      <c r="H56" s="3" t="s">
        <v>635</v>
      </c>
      <c r="I56" s="10">
        <v>45660.126759259263</v>
      </c>
      <c r="J56" s="10">
        <v>45660.150104166663</v>
      </c>
      <c r="K56" s="10">
        <v>45660.150104166663</v>
      </c>
      <c r="L56" s="10">
        <v>45660.15079861111</v>
      </c>
      <c r="M56" s="11">
        <f t="shared" si="0"/>
        <v>3.9027777776937E-2</v>
      </c>
      <c r="N56" s="11">
        <f t="shared" si="1"/>
        <v>0.37206018518190831</v>
      </c>
      <c r="O56" s="10">
        <v>45659.782314814824</v>
      </c>
      <c r="P56" s="11">
        <f t="shared" si="2"/>
        <v>0.34444444443943212</v>
      </c>
      <c r="Q56" s="12" t="s">
        <v>636</v>
      </c>
    </row>
    <row r="57" spans="1:17" ht="25.5" x14ac:dyDescent="0.25">
      <c r="A57" s="3" t="s">
        <v>637</v>
      </c>
      <c r="B57" s="3" t="s">
        <v>152</v>
      </c>
      <c r="C57" s="9">
        <v>46.48</v>
      </c>
      <c r="D57" s="3" t="s">
        <v>506</v>
      </c>
      <c r="E57" s="10">
        <v>45659.840856481482</v>
      </c>
      <c r="F57" s="10">
        <v>45659.857627314806</v>
      </c>
      <c r="G57" s="10">
        <v>45659.859606481477</v>
      </c>
      <c r="H57" s="3" t="s">
        <v>635</v>
      </c>
      <c r="I57" s="10">
        <v>45660.126759259263</v>
      </c>
      <c r="J57" s="10">
        <v>45660.150104166663</v>
      </c>
      <c r="K57" s="10">
        <v>45660.150104166663</v>
      </c>
      <c r="L57" s="10">
        <v>45660.15079861111</v>
      </c>
      <c r="M57" s="11">
        <f t="shared" si="0"/>
        <v>1.8749999995634425E-2</v>
      </c>
      <c r="N57" s="11">
        <f t="shared" si="1"/>
        <v>0.29119212963269092</v>
      </c>
      <c r="O57" s="10">
        <v>45659.861793981479</v>
      </c>
      <c r="P57" s="11">
        <f t="shared" si="2"/>
        <v>0.26496527778363088</v>
      </c>
      <c r="Q57" s="12" t="s">
        <v>638</v>
      </c>
    </row>
    <row r="58" spans="1:17" ht="25.5" x14ac:dyDescent="0.25">
      <c r="A58" s="3" t="s">
        <v>639</v>
      </c>
      <c r="B58" s="3" t="s">
        <v>152</v>
      </c>
      <c r="C58" s="9">
        <v>15.74</v>
      </c>
      <c r="D58" s="3" t="s">
        <v>496</v>
      </c>
      <c r="E58" s="10">
        <v>45659.840856481482</v>
      </c>
      <c r="F58" s="10">
        <v>45659.859606481477</v>
      </c>
      <c r="G58" s="10">
        <v>45659.861643518518</v>
      </c>
      <c r="H58" s="3" t="s">
        <v>497</v>
      </c>
      <c r="I58" s="10">
        <v>45660.277326388888</v>
      </c>
      <c r="J58" s="10">
        <v>45660.312858796293</v>
      </c>
      <c r="K58" s="10">
        <v>45660.312858796293</v>
      </c>
      <c r="L58" s="10">
        <v>45660.313831018517</v>
      </c>
      <c r="M58" s="11">
        <f t="shared" si="0"/>
        <v>2.0787037035916001E-2</v>
      </c>
      <c r="N58" s="11">
        <f t="shared" si="1"/>
        <v>0.45218749999912689</v>
      </c>
      <c r="O58" s="10">
        <v>45659.865567129629</v>
      </c>
      <c r="P58" s="11">
        <f t="shared" si="2"/>
        <v>0.41175925925927004</v>
      </c>
      <c r="Q58" s="12" t="s">
        <v>640</v>
      </c>
    </row>
    <row r="59" spans="1:17" ht="51" x14ac:dyDescent="0.25">
      <c r="A59" s="3" t="s">
        <v>641</v>
      </c>
      <c r="B59" s="3" t="s">
        <v>152</v>
      </c>
      <c r="C59" s="9">
        <v>14</v>
      </c>
      <c r="D59" s="3" t="s">
        <v>595</v>
      </c>
      <c r="E59" s="10">
        <v>45659.840856481482</v>
      </c>
      <c r="F59" s="10">
        <v>45659.861643518518</v>
      </c>
      <c r="G59" s="10">
        <v>45659.863136574073</v>
      </c>
      <c r="H59" s="3" t="s">
        <v>596</v>
      </c>
      <c r="I59" s="10">
        <v>45666.32508101852</v>
      </c>
      <c r="J59" s="10">
        <v>45666.39607638889</v>
      </c>
      <c r="K59" s="10">
        <v>45666.39607638889</v>
      </c>
      <c r="L59" s="10">
        <v>45666.397569444453</v>
      </c>
      <c r="M59" s="11">
        <f t="shared" si="0"/>
        <v>2.2280092591245193E-2</v>
      </c>
      <c r="N59" s="11">
        <f t="shared" si="1"/>
        <v>6.5344328703795327</v>
      </c>
      <c r="O59" s="10">
        <v>45659.866701388892</v>
      </c>
      <c r="P59" s="11">
        <f t="shared" si="2"/>
        <v>6.4583796296283253</v>
      </c>
      <c r="Q59" s="12" t="s">
        <v>642</v>
      </c>
    </row>
    <row r="60" spans="1:17" ht="25.5" x14ac:dyDescent="0.25">
      <c r="A60" s="3" t="s">
        <v>643</v>
      </c>
      <c r="B60" s="3" t="s">
        <v>152</v>
      </c>
      <c r="C60" s="9">
        <v>60.8</v>
      </c>
      <c r="D60" s="3" t="s">
        <v>519</v>
      </c>
      <c r="E60" s="10">
        <v>45659.840856481482</v>
      </c>
      <c r="F60" s="10">
        <v>45659.863136574073</v>
      </c>
      <c r="G60" s="10">
        <v>45659.86451388889</v>
      </c>
      <c r="H60" s="3" t="s">
        <v>617</v>
      </c>
      <c r="I60" s="10">
        <v>45659.881701388891</v>
      </c>
      <c r="J60" s="10">
        <v>45659.899351851847</v>
      </c>
      <c r="K60" s="10">
        <v>45659.899351851847</v>
      </c>
      <c r="L60" s="10">
        <v>45659.900023148148</v>
      </c>
      <c r="M60" s="11">
        <f t="shared" si="0"/>
        <v>2.3657407407881692E-2</v>
      </c>
      <c r="N60" s="11">
        <f t="shared" si="1"/>
        <v>3.5509259258105885E-2</v>
      </c>
      <c r="O60" s="10">
        <v>45659.868414351848</v>
      </c>
      <c r="P60" s="11">
        <f t="shared" si="2"/>
        <v>1.3287037043482997E-2</v>
      </c>
      <c r="Q60" s="12" t="s">
        <v>644</v>
      </c>
    </row>
    <row r="61" spans="1:17" ht="25.5" x14ac:dyDescent="0.25">
      <c r="A61" s="3" t="s">
        <v>645</v>
      </c>
      <c r="B61" s="3" t="s">
        <v>152</v>
      </c>
      <c r="C61" s="9">
        <v>62.96</v>
      </c>
      <c r="D61" s="3" t="s">
        <v>533</v>
      </c>
      <c r="E61" s="10">
        <v>45659.840856481482</v>
      </c>
      <c r="F61" s="10">
        <v>45659.86451388889</v>
      </c>
      <c r="G61" s="10">
        <v>45659.866006944438</v>
      </c>
      <c r="H61" s="3" t="s">
        <v>534</v>
      </c>
      <c r="I61" s="10">
        <v>45659.870798611111</v>
      </c>
      <c r="J61" s="10">
        <v>45659.898125</v>
      </c>
      <c r="K61" s="10">
        <v>45659.898125</v>
      </c>
      <c r="L61" s="10">
        <v>45659.898969907408</v>
      </c>
      <c r="M61" s="11">
        <f t="shared" si="0"/>
        <v>2.5150462955934927E-2</v>
      </c>
      <c r="N61" s="11">
        <f t="shared" si="1"/>
        <v>3.2962962970486842E-2</v>
      </c>
      <c r="O61" s="10">
        <v>45659.869930555556</v>
      </c>
      <c r="P61" s="11">
        <f t="shared" si="2"/>
        <v>8.6805555474711582E-4</v>
      </c>
      <c r="Q61" s="12" t="s">
        <v>646</v>
      </c>
    </row>
    <row r="62" spans="1:17" ht="38.25" x14ac:dyDescent="0.25">
      <c r="A62" s="3" t="s">
        <v>647</v>
      </c>
      <c r="B62" s="3" t="s">
        <v>152</v>
      </c>
      <c r="C62" s="9">
        <v>21</v>
      </c>
      <c r="D62" s="3" t="s">
        <v>488</v>
      </c>
      <c r="E62" s="10">
        <v>45659.840856481482</v>
      </c>
      <c r="F62" s="10">
        <v>45659.866006944438</v>
      </c>
      <c r="G62" s="10">
        <v>45659.867777777778</v>
      </c>
      <c r="H62" s="3" t="s">
        <v>648</v>
      </c>
      <c r="I62" s="10">
        <v>45660.309062499997</v>
      </c>
      <c r="J62" s="10">
        <v>45660.371377314812</v>
      </c>
      <c r="K62" s="10">
        <v>45660.371377314812</v>
      </c>
      <c r="L62" s="10">
        <v>45660.372743055559</v>
      </c>
      <c r="M62" s="11">
        <f t="shared" si="0"/>
        <v>2.6921296295768116E-2</v>
      </c>
      <c r="N62" s="11">
        <f t="shared" si="1"/>
        <v>0.50496527778159361</v>
      </c>
      <c r="O62" s="10">
        <v>45659.869953703703</v>
      </c>
      <c r="P62" s="11">
        <f t="shared" si="2"/>
        <v>0.43910879629402189</v>
      </c>
      <c r="Q62" s="12" t="s">
        <v>649</v>
      </c>
    </row>
    <row r="63" spans="1:17" ht="25.5" x14ac:dyDescent="0.25">
      <c r="A63" s="3" t="s">
        <v>650</v>
      </c>
      <c r="B63" s="3" t="s">
        <v>152</v>
      </c>
      <c r="C63" s="9">
        <v>54</v>
      </c>
      <c r="D63" s="3" t="s">
        <v>527</v>
      </c>
      <c r="E63" s="10">
        <v>45659.840856481482</v>
      </c>
      <c r="F63" s="10">
        <v>45659.867777777778</v>
      </c>
      <c r="G63" s="10">
        <v>45659.869814814818</v>
      </c>
      <c r="H63" s="3" t="s">
        <v>651</v>
      </c>
      <c r="I63" s="10">
        <v>45660.298784722218</v>
      </c>
      <c r="J63" s="10">
        <v>45660.31753472222</v>
      </c>
      <c r="K63" s="10">
        <v>45660.31753472222</v>
      </c>
      <c r="L63" s="10">
        <v>45660.318333333344</v>
      </c>
      <c r="M63" s="11">
        <f t="shared" si="0"/>
        <v>2.8958333336049691E-2</v>
      </c>
      <c r="N63" s="11">
        <f t="shared" si="1"/>
        <v>0.44851851852581603</v>
      </c>
      <c r="O63" s="10">
        <v>45659.872187499997</v>
      </c>
      <c r="P63" s="11">
        <f t="shared" si="2"/>
        <v>0.42659722222015262</v>
      </c>
      <c r="Q63" s="12" t="s">
        <v>652</v>
      </c>
    </row>
    <row r="64" spans="1:17" ht="51" x14ac:dyDescent="0.25">
      <c r="A64" s="3" t="s">
        <v>653</v>
      </c>
      <c r="B64" s="3" t="s">
        <v>152</v>
      </c>
      <c r="C64" s="9">
        <v>15.74</v>
      </c>
      <c r="D64" s="3" t="s">
        <v>654</v>
      </c>
      <c r="E64" s="10">
        <v>45659.840856481482</v>
      </c>
      <c r="F64" s="10">
        <v>45659.869814814818</v>
      </c>
      <c r="G64" s="10">
        <v>45659.871539351851</v>
      </c>
      <c r="H64" s="3" t="s">
        <v>655</v>
      </c>
      <c r="I64" s="10">
        <v>45666.797094907408</v>
      </c>
      <c r="J64" s="10">
        <v>45666.81622685185</v>
      </c>
      <c r="K64" s="10">
        <v>45666.816678240742</v>
      </c>
      <c r="L64" s="10">
        <v>45666.817453703698</v>
      </c>
      <c r="M64" s="11">
        <f t="shared" si="0"/>
        <v>3.068287036876427E-2</v>
      </c>
      <c r="N64" s="11">
        <f t="shared" si="1"/>
        <v>6.9459143518470228</v>
      </c>
      <c r="O64" s="10">
        <v>45659.873935185176</v>
      </c>
      <c r="P64" s="11">
        <f t="shared" si="2"/>
        <v>6.9231597222315031</v>
      </c>
      <c r="Q64" s="12" t="s">
        <v>656</v>
      </c>
    </row>
    <row r="65" spans="1:17" ht="25.5" x14ac:dyDescent="0.25">
      <c r="A65" s="3" t="s">
        <v>657</v>
      </c>
      <c r="B65" s="3" t="s">
        <v>152</v>
      </c>
      <c r="C65" s="9">
        <v>19.899999999999999</v>
      </c>
      <c r="D65" s="3" t="s">
        <v>515</v>
      </c>
      <c r="E65" s="10">
        <v>45659.840856481482</v>
      </c>
      <c r="F65" s="10">
        <v>45659.871539351851</v>
      </c>
      <c r="G65" s="10">
        <v>45659.873460648138</v>
      </c>
      <c r="H65" s="3" t="s">
        <v>626</v>
      </c>
      <c r="I65" s="10">
        <v>45659.879062499997</v>
      </c>
      <c r="J65" s="10">
        <v>45659.899502314824</v>
      </c>
      <c r="K65" s="10">
        <v>45659.900023148148</v>
      </c>
      <c r="L65" s="10">
        <v>45659.900671296287</v>
      </c>
      <c r="M65" s="11">
        <f t="shared" si="0"/>
        <v>3.2604166655801237E-2</v>
      </c>
      <c r="N65" s="11">
        <f t="shared" si="1"/>
        <v>2.7210648149775807E-2</v>
      </c>
      <c r="O65" s="10">
        <v>45659.87736111111</v>
      </c>
      <c r="P65" s="11">
        <f t="shared" si="2"/>
        <v>1.7013888864312321E-3</v>
      </c>
      <c r="Q65" s="12" t="s">
        <v>658</v>
      </c>
    </row>
    <row r="66" spans="1:17" ht="38.25" x14ac:dyDescent="0.25">
      <c r="A66" s="3" t="s">
        <v>659</v>
      </c>
      <c r="B66" s="3" t="s">
        <v>152</v>
      </c>
      <c r="C66" s="9">
        <v>19.899999999999999</v>
      </c>
      <c r="D66" s="3" t="s">
        <v>539</v>
      </c>
      <c r="E66" s="10">
        <v>45659.840856481482</v>
      </c>
      <c r="F66" s="10">
        <v>45659.873460648138</v>
      </c>
      <c r="G66" s="10">
        <v>45659.874756944453</v>
      </c>
      <c r="H66" s="3" t="s">
        <v>540</v>
      </c>
      <c r="I66" s="10">
        <v>45660.668599537043</v>
      </c>
      <c r="J66" s="10">
        <v>45660.689328703702</v>
      </c>
      <c r="K66" s="10">
        <v>45660.689328703702</v>
      </c>
      <c r="L66" s="10">
        <v>45660.690150462957</v>
      </c>
      <c r="M66" s="11">
        <f t="shared" ref="M66:M129" si="3">IF(AND(ISNUMBER(E66),ISNUMBER(G66)),(G66-E66),"")</f>
        <v>3.3900462971359957E-2</v>
      </c>
      <c r="N66" s="11">
        <f t="shared" ref="N66:N129" si="4">IF(AND(ISNUMBER(G66),ISNUMBER(L66)),(L66-G66),"")</f>
        <v>0.81539351850369712</v>
      </c>
      <c r="O66" s="10">
        <v>45659.878321759257</v>
      </c>
      <c r="P66" s="11">
        <f t="shared" ref="P66:P129" si="5">IF(AND(ISNUMBER(I66),ISNUMBER(O66)),(I66-O66),"")</f>
        <v>0.79027777778537711</v>
      </c>
      <c r="Q66" s="12" t="s">
        <v>660</v>
      </c>
    </row>
    <row r="67" spans="1:17" ht="25.5" x14ac:dyDescent="0.25">
      <c r="A67" s="3" t="s">
        <v>661</v>
      </c>
      <c r="B67" s="3" t="s">
        <v>152</v>
      </c>
      <c r="C67" s="9">
        <v>19.899999999999999</v>
      </c>
      <c r="D67" s="3" t="s">
        <v>519</v>
      </c>
      <c r="E67" s="10">
        <v>45659.840856481482</v>
      </c>
      <c r="F67" s="10">
        <v>45659.874756944453</v>
      </c>
      <c r="G67" s="10">
        <v>45659.87604166667</v>
      </c>
      <c r="H67" s="3" t="s">
        <v>617</v>
      </c>
      <c r="I67" s="10">
        <v>45659.881701388891</v>
      </c>
      <c r="J67" s="10">
        <v>45659.899351851847</v>
      </c>
      <c r="K67" s="10">
        <v>45659.899351851847</v>
      </c>
      <c r="L67" s="10">
        <v>45659.900023148148</v>
      </c>
      <c r="M67" s="11">
        <f t="shared" si="3"/>
        <v>3.5185185188311152E-2</v>
      </c>
      <c r="N67" s="11">
        <f t="shared" si="4"/>
        <v>2.3981481477676425E-2</v>
      </c>
      <c r="O67" s="10">
        <v>45659.879965277767</v>
      </c>
      <c r="P67" s="11">
        <f t="shared" si="5"/>
        <v>1.7361111240461469E-3</v>
      </c>
      <c r="Q67" s="12" t="s">
        <v>662</v>
      </c>
    </row>
    <row r="68" spans="1:17" ht="25.5" x14ac:dyDescent="0.25">
      <c r="A68" s="3" t="s">
        <v>663</v>
      </c>
      <c r="B68" s="3" t="s">
        <v>153</v>
      </c>
      <c r="C68" s="9">
        <v>87.95999999999998</v>
      </c>
      <c r="D68" s="3" t="s">
        <v>492</v>
      </c>
      <c r="E68" s="10">
        <v>45660.112523148149</v>
      </c>
      <c r="F68" s="10">
        <v>45660.12027777778</v>
      </c>
      <c r="G68" s="10">
        <v>45660.122361111113</v>
      </c>
      <c r="H68" s="3" t="s">
        <v>635</v>
      </c>
      <c r="I68" s="10">
        <v>45660.126759259263</v>
      </c>
      <c r="J68" s="10">
        <v>45660.150104166663</v>
      </c>
      <c r="K68" s="10">
        <v>45660.150104166663</v>
      </c>
      <c r="L68" s="10">
        <v>45660.15079861111</v>
      </c>
      <c r="M68" s="11">
        <f t="shared" si="3"/>
        <v>9.8379629635019228E-3</v>
      </c>
      <c r="N68" s="11">
        <f t="shared" si="4"/>
        <v>2.8437499997380655E-2</v>
      </c>
      <c r="O68" s="10">
        <v>45660.125925925917</v>
      </c>
      <c r="P68" s="11">
        <f t="shared" si="5"/>
        <v>8.333333462360315E-4</v>
      </c>
      <c r="Q68" s="12" t="s">
        <v>664</v>
      </c>
    </row>
    <row r="69" spans="1:17" ht="38.25" x14ac:dyDescent="0.25">
      <c r="A69" s="3" t="s">
        <v>665</v>
      </c>
      <c r="B69" s="3" t="s">
        <v>153</v>
      </c>
      <c r="C69" s="9">
        <v>15.74</v>
      </c>
      <c r="D69" s="3" t="s">
        <v>484</v>
      </c>
      <c r="E69" s="10">
        <v>45660.112523148149</v>
      </c>
      <c r="F69" s="10">
        <v>45660.122361111113</v>
      </c>
      <c r="G69" s="10">
        <v>45660.123518518521</v>
      </c>
      <c r="H69" s="3" t="s">
        <v>485</v>
      </c>
      <c r="I69" s="10">
        <v>45660.262696759259</v>
      </c>
      <c r="J69" s="10">
        <v>45660.280532407407</v>
      </c>
      <c r="K69" s="10">
        <v>45660.280532407407</v>
      </c>
      <c r="L69" s="10">
        <v>45660.281238425923</v>
      </c>
      <c r="M69" s="11">
        <f t="shared" si="3"/>
        <v>1.099537037225673E-2</v>
      </c>
      <c r="N69" s="11">
        <f t="shared" si="4"/>
        <v>0.15771990740176989</v>
      </c>
      <c r="O69" s="10">
        <v>45660.127442129633</v>
      </c>
      <c r="P69" s="11">
        <f t="shared" si="5"/>
        <v>0.135254629625706</v>
      </c>
      <c r="Q69" s="12" t="s">
        <v>666</v>
      </c>
    </row>
    <row r="70" spans="1:17" ht="38.25" x14ac:dyDescent="0.25">
      <c r="A70" s="3" t="s">
        <v>667</v>
      </c>
      <c r="B70" s="3" t="s">
        <v>153</v>
      </c>
      <c r="C70" s="9">
        <v>21</v>
      </c>
      <c r="D70" s="3" t="s">
        <v>488</v>
      </c>
      <c r="E70" s="10">
        <v>45660.112523148149</v>
      </c>
      <c r="F70" s="10">
        <v>45660.123518518521</v>
      </c>
      <c r="G70" s="10">
        <v>45660.125277777777</v>
      </c>
      <c r="H70" s="3" t="s">
        <v>648</v>
      </c>
      <c r="I70" s="10">
        <v>45660.309062499997</v>
      </c>
      <c r="J70" s="10">
        <v>45660.371377314812</v>
      </c>
      <c r="K70" s="10">
        <v>45660.371377314812</v>
      </c>
      <c r="L70" s="10">
        <v>45660.372743055559</v>
      </c>
      <c r="M70" s="11">
        <f t="shared" si="3"/>
        <v>1.2754629628034309E-2</v>
      </c>
      <c r="N70" s="11">
        <f t="shared" si="4"/>
        <v>0.24746527778188465</v>
      </c>
      <c r="O70" s="10">
        <v>45660.129189814812</v>
      </c>
      <c r="P70" s="11">
        <f t="shared" si="5"/>
        <v>0.17987268518481869</v>
      </c>
      <c r="Q70" s="12" t="s">
        <v>668</v>
      </c>
    </row>
    <row r="71" spans="1:17" ht="25.5" x14ac:dyDescent="0.25">
      <c r="A71" s="3" t="s">
        <v>669</v>
      </c>
      <c r="B71" s="3" t="s">
        <v>153</v>
      </c>
      <c r="C71" s="9">
        <v>15.74</v>
      </c>
      <c r="D71" s="3" t="s">
        <v>484</v>
      </c>
      <c r="E71" s="10">
        <v>45660.112523148149</v>
      </c>
      <c r="F71" s="10">
        <v>45660.125277777777</v>
      </c>
      <c r="G71" s="10">
        <v>45660.126446759263</v>
      </c>
      <c r="H71" s="3" t="s">
        <v>485</v>
      </c>
      <c r="I71" s="10">
        <v>45660.262696759259</v>
      </c>
      <c r="J71" s="10">
        <v>45660.280532407407</v>
      </c>
      <c r="K71" s="10">
        <v>45660.280532407407</v>
      </c>
      <c r="L71" s="10">
        <v>45660.281238425923</v>
      </c>
      <c r="M71" s="11">
        <f t="shared" si="3"/>
        <v>1.3923611113568768E-2</v>
      </c>
      <c r="N71" s="11">
        <f t="shared" si="4"/>
        <v>0.15479166666045785</v>
      </c>
      <c r="O71" s="10">
        <v>45660.130370370367</v>
      </c>
      <c r="P71" s="11">
        <f t="shared" si="5"/>
        <v>0.13232638889166992</v>
      </c>
      <c r="Q71" s="12" t="s">
        <v>670</v>
      </c>
    </row>
    <row r="72" spans="1:17" x14ac:dyDescent="0.25">
      <c r="A72" s="3" t="s">
        <v>671</v>
      </c>
      <c r="B72" s="3" t="s">
        <v>154</v>
      </c>
      <c r="C72" s="9">
        <v>497</v>
      </c>
      <c r="D72" s="3" t="s">
        <v>519</v>
      </c>
      <c r="E72" s="10">
        <v>45660.192939814813</v>
      </c>
      <c r="F72" s="10">
        <v>45660.200428240743</v>
      </c>
      <c r="G72" s="10">
        <v>45660.202824074076</v>
      </c>
      <c r="H72" s="3" t="s">
        <v>672</v>
      </c>
      <c r="I72" s="10">
        <v>45660.206064814818</v>
      </c>
      <c r="J72" s="10">
        <v>45660.292349537027</v>
      </c>
      <c r="K72" s="10">
        <v>45660.292349537027</v>
      </c>
      <c r="L72" s="10">
        <v>45660.293923611112</v>
      </c>
      <c r="M72" s="11">
        <f t="shared" si="3"/>
        <v>9.8842592633445747E-3</v>
      </c>
      <c r="N72" s="11">
        <f t="shared" si="4"/>
        <v>9.1099537035916001E-2</v>
      </c>
      <c r="O72" s="10">
        <v>45660.205196759263</v>
      </c>
      <c r="P72" s="11">
        <f t="shared" si="5"/>
        <v>8.6805555474711582E-4</v>
      </c>
      <c r="Q72" s="12" t="s">
        <v>673</v>
      </c>
    </row>
    <row r="73" spans="1:17" ht="38.25" x14ac:dyDescent="0.25">
      <c r="A73" s="3" t="s">
        <v>674</v>
      </c>
      <c r="B73" s="3" t="s">
        <v>155</v>
      </c>
      <c r="C73" s="9">
        <v>15.74</v>
      </c>
      <c r="D73" s="3" t="s">
        <v>523</v>
      </c>
      <c r="E73" s="10">
        <v>45660.234120370369</v>
      </c>
      <c r="F73" s="10">
        <v>45660.25104166667</v>
      </c>
      <c r="G73" s="10">
        <v>45660.252650462957</v>
      </c>
      <c r="H73" s="3" t="s">
        <v>524</v>
      </c>
      <c r="I73" s="10">
        <v>45660.894756944443</v>
      </c>
      <c r="J73" s="10">
        <v>45660.914722222216</v>
      </c>
      <c r="K73" s="10">
        <v>45660.914722222216</v>
      </c>
      <c r="L73" s="10">
        <v>45660.915590277778</v>
      </c>
      <c r="M73" s="11">
        <f t="shared" si="3"/>
        <v>1.8530092587752733E-2</v>
      </c>
      <c r="N73" s="11">
        <f t="shared" si="4"/>
        <v>0.66293981482158415</v>
      </c>
      <c r="O73" s="10">
        <v>45660.256550925929</v>
      </c>
      <c r="P73" s="11">
        <f t="shared" si="5"/>
        <v>0.63820601851330139</v>
      </c>
      <c r="Q73" s="12" t="s">
        <v>675</v>
      </c>
    </row>
    <row r="74" spans="1:17" ht="25.5" x14ac:dyDescent="0.25">
      <c r="A74" s="3" t="s">
        <v>676</v>
      </c>
      <c r="B74" s="3" t="s">
        <v>155</v>
      </c>
      <c r="C74" s="9">
        <v>19.899999999999999</v>
      </c>
      <c r="D74" s="3" t="s">
        <v>492</v>
      </c>
      <c r="E74" s="10">
        <v>45660.234120370369</v>
      </c>
      <c r="F74" s="10">
        <v>45660.252650462957</v>
      </c>
      <c r="G74" s="10">
        <v>45660.254571759258</v>
      </c>
      <c r="H74" s="3" t="s">
        <v>677</v>
      </c>
      <c r="I74" s="10">
        <v>45660.282268518517</v>
      </c>
      <c r="J74" s="10">
        <v>45660.307326388887</v>
      </c>
      <c r="K74" s="10">
        <v>45660.307326388887</v>
      </c>
      <c r="L74" s="10">
        <v>45660.308055555557</v>
      </c>
      <c r="M74" s="11">
        <f t="shared" si="3"/>
        <v>2.0451388889341615E-2</v>
      </c>
      <c r="N74" s="11">
        <f t="shared" si="4"/>
        <v>5.3483796298678499E-2</v>
      </c>
      <c r="O74" s="10">
        <v>45660.256736111107</v>
      </c>
      <c r="P74" s="11">
        <f t="shared" si="5"/>
        <v>2.5532407409627922E-2</v>
      </c>
      <c r="Q74" s="12" t="s">
        <v>678</v>
      </c>
    </row>
    <row r="75" spans="1:17" ht="25.5" x14ac:dyDescent="0.25">
      <c r="A75" s="3" t="s">
        <v>679</v>
      </c>
      <c r="B75" s="3" t="s">
        <v>155</v>
      </c>
      <c r="C75" s="9">
        <v>19.899999999999999</v>
      </c>
      <c r="D75" s="3" t="s">
        <v>488</v>
      </c>
      <c r="E75" s="10">
        <v>45660.234120370369</v>
      </c>
      <c r="F75" s="10">
        <v>45660.254571759258</v>
      </c>
      <c r="G75" s="10">
        <v>45660.256331018521</v>
      </c>
      <c r="H75" s="3" t="s">
        <v>648</v>
      </c>
      <c r="I75" s="10">
        <v>45660.309062499997</v>
      </c>
      <c r="J75" s="10">
        <v>45660.371377314812</v>
      </c>
      <c r="K75" s="10">
        <v>45660.371377314812</v>
      </c>
      <c r="L75" s="10">
        <v>45660.372743055559</v>
      </c>
      <c r="M75" s="11">
        <f t="shared" si="3"/>
        <v>2.2210648152395152E-2</v>
      </c>
      <c r="N75" s="11">
        <f t="shared" si="4"/>
        <v>0.11641203703766223</v>
      </c>
      <c r="O75" s="10">
        <v>45660.260254629633</v>
      </c>
      <c r="P75" s="11">
        <f t="shared" si="5"/>
        <v>4.8807870363816619E-2</v>
      </c>
      <c r="Q75" s="12" t="s">
        <v>680</v>
      </c>
    </row>
    <row r="76" spans="1:17" ht="25.5" x14ac:dyDescent="0.25">
      <c r="A76" s="3" t="s">
        <v>681</v>
      </c>
      <c r="B76" s="3" t="s">
        <v>155</v>
      </c>
      <c r="C76" s="9">
        <v>19.899999999999999</v>
      </c>
      <c r="D76" s="3" t="s">
        <v>484</v>
      </c>
      <c r="E76" s="10">
        <v>45660.234120370369</v>
      </c>
      <c r="F76" s="10">
        <v>45660.256331018521</v>
      </c>
      <c r="G76" s="10">
        <v>45660.257511574076</v>
      </c>
      <c r="H76" s="3" t="s">
        <v>485</v>
      </c>
      <c r="I76" s="10">
        <v>45660.262696759259</v>
      </c>
      <c r="J76" s="10">
        <v>45660.280532407407</v>
      </c>
      <c r="K76" s="10">
        <v>45660.280532407407</v>
      </c>
      <c r="L76" s="10">
        <v>45660.281238425923</v>
      </c>
      <c r="M76" s="11">
        <f t="shared" si="3"/>
        <v>2.3391203707433306E-2</v>
      </c>
      <c r="N76" s="11">
        <f t="shared" si="4"/>
        <v>2.3726851846731734E-2</v>
      </c>
      <c r="O76" s="10">
        <v>45660.261053240742</v>
      </c>
      <c r="P76" s="11">
        <f t="shared" si="5"/>
        <v>1.6435185170848854E-3</v>
      </c>
      <c r="Q76" s="12" t="s">
        <v>682</v>
      </c>
    </row>
    <row r="77" spans="1:17" ht="38.25" x14ac:dyDescent="0.25">
      <c r="A77" s="3" t="s">
        <v>683</v>
      </c>
      <c r="B77" s="3" t="s">
        <v>155</v>
      </c>
      <c r="C77" s="9">
        <v>16.5</v>
      </c>
      <c r="D77" s="3" t="s">
        <v>519</v>
      </c>
      <c r="E77" s="10">
        <v>45660.234120370369</v>
      </c>
      <c r="F77" s="10">
        <v>45660.257511574076</v>
      </c>
      <c r="G77" s="10">
        <v>45660.258900462963</v>
      </c>
      <c r="H77" s="3" t="s">
        <v>684</v>
      </c>
      <c r="I77" s="10">
        <v>45660.919293981482</v>
      </c>
      <c r="J77" s="10">
        <v>45660.938437500001</v>
      </c>
      <c r="K77" s="10">
        <v>45660.938437500001</v>
      </c>
      <c r="L77" s="10">
        <v>45660.93917824074</v>
      </c>
      <c r="M77" s="11">
        <f t="shared" si="3"/>
        <v>2.4780092593573499E-2</v>
      </c>
      <c r="N77" s="11">
        <f t="shared" si="4"/>
        <v>0.68027777777751908</v>
      </c>
      <c r="O77" s="10">
        <v>45660.261273148149</v>
      </c>
      <c r="P77" s="11">
        <f t="shared" si="5"/>
        <v>0.65802083333255723</v>
      </c>
      <c r="Q77" s="12" t="s">
        <v>685</v>
      </c>
    </row>
    <row r="78" spans="1:17" ht="25.5" x14ac:dyDescent="0.25">
      <c r="A78" s="3" t="s">
        <v>686</v>
      </c>
      <c r="B78" s="3" t="s">
        <v>155</v>
      </c>
      <c r="C78" s="9">
        <v>27</v>
      </c>
      <c r="D78" s="3" t="s">
        <v>527</v>
      </c>
      <c r="E78" s="10">
        <v>45660.234120370369</v>
      </c>
      <c r="F78" s="10">
        <v>45660.258900462963</v>
      </c>
      <c r="G78" s="10">
        <v>45660.260879629634</v>
      </c>
      <c r="H78" s="3" t="s">
        <v>651</v>
      </c>
      <c r="I78" s="10">
        <v>45660.298784722218</v>
      </c>
      <c r="J78" s="10">
        <v>45660.31753472222</v>
      </c>
      <c r="K78" s="10">
        <v>45660.31753472222</v>
      </c>
      <c r="L78" s="10">
        <v>45660.318333333344</v>
      </c>
      <c r="M78" s="11">
        <f t="shared" si="3"/>
        <v>2.6759259264508728E-2</v>
      </c>
      <c r="N78" s="11">
        <f t="shared" si="4"/>
        <v>5.745370371005265E-2</v>
      </c>
      <c r="O78" s="10">
        <v>45660.264444444438</v>
      </c>
      <c r="P78" s="11">
        <f t="shared" si="5"/>
        <v>3.4340277779847383E-2</v>
      </c>
      <c r="Q78" s="12" t="s">
        <v>687</v>
      </c>
    </row>
    <row r="79" spans="1:17" ht="38.25" x14ac:dyDescent="0.25">
      <c r="A79" s="3" t="s">
        <v>688</v>
      </c>
      <c r="B79" s="3" t="s">
        <v>155</v>
      </c>
      <c r="C79" s="9">
        <v>15.74</v>
      </c>
      <c r="D79" s="3" t="s">
        <v>515</v>
      </c>
      <c r="E79" s="10">
        <v>45660.234120370369</v>
      </c>
      <c r="F79" s="10">
        <v>45660.260879629634</v>
      </c>
      <c r="G79" s="10">
        <v>45660.262789351851</v>
      </c>
      <c r="H79" s="3" t="s">
        <v>689</v>
      </c>
      <c r="I79" s="10">
        <v>45660.856620370367</v>
      </c>
      <c r="J79" s="10">
        <v>45660.875763888893</v>
      </c>
      <c r="K79" s="10">
        <v>45660.875763888893</v>
      </c>
      <c r="L79" s="10">
        <v>45660.876400462963</v>
      </c>
      <c r="M79" s="11">
        <f t="shared" si="3"/>
        <v>2.8668981482042E-2</v>
      </c>
      <c r="N79" s="11">
        <f t="shared" si="4"/>
        <v>0.61361111111182254</v>
      </c>
      <c r="O79" s="10">
        <v>45660.265162037038</v>
      </c>
      <c r="P79" s="11">
        <f t="shared" si="5"/>
        <v>0.59145833332877373</v>
      </c>
      <c r="Q79" s="12" t="s">
        <v>690</v>
      </c>
    </row>
    <row r="80" spans="1:17" ht="25.5" x14ac:dyDescent="0.25">
      <c r="A80" s="3" t="s">
        <v>691</v>
      </c>
      <c r="B80" s="3" t="s">
        <v>155</v>
      </c>
      <c r="C80" s="9">
        <v>15.74</v>
      </c>
      <c r="D80" s="3" t="s">
        <v>506</v>
      </c>
      <c r="E80" s="10">
        <v>45660.234120370369</v>
      </c>
      <c r="F80" s="10">
        <v>45660.262789351851</v>
      </c>
      <c r="G80" s="10">
        <v>45660.264699074083</v>
      </c>
      <c r="H80" s="3" t="s">
        <v>677</v>
      </c>
      <c r="I80" s="10">
        <v>45660.282268518517</v>
      </c>
      <c r="J80" s="10">
        <v>45660.307326388887</v>
      </c>
      <c r="K80" s="10">
        <v>45660.307326388887</v>
      </c>
      <c r="L80" s="10">
        <v>45660.308055555557</v>
      </c>
      <c r="M80" s="11">
        <f t="shared" si="3"/>
        <v>3.0578703714127187E-2</v>
      </c>
      <c r="N80" s="11">
        <f t="shared" si="4"/>
        <v>4.3356481473892927E-2</v>
      </c>
      <c r="O80" s="10">
        <v>45660.268796296303</v>
      </c>
      <c r="P80" s="11">
        <f t="shared" si="5"/>
        <v>1.3472222213749774E-2</v>
      </c>
      <c r="Q80" s="12" t="s">
        <v>692</v>
      </c>
    </row>
    <row r="81" spans="1:17" ht="25.5" x14ac:dyDescent="0.25">
      <c r="A81" s="3" t="s">
        <v>693</v>
      </c>
      <c r="B81" s="3" t="s">
        <v>155</v>
      </c>
      <c r="C81" s="9">
        <v>125.92</v>
      </c>
      <c r="D81" s="3" t="s">
        <v>533</v>
      </c>
      <c r="E81" s="10">
        <v>45660.234120370369</v>
      </c>
      <c r="F81" s="10">
        <v>45660.264699074083</v>
      </c>
      <c r="G81" s="10">
        <v>45660.266979166663</v>
      </c>
      <c r="H81" s="3" t="s">
        <v>497</v>
      </c>
      <c r="I81" s="10">
        <v>45660.277326388888</v>
      </c>
      <c r="J81" s="10">
        <v>45660.312858796293</v>
      </c>
      <c r="K81" s="10">
        <v>45660.312858796293</v>
      </c>
      <c r="L81" s="10">
        <v>45660.313831018517</v>
      </c>
      <c r="M81" s="11">
        <f t="shared" si="3"/>
        <v>3.2858796294021886E-2</v>
      </c>
      <c r="N81" s="11">
        <f t="shared" si="4"/>
        <v>4.6851851853716653E-2</v>
      </c>
      <c r="O81" s="10">
        <v>45660.270891203712</v>
      </c>
      <c r="P81" s="11">
        <f t="shared" si="5"/>
        <v>6.4351851760875434E-3</v>
      </c>
      <c r="Q81" s="12" t="s">
        <v>694</v>
      </c>
    </row>
    <row r="82" spans="1:17" ht="25.5" x14ac:dyDescent="0.25">
      <c r="A82" s="3" t="s">
        <v>695</v>
      </c>
      <c r="B82" s="3" t="s">
        <v>155</v>
      </c>
      <c r="C82" s="9">
        <v>108.7</v>
      </c>
      <c r="D82" s="3" t="s">
        <v>506</v>
      </c>
      <c r="E82" s="10">
        <v>45660.234120370369</v>
      </c>
      <c r="F82" s="10">
        <v>45660.266979166663</v>
      </c>
      <c r="G82" s="10">
        <v>45660.269108796303</v>
      </c>
      <c r="H82" s="3" t="s">
        <v>677</v>
      </c>
      <c r="I82" s="10">
        <v>45660.282268518517</v>
      </c>
      <c r="J82" s="10">
        <v>45660.307326388887</v>
      </c>
      <c r="K82" s="10">
        <v>45660.307326388887</v>
      </c>
      <c r="L82" s="10">
        <v>45660.308055555557</v>
      </c>
      <c r="M82" s="11">
        <f t="shared" si="3"/>
        <v>3.4988425933988765E-2</v>
      </c>
      <c r="N82" s="11">
        <f t="shared" si="4"/>
        <v>3.8946759254031349E-2</v>
      </c>
      <c r="O82" s="10">
        <v>45660.273148148153</v>
      </c>
      <c r="P82" s="11">
        <f t="shared" si="5"/>
        <v>9.1203703632345423E-3</v>
      </c>
      <c r="Q82" s="12" t="s">
        <v>696</v>
      </c>
    </row>
    <row r="83" spans="1:17" ht="25.5" x14ac:dyDescent="0.25">
      <c r="A83" s="3" t="s">
        <v>697</v>
      </c>
      <c r="B83" s="3" t="s">
        <v>155</v>
      </c>
      <c r="C83" s="9">
        <v>27</v>
      </c>
      <c r="D83" s="3" t="s">
        <v>527</v>
      </c>
      <c r="E83" s="10">
        <v>45660.234120370369</v>
      </c>
      <c r="F83" s="10">
        <v>45660.269108796303</v>
      </c>
      <c r="G83" s="10">
        <v>45660.271087962959</v>
      </c>
      <c r="H83" s="3" t="s">
        <v>651</v>
      </c>
      <c r="I83" s="10">
        <v>45660.298784722218</v>
      </c>
      <c r="J83" s="10">
        <v>45660.31753472222</v>
      </c>
      <c r="K83" s="10">
        <v>45660.31753472222</v>
      </c>
      <c r="L83" s="10">
        <v>45660.318333333344</v>
      </c>
      <c r="M83" s="11">
        <f t="shared" si="3"/>
        <v>3.6967592590372078E-2</v>
      </c>
      <c r="N83" s="11">
        <f t="shared" si="4"/>
        <v>4.72453703841893E-2</v>
      </c>
      <c r="O83" s="10">
        <v>45660.275636574072</v>
      </c>
      <c r="P83" s="11">
        <f t="shared" si="5"/>
        <v>2.3148148145992309E-2</v>
      </c>
      <c r="Q83" s="12" t="s">
        <v>698</v>
      </c>
    </row>
    <row r="84" spans="1:17" ht="25.5" x14ac:dyDescent="0.25">
      <c r="A84" s="3" t="s">
        <v>699</v>
      </c>
      <c r="B84" s="3" t="s">
        <v>156</v>
      </c>
      <c r="C84" s="9">
        <v>297</v>
      </c>
      <c r="D84" s="3" t="s">
        <v>500</v>
      </c>
      <c r="E84" s="10">
        <v>45660.274178240739</v>
      </c>
      <c r="F84" s="10">
        <v>45660.280127314807</v>
      </c>
      <c r="G84" s="10">
        <v>45660.282523148147</v>
      </c>
      <c r="H84" s="3" t="s">
        <v>648</v>
      </c>
      <c r="I84" s="10">
        <v>45660.309062499997</v>
      </c>
      <c r="J84" s="10">
        <v>45660.371377314812</v>
      </c>
      <c r="K84" s="10">
        <v>45660.371377314812</v>
      </c>
      <c r="L84" s="10">
        <v>45660.372743055559</v>
      </c>
      <c r="M84" s="11">
        <f t="shared" si="3"/>
        <v>8.3449074081727304E-3</v>
      </c>
      <c r="N84" s="11">
        <f t="shared" si="4"/>
        <v>9.021990741166519E-2</v>
      </c>
      <c r="O84" s="10">
        <v>45660.297083333331</v>
      </c>
      <c r="P84" s="11">
        <f t="shared" si="5"/>
        <v>1.1979166665696539E-2</v>
      </c>
      <c r="Q84" s="12" t="s">
        <v>700</v>
      </c>
    </row>
    <row r="85" spans="1:17" ht="38.25" x14ac:dyDescent="0.25">
      <c r="A85" s="3" t="s">
        <v>701</v>
      </c>
      <c r="B85" s="3" t="s">
        <v>157</v>
      </c>
      <c r="C85" s="9">
        <v>15.74</v>
      </c>
      <c r="D85" s="3" t="s">
        <v>515</v>
      </c>
      <c r="E85" s="10">
        <v>45660.304224537038</v>
      </c>
      <c r="F85" s="10">
        <v>45660.316307870373</v>
      </c>
      <c r="G85" s="10">
        <v>45660.31821759259</v>
      </c>
      <c r="H85" s="3" t="s">
        <v>689</v>
      </c>
      <c r="I85" s="10">
        <v>45660.856620370367</v>
      </c>
      <c r="J85" s="10">
        <v>45660.875763888893</v>
      </c>
      <c r="K85" s="10">
        <v>45660.875763888893</v>
      </c>
      <c r="L85" s="10">
        <v>45660.876400462963</v>
      </c>
      <c r="M85" s="11">
        <f t="shared" si="3"/>
        <v>1.3993055552418809E-2</v>
      </c>
      <c r="N85" s="11">
        <f t="shared" si="4"/>
        <v>0.55818287037254777</v>
      </c>
      <c r="O85" s="10">
        <v>45660.322118055563</v>
      </c>
      <c r="P85" s="11">
        <f t="shared" si="5"/>
        <v>0.53450231480383081</v>
      </c>
      <c r="Q85" s="12" t="s">
        <v>702</v>
      </c>
    </row>
    <row r="86" spans="1:17" ht="25.5" x14ac:dyDescent="0.25">
      <c r="A86" s="3" t="s">
        <v>703</v>
      </c>
      <c r="B86" s="3" t="s">
        <v>157</v>
      </c>
      <c r="C86" s="9">
        <v>19.899999999999999</v>
      </c>
      <c r="D86" s="3" t="s">
        <v>484</v>
      </c>
      <c r="E86" s="10">
        <v>45660.304224537038</v>
      </c>
      <c r="F86" s="10">
        <v>45660.31821759259</v>
      </c>
      <c r="G86" s="10">
        <v>45660.319386574083</v>
      </c>
      <c r="H86" s="3" t="s">
        <v>704</v>
      </c>
      <c r="I86" s="10">
        <v>45660.920208333337</v>
      </c>
      <c r="J86" s="10">
        <v>45660.946250000001</v>
      </c>
      <c r="K86" s="10">
        <v>45660.946250000001</v>
      </c>
      <c r="L86" s="10">
        <v>45660.947060185194</v>
      </c>
      <c r="M86" s="11">
        <f t="shared" si="3"/>
        <v>1.5162037045229226E-2</v>
      </c>
      <c r="N86" s="11">
        <f t="shared" si="4"/>
        <v>0.62767361111036735</v>
      </c>
      <c r="O86" s="10">
        <v>45660.321782407409</v>
      </c>
      <c r="P86" s="11">
        <f t="shared" si="5"/>
        <v>0.59842592592758592</v>
      </c>
      <c r="Q86" s="12" t="s">
        <v>705</v>
      </c>
    </row>
    <row r="87" spans="1:17" ht="38.25" x14ac:dyDescent="0.25">
      <c r="A87" s="3" t="s">
        <v>706</v>
      </c>
      <c r="B87" s="3" t="s">
        <v>157</v>
      </c>
      <c r="C87" s="9">
        <v>40.9</v>
      </c>
      <c r="D87" s="3" t="s">
        <v>488</v>
      </c>
      <c r="E87" s="10">
        <v>45660.304224537038</v>
      </c>
      <c r="F87" s="10">
        <v>45660.319386574083</v>
      </c>
      <c r="G87" s="10">
        <v>45660.321203703701</v>
      </c>
      <c r="H87" s="3" t="s">
        <v>707</v>
      </c>
      <c r="I87" s="10">
        <v>45664.138043981482</v>
      </c>
      <c r="J87" s="10">
        <v>45664.184490740743</v>
      </c>
      <c r="K87" s="10">
        <v>45664.184490740743</v>
      </c>
      <c r="L87" s="10">
        <v>45664.185648148137</v>
      </c>
      <c r="M87" s="11">
        <f t="shared" si="3"/>
        <v>1.6979166663077194E-2</v>
      </c>
      <c r="N87" s="11">
        <f t="shared" si="4"/>
        <v>3.8644444444362307</v>
      </c>
      <c r="O87" s="10">
        <v>45660.323564814818</v>
      </c>
      <c r="P87" s="11">
        <f t="shared" si="5"/>
        <v>3.8144791666636593</v>
      </c>
      <c r="Q87" s="12" t="s">
        <v>708</v>
      </c>
    </row>
    <row r="88" spans="1:17" ht="25.5" x14ac:dyDescent="0.25">
      <c r="A88" s="3" t="s">
        <v>709</v>
      </c>
      <c r="B88" s="3" t="s">
        <v>157</v>
      </c>
      <c r="C88" s="9">
        <v>27</v>
      </c>
      <c r="D88" s="3" t="s">
        <v>527</v>
      </c>
      <c r="E88" s="10">
        <v>45660.304224537038</v>
      </c>
      <c r="F88" s="10">
        <v>45660.321203703701</v>
      </c>
      <c r="G88" s="10">
        <v>45660.322500000002</v>
      </c>
      <c r="H88" s="3" t="s">
        <v>710</v>
      </c>
      <c r="I88" s="10">
        <v>45660.860208333332</v>
      </c>
      <c r="J88" s="10">
        <v>45660.893020833333</v>
      </c>
      <c r="K88" s="10">
        <v>45660.893020833333</v>
      </c>
      <c r="L88" s="10">
        <v>45660.893888888888</v>
      </c>
      <c r="M88" s="11">
        <f t="shared" si="3"/>
        <v>1.8275462964083999E-2</v>
      </c>
      <c r="N88" s="11">
        <f t="shared" si="4"/>
        <v>0.57138888888584916</v>
      </c>
      <c r="O88" s="10">
        <v>45660.324675925927</v>
      </c>
      <c r="P88" s="11">
        <f t="shared" si="5"/>
        <v>0.53553240740438923</v>
      </c>
      <c r="Q88" s="12" t="s">
        <v>711</v>
      </c>
    </row>
    <row r="89" spans="1:17" ht="25.5" x14ac:dyDescent="0.25">
      <c r="A89" s="3" t="s">
        <v>712</v>
      </c>
      <c r="B89" s="3" t="s">
        <v>157</v>
      </c>
      <c r="C89" s="9">
        <v>124.44</v>
      </c>
      <c r="D89" s="3" t="s">
        <v>506</v>
      </c>
      <c r="E89" s="10">
        <v>45660.304224537038</v>
      </c>
      <c r="F89" s="10">
        <v>45660.322500000002</v>
      </c>
      <c r="G89" s="10">
        <v>45660.32471064815</v>
      </c>
      <c r="H89" s="3" t="s">
        <v>564</v>
      </c>
      <c r="I89" s="10">
        <v>45660.330300925933</v>
      </c>
      <c r="J89" s="10">
        <v>45660.362268518518</v>
      </c>
      <c r="K89" s="10">
        <v>45660.362268518518</v>
      </c>
      <c r="L89" s="10">
        <v>45660.363240740742</v>
      </c>
      <c r="M89" s="11">
        <f t="shared" si="3"/>
        <v>2.0486111112404615E-2</v>
      </c>
      <c r="N89" s="11">
        <f t="shared" si="4"/>
        <v>3.853009259182727E-2</v>
      </c>
      <c r="O89" s="10">
        <v>45660.328599537039</v>
      </c>
      <c r="P89" s="11">
        <f t="shared" si="5"/>
        <v>1.7013888937071897E-3</v>
      </c>
      <c r="Q89" s="12" t="s">
        <v>713</v>
      </c>
    </row>
    <row r="90" spans="1:17" ht="25.5" x14ac:dyDescent="0.25">
      <c r="A90" s="3" t="s">
        <v>714</v>
      </c>
      <c r="B90" s="3" t="s">
        <v>157</v>
      </c>
      <c r="C90" s="9">
        <v>62.96</v>
      </c>
      <c r="D90" s="3" t="s">
        <v>533</v>
      </c>
      <c r="E90" s="10">
        <v>45660.304224537038</v>
      </c>
      <c r="F90" s="10">
        <v>45660.32471064815</v>
      </c>
      <c r="G90" s="10">
        <v>45660.326770833337</v>
      </c>
      <c r="H90" s="3" t="s">
        <v>715</v>
      </c>
      <c r="I90" s="10">
        <v>45660.38354166667</v>
      </c>
      <c r="J90" s="10">
        <v>45660.420127314806</v>
      </c>
      <c r="K90" s="10">
        <v>45660.420127314806</v>
      </c>
      <c r="L90" s="10">
        <v>45660.421168981477</v>
      </c>
      <c r="M90" s="11">
        <f t="shared" si="3"/>
        <v>2.2546296298969537E-2</v>
      </c>
      <c r="N90" s="11">
        <f t="shared" si="4"/>
        <v>9.4398148139589466E-2</v>
      </c>
      <c r="O90" s="10">
        <v>45660.328946759262</v>
      </c>
      <c r="P90" s="11">
        <f t="shared" si="5"/>
        <v>5.4594907407590654E-2</v>
      </c>
      <c r="Q90" s="12" t="s">
        <v>716</v>
      </c>
    </row>
    <row r="91" spans="1:17" ht="25.5" x14ac:dyDescent="0.25">
      <c r="A91" s="3" t="s">
        <v>717</v>
      </c>
      <c r="B91" s="3" t="s">
        <v>157</v>
      </c>
      <c r="C91" s="9">
        <v>15.74</v>
      </c>
      <c r="D91" s="3" t="s">
        <v>523</v>
      </c>
      <c r="E91" s="10">
        <v>45660.304224537038</v>
      </c>
      <c r="F91" s="10">
        <v>45660.326770833337</v>
      </c>
      <c r="G91" s="10">
        <v>45660.328379629631</v>
      </c>
      <c r="H91" s="3" t="s">
        <v>524</v>
      </c>
      <c r="I91" s="10">
        <v>45660.894756944443</v>
      </c>
      <c r="J91" s="10">
        <v>45660.914722222216</v>
      </c>
      <c r="K91" s="10">
        <v>45660.914722222216</v>
      </c>
      <c r="L91" s="10">
        <v>45660.915590277778</v>
      </c>
      <c r="M91" s="11">
        <f t="shared" si="3"/>
        <v>2.4155092592991423E-2</v>
      </c>
      <c r="N91" s="11">
        <f t="shared" si="4"/>
        <v>0.5872106481474475</v>
      </c>
      <c r="O91" s="10">
        <v>45660.332280092603</v>
      </c>
      <c r="P91" s="11">
        <f t="shared" si="5"/>
        <v>0.56247685183916474</v>
      </c>
      <c r="Q91" s="12" t="s">
        <v>718</v>
      </c>
    </row>
    <row r="92" spans="1:17" x14ac:dyDescent="0.25">
      <c r="A92" s="3" t="s">
        <v>719</v>
      </c>
      <c r="B92" s="3" t="s">
        <v>158</v>
      </c>
      <c r="C92" s="9">
        <v>256.89999999999998</v>
      </c>
      <c r="D92" s="3" t="s">
        <v>500</v>
      </c>
      <c r="E92" s="10">
        <v>45660.311944444453</v>
      </c>
      <c r="F92" s="10">
        <v>45660.329247685193</v>
      </c>
      <c r="G92" s="10">
        <v>45660.331689814811</v>
      </c>
      <c r="H92" s="3" t="s">
        <v>720</v>
      </c>
      <c r="I92" s="10">
        <v>45660.335509259261</v>
      </c>
      <c r="J92" s="10">
        <v>45660.380104166667</v>
      </c>
      <c r="K92" s="10">
        <v>45660.380104166667</v>
      </c>
      <c r="L92" s="10">
        <v>45660.381099537037</v>
      </c>
      <c r="M92" s="11">
        <f t="shared" si="3"/>
        <v>1.9745370358577929E-2</v>
      </c>
      <c r="N92" s="11">
        <f t="shared" si="4"/>
        <v>4.9409722225391306E-2</v>
      </c>
      <c r="O92" s="10">
        <v>45660.333865740737</v>
      </c>
      <c r="P92" s="11">
        <f t="shared" si="5"/>
        <v>1.643518524360843E-3</v>
      </c>
      <c r="Q92" s="12" t="s">
        <v>721</v>
      </c>
    </row>
    <row r="93" spans="1:17" x14ac:dyDescent="0.25">
      <c r="A93" s="3" t="s">
        <v>722</v>
      </c>
      <c r="B93" s="3" t="s">
        <v>159</v>
      </c>
      <c r="C93" s="9">
        <v>396.56000000000012</v>
      </c>
      <c r="D93" s="3" t="s">
        <v>500</v>
      </c>
      <c r="E93" s="10">
        <v>45660.333969907413</v>
      </c>
      <c r="F93" s="10">
        <v>45660.340960648151</v>
      </c>
      <c r="G93" s="10">
        <v>45660.343877314823</v>
      </c>
      <c r="H93" s="3" t="s">
        <v>723</v>
      </c>
      <c r="I93" s="10">
        <v>45660.367175925923</v>
      </c>
      <c r="J93" s="10">
        <v>45660.436030092591</v>
      </c>
      <c r="K93" s="10">
        <v>45660.436030092591</v>
      </c>
      <c r="L93" s="10">
        <v>45660.437442129631</v>
      </c>
      <c r="M93" s="11">
        <f t="shared" si="3"/>
        <v>9.9074074096279219E-3</v>
      </c>
      <c r="N93" s="11">
        <f t="shared" si="4"/>
        <v>9.356481480790535E-2</v>
      </c>
      <c r="O93" s="10">
        <v>45660.365474537037</v>
      </c>
      <c r="P93" s="11">
        <f t="shared" si="5"/>
        <v>1.7013888864312321E-3</v>
      </c>
      <c r="Q93" s="12" t="s">
        <v>724</v>
      </c>
    </row>
    <row r="94" spans="1:17" ht="25.5" x14ac:dyDescent="0.25">
      <c r="A94" s="3" t="s">
        <v>725</v>
      </c>
      <c r="B94" s="3" t="s">
        <v>160</v>
      </c>
      <c r="C94" s="9">
        <v>131.30000000000001</v>
      </c>
      <c r="D94" s="3" t="s">
        <v>572</v>
      </c>
      <c r="E94" s="10">
        <v>45660.367442129631</v>
      </c>
      <c r="F94" s="10">
        <v>45660.374120370368</v>
      </c>
      <c r="G94" s="10">
        <v>45660.376111111109</v>
      </c>
      <c r="H94" s="3" t="s">
        <v>573</v>
      </c>
      <c r="I94" s="10">
        <v>45660.38177083333</v>
      </c>
      <c r="J94" s="10">
        <v>45660.420266203713</v>
      </c>
      <c r="K94" s="10">
        <v>45660.421168981477</v>
      </c>
      <c r="L94" s="10">
        <v>45660.422280092593</v>
      </c>
      <c r="M94" s="11">
        <f t="shared" si="3"/>
        <v>8.6689814779674634E-3</v>
      </c>
      <c r="N94" s="11">
        <f t="shared" si="4"/>
        <v>4.616898148378823E-2</v>
      </c>
      <c r="O94" s="10">
        <v>45660.38003472222</v>
      </c>
      <c r="P94" s="11">
        <f t="shared" si="5"/>
        <v>1.7361111094942316E-3</v>
      </c>
      <c r="Q94" s="12" t="s">
        <v>726</v>
      </c>
    </row>
    <row r="95" spans="1:17" ht="25.5" x14ac:dyDescent="0.25">
      <c r="A95" s="3" t="s">
        <v>727</v>
      </c>
      <c r="B95" s="3" t="s">
        <v>160</v>
      </c>
      <c r="C95" s="9">
        <v>147.80000000000001</v>
      </c>
      <c r="D95" s="3" t="s">
        <v>500</v>
      </c>
      <c r="E95" s="10">
        <v>45660.367442129631</v>
      </c>
      <c r="F95" s="10">
        <v>45660.376111111109</v>
      </c>
      <c r="G95" s="10">
        <v>45660.378368055557</v>
      </c>
      <c r="H95" s="3" t="s">
        <v>715</v>
      </c>
      <c r="I95" s="10">
        <v>45660.38354166667</v>
      </c>
      <c r="J95" s="10">
        <v>45660.420127314806</v>
      </c>
      <c r="K95" s="10">
        <v>45660.420127314806</v>
      </c>
      <c r="L95" s="10">
        <v>45660.421168981477</v>
      </c>
      <c r="M95" s="11">
        <f t="shared" si="3"/>
        <v>1.0925925926130731E-2</v>
      </c>
      <c r="N95" s="11">
        <f t="shared" si="4"/>
        <v>4.280092591943685E-2</v>
      </c>
      <c r="O95" s="10">
        <v>45660.381921296299</v>
      </c>
      <c r="P95" s="11">
        <f t="shared" si="5"/>
        <v>1.6203703708015382E-3</v>
      </c>
      <c r="Q95" s="12" t="s">
        <v>728</v>
      </c>
    </row>
    <row r="96" spans="1:17" x14ac:dyDescent="0.25">
      <c r="A96" s="3" t="s">
        <v>729</v>
      </c>
      <c r="B96" s="3" t="s">
        <v>161</v>
      </c>
      <c r="C96" s="9">
        <v>266.39999999999998</v>
      </c>
      <c r="D96" s="3" t="s">
        <v>500</v>
      </c>
      <c r="E96" s="10">
        <v>45660.439895833333</v>
      </c>
      <c r="F96" s="10">
        <v>45660.449513888889</v>
      </c>
      <c r="G96" s="10">
        <v>45660.452002314807</v>
      </c>
      <c r="H96" s="3" t="s">
        <v>730</v>
      </c>
      <c r="I96" s="10">
        <v>45660.455243055563</v>
      </c>
      <c r="J96" s="10">
        <v>45660.501493055563</v>
      </c>
      <c r="K96" s="10">
        <v>45660.501493055563</v>
      </c>
      <c r="L96" s="10">
        <v>45660.502511574072</v>
      </c>
      <c r="M96" s="11">
        <f t="shared" si="3"/>
        <v>1.2106481473892927E-2</v>
      </c>
      <c r="N96" s="11">
        <f t="shared" si="4"/>
        <v>5.0509259264799766E-2</v>
      </c>
      <c r="O96" s="10">
        <v>45660.454398148147</v>
      </c>
      <c r="P96" s="11">
        <f t="shared" si="5"/>
        <v>8.4490741573972628E-4</v>
      </c>
      <c r="Q96" s="12" t="s">
        <v>731</v>
      </c>
    </row>
    <row r="97" spans="1:17" ht="38.25" x14ac:dyDescent="0.25">
      <c r="A97" s="3" t="s">
        <v>732</v>
      </c>
      <c r="B97" s="3" t="s">
        <v>161</v>
      </c>
      <c r="C97" s="9">
        <v>21</v>
      </c>
      <c r="D97" s="3" t="s">
        <v>572</v>
      </c>
      <c r="E97" s="10">
        <v>45660.439895833333</v>
      </c>
      <c r="F97" s="10">
        <v>45660.452002314807</v>
      </c>
      <c r="G97" s="10">
        <v>45660.454039351847</v>
      </c>
      <c r="H97" s="3" t="s">
        <v>733</v>
      </c>
      <c r="I97" s="10">
        <v>45664.405659722222</v>
      </c>
      <c r="J97" s="10">
        <v>45664.437025462961</v>
      </c>
      <c r="K97" s="10">
        <v>45664.437025462961</v>
      </c>
      <c r="L97" s="10">
        <v>45664.437951388893</v>
      </c>
      <c r="M97" s="11">
        <f t="shared" si="3"/>
        <v>1.4143518514174502E-2</v>
      </c>
      <c r="N97" s="11">
        <f t="shared" si="4"/>
        <v>3.9839120370452292</v>
      </c>
      <c r="O97" s="10">
        <v>45660.456412037027</v>
      </c>
      <c r="P97" s="11">
        <f t="shared" si="5"/>
        <v>3.9492476851955871</v>
      </c>
      <c r="Q97" s="12" t="s">
        <v>734</v>
      </c>
    </row>
    <row r="98" spans="1:17" x14ac:dyDescent="0.25">
      <c r="A98" s="3" t="s">
        <v>735</v>
      </c>
      <c r="B98" s="3" t="s">
        <v>161</v>
      </c>
      <c r="C98" s="9">
        <v>146.30000000000001</v>
      </c>
      <c r="D98" s="3" t="s">
        <v>500</v>
      </c>
      <c r="E98" s="10">
        <v>45660.439895833333</v>
      </c>
      <c r="F98" s="10">
        <v>45660.454039351847</v>
      </c>
      <c r="G98" s="10">
        <v>45660.456076388888</v>
      </c>
      <c r="H98" s="3" t="s">
        <v>736</v>
      </c>
      <c r="I98" s="10">
        <v>45660.459340277783</v>
      </c>
      <c r="J98" s="10">
        <v>45660.484733796293</v>
      </c>
      <c r="K98" s="10">
        <v>45660.484733796293</v>
      </c>
      <c r="L98" s="10">
        <v>45660.485671296286</v>
      </c>
      <c r="M98" s="11">
        <f t="shared" si="3"/>
        <v>1.6180555554456078E-2</v>
      </c>
      <c r="N98" s="11">
        <f t="shared" si="4"/>
        <v>2.9594907398859505E-2</v>
      </c>
      <c r="O98" s="10">
        <v>45660.458472222221</v>
      </c>
      <c r="P98" s="11">
        <f t="shared" si="5"/>
        <v>8.6805556202307343E-4</v>
      </c>
      <c r="Q98" s="12" t="s">
        <v>737</v>
      </c>
    </row>
    <row r="99" spans="1:17" x14ac:dyDescent="0.25">
      <c r="A99" s="3" t="s">
        <v>738</v>
      </c>
      <c r="B99" s="3" t="s">
        <v>162</v>
      </c>
      <c r="C99" s="9">
        <v>278.02</v>
      </c>
      <c r="D99" s="3" t="s">
        <v>500</v>
      </c>
      <c r="E99" s="10">
        <v>45660.543206018519</v>
      </c>
      <c r="F99" s="10">
        <v>45660.548900462964</v>
      </c>
      <c r="G99" s="10">
        <v>45660.551423611112</v>
      </c>
      <c r="H99" s="3" t="s">
        <v>739</v>
      </c>
      <c r="I99" s="10">
        <v>45660.554652777777</v>
      </c>
      <c r="J99" s="10">
        <v>45660.60292824074</v>
      </c>
      <c r="K99" s="10">
        <v>45660.60292824074</v>
      </c>
      <c r="L99" s="10">
        <v>45660.603958333333</v>
      </c>
      <c r="M99" s="11">
        <f t="shared" si="3"/>
        <v>8.2175925927003846E-3</v>
      </c>
      <c r="N99" s="11">
        <f t="shared" si="4"/>
        <v>5.2534722221025731E-2</v>
      </c>
      <c r="O99" s="10">
        <v>45660.553784722222</v>
      </c>
      <c r="P99" s="11">
        <f t="shared" si="5"/>
        <v>8.6805555474711582E-4</v>
      </c>
      <c r="Q99" s="12" t="s">
        <v>740</v>
      </c>
    </row>
    <row r="100" spans="1:17" ht="25.5" x14ac:dyDescent="0.25">
      <c r="A100" s="3" t="s">
        <v>741</v>
      </c>
      <c r="B100" s="3" t="s">
        <v>163</v>
      </c>
      <c r="C100" s="9">
        <v>62.96</v>
      </c>
      <c r="D100" s="3" t="s">
        <v>500</v>
      </c>
      <c r="E100" s="10">
        <v>45660.597997685189</v>
      </c>
      <c r="F100" s="10">
        <v>45660.602083333331</v>
      </c>
      <c r="G100" s="10">
        <v>45660.604270833333</v>
      </c>
      <c r="H100" s="3" t="s">
        <v>742</v>
      </c>
      <c r="I100" s="10">
        <v>45660.673715277779</v>
      </c>
      <c r="J100" s="10">
        <v>45660.695567129631</v>
      </c>
      <c r="K100" s="10">
        <v>45660.695567129631</v>
      </c>
      <c r="L100" s="10">
        <v>45660.696458333332</v>
      </c>
      <c r="M100" s="11">
        <f t="shared" si="3"/>
        <v>6.2731481448281556E-3</v>
      </c>
      <c r="N100" s="11">
        <f t="shared" si="4"/>
        <v>9.2187499998544808E-2</v>
      </c>
      <c r="O100" s="10">
        <v>45660.606666666667</v>
      </c>
      <c r="P100" s="11">
        <f t="shared" si="5"/>
        <v>6.7048611112113576E-2</v>
      </c>
      <c r="Q100" s="12" t="s">
        <v>743</v>
      </c>
    </row>
    <row r="101" spans="1:17" ht="25.5" x14ac:dyDescent="0.25">
      <c r="A101" s="3" t="s">
        <v>744</v>
      </c>
      <c r="B101" s="3" t="s">
        <v>165</v>
      </c>
      <c r="C101" s="9">
        <v>15.74</v>
      </c>
      <c r="D101" s="3" t="s">
        <v>533</v>
      </c>
      <c r="E101" s="10">
        <v>45660.63003472222</v>
      </c>
      <c r="F101" s="10">
        <v>45660.646354166667</v>
      </c>
      <c r="G101" s="10">
        <v>45660.648298611108</v>
      </c>
      <c r="H101" s="3" t="s">
        <v>745</v>
      </c>
      <c r="I101" s="10">
        <v>45660.870925925927</v>
      </c>
      <c r="J101" s="10">
        <v>45660.900983796288</v>
      </c>
      <c r="K101" s="10">
        <v>45660.900983796288</v>
      </c>
      <c r="L101" s="10">
        <v>45660.901932870373</v>
      </c>
      <c r="M101" s="11">
        <f t="shared" si="3"/>
        <v>1.8263888887304347E-2</v>
      </c>
      <c r="N101" s="11">
        <f t="shared" si="4"/>
        <v>0.25363425926479977</v>
      </c>
      <c r="O101" s="10">
        <v>45660.650694444441</v>
      </c>
      <c r="P101" s="11">
        <f t="shared" si="5"/>
        <v>0.2202314814858255</v>
      </c>
      <c r="Q101" s="12" t="s">
        <v>746</v>
      </c>
    </row>
    <row r="102" spans="1:17" x14ac:dyDescent="0.25">
      <c r="A102" s="3" t="s">
        <v>747</v>
      </c>
      <c r="B102" s="3" t="s">
        <v>165</v>
      </c>
      <c r="C102" s="9">
        <v>164.16</v>
      </c>
      <c r="D102" s="3" t="s">
        <v>506</v>
      </c>
      <c r="E102" s="10">
        <v>45660.63003472222</v>
      </c>
      <c r="F102" s="10">
        <v>45660.648298611108</v>
      </c>
      <c r="G102" s="10">
        <v>45660.650555555563</v>
      </c>
      <c r="H102" s="3" t="s">
        <v>748</v>
      </c>
      <c r="I102" s="10">
        <v>45660.653773148151</v>
      </c>
      <c r="J102" s="10">
        <v>45660.682268518518</v>
      </c>
      <c r="K102" s="10">
        <v>45660.682268518518</v>
      </c>
      <c r="L102" s="10">
        <v>45660.68304398148</v>
      </c>
      <c r="M102" s="11">
        <f t="shared" si="3"/>
        <v>2.0520833342743572E-2</v>
      </c>
      <c r="N102" s="11">
        <f t="shared" si="4"/>
        <v>3.2488425917108543E-2</v>
      </c>
      <c r="O102" s="10">
        <v>45660.652939814812</v>
      </c>
      <c r="P102" s="11">
        <f t="shared" si="5"/>
        <v>8.3333333896007389E-4</v>
      </c>
      <c r="Q102" s="12" t="s">
        <v>749</v>
      </c>
    </row>
    <row r="103" spans="1:17" ht="25.5" x14ac:dyDescent="0.25">
      <c r="A103" s="3" t="s">
        <v>750</v>
      </c>
      <c r="B103" s="3" t="s">
        <v>165</v>
      </c>
      <c r="C103" s="9">
        <v>27</v>
      </c>
      <c r="D103" s="3" t="s">
        <v>527</v>
      </c>
      <c r="E103" s="10">
        <v>45660.63003472222</v>
      </c>
      <c r="F103" s="10">
        <v>45660.650555555563</v>
      </c>
      <c r="G103" s="10">
        <v>45660.651863425926</v>
      </c>
      <c r="H103" s="3" t="s">
        <v>710</v>
      </c>
      <c r="I103" s="10">
        <v>45660.860208333332</v>
      </c>
      <c r="J103" s="10">
        <v>45660.893020833333</v>
      </c>
      <c r="K103" s="10">
        <v>45660.893020833333</v>
      </c>
      <c r="L103" s="10">
        <v>45660.893888888888</v>
      </c>
      <c r="M103" s="11">
        <f t="shared" si="3"/>
        <v>2.1828703705978114E-2</v>
      </c>
      <c r="N103" s="11">
        <f t="shared" si="4"/>
        <v>0.24202546296146465</v>
      </c>
      <c r="O103" s="10">
        <v>45660.655787037038</v>
      </c>
      <c r="P103" s="11">
        <f t="shared" si="5"/>
        <v>0.20442129629373085</v>
      </c>
      <c r="Q103" s="12" t="s">
        <v>751</v>
      </c>
    </row>
    <row r="104" spans="1:17" ht="25.5" x14ac:dyDescent="0.25">
      <c r="A104" s="3" t="s">
        <v>752</v>
      </c>
      <c r="B104" s="3" t="s">
        <v>165</v>
      </c>
      <c r="C104" s="9">
        <v>15.74</v>
      </c>
      <c r="D104" s="3" t="s">
        <v>533</v>
      </c>
      <c r="E104" s="10">
        <v>45660.63003472222</v>
      </c>
      <c r="F104" s="10">
        <v>45660.651863425926</v>
      </c>
      <c r="G104" s="10">
        <v>45660.653819444437</v>
      </c>
      <c r="H104" s="3" t="s">
        <v>745</v>
      </c>
      <c r="I104" s="10">
        <v>45660.870925925927</v>
      </c>
      <c r="J104" s="10">
        <v>45660.900983796288</v>
      </c>
      <c r="K104" s="10">
        <v>45660.900983796288</v>
      </c>
      <c r="L104" s="10">
        <v>45660.901932870373</v>
      </c>
      <c r="M104" s="11">
        <f t="shared" si="3"/>
        <v>2.378472221607808E-2</v>
      </c>
      <c r="N104" s="11">
        <f t="shared" si="4"/>
        <v>0.24811342593602603</v>
      </c>
      <c r="O104" s="10">
        <v>45660.657719907409</v>
      </c>
      <c r="P104" s="11">
        <f t="shared" si="5"/>
        <v>0.21320601851766696</v>
      </c>
      <c r="Q104" s="12" t="s">
        <v>753</v>
      </c>
    </row>
    <row r="105" spans="1:17" ht="38.25" x14ac:dyDescent="0.25">
      <c r="A105" s="3" t="s">
        <v>754</v>
      </c>
      <c r="B105" s="3" t="s">
        <v>165</v>
      </c>
      <c r="C105" s="9">
        <v>21</v>
      </c>
      <c r="D105" s="3" t="s">
        <v>519</v>
      </c>
      <c r="E105" s="10">
        <v>45660.63003472222</v>
      </c>
      <c r="F105" s="10">
        <v>45660.653819444437</v>
      </c>
      <c r="G105" s="10">
        <v>45660.655219907407</v>
      </c>
      <c r="H105" s="3" t="s">
        <v>684</v>
      </c>
      <c r="I105" s="10">
        <v>45660.919293981482</v>
      </c>
      <c r="J105" s="10">
        <v>45660.938437500001</v>
      </c>
      <c r="K105" s="10">
        <v>45660.938437500001</v>
      </c>
      <c r="L105" s="10">
        <v>45660.93917824074</v>
      </c>
      <c r="M105" s="11">
        <f t="shared" si="3"/>
        <v>2.5185185186273884E-2</v>
      </c>
      <c r="N105" s="11">
        <f t="shared" si="4"/>
        <v>0.28395833333343035</v>
      </c>
      <c r="O105" s="10">
        <v>45660.658761574072</v>
      </c>
      <c r="P105" s="11">
        <f t="shared" si="5"/>
        <v>0.26053240741021</v>
      </c>
      <c r="Q105" s="12" t="s">
        <v>755</v>
      </c>
    </row>
    <row r="106" spans="1:17" ht="51" x14ac:dyDescent="0.25">
      <c r="A106" s="3" t="s">
        <v>756</v>
      </c>
      <c r="B106" s="3" t="s">
        <v>165</v>
      </c>
      <c r="C106" s="9">
        <v>19.899999999999999</v>
      </c>
      <c r="D106" s="3" t="s">
        <v>563</v>
      </c>
      <c r="E106" s="10">
        <v>45660.63003472222</v>
      </c>
      <c r="F106" s="10">
        <v>45660.655219907407</v>
      </c>
      <c r="G106" s="10">
        <v>45660.657175925917</v>
      </c>
      <c r="H106" s="3" t="s">
        <v>757</v>
      </c>
      <c r="I106" s="10">
        <v>45665.648368055547</v>
      </c>
      <c r="J106" s="10">
        <v>45665.672546296293</v>
      </c>
      <c r="K106" s="10">
        <v>45665.672546296293</v>
      </c>
      <c r="L106" s="10">
        <v>45665.673414351862</v>
      </c>
      <c r="M106" s="11">
        <f t="shared" si="3"/>
        <v>2.714120369637385E-2</v>
      </c>
      <c r="N106" s="11">
        <f t="shared" si="4"/>
        <v>5.0162384259456303</v>
      </c>
      <c r="O106" s="10">
        <v>45660.659571759257</v>
      </c>
      <c r="P106" s="11">
        <f t="shared" si="5"/>
        <v>4.9887962962893653</v>
      </c>
      <c r="Q106" s="12" t="s">
        <v>758</v>
      </c>
    </row>
    <row r="107" spans="1:17" ht="25.5" x14ac:dyDescent="0.25">
      <c r="A107" s="3" t="s">
        <v>759</v>
      </c>
      <c r="B107" s="3" t="s">
        <v>165</v>
      </c>
      <c r="C107" s="9">
        <v>19.899999999999999</v>
      </c>
      <c r="D107" s="3" t="s">
        <v>515</v>
      </c>
      <c r="E107" s="10">
        <v>45660.63003472222</v>
      </c>
      <c r="F107" s="10">
        <v>45660.657175925917</v>
      </c>
      <c r="G107" s="10">
        <v>45660.659097222233</v>
      </c>
      <c r="H107" s="3" t="s">
        <v>689</v>
      </c>
      <c r="I107" s="10">
        <v>45660.856620370367</v>
      </c>
      <c r="J107" s="10">
        <v>45660.875763888893</v>
      </c>
      <c r="K107" s="10">
        <v>45660.875763888893</v>
      </c>
      <c r="L107" s="10">
        <v>45660.876400462963</v>
      </c>
      <c r="M107" s="11">
        <f t="shared" si="3"/>
        <v>2.9062500012514647E-2</v>
      </c>
      <c r="N107" s="11">
        <f t="shared" si="4"/>
        <v>0.21730324072996154</v>
      </c>
      <c r="O107" s="10">
        <v>45660.662997685176</v>
      </c>
      <c r="P107" s="11">
        <f t="shared" si="5"/>
        <v>0.19362268519034842</v>
      </c>
      <c r="Q107" s="12" t="s">
        <v>760</v>
      </c>
    </row>
    <row r="108" spans="1:17" ht="25.5" x14ac:dyDescent="0.25">
      <c r="A108" s="3" t="s">
        <v>761</v>
      </c>
      <c r="B108" s="3" t="s">
        <v>165</v>
      </c>
      <c r="C108" s="9">
        <v>19.899999999999999</v>
      </c>
      <c r="D108" s="3" t="s">
        <v>539</v>
      </c>
      <c r="E108" s="10">
        <v>45660.63003472222</v>
      </c>
      <c r="F108" s="10">
        <v>45660.659097222233</v>
      </c>
      <c r="G108" s="10">
        <v>45660.660393518519</v>
      </c>
      <c r="H108" s="3" t="s">
        <v>540</v>
      </c>
      <c r="I108" s="10">
        <v>45660.668599537043</v>
      </c>
      <c r="J108" s="10">
        <v>45660.689328703702</v>
      </c>
      <c r="K108" s="10">
        <v>45660.689328703702</v>
      </c>
      <c r="L108" s="10">
        <v>45660.690150462957</v>
      </c>
      <c r="M108" s="11">
        <f t="shared" si="3"/>
        <v>3.0358796298969537E-2</v>
      </c>
      <c r="N108" s="11">
        <f t="shared" si="4"/>
        <v>2.975694443739485E-2</v>
      </c>
      <c r="O108" s="10">
        <v>45660.663946759261</v>
      </c>
      <c r="P108" s="11">
        <f t="shared" si="5"/>
        <v>4.652777781302575E-3</v>
      </c>
      <c r="Q108" s="12" t="s">
        <v>762</v>
      </c>
    </row>
    <row r="109" spans="1:17" ht="38.25" x14ac:dyDescent="0.25">
      <c r="A109" s="3" t="s">
        <v>763</v>
      </c>
      <c r="B109" s="3" t="s">
        <v>165</v>
      </c>
      <c r="C109" s="9">
        <v>15.74</v>
      </c>
      <c r="D109" s="3" t="s">
        <v>496</v>
      </c>
      <c r="E109" s="10">
        <v>45660.63003472222</v>
      </c>
      <c r="F109" s="10">
        <v>45660.660393518519</v>
      </c>
      <c r="G109" s="10">
        <v>45660.662418981483</v>
      </c>
      <c r="H109" s="3" t="s">
        <v>733</v>
      </c>
      <c r="I109" s="10">
        <v>45664.405659722222</v>
      </c>
      <c r="J109" s="10">
        <v>45664.437025462961</v>
      </c>
      <c r="K109" s="10">
        <v>45664.437025462961</v>
      </c>
      <c r="L109" s="10">
        <v>45664.437951388893</v>
      </c>
      <c r="M109" s="11">
        <f t="shared" si="3"/>
        <v>3.238425926247146E-2</v>
      </c>
      <c r="N109" s="11">
        <f t="shared" si="4"/>
        <v>3.7755324074096279</v>
      </c>
      <c r="O109" s="10">
        <v>45660.666342592587</v>
      </c>
      <c r="P109" s="11">
        <f t="shared" si="5"/>
        <v>3.7393171296353103</v>
      </c>
      <c r="Q109" s="12" t="s">
        <v>764</v>
      </c>
    </row>
    <row r="110" spans="1:17" ht="25.5" x14ac:dyDescent="0.25">
      <c r="A110" s="3" t="s">
        <v>765</v>
      </c>
      <c r="B110" s="3" t="s">
        <v>165</v>
      </c>
      <c r="C110" s="9">
        <v>59.7</v>
      </c>
      <c r="D110" s="3" t="s">
        <v>539</v>
      </c>
      <c r="E110" s="10">
        <v>45660.63003472222</v>
      </c>
      <c r="F110" s="10">
        <v>45660.662418981483</v>
      </c>
      <c r="G110" s="10">
        <v>45660.663807870369</v>
      </c>
      <c r="H110" s="3" t="s">
        <v>540</v>
      </c>
      <c r="I110" s="10">
        <v>45660.668599537043</v>
      </c>
      <c r="J110" s="10">
        <v>45660.689328703702</v>
      </c>
      <c r="K110" s="10">
        <v>45660.689328703702</v>
      </c>
      <c r="L110" s="10">
        <v>45660.690150462957</v>
      </c>
      <c r="M110" s="11">
        <f t="shared" si="3"/>
        <v>3.3773148148611654E-2</v>
      </c>
      <c r="N110" s="11">
        <f t="shared" si="4"/>
        <v>2.6342592587752733E-2</v>
      </c>
      <c r="O110" s="10">
        <v>45660.667731481481</v>
      </c>
      <c r="P110" s="11">
        <f t="shared" si="5"/>
        <v>8.6805556202307343E-4</v>
      </c>
      <c r="Q110" s="12" t="s">
        <v>766</v>
      </c>
    </row>
    <row r="111" spans="1:17" ht="25.5" x14ac:dyDescent="0.25">
      <c r="A111" s="3" t="s">
        <v>767</v>
      </c>
      <c r="B111" s="3" t="s">
        <v>165</v>
      </c>
      <c r="C111" s="9">
        <v>21</v>
      </c>
      <c r="D111" s="3" t="s">
        <v>488</v>
      </c>
      <c r="E111" s="10">
        <v>45660.63003472222</v>
      </c>
      <c r="F111" s="10">
        <v>45660.663807870369</v>
      </c>
      <c r="G111" s="10">
        <v>45660.665567129632</v>
      </c>
      <c r="H111" s="3" t="s">
        <v>707</v>
      </c>
      <c r="I111" s="10">
        <v>45664.138043981482</v>
      </c>
      <c r="J111" s="10">
        <v>45664.184490740743</v>
      </c>
      <c r="K111" s="10">
        <v>45664.184490740743</v>
      </c>
      <c r="L111" s="10">
        <v>45664.185648148137</v>
      </c>
      <c r="M111" s="11">
        <f t="shared" si="3"/>
        <v>3.553240741166519E-2</v>
      </c>
      <c r="N111" s="11">
        <f t="shared" si="4"/>
        <v>3.5200810185051523</v>
      </c>
      <c r="O111" s="10">
        <v>45660.667731481481</v>
      </c>
      <c r="P111" s="11">
        <f t="shared" si="5"/>
        <v>3.4703125000014552</v>
      </c>
      <c r="Q111" s="12" t="s">
        <v>768</v>
      </c>
    </row>
    <row r="112" spans="1:17" ht="25.5" x14ac:dyDescent="0.25">
      <c r="A112" s="3" t="s">
        <v>769</v>
      </c>
      <c r="B112" s="3" t="s">
        <v>166</v>
      </c>
      <c r="C112" s="9">
        <v>62.96</v>
      </c>
      <c r="D112" s="3" t="s">
        <v>500</v>
      </c>
      <c r="E112" s="10">
        <v>45660.650358796287</v>
      </c>
      <c r="F112" s="10">
        <v>45660.666331018518</v>
      </c>
      <c r="G112" s="10">
        <v>45660.66851851852</v>
      </c>
      <c r="H112" s="3" t="s">
        <v>742</v>
      </c>
      <c r="I112" s="10">
        <v>45660.673715277779</v>
      </c>
      <c r="J112" s="10">
        <v>45660.695567129631</v>
      </c>
      <c r="K112" s="10">
        <v>45660.695567129631</v>
      </c>
      <c r="L112" s="10">
        <v>45660.696458333332</v>
      </c>
      <c r="M112" s="11">
        <f t="shared" si="3"/>
        <v>1.8159722232667264E-2</v>
      </c>
      <c r="N112" s="11">
        <f t="shared" si="4"/>
        <v>2.7939814812270924E-2</v>
      </c>
      <c r="O112" s="10">
        <v>45660.672071759262</v>
      </c>
      <c r="P112" s="11">
        <f t="shared" si="5"/>
        <v>1.6435185170848854E-3</v>
      </c>
      <c r="Q112" s="12" t="s">
        <v>770</v>
      </c>
    </row>
    <row r="113" spans="1:17" x14ac:dyDescent="0.25">
      <c r="A113" s="3" t="s">
        <v>771</v>
      </c>
      <c r="B113" s="3" t="s">
        <v>167</v>
      </c>
      <c r="C113" s="9">
        <v>278.88000000000011</v>
      </c>
      <c r="D113" s="3" t="s">
        <v>500</v>
      </c>
      <c r="E113" s="10">
        <v>45660.718414351853</v>
      </c>
      <c r="F113" s="10">
        <v>45660.724386574067</v>
      </c>
      <c r="G113" s="10">
        <v>45660.726909722223</v>
      </c>
      <c r="H113" s="3" t="s">
        <v>772</v>
      </c>
      <c r="I113" s="10">
        <v>45660.730150462958</v>
      </c>
      <c r="J113" s="10">
        <v>45660.778564814813</v>
      </c>
      <c r="K113" s="10">
        <v>45660.778564814813</v>
      </c>
      <c r="L113" s="10">
        <v>45660.779606481483</v>
      </c>
      <c r="M113" s="11">
        <f t="shared" si="3"/>
        <v>8.4953703699284233E-3</v>
      </c>
      <c r="N113" s="11">
        <f t="shared" si="4"/>
        <v>5.2696759259561077E-2</v>
      </c>
      <c r="O113" s="10">
        <v>45660.729305555556</v>
      </c>
      <c r="P113" s="11">
        <f t="shared" si="5"/>
        <v>8.4490740118781105E-4</v>
      </c>
      <c r="Q113" s="12" t="s">
        <v>773</v>
      </c>
    </row>
    <row r="114" spans="1:17" ht="25.5" x14ac:dyDescent="0.25">
      <c r="A114" s="3" t="s">
        <v>774</v>
      </c>
      <c r="B114" s="3" t="s">
        <v>168</v>
      </c>
      <c r="C114" s="9">
        <v>58.88</v>
      </c>
      <c r="D114" s="3" t="s">
        <v>515</v>
      </c>
      <c r="E114" s="10">
        <v>45660.835497685177</v>
      </c>
      <c r="F114" s="10">
        <v>45660.850335648152</v>
      </c>
      <c r="G114" s="10">
        <v>45660.852210648147</v>
      </c>
      <c r="H114" s="3" t="s">
        <v>689</v>
      </c>
      <c r="I114" s="10">
        <v>45660.856620370367</v>
      </c>
      <c r="J114" s="10">
        <v>45660.875763888893</v>
      </c>
      <c r="K114" s="10">
        <v>45660.875763888893</v>
      </c>
      <c r="L114" s="10">
        <v>45660.876400462963</v>
      </c>
      <c r="M114" s="11">
        <f t="shared" si="3"/>
        <v>1.6712962969904765E-2</v>
      </c>
      <c r="N114" s="11">
        <f t="shared" si="4"/>
        <v>2.4189814816054422E-2</v>
      </c>
      <c r="O114" s="10">
        <v>45660.855752314812</v>
      </c>
      <c r="P114" s="11">
        <f t="shared" si="5"/>
        <v>8.6805555474711582E-4</v>
      </c>
      <c r="Q114" s="12" t="s">
        <v>775</v>
      </c>
    </row>
    <row r="115" spans="1:17" ht="51" x14ac:dyDescent="0.25">
      <c r="A115" s="3" t="s">
        <v>776</v>
      </c>
      <c r="B115" s="3" t="s">
        <v>168</v>
      </c>
      <c r="C115" s="9">
        <v>19.899999999999999</v>
      </c>
      <c r="D115" s="3" t="s">
        <v>563</v>
      </c>
      <c r="E115" s="10">
        <v>45660.835497685177</v>
      </c>
      <c r="F115" s="10">
        <v>45660.852210648147</v>
      </c>
      <c r="G115" s="10">
        <v>45660.854027777779</v>
      </c>
      <c r="H115" s="3" t="s">
        <v>757</v>
      </c>
      <c r="I115" s="10">
        <v>45665.648368055547</v>
      </c>
      <c r="J115" s="10">
        <v>45665.672546296293</v>
      </c>
      <c r="K115" s="10">
        <v>45665.672546296293</v>
      </c>
      <c r="L115" s="10">
        <v>45665.673414351862</v>
      </c>
      <c r="M115" s="11">
        <f t="shared" si="3"/>
        <v>1.8530092602304649E-2</v>
      </c>
      <c r="N115" s="11">
        <f t="shared" si="4"/>
        <v>4.8193865740831825</v>
      </c>
      <c r="O115" s="10">
        <v>45660.857951388891</v>
      </c>
      <c r="P115" s="11">
        <f t="shared" si="5"/>
        <v>4.7904166666558012</v>
      </c>
      <c r="Q115" s="12" t="s">
        <v>777</v>
      </c>
    </row>
    <row r="116" spans="1:17" ht="25.5" x14ac:dyDescent="0.25">
      <c r="A116" s="3" t="s">
        <v>778</v>
      </c>
      <c r="B116" s="3" t="s">
        <v>168</v>
      </c>
      <c r="C116" s="9">
        <v>135</v>
      </c>
      <c r="D116" s="3" t="s">
        <v>527</v>
      </c>
      <c r="E116" s="10">
        <v>45660.835497685177</v>
      </c>
      <c r="F116" s="10">
        <v>45660.854027777779</v>
      </c>
      <c r="G116" s="10">
        <v>45660.855439814812</v>
      </c>
      <c r="H116" s="3" t="s">
        <v>710</v>
      </c>
      <c r="I116" s="10">
        <v>45660.860208333332</v>
      </c>
      <c r="J116" s="10">
        <v>45660.893020833333</v>
      </c>
      <c r="K116" s="10">
        <v>45660.893020833333</v>
      </c>
      <c r="L116" s="10">
        <v>45660.893888888888</v>
      </c>
      <c r="M116" s="11">
        <f t="shared" si="3"/>
        <v>1.994212963472819E-2</v>
      </c>
      <c r="N116" s="11">
        <f t="shared" si="4"/>
        <v>3.8449074076197576E-2</v>
      </c>
      <c r="O116" s="10">
        <v>45660.859340277777</v>
      </c>
      <c r="P116" s="11">
        <f t="shared" si="5"/>
        <v>8.6805555474711582E-4</v>
      </c>
      <c r="Q116" s="12" t="s">
        <v>779</v>
      </c>
    </row>
    <row r="117" spans="1:17" ht="25.5" x14ac:dyDescent="0.25">
      <c r="A117" s="3" t="s">
        <v>780</v>
      </c>
      <c r="B117" s="3" t="s">
        <v>168</v>
      </c>
      <c r="C117" s="9">
        <v>77.959999999999994</v>
      </c>
      <c r="D117" s="3" t="s">
        <v>506</v>
      </c>
      <c r="E117" s="10">
        <v>45660.835497685177</v>
      </c>
      <c r="F117" s="10">
        <v>45660.855439814812</v>
      </c>
      <c r="G117" s="10">
        <v>45660.857349537036</v>
      </c>
      <c r="H117" s="3" t="s">
        <v>781</v>
      </c>
      <c r="I117" s="10">
        <v>45660.877500000002</v>
      </c>
      <c r="J117" s="10">
        <v>45660.909907407397</v>
      </c>
      <c r="K117" s="10">
        <v>45660.909907407397</v>
      </c>
      <c r="L117" s="10">
        <v>45660.910729166673</v>
      </c>
      <c r="M117" s="11">
        <f t="shared" si="3"/>
        <v>2.1851851859537419E-2</v>
      </c>
      <c r="N117" s="11">
        <f t="shared" si="4"/>
        <v>5.3379629636765458E-2</v>
      </c>
      <c r="O117" s="10">
        <v>45660.859513888892</v>
      </c>
      <c r="P117" s="11">
        <f t="shared" si="5"/>
        <v>1.7986111110076308E-2</v>
      </c>
      <c r="Q117" s="12" t="s">
        <v>782</v>
      </c>
    </row>
    <row r="118" spans="1:17" ht="25.5" x14ac:dyDescent="0.25">
      <c r="A118" s="3" t="s">
        <v>783</v>
      </c>
      <c r="B118" s="3" t="s">
        <v>168</v>
      </c>
      <c r="C118" s="9">
        <v>141.66</v>
      </c>
      <c r="D118" s="3" t="s">
        <v>533</v>
      </c>
      <c r="E118" s="10">
        <v>45660.835497685177</v>
      </c>
      <c r="F118" s="10">
        <v>45660.857349537036</v>
      </c>
      <c r="G118" s="10">
        <v>45660.859456018523</v>
      </c>
      <c r="H118" s="3" t="s">
        <v>745</v>
      </c>
      <c r="I118" s="10">
        <v>45660.870925925927</v>
      </c>
      <c r="J118" s="10">
        <v>45660.900983796288</v>
      </c>
      <c r="K118" s="10">
        <v>45660.900983796288</v>
      </c>
      <c r="L118" s="10">
        <v>45660.901932870373</v>
      </c>
      <c r="M118" s="11">
        <f t="shared" si="3"/>
        <v>2.3958333345944993E-2</v>
      </c>
      <c r="N118" s="11">
        <f t="shared" si="4"/>
        <v>4.2476851849642117E-2</v>
      </c>
      <c r="O118" s="10">
        <v>45660.864085648151</v>
      </c>
      <c r="P118" s="11">
        <f t="shared" si="5"/>
        <v>6.8402777760638855E-3</v>
      </c>
      <c r="Q118" s="12" t="s">
        <v>784</v>
      </c>
    </row>
    <row r="119" spans="1:17" ht="25.5" x14ac:dyDescent="0.25">
      <c r="A119" s="3" t="s">
        <v>785</v>
      </c>
      <c r="B119" s="3" t="s">
        <v>168</v>
      </c>
      <c r="C119" s="9">
        <v>108.7</v>
      </c>
      <c r="D119" s="3" t="s">
        <v>506</v>
      </c>
      <c r="E119" s="10">
        <v>45660.835497685177</v>
      </c>
      <c r="F119" s="10">
        <v>45660.859456018523</v>
      </c>
      <c r="G119" s="10">
        <v>45660.861435185187</v>
      </c>
      <c r="H119" s="3" t="s">
        <v>781</v>
      </c>
      <c r="I119" s="10">
        <v>45660.877500000002</v>
      </c>
      <c r="J119" s="10">
        <v>45660.909907407397</v>
      </c>
      <c r="K119" s="10">
        <v>45660.909907407397</v>
      </c>
      <c r="L119" s="10">
        <v>45660.910729166673</v>
      </c>
      <c r="M119" s="11">
        <f t="shared" si="3"/>
        <v>2.5937500009604264E-2</v>
      </c>
      <c r="N119" s="11">
        <f t="shared" si="4"/>
        <v>4.9293981486698613E-2</v>
      </c>
      <c r="O119" s="10">
        <v>45660.864988425928</v>
      </c>
      <c r="P119" s="11">
        <f t="shared" si="5"/>
        <v>1.2511574073869269E-2</v>
      </c>
      <c r="Q119" s="12" t="s">
        <v>786</v>
      </c>
    </row>
    <row r="120" spans="1:17" ht="25.5" x14ac:dyDescent="0.25">
      <c r="A120" s="3" t="s">
        <v>787</v>
      </c>
      <c r="B120" s="3" t="s">
        <v>168</v>
      </c>
      <c r="C120" s="9">
        <v>33.9</v>
      </c>
      <c r="D120" s="3" t="s">
        <v>523</v>
      </c>
      <c r="E120" s="10">
        <v>45660.835497685177</v>
      </c>
      <c r="F120" s="10">
        <v>45660.861435185187</v>
      </c>
      <c r="G120" s="10">
        <v>45660.862951388888</v>
      </c>
      <c r="H120" s="3" t="s">
        <v>524</v>
      </c>
      <c r="I120" s="10">
        <v>45660.894756944443</v>
      </c>
      <c r="J120" s="10">
        <v>45660.914722222216</v>
      </c>
      <c r="K120" s="10">
        <v>45660.914722222216</v>
      </c>
      <c r="L120" s="10">
        <v>45660.915590277778</v>
      </c>
      <c r="M120" s="11">
        <f t="shared" si="3"/>
        <v>2.7453703711216804E-2</v>
      </c>
      <c r="N120" s="11">
        <f t="shared" si="4"/>
        <v>5.263888889021473E-2</v>
      </c>
      <c r="O120" s="10">
        <v>45660.868831018517</v>
      </c>
      <c r="P120" s="11">
        <f t="shared" si="5"/>
        <v>2.5925925925548654E-2</v>
      </c>
      <c r="Q120" s="12" t="s">
        <v>788</v>
      </c>
    </row>
    <row r="121" spans="1:17" ht="38.25" x14ac:dyDescent="0.25">
      <c r="A121" s="3" t="s">
        <v>789</v>
      </c>
      <c r="B121" s="3" t="s">
        <v>168</v>
      </c>
      <c r="C121" s="9">
        <v>19.899999999999999</v>
      </c>
      <c r="D121" s="3" t="s">
        <v>519</v>
      </c>
      <c r="E121" s="10">
        <v>45660.835497685177</v>
      </c>
      <c r="F121" s="10">
        <v>45660.862951388888</v>
      </c>
      <c r="G121" s="10">
        <v>45660.864201388889</v>
      </c>
      <c r="H121" s="3" t="s">
        <v>684</v>
      </c>
      <c r="I121" s="10">
        <v>45660.919293981482</v>
      </c>
      <c r="J121" s="10">
        <v>45660.938437500001</v>
      </c>
      <c r="K121" s="10">
        <v>45660.938437500001</v>
      </c>
      <c r="L121" s="10">
        <v>45660.93917824074</v>
      </c>
      <c r="M121" s="11">
        <f t="shared" si="3"/>
        <v>2.8703703712380957E-2</v>
      </c>
      <c r="N121" s="11">
        <f t="shared" si="4"/>
        <v>7.497685185080627E-2</v>
      </c>
      <c r="O121" s="10">
        <v>45660.869305555563</v>
      </c>
      <c r="P121" s="11">
        <f t="shared" si="5"/>
        <v>4.9988425918854773E-2</v>
      </c>
      <c r="Q121" s="12" t="s">
        <v>790</v>
      </c>
    </row>
    <row r="122" spans="1:17" ht="38.25" x14ac:dyDescent="0.25">
      <c r="A122" s="3" t="s">
        <v>791</v>
      </c>
      <c r="B122" s="3" t="s">
        <v>170</v>
      </c>
      <c r="C122" s="9">
        <v>19.899999999999999</v>
      </c>
      <c r="D122" s="3" t="s">
        <v>539</v>
      </c>
      <c r="E122" s="10">
        <v>45660.873506944437</v>
      </c>
      <c r="F122" s="10">
        <v>45660.893877314818</v>
      </c>
      <c r="G122" s="10">
        <v>45660.895590277767</v>
      </c>
      <c r="H122" s="3" t="s">
        <v>792</v>
      </c>
      <c r="I122" s="10">
        <v>45664.755682870367</v>
      </c>
      <c r="J122" s="10">
        <v>45664.779861111107</v>
      </c>
      <c r="K122" s="10">
        <v>45664.779861111107</v>
      </c>
      <c r="L122" s="10">
        <v>45664.780775462961</v>
      </c>
      <c r="M122" s="11">
        <f t="shared" si="3"/>
        <v>2.2083333329646848E-2</v>
      </c>
      <c r="N122" s="11">
        <f t="shared" si="4"/>
        <v>3.8851851851941319</v>
      </c>
      <c r="O122" s="10">
        <v>45660.903923611113</v>
      </c>
      <c r="P122" s="11">
        <f t="shared" si="5"/>
        <v>3.8517592592543224</v>
      </c>
      <c r="Q122" s="12" t="s">
        <v>793</v>
      </c>
    </row>
    <row r="123" spans="1:17" ht="38.25" x14ac:dyDescent="0.25">
      <c r="A123" s="3" t="s">
        <v>794</v>
      </c>
      <c r="B123" s="3" t="s">
        <v>170</v>
      </c>
      <c r="C123" s="9">
        <v>69.72</v>
      </c>
      <c r="D123" s="3" t="s">
        <v>506</v>
      </c>
      <c r="E123" s="10">
        <v>45660.873506944437</v>
      </c>
      <c r="F123" s="10">
        <v>45660.895590277767</v>
      </c>
      <c r="G123" s="10">
        <v>45660.897638888891</v>
      </c>
      <c r="H123" s="3" t="s">
        <v>795</v>
      </c>
      <c r="I123" s="10">
        <v>45662.752060185187</v>
      </c>
      <c r="J123" s="10">
        <v>45662.821030092593</v>
      </c>
      <c r="K123" s="10">
        <v>45662.821030092593</v>
      </c>
      <c r="L123" s="10">
        <v>45662.822500000002</v>
      </c>
      <c r="M123" s="11">
        <f t="shared" si="3"/>
        <v>2.4131944453984033E-2</v>
      </c>
      <c r="N123" s="11">
        <f t="shared" si="4"/>
        <v>1.9248611111106584</v>
      </c>
      <c r="O123" s="10">
        <v>45660.90421296296</v>
      </c>
      <c r="P123" s="11">
        <f t="shared" si="5"/>
        <v>1.8478472222268465</v>
      </c>
      <c r="Q123" s="12" t="s">
        <v>796</v>
      </c>
    </row>
    <row r="124" spans="1:17" ht="38.25" x14ac:dyDescent="0.25">
      <c r="A124" s="3" t="s">
        <v>797</v>
      </c>
      <c r="B124" s="3" t="s">
        <v>170</v>
      </c>
      <c r="C124" s="9">
        <v>12.04</v>
      </c>
      <c r="D124" s="3" t="s">
        <v>492</v>
      </c>
      <c r="E124" s="10">
        <v>45660.873506944437</v>
      </c>
      <c r="F124" s="10">
        <v>45660.897638888891</v>
      </c>
      <c r="G124" s="10">
        <v>45660.899513888893</v>
      </c>
      <c r="H124" s="3" t="s">
        <v>798</v>
      </c>
      <c r="I124" s="10">
        <v>45664.340567129628</v>
      </c>
      <c r="J124" s="10">
        <v>45664.360312500001</v>
      </c>
      <c r="K124" s="10">
        <v>45664.360312500001</v>
      </c>
      <c r="L124" s="10">
        <v>45664.360960648148</v>
      </c>
      <c r="M124" s="11">
        <f t="shared" si="3"/>
        <v>2.6006944455730263E-2</v>
      </c>
      <c r="N124" s="11">
        <f t="shared" si="4"/>
        <v>3.4614467592546134</v>
      </c>
      <c r="O124" s="10">
        <v>45660.906851851847</v>
      </c>
      <c r="P124" s="11">
        <f t="shared" si="5"/>
        <v>3.4337152777807205</v>
      </c>
      <c r="Q124" s="12" t="s">
        <v>799</v>
      </c>
    </row>
    <row r="125" spans="1:17" ht="38.25" x14ac:dyDescent="0.25">
      <c r="A125" s="3" t="s">
        <v>800</v>
      </c>
      <c r="B125" s="3" t="s">
        <v>170</v>
      </c>
      <c r="C125" s="9">
        <v>77.959999999999994</v>
      </c>
      <c r="D125" s="3" t="s">
        <v>506</v>
      </c>
      <c r="E125" s="10">
        <v>45660.873506944437</v>
      </c>
      <c r="F125" s="10">
        <v>45660.899513888893</v>
      </c>
      <c r="G125" s="10">
        <v>45660.901585648149</v>
      </c>
      <c r="H125" s="3" t="s">
        <v>795</v>
      </c>
      <c r="I125" s="10">
        <v>45662.752060185187</v>
      </c>
      <c r="J125" s="10">
        <v>45662.821030092593</v>
      </c>
      <c r="K125" s="10">
        <v>45662.821030092593</v>
      </c>
      <c r="L125" s="10">
        <v>45662.822500000002</v>
      </c>
      <c r="M125" s="11">
        <f t="shared" si="3"/>
        <v>2.807870371179888E-2</v>
      </c>
      <c r="N125" s="11">
        <f t="shared" si="4"/>
        <v>1.9209143518528435</v>
      </c>
      <c r="O125" s="10">
        <v>45660.908958333333</v>
      </c>
      <c r="P125" s="11">
        <f t="shared" si="5"/>
        <v>1.8431018518531346</v>
      </c>
      <c r="Q125" s="12" t="s">
        <v>801</v>
      </c>
    </row>
    <row r="126" spans="1:17" ht="38.25" x14ac:dyDescent="0.25">
      <c r="A126" s="3" t="s">
        <v>802</v>
      </c>
      <c r="B126" s="3" t="s">
        <v>170</v>
      </c>
      <c r="C126" s="9">
        <v>15.74</v>
      </c>
      <c r="D126" s="3" t="s">
        <v>515</v>
      </c>
      <c r="E126" s="10">
        <v>45660.873506944437</v>
      </c>
      <c r="F126" s="10">
        <v>45660.901585648149</v>
      </c>
      <c r="G126" s="10">
        <v>45660.90283564815</v>
      </c>
      <c r="H126" s="3" t="s">
        <v>803</v>
      </c>
      <c r="I126" s="10">
        <v>45664.366840277777</v>
      </c>
      <c r="J126" s="10">
        <v>45664.404004629629</v>
      </c>
      <c r="K126" s="10">
        <v>45664.404004629629</v>
      </c>
      <c r="L126" s="10">
        <v>45664.405046296299</v>
      </c>
      <c r="M126" s="11">
        <f t="shared" si="3"/>
        <v>2.9328703712963033E-2</v>
      </c>
      <c r="N126" s="11">
        <f t="shared" si="4"/>
        <v>3.5022106481483206</v>
      </c>
      <c r="O126" s="10">
        <v>45660.909780092603</v>
      </c>
      <c r="P126" s="11">
        <f t="shared" si="5"/>
        <v>3.4570601851737592</v>
      </c>
      <c r="Q126" s="12" t="s">
        <v>804</v>
      </c>
    </row>
    <row r="127" spans="1:17" ht="38.25" x14ac:dyDescent="0.25">
      <c r="A127" s="3" t="s">
        <v>805</v>
      </c>
      <c r="B127" s="3" t="s">
        <v>170</v>
      </c>
      <c r="C127" s="9">
        <v>81</v>
      </c>
      <c r="D127" s="3" t="s">
        <v>527</v>
      </c>
      <c r="E127" s="10">
        <v>45660.873506944437</v>
      </c>
      <c r="F127" s="10">
        <v>45660.90283564815</v>
      </c>
      <c r="G127" s="10">
        <v>45660.904247685183</v>
      </c>
      <c r="H127" s="3" t="s">
        <v>803</v>
      </c>
      <c r="I127" s="10">
        <v>45664.366840277777</v>
      </c>
      <c r="J127" s="10">
        <v>45664.404004629629</v>
      </c>
      <c r="K127" s="10">
        <v>45664.404004629629</v>
      </c>
      <c r="L127" s="10">
        <v>45664.405046296299</v>
      </c>
      <c r="M127" s="11">
        <f t="shared" si="3"/>
        <v>3.0740740745386574E-2</v>
      </c>
      <c r="N127" s="11">
        <f t="shared" si="4"/>
        <v>3.5007986111158971</v>
      </c>
      <c r="O127" s="10">
        <v>45660.914641203701</v>
      </c>
      <c r="P127" s="11">
        <f t="shared" si="5"/>
        <v>3.4521990740759065</v>
      </c>
      <c r="Q127" s="12" t="s">
        <v>806</v>
      </c>
    </row>
    <row r="128" spans="1:17" ht="25.5" x14ac:dyDescent="0.25">
      <c r="A128" s="3" t="s">
        <v>807</v>
      </c>
      <c r="B128" s="3" t="s">
        <v>170</v>
      </c>
      <c r="C128" s="9">
        <v>16.5</v>
      </c>
      <c r="D128" s="3" t="s">
        <v>519</v>
      </c>
      <c r="E128" s="10">
        <v>45660.873506944437</v>
      </c>
      <c r="F128" s="10">
        <v>45660.904247685183</v>
      </c>
      <c r="G128" s="10">
        <v>45660.905601851853</v>
      </c>
      <c r="H128" s="3" t="s">
        <v>684</v>
      </c>
      <c r="I128" s="10">
        <v>45660.919293981482</v>
      </c>
      <c r="J128" s="10">
        <v>45660.938437500001</v>
      </c>
      <c r="K128" s="10">
        <v>45660.938437500001</v>
      </c>
      <c r="L128" s="10">
        <v>45660.93917824074</v>
      </c>
      <c r="M128" s="11">
        <f t="shared" si="3"/>
        <v>3.2094907415739726E-2</v>
      </c>
      <c r="N128" s="11">
        <f t="shared" si="4"/>
        <v>3.3576388887013309E-2</v>
      </c>
      <c r="O128" s="10">
        <v>45660.913703703707</v>
      </c>
      <c r="P128" s="11">
        <f t="shared" si="5"/>
        <v>5.5902777748997323E-3</v>
      </c>
      <c r="Q128" s="12" t="s">
        <v>808</v>
      </c>
    </row>
    <row r="129" spans="1:17" ht="25.5" x14ac:dyDescent="0.25">
      <c r="A129" s="3" t="s">
        <v>809</v>
      </c>
      <c r="B129" s="3" t="s">
        <v>170</v>
      </c>
      <c r="C129" s="9">
        <v>61.9</v>
      </c>
      <c r="D129" s="3" t="s">
        <v>488</v>
      </c>
      <c r="E129" s="10">
        <v>45660.873506944437</v>
      </c>
      <c r="F129" s="10">
        <v>45660.905601851853</v>
      </c>
      <c r="G129" s="10">
        <v>45660.907430555562</v>
      </c>
      <c r="H129" s="3" t="s">
        <v>707</v>
      </c>
      <c r="I129" s="10">
        <v>45664.138043981482</v>
      </c>
      <c r="J129" s="10">
        <v>45664.184490740743</v>
      </c>
      <c r="K129" s="10">
        <v>45664.184490740743</v>
      </c>
      <c r="L129" s="10">
        <v>45664.185648148137</v>
      </c>
      <c r="M129" s="11">
        <f t="shared" si="3"/>
        <v>3.3923611124919262E-2</v>
      </c>
      <c r="N129" s="11">
        <f t="shared" si="4"/>
        <v>3.278217592574947</v>
      </c>
      <c r="O129" s="10">
        <v>45660.9141087963</v>
      </c>
      <c r="P129" s="11">
        <f t="shared" si="5"/>
        <v>3.2239351851821993</v>
      </c>
      <c r="Q129" s="12" t="s">
        <v>810</v>
      </c>
    </row>
    <row r="130" spans="1:17" ht="38.25" x14ac:dyDescent="0.25">
      <c r="A130" s="3" t="s">
        <v>811</v>
      </c>
      <c r="B130" s="3" t="s">
        <v>170</v>
      </c>
      <c r="C130" s="9">
        <v>19.899999999999999</v>
      </c>
      <c r="D130" s="3" t="s">
        <v>563</v>
      </c>
      <c r="E130" s="10">
        <v>45660.873506944437</v>
      </c>
      <c r="F130" s="10">
        <v>45660.907430555562</v>
      </c>
      <c r="G130" s="10">
        <v>45660.909375000003</v>
      </c>
      <c r="H130" s="3" t="s">
        <v>757</v>
      </c>
      <c r="I130" s="10">
        <v>45665.648368055547</v>
      </c>
      <c r="J130" s="10">
        <v>45665.672546296293</v>
      </c>
      <c r="K130" s="10">
        <v>45665.672546296293</v>
      </c>
      <c r="L130" s="10">
        <v>45665.673414351862</v>
      </c>
      <c r="M130" s="11">
        <f t="shared" ref="M130:M193" si="6">IF(AND(ISNUMBER(E130),ISNUMBER(G130)),(G130-E130),"")</f>
        <v>3.5868055565515533E-2</v>
      </c>
      <c r="N130" s="11">
        <f t="shared" ref="N130:N193" si="7">IF(AND(ISNUMBER(G130),ISNUMBER(L130)),(L130-G130),"")</f>
        <v>4.7640393518595374</v>
      </c>
      <c r="O130" s="10">
        <v>45660.914699074077</v>
      </c>
      <c r="P130" s="11">
        <f t="shared" ref="P130:P193" si="8">IF(AND(ISNUMBER(I130),ISNUMBER(O130)),(I130-O130),"")</f>
        <v>4.7336689814692363</v>
      </c>
      <c r="Q130" s="12" t="s">
        <v>812</v>
      </c>
    </row>
    <row r="131" spans="1:17" ht="25.5" x14ac:dyDescent="0.25">
      <c r="A131" s="3" t="s">
        <v>813</v>
      </c>
      <c r="B131" s="3" t="s">
        <v>170</v>
      </c>
      <c r="C131" s="9">
        <v>110.18</v>
      </c>
      <c r="D131" s="3" t="s">
        <v>533</v>
      </c>
      <c r="E131" s="10">
        <v>45660.873506944437</v>
      </c>
      <c r="F131" s="10">
        <v>45660.909375000003</v>
      </c>
      <c r="G131" s="10">
        <v>45660.910717592589</v>
      </c>
      <c r="H131" s="3" t="s">
        <v>704</v>
      </c>
      <c r="I131" s="10">
        <v>45660.920208333337</v>
      </c>
      <c r="J131" s="10">
        <v>45660.946250000001</v>
      </c>
      <c r="K131" s="10">
        <v>45660.946250000001</v>
      </c>
      <c r="L131" s="10">
        <v>45660.947060185194</v>
      </c>
      <c r="M131" s="11">
        <f t="shared" si="6"/>
        <v>3.7210648151813075E-2</v>
      </c>
      <c r="N131" s="11">
        <f t="shared" si="7"/>
        <v>3.6342592604341917E-2</v>
      </c>
      <c r="O131" s="10">
        <v>45660.91846064815</v>
      </c>
      <c r="P131" s="11">
        <f t="shared" si="8"/>
        <v>1.747685186273884E-3</v>
      </c>
      <c r="Q131" s="12" t="s">
        <v>814</v>
      </c>
    </row>
    <row r="132" spans="1:17" ht="25.5" x14ac:dyDescent="0.25">
      <c r="A132" s="3" t="s">
        <v>815</v>
      </c>
      <c r="B132" s="3" t="s">
        <v>170</v>
      </c>
      <c r="C132" s="9">
        <v>36.4</v>
      </c>
      <c r="D132" s="3" t="s">
        <v>519</v>
      </c>
      <c r="E132" s="10">
        <v>45660.873506944437</v>
      </c>
      <c r="F132" s="10">
        <v>45660.910717592589</v>
      </c>
      <c r="G132" s="10">
        <v>45660.912129629629</v>
      </c>
      <c r="H132" s="3" t="s">
        <v>684</v>
      </c>
      <c r="I132" s="10">
        <v>45660.919293981482</v>
      </c>
      <c r="J132" s="10">
        <v>45660.938437500001</v>
      </c>
      <c r="K132" s="10">
        <v>45660.938437500001</v>
      </c>
      <c r="L132" s="10">
        <v>45660.93917824074</v>
      </c>
      <c r="M132" s="11">
        <f t="shared" si="6"/>
        <v>3.8622685191512574E-2</v>
      </c>
      <c r="N132" s="11">
        <f t="shared" si="7"/>
        <v>2.7048611111240461E-2</v>
      </c>
      <c r="O132" s="10">
        <v>45660.918425925927</v>
      </c>
      <c r="P132" s="11">
        <f t="shared" si="8"/>
        <v>8.6805555474711582E-4</v>
      </c>
      <c r="Q132" s="12" t="s">
        <v>816</v>
      </c>
    </row>
    <row r="133" spans="1:17" ht="25.5" x14ac:dyDescent="0.25">
      <c r="A133" s="3" t="s">
        <v>817</v>
      </c>
      <c r="B133" s="3" t="s">
        <v>170</v>
      </c>
      <c r="C133" s="9">
        <v>19.899999999999999</v>
      </c>
      <c r="D133" s="3" t="s">
        <v>484</v>
      </c>
      <c r="E133" s="10">
        <v>45660.873506944437</v>
      </c>
      <c r="F133" s="10">
        <v>45660.912129629629</v>
      </c>
      <c r="G133" s="10">
        <v>45660.913275462961</v>
      </c>
      <c r="H133" s="3" t="s">
        <v>704</v>
      </c>
      <c r="I133" s="10">
        <v>45660.920208333337</v>
      </c>
      <c r="J133" s="10">
        <v>45660.946250000001</v>
      </c>
      <c r="K133" s="10">
        <v>45660.946250000001</v>
      </c>
      <c r="L133" s="10">
        <v>45660.947060185194</v>
      </c>
      <c r="M133" s="11">
        <f t="shared" si="6"/>
        <v>3.9768518523487728E-2</v>
      </c>
      <c r="N133" s="11">
        <f t="shared" si="7"/>
        <v>3.3784722232667264E-2</v>
      </c>
      <c r="O133" s="10">
        <v>45660.919363425928</v>
      </c>
      <c r="P133" s="11">
        <f t="shared" si="8"/>
        <v>8.4490740846376866E-4</v>
      </c>
      <c r="Q133" s="12" t="s">
        <v>818</v>
      </c>
    </row>
    <row r="134" spans="1:17" x14ac:dyDescent="0.25">
      <c r="A134" s="3" t="s">
        <v>819</v>
      </c>
      <c r="B134" s="3" t="s">
        <v>171</v>
      </c>
      <c r="C134" s="9">
        <v>220.36</v>
      </c>
      <c r="D134" s="3" t="s">
        <v>533</v>
      </c>
      <c r="E134" s="10">
        <v>45661.23746527778</v>
      </c>
      <c r="F134" s="10">
        <v>45661.245393518519</v>
      </c>
      <c r="G134" s="10">
        <v>45661.247025462973</v>
      </c>
      <c r="H134" s="3" t="s">
        <v>820</v>
      </c>
      <c r="I134" s="10">
        <v>45661.250243055547</v>
      </c>
      <c r="J134" s="10">
        <v>45661.288495370369</v>
      </c>
      <c r="K134" s="10">
        <v>45661.288495370369</v>
      </c>
      <c r="L134" s="10">
        <v>45661.289467592593</v>
      </c>
      <c r="M134" s="11">
        <f t="shared" si="6"/>
        <v>9.5601851935498416E-3</v>
      </c>
      <c r="N134" s="11">
        <f t="shared" si="7"/>
        <v>4.2442129619303159E-2</v>
      </c>
      <c r="O134" s="10">
        <v>45661.249398148153</v>
      </c>
      <c r="P134" s="11">
        <f t="shared" si="8"/>
        <v>8.4490739391185343E-4</v>
      </c>
      <c r="Q134" s="12" t="s">
        <v>821</v>
      </c>
    </row>
    <row r="135" spans="1:17" ht="25.5" x14ac:dyDescent="0.25">
      <c r="A135" s="3" t="s">
        <v>822</v>
      </c>
      <c r="B135" s="3" t="s">
        <v>171</v>
      </c>
      <c r="C135" s="9">
        <v>19.899999999999999</v>
      </c>
      <c r="D135" s="3" t="s">
        <v>519</v>
      </c>
      <c r="E135" s="10">
        <v>45661.23746527778</v>
      </c>
      <c r="F135" s="10">
        <v>45661.247025462973</v>
      </c>
      <c r="G135" s="10">
        <v>45661.248310185183</v>
      </c>
      <c r="H135" s="3" t="s">
        <v>823</v>
      </c>
      <c r="I135" s="10">
        <v>45662.753495370373</v>
      </c>
      <c r="J135" s="10">
        <v>45662.774016203701</v>
      </c>
      <c r="K135" s="10">
        <v>45662.774016203701</v>
      </c>
      <c r="L135" s="10">
        <v>45662.774722222217</v>
      </c>
      <c r="M135" s="11">
        <f t="shared" si="6"/>
        <v>1.0844907403225079E-2</v>
      </c>
      <c r="N135" s="11">
        <f t="shared" si="7"/>
        <v>1.5264120370338787</v>
      </c>
      <c r="O135" s="10">
        <v>45661.250706018523</v>
      </c>
      <c r="P135" s="11">
        <f t="shared" si="8"/>
        <v>1.50278935184906</v>
      </c>
      <c r="Q135" s="12" t="s">
        <v>824</v>
      </c>
    </row>
    <row r="136" spans="1:17" ht="25.5" x14ac:dyDescent="0.25">
      <c r="A136" s="3" t="s">
        <v>825</v>
      </c>
      <c r="B136" s="3" t="s">
        <v>171</v>
      </c>
      <c r="C136" s="9">
        <v>54.72</v>
      </c>
      <c r="D136" s="3" t="s">
        <v>506</v>
      </c>
      <c r="E136" s="10">
        <v>45661.23746527778</v>
      </c>
      <c r="F136" s="10">
        <v>45661.248310185183</v>
      </c>
      <c r="G136" s="10">
        <v>45661.250358796293</v>
      </c>
      <c r="H136" s="3" t="s">
        <v>795</v>
      </c>
      <c r="I136" s="10">
        <v>45662.752060185187</v>
      </c>
      <c r="J136" s="10">
        <v>45662.821030092593</v>
      </c>
      <c r="K136" s="10">
        <v>45662.821030092593</v>
      </c>
      <c r="L136" s="10">
        <v>45662.822500000002</v>
      </c>
      <c r="M136" s="11">
        <f t="shared" si="6"/>
        <v>1.2893518513010349E-2</v>
      </c>
      <c r="N136" s="11">
        <f t="shared" si="7"/>
        <v>1.5721412037091795</v>
      </c>
      <c r="O136" s="10">
        <v>45661.25273148148</v>
      </c>
      <c r="P136" s="11">
        <f t="shared" si="8"/>
        <v>1.4993287037068512</v>
      </c>
      <c r="Q136" s="12" t="s">
        <v>826</v>
      </c>
    </row>
    <row r="137" spans="1:17" ht="25.5" x14ac:dyDescent="0.25">
      <c r="A137" s="3" t="s">
        <v>827</v>
      </c>
      <c r="B137" s="3" t="s">
        <v>172</v>
      </c>
      <c r="C137" s="9">
        <v>94.44</v>
      </c>
      <c r="D137" s="3" t="s">
        <v>533</v>
      </c>
      <c r="E137" s="10">
        <v>45662.732974537037</v>
      </c>
      <c r="F137" s="10">
        <v>45662.743298611109</v>
      </c>
      <c r="G137" s="10">
        <v>45662.744618055563</v>
      </c>
      <c r="H137" s="3" t="s">
        <v>828</v>
      </c>
      <c r="I137" s="10">
        <v>45664.13894675926</v>
      </c>
      <c r="J137" s="10">
        <v>45664.162824074083</v>
      </c>
      <c r="K137" s="10">
        <v>45664.162824074083</v>
      </c>
      <c r="L137" s="10">
        <v>45664.163611111107</v>
      </c>
      <c r="M137" s="11">
        <f t="shared" si="6"/>
        <v>1.1643518526398111E-2</v>
      </c>
      <c r="N137" s="11">
        <f t="shared" si="7"/>
        <v>1.4189930555439787</v>
      </c>
      <c r="O137" s="10">
        <v>45662.747013888889</v>
      </c>
      <c r="P137" s="11">
        <f t="shared" si="8"/>
        <v>1.3919328703705105</v>
      </c>
      <c r="Q137" s="12" t="s">
        <v>829</v>
      </c>
    </row>
    <row r="138" spans="1:17" ht="25.5" x14ac:dyDescent="0.25">
      <c r="A138" s="3" t="s">
        <v>830</v>
      </c>
      <c r="B138" s="3" t="s">
        <v>172</v>
      </c>
      <c r="C138" s="9">
        <v>342.58</v>
      </c>
      <c r="D138" s="3" t="s">
        <v>506</v>
      </c>
      <c r="E138" s="10">
        <v>45662.732974537037</v>
      </c>
      <c r="F138" s="10">
        <v>45662.744618055563</v>
      </c>
      <c r="G138" s="10">
        <v>45662.747291666667</v>
      </c>
      <c r="H138" s="3" t="s">
        <v>795</v>
      </c>
      <c r="I138" s="10">
        <v>45662.752060185187</v>
      </c>
      <c r="J138" s="10">
        <v>45662.821030092593</v>
      </c>
      <c r="K138" s="10">
        <v>45662.821030092593</v>
      </c>
      <c r="L138" s="10">
        <v>45662.822500000002</v>
      </c>
      <c r="M138" s="11">
        <f t="shared" si="6"/>
        <v>1.43171296294895E-2</v>
      </c>
      <c r="N138" s="11">
        <f t="shared" si="7"/>
        <v>7.5208333335467614E-2</v>
      </c>
      <c r="O138" s="10">
        <v>45662.751192129632</v>
      </c>
      <c r="P138" s="11">
        <f t="shared" si="8"/>
        <v>8.6805555474711582E-4</v>
      </c>
      <c r="Q138" s="12" t="s">
        <v>831</v>
      </c>
    </row>
    <row r="139" spans="1:17" ht="25.5" x14ac:dyDescent="0.25">
      <c r="A139" s="3" t="s">
        <v>832</v>
      </c>
      <c r="B139" s="3" t="s">
        <v>172</v>
      </c>
      <c r="C139" s="9">
        <v>98.3</v>
      </c>
      <c r="D139" s="3" t="s">
        <v>519</v>
      </c>
      <c r="E139" s="10">
        <v>45662.732974537037</v>
      </c>
      <c r="F139" s="10">
        <v>45662.747291666667</v>
      </c>
      <c r="G139" s="10">
        <v>45662.748738425929</v>
      </c>
      <c r="H139" s="3" t="s">
        <v>823</v>
      </c>
      <c r="I139" s="10">
        <v>45662.753495370373</v>
      </c>
      <c r="J139" s="10">
        <v>45662.774016203701</v>
      </c>
      <c r="K139" s="10">
        <v>45662.774016203701</v>
      </c>
      <c r="L139" s="10">
        <v>45662.774722222217</v>
      </c>
      <c r="M139" s="11">
        <f t="shared" si="6"/>
        <v>1.5763888892251998E-2</v>
      </c>
      <c r="N139" s="11">
        <f t="shared" si="7"/>
        <v>2.5983796287619043E-2</v>
      </c>
      <c r="O139" s="10">
        <v>45662.752662037034</v>
      </c>
      <c r="P139" s="11">
        <f t="shared" si="8"/>
        <v>8.3333333896007389E-4</v>
      </c>
      <c r="Q139" s="12" t="s">
        <v>833</v>
      </c>
    </row>
    <row r="140" spans="1:17" x14ac:dyDescent="0.25">
      <c r="A140" s="3" t="s">
        <v>834</v>
      </c>
      <c r="B140" s="3" t="s">
        <v>173</v>
      </c>
      <c r="C140" s="9">
        <v>428.78000000000009</v>
      </c>
      <c r="D140" s="3" t="s">
        <v>506</v>
      </c>
      <c r="E140" s="10">
        <v>45662.840231481481</v>
      </c>
      <c r="F140" s="10">
        <v>45662.850405092591</v>
      </c>
      <c r="G140" s="10">
        <v>45662.85261574074</v>
      </c>
      <c r="H140" s="3" t="s">
        <v>835</v>
      </c>
      <c r="I140" s="10">
        <v>45662.855844907397</v>
      </c>
      <c r="J140" s="10">
        <v>45662.930289351847</v>
      </c>
      <c r="K140" s="10">
        <v>45662.930289351847</v>
      </c>
      <c r="L140" s="10">
        <v>45662.931701388887</v>
      </c>
      <c r="M140" s="11">
        <f t="shared" si="6"/>
        <v>1.2384259258396924E-2</v>
      </c>
      <c r="N140" s="11">
        <f t="shared" si="7"/>
        <v>7.9085648147156462E-2</v>
      </c>
      <c r="O140" s="10">
        <v>45662.855011574073</v>
      </c>
      <c r="P140" s="11">
        <f t="shared" si="8"/>
        <v>8.3333332440815866E-4</v>
      </c>
      <c r="Q140" s="12" t="s">
        <v>836</v>
      </c>
    </row>
    <row r="141" spans="1:17" ht="38.25" x14ac:dyDescent="0.25">
      <c r="A141" s="3" t="s">
        <v>837</v>
      </c>
      <c r="B141" s="3" t="s">
        <v>173</v>
      </c>
      <c r="C141" s="9">
        <v>60.8</v>
      </c>
      <c r="D141" s="3" t="s">
        <v>519</v>
      </c>
      <c r="E141" s="10">
        <v>45662.840231481481</v>
      </c>
      <c r="F141" s="10">
        <v>45662.85261574074</v>
      </c>
      <c r="G141" s="10">
        <v>45662.854594907411</v>
      </c>
      <c r="H141" s="3" t="s">
        <v>798</v>
      </c>
      <c r="I141" s="10">
        <v>45664.340567129628</v>
      </c>
      <c r="J141" s="10">
        <v>45664.360312500001</v>
      </c>
      <c r="K141" s="10">
        <v>45664.360312500001</v>
      </c>
      <c r="L141" s="10">
        <v>45664.360960648148</v>
      </c>
      <c r="M141" s="11">
        <f t="shared" si="6"/>
        <v>1.4363425929332152E-2</v>
      </c>
      <c r="N141" s="11">
        <f t="shared" si="7"/>
        <v>1.5063657407372375</v>
      </c>
      <c r="O141" s="10">
        <v>45662.856759259259</v>
      </c>
      <c r="P141" s="11">
        <f t="shared" si="8"/>
        <v>1.4838078703687643</v>
      </c>
      <c r="Q141" s="12" t="s">
        <v>838</v>
      </c>
    </row>
    <row r="142" spans="1:17" x14ac:dyDescent="0.25">
      <c r="A142" s="3" t="s">
        <v>839</v>
      </c>
      <c r="B142" s="3" t="s">
        <v>173</v>
      </c>
      <c r="C142" s="9">
        <v>101.2</v>
      </c>
      <c r="D142" s="3" t="s">
        <v>506</v>
      </c>
      <c r="E142" s="10">
        <v>45662.840231481481</v>
      </c>
      <c r="F142" s="10">
        <v>45662.854594907411</v>
      </c>
      <c r="G142" s="10">
        <v>45662.856724537043</v>
      </c>
      <c r="H142" s="3" t="s">
        <v>840</v>
      </c>
      <c r="I142" s="10">
        <v>45662.859988425917</v>
      </c>
      <c r="J142" s="10">
        <v>45662.877557870372</v>
      </c>
      <c r="K142" s="10">
        <v>45662.877557870372</v>
      </c>
      <c r="L142" s="10">
        <v>45662.878333333327</v>
      </c>
      <c r="M142" s="11">
        <f t="shared" si="6"/>
        <v>1.6493055562023073E-2</v>
      </c>
      <c r="N142" s="11">
        <f t="shared" si="7"/>
        <v>2.1608796283544507E-2</v>
      </c>
      <c r="O142" s="10">
        <v>45662.859120370369</v>
      </c>
      <c r="P142" s="11">
        <f t="shared" si="8"/>
        <v>8.6805554747115821E-4</v>
      </c>
      <c r="Q142" s="12" t="s">
        <v>841</v>
      </c>
    </row>
    <row r="143" spans="1:17" x14ac:dyDescent="0.25">
      <c r="A143" s="3" t="s">
        <v>842</v>
      </c>
      <c r="B143" s="3" t="s">
        <v>174</v>
      </c>
      <c r="C143" s="9">
        <v>241.38</v>
      </c>
      <c r="D143" s="3" t="s">
        <v>506</v>
      </c>
      <c r="E143" s="10">
        <v>45663.737546296303</v>
      </c>
      <c r="F143" s="10">
        <v>45663.743194444447</v>
      </c>
      <c r="G143" s="10">
        <v>45663.745000000003</v>
      </c>
      <c r="H143" s="3" t="s">
        <v>843</v>
      </c>
      <c r="I143" s="10">
        <v>45663.748229166667</v>
      </c>
      <c r="J143" s="10">
        <v>45663.790138888893</v>
      </c>
      <c r="K143" s="10">
        <v>45663.790138888893</v>
      </c>
      <c r="L143" s="10">
        <v>45663.791122685187</v>
      </c>
      <c r="M143" s="11">
        <f t="shared" si="6"/>
        <v>7.4537036998663098E-3</v>
      </c>
      <c r="N143" s="11">
        <f t="shared" si="7"/>
        <v>4.6122685183945578E-2</v>
      </c>
      <c r="O143" s="10">
        <v>45663.747361111113</v>
      </c>
      <c r="P143" s="11">
        <f t="shared" si="8"/>
        <v>8.6805555474711582E-4</v>
      </c>
      <c r="Q143" s="12" t="s">
        <v>844</v>
      </c>
    </row>
    <row r="144" spans="1:17" ht="38.25" x14ac:dyDescent="0.25">
      <c r="A144" s="3" t="s">
        <v>845</v>
      </c>
      <c r="B144" s="3" t="s">
        <v>175</v>
      </c>
      <c r="C144" s="9">
        <v>19.899999999999999</v>
      </c>
      <c r="D144" s="3" t="s">
        <v>492</v>
      </c>
      <c r="E144" s="10">
        <v>45664.115347222221</v>
      </c>
      <c r="F144" s="10">
        <v>45664.125254629631</v>
      </c>
      <c r="G144" s="10">
        <v>45664.127175925933</v>
      </c>
      <c r="H144" s="3" t="s">
        <v>798</v>
      </c>
      <c r="I144" s="10">
        <v>45664.340567129628</v>
      </c>
      <c r="J144" s="10">
        <v>45664.360312500001</v>
      </c>
      <c r="K144" s="10">
        <v>45664.360312500001</v>
      </c>
      <c r="L144" s="10">
        <v>45664.360960648148</v>
      </c>
      <c r="M144" s="11">
        <f t="shared" si="6"/>
        <v>1.1828703711216804E-2</v>
      </c>
      <c r="N144" s="11">
        <f t="shared" si="7"/>
        <v>0.23378472221520497</v>
      </c>
      <c r="O144" s="10">
        <v>45664.131099537037</v>
      </c>
      <c r="P144" s="11">
        <f t="shared" si="8"/>
        <v>0.20946759259095415</v>
      </c>
      <c r="Q144" s="12" t="s">
        <v>846</v>
      </c>
    </row>
    <row r="145" spans="1:17" ht="25.5" x14ac:dyDescent="0.25">
      <c r="A145" s="3" t="s">
        <v>847</v>
      </c>
      <c r="B145" s="3" t="s">
        <v>175</v>
      </c>
      <c r="C145" s="9">
        <v>31.48</v>
      </c>
      <c r="D145" s="3" t="s">
        <v>496</v>
      </c>
      <c r="E145" s="10">
        <v>45664.115347222221</v>
      </c>
      <c r="F145" s="10">
        <v>45664.127175925933</v>
      </c>
      <c r="G145" s="10">
        <v>45664.129236111112</v>
      </c>
      <c r="H145" s="3" t="s">
        <v>733</v>
      </c>
      <c r="I145" s="10">
        <v>45664.405659722222</v>
      </c>
      <c r="J145" s="10">
        <v>45664.437025462961</v>
      </c>
      <c r="K145" s="10">
        <v>45664.437025462961</v>
      </c>
      <c r="L145" s="10">
        <v>45664.437951388893</v>
      </c>
      <c r="M145" s="11">
        <f t="shared" si="6"/>
        <v>1.3888888890505768E-2</v>
      </c>
      <c r="N145" s="11">
        <f t="shared" si="7"/>
        <v>0.3087152777807205</v>
      </c>
      <c r="O145" s="10">
        <v>45664.132800925923</v>
      </c>
      <c r="P145" s="11">
        <f t="shared" si="8"/>
        <v>0.27285879629926058</v>
      </c>
      <c r="Q145" s="12" t="s">
        <v>848</v>
      </c>
    </row>
    <row r="146" spans="1:17" ht="25.5" x14ac:dyDescent="0.25">
      <c r="A146" s="3" t="s">
        <v>849</v>
      </c>
      <c r="B146" s="3" t="s">
        <v>175</v>
      </c>
      <c r="C146" s="9">
        <v>12.04</v>
      </c>
      <c r="D146" s="3" t="s">
        <v>492</v>
      </c>
      <c r="E146" s="10">
        <v>45664.115347222221</v>
      </c>
      <c r="F146" s="10">
        <v>45664.129236111112</v>
      </c>
      <c r="G146" s="10">
        <v>45664.131145833337</v>
      </c>
      <c r="H146" s="3" t="s">
        <v>798</v>
      </c>
      <c r="I146" s="10">
        <v>45664.340567129628</v>
      </c>
      <c r="J146" s="10">
        <v>45664.360312500001</v>
      </c>
      <c r="K146" s="10">
        <v>45664.360312500001</v>
      </c>
      <c r="L146" s="10">
        <v>45664.360960648148</v>
      </c>
      <c r="M146" s="11">
        <f t="shared" si="6"/>
        <v>1.5798611115314998E-2</v>
      </c>
      <c r="N146" s="11">
        <f t="shared" si="7"/>
        <v>0.22981481481110677</v>
      </c>
      <c r="O146" s="10">
        <v>45664.135034722232</v>
      </c>
      <c r="P146" s="11">
        <f t="shared" si="8"/>
        <v>0.20553240739536704</v>
      </c>
      <c r="Q146" s="12" t="s">
        <v>850</v>
      </c>
    </row>
    <row r="147" spans="1:17" ht="25.5" x14ac:dyDescent="0.25">
      <c r="A147" s="3" t="s">
        <v>851</v>
      </c>
      <c r="B147" s="3" t="s">
        <v>175</v>
      </c>
      <c r="C147" s="9">
        <v>184.6</v>
      </c>
      <c r="D147" s="3" t="s">
        <v>488</v>
      </c>
      <c r="E147" s="10">
        <v>45664.115347222221</v>
      </c>
      <c r="F147" s="10">
        <v>45664.131145833337</v>
      </c>
      <c r="G147" s="10">
        <v>45664.133287037039</v>
      </c>
      <c r="H147" s="3" t="s">
        <v>707</v>
      </c>
      <c r="I147" s="10">
        <v>45664.138043981482</v>
      </c>
      <c r="J147" s="10">
        <v>45664.184490740743</v>
      </c>
      <c r="K147" s="10">
        <v>45664.184490740743</v>
      </c>
      <c r="L147" s="10">
        <v>45664.185648148137</v>
      </c>
      <c r="M147" s="11">
        <f t="shared" si="6"/>
        <v>1.7939814817509614E-2</v>
      </c>
      <c r="N147" s="11">
        <f t="shared" si="7"/>
        <v>5.2361111098434776E-2</v>
      </c>
      <c r="O147" s="10">
        <v>45664.13721064815</v>
      </c>
      <c r="P147" s="11">
        <f t="shared" si="8"/>
        <v>8.3333333168411627E-4</v>
      </c>
      <c r="Q147" s="12" t="s">
        <v>852</v>
      </c>
    </row>
    <row r="148" spans="1:17" ht="25.5" x14ac:dyDescent="0.25">
      <c r="A148" s="3" t="s">
        <v>853</v>
      </c>
      <c r="B148" s="3" t="s">
        <v>175</v>
      </c>
      <c r="C148" s="9">
        <v>43.14</v>
      </c>
      <c r="D148" s="3" t="s">
        <v>484</v>
      </c>
      <c r="E148" s="10">
        <v>45664.115347222221</v>
      </c>
      <c r="F148" s="10">
        <v>45664.133287037039</v>
      </c>
      <c r="G148" s="10">
        <v>45664.134513888886</v>
      </c>
      <c r="H148" s="3" t="s">
        <v>828</v>
      </c>
      <c r="I148" s="10">
        <v>45664.13894675926</v>
      </c>
      <c r="J148" s="10">
        <v>45664.162824074083</v>
      </c>
      <c r="K148" s="10">
        <v>45664.162824074083</v>
      </c>
      <c r="L148" s="10">
        <v>45664.163611111107</v>
      </c>
      <c r="M148" s="11">
        <f t="shared" si="6"/>
        <v>1.9166666665114462E-2</v>
      </c>
      <c r="N148" s="11">
        <f t="shared" si="7"/>
        <v>2.9097222221025731E-2</v>
      </c>
      <c r="O148" s="10">
        <v>45664.138078703712</v>
      </c>
      <c r="P148" s="11">
        <f t="shared" si="8"/>
        <v>8.6805554747115821E-4</v>
      </c>
      <c r="Q148" s="12" t="s">
        <v>854</v>
      </c>
    </row>
    <row r="149" spans="1:17" x14ac:dyDescent="0.25">
      <c r="A149" s="3" t="s">
        <v>855</v>
      </c>
      <c r="B149" s="3" t="s">
        <v>176</v>
      </c>
      <c r="C149" s="9">
        <v>297</v>
      </c>
      <c r="D149" s="3" t="s">
        <v>500</v>
      </c>
      <c r="E149" s="10">
        <v>45664.273263888892</v>
      </c>
      <c r="F149" s="10">
        <v>45664.279386574082</v>
      </c>
      <c r="G149" s="10">
        <v>45664.281192129631</v>
      </c>
      <c r="H149" s="3" t="s">
        <v>856</v>
      </c>
      <c r="I149" s="10">
        <v>45664.284432870372</v>
      </c>
      <c r="J149" s="10">
        <v>45664.335995370369</v>
      </c>
      <c r="K149" s="10">
        <v>45664.335995370369</v>
      </c>
      <c r="L149" s="10">
        <v>45664.337141203701</v>
      </c>
      <c r="M149" s="11">
        <f t="shared" si="6"/>
        <v>7.9282407386926934E-3</v>
      </c>
      <c r="N149" s="11">
        <f t="shared" si="7"/>
        <v>5.5949074070667848E-2</v>
      </c>
      <c r="O149" s="10">
        <v>45664.283564814818</v>
      </c>
      <c r="P149" s="11">
        <f t="shared" si="8"/>
        <v>8.6805555474711582E-4</v>
      </c>
      <c r="Q149" s="12" t="s">
        <v>857</v>
      </c>
    </row>
    <row r="150" spans="1:17" ht="25.5" x14ac:dyDescent="0.25">
      <c r="A150" s="3" t="s">
        <v>858</v>
      </c>
      <c r="B150" s="3" t="s">
        <v>177</v>
      </c>
      <c r="C150" s="9">
        <v>21</v>
      </c>
      <c r="D150" s="3" t="s">
        <v>519</v>
      </c>
      <c r="E150" s="10">
        <v>45664.304016203707</v>
      </c>
      <c r="F150" s="10">
        <v>45664.322372685187</v>
      </c>
      <c r="G150" s="10">
        <v>45664.324293981481</v>
      </c>
      <c r="H150" s="3" t="s">
        <v>798</v>
      </c>
      <c r="I150" s="10">
        <v>45664.340567129628</v>
      </c>
      <c r="J150" s="10">
        <v>45664.360312500001</v>
      </c>
      <c r="K150" s="10">
        <v>45664.360312500001</v>
      </c>
      <c r="L150" s="10">
        <v>45664.360960648148</v>
      </c>
      <c r="M150" s="11">
        <f t="shared" si="6"/>
        <v>2.0277777774026617E-2</v>
      </c>
      <c r="N150" s="11">
        <f t="shared" si="7"/>
        <v>3.6666666666860692E-2</v>
      </c>
      <c r="O150" s="10">
        <v>45664.328182870369</v>
      </c>
      <c r="P150" s="11">
        <f t="shared" si="8"/>
        <v>1.2384259258396924E-2</v>
      </c>
      <c r="Q150" s="12" t="s">
        <v>859</v>
      </c>
    </row>
    <row r="151" spans="1:17" ht="38.25" x14ac:dyDescent="0.25">
      <c r="A151" s="3" t="s">
        <v>860</v>
      </c>
      <c r="B151" s="3" t="s">
        <v>177</v>
      </c>
      <c r="C151" s="9">
        <v>39.799999999999997</v>
      </c>
      <c r="D151" s="3" t="s">
        <v>539</v>
      </c>
      <c r="E151" s="10">
        <v>45664.304016203707</v>
      </c>
      <c r="F151" s="10">
        <v>45664.324293981481</v>
      </c>
      <c r="G151" s="10">
        <v>45664.32607638889</v>
      </c>
      <c r="H151" s="3" t="s">
        <v>792</v>
      </c>
      <c r="I151" s="10">
        <v>45664.755682870367</v>
      </c>
      <c r="J151" s="10">
        <v>45664.779861111107</v>
      </c>
      <c r="K151" s="10">
        <v>45664.779861111107</v>
      </c>
      <c r="L151" s="10">
        <v>45664.780775462961</v>
      </c>
      <c r="M151" s="11">
        <f t="shared" si="6"/>
        <v>2.2060185183363501E-2</v>
      </c>
      <c r="N151" s="11">
        <f t="shared" si="7"/>
        <v>0.45469907407095889</v>
      </c>
      <c r="O151" s="10">
        <v>45664.33</v>
      </c>
      <c r="P151" s="11">
        <f t="shared" si="8"/>
        <v>0.42568287036556285</v>
      </c>
      <c r="Q151" s="12" t="s">
        <v>861</v>
      </c>
    </row>
    <row r="152" spans="1:17" ht="25.5" x14ac:dyDescent="0.25">
      <c r="A152" s="3" t="s">
        <v>862</v>
      </c>
      <c r="B152" s="3" t="s">
        <v>177</v>
      </c>
      <c r="C152" s="9">
        <v>27</v>
      </c>
      <c r="D152" s="3" t="s">
        <v>527</v>
      </c>
      <c r="E152" s="10">
        <v>45664.304016203707</v>
      </c>
      <c r="F152" s="10">
        <v>45664.32607638889</v>
      </c>
      <c r="G152" s="10">
        <v>45664.327384259261</v>
      </c>
      <c r="H152" s="3" t="s">
        <v>803</v>
      </c>
      <c r="I152" s="10">
        <v>45664.366840277777</v>
      </c>
      <c r="J152" s="10">
        <v>45664.404004629629</v>
      </c>
      <c r="K152" s="10">
        <v>45664.404004629629</v>
      </c>
      <c r="L152" s="10">
        <v>45664.405046296299</v>
      </c>
      <c r="M152" s="11">
        <f t="shared" si="6"/>
        <v>2.3368055553874001E-2</v>
      </c>
      <c r="N152" s="11">
        <f t="shared" si="7"/>
        <v>7.7662037037953269E-2</v>
      </c>
      <c r="O152" s="10">
        <v>45664.332916666674</v>
      </c>
      <c r="P152" s="11">
        <f t="shared" si="8"/>
        <v>3.3923611103091389E-2</v>
      </c>
      <c r="Q152" s="12" t="s">
        <v>863</v>
      </c>
    </row>
    <row r="153" spans="1:17" ht="25.5" x14ac:dyDescent="0.25">
      <c r="A153" s="3" t="s">
        <v>864</v>
      </c>
      <c r="B153" s="3" t="s">
        <v>177</v>
      </c>
      <c r="C153" s="9">
        <v>90.36</v>
      </c>
      <c r="D153" s="3" t="s">
        <v>515</v>
      </c>
      <c r="E153" s="10">
        <v>45664.304016203707</v>
      </c>
      <c r="F153" s="10">
        <v>45664.327384259261</v>
      </c>
      <c r="G153" s="10">
        <v>45664.328842592593</v>
      </c>
      <c r="H153" s="3" t="s">
        <v>803</v>
      </c>
      <c r="I153" s="10">
        <v>45664.366840277777</v>
      </c>
      <c r="J153" s="10">
        <v>45664.404004629629</v>
      </c>
      <c r="K153" s="10">
        <v>45664.404004629629</v>
      </c>
      <c r="L153" s="10">
        <v>45664.405046296299</v>
      </c>
      <c r="M153" s="11">
        <f t="shared" si="6"/>
        <v>2.4826388886140194E-2</v>
      </c>
      <c r="N153" s="11">
        <f t="shared" si="7"/>
        <v>7.6203703705687076E-2</v>
      </c>
      <c r="O153" s="10">
        <v>45664.334791666668</v>
      </c>
      <c r="P153" s="11">
        <f t="shared" si="8"/>
        <v>3.2048611108621117E-2</v>
      </c>
      <c r="Q153" s="12" t="s">
        <v>865</v>
      </c>
    </row>
    <row r="154" spans="1:17" ht="38.25" x14ac:dyDescent="0.25">
      <c r="A154" s="3" t="s">
        <v>866</v>
      </c>
      <c r="B154" s="3" t="s">
        <v>177</v>
      </c>
      <c r="C154" s="9">
        <v>38.979999999999997</v>
      </c>
      <c r="D154" s="3" t="s">
        <v>506</v>
      </c>
      <c r="E154" s="10">
        <v>45664.304016203707</v>
      </c>
      <c r="F154" s="10">
        <v>45664.328842592593</v>
      </c>
      <c r="G154" s="10">
        <v>45664.33017361111</v>
      </c>
      <c r="H154" s="3" t="s">
        <v>867</v>
      </c>
      <c r="I154" s="10">
        <v>45664.683819444443</v>
      </c>
      <c r="J154" s="10">
        <v>45664.704641203702</v>
      </c>
      <c r="K154" s="10">
        <v>45664.704641203702</v>
      </c>
      <c r="L154" s="10">
        <v>45664.705347222232</v>
      </c>
      <c r="M154" s="11">
        <f t="shared" si="6"/>
        <v>2.6157407402934041E-2</v>
      </c>
      <c r="N154" s="11">
        <f t="shared" si="7"/>
        <v>0.37517361112259096</v>
      </c>
      <c r="O154" s="10">
        <v>45664.336122685178</v>
      </c>
      <c r="P154" s="11">
        <f t="shared" si="8"/>
        <v>0.3476967592650908</v>
      </c>
      <c r="Q154" s="12" t="s">
        <v>868</v>
      </c>
    </row>
    <row r="155" spans="1:17" ht="25.5" x14ac:dyDescent="0.25">
      <c r="A155" s="3" t="s">
        <v>869</v>
      </c>
      <c r="B155" s="3" t="s">
        <v>177</v>
      </c>
      <c r="C155" s="9">
        <v>15.74</v>
      </c>
      <c r="D155" s="3" t="s">
        <v>533</v>
      </c>
      <c r="E155" s="10">
        <v>45664.304016203707</v>
      </c>
      <c r="F155" s="10">
        <v>45664.33017361111</v>
      </c>
      <c r="G155" s="10">
        <v>45664.331331018519</v>
      </c>
      <c r="H155" s="3" t="s">
        <v>870</v>
      </c>
      <c r="I155" s="10">
        <v>45664.372523148151</v>
      </c>
      <c r="J155" s="10">
        <v>45664.421377314808</v>
      </c>
      <c r="K155" s="10">
        <v>45664.421377314808</v>
      </c>
      <c r="L155" s="10">
        <v>45664.422488425917</v>
      </c>
      <c r="M155" s="11">
        <f t="shared" si="6"/>
        <v>2.7314814811688848E-2</v>
      </c>
      <c r="N155" s="11">
        <f t="shared" si="7"/>
        <v>9.115740739798639E-2</v>
      </c>
      <c r="O155" s="10">
        <v>45664.338055555563</v>
      </c>
      <c r="P155" s="11">
        <f t="shared" si="8"/>
        <v>3.4467592588043772E-2</v>
      </c>
      <c r="Q155" s="12" t="s">
        <v>871</v>
      </c>
    </row>
    <row r="156" spans="1:17" ht="38.25" x14ac:dyDescent="0.25">
      <c r="A156" s="3" t="s">
        <v>872</v>
      </c>
      <c r="B156" s="3" t="s">
        <v>177</v>
      </c>
      <c r="C156" s="9">
        <v>35.64</v>
      </c>
      <c r="D156" s="3" t="s">
        <v>484</v>
      </c>
      <c r="E156" s="10">
        <v>45664.304016203707</v>
      </c>
      <c r="F156" s="10">
        <v>45664.331331018519</v>
      </c>
      <c r="G156" s="10">
        <v>45664.333136574067</v>
      </c>
      <c r="H156" s="3" t="s">
        <v>873</v>
      </c>
      <c r="I156" s="10">
        <v>45665.155300925922</v>
      </c>
      <c r="J156" s="10">
        <v>45665.179907407408</v>
      </c>
      <c r="K156" s="10">
        <v>45665.179907407408</v>
      </c>
      <c r="L156" s="10">
        <v>45665.180775462963</v>
      </c>
      <c r="M156" s="11">
        <f t="shared" si="6"/>
        <v>2.9120370360033121E-2</v>
      </c>
      <c r="N156" s="11">
        <f t="shared" si="7"/>
        <v>0.84763888889574446</v>
      </c>
      <c r="O156" s="10">
        <v>45664.338923611111</v>
      </c>
      <c r="P156" s="11">
        <f t="shared" si="8"/>
        <v>0.81637731481168885</v>
      </c>
      <c r="Q156" s="12" t="s">
        <v>874</v>
      </c>
    </row>
    <row r="157" spans="1:17" x14ac:dyDescent="0.25">
      <c r="A157" s="3" t="s">
        <v>875</v>
      </c>
      <c r="B157" s="3" t="s">
        <v>178</v>
      </c>
      <c r="C157" s="9">
        <v>396.56000000000012</v>
      </c>
      <c r="D157" s="3" t="s">
        <v>500</v>
      </c>
      <c r="E157" s="10">
        <v>45664.308136574073</v>
      </c>
      <c r="F157" s="10">
        <v>45664.315949074073</v>
      </c>
      <c r="G157" s="10">
        <v>45664.318761574083</v>
      </c>
      <c r="H157" s="3" t="s">
        <v>876</v>
      </c>
      <c r="I157" s="10">
        <v>45664.321967592587</v>
      </c>
      <c r="J157" s="10">
        <v>45664.390821759262</v>
      </c>
      <c r="K157" s="10">
        <v>45664.390821759262</v>
      </c>
      <c r="L157" s="10">
        <v>45664.392280092587</v>
      </c>
      <c r="M157" s="11">
        <f t="shared" si="6"/>
        <v>1.0625000009895302E-2</v>
      </c>
      <c r="N157" s="11">
        <f t="shared" si="7"/>
        <v>7.3518518503988162E-2</v>
      </c>
      <c r="O157" s="10">
        <v>45664.321122685193</v>
      </c>
      <c r="P157" s="11">
        <f t="shared" si="8"/>
        <v>8.4490739391185343E-4</v>
      </c>
      <c r="Q157" s="12" t="s">
        <v>877</v>
      </c>
    </row>
    <row r="158" spans="1:17" x14ac:dyDescent="0.25">
      <c r="A158" s="3" t="s">
        <v>878</v>
      </c>
      <c r="B158" s="3" t="s">
        <v>179</v>
      </c>
      <c r="C158" s="9">
        <v>189.86</v>
      </c>
      <c r="D158" s="3" t="s">
        <v>500</v>
      </c>
      <c r="E158" s="10">
        <v>45664.310208333343</v>
      </c>
      <c r="F158" s="10">
        <v>45664.31962962963</v>
      </c>
      <c r="G158" s="10">
        <v>45664.321504629632</v>
      </c>
      <c r="H158" s="3" t="s">
        <v>879</v>
      </c>
      <c r="I158" s="10">
        <v>45664.337824074071</v>
      </c>
      <c r="J158" s="10">
        <v>45664.370787037027</v>
      </c>
      <c r="K158" s="10">
        <v>45664.370787037027</v>
      </c>
      <c r="L158" s="10">
        <v>45664.371817129628</v>
      </c>
      <c r="M158" s="11">
        <f t="shared" si="6"/>
        <v>1.1296296288492158E-2</v>
      </c>
      <c r="N158" s="11">
        <f t="shared" si="7"/>
        <v>5.0312499995925464E-2</v>
      </c>
      <c r="O158" s="10">
        <v>45664.323900462958</v>
      </c>
      <c r="P158" s="11">
        <f t="shared" si="8"/>
        <v>1.3923611113568768E-2</v>
      </c>
      <c r="Q158" s="12" t="s">
        <v>880</v>
      </c>
    </row>
    <row r="159" spans="1:17" x14ac:dyDescent="0.25">
      <c r="A159" s="3" t="s">
        <v>881</v>
      </c>
      <c r="B159" s="3" t="s">
        <v>180</v>
      </c>
      <c r="C159" s="9">
        <v>281.39999999999998</v>
      </c>
      <c r="D159" s="3" t="s">
        <v>500</v>
      </c>
      <c r="E159" s="10">
        <v>45664.347129629627</v>
      </c>
      <c r="F159" s="10">
        <v>45664.355243055557</v>
      </c>
      <c r="G159" s="10">
        <v>45664.35701388889</v>
      </c>
      <c r="H159" s="3" t="s">
        <v>870</v>
      </c>
      <c r="I159" s="10">
        <v>45664.372523148151</v>
      </c>
      <c r="J159" s="10">
        <v>45664.421377314808</v>
      </c>
      <c r="K159" s="10">
        <v>45664.421377314808</v>
      </c>
      <c r="L159" s="10">
        <v>45664.422488425917</v>
      </c>
      <c r="M159" s="11">
        <f t="shared" si="6"/>
        <v>9.8842592633445747E-3</v>
      </c>
      <c r="N159" s="11">
        <f t="shared" si="7"/>
        <v>6.5474537026602775E-2</v>
      </c>
      <c r="O159" s="10">
        <v>45664.363240740742</v>
      </c>
      <c r="P159" s="11">
        <f t="shared" si="8"/>
        <v>9.2824074090458453E-3</v>
      </c>
      <c r="Q159" s="12" t="s">
        <v>882</v>
      </c>
    </row>
    <row r="160" spans="1:17" ht="25.5" x14ac:dyDescent="0.25">
      <c r="A160" s="3" t="s">
        <v>883</v>
      </c>
      <c r="B160" s="3" t="s">
        <v>180</v>
      </c>
      <c r="C160" s="9">
        <v>112.5</v>
      </c>
      <c r="D160" s="3" t="s">
        <v>572</v>
      </c>
      <c r="E160" s="10">
        <v>45664.347129629627</v>
      </c>
      <c r="F160" s="10">
        <v>45664.35701388889</v>
      </c>
      <c r="G160" s="10">
        <v>45664.359270833331</v>
      </c>
      <c r="H160" s="3" t="s">
        <v>733</v>
      </c>
      <c r="I160" s="10">
        <v>45664.405659722222</v>
      </c>
      <c r="J160" s="10">
        <v>45664.437025462961</v>
      </c>
      <c r="K160" s="10">
        <v>45664.437025462961</v>
      </c>
      <c r="L160" s="10">
        <v>45664.437951388893</v>
      </c>
      <c r="M160" s="11">
        <f t="shared" si="6"/>
        <v>1.2141203704231884E-2</v>
      </c>
      <c r="N160" s="11">
        <f t="shared" si="7"/>
        <v>7.8680555561732035E-2</v>
      </c>
      <c r="O160" s="10">
        <v>45664.365104166667</v>
      </c>
      <c r="P160" s="11">
        <f t="shared" si="8"/>
        <v>4.0555555555329192E-2</v>
      </c>
      <c r="Q160" s="12" t="s">
        <v>884</v>
      </c>
    </row>
    <row r="161" spans="1:17" ht="38.25" x14ac:dyDescent="0.25">
      <c r="A161" s="3" t="s">
        <v>885</v>
      </c>
      <c r="B161" s="3" t="s">
        <v>181</v>
      </c>
      <c r="C161" s="9">
        <v>37.5</v>
      </c>
      <c r="D161" s="3" t="s">
        <v>519</v>
      </c>
      <c r="E161" s="10">
        <v>45664.360717592594</v>
      </c>
      <c r="F161" s="10">
        <v>45664.373344907413</v>
      </c>
      <c r="G161" s="10">
        <v>45664.374756944453</v>
      </c>
      <c r="H161" s="3" t="s">
        <v>886</v>
      </c>
      <c r="I161" s="10">
        <v>45665.174733796302</v>
      </c>
      <c r="J161" s="10">
        <v>45665.277638888889</v>
      </c>
      <c r="K161" s="10">
        <v>45665.277638888889</v>
      </c>
      <c r="L161" s="10">
        <v>45665.279490740737</v>
      </c>
      <c r="M161" s="11">
        <f t="shared" si="6"/>
        <v>1.4039351859537419E-2</v>
      </c>
      <c r="N161" s="11">
        <f t="shared" si="7"/>
        <v>0.90473379628383555</v>
      </c>
      <c r="O161" s="10">
        <v>45664.393784722219</v>
      </c>
      <c r="P161" s="11">
        <f t="shared" si="8"/>
        <v>0.78094907408376457</v>
      </c>
      <c r="Q161" s="12" t="s">
        <v>887</v>
      </c>
    </row>
    <row r="162" spans="1:17" ht="38.25" x14ac:dyDescent="0.25">
      <c r="A162" s="3" t="s">
        <v>888</v>
      </c>
      <c r="B162" s="3" t="s">
        <v>181</v>
      </c>
      <c r="C162" s="9">
        <v>15.74</v>
      </c>
      <c r="D162" s="3" t="s">
        <v>506</v>
      </c>
      <c r="E162" s="10">
        <v>45664.360717592594</v>
      </c>
      <c r="F162" s="10">
        <v>45664.374756944453</v>
      </c>
      <c r="G162" s="10">
        <v>45664.376006944447</v>
      </c>
      <c r="H162" s="3" t="s">
        <v>867</v>
      </c>
      <c r="I162" s="10">
        <v>45664.683819444443</v>
      </c>
      <c r="J162" s="10">
        <v>45664.704641203702</v>
      </c>
      <c r="K162" s="10">
        <v>45664.704641203702</v>
      </c>
      <c r="L162" s="10">
        <v>45664.705347222232</v>
      </c>
      <c r="M162" s="11">
        <f t="shared" si="6"/>
        <v>1.5289351853425615E-2</v>
      </c>
      <c r="N162" s="11">
        <f t="shared" si="7"/>
        <v>0.32934027778537711</v>
      </c>
      <c r="O162" s="10">
        <v>45664.395567129628</v>
      </c>
      <c r="P162" s="11">
        <f t="shared" si="8"/>
        <v>0.28825231481459923</v>
      </c>
      <c r="Q162" s="12" t="s">
        <v>889</v>
      </c>
    </row>
    <row r="163" spans="1:17" ht="25.5" x14ac:dyDescent="0.25">
      <c r="A163" s="3" t="s">
        <v>890</v>
      </c>
      <c r="B163" s="3" t="s">
        <v>181</v>
      </c>
      <c r="C163" s="9">
        <v>62.96</v>
      </c>
      <c r="D163" s="3" t="s">
        <v>533</v>
      </c>
      <c r="E163" s="10">
        <v>45664.360717592594</v>
      </c>
      <c r="F163" s="10">
        <v>45664.376006944447</v>
      </c>
      <c r="G163" s="10">
        <v>45664.377245370371</v>
      </c>
      <c r="H163" s="3" t="s">
        <v>891</v>
      </c>
      <c r="I163" s="10">
        <v>45664.456180555557</v>
      </c>
      <c r="J163" s="10">
        <v>45664.507025462961</v>
      </c>
      <c r="K163" s="10">
        <v>45664.507025462961</v>
      </c>
      <c r="L163" s="10">
        <v>45664.508171296293</v>
      </c>
      <c r="M163" s="11">
        <f t="shared" si="6"/>
        <v>1.6527777777810115E-2</v>
      </c>
      <c r="N163" s="11">
        <f t="shared" si="7"/>
        <v>0.13092592592147412</v>
      </c>
      <c r="O163" s="10">
        <v>45664.396747685183</v>
      </c>
      <c r="P163" s="11">
        <f t="shared" si="8"/>
        <v>5.9432870373711921E-2</v>
      </c>
      <c r="Q163" s="12" t="s">
        <v>892</v>
      </c>
    </row>
    <row r="164" spans="1:17" ht="38.25" x14ac:dyDescent="0.25">
      <c r="A164" s="3" t="s">
        <v>893</v>
      </c>
      <c r="B164" s="3" t="s">
        <v>181</v>
      </c>
      <c r="C164" s="9">
        <v>15.74</v>
      </c>
      <c r="D164" s="3" t="s">
        <v>484</v>
      </c>
      <c r="E164" s="10">
        <v>45664.360717592594</v>
      </c>
      <c r="F164" s="10">
        <v>45664.377245370371</v>
      </c>
      <c r="G164" s="10">
        <v>45664.378969907397</v>
      </c>
      <c r="H164" s="3" t="s">
        <v>873</v>
      </c>
      <c r="I164" s="10">
        <v>45665.155300925922</v>
      </c>
      <c r="J164" s="10">
        <v>45665.179907407408</v>
      </c>
      <c r="K164" s="10">
        <v>45665.179907407408</v>
      </c>
      <c r="L164" s="10">
        <v>45665.180775462963</v>
      </c>
      <c r="M164" s="11">
        <f t="shared" si="6"/>
        <v>1.8252314803248737E-2</v>
      </c>
      <c r="N164" s="11">
        <f t="shared" si="7"/>
        <v>0.80180555556580657</v>
      </c>
      <c r="O164" s="10">
        <v>45664.400312500002</v>
      </c>
      <c r="P164" s="11">
        <f t="shared" si="8"/>
        <v>0.754988425920601</v>
      </c>
      <c r="Q164" s="12" t="s">
        <v>894</v>
      </c>
    </row>
    <row r="165" spans="1:17" ht="38.25" x14ac:dyDescent="0.25">
      <c r="A165" s="3" t="s">
        <v>895</v>
      </c>
      <c r="B165" s="3" t="s">
        <v>181</v>
      </c>
      <c r="C165" s="9">
        <v>19.899999999999999</v>
      </c>
      <c r="D165" s="3" t="s">
        <v>539</v>
      </c>
      <c r="E165" s="10">
        <v>45664.360717592594</v>
      </c>
      <c r="F165" s="10">
        <v>45664.378969907397</v>
      </c>
      <c r="G165" s="10">
        <v>45664.380682870367</v>
      </c>
      <c r="H165" s="3" t="s">
        <v>792</v>
      </c>
      <c r="I165" s="10">
        <v>45664.755682870367</v>
      </c>
      <c r="J165" s="10">
        <v>45664.779861111107</v>
      </c>
      <c r="K165" s="10">
        <v>45664.779861111107</v>
      </c>
      <c r="L165" s="10">
        <v>45664.780775462961</v>
      </c>
      <c r="M165" s="11">
        <f t="shared" si="6"/>
        <v>1.9965277773735579E-2</v>
      </c>
      <c r="N165" s="11">
        <f t="shared" si="7"/>
        <v>0.40009259259386454</v>
      </c>
      <c r="O165" s="10">
        <v>45664.40111111111</v>
      </c>
      <c r="P165" s="11">
        <f t="shared" si="8"/>
        <v>0.35457175925694173</v>
      </c>
      <c r="Q165" s="12" t="s">
        <v>896</v>
      </c>
    </row>
    <row r="166" spans="1:17" ht="25.5" x14ac:dyDescent="0.25">
      <c r="A166" s="3" t="s">
        <v>897</v>
      </c>
      <c r="B166" s="3" t="s">
        <v>181</v>
      </c>
      <c r="C166" s="9">
        <v>43.14</v>
      </c>
      <c r="D166" s="3" t="s">
        <v>515</v>
      </c>
      <c r="E166" s="10">
        <v>45664.360717592594</v>
      </c>
      <c r="F166" s="10">
        <v>45664.380682870367</v>
      </c>
      <c r="G166" s="10">
        <v>45664.381990740738</v>
      </c>
      <c r="H166" s="3" t="s">
        <v>898</v>
      </c>
      <c r="I166" s="10">
        <v>45664.668530092589</v>
      </c>
      <c r="J166" s="10">
        <v>45664.686226851853</v>
      </c>
      <c r="K166" s="10">
        <v>45664.686226851853</v>
      </c>
      <c r="L166" s="10">
        <v>45664.687013888892</v>
      </c>
      <c r="M166" s="11">
        <f t="shared" si="6"/>
        <v>2.1273148144246079E-2</v>
      </c>
      <c r="N166" s="11">
        <f t="shared" si="7"/>
        <v>0.30502314815385034</v>
      </c>
      <c r="O166" s="10">
        <v>45664.403541666667</v>
      </c>
      <c r="P166" s="11">
        <f t="shared" si="8"/>
        <v>0.26498842592263827</v>
      </c>
      <c r="Q166" s="12" t="s">
        <v>899</v>
      </c>
    </row>
    <row r="167" spans="1:17" ht="25.5" x14ac:dyDescent="0.25">
      <c r="A167" s="3" t="s">
        <v>900</v>
      </c>
      <c r="B167" s="3" t="s">
        <v>181</v>
      </c>
      <c r="C167" s="9">
        <v>81</v>
      </c>
      <c r="D167" s="3" t="s">
        <v>527</v>
      </c>
      <c r="E167" s="10">
        <v>45664.360717592594</v>
      </c>
      <c r="F167" s="10">
        <v>45664.381990740738</v>
      </c>
      <c r="G167" s="10">
        <v>45664.384027777778</v>
      </c>
      <c r="H167" s="3" t="s">
        <v>901</v>
      </c>
      <c r="I167" s="10">
        <v>45664.658761574072</v>
      </c>
      <c r="J167" s="10">
        <v>45664.682199074072</v>
      </c>
      <c r="K167" s="10">
        <v>45664.682199074072</v>
      </c>
      <c r="L167" s="10">
        <v>45664.682893518519</v>
      </c>
      <c r="M167" s="11">
        <f t="shared" si="6"/>
        <v>2.3310185184527654E-2</v>
      </c>
      <c r="N167" s="11">
        <f t="shared" si="7"/>
        <v>0.29886574074043892</v>
      </c>
      <c r="O167" s="10">
        <v>45664.404074074067</v>
      </c>
      <c r="P167" s="11">
        <f t="shared" si="8"/>
        <v>0.25468750000436557</v>
      </c>
      <c r="Q167" s="12" t="s">
        <v>902</v>
      </c>
    </row>
    <row r="168" spans="1:17" ht="38.25" x14ac:dyDescent="0.25">
      <c r="A168" s="3" t="s">
        <v>903</v>
      </c>
      <c r="B168" s="3" t="s">
        <v>181</v>
      </c>
      <c r="C168" s="9">
        <v>21</v>
      </c>
      <c r="D168" s="3" t="s">
        <v>488</v>
      </c>
      <c r="E168" s="10">
        <v>45664.360717592594</v>
      </c>
      <c r="F168" s="10">
        <v>45664.384027777778</v>
      </c>
      <c r="G168" s="10">
        <v>45664.385289351849</v>
      </c>
      <c r="H168" s="3" t="s">
        <v>867</v>
      </c>
      <c r="I168" s="10">
        <v>45664.683819444443</v>
      </c>
      <c r="J168" s="10">
        <v>45664.704641203702</v>
      </c>
      <c r="K168" s="10">
        <v>45664.704641203702</v>
      </c>
      <c r="L168" s="10">
        <v>45664.705347222232</v>
      </c>
      <c r="M168" s="11">
        <f t="shared" si="6"/>
        <v>2.4571759255195502E-2</v>
      </c>
      <c r="N168" s="11">
        <f t="shared" si="7"/>
        <v>0.32005787038360722</v>
      </c>
      <c r="O168" s="10">
        <v>45664.40828703704</v>
      </c>
      <c r="P168" s="11">
        <f t="shared" si="8"/>
        <v>0.27553240740235196</v>
      </c>
      <c r="Q168" s="12" t="s">
        <v>904</v>
      </c>
    </row>
    <row r="169" spans="1:17" x14ac:dyDescent="0.25">
      <c r="A169" s="3" t="s">
        <v>905</v>
      </c>
      <c r="B169" s="3" t="s">
        <v>182</v>
      </c>
      <c r="C169" s="9">
        <v>292.89999999999998</v>
      </c>
      <c r="D169" s="3" t="s">
        <v>500</v>
      </c>
      <c r="E169" s="10">
        <v>45664.441412037027</v>
      </c>
      <c r="F169" s="10">
        <v>45664.451145833344</v>
      </c>
      <c r="G169" s="10">
        <v>45664.452939814822</v>
      </c>
      <c r="H169" s="3" t="s">
        <v>891</v>
      </c>
      <c r="I169" s="10">
        <v>45664.456180555557</v>
      </c>
      <c r="J169" s="10">
        <v>45664.507025462961</v>
      </c>
      <c r="K169" s="10">
        <v>45664.507025462961</v>
      </c>
      <c r="L169" s="10">
        <v>45664.508171296293</v>
      </c>
      <c r="M169" s="11">
        <f t="shared" si="6"/>
        <v>1.1527777794981375E-2</v>
      </c>
      <c r="N169" s="11">
        <f t="shared" si="7"/>
        <v>5.5231481470400468E-2</v>
      </c>
      <c r="O169" s="10">
        <v>45664.455335648148</v>
      </c>
      <c r="P169" s="11">
        <f t="shared" si="8"/>
        <v>8.4490740846376866E-4</v>
      </c>
      <c r="Q169" s="12" t="s">
        <v>906</v>
      </c>
    </row>
    <row r="170" spans="1:17" ht="25.5" x14ac:dyDescent="0.25">
      <c r="A170" s="3" t="s">
        <v>907</v>
      </c>
      <c r="B170" s="3" t="s">
        <v>182</v>
      </c>
      <c r="C170" s="9">
        <v>84</v>
      </c>
      <c r="D170" s="3" t="s">
        <v>572</v>
      </c>
      <c r="E170" s="10">
        <v>45664.441412037027</v>
      </c>
      <c r="F170" s="10">
        <v>45664.452939814822</v>
      </c>
      <c r="G170" s="10">
        <v>45664.455011574071</v>
      </c>
      <c r="H170" s="3" t="s">
        <v>908</v>
      </c>
      <c r="I170" s="10">
        <v>45664.687962962962</v>
      </c>
      <c r="J170" s="10">
        <v>45664.705405092587</v>
      </c>
      <c r="K170" s="10">
        <v>45664.705405092587</v>
      </c>
      <c r="L170" s="10">
        <v>45664.706030092602</v>
      </c>
      <c r="M170" s="11">
        <f t="shared" si="6"/>
        <v>1.3599537043774035E-2</v>
      </c>
      <c r="N170" s="11">
        <f t="shared" si="7"/>
        <v>0.25101851853105472</v>
      </c>
      <c r="O170" s="10">
        <v>45664.457187499997</v>
      </c>
      <c r="P170" s="11">
        <f t="shared" si="8"/>
        <v>0.23077546296553919</v>
      </c>
      <c r="Q170" s="12" t="s">
        <v>909</v>
      </c>
    </row>
    <row r="171" spans="1:17" ht="25.5" x14ac:dyDescent="0.25">
      <c r="A171" s="3" t="s">
        <v>910</v>
      </c>
      <c r="B171" s="3" t="s">
        <v>182</v>
      </c>
      <c r="C171" s="9">
        <v>71.739999999999995</v>
      </c>
      <c r="D171" s="3" t="s">
        <v>500</v>
      </c>
      <c r="E171" s="10">
        <v>45664.441412037027</v>
      </c>
      <c r="F171" s="10">
        <v>45664.455011574071</v>
      </c>
      <c r="G171" s="10">
        <v>45664.457175925927</v>
      </c>
      <c r="H171" s="3" t="s">
        <v>911</v>
      </c>
      <c r="I171" s="10">
        <v>45664.555324074077</v>
      </c>
      <c r="J171" s="10">
        <v>45664.601203703707</v>
      </c>
      <c r="K171" s="10">
        <v>45664.601203703707</v>
      </c>
      <c r="L171" s="10">
        <v>45664.602314814823</v>
      </c>
      <c r="M171" s="11">
        <f t="shared" si="6"/>
        <v>1.5763888899527956E-2</v>
      </c>
      <c r="N171" s="11">
        <f t="shared" si="7"/>
        <v>0.14513888889632653</v>
      </c>
      <c r="O171" s="10">
        <v>45664.45957175926</v>
      </c>
      <c r="P171" s="11">
        <f t="shared" si="8"/>
        <v>9.5752314817218576E-2</v>
      </c>
      <c r="Q171" s="12" t="s">
        <v>912</v>
      </c>
    </row>
    <row r="172" spans="1:17" ht="25.5" x14ac:dyDescent="0.25">
      <c r="A172" s="3" t="s">
        <v>913</v>
      </c>
      <c r="B172" s="3" t="s">
        <v>183</v>
      </c>
      <c r="C172" s="9">
        <v>192.54</v>
      </c>
      <c r="D172" s="3" t="s">
        <v>500</v>
      </c>
      <c r="E172" s="10">
        <v>45664.543391203697</v>
      </c>
      <c r="F172" s="10">
        <v>45664.548449074071</v>
      </c>
      <c r="G172" s="10">
        <v>45664.550879629627</v>
      </c>
      <c r="H172" s="3" t="s">
        <v>911</v>
      </c>
      <c r="I172" s="10">
        <v>45664.555324074077</v>
      </c>
      <c r="J172" s="10">
        <v>45664.601203703707</v>
      </c>
      <c r="K172" s="10">
        <v>45664.601203703707</v>
      </c>
      <c r="L172" s="10">
        <v>45664.602314814823</v>
      </c>
      <c r="M172" s="11">
        <f t="shared" si="6"/>
        <v>7.4884259302052669E-3</v>
      </c>
      <c r="N172" s="11">
        <f t="shared" si="7"/>
        <v>5.1435185196169186E-2</v>
      </c>
      <c r="O172" s="10">
        <v>45664.554456018523</v>
      </c>
      <c r="P172" s="11">
        <f t="shared" si="8"/>
        <v>8.6805555474711582E-4</v>
      </c>
      <c r="Q172" s="12" t="s">
        <v>914</v>
      </c>
    </row>
    <row r="173" spans="1:17" x14ac:dyDescent="0.25">
      <c r="A173" s="3" t="s">
        <v>915</v>
      </c>
      <c r="B173" s="3" t="s">
        <v>184</v>
      </c>
      <c r="C173" s="9">
        <v>398.04000000000008</v>
      </c>
      <c r="D173" s="3" t="s">
        <v>500</v>
      </c>
      <c r="E173" s="10">
        <v>45664.595567129632</v>
      </c>
      <c r="F173" s="10">
        <v>45664.60255787037</v>
      </c>
      <c r="G173" s="10">
        <v>45664.60460648148</v>
      </c>
      <c r="H173" s="3" t="s">
        <v>916</v>
      </c>
      <c r="I173" s="10">
        <v>45664.607627314806</v>
      </c>
      <c r="J173" s="10">
        <v>45664.676724537043</v>
      </c>
      <c r="K173" s="10">
        <v>45664.676724537043</v>
      </c>
      <c r="L173" s="10">
        <v>45664.678113425929</v>
      </c>
      <c r="M173" s="11">
        <f t="shared" si="6"/>
        <v>9.0393518476048484E-3</v>
      </c>
      <c r="N173" s="11">
        <f t="shared" si="7"/>
        <v>7.3506944449036382E-2</v>
      </c>
      <c r="O173" s="10">
        <v>45664.606782407413</v>
      </c>
      <c r="P173" s="11">
        <f t="shared" si="8"/>
        <v>8.4490739391185343E-4</v>
      </c>
      <c r="Q173" s="12" t="s">
        <v>917</v>
      </c>
    </row>
    <row r="174" spans="1:17" ht="38.25" x14ac:dyDescent="0.25">
      <c r="A174" s="3" t="s">
        <v>918</v>
      </c>
      <c r="B174" s="3" t="s">
        <v>185</v>
      </c>
      <c r="C174" s="9">
        <v>19.899999999999999</v>
      </c>
      <c r="D174" s="3" t="s">
        <v>523</v>
      </c>
      <c r="E174" s="10">
        <v>45664.62636574074</v>
      </c>
      <c r="F174" s="10">
        <v>45664.643391203703</v>
      </c>
      <c r="G174" s="10">
        <v>45664.645428240743</v>
      </c>
      <c r="H174" s="3" t="s">
        <v>919</v>
      </c>
      <c r="I174" s="10">
        <v>45665.138842592591</v>
      </c>
      <c r="J174" s="10">
        <v>45665.158692129633</v>
      </c>
      <c r="K174" s="10">
        <v>45665.158692129633</v>
      </c>
      <c r="L174" s="10">
        <v>45665.159467592603</v>
      </c>
      <c r="M174" s="11">
        <f t="shared" si="6"/>
        <v>1.9062500003201421E-2</v>
      </c>
      <c r="N174" s="11">
        <f t="shared" si="7"/>
        <v>0.51403935185953742</v>
      </c>
      <c r="O174" s="10">
        <v>45664.647604166668</v>
      </c>
      <c r="P174" s="11">
        <f t="shared" si="8"/>
        <v>0.49123842592234723</v>
      </c>
      <c r="Q174" s="12" t="s">
        <v>920</v>
      </c>
    </row>
    <row r="175" spans="1:17" ht="51" x14ac:dyDescent="0.25">
      <c r="A175" s="3" t="s">
        <v>921</v>
      </c>
      <c r="B175" s="3" t="s">
        <v>185</v>
      </c>
      <c r="C175" s="9">
        <v>15.74</v>
      </c>
      <c r="D175" s="3" t="s">
        <v>654</v>
      </c>
      <c r="E175" s="10">
        <v>45664.62636574074</v>
      </c>
      <c r="F175" s="10">
        <v>45664.645428240743</v>
      </c>
      <c r="G175" s="10">
        <v>45664.647152777783</v>
      </c>
      <c r="H175" s="3" t="s">
        <v>655</v>
      </c>
      <c r="I175" s="10">
        <v>45666.797094907408</v>
      </c>
      <c r="J175" s="10">
        <v>45666.81622685185</v>
      </c>
      <c r="K175" s="10">
        <v>45666.816678240742</v>
      </c>
      <c r="L175" s="10">
        <v>45666.817453703698</v>
      </c>
      <c r="M175" s="11">
        <f t="shared" si="6"/>
        <v>2.0787037043191958E-2</v>
      </c>
      <c r="N175" s="11">
        <f t="shared" si="7"/>
        <v>2.1703009259144892</v>
      </c>
      <c r="O175" s="10">
        <v>45664.651076388887</v>
      </c>
      <c r="P175" s="11">
        <f t="shared" si="8"/>
        <v>2.1460185185205773</v>
      </c>
      <c r="Q175" s="12" t="s">
        <v>922</v>
      </c>
    </row>
    <row r="176" spans="1:17" ht="38.25" x14ac:dyDescent="0.25">
      <c r="A176" s="3" t="s">
        <v>923</v>
      </c>
      <c r="B176" s="3" t="s">
        <v>185</v>
      </c>
      <c r="C176" s="9">
        <v>15.74</v>
      </c>
      <c r="D176" s="3" t="s">
        <v>533</v>
      </c>
      <c r="E176" s="10">
        <v>45664.62636574074</v>
      </c>
      <c r="F176" s="10">
        <v>45664.647152777783</v>
      </c>
      <c r="G176" s="10">
        <v>45664.648321759261</v>
      </c>
      <c r="H176" s="3" t="s">
        <v>924</v>
      </c>
      <c r="I176" s="10">
        <v>45665.346284722233</v>
      </c>
      <c r="J176" s="10">
        <v>45665.36886574074</v>
      </c>
      <c r="K176" s="10">
        <v>45665.36886574074</v>
      </c>
      <c r="L176" s="10">
        <v>45665.369629629633</v>
      </c>
      <c r="M176" s="11">
        <f t="shared" si="6"/>
        <v>2.195601852145046E-2</v>
      </c>
      <c r="N176" s="11">
        <f t="shared" si="7"/>
        <v>0.72130787037167465</v>
      </c>
      <c r="O176" s="10">
        <v>45664.650717592587</v>
      </c>
      <c r="P176" s="11">
        <f t="shared" si="8"/>
        <v>0.69556712964549661</v>
      </c>
      <c r="Q176" s="12" t="s">
        <v>925</v>
      </c>
    </row>
    <row r="177" spans="1:17" ht="25.5" x14ac:dyDescent="0.25">
      <c r="A177" s="3" t="s">
        <v>926</v>
      </c>
      <c r="B177" s="3" t="s">
        <v>185</v>
      </c>
      <c r="C177" s="9">
        <v>54</v>
      </c>
      <c r="D177" s="3" t="s">
        <v>527</v>
      </c>
      <c r="E177" s="10">
        <v>45664.62636574074</v>
      </c>
      <c r="F177" s="10">
        <v>45664.648321759261</v>
      </c>
      <c r="G177" s="10">
        <v>45664.650312500002</v>
      </c>
      <c r="H177" s="3" t="s">
        <v>901</v>
      </c>
      <c r="I177" s="10">
        <v>45664.658761574072</v>
      </c>
      <c r="J177" s="10">
        <v>45664.682199074072</v>
      </c>
      <c r="K177" s="10">
        <v>45664.682199074072</v>
      </c>
      <c r="L177" s="10">
        <v>45664.682893518519</v>
      </c>
      <c r="M177" s="11">
        <f t="shared" si="6"/>
        <v>2.3946759261889383E-2</v>
      </c>
      <c r="N177" s="11">
        <f t="shared" si="7"/>
        <v>3.2581018516793847E-2</v>
      </c>
      <c r="O177" s="10">
        <v>45664.65388888889</v>
      </c>
      <c r="P177" s="11">
        <f t="shared" si="8"/>
        <v>4.8726851819083095E-3</v>
      </c>
      <c r="Q177" s="12" t="s">
        <v>927</v>
      </c>
    </row>
    <row r="178" spans="1:17" ht="25.5" x14ac:dyDescent="0.25">
      <c r="A178" s="3" t="s">
        <v>928</v>
      </c>
      <c r="B178" s="3" t="s">
        <v>185</v>
      </c>
      <c r="C178" s="9">
        <v>21</v>
      </c>
      <c r="D178" s="3" t="s">
        <v>488</v>
      </c>
      <c r="E178" s="10">
        <v>45664.62636574074</v>
      </c>
      <c r="F178" s="10">
        <v>45664.650312500002</v>
      </c>
      <c r="G178" s="10">
        <v>45664.651608796303</v>
      </c>
      <c r="H178" s="3" t="s">
        <v>867</v>
      </c>
      <c r="I178" s="10">
        <v>45664.683819444443</v>
      </c>
      <c r="J178" s="10">
        <v>45664.704641203702</v>
      </c>
      <c r="K178" s="10">
        <v>45664.704641203702</v>
      </c>
      <c r="L178" s="10">
        <v>45664.705347222232</v>
      </c>
      <c r="M178" s="11">
        <f t="shared" si="6"/>
        <v>2.5243055562896188E-2</v>
      </c>
      <c r="N178" s="11">
        <f t="shared" si="7"/>
        <v>5.373842592962319E-2</v>
      </c>
      <c r="O178" s="10">
        <v>45664.655532407407</v>
      </c>
      <c r="P178" s="11">
        <f t="shared" si="8"/>
        <v>2.8287037035624962E-2</v>
      </c>
      <c r="Q178" s="12" t="s">
        <v>929</v>
      </c>
    </row>
    <row r="179" spans="1:17" ht="38.25" x14ac:dyDescent="0.25">
      <c r="A179" s="3" t="s">
        <v>930</v>
      </c>
      <c r="B179" s="3" t="s">
        <v>185</v>
      </c>
      <c r="C179" s="9">
        <v>14</v>
      </c>
      <c r="D179" s="3" t="s">
        <v>595</v>
      </c>
      <c r="E179" s="10">
        <v>45664.62636574074</v>
      </c>
      <c r="F179" s="10">
        <v>45664.651608796303</v>
      </c>
      <c r="G179" s="10">
        <v>45664.653101851851</v>
      </c>
      <c r="H179" s="3" t="s">
        <v>596</v>
      </c>
      <c r="I179" s="10">
        <v>45666.32508101852</v>
      </c>
      <c r="J179" s="10">
        <v>45666.39607638889</v>
      </c>
      <c r="K179" s="10">
        <v>45666.39607638889</v>
      </c>
      <c r="L179" s="10">
        <v>45666.397569444453</v>
      </c>
      <c r="M179" s="11">
        <f t="shared" si="6"/>
        <v>2.6736111110949423E-2</v>
      </c>
      <c r="N179" s="11">
        <f t="shared" si="7"/>
        <v>1.7444675926017226</v>
      </c>
      <c r="O179" s="10">
        <v>45664.657025462962</v>
      </c>
      <c r="P179" s="11">
        <f t="shared" si="8"/>
        <v>1.6680555555576575</v>
      </c>
      <c r="Q179" s="12" t="s">
        <v>931</v>
      </c>
    </row>
    <row r="180" spans="1:17" x14ac:dyDescent="0.25">
      <c r="A180" s="3" t="s">
        <v>932</v>
      </c>
      <c r="B180" s="3" t="s">
        <v>185</v>
      </c>
      <c r="C180" s="9">
        <v>101.94</v>
      </c>
      <c r="D180" s="3" t="s">
        <v>515</v>
      </c>
      <c r="E180" s="10">
        <v>45664.62636574074</v>
      </c>
      <c r="F180" s="10">
        <v>45664.653101851851</v>
      </c>
      <c r="G180" s="10">
        <v>45664.654583333337</v>
      </c>
      <c r="H180" s="3" t="s">
        <v>898</v>
      </c>
      <c r="I180" s="10">
        <v>45664.668530092589</v>
      </c>
      <c r="J180" s="10">
        <v>45664.686226851853</v>
      </c>
      <c r="K180" s="10">
        <v>45664.686226851853</v>
      </c>
      <c r="L180" s="10">
        <v>45664.687013888892</v>
      </c>
      <c r="M180" s="11">
        <f t="shared" si="6"/>
        <v>2.8217592596774921E-2</v>
      </c>
      <c r="N180" s="11">
        <f t="shared" si="7"/>
        <v>3.2430555555038154E-2</v>
      </c>
      <c r="O180" s="10">
        <v>45664.656956018523</v>
      </c>
      <c r="P180" s="11">
        <f t="shared" si="8"/>
        <v>1.1574074065720197E-2</v>
      </c>
      <c r="Q180" s="12" t="s">
        <v>933</v>
      </c>
    </row>
    <row r="181" spans="1:17" ht="38.25" x14ac:dyDescent="0.25">
      <c r="A181" s="3" t="s">
        <v>934</v>
      </c>
      <c r="B181" s="3" t="s">
        <v>185</v>
      </c>
      <c r="C181" s="9">
        <v>19.899999999999999</v>
      </c>
      <c r="D181" s="3" t="s">
        <v>519</v>
      </c>
      <c r="E181" s="10">
        <v>45664.62636574074</v>
      </c>
      <c r="F181" s="10">
        <v>45664.654583333337</v>
      </c>
      <c r="G181" s="10">
        <v>45664.6559837963</v>
      </c>
      <c r="H181" s="3" t="s">
        <v>886</v>
      </c>
      <c r="I181" s="10">
        <v>45665.174733796302</v>
      </c>
      <c r="J181" s="10">
        <v>45665.277638888889</v>
      </c>
      <c r="K181" s="10">
        <v>45665.277638888889</v>
      </c>
      <c r="L181" s="10">
        <v>45665.279490740737</v>
      </c>
      <c r="M181" s="11">
        <f t="shared" si="6"/>
        <v>2.9618055559694767E-2</v>
      </c>
      <c r="N181" s="11">
        <f t="shared" si="7"/>
        <v>0.62350694443739485</v>
      </c>
      <c r="O181" s="10">
        <v>45664.659548611111</v>
      </c>
      <c r="P181" s="11">
        <f t="shared" si="8"/>
        <v>0.51518518519151257</v>
      </c>
      <c r="Q181" s="12" t="s">
        <v>935</v>
      </c>
    </row>
    <row r="182" spans="1:17" ht="25.5" x14ac:dyDescent="0.25">
      <c r="A182" s="3" t="s">
        <v>936</v>
      </c>
      <c r="B182" s="3" t="s">
        <v>185</v>
      </c>
      <c r="C182" s="9">
        <v>23.24</v>
      </c>
      <c r="D182" s="3" t="s">
        <v>506</v>
      </c>
      <c r="E182" s="10">
        <v>45664.62636574074</v>
      </c>
      <c r="F182" s="10">
        <v>45664.6559837963</v>
      </c>
      <c r="G182" s="10">
        <v>45664.657268518517</v>
      </c>
      <c r="H182" s="3" t="s">
        <v>867</v>
      </c>
      <c r="I182" s="10">
        <v>45664.683819444443</v>
      </c>
      <c r="J182" s="10">
        <v>45664.704641203702</v>
      </c>
      <c r="K182" s="10">
        <v>45664.704641203702</v>
      </c>
      <c r="L182" s="10">
        <v>45664.705347222232</v>
      </c>
      <c r="M182" s="11">
        <f t="shared" si="6"/>
        <v>3.0902777776645962E-2</v>
      </c>
      <c r="N182" s="11">
        <f t="shared" si="7"/>
        <v>4.8078703715873417E-2</v>
      </c>
      <c r="O182" s="10">
        <v>45664.661192129628</v>
      </c>
      <c r="P182" s="11">
        <f t="shared" si="8"/>
        <v>2.2627314814599231E-2</v>
      </c>
      <c r="Q182" s="12" t="s">
        <v>937</v>
      </c>
    </row>
    <row r="183" spans="1:17" ht="38.25" x14ac:dyDescent="0.25">
      <c r="A183" s="3" t="s">
        <v>938</v>
      </c>
      <c r="B183" s="3" t="s">
        <v>185</v>
      </c>
      <c r="C183" s="9">
        <v>15.74</v>
      </c>
      <c r="D183" s="3" t="s">
        <v>484</v>
      </c>
      <c r="E183" s="10">
        <v>45664.62636574074</v>
      </c>
      <c r="F183" s="10">
        <v>45664.657268518517</v>
      </c>
      <c r="G183" s="10">
        <v>45664.65902777778</v>
      </c>
      <c r="H183" s="3" t="s">
        <v>873</v>
      </c>
      <c r="I183" s="10">
        <v>45665.155300925922</v>
      </c>
      <c r="J183" s="10">
        <v>45665.179907407408</v>
      </c>
      <c r="K183" s="10">
        <v>45665.179907407408</v>
      </c>
      <c r="L183" s="10">
        <v>45665.180775462963</v>
      </c>
      <c r="M183" s="11">
        <f t="shared" si="6"/>
        <v>3.2662037039699499E-2</v>
      </c>
      <c r="N183" s="11">
        <f t="shared" si="7"/>
        <v>0.52174768518307246</v>
      </c>
      <c r="O183" s="10">
        <v>45664.663900462961</v>
      </c>
      <c r="P183" s="11">
        <f t="shared" si="8"/>
        <v>0.49140046296088258</v>
      </c>
      <c r="Q183" s="12" t="s">
        <v>939</v>
      </c>
    </row>
    <row r="184" spans="1:17" ht="25.5" x14ac:dyDescent="0.25">
      <c r="A184" s="3" t="s">
        <v>940</v>
      </c>
      <c r="B184" s="3" t="s">
        <v>185</v>
      </c>
      <c r="C184" s="9">
        <v>19.899999999999999</v>
      </c>
      <c r="D184" s="3" t="s">
        <v>539</v>
      </c>
      <c r="E184" s="10">
        <v>45664.62636574074</v>
      </c>
      <c r="F184" s="10">
        <v>45664.65902777778</v>
      </c>
      <c r="G184" s="10">
        <v>45664.660763888889</v>
      </c>
      <c r="H184" s="3" t="s">
        <v>792</v>
      </c>
      <c r="I184" s="10">
        <v>45664.755682870367</v>
      </c>
      <c r="J184" s="10">
        <v>45664.779861111107</v>
      </c>
      <c r="K184" s="10">
        <v>45664.779861111107</v>
      </c>
      <c r="L184" s="10">
        <v>45664.780775462961</v>
      </c>
      <c r="M184" s="11">
        <f t="shared" si="6"/>
        <v>3.439814814919373E-2</v>
      </c>
      <c r="N184" s="11">
        <f t="shared" si="7"/>
        <v>0.12001157407212304</v>
      </c>
      <c r="O184" s="10">
        <v>45664.665983796287</v>
      </c>
      <c r="P184" s="11">
        <f t="shared" si="8"/>
        <v>8.9699074080272112E-2</v>
      </c>
      <c r="Q184" s="12" t="s">
        <v>941</v>
      </c>
    </row>
    <row r="185" spans="1:17" x14ac:dyDescent="0.25">
      <c r="A185" s="3" t="s">
        <v>942</v>
      </c>
      <c r="B185" s="3" t="s">
        <v>186</v>
      </c>
      <c r="C185" s="9">
        <v>393.50000000000011</v>
      </c>
      <c r="D185" s="3" t="s">
        <v>500</v>
      </c>
      <c r="E185" s="10">
        <v>45664.641967592594</v>
      </c>
      <c r="F185" s="10">
        <v>45664.661631944437</v>
      </c>
      <c r="G185" s="10">
        <v>45664.66443287037</v>
      </c>
      <c r="H185" s="3" t="s">
        <v>943</v>
      </c>
      <c r="I185" s="10">
        <v>45664.683935185189</v>
      </c>
      <c r="J185" s="10">
        <v>45664.752245370371</v>
      </c>
      <c r="K185" s="10">
        <v>45664.752245370371</v>
      </c>
      <c r="L185" s="10">
        <v>45664.753703703696</v>
      </c>
      <c r="M185" s="11">
        <f t="shared" si="6"/>
        <v>2.2465277776063886E-2</v>
      </c>
      <c r="N185" s="11">
        <f t="shared" si="7"/>
        <v>8.9270833326736465E-2</v>
      </c>
      <c r="O185" s="10">
        <v>45664.666875000003</v>
      </c>
      <c r="P185" s="11">
        <f t="shared" si="8"/>
        <v>1.7060185185982846E-2</v>
      </c>
      <c r="Q185" s="12" t="s">
        <v>944</v>
      </c>
    </row>
    <row r="186" spans="1:17" ht="25.5" x14ac:dyDescent="0.25">
      <c r="A186" s="3" t="s">
        <v>945</v>
      </c>
      <c r="B186" s="3" t="s">
        <v>187</v>
      </c>
      <c r="C186" s="9">
        <v>93.8</v>
      </c>
      <c r="D186" s="3" t="s">
        <v>500</v>
      </c>
      <c r="E186" s="10">
        <v>45664.668958333343</v>
      </c>
      <c r="F186" s="10">
        <v>45664.674537037034</v>
      </c>
      <c r="G186" s="10">
        <v>45664.67633101852</v>
      </c>
      <c r="H186" s="3" t="s">
        <v>946</v>
      </c>
      <c r="I186" s="10">
        <v>45664.775717592587</v>
      </c>
      <c r="J186" s="10">
        <v>45664.828796296293</v>
      </c>
      <c r="K186" s="10">
        <v>45664.828796296293</v>
      </c>
      <c r="L186" s="10">
        <v>45664.830104166656</v>
      </c>
      <c r="M186" s="11">
        <f t="shared" si="6"/>
        <v>7.3726851769606583E-3</v>
      </c>
      <c r="N186" s="11">
        <f t="shared" si="7"/>
        <v>0.15377314813667908</v>
      </c>
      <c r="O186" s="10">
        <v>45664.679664351846</v>
      </c>
      <c r="P186" s="11">
        <f t="shared" si="8"/>
        <v>9.6053240740729962E-2</v>
      </c>
      <c r="Q186" s="12" t="s">
        <v>947</v>
      </c>
    </row>
    <row r="187" spans="1:17" ht="25.5" x14ac:dyDescent="0.25">
      <c r="A187" s="3" t="s">
        <v>948</v>
      </c>
      <c r="B187" s="3" t="s">
        <v>187</v>
      </c>
      <c r="C187" s="9">
        <v>16.5</v>
      </c>
      <c r="D187" s="3" t="s">
        <v>572</v>
      </c>
      <c r="E187" s="10">
        <v>45664.668958333343</v>
      </c>
      <c r="F187" s="10">
        <v>45664.67633101852</v>
      </c>
      <c r="G187" s="10">
        <v>45664.678252314807</v>
      </c>
      <c r="H187" s="3" t="s">
        <v>908</v>
      </c>
      <c r="I187" s="10">
        <v>45664.687962962962</v>
      </c>
      <c r="J187" s="10">
        <v>45664.705405092587</v>
      </c>
      <c r="K187" s="10">
        <v>45664.705405092587</v>
      </c>
      <c r="L187" s="10">
        <v>45664.706030092602</v>
      </c>
      <c r="M187" s="11">
        <f t="shared" si="6"/>
        <v>9.2939814639976248E-3</v>
      </c>
      <c r="N187" s="11">
        <f t="shared" si="7"/>
        <v>2.7777777795563452E-2</v>
      </c>
      <c r="O187" s="10">
        <v>45664.682141203702</v>
      </c>
      <c r="P187" s="11">
        <f t="shared" si="8"/>
        <v>5.8217592595610768E-3</v>
      </c>
      <c r="Q187" s="12" t="s">
        <v>949</v>
      </c>
    </row>
    <row r="188" spans="1:17" ht="25.5" x14ac:dyDescent="0.25">
      <c r="A188" s="3" t="s">
        <v>950</v>
      </c>
      <c r="B188" s="3" t="s">
        <v>188</v>
      </c>
      <c r="C188" s="9">
        <v>21</v>
      </c>
      <c r="D188" s="3" t="s">
        <v>519</v>
      </c>
      <c r="E188" s="10">
        <v>45664.725127314807</v>
      </c>
      <c r="F188" s="10">
        <v>45664.743090277778</v>
      </c>
      <c r="G188" s="10">
        <v>45664.744490740741</v>
      </c>
      <c r="H188" s="3" t="s">
        <v>886</v>
      </c>
      <c r="I188" s="10">
        <v>45665.174733796302</v>
      </c>
      <c r="J188" s="10">
        <v>45665.277638888889</v>
      </c>
      <c r="K188" s="10">
        <v>45665.277638888889</v>
      </c>
      <c r="L188" s="10">
        <v>45665.279490740737</v>
      </c>
      <c r="M188" s="11">
        <f t="shared" si="6"/>
        <v>1.9363425933988765E-2</v>
      </c>
      <c r="N188" s="11">
        <f t="shared" si="7"/>
        <v>0.5349999999962165</v>
      </c>
      <c r="O188" s="10">
        <v>45664.748414351852</v>
      </c>
      <c r="P188" s="11">
        <f t="shared" si="8"/>
        <v>0.42631944445020054</v>
      </c>
      <c r="Q188" s="12" t="s">
        <v>951</v>
      </c>
    </row>
    <row r="189" spans="1:17" ht="38.25" x14ac:dyDescent="0.25">
      <c r="A189" s="3" t="s">
        <v>952</v>
      </c>
      <c r="B189" s="3" t="s">
        <v>188</v>
      </c>
      <c r="C189" s="9">
        <v>15.74</v>
      </c>
      <c r="D189" s="3" t="s">
        <v>496</v>
      </c>
      <c r="E189" s="10">
        <v>45664.725127314807</v>
      </c>
      <c r="F189" s="10">
        <v>45664.744490740741</v>
      </c>
      <c r="G189" s="10">
        <v>45664.746516203697</v>
      </c>
      <c r="H189" s="3" t="s">
        <v>919</v>
      </c>
      <c r="I189" s="10">
        <v>45665.138842592591</v>
      </c>
      <c r="J189" s="10">
        <v>45665.158692129633</v>
      </c>
      <c r="K189" s="10">
        <v>45665.158692129633</v>
      </c>
      <c r="L189" s="10">
        <v>45665.159467592603</v>
      </c>
      <c r="M189" s="11">
        <f t="shared" si="6"/>
        <v>2.138888889021473E-2</v>
      </c>
      <c r="N189" s="11">
        <f t="shared" si="7"/>
        <v>0.41295138890563976</v>
      </c>
      <c r="O189" s="10">
        <v>45664.750081018523</v>
      </c>
      <c r="P189" s="11">
        <f t="shared" si="8"/>
        <v>0.38876157406775746</v>
      </c>
      <c r="Q189" s="12" t="s">
        <v>953</v>
      </c>
    </row>
    <row r="190" spans="1:17" ht="25.5" x14ac:dyDescent="0.25">
      <c r="A190" s="3" t="s">
        <v>954</v>
      </c>
      <c r="B190" s="3" t="s">
        <v>188</v>
      </c>
      <c r="C190" s="9">
        <v>23.24</v>
      </c>
      <c r="D190" s="3" t="s">
        <v>484</v>
      </c>
      <c r="E190" s="10">
        <v>45664.725127314807</v>
      </c>
      <c r="F190" s="10">
        <v>45664.746516203697</v>
      </c>
      <c r="G190" s="10">
        <v>45664.748287037037</v>
      </c>
      <c r="H190" s="3" t="s">
        <v>873</v>
      </c>
      <c r="I190" s="10">
        <v>45665.155300925922</v>
      </c>
      <c r="J190" s="10">
        <v>45665.179907407408</v>
      </c>
      <c r="K190" s="10">
        <v>45665.179907407408</v>
      </c>
      <c r="L190" s="10">
        <v>45665.180775462963</v>
      </c>
      <c r="M190" s="11">
        <f t="shared" si="6"/>
        <v>2.3159722230047919E-2</v>
      </c>
      <c r="N190" s="11">
        <f t="shared" si="7"/>
        <v>0.43248842592583969</v>
      </c>
      <c r="O190" s="10">
        <v>45664.752175925933</v>
      </c>
      <c r="P190" s="11">
        <f t="shared" si="8"/>
        <v>0.40312499998981366</v>
      </c>
      <c r="Q190" s="12" t="s">
        <v>955</v>
      </c>
    </row>
    <row r="191" spans="1:17" ht="38.25" x14ac:dyDescent="0.25">
      <c r="A191" s="3" t="s">
        <v>956</v>
      </c>
      <c r="B191" s="3" t="s">
        <v>188</v>
      </c>
      <c r="C191" s="9">
        <v>31.48</v>
      </c>
      <c r="D191" s="3" t="s">
        <v>515</v>
      </c>
      <c r="E191" s="10">
        <v>45664.725127314807</v>
      </c>
      <c r="F191" s="10">
        <v>45664.748287037037</v>
      </c>
      <c r="G191" s="10">
        <v>45664.749479166669</v>
      </c>
      <c r="H191" s="3" t="s">
        <v>924</v>
      </c>
      <c r="I191" s="10">
        <v>45665.346284722233</v>
      </c>
      <c r="J191" s="10">
        <v>45665.36886574074</v>
      </c>
      <c r="K191" s="10">
        <v>45665.36886574074</v>
      </c>
      <c r="L191" s="10">
        <v>45665.369629629633</v>
      </c>
      <c r="M191" s="11">
        <f t="shared" si="6"/>
        <v>2.4351851861865725E-2</v>
      </c>
      <c r="N191" s="11">
        <f t="shared" si="7"/>
        <v>0.62015046296437504</v>
      </c>
      <c r="O191" s="10">
        <v>45664.751875000002</v>
      </c>
      <c r="P191" s="11">
        <f t="shared" si="8"/>
        <v>0.59440972223092103</v>
      </c>
      <c r="Q191" s="12" t="s">
        <v>957</v>
      </c>
    </row>
    <row r="192" spans="1:17" ht="25.5" x14ac:dyDescent="0.25">
      <c r="A192" s="3" t="s">
        <v>958</v>
      </c>
      <c r="B192" s="3" t="s">
        <v>188</v>
      </c>
      <c r="C192" s="9">
        <v>39.799999999999997</v>
      </c>
      <c r="D192" s="3" t="s">
        <v>539</v>
      </c>
      <c r="E192" s="10">
        <v>45664.725127314807</v>
      </c>
      <c r="F192" s="10">
        <v>45664.749479166669</v>
      </c>
      <c r="G192" s="10">
        <v>45664.751261574071</v>
      </c>
      <c r="H192" s="3" t="s">
        <v>792</v>
      </c>
      <c r="I192" s="10">
        <v>45664.755682870367</v>
      </c>
      <c r="J192" s="10">
        <v>45664.779861111107</v>
      </c>
      <c r="K192" s="10">
        <v>45664.779861111107</v>
      </c>
      <c r="L192" s="10">
        <v>45664.780775462961</v>
      </c>
      <c r="M192" s="11">
        <f t="shared" si="6"/>
        <v>2.6134259263926651E-2</v>
      </c>
      <c r="N192" s="11">
        <f t="shared" si="7"/>
        <v>2.9513888890505768E-2</v>
      </c>
      <c r="O192" s="10">
        <v>45664.754826388889</v>
      </c>
      <c r="P192" s="11">
        <f t="shared" si="8"/>
        <v>8.5648147796746343E-4</v>
      </c>
      <c r="Q192" s="12" t="s">
        <v>959</v>
      </c>
    </row>
    <row r="193" spans="1:17" x14ac:dyDescent="0.25">
      <c r="A193" s="3" t="s">
        <v>960</v>
      </c>
      <c r="B193" s="3" t="s">
        <v>188</v>
      </c>
      <c r="C193" s="9">
        <v>108</v>
      </c>
      <c r="D193" s="3" t="s">
        <v>527</v>
      </c>
      <c r="E193" s="10">
        <v>45664.725127314807</v>
      </c>
      <c r="F193" s="10">
        <v>45664.751261574071</v>
      </c>
      <c r="G193" s="10">
        <v>45664.752754629633</v>
      </c>
      <c r="H193" s="3" t="s">
        <v>961</v>
      </c>
      <c r="I193" s="10">
        <v>45664.756412037037</v>
      </c>
      <c r="J193" s="10">
        <v>45664.77516203704</v>
      </c>
      <c r="K193" s="10">
        <v>45664.77516203704</v>
      </c>
      <c r="L193" s="10">
        <v>45664.775833333333</v>
      </c>
      <c r="M193" s="11">
        <f t="shared" si="6"/>
        <v>2.7627314826531801E-2</v>
      </c>
      <c r="N193" s="11">
        <f t="shared" si="7"/>
        <v>2.307870369986631E-2</v>
      </c>
      <c r="O193" s="10">
        <v>45664.755150462966</v>
      </c>
      <c r="P193" s="11">
        <f t="shared" si="8"/>
        <v>1.261574070667848E-3</v>
      </c>
      <c r="Q193" s="12" t="s">
        <v>962</v>
      </c>
    </row>
    <row r="194" spans="1:17" ht="38.25" x14ac:dyDescent="0.25">
      <c r="A194" s="3" t="s">
        <v>963</v>
      </c>
      <c r="B194" s="3" t="s">
        <v>188</v>
      </c>
      <c r="C194" s="9">
        <v>15.74</v>
      </c>
      <c r="D194" s="3" t="s">
        <v>523</v>
      </c>
      <c r="E194" s="10">
        <v>45664.725127314807</v>
      </c>
      <c r="F194" s="10">
        <v>45664.752754629633</v>
      </c>
      <c r="G194" s="10">
        <v>45664.754780092589</v>
      </c>
      <c r="H194" s="3" t="s">
        <v>919</v>
      </c>
      <c r="I194" s="10">
        <v>45665.138842592591</v>
      </c>
      <c r="J194" s="10">
        <v>45665.158692129633</v>
      </c>
      <c r="K194" s="10">
        <v>45665.158692129633</v>
      </c>
      <c r="L194" s="10">
        <v>45665.159467592603</v>
      </c>
      <c r="M194" s="11">
        <f t="shared" ref="M194:M257" si="9">IF(AND(ISNUMBER(E194),ISNUMBER(G194)),(G194-E194),"")</f>
        <v>2.9652777782757767E-2</v>
      </c>
      <c r="N194" s="11">
        <f t="shared" ref="N194:N257" si="10">IF(AND(ISNUMBER(G194),ISNUMBER(L194)),(L194-G194),"")</f>
        <v>0.40468750001309672</v>
      </c>
      <c r="O194" s="10">
        <v>45664.758703703701</v>
      </c>
      <c r="P194" s="11">
        <f t="shared" ref="P194:P257" si="11">IF(AND(ISNUMBER(I194),ISNUMBER(O194)),(I194-O194),"")</f>
        <v>0.38013888888963265</v>
      </c>
      <c r="Q194" s="12" t="s">
        <v>964</v>
      </c>
    </row>
    <row r="195" spans="1:17" ht="25.5" x14ac:dyDescent="0.25">
      <c r="A195" s="3" t="s">
        <v>965</v>
      </c>
      <c r="B195" s="3" t="s">
        <v>188</v>
      </c>
      <c r="C195" s="9">
        <v>38.979999999999997</v>
      </c>
      <c r="D195" s="3" t="s">
        <v>506</v>
      </c>
      <c r="E195" s="10">
        <v>45664.725127314807</v>
      </c>
      <c r="F195" s="10">
        <v>45664.754780092589</v>
      </c>
      <c r="G195" s="10">
        <v>45664.756747685176</v>
      </c>
      <c r="H195" s="3" t="s">
        <v>966</v>
      </c>
      <c r="I195" s="10">
        <v>45665.135763888888</v>
      </c>
      <c r="J195" s="10">
        <v>45665.153622685182</v>
      </c>
      <c r="K195" s="10">
        <v>45665.153622685182</v>
      </c>
      <c r="L195" s="10">
        <v>45665.154247685183</v>
      </c>
      <c r="M195" s="11">
        <f t="shared" si="9"/>
        <v>3.1620370369637385E-2</v>
      </c>
      <c r="N195" s="11">
        <f t="shared" si="10"/>
        <v>0.39750000000640284</v>
      </c>
      <c r="O195" s="10">
        <v>45664.759143518517</v>
      </c>
      <c r="P195" s="11">
        <f t="shared" si="11"/>
        <v>0.37662037037080154</v>
      </c>
      <c r="Q195" s="12" t="s">
        <v>967</v>
      </c>
    </row>
    <row r="196" spans="1:17" ht="38.25" x14ac:dyDescent="0.25">
      <c r="A196" s="3" t="s">
        <v>968</v>
      </c>
      <c r="B196" s="3" t="s">
        <v>188</v>
      </c>
      <c r="C196" s="9">
        <v>19.899999999999999</v>
      </c>
      <c r="D196" s="3" t="s">
        <v>563</v>
      </c>
      <c r="E196" s="10">
        <v>45664.725127314807</v>
      </c>
      <c r="F196" s="10">
        <v>45664.756747685176</v>
      </c>
      <c r="G196" s="10">
        <v>45664.758715277778</v>
      </c>
      <c r="H196" s="3" t="s">
        <v>757</v>
      </c>
      <c r="I196" s="10">
        <v>45665.648368055547</v>
      </c>
      <c r="J196" s="10">
        <v>45665.672546296293</v>
      </c>
      <c r="K196" s="10">
        <v>45665.672546296293</v>
      </c>
      <c r="L196" s="10">
        <v>45665.673414351862</v>
      </c>
      <c r="M196" s="11">
        <f t="shared" si="9"/>
        <v>3.3587962971068919E-2</v>
      </c>
      <c r="N196" s="11">
        <f t="shared" si="10"/>
        <v>0.91469907408463769</v>
      </c>
      <c r="O196" s="10">
        <v>45664.763495370367</v>
      </c>
      <c r="P196" s="11">
        <f t="shared" si="11"/>
        <v>0.88487268517928896</v>
      </c>
      <c r="Q196" s="12" t="s">
        <v>969</v>
      </c>
    </row>
    <row r="197" spans="1:17" ht="38.25" x14ac:dyDescent="0.25">
      <c r="A197" s="3" t="s">
        <v>970</v>
      </c>
      <c r="B197" s="3" t="s">
        <v>188</v>
      </c>
      <c r="C197" s="9">
        <v>31.48</v>
      </c>
      <c r="D197" s="3" t="s">
        <v>654</v>
      </c>
      <c r="E197" s="10">
        <v>45664.725127314807</v>
      </c>
      <c r="F197" s="10">
        <v>45664.758715277778</v>
      </c>
      <c r="G197" s="10">
        <v>45664.760474537034</v>
      </c>
      <c r="H197" s="3" t="s">
        <v>655</v>
      </c>
      <c r="I197" s="10">
        <v>45666.797094907408</v>
      </c>
      <c r="J197" s="10">
        <v>45666.81622685185</v>
      </c>
      <c r="K197" s="10">
        <v>45666.816678240742</v>
      </c>
      <c r="L197" s="10">
        <v>45666.817453703698</v>
      </c>
      <c r="M197" s="11">
        <f t="shared" si="9"/>
        <v>3.5347222226846498E-2</v>
      </c>
      <c r="N197" s="11">
        <f t="shared" si="10"/>
        <v>2.0569791666639503</v>
      </c>
      <c r="O197" s="10">
        <v>45664.764398148152</v>
      </c>
      <c r="P197" s="11">
        <f t="shared" si="11"/>
        <v>2.0326967592554865</v>
      </c>
      <c r="Q197" s="12" t="s">
        <v>971</v>
      </c>
    </row>
    <row r="198" spans="1:17" ht="25.5" x14ac:dyDescent="0.25">
      <c r="A198" s="3" t="s">
        <v>972</v>
      </c>
      <c r="B198" s="3" t="s">
        <v>188</v>
      </c>
      <c r="C198" s="9">
        <v>31.94</v>
      </c>
      <c r="D198" s="3" t="s">
        <v>492</v>
      </c>
      <c r="E198" s="10">
        <v>45664.725127314807</v>
      </c>
      <c r="F198" s="10">
        <v>45664.760474537034</v>
      </c>
      <c r="G198" s="10">
        <v>45664.762418981481</v>
      </c>
      <c r="H198" s="3" t="s">
        <v>966</v>
      </c>
      <c r="I198" s="10">
        <v>45665.135763888888</v>
      </c>
      <c r="J198" s="10">
        <v>45665.153622685182</v>
      </c>
      <c r="K198" s="10">
        <v>45665.153622685182</v>
      </c>
      <c r="L198" s="10">
        <v>45665.154247685183</v>
      </c>
      <c r="M198" s="11">
        <f t="shared" si="9"/>
        <v>3.7291666674718726E-2</v>
      </c>
      <c r="N198" s="11">
        <f t="shared" si="10"/>
        <v>0.3918287037013215</v>
      </c>
      <c r="O198" s="10">
        <v>45664.768287037034</v>
      </c>
      <c r="P198" s="11">
        <f t="shared" si="11"/>
        <v>0.36747685185400769</v>
      </c>
      <c r="Q198" s="12" t="s">
        <v>973</v>
      </c>
    </row>
    <row r="199" spans="1:17" ht="38.25" x14ac:dyDescent="0.25">
      <c r="A199" s="3" t="s">
        <v>974</v>
      </c>
      <c r="B199" s="3" t="s">
        <v>188</v>
      </c>
      <c r="C199" s="9">
        <v>15.74</v>
      </c>
      <c r="D199" s="3" t="s">
        <v>533</v>
      </c>
      <c r="E199" s="10">
        <v>45664.725127314807</v>
      </c>
      <c r="F199" s="10">
        <v>45664.762418981481</v>
      </c>
      <c r="G199" s="10">
        <v>45664.76357638889</v>
      </c>
      <c r="H199" s="3" t="s">
        <v>924</v>
      </c>
      <c r="I199" s="10">
        <v>45665.346284722233</v>
      </c>
      <c r="J199" s="10">
        <v>45665.36886574074</v>
      </c>
      <c r="K199" s="10">
        <v>45665.36886574074</v>
      </c>
      <c r="L199" s="10">
        <v>45665.369629629633</v>
      </c>
      <c r="M199" s="11">
        <f t="shared" si="9"/>
        <v>3.8449074083473533E-2</v>
      </c>
      <c r="N199" s="11">
        <f t="shared" si="10"/>
        <v>0.60605324074276723</v>
      </c>
      <c r="O199" s="10">
        <v>45664.769189814811</v>
      </c>
      <c r="P199" s="11">
        <f t="shared" si="11"/>
        <v>0.57709490742126945</v>
      </c>
      <c r="Q199" s="12" t="s">
        <v>975</v>
      </c>
    </row>
    <row r="200" spans="1:17" ht="25.5" x14ac:dyDescent="0.25">
      <c r="A200" s="3" t="s">
        <v>976</v>
      </c>
      <c r="B200" s="3" t="s">
        <v>188</v>
      </c>
      <c r="C200" s="9">
        <v>31.48</v>
      </c>
      <c r="D200" s="3" t="s">
        <v>515</v>
      </c>
      <c r="E200" s="10">
        <v>45664.725127314807</v>
      </c>
      <c r="F200" s="10">
        <v>45664.76357638889</v>
      </c>
      <c r="G200" s="10">
        <v>45664.764780092592</v>
      </c>
      <c r="H200" s="3" t="s">
        <v>924</v>
      </c>
      <c r="I200" s="10">
        <v>45665.346284722233</v>
      </c>
      <c r="J200" s="10">
        <v>45665.36886574074</v>
      </c>
      <c r="K200" s="10">
        <v>45665.36886574074</v>
      </c>
      <c r="L200" s="10">
        <v>45665.369629629633</v>
      </c>
      <c r="M200" s="11">
        <f t="shared" si="9"/>
        <v>3.9652777784795035E-2</v>
      </c>
      <c r="N200" s="11">
        <f t="shared" si="10"/>
        <v>0.60484953704144573</v>
      </c>
      <c r="O200" s="10">
        <v>45664.773078703707</v>
      </c>
      <c r="P200" s="11">
        <f t="shared" si="11"/>
        <v>0.573206018525525</v>
      </c>
      <c r="Q200" s="12" t="s">
        <v>977</v>
      </c>
    </row>
    <row r="201" spans="1:17" ht="25.5" x14ac:dyDescent="0.25">
      <c r="A201" s="3" t="s">
        <v>978</v>
      </c>
      <c r="B201" s="3" t="s">
        <v>189</v>
      </c>
      <c r="C201" s="9">
        <v>211.98</v>
      </c>
      <c r="D201" s="3" t="s">
        <v>500</v>
      </c>
      <c r="E201" s="10">
        <v>45664.754513888889</v>
      </c>
      <c r="F201" s="10">
        <v>45664.765543981477</v>
      </c>
      <c r="G201" s="10">
        <v>45664.767581018517</v>
      </c>
      <c r="H201" s="3" t="s">
        <v>946</v>
      </c>
      <c r="I201" s="10">
        <v>45664.775717592587</v>
      </c>
      <c r="J201" s="10">
        <v>45664.828796296293</v>
      </c>
      <c r="K201" s="10">
        <v>45664.828796296293</v>
      </c>
      <c r="L201" s="10">
        <v>45664.830104166656</v>
      </c>
      <c r="M201" s="11">
        <f t="shared" si="9"/>
        <v>1.3067129628325347E-2</v>
      </c>
      <c r="N201" s="11">
        <f t="shared" si="10"/>
        <v>6.252314813900739E-2</v>
      </c>
      <c r="O201" s="10">
        <v>45664.773981481478</v>
      </c>
      <c r="P201" s="11">
        <f t="shared" si="11"/>
        <v>1.7361111094942316E-3</v>
      </c>
      <c r="Q201" s="12" t="s">
        <v>979</v>
      </c>
    </row>
    <row r="202" spans="1:17" x14ac:dyDescent="0.25">
      <c r="A202" s="3" t="s">
        <v>980</v>
      </c>
      <c r="B202" s="3" t="s">
        <v>190</v>
      </c>
      <c r="C202" s="9">
        <v>389.06000000000012</v>
      </c>
      <c r="D202" s="3" t="s">
        <v>500</v>
      </c>
      <c r="E202" s="10">
        <v>45664.877743055556</v>
      </c>
      <c r="F202" s="10">
        <v>45664.884432870371</v>
      </c>
      <c r="G202" s="10">
        <v>45664.886574074073</v>
      </c>
      <c r="H202" s="3" t="s">
        <v>981</v>
      </c>
      <c r="I202" s="10">
        <v>45664.889837962961</v>
      </c>
      <c r="J202" s="10">
        <v>45664.957384259258</v>
      </c>
      <c r="K202" s="10">
        <v>45664.957384259258</v>
      </c>
      <c r="L202" s="10">
        <v>45664.958703703713</v>
      </c>
      <c r="M202" s="11">
        <f t="shared" si="9"/>
        <v>8.8310185165028088E-3</v>
      </c>
      <c r="N202" s="11">
        <f t="shared" si="10"/>
        <v>7.2129629639675841E-2</v>
      </c>
      <c r="O202" s="10">
        <v>45664.888969907413</v>
      </c>
      <c r="P202" s="11">
        <f t="shared" si="11"/>
        <v>8.6805554747115821E-4</v>
      </c>
      <c r="Q202" s="12" t="s">
        <v>982</v>
      </c>
    </row>
    <row r="203" spans="1:17" ht="25.5" x14ac:dyDescent="0.25">
      <c r="A203" s="3" t="s">
        <v>983</v>
      </c>
      <c r="B203" s="3" t="s">
        <v>191</v>
      </c>
      <c r="C203" s="9">
        <v>31.48</v>
      </c>
      <c r="D203" s="3" t="s">
        <v>496</v>
      </c>
      <c r="E203" s="10">
        <v>45665.115879629629</v>
      </c>
      <c r="F203" s="10">
        <v>45665.127013888887</v>
      </c>
      <c r="G203" s="10">
        <v>45665.129074074073</v>
      </c>
      <c r="H203" s="3" t="s">
        <v>919</v>
      </c>
      <c r="I203" s="10">
        <v>45665.138842592591</v>
      </c>
      <c r="J203" s="10">
        <v>45665.158692129633</v>
      </c>
      <c r="K203" s="10">
        <v>45665.158692129633</v>
      </c>
      <c r="L203" s="10">
        <v>45665.159467592603</v>
      </c>
      <c r="M203" s="11">
        <f t="shared" si="9"/>
        <v>1.3194444443797693E-2</v>
      </c>
      <c r="N203" s="11">
        <f t="shared" si="10"/>
        <v>3.0393518529308494E-2</v>
      </c>
      <c r="O203" s="10">
        <v>45665.132997685178</v>
      </c>
      <c r="P203" s="11">
        <f t="shared" si="11"/>
        <v>5.8449074131203815E-3</v>
      </c>
      <c r="Q203" s="12" t="s">
        <v>984</v>
      </c>
    </row>
    <row r="204" spans="1:17" ht="25.5" x14ac:dyDescent="0.25">
      <c r="A204" s="3" t="s">
        <v>985</v>
      </c>
      <c r="B204" s="3" t="s">
        <v>191</v>
      </c>
      <c r="C204" s="9">
        <v>31.94</v>
      </c>
      <c r="D204" s="3" t="s">
        <v>492</v>
      </c>
      <c r="E204" s="10">
        <v>45665.115879629629</v>
      </c>
      <c r="F204" s="10">
        <v>45665.129074074073</v>
      </c>
      <c r="G204" s="10">
        <v>45665.131030092591</v>
      </c>
      <c r="H204" s="3" t="s">
        <v>966</v>
      </c>
      <c r="I204" s="10">
        <v>45665.135763888888</v>
      </c>
      <c r="J204" s="10">
        <v>45665.153622685182</v>
      </c>
      <c r="K204" s="10">
        <v>45665.153622685182</v>
      </c>
      <c r="L204" s="10">
        <v>45665.154247685183</v>
      </c>
      <c r="M204" s="11">
        <f t="shared" si="9"/>
        <v>1.5150462961173616E-2</v>
      </c>
      <c r="N204" s="11">
        <f t="shared" si="10"/>
        <v>2.3217592592118308E-2</v>
      </c>
      <c r="O204" s="10">
        <v>45665.134930555563</v>
      </c>
      <c r="P204" s="11">
        <f t="shared" si="11"/>
        <v>8.3333332440815866E-4</v>
      </c>
      <c r="Q204" s="12" t="s">
        <v>986</v>
      </c>
    </row>
    <row r="205" spans="1:17" ht="25.5" x14ac:dyDescent="0.25">
      <c r="A205" s="3" t="s">
        <v>987</v>
      </c>
      <c r="B205" s="3" t="s">
        <v>191</v>
      </c>
      <c r="C205" s="9">
        <v>31.48</v>
      </c>
      <c r="D205" s="3" t="s">
        <v>496</v>
      </c>
      <c r="E205" s="10">
        <v>45665.115879629629</v>
      </c>
      <c r="F205" s="10">
        <v>45665.131030092591</v>
      </c>
      <c r="G205" s="10">
        <v>45665.133090277777</v>
      </c>
      <c r="H205" s="3" t="s">
        <v>919</v>
      </c>
      <c r="I205" s="10">
        <v>45665.138842592591</v>
      </c>
      <c r="J205" s="10">
        <v>45665.158692129633</v>
      </c>
      <c r="K205" s="10">
        <v>45665.158692129633</v>
      </c>
      <c r="L205" s="10">
        <v>45665.159467592603</v>
      </c>
      <c r="M205" s="11">
        <f t="shared" si="9"/>
        <v>1.7210648147738539E-2</v>
      </c>
      <c r="N205" s="11">
        <f t="shared" si="10"/>
        <v>2.6377314825367648E-2</v>
      </c>
      <c r="O205" s="10">
        <v>45665.137013888889</v>
      </c>
      <c r="P205" s="11">
        <f t="shared" si="11"/>
        <v>1.8287037019035779E-3</v>
      </c>
      <c r="Q205" s="12" t="s">
        <v>988</v>
      </c>
    </row>
    <row r="206" spans="1:17" x14ac:dyDescent="0.25">
      <c r="A206" s="3" t="s">
        <v>989</v>
      </c>
      <c r="B206" s="3" t="s">
        <v>191</v>
      </c>
      <c r="C206" s="9">
        <v>166.9</v>
      </c>
      <c r="D206" s="3" t="s">
        <v>488</v>
      </c>
      <c r="E206" s="10">
        <v>45665.115879629629</v>
      </c>
      <c r="F206" s="10">
        <v>45665.133090277777</v>
      </c>
      <c r="G206" s="10">
        <v>45665.134710648148</v>
      </c>
      <c r="H206" s="3" t="s">
        <v>990</v>
      </c>
      <c r="I206" s="10">
        <v>45665.142141203702</v>
      </c>
      <c r="J206" s="10">
        <v>45665.171122685177</v>
      </c>
      <c r="K206" s="10">
        <v>45665.171122685177</v>
      </c>
      <c r="L206" s="10">
        <v>45665.171932870369</v>
      </c>
      <c r="M206" s="11">
        <f t="shared" si="9"/>
        <v>1.8831018518540077E-2</v>
      </c>
      <c r="N206" s="11">
        <f t="shared" si="10"/>
        <v>3.722222222131677E-2</v>
      </c>
      <c r="O206" s="10">
        <v>45665.137106481481</v>
      </c>
      <c r="P206" s="11">
        <f t="shared" si="11"/>
        <v>5.0347222204436548E-3</v>
      </c>
      <c r="Q206" s="12" t="s">
        <v>991</v>
      </c>
    </row>
    <row r="207" spans="1:17" ht="25.5" x14ac:dyDescent="0.25">
      <c r="A207" s="3" t="s">
        <v>992</v>
      </c>
      <c r="B207" s="3" t="s">
        <v>191</v>
      </c>
      <c r="C207" s="9">
        <v>51.38</v>
      </c>
      <c r="D207" s="3" t="s">
        <v>484</v>
      </c>
      <c r="E207" s="10">
        <v>45665.115879629629</v>
      </c>
      <c r="F207" s="10">
        <v>45665.134710648148</v>
      </c>
      <c r="G207" s="10">
        <v>45665.136550925927</v>
      </c>
      <c r="H207" s="3" t="s">
        <v>873</v>
      </c>
      <c r="I207" s="10">
        <v>45665.155300925922</v>
      </c>
      <c r="J207" s="10">
        <v>45665.179907407408</v>
      </c>
      <c r="K207" s="10">
        <v>45665.179907407408</v>
      </c>
      <c r="L207" s="10">
        <v>45665.180775462963</v>
      </c>
      <c r="M207" s="11">
        <f t="shared" si="9"/>
        <v>2.0671296297223307E-2</v>
      </c>
      <c r="N207" s="11">
        <f t="shared" si="10"/>
        <v>4.4224537035916001E-2</v>
      </c>
      <c r="O207" s="10">
        <v>45665.140451388892</v>
      </c>
      <c r="P207" s="11">
        <f t="shared" si="11"/>
        <v>1.4849537030386273E-2</v>
      </c>
      <c r="Q207" s="12" t="s">
        <v>993</v>
      </c>
    </row>
    <row r="208" spans="1:17" ht="25.5" x14ac:dyDescent="0.25">
      <c r="A208" s="3" t="s">
        <v>994</v>
      </c>
      <c r="B208" s="3" t="s">
        <v>191</v>
      </c>
      <c r="C208" s="9">
        <v>12.04</v>
      </c>
      <c r="D208" s="3" t="s">
        <v>492</v>
      </c>
      <c r="E208" s="10">
        <v>45665.115879629629</v>
      </c>
      <c r="F208" s="10">
        <v>45665.136550925927</v>
      </c>
      <c r="G208" s="10">
        <v>45665.137812499997</v>
      </c>
      <c r="H208" s="3" t="s">
        <v>995</v>
      </c>
      <c r="I208" s="10">
        <v>45665.263888888891</v>
      </c>
      <c r="J208" s="10">
        <v>45665.315451388888</v>
      </c>
      <c r="K208" s="10">
        <v>45665.315451388888</v>
      </c>
      <c r="L208" s="10">
        <v>45665.316574074073</v>
      </c>
      <c r="M208" s="11">
        <f t="shared" si="9"/>
        <v>2.1932870367891155E-2</v>
      </c>
      <c r="N208" s="11">
        <f t="shared" si="10"/>
        <v>0.17876157407590654</v>
      </c>
      <c r="O208" s="10">
        <v>45665.139976851853</v>
      </c>
      <c r="P208" s="11">
        <f t="shared" si="11"/>
        <v>0.12391203703737119</v>
      </c>
      <c r="Q208" s="12" t="s">
        <v>996</v>
      </c>
    </row>
    <row r="209" spans="1:17" ht="25.5" x14ac:dyDescent="0.25">
      <c r="A209" s="3" t="s">
        <v>997</v>
      </c>
      <c r="B209" s="3" t="s">
        <v>192</v>
      </c>
      <c r="C209" s="9">
        <v>514.29999999999995</v>
      </c>
      <c r="D209" s="3" t="s">
        <v>519</v>
      </c>
      <c r="E209" s="10">
        <v>45665.159560185188</v>
      </c>
      <c r="F209" s="10">
        <v>45665.167430555557</v>
      </c>
      <c r="G209" s="10">
        <v>45665.169965277782</v>
      </c>
      <c r="H209" s="3" t="s">
        <v>886</v>
      </c>
      <c r="I209" s="10">
        <v>45665.174733796302</v>
      </c>
      <c r="J209" s="10">
        <v>45665.277638888889</v>
      </c>
      <c r="K209" s="10">
        <v>45665.277638888889</v>
      </c>
      <c r="L209" s="10">
        <v>45665.279490740737</v>
      </c>
      <c r="M209" s="11">
        <f t="shared" si="9"/>
        <v>1.0405092594737653E-2</v>
      </c>
      <c r="N209" s="11">
        <f t="shared" si="10"/>
        <v>0.10952546295447974</v>
      </c>
      <c r="O209" s="10">
        <v>45665.173888888887</v>
      </c>
      <c r="P209" s="11">
        <f t="shared" si="11"/>
        <v>8.4490741573972628E-4</v>
      </c>
      <c r="Q209" s="12" t="s">
        <v>998</v>
      </c>
    </row>
    <row r="210" spans="1:17" x14ac:dyDescent="0.25">
      <c r="A210" s="3" t="s">
        <v>999</v>
      </c>
      <c r="B210" s="3" t="s">
        <v>193</v>
      </c>
      <c r="C210" s="9">
        <v>297</v>
      </c>
      <c r="D210" s="3" t="s">
        <v>500</v>
      </c>
      <c r="E210" s="10">
        <v>45665.253136574072</v>
      </c>
      <c r="F210" s="10">
        <v>45665.258923611109</v>
      </c>
      <c r="G210" s="10">
        <v>45665.260844907411</v>
      </c>
      <c r="H210" s="3" t="s">
        <v>995</v>
      </c>
      <c r="I210" s="10">
        <v>45665.263888888891</v>
      </c>
      <c r="J210" s="10">
        <v>45665.315451388888</v>
      </c>
      <c r="K210" s="10">
        <v>45665.315451388888</v>
      </c>
      <c r="L210" s="10">
        <v>45665.316574074073</v>
      </c>
      <c r="M210" s="11">
        <f t="shared" si="9"/>
        <v>7.708333338086959E-3</v>
      </c>
      <c r="N210" s="11">
        <f t="shared" si="10"/>
        <v>5.5729166662786156E-2</v>
      </c>
      <c r="O210" s="10">
        <v>45665.263020833343</v>
      </c>
      <c r="P210" s="11">
        <f t="shared" si="11"/>
        <v>8.6805554747115821E-4</v>
      </c>
      <c r="Q210" s="12" t="s">
        <v>1000</v>
      </c>
    </row>
    <row r="211" spans="1:17" ht="25.5" x14ac:dyDescent="0.25">
      <c r="A211" s="3" t="s">
        <v>1001</v>
      </c>
      <c r="B211" s="3" t="s">
        <v>194</v>
      </c>
      <c r="C211" s="9">
        <v>23.24</v>
      </c>
      <c r="D211" s="3" t="s">
        <v>506</v>
      </c>
      <c r="E211" s="10">
        <v>45665.305497685193</v>
      </c>
      <c r="F211" s="10">
        <v>45665.329502314817</v>
      </c>
      <c r="G211" s="10">
        <v>45665.331412037027</v>
      </c>
      <c r="H211" s="3" t="s">
        <v>1002</v>
      </c>
      <c r="I211" s="10">
        <v>45665.365798611107</v>
      </c>
      <c r="J211" s="10">
        <v>45665.387407407397</v>
      </c>
      <c r="K211" s="10">
        <v>45665.387407407397</v>
      </c>
      <c r="L211" s="10">
        <v>45665.388090277767</v>
      </c>
      <c r="M211" s="11">
        <f t="shared" si="9"/>
        <v>2.5914351834217086E-2</v>
      </c>
      <c r="N211" s="11">
        <f t="shared" si="10"/>
        <v>5.6678240740438923E-2</v>
      </c>
      <c r="O211" s="10">
        <v>45665.333807870367</v>
      </c>
      <c r="P211" s="11">
        <f t="shared" si="11"/>
        <v>3.199074073927477E-2</v>
      </c>
      <c r="Q211" s="12" t="s">
        <v>1003</v>
      </c>
    </row>
    <row r="212" spans="1:17" ht="25.5" x14ac:dyDescent="0.25">
      <c r="A212" s="3" t="s">
        <v>1004</v>
      </c>
      <c r="B212" s="3" t="s">
        <v>194</v>
      </c>
      <c r="C212" s="9">
        <v>19.899999999999999</v>
      </c>
      <c r="D212" s="3" t="s">
        <v>563</v>
      </c>
      <c r="E212" s="10">
        <v>45665.305497685193</v>
      </c>
      <c r="F212" s="10">
        <v>45665.331412037027</v>
      </c>
      <c r="G212" s="10">
        <v>45665.333344907413</v>
      </c>
      <c r="H212" s="3" t="s">
        <v>757</v>
      </c>
      <c r="I212" s="10">
        <v>45665.648368055547</v>
      </c>
      <c r="J212" s="10">
        <v>45665.672546296293</v>
      </c>
      <c r="K212" s="10">
        <v>45665.672546296293</v>
      </c>
      <c r="L212" s="10">
        <v>45665.673414351862</v>
      </c>
      <c r="M212" s="11">
        <f t="shared" si="9"/>
        <v>2.7847222219861578E-2</v>
      </c>
      <c r="N212" s="11">
        <f t="shared" si="10"/>
        <v>0.3400694444499095</v>
      </c>
      <c r="O212" s="10">
        <v>45665.337233796286</v>
      </c>
      <c r="P212" s="11">
        <f t="shared" si="11"/>
        <v>0.31113425926014315</v>
      </c>
      <c r="Q212" s="12" t="s">
        <v>1005</v>
      </c>
    </row>
    <row r="213" spans="1:17" ht="25.5" x14ac:dyDescent="0.25">
      <c r="A213" s="3" t="s">
        <v>1006</v>
      </c>
      <c r="B213" s="3" t="s">
        <v>194</v>
      </c>
      <c r="C213" s="9">
        <v>15.74</v>
      </c>
      <c r="D213" s="3" t="s">
        <v>496</v>
      </c>
      <c r="E213" s="10">
        <v>45665.305497685193</v>
      </c>
      <c r="F213" s="10">
        <v>45665.333344907413</v>
      </c>
      <c r="G213" s="10">
        <v>45665.335219907407</v>
      </c>
      <c r="H213" s="3" t="s">
        <v>1002</v>
      </c>
      <c r="I213" s="10">
        <v>45665.365798611107</v>
      </c>
      <c r="J213" s="10">
        <v>45665.387407407397</v>
      </c>
      <c r="K213" s="10">
        <v>45665.387407407397</v>
      </c>
      <c r="L213" s="10">
        <v>45665.388090277767</v>
      </c>
      <c r="M213" s="11">
        <f t="shared" si="9"/>
        <v>2.972222221433185E-2</v>
      </c>
      <c r="N213" s="11">
        <f t="shared" si="10"/>
        <v>5.2870370360324159E-2</v>
      </c>
      <c r="O213" s="10">
        <v>45665.339143518519</v>
      </c>
      <c r="P213" s="11">
        <f t="shared" si="11"/>
        <v>2.6655092588043772E-2</v>
      </c>
      <c r="Q213" s="12" t="s">
        <v>1007</v>
      </c>
    </row>
    <row r="214" spans="1:17" ht="38.25" x14ac:dyDescent="0.25">
      <c r="A214" s="3" t="s">
        <v>1008</v>
      </c>
      <c r="B214" s="3" t="s">
        <v>194</v>
      </c>
      <c r="C214" s="9">
        <v>60.8</v>
      </c>
      <c r="D214" s="3" t="s">
        <v>488</v>
      </c>
      <c r="E214" s="10">
        <v>45665.305497685193</v>
      </c>
      <c r="F214" s="10">
        <v>45665.335219907407</v>
      </c>
      <c r="G214" s="10">
        <v>45665.337326388893</v>
      </c>
      <c r="H214" s="3" t="s">
        <v>1009</v>
      </c>
      <c r="I214" s="10">
        <v>45666.134675925918</v>
      </c>
      <c r="J214" s="10">
        <v>45666.168877314813</v>
      </c>
      <c r="K214" s="10">
        <v>45666.168877314813</v>
      </c>
      <c r="L214" s="10">
        <v>45666.16983796296</v>
      </c>
      <c r="M214" s="11">
        <f t="shared" si="9"/>
        <v>3.1828703700739425E-2</v>
      </c>
      <c r="N214" s="11">
        <f t="shared" si="10"/>
        <v>0.83251157406630227</v>
      </c>
      <c r="O214" s="10">
        <v>45665.339722222219</v>
      </c>
      <c r="P214" s="11">
        <f t="shared" si="11"/>
        <v>0.79495370369841112</v>
      </c>
      <c r="Q214" s="12" t="s">
        <v>1010</v>
      </c>
    </row>
    <row r="215" spans="1:17" ht="38.25" x14ac:dyDescent="0.25">
      <c r="A215" s="3" t="s">
        <v>1011</v>
      </c>
      <c r="B215" s="3" t="s">
        <v>194</v>
      </c>
      <c r="C215" s="9">
        <v>19.899999999999999</v>
      </c>
      <c r="D215" s="3" t="s">
        <v>539</v>
      </c>
      <c r="E215" s="10">
        <v>45665.305497685193</v>
      </c>
      <c r="F215" s="10">
        <v>45665.337326388893</v>
      </c>
      <c r="G215" s="10">
        <v>45665.339039351849</v>
      </c>
      <c r="H215" s="3" t="s">
        <v>1012</v>
      </c>
      <c r="I215" s="10">
        <v>45666.332303240742</v>
      </c>
      <c r="J215" s="10">
        <v>45666.353032407409</v>
      </c>
      <c r="K215" s="10">
        <v>45666.353032407409</v>
      </c>
      <c r="L215" s="10">
        <v>45666.353900462957</v>
      </c>
      <c r="M215" s="11">
        <f t="shared" si="9"/>
        <v>3.3541666656674352E-2</v>
      </c>
      <c r="N215" s="11">
        <f t="shared" si="10"/>
        <v>1.0148611111071659</v>
      </c>
      <c r="O215" s="10">
        <v>45665.341400462959</v>
      </c>
      <c r="P215" s="11">
        <f t="shared" si="11"/>
        <v>0.9909027777830488</v>
      </c>
      <c r="Q215" s="12" t="s">
        <v>1013</v>
      </c>
    </row>
    <row r="216" spans="1:17" ht="25.5" x14ac:dyDescent="0.25">
      <c r="A216" s="3" t="s">
        <v>1014</v>
      </c>
      <c r="B216" s="3" t="s">
        <v>194</v>
      </c>
      <c r="C216" s="9">
        <v>12.04</v>
      </c>
      <c r="D216" s="3" t="s">
        <v>492</v>
      </c>
      <c r="E216" s="10">
        <v>45665.305497685193</v>
      </c>
      <c r="F216" s="10">
        <v>45665.339039351849</v>
      </c>
      <c r="G216" s="10">
        <v>45665.340277777781</v>
      </c>
      <c r="H216" s="3" t="s">
        <v>1015</v>
      </c>
      <c r="I216" s="10">
        <v>45665.369085648148</v>
      </c>
      <c r="J216" s="10">
        <v>45665.438842592594</v>
      </c>
      <c r="K216" s="10">
        <v>45665.438842592594</v>
      </c>
      <c r="L216" s="10">
        <v>45665.440208333333</v>
      </c>
      <c r="M216" s="11">
        <f t="shared" si="9"/>
        <v>3.478009258833481E-2</v>
      </c>
      <c r="N216" s="11">
        <f t="shared" si="10"/>
        <v>9.9930555552418809E-2</v>
      </c>
      <c r="O216" s="10">
        <v>45665.342673611107</v>
      </c>
      <c r="P216" s="11">
        <f t="shared" si="11"/>
        <v>2.641203704115469E-2</v>
      </c>
      <c r="Q216" s="12" t="s">
        <v>1016</v>
      </c>
    </row>
    <row r="217" spans="1:17" ht="25.5" x14ac:dyDescent="0.25">
      <c r="A217" s="3" t="s">
        <v>1017</v>
      </c>
      <c r="B217" s="3" t="s">
        <v>194</v>
      </c>
      <c r="C217" s="9">
        <v>51.38</v>
      </c>
      <c r="D217" s="3" t="s">
        <v>515</v>
      </c>
      <c r="E217" s="10">
        <v>45665.305497685193</v>
      </c>
      <c r="F217" s="10">
        <v>45665.340277777781</v>
      </c>
      <c r="G217" s="10">
        <v>45665.341493055559</v>
      </c>
      <c r="H217" s="3" t="s">
        <v>924</v>
      </c>
      <c r="I217" s="10">
        <v>45665.346284722233</v>
      </c>
      <c r="J217" s="10">
        <v>45665.36886574074</v>
      </c>
      <c r="K217" s="10">
        <v>45665.36886574074</v>
      </c>
      <c r="L217" s="10">
        <v>45665.369629629633</v>
      </c>
      <c r="M217" s="11">
        <f t="shared" si="9"/>
        <v>3.5995370366435964E-2</v>
      </c>
      <c r="N217" s="11">
        <f t="shared" si="10"/>
        <v>2.8136574073869269E-2</v>
      </c>
      <c r="O217" s="10">
        <v>45665.345416666663</v>
      </c>
      <c r="P217" s="11">
        <f t="shared" si="11"/>
        <v>8.6805556929903105E-4</v>
      </c>
      <c r="Q217" s="12" t="s">
        <v>1018</v>
      </c>
    </row>
    <row r="218" spans="1:17" ht="38.25" x14ac:dyDescent="0.25">
      <c r="A218" s="3" t="s">
        <v>1019</v>
      </c>
      <c r="B218" s="3" t="s">
        <v>194</v>
      </c>
      <c r="C218" s="9">
        <v>15.74</v>
      </c>
      <c r="D218" s="3" t="s">
        <v>484</v>
      </c>
      <c r="E218" s="10">
        <v>45665.305497685193</v>
      </c>
      <c r="F218" s="10">
        <v>45665.341493055559</v>
      </c>
      <c r="G218" s="10">
        <v>45665.343217592592</v>
      </c>
      <c r="H218" s="3" t="s">
        <v>1020</v>
      </c>
      <c r="I218" s="10">
        <v>45667.13653935185</v>
      </c>
      <c r="J218" s="10">
        <v>45667.159131944441</v>
      </c>
      <c r="K218" s="10">
        <v>45667.159131944441</v>
      </c>
      <c r="L218" s="10">
        <v>45667.15997685185</v>
      </c>
      <c r="M218" s="11">
        <f t="shared" si="9"/>
        <v>3.7719907399150543E-2</v>
      </c>
      <c r="N218" s="11">
        <f t="shared" si="10"/>
        <v>1.8167592592581059</v>
      </c>
      <c r="O218" s="10">
        <v>45665.345578703702</v>
      </c>
      <c r="P218" s="11">
        <f t="shared" si="11"/>
        <v>1.7909606481480296</v>
      </c>
      <c r="Q218" s="12" t="s">
        <v>1021</v>
      </c>
    </row>
    <row r="219" spans="1:17" x14ac:dyDescent="0.25">
      <c r="A219" s="3" t="s">
        <v>1022</v>
      </c>
      <c r="B219" s="3" t="s">
        <v>194</v>
      </c>
      <c r="C219" s="9">
        <v>108</v>
      </c>
      <c r="D219" s="3" t="s">
        <v>527</v>
      </c>
      <c r="E219" s="10">
        <v>45665.305497685193</v>
      </c>
      <c r="F219" s="10">
        <v>45665.343217592592</v>
      </c>
      <c r="G219" s="10">
        <v>45665.345347222217</v>
      </c>
      <c r="H219" s="3" t="s">
        <v>1023</v>
      </c>
      <c r="I219" s="10">
        <v>45665.348599537043</v>
      </c>
      <c r="J219" s="10">
        <v>45665.367349537039</v>
      </c>
      <c r="K219" s="10">
        <v>45665.367349537039</v>
      </c>
      <c r="L219" s="10">
        <v>45665.368136574078</v>
      </c>
      <c r="M219" s="11">
        <f t="shared" si="9"/>
        <v>3.9849537024565507E-2</v>
      </c>
      <c r="N219" s="11">
        <f t="shared" si="10"/>
        <v>2.2789351860410534E-2</v>
      </c>
      <c r="O219" s="10">
        <v>45665.347731481481</v>
      </c>
      <c r="P219" s="11">
        <f t="shared" si="11"/>
        <v>8.6805556202307343E-4</v>
      </c>
      <c r="Q219" s="12" t="s">
        <v>1024</v>
      </c>
    </row>
    <row r="220" spans="1:17" ht="38.25" x14ac:dyDescent="0.25">
      <c r="A220" s="3" t="s">
        <v>1025</v>
      </c>
      <c r="B220" s="3" t="s">
        <v>194</v>
      </c>
      <c r="C220" s="9">
        <v>15.74</v>
      </c>
      <c r="D220" s="3" t="s">
        <v>523</v>
      </c>
      <c r="E220" s="10">
        <v>45665.305497685193</v>
      </c>
      <c r="F220" s="10">
        <v>45665.345347222217</v>
      </c>
      <c r="G220" s="10">
        <v>45665.347349537027</v>
      </c>
      <c r="H220" s="3" t="s">
        <v>1009</v>
      </c>
      <c r="I220" s="10">
        <v>45666.134675925918</v>
      </c>
      <c r="J220" s="10">
        <v>45666.168877314813</v>
      </c>
      <c r="K220" s="10">
        <v>45666.168877314813</v>
      </c>
      <c r="L220" s="10">
        <v>45666.16983796296</v>
      </c>
      <c r="M220" s="11">
        <f t="shared" si="9"/>
        <v>4.1851851834508125E-2</v>
      </c>
      <c r="N220" s="11">
        <f t="shared" si="10"/>
        <v>0.82248842593253357</v>
      </c>
      <c r="O220" s="10">
        <v>45665.351238425923</v>
      </c>
      <c r="P220" s="11">
        <f t="shared" si="11"/>
        <v>0.78343749999476131</v>
      </c>
      <c r="Q220" s="12" t="s">
        <v>1026</v>
      </c>
    </row>
    <row r="221" spans="1:17" ht="25.5" x14ac:dyDescent="0.25">
      <c r="A221" s="3" t="s">
        <v>1027</v>
      </c>
      <c r="B221" s="3" t="s">
        <v>194</v>
      </c>
      <c r="C221" s="9">
        <v>94.44</v>
      </c>
      <c r="D221" s="3" t="s">
        <v>533</v>
      </c>
      <c r="E221" s="10">
        <v>45665.305497685193</v>
      </c>
      <c r="F221" s="10">
        <v>45665.347349537027</v>
      </c>
      <c r="G221" s="10">
        <v>45665.348668981482</v>
      </c>
      <c r="H221" s="3" t="s">
        <v>1028</v>
      </c>
      <c r="I221" s="10">
        <v>45665.389108796298</v>
      </c>
      <c r="J221" s="10">
        <v>45665.409039351849</v>
      </c>
      <c r="K221" s="10">
        <v>45665.409039351849</v>
      </c>
      <c r="L221" s="10">
        <v>45665.409768518519</v>
      </c>
      <c r="M221" s="11">
        <f t="shared" si="9"/>
        <v>4.3171296289074235E-2</v>
      </c>
      <c r="N221" s="11">
        <f t="shared" si="10"/>
        <v>6.1099537037080154E-2</v>
      </c>
      <c r="O221" s="10">
        <v>45665.351041666669</v>
      </c>
      <c r="P221" s="11">
        <f t="shared" si="11"/>
        <v>3.8067129629780538E-2</v>
      </c>
      <c r="Q221" s="12" t="s">
        <v>1029</v>
      </c>
    </row>
    <row r="222" spans="1:17" ht="25.5" x14ac:dyDescent="0.25">
      <c r="A222" s="3" t="s">
        <v>1030</v>
      </c>
      <c r="B222" s="3" t="s">
        <v>194</v>
      </c>
      <c r="C222" s="9">
        <v>85.46</v>
      </c>
      <c r="D222" s="3" t="s">
        <v>506</v>
      </c>
      <c r="E222" s="10">
        <v>45665.305497685193</v>
      </c>
      <c r="F222" s="10">
        <v>45665.348668981482</v>
      </c>
      <c r="G222" s="10">
        <v>45665.350706018522</v>
      </c>
      <c r="H222" s="3" t="s">
        <v>1002</v>
      </c>
      <c r="I222" s="10">
        <v>45665.365798611107</v>
      </c>
      <c r="J222" s="10">
        <v>45665.387407407397</v>
      </c>
      <c r="K222" s="10">
        <v>45665.387407407397</v>
      </c>
      <c r="L222" s="10">
        <v>45665.388090277767</v>
      </c>
      <c r="M222" s="11">
        <f t="shared" si="9"/>
        <v>4.520833332935581E-2</v>
      </c>
      <c r="N222" s="11">
        <f t="shared" si="10"/>
        <v>3.73842592453002E-2</v>
      </c>
      <c r="O222" s="10">
        <v>45665.355787037042</v>
      </c>
      <c r="P222" s="11">
        <f t="shared" si="11"/>
        <v>1.0011574064265005E-2</v>
      </c>
      <c r="Q222" s="12" t="s">
        <v>1031</v>
      </c>
    </row>
    <row r="223" spans="1:17" ht="51" x14ac:dyDescent="0.25">
      <c r="A223" s="3" t="s">
        <v>1032</v>
      </c>
      <c r="B223" s="3" t="s">
        <v>194</v>
      </c>
      <c r="C223" s="9">
        <v>15.74</v>
      </c>
      <c r="D223" s="3" t="s">
        <v>1033</v>
      </c>
      <c r="E223" s="10">
        <v>45665.305497685193</v>
      </c>
      <c r="F223" s="10">
        <v>45665.350706018522</v>
      </c>
      <c r="G223" s="10">
        <v>45665.35229166667</v>
      </c>
      <c r="H223" s="3" t="s">
        <v>1034</v>
      </c>
      <c r="I223" s="10">
        <v>45666.798148148147</v>
      </c>
      <c r="J223" s="10">
        <v>45666.815844907411</v>
      </c>
      <c r="K223" s="10">
        <v>45666.815844907411</v>
      </c>
      <c r="L223" s="10">
        <v>45666.816678240742</v>
      </c>
      <c r="M223" s="11">
        <f t="shared" si="9"/>
        <v>4.6793981477094349E-2</v>
      </c>
      <c r="N223" s="11">
        <f t="shared" si="10"/>
        <v>1.4643865740727051</v>
      </c>
      <c r="O223" s="10">
        <v>45665.354664351849</v>
      </c>
      <c r="P223" s="11">
        <f t="shared" si="11"/>
        <v>1.4434837962980964</v>
      </c>
      <c r="Q223" s="12" t="s">
        <v>1035</v>
      </c>
    </row>
    <row r="224" spans="1:17" ht="38.25" x14ac:dyDescent="0.25">
      <c r="A224" s="3" t="s">
        <v>1036</v>
      </c>
      <c r="B224" s="3" t="s">
        <v>194</v>
      </c>
      <c r="C224" s="9">
        <v>19.899999999999999</v>
      </c>
      <c r="D224" s="3" t="s">
        <v>539</v>
      </c>
      <c r="E224" s="10">
        <v>45665.305497685193</v>
      </c>
      <c r="F224" s="10">
        <v>45665.35229166667</v>
      </c>
      <c r="G224" s="10">
        <v>45665.354004629633</v>
      </c>
      <c r="H224" s="3" t="s">
        <v>1012</v>
      </c>
      <c r="I224" s="10">
        <v>45666.332303240742</v>
      </c>
      <c r="J224" s="10">
        <v>45666.353032407409</v>
      </c>
      <c r="K224" s="10">
        <v>45666.353032407409</v>
      </c>
      <c r="L224" s="10">
        <v>45666.353900462957</v>
      </c>
      <c r="M224" s="11">
        <f t="shared" si="9"/>
        <v>4.8506944440305233E-2</v>
      </c>
      <c r="N224" s="11">
        <f t="shared" si="10"/>
        <v>0.99989583332353504</v>
      </c>
      <c r="O224" s="10">
        <v>45665.359386574077</v>
      </c>
      <c r="P224" s="11">
        <f t="shared" si="11"/>
        <v>0.97291666666569654</v>
      </c>
      <c r="Q224" s="12" t="s">
        <v>1037</v>
      </c>
    </row>
    <row r="225" spans="1:17" ht="38.25" x14ac:dyDescent="0.25">
      <c r="A225" s="3" t="s">
        <v>1038</v>
      </c>
      <c r="B225" s="3" t="s">
        <v>194</v>
      </c>
      <c r="C225" s="9">
        <v>14</v>
      </c>
      <c r="D225" s="3" t="s">
        <v>595</v>
      </c>
      <c r="E225" s="10">
        <v>45665.305497685193</v>
      </c>
      <c r="F225" s="10">
        <v>45665.354004629633</v>
      </c>
      <c r="G225" s="10">
        <v>45665.355462962973</v>
      </c>
      <c r="H225" s="3" t="s">
        <v>596</v>
      </c>
      <c r="I225" s="10">
        <v>45666.32508101852</v>
      </c>
      <c r="J225" s="10">
        <v>45666.39607638889</v>
      </c>
      <c r="K225" s="10">
        <v>45666.39607638889</v>
      </c>
      <c r="L225" s="10">
        <v>45666.397569444453</v>
      </c>
      <c r="M225" s="11">
        <f t="shared" si="9"/>
        <v>4.9965277779847383E-2</v>
      </c>
      <c r="N225" s="11">
        <f t="shared" si="10"/>
        <v>1.0421064814800047</v>
      </c>
      <c r="O225" s="10">
        <v>45665.360543981478</v>
      </c>
      <c r="P225" s="11">
        <f t="shared" si="11"/>
        <v>0.96453703704173677</v>
      </c>
      <c r="Q225" s="12" t="s">
        <v>1039</v>
      </c>
    </row>
    <row r="226" spans="1:17" x14ac:dyDescent="0.25">
      <c r="A226" s="3" t="s">
        <v>1040</v>
      </c>
      <c r="B226" s="3" t="s">
        <v>195</v>
      </c>
      <c r="C226" s="9">
        <v>156.74</v>
      </c>
      <c r="D226" s="3" t="s">
        <v>500</v>
      </c>
      <c r="E226" s="10">
        <v>45665.307638888888</v>
      </c>
      <c r="F226" s="10">
        <v>45665.312407407408</v>
      </c>
      <c r="G226" s="10">
        <v>45665.314131944448</v>
      </c>
      <c r="H226" s="3" t="s">
        <v>1041</v>
      </c>
      <c r="I226" s="10">
        <v>45665.317129629628</v>
      </c>
      <c r="J226" s="10">
        <v>45665.344340277778</v>
      </c>
      <c r="K226" s="10">
        <v>45665.344340277778</v>
      </c>
      <c r="L226" s="10">
        <v>45665.345196759263</v>
      </c>
      <c r="M226" s="11">
        <f t="shared" si="9"/>
        <v>6.4930555599858053E-3</v>
      </c>
      <c r="N226" s="11">
        <f t="shared" si="10"/>
        <v>3.1064814815181307E-2</v>
      </c>
      <c r="O226" s="10">
        <v>45665.316284722219</v>
      </c>
      <c r="P226" s="11">
        <f t="shared" si="11"/>
        <v>8.4490740846376866E-4</v>
      </c>
      <c r="Q226" s="12" t="s">
        <v>1042</v>
      </c>
    </row>
    <row r="227" spans="1:17" ht="25.5" x14ac:dyDescent="0.25">
      <c r="A227" s="3" t="s">
        <v>1043</v>
      </c>
      <c r="B227" s="3" t="s">
        <v>196</v>
      </c>
      <c r="C227" s="9">
        <v>389.80000000000013</v>
      </c>
      <c r="D227" s="3" t="s">
        <v>500</v>
      </c>
      <c r="E227" s="10">
        <v>45665.336840277778</v>
      </c>
      <c r="F227" s="10">
        <v>45665.35633101852</v>
      </c>
      <c r="G227" s="10">
        <v>45665.358483796299</v>
      </c>
      <c r="H227" s="3" t="s">
        <v>1015</v>
      </c>
      <c r="I227" s="10">
        <v>45665.369085648148</v>
      </c>
      <c r="J227" s="10">
        <v>45665.438842592594</v>
      </c>
      <c r="K227" s="10">
        <v>45665.438842592594</v>
      </c>
      <c r="L227" s="10">
        <v>45665.440208333333</v>
      </c>
      <c r="M227" s="11">
        <f t="shared" si="9"/>
        <v>2.1643518521159422E-2</v>
      </c>
      <c r="N227" s="11">
        <f t="shared" si="10"/>
        <v>8.1724537034460809E-2</v>
      </c>
      <c r="O227" s="10">
        <v>45665.364120370366</v>
      </c>
      <c r="P227" s="11">
        <f t="shared" si="11"/>
        <v>4.9652777815936133E-3</v>
      </c>
      <c r="Q227" s="12" t="s">
        <v>1044</v>
      </c>
    </row>
    <row r="228" spans="1:17" x14ac:dyDescent="0.25">
      <c r="A228" s="3" t="s">
        <v>1045</v>
      </c>
      <c r="B228" s="3" t="s">
        <v>197</v>
      </c>
      <c r="C228" s="9">
        <v>114.8</v>
      </c>
      <c r="D228" s="3" t="s">
        <v>500</v>
      </c>
      <c r="E228" s="10">
        <v>45665.376284722217</v>
      </c>
      <c r="F228" s="10">
        <v>45665.383125</v>
      </c>
      <c r="G228" s="10">
        <v>45665.384513888886</v>
      </c>
      <c r="H228" s="3" t="s">
        <v>1028</v>
      </c>
      <c r="I228" s="10">
        <v>45665.389108796298</v>
      </c>
      <c r="J228" s="10">
        <v>45665.409039351849</v>
      </c>
      <c r="K228" s="10">
        <v>45665.409039351849</v>
      </c>
      <c r="L228" s="10">
        <v>45665.409768518519</v>
      </c>
      <c r="M228" s="11">
        <f t="shared" si="9"/>
        <v>8.2291666694800369E-3</v>
      </c>
      <c r="N228" s="11">
        <f t="shared" si="10"/>
        <v>2.5254629632399883E-2</v>
      </c>
      <c r="O228" s="10">
        <v>45665.38690972222</v>
      </c>
      <c r="P228" s="11">
        <f t="shared" si="11"/>
        <v>2.1990740788169205E-3</v>
      </c>
      <c r="Q228" s="12" t="s">
        <v>1046</v>
      </c>
    </row>
    <row r="229" spans="1:17" x14ac:dyDescent="0.25">
      <c r="A229" s="3" t="s">
        <v>1047</v>
      </c>
      <c r="B229" s="3" t="s">
        <v>197</v>
      </c>
      <c r="C229" s="9">
        <v>120.4</v>
      </c>
      <c r="D229" s="3" t="s">
        <v>572</v>
      </c>
      <c r="E229" s="10">
        <v>45665.376284722217</v>
      </c>
      <c r="F229" s="10">
        <v>45665.384513888886</v>
      </c>
      <c r="G229" s="10">
        <v>45665.386712962973</v>
      </c>
      <c r="H229" s="3" t="s">
        <v>1048</v>
      </c>
      <c r="I229" s="10">
        <v>45665.390520833331</v>
      </c>
      <c r="J229" s="10">
        <v>45665.411423611113</v>
      </c>
      <c r="K229" s="10">
        <v>45665.411423611113</v>
      </c>
      <c r="L229" s="10">
        <v>45665.412256944437</v>
      </c>
      <c r="M229" s="11">
        <f t="shared" si="9"/>
        <v>1.0428240755572915E-2</v>
      </c>
      <c r="N229" s="11">
        <f t="shared" si="10"/>
        <v>2.5543981464579701E-2</v>
      </c>
      <c r="O229" s="10">
        <v>45665.388888888891</v>
      </c>
      <c r="P229" s="11">
        <f t="shared" si="11"/>
        <v>1.631944440305233E-3</v>
      </c>
      <c r="Q229" s="12" t="s">
        <v>1049</v>
      </c>
    </row>
    <row r="230" spans="1:17" x14ac:dyDescent="0.25">
      <c r="A230" s="3" t="s">
        <v>1050</v>
      </c>
      <c r="B230" s="3" t="s">
        <v>198</v>
      </c>
      <c r="C230" s="9">
        <v>124.9</v>
      </c>
      <c r="D230" s="3" t="s">
        <v>500</v>
      </c>
      <c r="E230" s="10">
        <v>45665.428622685176</v>
      </c>
      <c r="F230" s="10">
        <v>45665.437858796293</v>
      </c>
      <c r="G230" s="10">
        <v>45665.439282407409</v>
      </c>
      <c r="H230" s="3" t="s">
        <v>1051</v>
      </c>
      <c r="I230" s="10">
        <v>45665.442523148151</v>
      </c>
      <c r="J230" s="10">
        <v>45665.464201388888</v>
      </c>
      <c r="K230" s="10">
        <v>45665.464201388888</v>
      </c>
      <c r="L230" s="10">
        <v>45665.464953703697</v>
      </c>
      <c r="M230" s="11">
        <f t="shared" si="9"/>
        <v>1.0659722232958302E-2</v>
      </c>
      <c r="N230" s="11">
        <f t="shared" si="10"/>
        <v>2.5671296287328005E-2</v>
      </c>
      <c r="O230" s="10">
        <v>45665.441655092603</v>
      </c>
      <c r="P230" s="11">
        <f t="shared" si="11"/>
        <v>8.6805554747115821E-4</v>
      </c>
      <c r="Q230" s="12" t="s">
        <v>1052</v>
      </c>
    </row>
    <row r="231" spans="1:17" ht="25.5" x14ac:dyDescent="0.25">
      <c r="A231" s="3" t="s">
        <v>1053</v>
      </c>
      <c r="B231" s="3" t="s">
        <v>198</v>
      </c>
      <c r="C231" s="9">
        <v>21</v>
      </c>
      <c r="D231" s="3" t="s">
        <v>572</v>
      </c>
      <c r="E231" s="10">
        <v>45665.428622685176</v>
      </c>
      <c r="F231" s="10">
        <v>45665.439282407409</v>
      </c>
      <c r="G231" s="10">
        <v>45665.441203703696</v>
      </c>
      <c r="H231" s="3" t="s">
        <v>1054</v>
      </c>
      <c r="I231" s="10">
        <v>45666.39775462963</v>
      </c>
      <c r="J231" s="10">
        <v>45666.443726851852</v>
      </c>
      <c r="K231" s="10">
        <v>45666.443726851852</v>
      </c>
      <c r="L231" s="10">
        <v>45666.444733796299</v>
      </c>
      <c r="M231" s="11">
        <f t="shared" si="9"/>
        <v>1.2581018519995268E-2</v>
      </c>
      <c r="N231" s="11">
        <f t="shared" si="10"/>
        <v>1.0035300926028867</v>
      </c>
      <c r="O231" s="10">
        <v>45665.443368055552</v>
      </c>
      <c r="P231" s="11">
        <f t="shared" si="11"/>
        <v>0.95438657407794381</v>
      </c>
      <c r="Q231" s="12" t="s">
        <v>1055</v>
      </c>
    </row>
    <row r="232" spans="1:17" x14ac:dyDescent="0.25">
      <c r="A232" s="3" t="s">
        <v>1056</v>
      </c>
      <c r="B232" s="3" t="s">
        <v>198</v>
      </c>
      <c r="C232" s="9">
        <v>297.26</v>
      </c>
      <c r="D232" s="3" t="s">
        <v>500</v>
      </c>
      <c r="E232" s="10">
        <v>45665.428622685176</v>
      </c>
      <c r="F232" s="10">
        <v>45665.441203703696</v>
      </c>
      <c r="G232" s="10">
        <v>45665.443124999998</v>
      </c>
      <c r="H232" s="3" t="s">
        <v>1057</v>
      </c>
      <c r="I232" s="10">
        <v>45665.446296296293</v>
      </c>
      <c r="J232" s="10">
        <v>45665.49790509259</v>
      </c>
      <c r="K232" s="10">
        <v>45665.49790509259</v>
      </c>
      <c r="L232" s="10">
        <v>45665.499016203707</v>
      </c>
      <c r="M232" s="11">
        <f t="shared" si="9"/>
        <v>1.450231482158415E-2</v>
      </c>
      <c r="N232" s="11">
        <f t="shared" si="10"/>
        <v>5.5891203708597459E-2</v>
      </c>
      <c r="O232" s="10">
        <v>45665.445509259262</v>
      </c>
      <c r="P232" s="11">
        <f t="shared" si="11"/>
        <v>7.8703703184146434E-4</v>
      </c>
      <c r="Q232" s="12" t="s">
        <v>1058</v>
      </c>
    </row>
    <row r="233" spans="1:17" x14ac:dyDescent="0.25">
      <c r="A233" s="3" t="s">
        <v>1059</v>
      </c>
      <c r="B233" s="3" t="s">
        <v>199</v>
      </c>
      <c r="C233" s="9">
        <v>296.8</v>
      </c>
      <c r="D233" s="3" t="s">
        <v>500</v>
      </c>
      <c r="E233" s="10">
        <v>45665.534467592603</v>
      </c>
      <c r="F233" s="10">
        <v>45665.540682870371</v>
      </c>
      <c r="G233" s="10">
        <v>45665.542500000003</v>
      </c>
      <c r="H233" s="3" t="s">
        <v>1060</v>
      </c>
      <c r="I233" s="10">
        <v>45665.545543981483</v>
      </c>
      <c r="J233" s="10">
        <v>45665.597071759257</v>
      </c>
      <c r="K233" s="10">
        <v>45665.597071759257</v>
      </c>
      <c r="L233" s="10">
        <v>45665.598229166673</v>
      </c>
      <c r="M233" s="11">
        <f t="shared" si="9"/>
        <v>8.0324074006057344E-3</v>
      </c>
      <c r="N233" s="11">
        <f t="shared" si="10"/>
        <v>5.5729166670062114E-2</v>
      </c>
      <c r="O233" s="10">
        <v>45665.544675925928</v>
      </c>
      <c r="P233" s="11">
        <f t="shared" si="11"/>
        <v>8.6805555474711582E-4</v>
      </c>
      <c r="Q233" s="12" t="s">
        <v>1061</v>
      </c>
    </row>
    <row r="234" spans="1:17" x14ac:dyDescent="0.25">
      <c r="A234" s="3" t="s">
        <v>1062</v>
      </c>
      <c r="B234" s="3" t="s">
        <v>200</v>
      </c>
      <c r="C234" s="9">
        <v>365.82000000000011</v>
      </c>
      <c r="D234" s="3" t="s">
        <v>500</v>
      </c>
      <c r="E234" s="10">
        <v>45665.604131944441</v>
      </c>
      <c r="F234" s="10">
        <v>45665.610671296286</v>
      </c>
      <c r="G234" s="10">
        <v>45665.612638888888</v>
      </c>
      <c r="H234" s="3" t="s">
        <v>1063</v>
      </c>
      <c r="I234" s="10">
        <v>45665.61582175926</v>
      </c>
      <c r="J234" s="10">
        <v>45665.679340277777</v>
      </c>
      <c r="K234" s="10">
        <v>45665.679340277777</v>
      </c>
      <c r="L234" s="10">
        <v>45665.680648148147</v>
      </c>
      <c r="M234" s="11">
        <f t="shared" si="9"/>
        <v>8.5069444467080757E-3</v>
      </c>
      <c r="N234" s="11">
        <f t="shared" si="10"/>
        <v>6.8009259259270038E-2</v>
      </c>
      <c r="O234" s="10">
        <v>45665.615034722221</v>
      </c>
      <c r="P234" s="11">
        <f t="shared" si="11"/>
        <v>7.8703703911742195E-4</v>
      </c>
      <c r="Q234" s="12" t="s">
        <v>1064</v>
      </c>
    </row>
    <row r="235" spans="1:17" ht="25.5" x14ac:dyDescent="0.25">
      <c r="A235" s="3" t="s">
        <v>1065</v>
      </c>
      <c r="B235" s="3" t="s">
        <v>201</v>
      </c>
      <c r="C235" s="9">
        <v>39.799999999999997</v>
      </c>
      <c r="D235" s="3" t="s">
        <v>563</v>
      </c>
      <c r="E235" s="10">
        <v>45665.62295138889</v>
      </c>
      <c r="F235" s="10">
        <v>45665.640694444453</v>
      </c>
      <c r="G235" s="10">
        <v>45665.642708333333</v>
      </c>
      <c r="H235" s="3" t="s">
        <v>757</v>
      </c>
      <c r="I235" s="10">
        <v>45665.648368055547</v>
      </c>
      <c r="J235" s="10">
        <v>45665.672546296293</v>
      </c>
      <c r="K235" s="10">
        <v>45665.672546296293</v>
      </c>
      <c r="L235" s="10">
        <v>45665.673414351862</v>
      </c>
      <c r="M235" s="11">
        <f t="shared" si="9"/>
        <v>1.9756944442633539E-2</v>
      </c>
      <c r="N235" s="11">
        <f t="shared" si="10"/>
        <v>3.0706018529599532E-2</v>
      </c>
      <c r="O235" s="10">
        <v>45665.646631944437</v>
      </c>
      <c r="P235" s="11">
        <f t="shared" si="11"/>
        <v>1.7361111094942316E-3</v>
      </c>
      <c r="Q235" s="12" t="s">
        <v>1066</v>
      </c>
    </row>
    <row r="236" spans="1:17" ht="38.25" x14ac:dyDescent="0.25">
      <c r="A236" s="3" t="s">
        <v>1067</v>
      </c>
      <c r="B236" s="3" t="s">
        <v>201</v>
      </c>
      <c r="C236" s="9">
        <v>15.74</v>
      </c>
      <c r="D236" s="3" t="s">
        <v>1033</v>
      </c>
      <c r="E236" s="10">
        <v>45665.62295138889</v>
      </c>
      <c r="F236" s="10">
        <v>45665.642708333333</v>
      </c>
      <c r="G236" s="10">
        <v>45665.644317129627</v>
      </c>
      <c r="H236" s="3" t="s">
        <v>1034</v>
      </c>
      <c r="I236" s="10">
        <v>45666.798148148147</v>
      </c>
      <c r="J236" s="10">
        <v>45666.815844907411</v>
      </c>
      <c r="K236" s="10">
        <v>45666.815844907411</v>
      </c>
      <c r="L236" s="10">
        <v>45666.816678240742</v>
      </c>
      <c r="M236" s="11">
        <f t="shared" si="9"/>
        <v>2.1365740736655425E-2</v>
      </c>
      <c r="N236" s="11">
        <f t="shared" si="10"/>
        <v>1.172361111115606</v>
      </c>
      <c r="O236" s="10">
        <v>45665.648206018523</v>
      </c>
      <c r="P236" s="11">
        <f t="shared" si="11"/>
        <v>1.1499421296248329</v>
      </c>
      <c r="Q236" s="12" t="s">
        <v>1068</v>
      </c>
    </row>
    <row r="237" spans="1:17" ht="38.25" x14ac:dyDescent="0.25">
      <c r="A237" s="3" t="s">
        <v>1069</v>
      </c>
      <c r="B237" s="3" t="s">
        <v>201</v>
      </c>
      <c r="C237" s="9">
        <v>27</v>
      </c>
      <c r="D237" s="3" t="s">
        <v>527</v>
      </c>
      <c r="E237" s="10">
        <v>45665.62295138889</v>
      </c>
      <c r="F237" s="10">
        <v>45665.644317129627</v>
      </c>
      <c r="G237" s="10">
        <v>45665.645624999997</v>
      </c>
      <c r="H237" s="3" t="s">
        <v>1070</v>
      </c>
      <c r="I237" s="10">
        <v>45666.130624999998</v>
      </c>
      <c r="J237" s="10">
        <v>45666.149733796286</v>
      </c>
      <c r="K237" s="10">
        <v>45666.149733796286</v>
      </c>
      <c r="L237" s="10">
        <v>45666.150416666656</v>
      </c>
      <c r="M237" s="11">
        <f t="shared" si="9"/>
        <v>2.2673611107165925E-2</v>
      </c>
      <c r="N237" s="11">
        <f t="shared" si="10"/>
        <v>0.50479166665900266</v>
      </c>
      <c r="O237" s="10">
        <v>45665.647997685177</v>
      </c>
      <c r="P237" s="11">
        <f t="shared" si="11"/>
        <v>0.48262731482100207</v>
      </c>
      <c r="Q237" s="12" t="s">
        <v>1071</v>
      </c>
    </row>
    <row r="238" spans="1:17" ht="38.25" x14ac:dyDescent="0.25">
      <c r="A238" s="3" t="s">
        <v>1072</v>
      </c>
      <c r="B238" s="3" t="s">
        <v>201</v>
      </c>
      <c r="C238" s="9">
        <v>15.74</v>
      </c>
      <c r="D238" s="3" t="s">
        <v>515</v>
      </c>
      <c r="E238" s="10">
        <v>45665.62295138889</v>
      </c>
      <c r="F238" s="10">
        <v>45665.645624999997</v>
      </c>
      <c r="G238" s="10">
        <v>45665.647569444453</v>
      </c>
      <c r="H238" s="3" t="s">
        <v>1073</v>
      </c>
      <c r="I238" s="10">
        <v>45666.280682870369</v>
      </c>
      <c r="J238" s="10">
        <v>45666.311203703714</v>
      </c>
      <c r="K238" s="10">
        <v>45666.311203703714</v>
      </c>
      <c r="L238" s="10">
        <v>45666.312164351853</v>
      </c>
      <c r="M238" s="11">
        <f t="shared" si="9"/>
        <v>2.4618055562314112E-2</v>
      </c>
      <c r="N238" s="11">
        <f t="shared" si="10"/>
        <v>0.66459490740089677</v>
      </c>
      <c r="O238" s="10">
        <v>45665.65121527778</v>
      </c>
      <c r="P238" s="11">
        <f t="shared" si="11"/>
        <v>0.62946759258920792</v>
      </c>
      <c r="Q238" s="12" t="s">
        <v>1074</v>
      </c>
    </row>
    <row r="239" spans="1:17" ht="38.25" x14ac:dyDescent="0.25">
      <c r="A239" s="3" t="s">
        <v>1075</v>
      </c>
      <c r="B239" s="3" t="s">
        <v>201</v>
      </c>
      <c r="C239" s="9">
        <v>15.74</v>
      </c>
      <c r="D239" s="3" t="s">
        <v>484</v>
      </c>
      <c r="E239" s="10">
        <v>45665.62295138889</v>
      </c>
      <c r="F239" s="10">
        <v>45665.647569444453</v>
      </c>
      <c r="G239" s="10">
        <v>45665.649328703701</v>
      </c>
      <c r="H239" s="3" t="s">
        <v>1020</v>
      </c>
      <c r="I239" s="10">
        <v>45667.13653935185</v>
      </c>
      <c r="J239" s="10">
        <v>45667.159131944441</v>
      </c>
      <c r="K239" s="10">
        <v>45667.159131944441</v>
      </c>
      <c r="L239" s="10">
        <v>45667.15997685185</v>
      </c>
      <c r="M239" s="11">
        <f t="shared" si="9"/>
        <v>2.6377314810815733E-2</v>
      </c>
      <c r="N239" s="11">
        <f t="shared" si="10"/>
        <v>1.5106481481489027</v>
      </c>
      <c r="O239" s="10">
        <v>45665.653217592589</v>
      </c>
      <c r="P239" s="11">
        <f t="shared" si="11"/>
        <v>1.4833217592604342</v>
      </c>
      <c r="Q239" s="12" t="s">
        <v>1076</v>
      </c>
    </row>
    <row r="240" spans="1:17" ht="25.5" x14ac:dyDescent="0.25">
      <c r="A240" s="3" t="s">
        <v>1077</v>
      </c>
      <c r="B240" s="3" t="s">
        <v>201</v>
      </c>
      <c r="C240" s="9">
        <v>94.44</v>
      </c>
      <c r="D240" s="3" t="s">
        <v>533</v>
      </c>
      <c r="E240" s="10">
        <v>45665.62295138889</v>
      </c>
      <c r="F240" s="10">
        <v>45665.649328703701</v>
      </c>
      <c r="G240" s="10">
        <v>45665.650671296287</v>
      </c>
      <c r="H240" s="3" t="s">
        <v>1078</v>
      </c>
      <c r="I240" s="10">
        <v>45665.735011574077</v>
      </c>
      <c r="J240" s="10">
        <v>45665.771319444437</v>
      </c>
      <c r="K240" s="10">
        <v>45665.771319444437</v>
      </c>
      <c r="L240" s="10">
        <v>45665.772268518522</v>
      </c>
      <c r="M240" s="11">
        <f t="shared" si="9"/>
        <v>2.7719907397113275E-2</v>
      </c>
      <c r="N240" s="11">
        <f t="shared" si="10"/>
        <v>0.12159722223441349</v>
      </c>
      <c r="O240" s="10">
        <v>45665.654432870368</v>
      </c>
      <c r="P240" s="11">
        <f t="shared" si="11"/>
        <v>8.0578703709761612E-2</v>
      </c>
      <c r="Q240" s="12" t="s">
        <v>1079</v>
      </c>
    </row>
    <row r="241" spans="1:17" ht="38.25" x14ac:dyDescent="0.25">
      <c r="A241" s="3" t="s">
        <v>1080</v>
      </c>
      <c r="B241" s="3" t="s">
        <v>201</v>
      </c>
      <c r="C241" s="9">
        <v>12.04</v>
      </c>
      <c r="D241" s="3" t="s">
        <v>492</v>
      </c>
      <c r="E241" s="10">
        <v>45665.62295138889</v>
      </c>
      <c r="F241" s="10">
        <v>45665.650671296287</v>
      </c>
      <c r="G241" s="10">
        <v>45665.651932870373</v>
      </c>
      <c r="H241" s="3" t="s">
        <v>1070</v>
      </c>
      <c r="I241" s="10">
        <v>45666.130624999998</v>
      </c>
      <c r="J241" s="10">
        <v>45666.149733796286</v>
      </c>
      <c r="K241" s="10">
        <v>45666.149733796286</v>
      </c>
      <c r="L241" s="10">
        <v>45666.150416666656</v>
      </c>
      <c r="M241" s="11">
        <f t="shared" si="9"/>
        <v>2.8981481482333038E-2</v>
      </c>
      <c r="N241" s="11">
        <f t="shared" si="10"/>
        <v>0.49848379628383555</v>
      </c>
      <c r="O241" s="10">
        <v>45665.657951388886</v>
      </c>
      <c r="P241" s="11">
        <f t="shared" si="11"/>
        <v>0.4726736111115315</v>
      </c>
      <c r="Q241" s="12" t="s">
        <v>1081</v>
      </c>
    </row>
    <row r="242" spans="1:17" ht="38.25" x14ac:dyDescent="0.25">
      <c r="A242" s="3" t="s">
        <v>1082</v>
      </c>
      <c r="B242" s="3" t="s">
        <v>201</v>
      </c>
      <c r="C242" s="9">
        <v>19.899999999999999</v>
      </c>
      <c r="D242" s="3" t="s">
        <v>539</v>
      </c>
      <c r="E242" s="10">
        <v>45665.62295138889</v>
      </c>
      <c r="F242" s="10">
        <v>45665.651932870373</v>
      </c>
      <c r="G242" s="10">
        <v>45665.653668981482</v>
      </c>
      <c r="H242" s="3" t="s">
        <v>1012</v>
      </c>
      <c r="I242" s="10">
        <v>45666.332303240742</v>
      </c>
      <c r="J242" s="10">
        <v>45666.353032407409</v>
      </c>
      <c r="K242" s="10">
        <v>45666.353032407409</v>
      </c>
      <c r="L242" s="10">
        <v>45666.353900462957</v>
      </c>
      <c r="M242" s="11">
        <f t="shared" si="9"/>
        <v>3.071759259182727E-2</v>
      </c>
      <c r="N242" s="11">
        <f t="shared" si="10"/>
        <v>0.700231481474475</v>
      </c>
      <c r="O242" s="10">
        <v>45665.659189814818</v>
      </c>
      <c r="P242" s="11">
        <f t="shared" si="11"/>
        <v>0.6731134259243845</v>
      </c>
      <c r="Q242" s="12" t="s">
        <v>1083</v>
      </c>
    </row>
    <row r="243" spans="1:17" ht="38.25" x14ac:dyDescent="0.25">
      <c r="A243" s="3" t="s">
        <v>1084</v>
      </c>
      <c r="B243" s="3" t="s">
        <v>201</v>
      </c>
      <c r="C243" s="9">
        <v>38.979999999999997</v>
      </c>
      <c r="D243" s="3" t="s">
        <v>506</v>
      </c>
      <c r="E243" s="10">
        <v>45665.62295138889</v>
      </c>
      <c r="F243" s="10">
        <v>45665.653668981482</v>
      </c>
      <c r="G243" s="10">
        <v>45665.655115740738</v>
      </c>
      <c r="H243" s="3" t="s">
        <v>1085</v>
      </c>
      <c r="I243" s="10">
        <v>45666.331979166673</v>
      </c>
      <c r="J243" s="10">
        <v>45666.355150462958</v>
      </c>
      <c r="K243" s="10">
        <v>45666.355150462958</v>
      </c>
      <c r="L243" s="10">
        <v>45666.355937499997</v>
      </c>
      <c r="M243" s="11">
        <f t="shared" si="9"/>
        <v>3.216435184731381E-2</v>
      </c>
      <c r="N243" s="11">
        <f t="shared" si="10"/>
        <v>0.70082175925927004</v>
      </c>
      <c r="O243" s="10">
        <v>45665.661145833343</v>
      </c>
      <c r="P243" s="11">
        <f t="shared" si="11"/>
        <v>0.67083333332993789</v>
      </c>
      <c r="Q243" s="12" t="s">
        <v>1086</v>
      </c>
    </row>
    <row r="244" spans="1:17" ht="38.25" x14ac:dyDescent="0.25">
      <c r="A244" s="3" t="s">
        <v>1087</v>
      </c>
      <c r="B244" s="3" t="s">
        <v>201</v>
      </c>
      <c r="C244" s="9">
        <v>23.24</v>
      </c>
      <c r="D244" s="3" t="s">
        <v>515</v>
      </c>
      <c r="E244" s="10">
        <v>45665.62295138889</v>
      </c>
      <c r="F244" s="10">
        <v>45665.655115740738</v>
      </c>
      <c r="G244" s="10">
        <v>45665.657083333332</v>
      </c>
      <c r="H244" s="3" t="s">
        <v>1073</v>
      </c>
      <c r="I244" s="10">
        <v>45666.280682870369</v>
      </c>
      <c r="J244" s="10">
        <v>45666.311203703714</v>
      </c>
      <c r="K244" s="10">
        <v>45666.311203703714</v>
      </c>
      <c r="L244" s="10">
        <v>45666.312164351853</v>
      </c>
      <c r="M244" s="11">
        <f t="shared" si="9"/>
        <v>3.4131944441469386E-2</v>
      </c>
      <c r="N244" s="11">
        <f t="shared" si="10"/>
        <v>0.6550810185217415</v>
      </c>
      <c r="O244" s="10">
        <v>45665.663935185177</v>
      </c>
      <c r="P244" s="11">
        <f t="shared" si="11"/>
        <v>0.61674768519151257</v>
      </c>
      <c r="Q244" s="12" t="s">
        <v>1088</v>
      </c>
    </row>
    <row r="245" spans="1:17" ht="38.25" x14ac:dyDescent="0.25">
      <c r="A245" s="3" t="s">
        <v>1089</v>
      </c>
      <c r="B245" s="3" t="s">
        <v>201</v>
      </c>
      <c r="C245" s="9">
        <v>14</v>
      </c>
      <c r="D245" s="3" t="s">
        <v>595</v>
      </c>
      <c r="E245" s="10">
        <v>45665.62295138889</v>
      </c>
      <c r="F245" s="10">
        <v>45665.657083333332</v>
      </c>
      <c r="G245" s="10">
        <v>45665.658576388887</v>
      </c>
      <c r="H245" s="3" t="s">
        <v>596</v>
      </c>
      <c r="I245" s="10">
        <v>45666.32508101852</v>
      </c>
      <c r="J245" s="10">
        <v>45666.39607638889</v>
      </c>
      <c r="K245" s="10">
        <v>45666.39607638889</v>
      </c>
      <c r="L245" s="10">
        <v>45666.397569444453</v>
      </c>
      <c r="M245" s="11">
        <f t="shared" si="9"/>
        <v>3.5624999996798579E-2</v>
      </c>
      <c r="N245" s="11">
        <f t="shared" si="10"/>
        <v>0.73899305556551553</v>
      </c>
      <c r="O245" s="10">
        <v>45665.665879629632</v>
      </c>
      <c r="P245" s="11">
        <f t="shared" si="11"/>
        <v>0.65920138888759539</v>
      </c>
      <c r="Q245" s="12" t="s">
        <v>1090</v>
      </c>
    </row>
    <row r="246" spans="1:17" x14ac:dyDescent="0.25">
      <c r="A246" s="3" t="s">
        <v>1091</v>
      </c>
      <c r="B246" s="3" t="s">
        <v>202</v>
      </c>
      <c r="C246" s="9">
        <v>362.0200000000001</v>
      </c>
      <c r="D246" s="3" t="s">
        <v>500</v>
      </c>
      <c r="E246" s="10">
        <v>45665.635092592587</v>
      </c>
      <c r="F246" s="10">
        <v>45665.659444444442</v>
      </c>
      <c r="G246" s="10">
        <v>45665.661504629628</v>
      </c>
      <c r="H246" s="3" t="s">
        <v>1092</v>
      </c>
      <c r="I246" s="10">
        <v>45665.668854166674</v>
      </c>
      <c r="J246" s="10">
        <v>45665.73170138889</v>
      </c>
      <c r="K246" s="10">
        <v>45665.73170138889</v>
      </c>
      <c r="L246" s="10">
        <v>45665.733090277783</v>
      </c>
      <c r="M246" s="11">
        <f t="shared" si="9"/>
        <v>2.641203704115469E-2</v>
      </c>
      <c r="N246" s="11">
        <f t="shared" si="10"/>
        <v>7.1585648154723458E-2</v>
      </c>
      <c r="O246" s="10">
        <v>45665.66715277778</v>
      </c>
      <c r="P246" s="11">
        <f t="shared" si="11"/>
        <v>1.7013888937071897E-3</v>
      </c>
      <c r="Q246" s="12" t="s">
        <v>1093</v>
      </c>
    </row>
    <row r="247" spans="1:17" x14ac:dyDescent="0.25">
      <c r="A247" s="3" t="s">
        <v>1094</v>
      </c>
      <c r="B247" s="3" t="s">
        <v>203</v>
      </c>
      <c r="C247" s="9">
        <v>209.16</v>
      </c>
      <c r="D247" s="3" t="s">
        <v>500</v>
      </c>
      <c r="E247" s="10">
        <v>45665.725185185183</v>
      </c>
      <c r="F247" s="10">
        <v>45665.730381944442</v>
      </c>
      <c r="G247" s="10">
        <v>45665.731990740736</v>
      </c>
      <c r="H247" s="3" t="s">
        <v>1078</v>
      </c>
      <c r="I247" s="10">
        <v>45665.735011574077</v>
      </c>
      <c r="J247" s="10">
        <v>45665.771319444437</v>
      </c>
      <c r="K247" s="10">
        <v>45665.771319444437</v>
      </c>
      <c r="L247" s="10">
        <v>45665.772268518522</v>
      </c>
      <c r="M247" s="11">
        <f t="shared" si="9"/>
        <v>6.805555553000886E-3</v>
      </c>
      <c r="N247" s="11">
        <f t="shared" si="10"/>
        <v>4.0277777785377111E-2</v>
      </c>
      <c r="O247" s="10">
        <v>45665.734178240738</v>
      </c>
      <c r="P247" s="11">
        <f t="shared" si="11"/>
        <v>8.3333333896007389E-4</v>
      </c>
      <c r="Q247" s="12" t="s">
        <v>1095</v>
      </c>
    </row>
    <row r="248" spans="1:17" ht="25.5" x14ac:dyDescent="0.25">
      <c r="A248" s="3" t="s">
        <v>1096</v>
      </c>
      <c r="B248" s="3" t="s">
        <v>204</v>
      </c>
      <c r="C248" s="9">
        <v>15.74</v>
      </c>
      <c r="D248" s="3" t="s">
        <v>500</v>
      </c>
      <c r="E248" s="10">
        <v>45665.751122685193</v>
      </c>
      <c r="F248" s="10">
        <v>45665.754884259259</v>
      </c>
      <c r="G248" s="10">
        <v>45665.756527777783</v>
      </c>
      <c r="H248" s="3" t="s">
        <v>1097</v>
      </c>
      <c r="I248" s="10">
        <v>45665.857141203713</v>
      </c>
      <c r="J248" s="10">
        <v>45665.877141203702</v>
      </c>
      <c r="K248" s="10">
        <v>45665.877141203702</v>
      </c>
      <c r="L248" s="10">
        <v>45665.877962962957</v>
      </c>
      <c r="M248" s="11">
        <f t="shared" si="9"/>
        <v>5.4050925900810398E-3</v>
      </c>
      <c r="N248" s="11">
        <f t="shared" si="10"/>
        <v>0.12143518517405028</v>
      </c>
      <c r="O248" s="10">
        <v>45665.758703703701</v>
      </c>
      <c r="P248" s="11">
        <f t="shared" si="11"/>
        <v>9.8437500011641532E-2</v>
      </c>
      <c r="Q248" s="12" t="s">
        <v>1098</v>
      </c>
    </row>
    <row r="249" spans="1:17" ht="38.25" x14ac:dyDescent="0.25">
      <c r="A249" s="3" t="s">
        <v>1099</v>
      </c>
      <c r="B249" s="3" t="s">
        <v>205</v>
      </c>
      <c r="C249" s="9">
        <v>15.74</v>
      </c>
      <c r="D249" s="3" t="s">
        <v>506</v>
      </c>
      <c r="E249" s="10">
        <v>45665.821875000001</v>
      </c>
      <c r="F249" s="10">
        <v>45665.835682870369</v>
      </c>
      <c r="G249" s="10">
        <v>45665.837071759262</v>
      </c>
      <c r="H249" s="3" t="s">
        <v>1085</v>
      </c>
      <c r="I249" s="10">
        <v>45666.331979166673</v>
      </c>
      <c r="J249" s="10">
        <v>45666.355150462958</v>
      </c>
      <c r="K249" s="10">
        <v>45666.355150462958</v>
      </c>
      <c r="L249" s="10">
        <v>45666.355937499997</v>
      </c>
      <c r="M249" s="11">
        <f t="shared" si="9"/>
        <v>1.5196759261016268E-2</v>
      </c>
      <c r="N249" s="11">
        <f t="shared" si="10"/>
        <v>0.51886574073432712</v>
      </c>
      <c r="O249" s="10">
        <v>45665.840624999997</v>
      </c>
      <c r="P249" s="11">
        <f t="shared" si="11"/>
        <v>0.49135416667559184</v>
      </c>
      <c r="Q249" s="12" t="s">
        <v>1100</v>
      </c>
    </row>
    <row r="250" spans="1:17" ht="38.25" x14ac:dyDescent="0.25">
      <c r="A250" s="3" t="s">
        <v>1101</v>
      </c>
      <c r="B250" s="3" t="s">
        <v>205</v>
      </c>
      <c r="C250" s="9">
        <v>15.74</v>
      </c>
      <c r="D250" s="3" t="s">
        <v>1033</v>
      </c>
      <c r="E250" s="10">
        <v>45665.821875000001</v>
      </c>
      <c r="F250" s="10">
        <v>45665.837071759262</v>
      </c>
      <c r="G250" s="10">
        <v>45665.838692129633</v>
      </c>
      <c r="H250" s="3" t="s">
        <v>1034</v>
      </c>
      <c r="I250" s="10">
        <v>45666.798148148147</v>
      </c>
      <c r="J250" s="10">
        <v>45666.815844907411</v>
      </c>
      <c r="K250" s="10">
        <v>45666.815844907411</v>
      </c>
      <c r="L250" s="10">
        <v>45666.816678240742</v>
      </c>
      <c r="M250" s="11">
        <f t="shared" si="9"/>
        <v>1.6817129631817807E-2</v>
      </c>
      <c r="N250" s="11">
        <f t="shared" si="10"/>
        <v>0.97798611110920319</v>
      </c>
      <c r="O250" s="10">
        <v>45665.842581018522</v>
      </c>
      <c r="P250" s="11">
        <f t="shared" si="11"/>
        <v>0.955567129625706</v>
      </c>
      <c r="Q250" s="12" t="s">
        <v>1102</v>
      </c>
    </row>
    <row r="251" spans="1:17" ht="38.25" x14ac:dyDescent="0.25">
      <c r="A251" s="3" t="s">
        <v>1103</v>
      </c>
      <c r="B251" s="3" t="s">
        <v>205</v>
      </c>
      <c r="C251" s="9">
        <v>15.74</v>
      </c>
      <c r="D251" s="3" t="s">
        <v>654</v>
      </c>
      <c r="E251" s="10">
        <v>45665.821875000001</v>
      </c>
      <c r="F251" s="10">
        <v>45665.838692129633</v>
      </c>
      <c r="G251" s="10">
        <v>45665.840405092589</v>
      </c>
      <c r="H251" s="3" t="s">
        <v>655</v>
      </c>
      <c r="I251" s="10">
        <v>45666.797094907408</v>
      </c>
      <c r="J251" s="10">
        <v>45666.81622685185</v>
      </c>
      <c r="K251" s="10">
        <v>45666.816678240742</v>
      </c>
      <c r="L251" s="10">
        <v>45666.817453703698</v>
      </c>
      <c r="M251" s="11">
        <f t="shared" si="9"/>
        <v>1.8530092587752733E-2</v>
      </c>
      <c r="N251" s="11">
        <f t="shared" si="10"/>
        <v>0.97704861110833008</v>
      </c>
      <c r="O251" s="10">
        <v>45665.843981481477</v>
      </c>
      <c r="P251" s="11">
        <f t="shared" si="11"/>
        <v>0.95311342593049631</v>
      </c>
      <c r="Q251" s="12" t="s">
        <v>1104</v>
      </c>
    </row>
    <row r="252" spans="1:17" ht="25.5" x14ac:dyDescent="0.25">
      <c r="A252" s="3" t="s">
        <v>1105</v>
      </c>
      <c r="B252" s="3" t="s">
        <v>205</v>
      </c>
      <c r="C252" s="9">
        <v>19.899999999999999</v>
      </c>
      <c r="D252" s="3" t="s">
        <v>523</v>
      </c>
      <c r="E252" s="10">
        <v>45665.821875000001</v>
      </c>
      <c r="F252" s="10">
        <v>45665.840405092589</v>
      </c>
      <c r="G252" s="10">
        <v>45665.842442129629</v>
      </c>
      <c r="H252" s="3" t="s">
        <v>1009</v>
      </c>
      <c r="I252" s="10">
        <v>45666.134675925918</v>
      </c>
      <c r="J252" s="10">
        <v>45666.168877314813</v>
      </c>
      <c r="K252" s="10">
        <v>45666.168877314813</v>
      </c>
      <c r="L252" s="10">
        <v>45666.16983796296</v>
      </c>
      <c r="M252" s="11">
        <f t="shared" si="9"/>
        <v>2.0567129628034309E-2</v>
      </c>
      <c r="N252" s="11">
        <f t="shared" si="10"/>
        <v>0.32739583333022892</v>
      </c>
      <c r="O252" s="10">
        <v>45665.845995370371</v>
      </c>
      <c r="P252" s="11">
        <f t="shared" si="11"/>
        <v>0.288680555546307</v>
      </c>
      <c r="Q252" s="12" t="s">
        <v>1106</v>
      </c>
    </row>
    <row r="253" spans="1:17" ht="25.5" x14ac:dyDescent="0.25">
      <c r="A253" s="3" t="s">
        <v>1107</v>
      </c>
      <c r="B253" s="3" t="s">
        <v>205</v>
      </c>
      <c r="C253" s="9">
        <v>78.7</v>
      </c>
      <c r="D253" s="3" t="s">
        <v>533</v>
      </c>
      <c r="E253" s="10">
        <v>45665.821875000001</v>
      </c>
      <c r="F253" s="10">
        <v>45665.842442129629</v>
      </c>
      <c r="G253" s="10">
        <v>45665.84375</v>
      </c>
      <c r="H253" s="3" t="s">
        <v>1108</v>
      </c>
      <c r="I253" s="10">
        <v>45666.277465277781</v>
      </c>
      <c r="J253" s="10">
        <v>45666.302060185182</v>
      </c>
      <c r="K253" s="10">
        <v>45666.302060185182</v>
      </c>
      <c r="L253" s="10">
        <v>45666.302847222221</v>
      </c>
      <c r="M253" s="11">
        <f t="shared" si="9"/>
        <v>2.1874999998544808E-2</v>
      </c>
      <c r="N253" s="11">
        <f t="shared" si="10"/>
        <v>0.45909722222131677</v>
      </c>
      <c r="O253" s="10">
        <v>45665.846122685187</v>
      </c>
      <c r="P253" s="11">
        <f t="shared" si="11"/>
        <v>0.43134259259386454</v>
      </c>
      <c r="Q253" s="12" t="s">
        <v>1109</v>
      </c>
    </row>
    <row r="254" spans="1:17" ht="25.5" x14ac:dyDescent="0.25">
      <c r="A254" s="3" t="s">
        <v>1110</v>
      </c>
      <c r="B254" s="3" t="s">
        <v>205</v>
      </c>
      <c r="C254" s="9">
        <v>27</v>
      </c>
      <c r="D254" s="3" t="s">
        <v>527</v>
      </c>
      <c r="E254" s="10">
        <v>45665.821875000001</v>
      </c>
      <c r="F254" s="10">
        <v>45665.84375</v>
      </c>
      <c r="G254" s="10">
        <v>45665.845057870371</v>
      </c>
      <c r="H254" s="3" t="s">
        <v>1070</v>
      </c>
      <c r="I254" s="10">
        <v>45666.130624999998</v>
      </c>
      <c r="J254" s="10">
        <v>45666.149733796286</v>
      </c>
      <c r="K254" s="10">
        <v>45666.149733796286</v>
      </c>
      <c r="L254" s="10">
        <v>45666.150416666656</v>
      </c>
      <c r="M254" s="11">
        <f t="shared" si="9"/>
        <v>2.3182870369055308E-2</v>
      </c>
      <c r="N254" s="11">
        <f t="shared" si="10"/>
        <v>0.30535879628587281</v>
      </c>
      <c r="O254" s="10">
        <v>45665.848622685182</v>
      </c>
      <c r="P254" s="11">
        <f t="shared" si="11"/>
        <v>0.28200231481605442</v>
      </c>
      <c r="Q254" s="12" t="s">
        <v>1111</v>
      </c>
    </row>
    <row r="255" spans="1:17" ht="25.5" x14ac:dyDescent="0.25">
      <c r="A255" s="3" t="s">
        <v>1112</v>
      </c>
      <c r="B255" s="3" t="s">
        <v>205</v>
      </c>
      <c r="C255" s="9">
        <v>15.74</v>
      </c>
      <c r="D255" s="3" t="s">
        <v>515</v>
      </c>
      <c r="E255" s="10">
        <v>45665.821875000001</v>
      </c>
      <c r="F255" s="10">
        <v>45665.845057870371</v>
      </c>
      <c r="G255" s="10">
        <v>45665.847013888888</v>
      </c>
      <c r="H255" s="3" t="s">
        <v>1073</v>
      </c>
      <c r="I255" s="10">
        <v>45666.280682870369</v>
      </c>
      <c r="J255" s="10">
        <v>45666.311203703714</v>
      </c>
      <c r="K255" s="10">
        <v>45666.311203703714</v>
      </c>
      <c r="L255" s="10">
        <v>45666.312164351853</v>
      </c>
      <c r="M255" s="11">
        <f t="shared" si="9"/>
        <v>2.5138888886431232E-2</v>
      </c>
      <c r="N255" s="11">
        <f t="shared" si="10"/>
        <v>0.46515046296553919</v>
      </c>
      <c r="O255" s="10">
        <v>45665.850555555553</v>
      </c>
      <c r="P255" s="11">
        <f t="shared" si="11"/>
        <v>0.43012731481576338</v>
      </c>
      <c r="Q255" s="12" t="s">
        <v>1113</v>
      </c>
    </row>
    <row r="256" spans="1:17" ht="25.5" x14ac:dyDescent="0.25">
      <c r="A256" s="3" t="s">
        <v>1114</v>
      </c>
      <c r="B256" s="3" t="s">
        <v>205</v>
      </c>
      <c r="C256" s="9">
        <v>39.799999999999997</v>
      </c>
      <c r="D256" s="3" t="s">
        <v>539</v>
      </c>
      <c r="E256" s="10">
        <v>45665.821875000001</v>
      </c>
      <c r="F256" s="10">
        <v>45665.847013888888</v>
      </c>
      <c r="G256" s="10">
        <v>45665.84878472222</v>
      </c>
      <c r="H256" s="3" t="s">
        <v>1012</v>
      </c>
      <c r="I256" s="10">
        <v>45666.332303240742</v>
      </c>
      <c r="J256" s="10">
        <v>45666.353032407409</v>
      </c>
      <c r="K256" s="10">
        <v>45666.353032407409</v>
      </c>
      <c r="L256" s="10">
        <v>45666.353900462957</v>
      </c>
      <c r="M256" s="11">
        <f t="shared" si="9"/>
        <v>2.6909722218988463E-2</v>
      </c>
      <c r="N256" s="11">
        <f t="shared" si="10"/>
        <v>0.50511574073607335</v>
      </c>
      <c r="O256" s="10">
        <v>45665.852708333332</v>
      </c>
      <c r="P256" s="11">
        <f t="shared" si="11"/>
        <v>0.47959490741050104</v>
      </c>
      <c r="Q256" s="12" t="s">
        <v>1115</v>
      </c>
    </row>
    <row r="257" spans="1:17" ht="38.25" x14ac:dyDescent="0.25">
      <c r="A257" s="3" t="s">
        <v>1116</v>
      </c>
      <c r="B257" s="3" t="s">
        <v>205</v>
      </c>
      <c r="C257" s="9">
        <v>15.74</v>
      </c>
      <c r="D257" s="3" t="s">
        <v>1033</v>
      </c>
      <c r="E257" s="10">
        <v>45665.821875000001</v>
      </c>
      <c r="F257" s="10">
        <v>45665.84878472222</v>
      </c>
      <c r="G257" s="10">
        <v>45665.850405092591</v>
      </c>
      <c r="H257" s="3" t="s">
        <v>1034</v>
      </c>
      <c r="I257" s="10">
        <v>45666.798148148147</v>
      </c>
      <c r="J257" s="10">
        <v>45666.815844907411</v>
      </c>
      <c r="K257" s="10">
        <v>45666.815844907411</v>
      </c>
      <c r="L257" s="10">
        <v>45666.816678240742</v>
      </c>
      <c r="M257" s="11">
        <f t="shared" si="9"/>
        <v>2.8530092589790002E-2</v>
      </c>
      <c r="N257" s="11">
        <f t="shared" si="10"/>
        <v>0.966273148151231</v>
      </c>
      <c r="O257" s="10">
        <v>45665.85396990741</v>
      </c>
      <c r="P257" s="11">
        <f t="shared" si="11"/>
        <v>0.94417824073752854</v>
      </c>
      <c r="Q257" s="12" t="s">
        <v>1117</v>
      </c>
    </row>
    <row r="258" spans="1:17" ht="25.5" x14ac:dyDescent="0.25">
      <c r="A258" s="3" t="s">
        <v>1118</v>
      </c>
      <c r="B258" s="3" t="s">
        <v>206</v>
      </c>
      <c r="C258" s="9">
        <v>99.5</v>
      </c>
      <c r="D258" s="3" t="s">
        <v>500</v>
      </c>
      <c r="E258" s="10">
        <v>45665.837488425917</v>
      </c>
      <c r="F258" s="10">
        <v>45665.851273148153</v>
      </c>
      <c r="G258" s="10">
        <v>45665.852719907409</v>
      </c>
      <c r="H258" s="3" t="s">
        <v>1097</v>
      </c>
      <c r="I258" s="10">
        <v>45665.857141203713</v>
      </c>
      <c r="J258" s="10">
        <v>45665.877141203702</v>
      </c>
      <c r="K258" s="10">
        <v>45665.877141203702</v>
      </c>
      <c r="L258" s="10">
        <v>45665.877962962957</v>
      </c>
      <c r="M258" s="11">
        <f t="shared" ref="M258:M321" si="12">IF(AND(ISNUMBER(E258),ISNUMBER(G258)),(G258-E258),"")</f>
        <v>1.5231481491355225E-2</v>
      </c>
      <c r="N258" s="11">
        <f t="shared" ref="N258:N321" si="13">IF(AND(ISNUMBER(G258),ISNUMBER(L258)),(L258-G258),"")</f>
        <v>2.5243055548344273E-2</v>
      </c>
      <c r="O258" s="10">
        <v>45665.856273148151</v>
      </c>
      <c r="P258" s="11">
        <f t="shared" ref="P258:P321" si="14">IF(AND(ISNUMBER(I258),ISNUMBER(O258)),(I258-O258),"")</f>
        <v>8.6805556202307343E-4</v>
      </c>
      <c r="Q258" s="12" t="s">
        <v>1119</v>
      </c>
    </row>
    <row r="259" spans="1:17" ht="25.5" x14ac:dyDescent="0.25">
      <c r="A259" s="3" t="s">
        <v>1120</v>
      </c>
      <c r="B259" s="3" t="s">
        <v>207</v>
      </c>
      <c r="C259" s="9">
        <v>43.98</v>
      </c>
      <c r="D259" s="3" t="s">
        <v>492</v>
      </c>
      <c r="E259" s="10">
        <v>45666.117662037039</v>
      </c>
      <c r="F259" s="10">
        <v>45666.124571759261</v>
      </c>
      <c r="G259" s="10">
        <v>45666.125914351847</v>
      </c>
      <c r="H259" s="3" t="s">
        <v>1070</v>
      </c>
      <c r="I259" s="10">
        <v>45666.130624999998</v>
      </c>
      <c r="J259" s="10">
        <v>45666.149733796286</v>
      </c>
      <c r="K259" s="10">
        <v>45666.149733796286</v>
      </c>
      <c r="L259" s="10">
        <v>45666.150416666656</v>
      </c>
      <c r="M259" s="11">
        <f t="shared" si="12"/>
        <v>8.2523148084874265E-3</v>
      </c>
      <c r="N259" s="11">
        <f t="shared" si="13"/>
        <v>2.4502314809069503E-2</v>
      </c>
      <c r="O259" s="10">
        <v>45666.129837962973</v>
      </c>
      <c r="P259" s="11">
        <f t="shared" si="14"/>
        <v>7.8703702456550673E-4</v>
      </c>
      <c r="Q259" s="12" t="s">
        <v>1121</v>
      </c>
    </row>
    <row r="260" spans="1:17" ht="38.25" x14ac:dyDescent="0.25">
      <c r="A260" s="3" t="s">
        <v>1122</v>
      </c>
      <c r="B260" s="3" t="s">
        <v>207</v>
      </c>
      <c r="C260" s="9">
        <v>19.899999999999999</v>
      </c>
      <c r="D260" s="3" t="s">
        <v>484</v>
      </c>
      <c r="E260" s="10">
        <v>45666.117662037039</v>
      </c>
      <c r="F260" s="10">
        <v>45666.125914351847</v>
      </c>
      <c r="G260" s="10">
        <v>45666.127685185187</v>
      </c>
      <c r="H260" s="3" t="s">
        <v>1020</v>
      </c>
      <c r="I260" s="10">
        <v>45667.13653935185</v>
      </c>
      <c r="J260" s="10">
        <v>45667.159131944441</v>
      </c>
      <c r="K260" s="10">
        <v>45667.159131944441</v>
      </c>
      <c r="L260" s="10">
        <v>45667.15997685185</v>
      </c>
      <c r="M260" s="11">
        <f t="shared" si="12"/>
        <v>1.0023148148320615E-2</v>
      </c>
      <c r="N260" s="11">
        <f t="shared" si="13"/>
        <v>1.0322916666627862</v>
      </c>
      <c r="O260" s="10">
        <v>45666.131608796299</v>
      </c>
      <c r="P260" s="11">
        <f t="shared" si="14"/>
        <v>1.0049305555512547</v>
      </c>
      <c r="Q260" s="12" t="s">
        <v>1123</v>
      </c>
    </row>
    <row r="261" spans="1:17" ht="25.5" x14ac:dyDescent="0.25">
      <c r="A261" s="3" t="s">
        <v>1124</v>
      </c>
      <c r="B261" s="3" t="s">
        <v>207</v>
      </c>
      <c r="C261" s="9">
        <v>100.6</v>
      </c>
      <c r="D261" s="3" t="s">
        <v>488</v>
      </c>
      <c r="E261" s="10">
        <v>45666.117662037039</v>
      </c>
      <c r="F261" s="10">
        <v>45666.127685185187</v>
      </c>
      <c r="G261" s="10">
        <v>45666.129907407398</v>
      </c>
      <c r="H261" s="3" t="s">
        <v>1009</v>
      </c>
      <c r="I261" s="10">
        <v>45666.134675925918</v>
      </c>
      <c r="J261" s="10">
        <v>45666.168877314813</v>
      </c>
      <c r="K261" s="10">
        <v>45666.168877314813</v>
      </c>
      <c r="L261" s="10">
        <v>45666.16983796296</v>
      </c>
      <c r="M261" s="11">
        <f t="shared" si="12"/>
        <v>1.2245370358868968E-2</v>
      </c>
      <c r="N261" s="11">
        <f t="shared" si="13"/>
        <v>3.9930555562023073E-2</v>
      </c>
      <c r="O261" s="10">
        <v>45666.13380787037</v>
      </c>
      <c r="P261" s="11">
        <f t="shared" si="14"/>
        <v>8.6805554747115821E-4</v>
      </c>
      <c r="Q261" s="12" t="s">
        <v>1125</v>
      </c>
    </row>
    <row r="262" spans="1:17" ht="25.5" x14ac:dyDescent="0.25">
      <c r="A262" s="3" t="s">
        <v>1126</v>
      </c>
      <c r="B262" s="3" t="s">
        <v>208</v>
      </c>
      <c r="C262" s="9">
        <v>62.96</v>
      </c>
      <c r="D262" s="3" t="s">
        <v>533</v>
      </c>
      <c r="E262" s="10">
        <v>45666.256979166668</v>
      </c>
      <c r="F262" s="10">
        <v>45666.271793981483</v>
      </c>
      <c r="G262" s="10">
        <v>45666.27306712963</v>
      </c>
      <c r="H262" s="3" t="s">
        <v>1108</v>
      </c>
      <c r="I262" s="10">
        <v>45666.277465277781</v>
      </c>
      <c r="J262" s="10">
        <v>45666.302060185182</v>
      </c>
      <c r="K262" s="10">
        <v>45666.302060185182</v>
      </c>
      <c r="L262" s="10">
        <v>45666.302847222221</v>
      </c>
      <c r="M262" s="11">
        <f t="shared" si="12"/>
        <v>1.6087962962046731E-2</v>
      </c>
      <c r="N262" s="11">
        <f t="shared" si="13"/>
        <v>2.9780092590954155E-2</v>
      </c>
      <c r="O262" s="10">
        <v>45666.276620370372</v>
      </c>
      <c r="P262" s="11">
        <f t="shared" si="14"/>
        <v>8.4490740846376866E-4</v>
      </c>
      <c r="Q262" s="12" t="s">
        <v>1127</v>
      </c>
    </row>
    <row r="263" spans="1:17" ht="25.5" x14ac:dyDescent="0.25">
      <c r="A263" s="3" t="s">
        <v>1128</v>
      </c>
      <c r="B263" s="3" t="s">
        <v>208</v>
      </c>
      <c r="C263" s="9">
        <v>121.1</v>
      </c>
      <c r="D263" s="3" t="s">
        <v>515</v>
      </c>
      <c r="E263" s="10">
        <v>45666.256979166668</v>
      </c>
      <c r="F263" s="10">
        <v>45666.27306712963</v>
      </c>
      <c r="G263" s="10">
        <v>45666.275266203702</v>
      </c>
      <c r="H263" s="3" t="s">
        <v>1073</v>
      </c>
      <c r="I263" s="10">
        <v>45666.280682870369</v>
      </c>
      <c r="J263" s="10">
        <v>45666.311203703714</v>
      </c>
      <c r="K263" s="10">
        <v>45666.311203703714</v>
      </c>
      <c r="L263" s="10">
        <v>45666.312164351853</v>
      </c>
      <c r="M263" s="11">
        <f t="shared" si="12"/>
        <v>1.8287037033587694E-2</v>
      </c>
      <c r="N263" s="11">
        <f t="shared" si="13"/>
        <v>3.6898148151522037E-2</v>
      </c>
      <c r="O263" s="10">
        <v>45666.279189814813</v>
      </c>
      <c r="P263" s="11">
        <f t="shared" si="14"/>
        <v>1.4930555553291924E-3</v>
      </c>
      <c r="Q263" s="12" t="s">
        <v>1129</v>
      </c>
    </row>
    <row r="264" spans="1:17" ht="38.25" x14ac:dyDescent="0.25">
      <c r="A264" s="3" t="s">
        <v>1130</v>
      </c>
      <c r="B264" s="3" t="s">
        <v>208</v>
      </c>
      <c r="C264" s="9">
        <v>21</v>
      </c>
      <c r="D264" s="3" t="s">
        <v>488</v>
      </c>
      <c r="E264" s="10">
        <v>45666.256979166668</v>
      </c>
      <c r="F264" s="10">
        <v>45666.275266203702</v>
      </c>
      <c r="G264" s="10">
        <v>45666.276550925933</v>
      </c>
      <c r="H264" s="3" t="s">
        <v>1131</v>
      </c>
      <c r="I264" s="10">
        <v>45666.790810185194</v>
      </c>
      <c r="J264" s="10">
        <v>45666.809513888889</v>
      </c>
      <c r="K264" s="10">
        <v>45666.809513888889</v>
      </c>
      <c r="L264" s="10">
        <v>45666.810185185182</v>
      </c>
      <c r="M264" s="11">
        <f t="shared" si="12"/>
        <v>1.9571759265090805E-2</v>
      </c>
      <c r="N264" s="11">
        <f t="shared" si="13"/>
        <v>0.5336342592490837</v>
      </c>
      <c r="O264" s="10">
        <v>45666.278946759259</v>
      </c>
      <c r="P264" s="11">
        <f t="shared" si="14"/>
        <v>0.5118634259342798</v>
      </c>
      <c r="Q264" s="12" t="s">
        <v>1132</v>
      </c>
    </row>
    <row r="265" spans="1:17" ht="38.25" x14ac:dyDescent="0.25">
      <c r="A265" s="3" t="s">
        <v>1133</v>
      </c>
      <c r="B265" s="3" t="s">
        <v>208</v>
      </c>
      <c r="C265" s="9">
        <v>19.899999999999999</v>
      </c>
      <c r="D265" s="3" t="s">
        <v>563</v>
      </c>
      <c r="E265" s="10">
        <v>45666.256979166668</v>
      </c>
      <c r="F265" s="10">
        <v>45666.276550925933</v>
      </c>
      <c r="G265" s="10">
        <v>45666.278587962966</v>
      </c>
      <c r="H265" s="3" t="s">
        <v>1134</v>
      </c>
      <c r="I265" s="10">
        <v>45666.864548611113</v>
      </c>
      <c r="J265" s="10">
        <v>45666.885844907411</v>
      </c>
      <c r="K265" s="10">
        <v>45666.885844907411</v>
      </c>
      <c r="L265" s="10">
        <v>45666.886631944442</v>
      </c>
      <c r="M265" s="11">
        <f t="shared" si="12"/>
        <v>2.1608796298096422E-2</v>
      </c>
      <c r="N265" s="11">
        <f t="shared" si="13"/>
        <v>0.6080439814759302</v>
      </c>
      <c r="O265" s="10">
        <v>45666.280752314808</v>
      </c>
      <c r="P265" s="11">
        <f t="shared" si="14"/>
        <v>0.58379629630508134</v>
      </c>
      <c r="Q265" s="12" t="s">
        <v>1135</v>
      </c>
    </row>
    <row r="266" spans="1:17" ht="38.25" x14ac:dyDescent="0.25">
      <c r="A266" s="3" t="s">
        <v>1136</v>
      </c>
      <c r="B266" s="3" t="s">
        <v>208</v>
      </c>
      <c r="C266" s="9">
        <v>27</v>
      </c>
      <c r="D266" s="3" t="s">
        <v>527</v>
      </c>
      <c r="E266" s="10">
        <v>45666.256979166668</v>
      </c>
      <c r="F266" s="10">
        <v>45666.278587962966</v>
      </c>
      <c r="G266" s="10">
        <v>45666.27988425926</v>
      </c>
      <c r="H266" s="3" t="s">
        <v>1131</v>
      </c>
      <c r="I266" s="10">
        <v>45666.790810185194</v>
      </c>
      <c r="J266" s="10">
        <v>45666.809513888889</v>
      </c>
      <c r="K266" s="10">
        <v>45666.809513888889</v>
      </c>
      <c r="L266" s="10">
        <v>45666.810185185182</v>
      </c>
      <c r="M266" s="11">
        <f t="shared" si="12"/>
        <v>2.290509259182727E-2</v>
      </c>
      <c r="N266" s="11">
        <f t="shared" si="13"/>
        <v>0.53030092592234723</v>
      </c>
      <c r="O266" s="10">
        <v>45666.28398148148</v>
      </c>
      <c r="P266" s="11">
        <f t="shared" si="14"/>
        <v>0.50682870371383615</v>
      </c>
      <c r="Q266" s="12" t="s">
        <v>1137</v>
      </c>
    </row>
    <row r="267" spans="1:17" ht="38.25" x14ac:dyDescent="0.25">
      <c r="A267" s="3" t="s">
        <v>1138</v>
      </c>
      <c r="B267" s="3" t="s">
        <v>208</v>
      </c>
      <c r="C267" s="9">
        <v>12.04</v>
      </c>
      <c r="D267" s="3" t="s">
        <v>492</v>
      </c>
      <c r="E267" s="10">
        <v>45666.256979166668</v>
      </c>
      <c r="F267" s="10">
        <v>45666.27988425926</v>
      </c>
      <c r="G267" s="10">
        <v>45666.281157407408</v>
      </c>
      <c r="H267" s="3" t="s">
        <v>1139</v>
      </c>
      <c r="I267" s="10">
        <v>45670.394155092603</v>
      </c>
      <c r="J267" s="10">
        <v>45670.425902777781</v>
      </c>
      <c r="K267" s="10">
        <v>45670.425902777781</v>
      </c>
      <c r="L267" s="10">
        <v>45670.426874999997</v>
      </c>
      <c r="M267" s="11">
        <f t="shared" si="12"/>
        <v>2.417824073927477E-2</v>
      </c>
      <c r="N267" s="11">
        <f t="shared" si="13"/>
        <v>4.14571759258979</v>
      </c>
      <c r="O267" s="10">
        <v>45666.283680555563</v>
      </c>
      <c r="P267" s="11">
        <f t="shared" si="14"/>
        <v>4.1104745370394085</v>
      </c>
      <c r="Q267" s="12" t="s">
        <v>1140</v>
      </c>
    </row>
    <row r="268" spans="1:17" ht="25.5" x14ac:dyDescent="0.25">
      <c r="A268" s="3" t="s">
        <v>1141</v>
      </c>
      <c r="B268" s="3" t="s">
        <v>208</v>
      </c>
      <c r="C268" s="9">
        <v>31.48</v>
      </c>
      <c r="D268" s="3" t="s">
        <v>506</v>
      </c>
      <c r="E268" s="10">
        <v>45666.256979166668</v>
      </c>
      <c r="F268" s="10">
        <v>45666.281157407408</v>
      </c>
      <c r="G268" s="10">
        <v>45666.282592592594</v>
      </c>
      <c r="H268" s="3" t="s">
        <v>1085</v>
      </c>
      <c r="I268" s="10">
        <v>45666.331979166673</v>
      </c>
      <c r="J268" s="10">
        <v>45666.355150462958</v>
      </c>
      <c r="K268" s="10">
        <v>45666.355150462958</v>
      </c>
      <c r="L268" s="10">
        <v>45666.355937499997</v>
      </c>
      <c r="M268" s="11">
        <f t="shared" si="12"/>
        <v>2.5613425925257616E-2</v>
      </c>
      <c r="N268" s="11">
        <f t="shared" si="13"/>
        <v>7.3344907403225079E-2</v>
      </c>
      <c r="O268" s="10">
        <v>45666.287997685176</v>
      </c>
      <c r="P268" s="11">
        <f t="shared" si="14"/>
        <v>4.3981481496302877E-2</v>
      </c>
      <c r="Q268" s="12" t="s">
        <v>1142</v>
      </c>
    </row>
    <row r="269" spans="1:17" ht="25.5" x14ac:dyDescent="0.25">
      <c r="A269" s="3" t="s">
        <v>1143</v>
      </c>
      <c r="B269" s="3" t="s">
        <v>208</v>
      </c>
      <c r="C269" s="9">
        <v>37.5</v>
      </c>
      <c r="D269" s="3" t="s">
        <v>519</v>
      </c>
      <c r="E269" s="10">
        <v>45666.256979166668</v>
      </c>
      <c r="F269" s="10">
        <v>45666.282592592594</v>
      </c>
      <c r="G269" s="10">
        <v>45666.284594907411</v>
      </c>
      <c r="H269" s="3" t="s">
        <v>1144</v>
      </c>
      <c r="I269" s="10">
        <v>45666.645613425928</v>
      </c>
      <c r="J269" s="10">
        <v>45666.665925925918</v>
      </c>
      <c r="K269" s="10">
        <v>45666.665925925918</v>
      </c>
      <c r="L269" s="10">
        <v>45666.66673611111</v>
      </c>
      <c r="M269" s="11">
        <f t="shared" si="12"/>
        <v>2.7615740742476191E-2</v>
      </c>
      <c r="N269" s="11">
        <f t="shared" si="13"/>
        <v>0.38214120369957527</v>
      </c>
      <c r="O269" s="10">
        <v>45666.287245370368</v>
      </c>
      <c r="P269" s="11">
        <f t="shared" si="14"/>
        <v>0.35836805556027684</v>
      </c>
      <c r="Q269" s="12" t="s">
        <v>1145</v>
      </c>
    </row>
    <row r="270" spans="1:17" ht="25.5" x14ac:dyDescent="0.25">
      <c r="A270" s="3" t="s">
        <v>1146</v>
      </c>
      <c r="B270" s="3" t="s">
        <v>208</v>
      </c>
      <c r="C270" s="9">
        <v>43.14</v>
      </c>
      <c r="D270" s="3" t="s">
        <v>484</v>
      </c>
      <c r="E270" s="10">
        <v>45666.256979166668</v>
      </c>
      <c r="F270" s="10">
        <v>45666.284594907411</v>
      </c>
      <c r="G270" s="10">
        <v>45666.286412037043</v>
      </c>
      <c r="H270" s="3" t="s">
        <v>1020</v>
      </c>
      <c r="I270" s="10">
        <v>45667.13653935185</v>
      </c>
      <c r="J270" s="10">
        <v>45667.159131944441</v>
      </c>
      <c r="K270" s="10">
        <v>45667.159131944441</v>
      </c>
      <c r="L270" s="10">
        <v>45667.15997685185</v>
      </c>
      <c r="M270" s="11">
        <f t="shared" si="12"/>
        <v>2.9432870374876074E-2</v>
      </c>
      <c r="N270" s="11">
        <f t="shared" si="13"/>
        <v>0.8735648148067412</v>
      </c>
      <c r="O270" s="10">
        <v>45666.292037037027</v>
      </c>
      <c r="P270" s="11">
        <f t="shared" si="14"/>
        <v>0.84450231482333038</v>
      </c>
      <c r="Q270" s="12" t="s">
        <v>1147</v>
      </c>
    </row>
    <row r="271" spans="1:17" x14ac:dyDescent="0.25">
      <c r="A271" s="3" t="s">
        <v>1148</v>
      </c>
      <c r="B271" s="3" t="s">
        <v>209</v>
      </c>
      <c r="C271" s="9">
        <v>185.9</v>
      </c>
      <c r="D271" s="3" t="s">
        <v>500</v>
      </c>
      <c r="E271" s="10">
        <v>45666.273784722223</v>
      </c>
      <c r="F271" s="10">
        <v>45666.287280092591</v>
      </c>
      <c r="G271" s="10">
        <v>45666.289548611108</v>
      </c>
      <c r="H271" s="3" t="s">
        <v>1149</v>
      </c>
      <c r="I271" s="10">
        <v>45666.293773148151</v>
      </c>
      <c r="J271" s="10">
        <v>45666.326041666667</v>
      </c>
      <c r="K271" s="10">
        <v>45666.326041666667</v>
      </c>
      <c r="L271" s="10">
        <v>45666.326851851853</v>
      </c>
      <c r="M271" s="11">
        <f t="shared" si="12"/>
        <v>1.5763888884976041E-2</v>
      </c>
      <c r="N271" s="11">
        <f t="shared" si="13"/>
        <v>3.7303240744222421E-2</v>
      </c>
      <c r="O271" s="10">
        <v>45666.291712962957</v>
      </c>
      <c r="P271" s="11">
        <f t="shared" si="14"/>
        <v>2.0601851938408799E-3</v>
      </c>
      <c r="Q271" s="12" t="s">
        <v>1150</v>
      </c>
    </row>
    <row r="272" spans="1:17" ht="25.5" x14ac:dyDescent="0.25">
      <c r="A272" s="3" t="s">
        <v>1151</v>
      </c>
      <c r="B272" s="3" t="s">
        <v>210</v>
      </c>
      <c r="C272" s="9">
        <v>62.96</v>
      </c>
      <c r="D272" s="3" t="s">
        <v>533</v>
      </c>
      <c r="E272" s="10">
        <v>45666.302905092591</v>
      </c>
      <c r="F272" s="10">
        <v>45666.317118055558</v>
      </c>
      <c r="G272" s="10">
        <v>45666.318391203713</v>
      </c>
      <c r="H272" s="3" t="s">
        <v>1152</v>
      </c>
      <c r="I272" s="10">
        <v>45666.666608796288</v>
      </c>
      <c r="J272" s="10">
        <v>45666.696666666663</v>
      </c>
      <c r="K272" s="10">
        <v>45666.696666666663</v>
      </c>
      <c r="L272" s="10">
        <v>45666.697534722232</v>
      </c>
      <c r="M272" s="11">
        <f t="shared" si="12"/>
        <v>1.5486111122299917E-2</v>
      </c>
      <c r="N272" s="11">
        <f t="shared" si="13"/>
        <v>0.37914351851941319</v>
      </c>
      <c r="O272" s="10">
        <v>45666.320787037039</v>
      </c>
      <c r="P272" s="11">
        <f t="shared" si="14"/>
        <v>0.34582175924879266</v>
      </c>
      <c r="Q272" s="12" t="s">
        <v>1153</v>
      </c>
    </row>
    <row r="273" spans="1:17" ht="25.5" x14ac:dyDescent="0.25">
      <c r="A273" s="3" t="s">
        <v>1154</v>
      </c>
      <c r="B273" s="3" t="s">
        <v>210</v>
      </c>
      <c r="C273" s="9">
        <v>14</v>
      </c>
      <c r="D273" s="3" t="s">
        <v>595</v>
      </c>
      <c r="E273" s="10">
        <v>45666.302905092591</v>
      </c>
      <c r="F273" s="10">
        <v>45666.318391203713</v>
      </c>
      <c r="G273" s="10">
        <v>45666.319884259261</v>
      </c>
      <c r="H273" s="3" t="s">
        <v>596</v>
      </c>
      <c r="I273" s="10">
        <v>45666.32508101852</v>
      </c>
      <c r="J273" s="10">
        <v>45666.39607638889</v>
      </c>
      <c r="K273" s="10">
        <v>45666.39607638889</v>
      </c>
      <c r="L273" s="10">
        <v>45666.397569444453</v>
      </c>
      <c r="M273" s="11">
        <f t="shared" si="12"/>
        <v>1.6979166670353152E-2</v>
      </c>
      <c r="N273" s="11">
        <f t="shared" si="13"/>
        <v>7.7685185191512574E-2</v>
      </c>
      <c r="O273" s="10">
        <v>45666.323449074072</v>
      </c>
      <c r="P273" s="11">
        <f t="shared" si="14"/>
        <v>1.6319444475811906E-3</v>
      </c>
      <c r="Q273" s="12" t="s">
        <v>1155</v>
      </c>
    </row>
    <row r="274" spans="1:17" ht="25.5" x14ac:dyDescent="0.25">
      <c r="A274" s="3" t="s">
        <v>1156</v>
      </c>
      <c r="B274" s="3" t="s">
        <v>210</v>
      </c>
      <c r="C274" s="9">
        <v>21</v>
      </c>
      <c r="D274" s="3" t="s">
        <v>519</v>
      </c>
      <c r="E274" s="10">
        <v>45666.302905092591</v>
      </c>
      <c r="F274" s="10">
        <v>45666.319884259261</v>
      </c>
      <c r="G274" s="10">
        <v>45666.321851851862</v>
      </c>
      <c r="H274" s="3" t="s">
        <v>1144</v>
      </c>
      <c r="I274" s="10">
        <v>45666.645613425928</v>
      </c>
      <c r="J274" s="10">
        <v>45666.665925925918</v>
      </c>
      <c r="K274" s="10">
        <v>45666.665925925918</v>
      </c>
      <c r="L274" s="10">
        <v>45666.66673611111</v>
      </c>
      <c r="M274" s="11">
        <f t="shared" si="12"/>
        <v>1.8946759271784686E-2</v>
      </c>
      <c r="N274" s="11">
        <f t="shared" si="13"/>
        <v>0.34488425924791954</v>
      </c>
      <c r="O274" s="10">
        <v>45666.325775462959</v>
      </c>
      <c r="P274" s="11">
        <f t="shared" si="14"/>
        <v>0.31983796296844957</v>
      </c>
      <c r="Q274" s="12" t="s">
        <v>1157</v>
      </c>
    </row>
    <row r="275" spans="1:17" ht="25.5" x14ac:dyDescent="0.25">
      <c r="A275" s="3" t="s">
        <v>1158</v>
      </c>
      <c r="B275" s="3" t="s">
        <v>210</v>
      </c>
      <c r="C275" s="9">
        <v>47.22</v>
      </c>
      <c r="D275" s="3" t="s">
        <v>515</v>
      </c>
      <c r="E275" s="10">
        <v>45666.302905092591</v>
      </c>
      <c r="F275" s="10">
        <v>45666.321851851862</v>
      </c>
      <c r="G275" s="10">
        <v>45666.323310185187</v>
      </c>
      <c r="H275" s="3" t="s">
        <v>1085</v>
      </c>
      <c r="I275" s="10">
        <v>45666.331979166673</v>
      </c>
      <c r="J275" s="10">
        <v>45666.355150462958</v>
      </c>
      <c r="K275" s="10">
        <v>45666.355150462958</v>
      </c>
      <c r="L275" s="10">
        <v>45666.355937499997</v>
      </c>
      <c r="M275" s="11">
        <f t="shared" si="12"/>
        <v>2.0405092596774921E-2</v>
      </c>
      <c r="N275" s="11">
        <f t="shared" si="13"/>
        <v>3.2627314809360541E-2</v>
      </c>
      <c r="O275" s="10">
        <v>45666.327210648153</v>
      </c>
      <c r="P275" s="11">
        <f t="shared" si="14"/>
        <v>4.7685185199952684E-3</v>
      </c>
      <c r="Q275" s="12" t="s">
        <v>1159</v>
      </c>
    </row>
    <row r="276" spans="1:17" ht="25.5" x14ac:dyDescent="0.25">
      <c r="A276" s="3" t="s">
        <v>1160</v>
      </c>
      <c r="B276" s="3" t="s">
        <v>210</v>
      </c>
      <c r="C276" s="9">
        <v>19.899999999999999</v>
      </c>
      <c r="D276" s="3" t="s">
        <v>539</v>
      </c>
      <c r="E276" s="10">
        <v>45666.302905092591</v>
      </c>
      <c r="F276" s="10">
        <v>45666.323310185187</v>
      </c>
      <c r="G276" s="10">
        <v>45666.325046296297</v>
      </c>
      <c r="H276" s="3" t="s">
        <v>1012</v>
      </c>
      <c r="I276" s="10">
        <v>45666.332303240742</v>
      </c>
      <c r="J276" s="10">
        <v>45666.353032407409</v>
      </c>
      <c r="K276" s="10">
        <v>45666.353032407409</v>
      </c>
      <c r="L276" s="10">
        <v>45666.353900462957</v>
      </c>
      <c r="M276" s="11">
        <f t="shared" si="12"/>
        <v>2.2141203706269152E-2</v>
      </c>
      <c r="N276" s="11">
        <f t="shared" si="13"/>
        <v>2.8854166659584735E-2</v>
      </c>
      <c r="O276" s="10">
        <v>45666.330567129633</v>
      </c>
      <c r="P276" s="11">
        <f t="shared" si="14"/>
        <v>1.7361111094942316E-3</v>
      </c>
      <c r="Q276" s="12" t="s">
        <v>1161</v>
      </c>
    </row>
    <row r="277" spans="1:17" ht="38.25" x14ac:dyDescent="0.25">
      <c r="A277" s="3" t="s">
        <v>1162</v>
      </c>
      <c r="B277" s="3" t="s">
        <v>210</v>
      </c>
      <c r="C277" s="9">
        <v>19.899999999999999</v>
      </c>
      <c r="D277" s="3" t="s">
        <v>488</v>
      </c>
      <c r="E277" s="10">
        <v>45666.302905092591</v>
      </c>
      <c r="F277" s="10">
        <v>45666.325046296297</v>
      </c>
      <c r="G277" s="10">
        <v>45666.326331018521</v>
      </c>
      <c r="H277" s="3" t="s">
        <v>1131</v>
      </c>
      <c r="I277" s="10">
        <v>45666.790810185194</v>
      </c>
      <c r="J277" s="10">
        <v>45666.809513888889</v>
      </c>
      <c r="K277" s="10">
        <v>45666.809513888889</v>
      </c>
      <c r="L277" s="10">
        <v>45666.810185185182</v>
      </c>
      <c r="M277" s="11">
        <f t="shared" si="12"/>
        <v>2.3425925930496305E-2</v>
      </c>
      <c r="N277" s="11">
        <f t="shared" si="13"/>
        <v>0.48385416666133096</v>
      </c>
      <c r="O277" s="10">
        <v>45666.330358796287</v>
      </c>
      <c r="P277" s="11">
        <f t="shared" si="14"/>
        <v>0.46045138890622184</v>
      </c>
      <c r="Q277" s="12" t="s">
        <v>1163</v>
      </c>
    </row>
    <row r="278" spans="1:17" ht="25.5" x14ac:dyDescent="0.25">
      <c r="A278" s="3" t="s">
        <v>1164</v>
      </c>
      <c r="B278" s="3" t="s">
        <v>210</v>
      </c>
      <c r="C278" s="9">
        <v>93.699999999999989</v>
      </c>
      <c r="D278" s="3" t="s">
        <v>506</v>
      </c>
      <c r="E278" s="10">
        <v>45666.302905092591</v>
      </c>
      <c r="F278" s="10">
        <v>45666.326331018521</v>
      </c>
      <c r="G278" s="10">
        <v>45666.327893518523</v>
      </c>
      <c r="H278" s="3" t="s">
        <v>1165</v>
      </c>
      <c r="I278" s="10">
        <v>45666.653657407413</v>
      </c>
      <c r="J278" s="10">
        <v>45666.676562499997</v>
      </c>
      <c r="K278" s="10">
        <v>45666.676562499997</v>
      </c>
      <c r="L278" s="10">
        <v>45666.677349537043</v>
      </c>
      <c r="M278" s="11">
        <f t="shared" si="12"/>
        <v>2.4988425931951497E-2</v>
      </c>
      <c r="N278" s="11">
        <f t="shared" si="13"/>
        <v>0.34945601852086838</v>
      </c>
      <c r="O278" s="10">
        <v>45666.330289351848</v>
      </c>
      <c r="P278" s="11">
        <f t="shared" si="14"/>
        <v>0.32336805556406034</v>
      </c>
      <c r="Q278" s="12" t="s">
        <v>1166</v>
      </c>
    </row>
    <row r="279" spans="1:17" ht="25.5" x14ac:dyDescent="0.25">
      <c r="A279" s="3" t="s">
        <v>1167</v>
      </c>
      <c r="B279" s="3" t="s">
        <v>211</v>
      </c>
      <c r="C279" s="9">
        <v>324.98000000000008</v>
      </c>
      <c r="D279" s="3" t="s">
        <v>500</v>
      </c>
      <c r="E279" s="10">
        <v>45666.308067129627</v>
      </c>
      <c r="F279" s="10">
        <v>45666.314143518517</v>
      </c>
      <c r="G279" s="10">
        <v>45666.316331018519</v>
      </c>
      <c r="H279" s="3" t="s">
        <v>596</v>
      </c>
      <c r="I279" s="10">
        <v>45666.32508101852</v>
      </c>
      <c r="J279" s="10">
        <v>45666.39607638889</v>
      </c>
      <c r="K279" s="10">
        <v>45666.39607638889</v>
      </c>
      <c r="L279" s="10">
        <v>45666.397569444453</v>
      </c>
      <c r="M279" s="11">
        <f t="shared" si="12"/>
        <v>8.2638888925430365E-3</v>
      </c>
      <c r="N279" s="11">
        <f t="shared" si="13"/>
        <v>8.1238425933406688E-2</v>
      </c>
      <c r="O279" s="10">
        <v>45666.320231481477</v>
      </c>
      <c r="P279" s="11">
        <f t="shared" si="14"/>
        <v>4.8495370429009199E-3</v>
      </c>
      <c r="Q279" s="12" t="s">
        <v>1168</v>
      </c>
    </row>
    <row r="280" spans="1:17" x14ac:dyDescent="0.25">
      <c r="A280" s="3" t="s">
        <v>1169</v>
      </c>
      <c r="B280" s="3" t="s">
        <v>212</v>
      </c>
      <c r="C280" s="9">
        <v>381.56000000000012</v>
      </c>
      <c r="D280" s="3" t="s">
        <v>500</v>
      </c>
      <c r="E280" s="10">
        <v>45666.329351851848</v>
      </c>
      <c r="F280" s="10">
        <v>45666.336226851847</v>
      </c>
      <c r="G280" s="10">
        <v>45666.339004629634</v>
      </c>
      <c r="H280" s="3" t="s">
        <v>1170</v>
      </c>
      <c r="I280" s="10">
        <v>45666.357141203713</v>
      </c>
      <c r="J280" s="10">
        <v>45666.423379629632</v>
      </c>
      <c r="K280" s="10">
        <v>45666.423379629632</v>
      </c>
      <c r="L280" s="10">
        <v>45666.424814814818</v>
      </c>
      <c r="M280" s="11">
        <f t="shared" si="12"/>
        <v>9.6527777859591879E-3</v>
      </c>
      <c r="N280" s="11">
        <f t="shared" si="13"/>
        <v>8.5810185184527654E-2</v>
      </c>
      <c r="O280" s="10">
        <v>45666.356296296297</v>
      </c>
      <c r="P280" s="11">
        <f t="shared" si="14"/>
        <v>8.4490741573972628E-4</v>
      </c>
      <c r="Q280" s="12" t="s">
        <v>1171</v>
      </c>
    </row>
    <row r="281" spans="1:17" x14ac:dyDescent="0.25">
      <c r="A281" s="3" t="s">
        <v>1172</v>
      </c>
      <c r="B281" s="3" t="s">
        <v>213</v>
      </c>
      <c r="C281" s="9">
        <v>118.2</v>
      </c>
      <c r="D281" s="3" t="s">
        <v>500</v>
      </c>
      <c r="E281" s="10">
        <v>45666.3671412037</v>
      </c>
      <c r="F281" s="10">
        <v>45666.374768518523</v>
      </c>
      <c r="G281" s="10">
        <v>45666.376736111109</v>
      </c>
      <c r="H281" s="3" t="s">
        <v>1173</v>
      </c>
      <c r="I281" s="10">
        <v>45666.384837962964</v>
      </c>
      <c r="J281" s="10">
        <v>45666.405358796299</v>
      </c>
      <c r="K281" s="10">
        <v>45666.405358796299</v>
      </c>
      <c r="L281" s="10">
        <v>45666.406226851846</v>
      </c>
      <c r="M281" s="11">
        <f t="shared" si="12"/>
        <v>9.5949074093368836E-3</v>
      </c>
      <c r="N281" s="11">
        <f t="shared" si="13"/>
        <v>2.9490740736946464E-2</v>
      </c>
      <c r="O281" s="10">
        <v>45666.379131944443</v>
      </c>
      <c r="P281" s="11">
        <f t="shared" si="14"/>
        <v>5.7060185208683833E-3</v>
      </c>
      <c r="Q281" s="12" t="s">
        <v>1174</v>
      </c>
    </row>
    <row r="282" spans="1:17" ht="25.5" x14ac:dyDescent="0.25">
      <c r="A282" s="3" t="s">
        <v>1175</v>
      </c>
      <c r="B282" s="3" t="s">
        <v>213</v>
      </c>
      <c r="C282" s="9">
        <v>243.8</v>
      </c>
      <c r="D282" s="3" t="s">
        <v>572</v>
      </c>
      <c r="E282" s="10">
        <v>45666.3671412037</v>
      </c>
      <c r="F282" s="10">
        <v>45666.376736111109</v>
      </c>
      <c r="G282" s="10">
        <v>45666.379178240742</v>
      </c>
      <c r="H282" s="3" t="s">
        <v>1054</v>
      </c>
      <c r="I282" s="10">
        <v>45666.39775462963</v>
      </c>
      <c r="J282" s="10">
        <v>45666.443726851852</v>
      </c>
      <c r="K282" s="10">
        <v>45666.443726851852</v>
      </c>
      <c r="L282" s="10">
        <v>45666.444733796299</v>
      </c>
      <c r="M282" s="11">
        <f t="shared" si="12"/>
        <v>1.2037037042318843E-2</v>
      </c>
      <c r="N282" s="11">
        <f t="shared" si="13"/>
        <v>6.5555555556784384E-2</v>
      </c>
      <c r="O282" s="10">
        <v>45666.383101851847</v>
      </c>
      <c r="P282" s="11">
        <f t="shared" si="14"/>
        <v>1.4652777783339843E-2</v>
      </c>
      <c r="Q282" s="12" t="s">
        <v>1176</v>
      </c>
    </row>
    <row r="283" spans="1:17" ht="38.25" x14ac:dyDescent="0.25">
      <c r="A283" s="3" t="s">
        <v>1177</v>
      </c>
      <c r="B283" s="3" t="s">
        <v>214</v>
      </c>
      <c r="C283" s="9">
        <v>21</v>
      </c>
      <c r="D283" s="3" t="s">
        <v>572</v>
      </c>
      <c r="E283" s="10">
        <v>45666.454236111109</v>
      </c>
      <c r="F283" s="10">
        <v>45666.462511574071</v>
      </c>
      <c r="G283" s="10">
        <v>45666.464432870373</v>
      </c>
      <c r="H283" s="3" t="s">
        <v>1178</v>
      </c>
      <c r="I283" s="10">
        <v>45667.391284722216</v>
      </c>
      <c r="J283" s="10">
        <v>45667.41510416667</v>
      </c>
      <c r="K283" s="10">
        <v>45667.41510416667</v>
      </c>
      <c r="L283" s="10">
        <v>45667.415821759263</v>
      </c>
      <c r="M283" s="11">
        <f t="shared" si="12"/>
        <v>1.0196759263635613E-2</v>
      </c>
      <c r="N283" s="11">
        <f t="shared" si="13"/>
        <v>0.95138888889050577</v>
      </c>
      <c r="O283" s="10">
        <v>45666.466597222221</v>
      </c>
      <c r="P283" s="11">
        <f t="shared" si="14"/>
        <v>0.92468749999534339</v>
      </c>
      <c r="Q283" s="12" t="s">
        <v>1179</v>
      </c>
    </row>
    <row r="284" spans="1:17" x14ac:dyDescent="0.25">
      <c r="A284" s="3" t="s">
        <v>1180</v>
      </c>
      <c r="B284" s="3" t="s">
        <v>214</v>
      </c>
      <c r="C284" s="9">
        <v>414.67999999999989</v>
      </c>
      <c r="D284" s="3" t="s">
        <v>500</v>
      </c>
      <c r="E284" s="10">
        <v>45666.454236111109</v>
      </c>
      <c r="F284" s="10">
        <v>45666.464432870373</v>
      </c>
      <c r="G284" s="10">
        <v>45666.467083333337</v>
      </c>
      <c r="H284" s="3" t="s">
        <v>1181</v>
      </c>
      <c r="I284" s="10">
        <v>45666.470324074071</v>
      </c>
      <c r="J284" s="10">
        <v>45666.542314814818</v>
      </c>
      <c r="K284" s="10">
        <v>45666.542314814818</v>
      </c>
      <c r="L284" s="10">
        <v>45666.543865740743</v>
      </c>
      <c r="M284" s="11">
        <f t="shared" si="12"/>
        <v>1.2847222227719612E-2</v>
      </c>
      <c r="N284" s="11">
        <f t="shared" si="13"/>
        <v>7.6782407406426501E-2</v>
      </c>
      <c r="O284" s="10">
        <v>45666.46947916667</v>
      </c>
      <c r="P284" s="11">
        <f t="shared" si="14"/>
        <v>8.4490740118781105E-4</v>
      </c>
      <c r="Q284" s="12" t="s">
        <v>1182</v>
      </c>
    </row>
    <row r="285" spans="1:17" x14ac:dyDescent="0.25">
      <c r="A285" s="3" t="s">
        <v>1183</v>
      </c>
      <c r="B285" s="3" t="s">
        <v>215</v>
      </c>
      <c r="C285" s="9">
        <v>241.38</v>
      </c>
      <c r="D285" s="3" t="s">
        <v>500</v>
      </c>
      <c r="E285" s="10">
        <v>45666.608935185177</v>
      </c>
      <c r="F285" s="10">
        <v>45666.61451388889</v>
      </c>
      <c r="G285" s="10">
        <v>45666.616770833331</v>
      </c>
      <c r="H285" s="3" t="s">
        <v>1184</v>
      </c>
      <c r="I285" s="10">
        <v>45666.619791666657</v>
      </c>
      <c r="J285" s="10">
        <v>45666.66170138889</v>
      </c>
      <c r="K285" s="10">
        <v>45666.66170138889</v>
      </c>
      <c r="L285" s="10">
        <v>45666.662858796299</v>
      </c>
      <c r="M285" s="11">
        <f t="shared" si="12"/>
        <v>7.8356481535593048E-3</v>
      </c>
      <c r="N285" s="11">
        <f t="shared" si="13"/>
        <v>4.6087962968158536E-2</v>
      </c>
      <c r="O285" s="10">
        <v>45666.618923611109</v>
      </c>
      <c r="P285" s="11">
        <f t="shared" si="14"/>
        <v>8.6805554747115821E-4</v>
      </c>
      <c r="Q285" s="12" t="s">
        <v>1185</v>
      </c>
    </row>
    <row r="286" spans="1:17" ht="25.5" x14ac:dyDescent="0.25">
      <c r="A286" s="3" t="s">
        <v>1186</v>
      </c>
      <c r="B286" s="3" t="s">
        <v>216</v>
      </c>
      <c r="C286" s="9">
        <v>58.5</v>
      </c>
      <c r="D286" s="3" t="s">
        <v>519</v>
      </c>
      <c r="E286" s="10">
        <v>45666.627881944441</v>
      </c>
      <c r="F286" s="10">
        <v>45666.639166666668</v>
      </c>
      <c r="G286" s="10">
        <v>45666.641215277778</v>
      </c>
      <c r="H286" s="3" t="s">
        <v>1144</v>
      </c>
      <c r="I286" s="10">
        <v>45666.645613425928</v>
      </c>
      <c r="J286" s="10">
        <v>45666.665925925918</v>
      </c>
      <c r="K286" s="10">
        <v>45666.665925925918</v>
      </c>
      <c r="L286" s="10">
        <v>45666.66673611111</v>
      </c>
      <c r="M286" s="11">
        <f t="shared" si="12"/>
        <v>1.3333333336049691E-2</v>
      </c>
      <c r="N286" s="11">
        <f t="shared" si="13"/>
        <v>2.5520833332848269E-2</v>
      </c>
      <c r="O286" s="10">
        <v>45666.644768518519</v>
      </c>
      <c r="P286" s="11">
        <f t="shared" si="14"/>
        <v>8.4490740846376866E-4</v>
      </c>
      <c r="Q286" s="12" t="s">
        <v>1187</v>
      </c>
    </row>
    <row r="287" spans="1:17" ht="25.5" x14ac:dyDescent="0.25">
      <c r="A287" s="3" t="s">
        <v>1188</v>
      </c>
      <c r="B287" s="3" t="s">
        <v>216</v>
      </c>
      <c r="C287" s="9">
        <v>91.18</v>
      </c>
      <c r="D287" s="3" t="s">
        <v>515</v>
      </c>
      <c r="E287" s="10">
        <v>45666.627881944441</v>
      </c>
      <c r="F287" s="10">
        <v>45666.641215277778</v>
      </c>
      <c r="G287" s="10">
        <v>45666.64334490741</v>
      </c>
      <c r="H287" s="3" t="s">
        <v>1189</v>
      </c>
      <c r="I287" s="10">
        <v>45666.769699074073</v>
      </c>
      <c r="J287" s="10">
        <v>45666.796458333331</v>
      </c>
      <c r="K287" s="10">
        <v>45666.796458333331</v>
      </c>
      <c r="L287" s="10">
        <v>45666.797361111108</v>
      </c>
      <c r="M287" s="11">
        <f t="shared" si="12"/>
        <v>1.5462962968740612E-2</v>
      </c>
      <c r="N287" s="11">
        <f t="shared" si="13"/>
        <v>0.15401620369812008</v>
      </c>
      <c r="O287" s="10">
        <v>45666.645740740743</v>
      </c>
      <c r="P287" s="11">
        <f t="shared" si="14"/>
        <v>0.12395833332993789</v>
      </c>
      <c r="Q287" s="12" t="s">
        <v>1190</v>
      </c>
    </row>
    <row r="288" spans="1:17" x14ac:dyDescent="0.25">
      <c r="A288" s="3" t="s">
        <v>1191</v>
      </c>
      <c r="B288" s="3" t="s">
        <v>216</v>
      </c>
      <c r="C288" s="9">
        <v>131.94</v>
      </c>
      <c r="D288" s="3" t="s">
        <v>506</v>
      </c>
      <c r="E288" s="10">
        <v>45666.627881944441</v>
      </c>
      <c r="F288" s="10">
        <v>45666.64334490741</v>
      </c>
      <c r="G288" s="10">
        <v>45666.644999999997</v>
      </c>
      <c r="H288" s="3" t="s">
        <v>1165</v>
      </c>
      <c r="I288" s="10">
        <v>45666.653657407413</v>
      </c>
      <c r="J288" s="10">
        <v>45666.676562499997</v>
      </c>
      <c r="K288" s="10">
        <v>45666.676562499997</v>
      </c>
      <c r="L288" s="10">
        <v>45666.677349537043</v>
      </c>
      <c r="M288" s="11">
        <f t="shared" si="12"/>
        <v>1.7118055555329192E-2</v>
      </c>
      <c r="N288" s="11">
        <f t="shared" si="13"/>
        <v>3.2349537046684418E-2</v>
      </c>
      <c r="O288" s="10">
        <v>45666.647696759261</v>
      </c>
      <c r="P288" s="11">
        <f t="shared" si="14"/>
        <v>5.9606481518130749E-3</v>
      </c>
      <c r="Q288" s="12" t="s">
        <v>1192</v>
      </c>
    </row>
    <row r="289" spans="1:17" ht="25.5" x14ac:dyDescent="0.25">
      <c r="A289" s="3" t="s">
        <v>1193</v>
      </c>
      <c r="B289" s="3" t="s">
        <v>216</v>
      </c>
      <c r="C289" s="9">
        <v>110.18</v>
      </c>
      <c r="D289" s="3" t="s">
        <v>533</v>
      </c>
      <c r="E289" s="10">
        <v>45666.627881944441</v>
      </c>
      <c r="F289" s="10">
        <v>45666.644999999997</v>
      </c>
      <c r="G289" s="10">
        <v>45666.646377314813</v>
      </c>
      <c r="H289" s="3" t="s">
        <v>1152</v>
      </c>
      <c r="I289" s="10">
        <v>45666.666608796288</v>
      </c>
      <c r="J289" s="10">
        <v>45666.696666666663</v>
      </c>
      <c r="K289" s="10">
        <v>45666.696666666663</v>
      </c>
      <c r="L289" s="10">
        <v>45666.697534722232</v>
      </c>
      <c r="M289" s="11">
        <f t="shared" si="12"/>
        <v>1.8495370371965691E-2</v>
      </c>
      <c r="N289" s="11">
        <f t="shared" si="13"/>
        <v>5.1157407418941148E-2</v>
      </c>
      <c r="O289" s="10">
        <v>45666.65053240741</v>
      </c>
      <c r="P289" s="11">
        <f t="shared" si="14"/>
        <v>1.6076388877991121E-2</v>
      </c>
      <c r="Q289" s="12" t="s">
        <v>1194</v>
      </c>
    </row>
    <row r="290" spans="1:17" ht="25.5" x14ac:dyDescent="0.25">
      <c r="A290" s="3" t="s">
        <v>1195</v>
      </c>
      <c r="B290" s="3" t="s">
        <v>216</v>
      </c>
      <c r="C290" s="9">
        <v>15.74</v>
      </c>
      <c r="D290" s="3" t="s">
        <v>1033</v>
      </c>
      <c r="E290" s="10">
        <v>45666.627881944441</v>
      </c>
      <c r="F290" s="10">
        <v>45666.646377314813</v>
      </c>
      <c r="G290" s="10">
        <v>45666.647986111107</v>
      </c>
      <c r="H290" s="3" t="s">
        <v>1034</v>
      </c>
      <c r="I290" s="10">
        <v>45666.798148148147</v>
      </c>
      <c r="J290" s="10">
        <v>45666.815844907411</v>
      </c>
      <c r="K290" s="10">
        <v>45666.815844907411</v>
      </c>
      <c r="L290" s="10">
        <v>45666.816678240742</v>
      </c>
      <c r="M290" s="11">
        <f t="shared" si="12"/>
        <v>2.0104166665987577E-2</v>
      </c>
      <c r="N290" s="11">
        <f t="shared" si="13"/>
        <v>0.16869212963501923</v>
      </c>
      <c r="O290" s="10">
        <v>45666.652013888888</v>
      </c>
      <c r="P290" s="11">
        <f t="shared" si="14"/>
        <v>0.14613425925927004</v>
      </c>
      <c r="Q290" s="12" t="s">
        <v>1196</v>
      </c>
    </row>
    <row r="291" spans="1:17" x14ac:dyDescent="0.25">
      <c r="A291" s="3" t="s">
        <v>1197</v>
      </c>
      <c r="B291" s="3" t="s">
        <v>217</v>
      </c>
      <c r="C291" s="9">
        <v>314.80000000000013</v>
      </c>
      <c r="D291" s="3" t="s">
        <v>500</v>
      </c>
      <c r="E291" s="10">
        <v>45666.645567129628</v>
      </c>
      <c r="F291" s="10">
        <v>45666.651782407411</v>
      </c>
      <c r="G291" s="10">
        <v>45666.653946759259</v>
      </c>
      <c r="H291" s="3" t="s">
        <v>1198</v>
      </c>
      <c r="I291" s="10">
        <v>45666.667615740742</v>
      </c>
      <c r="J291" s="10">
        <v>45666.722268518519</v>
      </c>
      <c r="K291" s="10">
        <v>45666.722268518519</v>
      </c>
      <c r="L291" s="10">
        <v>45666.723541666674</v>
      </c>
      <c r="M291" s="11">
        <f t="shared" si="12"/>
        <v>8.3796296312357299E-3</v>
      </c>
      <c r="N291" s="11">
        <f t="shared" si="13"/>
        <v>6.9594907414284535E-2</v>
      </c>
      <c r="O291" s="10">
        <v>45666.664907407408</v>
      </c>
      <c r="P291" s="11">
        <f t="shared" si="14"/>
        <v>2.7083333334303461E-3</v>
      </c>
      <c r="Q291" s="12" t="s">
        <v>1199</v>
      </c>
    </row>
    <row r="292" spans="1:17" ht="25.5" x14ac:dyDescent="0.25">
      <c r="A292" s="3" t="s">
        <v>1200</v>
      </c>
      <c r="B292" s="3" t="s">
        <v>218</v>
      </c>
      <c r="C292" s="9">
        <v>19.899999999999999</v>
      </c>
      <c r="D292" s="3" t="s">
        <v>488</v>
      </c>
      <c r="E292" s="10">
        <v>45666.740763888891</v>
      </c>
      <c r="F292" s="10">
        <v>45666.755995370368</v>
      </c>
      <c r="G292" s="10">
        <v>45666.757280092592</v>
      </c>
      <c r="H292" s="3" t="s">
        <v>1131</v>
      </c>
      <c r="I292" s="10">
        <v>45666.790810185194</v>
      </c>
      <c r="J292" s="10">
        <v>45666.809513888889</v>
      </c>
      <c r="K292" s="10">
        <v>45666.809513888889</v>
      </c>
      <c r="L292" s="10">
        <v>45666.810185185182</v>
      </c>
      <c r="M292" s="11">
        <f t="shared" si="12"/>
        <v>1.6516203701030463E-2</v>
      </c>
      <c r="N292" s="11">
        <f t="shared" si="13"/>
        <v>5.2905092590663116E-2</v>
      </c>
      <c r="O292" s="10">
        <v>45666.761203703703</v>
      </c>
      <c r="P292" s="11">
        <f t="shared" si="14"/>
        <v>2.9606481490191072E-2</v>
      </c>
      <c r="Q292" s="12" t="s">
        <v>1201</v>
      </c>
    </row>
    <row r="293" spans="1:17" ht="38.25" x14ac:dyDescent="0.25">
      <c r="A293" s="3" t="s">
        <v>1202</v>
      </c>
      <c r="B293" s="3" t="s">
        <v>218</v>
      </c>
      <c r="C293" s="9">
        <v>19.899999999999999</v>
      </c>
      <c r="D293" s="3" t="s">
        <v>563</v>
      </c>
      <c r="E293" s="10">
        <v>45666.740763888891</v>
      </c>
      <c r="F293" s="10">
        <v>45666.757280092592</v>
      </c>
      <c r="G293" s="10">
        <v>45666.759317129632</v>
      </c>
      <c r="H293" s="3" t="s">
        <v>1134</v>
      </c>
      <c r="I293" s="10">
        <v>45666.864548611113</v>
      </c>
      <c r="J293" s="10">
        <v>45666.885844907411</v>
      </c>
      <c r="K293" s="10">
        <v>45666.885844907411</v>
      </c>
      <c r="L293" s="10">
        <v>45666.886631944442</v>
      </c>
      <c r="M293" s="11">
        <f t="shared" si="12"/>
        <v>1.8553240741312038E-2</v>
      </c>
      <c r="N293" s="11">
        <f t="shared" si="13"/>
        <v>0.12731481481023366</v>
      </c>
      <c r="O293" s="10">
        <v>45666.762881944444</v>
      </c>
      <c r="P293" s="11">
        <f t="shared" si="14"/>
        <v>0.101666666669189</v>
      </c>
      <c r="Q293" s="12" t="s">
        <v>1203</v>
      </c>
    </row>
    <row r="294" spans="1:17" ht="25.5" x14ac:dyDescent="0.25">
      <c r="A294" s="3" t="s">
        <v>1204</v>
      </c>
      <c r="B294" s="3" t="s">
        <v>218</v>
      </c>
      <c r="C294" s="9">
        <v>15.74</v>
      </c>
      <c r="D294" s="3" t="s">
        <v>654</v>
      </c>
      <c r="E294" s="10">
        <v>45666.740763888891</v>
      </c>
      <c r="F294" s="10">
        <v>45666.759317129632</v>
      </c>
      <c r="G294" s="10">
        <v>45666.761041666658</v>
      </c>
      <c r="H294" s="3" t="s">
        <v>655</v>
      </c>
      <c r="I294" s="10">
        <v>45666.797094907408</v>
      </c>
      <c r="J294" s="10">
        <v>45666.81622685185</v>
      </c>
      <c r="K294" s="10">
        <v>45666.816678240742</v>
      </c>
      <c r="L294" s="10">
        <v>45666.817453703698</v>
      </c>
      <c r="M294" s="11">
        <f t="shared" si="12"/>
        <v>2.027777776675066E-2</v>
      </c>
      <c r="N294" s="11">
        <f t="shared" si="13"/>
        <v>5.6412037039990537E-2</v>
      </c>
      <c r="O294" s="10">
        <v>45666.764965277784</v>
      </c>
      <c r="P294" s="11">
        <f t="shared" si="14"/>
        <v>3.2129629624250811E-2</v>
      </c>
      <c r="Q294" s="12" t="s">
        <v>1205</v>
      </c>
    </row>
    <row r="295" spans="1:17" x14ac:dyDescent="0.25">
      <c r="A295" s="3" t="s">
        <v>1206</v>
      </c>
      <c r="B295" s="3" t="s">
        <v>218</v>
      </c>
      <c r="C295" s="9">
        <v>116.94</v>
      </c>
      <c r="D295" s="3" t="s">
        <v>506</v>
      </c>
      <c r="E295" s="10">
        <v>45666.740763888891</v>
      </c>
      <c r="F295" s="10">
        <v>45666.761041666658</v>
      </c>
      <c r="G295" s="10">
        <v>45666.762430555558</v>
      </c>
      <c r="H295" s="3" t="s">
        <v>1207</v>
      </c>
      <c r="I295" s="10">
        <v>45666.7656712963</v>
      </c>
      <c r="J295" s="10">
        <v>45666.78597222222</v>
      </c>
      <c r="K295" s="10">
        <v>45666.78597222222</v>
      </c>
      <c r="L295" s="10">
        <v>45666.78670138889</v>
      </c>
      <c r="M295" s="11">
        <f t="shared" si="12"/>
        <v>2.1666666667442769E-2</v>
      </c>
      <c r="N295" s="11">
        <f t="shared" si="13"/>
        <v>2.4270833331684116E-2</v>
      </c>
      <c r="O295" s="10">
        <v>45666.764826388891</v>
      </c>
      <c r="P295" s="11">
        <f t="shared" si="14"/>
        <v>8.4490740846376866E-4</v>
      </c>
      <c r="Q295" s="12" t="s">
        <v>1208</v>
      </c>
    </row>
    <row r="296" spans="1:17" ht="25.5" x14ac:dyDescent="0.25">
      <c r="A296" s="3" t="s">
        <v>1209</v>
      </c>
      <c r="B296" s="3" t="s">
        <v>218</v>
      </c>
      <c r="C296" s="9">
        <v>62.96</v>
      </c>
      <c r="D296" s="3" t="s">
        <v>515</v>
      </c>
      <c r="E296" s="10">
        <v>45666.740763888891</v>
      </c>
      <c r="F296" s="10">
        <v>45666.762430555558</v>
      </c>
      <c r="G296" s="10">
        <v>45666.764490740738</v>
      </c>
      <c r="H296" s="3" t="s">
        <v>1189</v>
      </c>
      <c r="I296" s="10">
        <v>45666.769699074073</v>
      </c>
      <c r="J296" s="10">
        <v>45666.796458333331</v>
      </c>
      <c r="K296" s="10">
        <v>45666.796458333331</v>
      </c>
      <c r="L296" s="10">
        <v>45666.797361111108</v>
      </c>
      <c r="M296" s="11">
        <f t="shared" si="12"/>
        <v>2.3726851846731734E-2</v>
      </c>
      <c r="N296" s="11">
        <f t="shared" si="13"/>
        <v>3.2870370370801538E-2</v>
      </c>
      <c r="O296" s="10">
        <v>45666.768067129633</v>
      </c>
      <c r="P296" s="11">
        <f t="shared" si="14"/>
        <v>1.631944440305233E-3</v>
      </c>
      <c r="Q296" s="12" t="s">
        <v>1210</v>
      </c>
    </row>
    <row r="297" spans="1:17" ht="25.5" x14ac:dyDescent="0.25">
      <c r="A297" s="3" t="s">
        <v>1211</v>
      </c>
      <c r="B297" s="3" t="s">
        <v>218</v>
      </c>
      <c r="C297" s="9">
        <v>19.899999999999999</v>
      </c>
      <c r="D297" s="3" t="s">
        <v>488</v>
      </c>
      <c r="E297" s="10">
        <v>45666.740763888891</v>
      </c>
      <c r="F297" s="10">
        <v>45666.764490740738</v>
      </c>
      <c r="G297" s="10">
        <v>45666.765775462962</v>
      </c>
      <c r="H297" s="3" t="s">
        <v>1131</v>
      </c>
      <c r="I297" s="10">
        <v>45666.790810185194</v>
      </c>
      <c r="J297" s="10">
        <v>45666.809513888889</v>
      </c>
      <c r="K297" s="10">
        <v>45666.809513888889</v>
      </c>
      <c r="L297" s="10">
        <v>45666.810185185182</v>
      </c>
      <c r="M297" s="11">
        <f t="shared" si="12"/>
        <v>2.5011574070958886E-2</v>
      </c>
      <c r="N297" s="11">
        <f t="shared" si="13"/>
        <v>4.4409722220734693E-2</v>
      </c>
      <c r="O297" s="10">
        <v>45666.769699074073</v>
      </c>
      <c r="P297" s="11">
        <f t="shared" si="14"/>
        <v>2.1111111120262649E-2</v>
      </c>
      <c r="Q297" s="12" t="s">
        <v>1212</v>
      </c>
    </row>
    <row r="298" spans="1:17" ht="38.25" x14ac:dyDescent="0.25">
      <c r="A298" s="3" t="s">
        <v>1213</v>
      </c>
      <c r="B298" s="3" t="s">
        <v>218</v>
      </c>
      <c r="C298" s="9">
        <v>28</v>
      </c>
      <c r="D298" s="3" t="s">
        <v>595</v>
      </c>
      <c r="E298" s="10">
        <v>45666.740763888891</v>
      </c>
      <c r="F298" s="10">
        <v>45666.765775462962</v>
      </c>
      <c r="G298" s="10">
        <v>45666.76730324074</v>
      </c>
      <c r="H298" s="3" t="s">
        <v>1214</v>
      </c>
      <c r="I298" s="10">
        <v>45666.811249999999</v>
      </c>
      <c r="J298" s="10">
        <v>45666.832199074073</v>
      </c>
      <c r="K298" s="10">
        <v>45666.832199074073</v>
      </c>
      <c r="L298" s="10">
        <v>45666.833020833343</v>
      </c>
      <c r="M298" s="11">
        <f t="shared" si="12"/>
        <v>2.6539351849351078E-2</v>
      </c>
      <c r="N298" s="11">
        <f t="shared" si="13"/>
        <v>6.5717592602595687E-2</v>
      </c>
      <c r="O298" s="10">
        <v>45666.769699074073</v>
      </c>
      <c r="P298" s="11">
        <f t="shared" si="14"/>
        <v>4.1550925925548654E-2</v>
      </c>
      <c r="Q298" s="12" t="s">
        <v>1215</v>
      </c>
    </row>
    <row r="299" spans="1:17" ht="25.5" x14ac:dyDescent="0.25">
      <c r="A299" s="3" t="s">
        <v>1216</v>
      </c>
      <c r="B299" s="3" t="s">
        <v>218</v>
      </c>
      <c r="C299" s="9">
        <v>19.899999999999999</v>
      </c>
      <c r="D299" s="3" t="s">
        <v>519</v>
      </c>
      <c r="E299" s="10">
        <v>45666.740763888891</v>
      </c>
      <c r="F299" s="10">
        <v>45666.76730324074</v>
      </c>
      <c r="G299" s="10">
        <v>45666.76903935185</v>
      </c>
      <c r="H299" s="3" t="s">
        <v>1217</v>
      </c>
      <c r="I299" s="10">
        <v>45666.817546296297</v>
      </c>
      <c r="J299" s="10">
        <v>45666.84138888889</v>
      </c>
      <c r="K299" s="10">
        <v>45666.84138888889</v>
      </c>
      <c r="L299" s="10">
        <v>45666.842303240737</v>
      </c>
      <c r="M299" s="11">
        <f t="shared" si="12"/>
        <v>2.827546295884531E-2</v>
      </c>
      <c r="N299" s="11">
        <f t="shared" si="13"/>
        <v>7.3263888887595385E-2</v>
      </c>
      <c r="O299" s="10">
        <v>45666.772962962961</v>
      </c>
      <c r="P299" s="11">
        <f t="shared" si="14"/>
        <v>4.4583333336049691E-2</v>
      </c>
      <c r="Q299" s="12" t="s">
        <v>1218</v>
      </c>
    </row>
    <row r="300" spans="1:17" ht="38.25" x14ac:dyDescent="0.25">
      <c r="A300" s="3" t="s">
        <v>1219</v>
      </c>
      <c r="B300" s="3" t="s">
        <v>218</v>
      </c>
      <c r="C300" s="9">
        <v>15.74</v>
      </c>
      <c r="D300" s="3" t="s">
        <v>533</v>
      </c>
      <c r="E300" s="10">
        <v>45666.740763888891</v>
      </c>
      <c r="F300" s="10">
        <v>45666.76903935185</v>
      </c>
      <c r="G300" s="10">
        <v>45666.770543981482</v>
      </c>
      <c r="H300" s="3" t="s">
        <v>1214</v>
      </c>
      <c r="I300" s="10">
        <v>45666.811249999999</v>
      </c>
      <c r="J300" s="10">
        <v>45666.832199074073</v>
      </c>
      <c r="K300" s="10">
        <v>45666.832199074073</v>
      </c>
      <c r="L300" s="10">
        <v>45666.833020833343</v>
      </c>
      <c r="M300" s="11">
        <f t="shared" si="12"/>
        <v>2.9780092590954155E-2</v>
      </c>
      <c r="N300" s="11">
        <f t="shared" si="13"/>
        <v>6.247685186099261E-2</v>
      </c>
      <c r="O300" s="10">
        <v>45666.77449074074</v>
      </c>
      <c r="P300" s="11">
        <f t="shared" si="14"/>
        <v>3.6759259259270038E-2</v>
      </c>
      <c r="Q300" s="12" t="s">
        <v>1220</v>
      </c>
    </row>
    <row r="301" spans="1:17" ht="25.5" x14ac:dyDescent="0.25">
      <c r="A301" s="3" t="s">
        <v>1221</v>
      </c>
      <c r="B301" s="3" t="s">
        <v>219</v>
      </c>
      <c r="C301" s="9">
        <v>47.22</v>
      </c>
      <c r="D301" s="3" t="s">
        <v>500</v>
      </c>
      <c r="E301" s="10">
        <v>45666.741354166668</v>
      </c>
      <c r="F301" s="10">
        <v>45666.746134259258</v>
      </c>
      <c r="G301" s="10">
        <v>45666.74795138889</v>
      </c>
      <c r="H301" s="3" t="s">
        <v>1222</v>
      </c>
      <c r="I301" s="10">
        <v>45667.255497685182</v>
      </c>
      <c r="J301" s="10">
        <v>45667.315428240741</v>
      </c>
      <c r="K301" s="10">
        <v>45667.315428240741</v>
      </c>
      <c r="L301" s="10">
        <v>45667.316712962973</v>
      </c>
      <c r="M301" s="11">
        <f t="shared" si="12"/>
        <v>6.5972222218988463E-3</v>
      </c>
      <c r="N301" s="11">
        <f t="shared" si="13"/>
        <v>0.56876157408260042</v>
      </c>
      <c r="O301" s="10">
        <v>45666.750324074077</v>
      </c>
      <c r="P301" s="11">
        <f t="shared" si="14"/>
        <v>0.5051736111054197</v>
      </c>
      <c r="Q301" s="12" t="s">
        <v>1223</v>
      </c>
    </row>
    <row r="302" spans="1:17" ht="25.5" x14ac:dyDescent="0.25">
      <c r="A302" s="3" t="s">
        <v>1224</v>
      </c>
      <c r="B302" s="3" t="s">
        <v>220</v>
      </c>
      <c r="C302" s="9">
        <v>19.899999999999999</v>
      </c>
      <c r="D302" s="3" t="s">
        <v>488</v>
      </c>
      <c r="E302" s="10">
        <v>45666.743275462963</v>
      </c>
      <c r="F302" s="10">
        <v>45666.771412037036</v>
      </c>
      <c r="G302" s="10">
        <v>45666.773344907408</v>
      </c>
      <c r="H302" s="3" t="s">
        <v>1225</v>
      </c>
      <c r="I302" s="10">
        <v>45667.134687500002</v>
      </c>
      <c r="J302" s="10">
        <v>45667.173263888893</v>
      </c>
      <c r="K302" s="10">
        <v>45667.173263888893</v>
      </c>
      <c r="L302" s="10">
        <v>45667.174317129633</v>
      </c>
      <c r="M302" s="11">
        <f t="shared" si="12"/>
        <v>3.0069444444961846E-2</v>
      </c>
      <c r="N302" s="11">
        <f t="shared" si="13"/>
        <v>0.40097222222539131</v>
      </c>
      <c r="O302" s="10">
        <v>45666.776226851849</v>
      </c>
      <c r="P302" s="11">
        <f t="shared" si="14"/>
        <v>0.35846064815268619</v>
      </c>
      <c r="Q302" s="12" t="s">
        <v>1226</v>
      </c>
    </row>
    <row r="303" spans="1:17" ht="25.5" x14ac:dyDescent="0.25">
      <c r="A303" s="3" t="s">
        <v>1227</v>
      </c>
      <c r="B303" s="3" t="s">
        <v>220</v>
      </c>
      <c r="C303" s="9">
        <v>15.74</v>
      </c>
      <c r="D303" s="3" t="s">
        <v>654</v>
      </c>
      <c r="E303" s="10">
        <v>45666.743275462963</v>
      </c>
      <c r="F303" s="10">
        <v>45666.773344907408</v>
      </c>
      <c r="G303" s="10">
        <v>45666.775034722217</v>
      </c>
      <c r="H303" s="3" t="s">
        <v>655</v>
      </c>
      <c r="I303" s="10">
        <v>45666.797094907408</v>
      </c>
      <c r="J303" s="10">
        <v>45666.81622685185</v>
      </c>
      <c r="K303" s="10">
        <v>45666.816678240742</v>
      </c>
      <c r="L303" s="10">
        <v>45666.817453703698</v>
      </c>
      <c r="M303" s="11">
        <f t="shared" si="12"/>
        <v>3.1759259254613426E-2</v>
      </c>
      <c r="N303" s="11">
        <f t="shared" si="13"/>
        <v>4.241898148029577E-2</v>
      </c>
      <c r="O303" s="10">
        <v>45666.779282407413</v>
      </c>
      <c r="P303" s="11">
        <f t="shared" si="14"/>
        <v>1.7812499994761311E-2</v>
      </c>
      <c r="Q303" s="12" t="s">
        <v>1228</v>
      </c>
    </row>
    <row r="304" spans="1:17" ht="25.5" x14ac:dyDescent="0.25">
      <c r="A304" s="3" t="s">
        <v>1229</v>
      </c>
      <c r="B304" s="3" t="s">
        <v>220</v>
      </c>
      <c r="C304" s="9">
        <v>74.62</v>
      </c>
      <c r="D304" s="3" t="s">
        <v>515</v>
      </c>
      <c r="E304" s="10">
        <v>45666.743275462963</v>
      </c>
      <c r="F304" s="10">
        <v>45666.775034722217</v>
      </c>
      <c r="G304" s="10">
        <v>45666.777060185188</v>
      </c>
      <c r="H304" s="3" t="s">
        <v>1230</v>
      </c>
      <c r="I304" s="10">
        <v>45666.868483796286</v>
      </c>
      <c r="J304" s="10">
        <v>45666.8903587963</v>
      </c>
      <c r="K304" s="10">
        <v>45666.8903587963</v>
      </c>
      <c r="L304" s="10">
        <v>45666.891030092593</v>
      </c>
      <c r="M304" s="11">
        <f t="shared" si="12"/>
        <v>3.3784722225391306E-2</v>
      </c>
      <c r="N304" s="11">
        <f t="shared" si="13"/>
        <v>0.11396990740468027</v>
      </c>
      <c r="O304" s="10">
        <v>45666.779490740737</v>
      </c>
      <c r="P304" s="11">
        <f t="shared" si="14"/>
        <v>8.8993055549508426E-2</v>
      </c>
      <c r="Q304" s="12" t="s">
        <v>1231</v>
      </c>
    </row>
    <row r="305" spans="1:17" ht="25.5" x14ac:dyDescent="0.25">
      <c r="A305" s="3" t="s">
        <v>1232</v>
      </c>
      <c r="B305" s="3" t="s">
        <v>220</v>
      </c>
      <c r="C305" s="9">
        <v>23.24</v>
      </c>
      <c r="D305" s="3" t="s">
        <v>506</v>
      </c>
      <c r="E305" s="10">
        <v>45666.743275462963</v>
      </c>
      <c r="F305" s="10">
        <v>45666.777060185188</v>
      </c>
      <c r="G305" s="10">
        <v>45666.778657407413</v>
      </c>
      <c r="H305" s="3" t="s">
        <v>1034</v>
      </c>
      <c r="I305" s="10">
        <v>45666.798148148147</v>
      </c>
      <c r="J305" s="10">
        <v>45666.815844907411</v>
      </c>
      <c r="K305" s="10">
        <v>45666.815844907411</v>
      </c>
      <c r="L305" s="10">
        <v>45666.816678240742</v>
      </c>
      <c r="M305" s="11">
        <f t="shared" si="12"/>
        <v>3.5381944449909497E-2</v>
      </c>
      <c r="N305" s="11">
        <f t="shared" si="13"/>
        <v>3.8020833329937886E-2</v>
      </c>
      <c r="O305" s="10">
        <v>45666.784074074072</v>
      </c>
      <c r="P305" s="11">
        <f t="shared" si="14"/>
        <v>1.4074074075324461E-2</v>
      </c>
      <c r="Q305" s="12" t="s">
        <v>1233</v>
      </c>
    </row>
    <row r="306" spans="1:17" ht="25.5" x14ac:dyDescent="0.25">
      <c r="A306" s="3" t="s">
        <v>1234</v>
      </c>
      <c r="B306" s="3" t="s">
        <v>220</v>
      </c>
      <c r="C306" s="9">
        <v>14</v>
      </c>
      <c r="D306" s="3" t="s">
        <v>595</v>
      </c>
      <c r="E306" s="10">
        <v>45666.743275462963</v>
      </c>
      <c r="F306" s="10">
        <v>45666.778657407413</v>
      </c>
      <c r="G306" s="10">
        <v>45666.780127314807</v>
      </c>
      <c r="H306" s="3" t="s">
        <v>1214</v>
      </c>
      <c r="I306" s="10">
        <v>45666.811249999999</v>
      </c>
      <c r="J306" s="10">
        <v>45666.832199074073</v>
      </c>
      <c r="K306" s="10">
        <v>45666.832199074073</v>
      </c>
      <c r="L306" s="10">
        <v>45666.833020833343</v>
      </c>
      <c r="M306" s="11">
        <f t="shared" si="12"/>
        <v>3.6851851844403427E-2</v>
      </c>
      <c r="N306" s="11">
        <f t="shared" si="13"/>
        <v>5.2893518535711337E-2</v>
      </c>
      <c r="O306" s="10">
        <v>45666.784282407411</v>
      </c>
      <c r="P306" s="11">
        <f t="shared" si="14"/>
        <v>2.696759258833481E-2</v>
      </c>
      <c r="Q306" s="12" t="s">
        <v>1235</v>
      </c>
    </row>
    <row r="307" spans="1:17" ht="25.5" x14ac:dyDescent="0.25">
      <c r="A307" s="3" t="s">
        <v>1236</v>
      </c>
      <c r="B307" s="3" t="s">
        <v>220</v>
      </c>
      <c r="C307" s="9">
        <v>15.74</v>
      </c>
      <c r="D307" s="3" t="s">
        <v>506</v>
      </c>
      <c r="E307" s="10">
        <v>45666.743275462963</v>
      </c>
      <c r="F307" s="10">
        <v>45666.780127314807</v>
      </c>
      <c r="G307" s="10">
        <v>45666.781828703701</v>
      </c>
      <c r="H307" s="3" t="s">
        <v>1217</v>
      </c>
      <c r="I307" s="10">
        <v>45666.817546296297</v>
      </c>
      <c r="J307" s="10">
        <v>45666.84138888889</v>
      </c>
      <c r="K307" s="10">
        <v>45666.84138888889</v>
      </c>
      <c r="L307" s="10">
        <v>45666.842303240737</v>
      </c>
      <c r="M307" s="11">
        <f t="shared" si="12"/>
        <v>3.8553240738110617E-2</v>
      </c>
      <c r="N307" s="11">
        <f t="shared" si="13"/>
        <v>6.0474537036498077E-2</v>
      </c>
      <c r="O307" s="10">
        <v>45666.788865740738</v>
      </c>
      <c r="P307" s="11">
        <f t="shared" si="14"/>
        <v>2.8680555558821652E-2</v>
      </c>
      <c r="Q307" s="12" t="s">
        <v>1237</v>
      </c>
    </row>
    <row r="308" spans="1:17" ht="25.5" x14ac:dyDescent="0.25">
      <c r="A308" s="3" t="s">
        <v>1238</v>
      </c>
      <c r="B308" s="3" t="s">
        <v>220</v>
      </c>
      <c r="C308" s="9">
        <v>19.899999999999999</v>
      </c>
      <c r="D308" s="3" t="s">
        <v>488</v>
      </c>
      <c r="E308" s="10">
        <v>45666.743275462963</v>
      </c>
      <c r="F308" s="10">
        <v>45666.781828703701</v>
      </c>
      <c r="G308" s="10">
        <v>45666.783761574072</v>
      </c>
      <c r="H308" s="3" t="s">
        <v>1225</v>
      </c>
      <c r="I308" s="10">
        <v>45667.134687500002</v>
      </c>
      <c r="J308" s="10">
        <v>45667.173263888893</v>
      </c>
      <c r="K308" s="10">
        <v>45667.173263888893</v>
      </c>
      <c r="L308" s="10">
        <v>45667.174317129633</v>
      </c>
      <c r="M308" s="11">
        <f t="shared" si="12"/>
        <v>4.0486111109203193E-2</v>
      </c>
      <c r="N308" s="11">
        <f t="shared" si="13"/>
        <v>0.39055555556114996</v>
      </c>
      <c r="O308" s="10">
        <v>45666.789074074077</v>
      </c>
      <c r="P308" s="11">
        <f t="shared" si="14"/>
        <v>0.34561342592496658</v>
      </c>
      <c r="Q308" s="12" t="s">
        <v>1239</v>
      </c>
    </row>
    <row r="309" spans="1:17" ht="38.25" x14ac:dyDescent="0.25">
      <c r="A309" s="3" t="s">
        <v>1240</v>
      </c>
      <c r="B309" s="3" t="s">
        <v>220</v>
      </c>
      <c r="C309" s="9">
        <v>54</v>
      </c>
      <c r="D309" s="3" t="s">
        <v>527</v>
      </c>
      <c r="E309" s="10">
        <v>45666.743275462963</v>
      </c>
      <c r="F309" s="10">
        <v>45666.783761574072</v>
      </c>
      <c r="G309" s="10">
        <v>45666.785092592603</v>
      </c>
      <c r="H309" s="3" t="s">
        <v>1241</v>
      </c>
      <c r="I309" s="10">
        <v>45667.305277777778</v>
      </c>
      <c r="J309" s="10">
        <v>45667.331817129627</v>
      </c>
      <c r="K309" s="10">
        <v>45667.331817129627</v>
      </c>
      <c r="L309" s="10">
        <v>45667.332604166673</v>
      </c>
      <c r="M309" s="11">
        <f t="shared" si="12"/>
        <v>4.1817129640548956E-2</v>
      </c>
      <c r="N309" s="11">
        <f t="shared" si="13"/>
        <v>0.54751157407008577</v>
      </c>
      <c r="O309" s="10">
        <v>45666.788900462961</v>
      </c>
      <c r="P309" s="11">
        <f t="shared" si="14"/>
        <v>0.51637731481605442</v>
      </c>
      <c r="Q309" s="12" t="s">
        <v>1242</v>
      </c>
    </row>
    <row r="310" spans="1:17" ht="25.5" x14ac:dyDescent="0.25">
      <c r="A310" s="3" t="s">
        <v>1243</v>
      </c>
      <c r="B310" s="3" t="s">
        <v>220</v>
      </c>
      <c r="C310" s="9">
        <v>62.96</v>
      </c>
      <c r="D310" s="3" t="s">
        <v>533</v>
      </c>
      <c r="E310" s="10">
        <v>45666.743275462963</v>
      </c>
      <c r="F310" s="10">
        <v>45666.785092592603</v>
      </c>
      <c r="G310" s="10">
        <v>45666.786678240736</v>
      </c>
      <c r="H310" s="3" t="s">
        <v>1214</v>
      </c>
      <c r="I310" s="10">
        <v>45666.811249999999</v>
      </c>
      <c r="J310" s="10">
        <v>45666.832199074073</v>
      </c>
      <c r="K310" s="10">
        <v>45666.832199074073</v>
      </c>
      <c r="L310" s="10">
        <v>45666.833020833343</v>
      </c>
      <c r="M310" s="11">
        <f t="shared" si="12"/>
        <v>4.3402777773735579E-2</v>
      </c>
      <c r="N310" s="11">
        <f t="shared" si="13"/>
        <v>4.6342592606379185E-2</v>
      </c>
      <c r="O310" s="10">
        <v>45666.790694444448</v>
      </c>
      <c r="P310" s="11">
        <f t="shared" si="14"/>
        <v>2.0555555551254656E-2</v>
      </c>
      <c r="Q310" s="12" t="s">
        <v>1244</v>
      </c>
    </row>
    <row r="311" spans="1:17" ht="38.25" x14ac:dyDescent="0.25">
      <c r="A311" s="3" t="s">
        <v>1245</v>
      </c>
      <c r="B311" s="3" t="s">
        <v>220</v>
      </c>
      <c r="C311" s="9">
        <v>15.74</v>
      </c>
      <c r="D311" s="3" t="s">
        <v>496</v>
      </c>
      <c r="E311" s="10">
        <v>45666.743275462963</v>
      </c>
      <c r="F311" s="10">
        <v>45666.786678240736</v>
      </c>
      <c r="G311" s="10">
        <v>45666.788553240738</v>
      </c>
      <c r="H311" s="3" t="s">
        <v>1178</v>
      </c>
      <c r="I311" s="10">
        <v>45667.391284722216</v>
      </c>
      <c r="J311" s="10">
        <v>45667.41510416667</v>
      </c>
      <c r="K311" s="10">
        <v>45667.41510416667</v>
      </c>
      <c r="L311" s="10">
        <v>45667.415821759263</v>
      </c>
      <c r="M311" s="11">
        <f t="shared" si="12"/>
        <v>4.5277777775481809E-2</v>
      </c>
      <c r="N311" s="11">
        <f t="shared" si="13"/>
        <v>0.62726851852494292</v>
      </c>
      <c r="O311" s="10">
        <v>45666.793217592603</v>
      </c>
      <c r="P311" s="11">
        <f t="shared" si="14"/>
        <v>0.59806712961290032</v>
      </c>
      <c r="Q311" s="12" t="s">
        <v>1246</v>
      </c>
    </row>
    <row r="312" spans="1:17" ht="25.5" x14ac:dyDescent="0.25">
      <c r="A312" s="3" t="s">
        <v>1247</v>
      </c>
      <c r="B312" s="3" t="s">
        <v>220</v>
      </c>
      <c r="C312" s="9">
        <v>101.7</v>
      </c>
      <c r="D312" s="3" t="s">
        <v>519</v>
      </c>
      <c r="E312" s="10">
        <v>45666.743275462963</v>
      </c>
      <c r="F312" s="10">
        <v>45666.788553240738</v>
      </c>
      <c r="G312" s="10">
        <v>45666.790451388893</v>
      </c>
      <c r="H312" s="3" t="s">
        <v>1217</v>
      </c>
      <c r="I312" s="10">
        <v>45666.817546296297</v>
      </c>
      <c r="J312" s="10">
        <v>45666.84138888889</v>
      </c>
      <c r="K312" s="10">
        <v>45666.84138888889</v>
      </c>
      <c r="L312" s="10">
        <v>45666.842303240737</v>
      </c>
      <c r="M312" s="11">
        <f t="shared" si="12"/>
        <v>4.7175925930787344E-2</v>
      </c>
      <c r="N312" s="11">
        <f t="shared" si="13"/>
        <v>5.185185184382135E-2</v>
      </c>
      <c r="O312" s="10">
        <v>45666.795428240737</v>
      </c>
      <c r="P312" s="11">
        <f t="shared" si="14"/>
        <v>2.2118055559985805E-2</v>
      </c>
      <c r="Q312" s="12" t="s">
        <v>1248</v>
      </c>
    </row>
    <row r="313" spans="1:17" ht="25.5" x14ac:dyDescent="0.25">
      <c r="A313" s="3" t="s">
        <v>1249</v>
      </c>
      <c r="B313" s="3" t="s">
        <v>221</v>
      </c>
      <c r="C313" s="9">
        <v>27</v>
      </c>
      <c r="D313" s="3" t="s">
        <v>527</v>
      </c>
      <c r="E313" s="10">
        <v>45666.837094907409</v>
      </c>
      <c r="F313" s="10">
        <v>45666.850324074083</v>
      </c>
      <c r="G313" s="10">
        <v>45666.851620370369</v>
      </c>
      <c r="H313" s="3" t="s">
        <v>1241</v>
      </c>
      <c r="I313" s="10">
        <v>45667.305277777778</v>
      </c>
      <c r="J313" s="10">
        <v>45667.331817129627</v>
      </c>
      <c r="K313" s="10">
        <v>45667.331817129627</v>
      </c>
      <c r="L313" s="10">
        <v>45667.332604166673</v>
      </c>
      <c r="M313" s="11">
        <f t="shared" si="12"/>
        <v>1.452546296059154E-2</v>
      </c>
      <c r="N313" s="11">
        <f t="shared" si="13"/>
        <v>0.48098379630391719</v>
      </c>
      <c r="O313" s="10">
        <v>45666.854004629633</v>
      </c>
      <c r="P313" s="11">
        <f t="shared" si="14"/>
        <v>0.45127314814453712</v>
      </c>
      <c r="Q313" s="12" t="s">
        <v>1250</v>
      </c>
    </row>
    <row r="314" spans="1:17" ht="25.5" x14ac:dyDescent="0.25">
      <c r="A314" s="3" t="s">
        <v>1251</v>
      </c>
      <c r="B314" s="3" t="s">
        <v>221</v>
      </c>
      <c r="C314" s="9">
        <v>21</v>
      </c>
      <c r="D314" s="3" t="s">
        <v>519</v>
      </c>
      <c r="E314" s="10">
        <v>45666.837094907409</v>
      </c>
      <c r="F314" s="10">
        <v>45666.851620370369</v>
      </c>
      <c r="G314" s="10">
        <v>45666.852800925917</v>
      </c>
      <c r="H314" s="3" t="s">
        <v>1252</v>
      </c>
      <c r="I314" s="10">
        <v>45667.2028587963</v>
      </c>
      <c r="J314" s="10">
        <v>45667.244606481479</v>
      </c>
      <c r="K314" s="10">
        <v>45667.244606481479</v>
      </c>
      <c r="L314" s="10">
        <v>45667.245625000003</v>
      </c>
      <c r="M314" s="11">
        <f t="shared" si="12"/>
        <v>1.5706018508353736E-2</v>
      </c>
      <c r="N314" s="11">
        <f t="shared" si="13"/>
        <v>0.39282407408609288</v>
      </c>
      <c r="O314" s="10">
        <v>45666.85497685185</v>
      </c>
      <c r="P314" s="11">
        <f t="shared" si="14"/>
        <v>0.3478819444499095</v>
      </c>
      <c r="Q314" s="12" t="s">
        <v>1253</v>
      </c>
    </row>
    <row r="315" spans="1:17" ht="25.5" x14ac:dyDescent="0.25">
      <c r="A315" s="3" t="s">
        <v>1254</v>
      </c>
      <c r="B315" s="3" t="s">
        <v>221</v>
      </c>
      <c r="C315" s="9">
        <v>31.48</v>
      </c>
      <c r="D315" s="3" t="s">
        <v>533</v>
      </c>
      <c r="E315" s="10">
        <v>45666.837094907409</v>
      </c>
      <c r="F315" s="10">
        <v>45666.852800925917</v>
      </c>
      <c r="G315" s="10">
        <v>45666.854108796288</v>
      </c>
      <c r="H315" s="3" t="s">
        <v>1241</v>
      </c>
      <c r="I315" s="10">
        <v>45667.305277777778</v>
      </c>
      <c r="J315" s="10">
        <v>45667.331817129627</v>
      </c>
      <c r="K315" s="10">
        <v>45667.331817129627</v>
      </c>
      <c r="L315" s="10">
        <v>45667.332604166673</v>
      </c>
      <c r="M315" s="11">
        <f t="shared" si="12"/>
        <v>1.7013888878864236E-2</v>
      </c>
      <c r="N315" s="11">
        <f t="shared" si="13"/>
        <v>0.47849537038564449</v>
      </c>
      <c r="O315" s="10">
        <v>45666.857997685183</v>
      </c>
      <c r="P315" s="11">
        <f t="shared" si="14"/>
        <v>0.44728009259415558</v>
      </c>
      <c r="Q315" s="12" t="s">
        <v>1255</v>
      </c>
    </row>
    <row r="316" spans="1:17" ht="25.5" x14ac:dyDescent="0.25">
      <c r="A316" s="3" t="s">
        <v>1256</v>
      </c>
      <c r="B316" s="3" t="s">
        <v>221</v>
      </c>
      <c r="C316" s="9">
        <v>62.22</v>
      </c>
      <c r="D316" s="3" t="s">
        <v>506</v>
      </c>
      <c r="E316" s="10">
        <v>45666.837094907409</v>
      </c>
      <c r="F316" s="10">
        <v>45666.854108796288</v>
      </c>
      <c r="G316" s="10">
        <v>45666.855937499997</v>
      </c>
      <c r="H316" s="3" t="s">
        <v>1257</v>
      </c>
      <c r="I316" s="10">
        <v>45667.315300925933</v>
      </c>
      <c r="J316" s="10">
        <v>45667.347696759258</v>
      </c>
      <c r="K316" s="10">
        <v>45667.347696759258</v>
      </c>
      <c r="L316" s="10">
        <v>45667.348726851851</v>
      </c>
      <c r="M316" s="11">
        <f t="shared" si="12"/>
        <v>1.8842592588043772E-2</v>
      </c>
      <c r="N316" s="11">
        <f t="shared" si="13"/>
        <v>0.49278935185429873</v>
      </c>
      <c r="O316" s="10">
        <v>45666.858124999999</v>
      </c>
      <c r="P316" s="11">
        <f t="shared" si="14"/>
        <v>0.4571759259342798</v>
      </c>
      <c r="Q316" s="12" t="s">
        <v>1258</v>
      </c>
    </row>
    <row r="317" spans="1:17" ht="25.5" x14ac:dyDescent="0.25">
      <c r="A317" s="3" t="s">
        <v>1259</v>
      </c>
      <c r="B317" s="3" t="s">
        <v>221</v>
      </c>
      <c r="C317" s="9">
        <v>19.899999999999999</v>
      </c>
      <c r="D317" s="3" t="s">
        <v>563</v>
      </c>
      <c r="E317" s="10">
        <v>45666.837094907409</v>
      </c>
      <c r="F317" s="10">
        <v>45666.855937499997</v>
      </c>
      <c r="G317" s="10">
        <v>45666.857974537037</v>
      </c>
      <c r="H317" s="3" t="s">
        <v>1134</v>
      </c>
      <c r="I317" s="10">
        <v>45666.864548611113</v>
      </c>
      <c r="J317" s="10">
        <v>45666.885844907411</v>
      </c>
      <c r="K317" s="10">
        <v>45666.885844907411</v>
      </c>
      <c r="L317" s="10">
        <v>45666.886631944442</v>
      </c>
      <c r="M317" s="11">
        <f t="shared" si="12"/>
        <v>2.0879629628325347E-2</v>
      </c>
      <c r="N317" s="11">
        <f t="shared" si="13"/>
        <v>2.8657407405262347E-2</v>
      </c>
      <c r="O317" s="10">
        <v>45666.861886574072</v>
      </c>
      <c r="P317" s="11">
        <f t="shared" si="14"/>
        <v>2.6620370408636518E-3</v>
      </c>
      <c r="Q317" s="12" t="s">
        <v>1260</v>
      </c>
    </row>
    <row r="318" spans="1:17" ht="25.5" x14ac:dyDescent="0.25">
      <c r="A318" s="3" t="s">
        <v>1261</v>
      </c>
      <c r="B318" s="3" t="s">
        <v>221</v>
      </c>
      <c r="C318" s="9">
        <v>62.96</v>
      </c>
      <c r="D318" s="3" t="s">
        <v>523</v>
      </c>
      <c r="E318" s="10">
        <v>45666.837094907409</v>
      </c>
      <c r="F318" s="10">
        <v>45666.857974537037</v>
      </c>
      <c r="G318" s="10">
        <v>45666.860115740739</v>
      </c>
      <c r="H318" s="3" t="s">
        <v>1134</v>
      </c>
      <c r="I318" s="10">
        <v>45666.864548611113</v>
      </c>
      <c r="J318" s="10">
        <v>45666.885844907411</v>
      </c>
      <c r="K318" s="10">
        <v>45666.885844907411</v>
      </c>
      <c r="L318" s="10">
        <v>45666.886631944442</v>
      </c>
      <c r="M318" s="11">
        <f t="shared" si="12"/>
        <v>2.3020833330519963E-2</v>
      </c>
      <c r="N318" s="11">
        <f t="shared" si="13"/>
        <v>2.6516203703067731E-2</v>
      </c>
      <c r="O318" s="10">
        <v>45666.863680555558</v>
      </c>
      <c r="P318" s="11">
        <f t="shared" si="14"/>
        <v>8.6805555474711582E-4</v>
      </c>
      <c r="Q318" s="12" t="s">
        <v>1262</v>
      </c>
    </row>
    <row r="319" spans="1:17" ht="38.25" x14ac:dyDescent="0.25">
      <c r="A319" s="3" t="s">
        <v>1263</v>
      </c>
      <c r="B319" s="3" t="s">
        <v>221</v>
      </c>
      <c r="C319" s="9">
        <v>15.74</v>
      </c>
      <c r="D319" s="3" t="s">
        <v>1033</v>
      </c>
      <c r="E319" s="10">
        <v>45666.837094907409</v>
      </c>
      <c r="F319" s="10">
        <v>45666.860115740739</v>
      </c>
      <c r="G319" s="10">
        <v>45666.861724537041</v>
      </c>
      <c r="H319" s="3" t="s">
        <v>1264</v>
      </c>
      <c r="I319" s="10">
        <v>45671.398194444453</v>
      </c>
      <c r="J319" s="10">
        <v>45671.457824074067</v>
      </c>
      <c r="K319" s="10">
        <v>45671.458148148151</v>
      </c>
      <c r="L319" s="10">
        <v>45671.459537037037</v>
      </c>
      <c r="M319" s="11">
        <f t="shared" si="12"/>
        <v>2.4629629631817807E-2</v>
      </c>
      <c r="N319" s="11">
        <f t="shared" si="13"/>
        <v>4.5978124999965075</v>
      </c>
      <c r="O319" s="10">
        <v>45666.86409722222</v>
      </c>
      <c r="P319" s="11">
        <f t="shared" si="14"/>
        <v>4.5340972222329583</v>
      </c>
      <c r="Q319" s="12" t="s">
        <v>1265</v>
      </c>
    </row>
    <row r="320" spans="1:17" ht="25.5" x14ac:dyDescent="0.25">
      <c r="A320" s="3" t="s">
        <v>1266</v>
      </c>
      <c r="B320" s="3" t="s">
        <v>221</v>
      </c>
      <c r="C320" s="9">
        <v>51.38</v>
      </c>
      <c r="D320" s="3" t="s">
        <v>515</v>
      </c>
      <c r="E320" s="10">
        <v>45666.837094907409</v>
      </c>
      <c r="F320" s="10">
        <v>45666.861724537041</v>
      </c>
      <c r="G320" s="10">
        <v>45666.863726851851</v>
      </c>
      <c r="H320" s="3" t="s">
        <v>1230</v>
      </c>
      <c r="I320" s="10">
        <v>45666.868483796286</v>
      </c>
      <c r="J320" s="10">
        <v>45666.8903587963</v>
      </c>
      <c r="K320" s="10">
        <v>45666.8903587963</v>
      </c>
      <c r="L320" s="10">
        <v>45666.891030092593</v>
      </c>
      <c r="M320" s="11">
        <f t="shared" si="12"/>
        <v>2.6631944441760425E-2</v>
      </c>
      <c r="N320" s="11">
        <f t="shared" si="13"/>
        <v>2.7303240742185153E-2</v>
      </c>
      <c r="O320" s="10">
        <v>45666.867650462962</v>
      </c>
      <c r="P320" s="11">
        <f t="shared" si="14"/>
        <v>8.3333332440815866E-4</v>
      </c>
      <c r="Q320" s="12" t="s">
        <v>1267</v>
      </c>
    </row>
    <row r="321" spans="1:17" ht="38.25" x14ac:dyDescent="0.25">
      <c r="A321" s="3" t="s">
        <v>1268</v>
      </c>
      <c r="B321" s="3" t="s">
        <v>222</v>
      </c>
      <c r="C321" s="9">
        <v>43.98</v>
      </c>
      <c r="D321" s="3" t="s">
        <v>492</v>
      </c>
      <c r="E321" s="10">
        <v>45667.114594907413</v>
      </c>
      <c r="F321" s="10">
        <v>45667.12427083333</v>
      </c>
      <c r="G321" s="10">
        <v>45667.125625000001</v>
      </c>
      <c r="H321" s="3" t="s">
        <v>1139</v>
      </c>
      <c r="I321" s="10">
        <v>45670.394155092603</v>
      </c>
      <c r="J321" s="10">
        <v>45670.425902777781</v>
      </c>
      <c r="K321" s="10">
        <v>45670.425902777781</v>
      </c>
      <c r="L321" s="10">
        <v>45670.426874999997</v>
      </c>
      <c r="M321" s="11">
        <f t="shared" si="12"/>
        <v>1.1030092588043772E-2</v>
      </c>
      <c r="N321" s="11">
        <f t="shared" si="13"/>
        <v>3.3012499999967986</v>
      </c>
      <c r="O321" s="10">
        <v>45667.129548611112</v>
      </c>
      <c r="P321" s="11">
        <f t="shared" si="14"/>
        <v>3.2646064814907731</v>
      </c>
      <c r="Q321" s="12" t="s">
        <v>1269</v>
      </c>
    </row>
    <row r="322" spans="1:17" ht="38.25" x14ac:dyDescent="0.25">
      <c r="A322" s="3" t="s">
        <v>1270</v>
      </c>
      <c r="B322" s="3" t="s">
        <v>222</v>
      </c>
      <c r="C322" s="9">
        <v>47.22</v>
      </c>
      <c r="D322" s="3" t="s">
        <v>496</v>
      </c>
      <c r="E322" s="10">
        <v>45667.114594907413</v>
      </c>
      <c r="F322" s="10">
        <v>45667.125625000001</v>
      </c>
      <c r="G322" s="10">
        <v>45667.127604166657</v>
      </c>
      <c r="H322" s="3" t="s">
        <v>1178</v>
      </c>
      <c r="I322" s="10">
        <v>45667.391284722216</v>
      </c>
      <c r="J322" s="10">
        <v>45667.41510416667</v>
      </c>
      <c r="K322" s="10">
        <v>45667.41510416667</v>
      </c>
      <c r="L322" s="10">
        <v>45667.415821759263</v>
      </c>
      <c r="M322" s="11">
        <f t="shared" ref="M322:M385" si="15">IF(AND(ISNUMBER(E322),ISNUMBER(G322)),(G322-E322),"")</f>
        <v>1.3009259244427085E-2</v>
      </c>
      <c r="N322" s="11">
        <f t="shared" ref="N322:N385" si="16">IF(AND(ISNUMBER(G322),ISNUMBER(L322)),(L322-G322),"")</f>
        <v>0.28821759260608815</v>
      </c>
      <c r="O322" s="10">
        <v>45667.131504629629</v>
      </c>
      <c r="P322" s="11">
        <f t="shared" ref="P322:P385" si="17">IF(AND(ISNUMBER(I322),ISNUMBER(O322)),(I322-O322),"")</f>
        <v>0.25978009258687962</v>
      </c>
      <c r="Q322" s="12" t="s">
        <v>1271</v>
      </c>
    </row>
    <row r="323" spans="1:17" ht="25.5" x14ac:dyDescent="0.25">
      <c r="A323" s="3" t="s">
        <v>1272</v>
      </c>
      <c r="B323" s="3" t="s">
        <v>222</v>
      </c>
      <c r="C323" s="9">
        <v>182.4</v>
      </c>
      <c r="D323" s="3" t="s">
        <v>488</v>
      </c>
      <c r="E323" s="10">
        <v>45667.114594907413</v>
      </c>
      <c r="F323" s="10">
        <v>45667.127604166657</v>
      </c>
      <c r="G323" s="10">
        <v>45667.129942129628</v>
      </c>
      <c r="H323" s="3" t="s">
        <v>1225</v>
      </c>
      <c r="I323" s="10">
        <v>45667.134687500002</v>
      </c>
      <c r="J323" s="10">
        <v>45667.173263888893</v>
      </c>
      <c r="K323" s="10">
        <v>45667.173263888893</v>
      </c>
      <c r="L323" s="10">
        <v>45667.174317129633</v>
      </c>
      <c r="M323" s="11">
        <f t="shared" si="15"/>
        <v>1.5347222215496004E-2</v>
      </c>
      <c r="N323" s="11">
        <f t="shared" si="16"/>
        <v>4.4375000004947651E-2</v>
      </c>
      <c r="O323" s="10">
        <v>45667.133842592593</v>
      </c>
      <c r="P323" s="11">
        <f t="shared" si="17"/>
        <v>8.4490740846376866E-4</v>
      </c>
      <c r="Q323" s="12" t="s">
        <v>1273</v>
      </c>
    </row>
    <row r="324" spans="1:17" ht="25.5" x14ac:dyDescent="0.25">
      <c r="A324" s="3" t="s">
        <v>1274</v>
      </c>
      <c r="B324" s="3" t="s">
        <v>222</v>
      </c>
      <c r="C324" s="9">
        <v>35.64</v>
      </c>
      <c r="D324" s="3" t="s">
        <v>484</v>
      </c>
      <c r="E324" s="10">
        <v>45667.114594907413</v>
      </c>
      <c r="F324" s="10">
        <v>45667.129942129628</v>
      </c>
      <c r="G324" s="10">
        <v>45667.131747685176</v>
      </c>
      <c r="H324" s="3" t="s">
        <v>1020</v>
      </c>
      <c r="I324" s="10">
        <v>45667.13653935185</v>
      </c>
      <c r="J324" s="10">
        <v>45667.159131944441</v>
      </c>
      <c r="K324" s="10">
        <v>45667.159131944441</v>
      </c>
      <c r="L324" s="10">
        <v>45667.15997685185</v>
      </c>
      <c r="M324" s="11">
        <f t="shared" si="15"/>
        <v>1.7152777763840277E-2</v>
      </c>
      <c r="N324" s="11">
        <f t="shared" si="16"/>
        <v>2.8229166673554573E-2</v>
      </c>
      <c r="O324" s="10">
        <v>45667.135671296302</v>
      </c>
      <c r="P324" s="11">
        <f t="shared" si="17"/>
        <v>8.6805554747115821E-4</v>
      </c>
      <c r="Q324" s="12" t="s">
        <v>1275</v>
      </c>
    </row>
    <row r="325" spans="1:17" ht="25.5" x14ac:dyDescent="0.25">
      <c r="A325" s="3" t="s">
        <v>1276</v>
      </c>
      <c r="B325" s="3" t="s">
        <v>223</v>
      </c>
      <c r="C325" s="9">
        <v>219.5</v>
      </c>
      <c r="D325" s="3" t="s">
        <v>519</v>
      </c>
      <c r="E325" s="10">
        <v>45667.191180555557</v>
      </c>
      <c r="F325" s="10">
        <v>45667.196446759262</v>
      </c>
      <c r="G325" s="10">
        <v>45667.198078703703</v>
      </c>
      <c r="H325" s="3" t="s">
        <v>1252</v>
      </c>
      <c r="I325" s="10">
        <v>45667.2028587963</v>
      </c>
      <c r="J325" s="10">
        <v>45667.244606481479</v>
      </c>
      <c r="K325" s="10">
        <v>45667.244606481479</v>
      </c>
      <c r="L325" s="10">
        <v>45667.245625000003</v>
      </c>
      <c r="M325" s="11">
        <f t="shared" si="15"/>
        <v>6.8981481454102322E-3</v>
      </c>
      <c r="N325" s="11">
        <f t="shared" si="16"/>
        <v>4.7546296300424729E-2</v>
      </c>
      <c r="O325" s="10">
        <v>45667.201990740738</v>
      </c>
      <c r="P325" s="11">
        <f t="shared" si="17"/>
        <v>8.6805556202307343E-4</v>
      </c>
      <c r="Q325" s="12" t="s">
        <v>1277</v>
      </c>
    </row>
    <row r="326" spans="1:17" ht="25.5" x14ac:dyDescent="0.25">
      <c r="A326" s="3" t="s">
        <v>1278</v>
      </c>
      <c r="B326" s="3" t="s">
        <v>224</v>
      </c>
      <c r="C326" s="9">
        <v>298</v>
      </c>
      <c r="D326" s="3" t="s">
        <v>500</v>
      </c>
      <c r="E326" s="10">
        <v>45667.242546296293</v>
      </c>
      <c r="F326" s="10">
        <v>45667.248680555553</v>
      </c>
      <c r="G326" s="10">
        <v>45667.25072916667</v>
      </c>
      <c r="H326" s="3" t="s">
        <v>1222</v>
      </c>
      <c r="I326" s="10">
        <v>45667.255497685182</v>
      </c>
      <c r="J326" s="10">
        <v>45667.315428240741</v>
      </c>
      <c r="K326" s="10">
        <v>45667.315428240741</v>
      </c>
      <c r="L326" s="10">
        <v>45667.316712962973</v>
      </c>
      <c r="M326" s="11">
        <f t="shared" si="15"/>
        <v>8.1828703769133426E-3</v>
      </c>
      <c r="N326" s="11">
        <f t="shared" si="16"/>
        <v>6.5983796303044073E-2</v>
      </c>
      <c r="O326" s="10">
        <v>45667.254652777781</v>
      </c>
      <c r="P326" s="11">
        <f t="shared" si="17"/>
        <v>8.4490740118781105E-4</v>
      </c>
      <c r="Q326" s="12" t="s">
        <v>1279</v>
      </c>
    </row>
    <row r="327" spans="1:17" ht="25.5" x14ac:dyDescent="0.25">
      <c r="A327" s="3" t="s">
        <v>1280</v>
      </c>
      <c r="B327" s="3" t="s">
        <v>225</v>
      </c>
      <c r="C327" s="9">
        <v>19.899999999999999</v>
      </c>
      <c r="D327" s="3" t="s">
        <v>563</v>
      </c>
      <c r="E327" s="10">
        <v>45667.279942129629</v>
      </c>
      <c r="F327" s="10">
        <v>45667.29420138889</v>
      </c>
      <c r="G327" s="10">
        <v>45667.296238425923</v>
      </c>
      <c r="H327" s="3" t="s">
        <v>1281</v>
      </c>
      <c r="I327" s="10">
        <v>45667.44290509259</v>
      </c>
      <c r="J327" s="10">
        <v>45667.462835648148</v>
      </c>
      <c r="K327" s="10">
        <v>45667.462835648148</v>
      </c>
      <c r="L327" s="10">
        <v>45667.463599537034</v>
      </c>
      <c r="M327" s="11">
        <f t="shared" si="15"/>
        <v>1.6296296293148771E-2</v>
      </c>
      <c r="N327" s="11">
        <f t="shared" si="16"/>
        <v>0.16736111111094942</v>
      </c>
      <c r="O327" s="10">
        <v>45667.298634259263</v>
      </c>
      <c r="P327" s="11">
        <f t="shared" si="17"/>
        <v>0.1442708333270275</v>
      </c>
      <c r="Q327" s="12" t="s">
        <v>1282</v>
      </c>
    </row>
    <row r="328" spans="1:17" ht="25.5" x14ac:dyDescent="0.25">
      <c r="A328" s="3" t="s">
        <v>1283</v>
      </c>
      <c r="B328" s="3" t="s">
        <v>225</v>
      </c>
      <c r="C328" s="9">
        <v>15.74</v>
      </c>
      <c r="D328" s="3" t="s">
        <v>496</v>
      </c>
      <c r="E328" s="10">
        <v>45667.279942129629</v>
      </c>
      <c r="F328" s="10">
        <v>45667.296238425923</v>
      </c>
      <c r="G328" s="10">
        <v>45667.298159722217</v>
      </c>
      <c r="H328" s="3" t="s">
        <v>1178</v>
      </c>
      <c r="I328" s="10">
        <v>45667.391284722216</v>
      </c>
      <c r="J328" s="10">
        <v>45667.41510416667</v>
      </c>
      <c r="K328" s="10">
        <v>45667.41510416667</v>
      </c>
      <c r="L328" s="10">
        <v>45667.415821759263</v>
      </c>
      <c r="M328" s="11">
        <f t="shared" si="15"/>
        <v>1.8217592587461695E-2</v>
      </c>
      <c r="N328" s="11">
        <f t="shared" si="16"/>
        <v>0.11766203704610234</v>
      </c>
      <c r="O328" s="10">
        <v>45667.302048611113</v>
      </c>
      <c r="P328" s="11">
        <f t="shared" si="17"/>
        <v>8.9236111103673466E-2</v>
      </c>
      <c r="Q328" s="12" t="s">
        <v>1284</v>
      </c>
    </row>
    <row r="329" spans="1:17" ht="25.5" x14ac:dyDescent="0.25">
      <c r="A329" s="3" t="s">
        <v>1285</v>
      </c>
      <c r="B329" s="3" t="s">
        <v>225</v>
      </c>
      <c r="C329" s="9">
        <v>94.44</v>
      </c>
      <c r="D329" s="3" t="s">
        <v>533</v>
      </c>
      <c r="E329" s="10">
        <v>45667.279942129629</v>
      </c>
      <c r="F329" s="10">
        <v>45667.298159722217</v>
      </c>
      <c r="G329" s="10">
        <v>45667.299618055556</v>
      </c>
      <c r="H329" s="3" t="s">
        <v>1241</v>
      </c>
      <c r="I329" s="10">
        <v>45667.305277777778</v>
      </c>
      <c r="J329" s="10">
        <v>45667.331817129627</v>
      </c>
      <c r="K329" s="10">
        <v>45667.331817129627</v>
      </c>
      <c r="L329" s="10">
        <v>45667.332604166673</v>
      </c>
      <c r="M329" s="11">
        <f t="shared" si="15"/>
        <v>1.9675925927003846E-2</v>
      </c>
      <c r="N329" s="11">
        <f t="shared" si="16"/>
        <v>3.2986111116770189E-2</v>
      </c>
      <c r="O329" s="10">
        <v>45667.303541666668</v>
      </c>
      <c r="P329" s="11">
        <f t="shared" si="17"/>
        <v>1.7361111094942316E-3</v>
      </c>
      <c r="Q329" s="12" t="s">
        <v>1286</v>
      </c>
    </row>
    <row r="330" spans="1:17" ht="25.5" x14ac:dyDescent="0.25">
      <c r="A330" s="3" t="s">
        <v>1287</v>
      </c>
      <c r="B330" s="3" t="s">
        <v>225</v>
      </c>
      <c r="C330" s="9">
        <v>124.44</v>
      </c>
      <c r="D330" s="3" t="s">
        <v>506</v>
      </c>
      <c r="E330" s="10">
        <v>45667.279942129629</v>
      </c>
      <c r="F330" s="10">
        <v>45667.299618055556</v>
      </c>
      <c r="G330" s="10">
        <v>45667.30159722222</v>
      </c>
      <c r="H330" s="3" t="s">
        <v>1257</v>
      </c>
      <c r="I330" s="10">
        <v>45667.315300925933</v>
      </c>
      <c r="J330" s="10">
        <v>45667.347696759258</v>
      </c>
      <c r="K330" s="10">
        <v>45667.347696759258</v>
      </c>
      <c r="L330" s="10">
        <v>45667.348726851851</v>
      </c>
      <c r="M330" s="11">
        <f t="shared" si="15"/>
        <v>2.1655092590663116E-2</v>
      </c>
      <c r="N330" s="11">
        <f t="shared" si="16"/>
        <v>4.7129629630944692E-2</v>
      </c>
      <c r="O330" s="10">
        <v>45667.305520833332</v>
      </c>
      <c r="P330" s="11">
        <f t="shared" si="17"/>
        <v>9.7800926014315337E-3</v>
      </c>
      <c r="Q330" s="12" t="s">
        <v>1288</v>
      </c>
    </row>
    <row r="331" spans="1:17" ht="38.25" x14ac:dyDescent="0.25">
      <c r="A331" s="3" t="s">
        <v>1289</v>
      </c>
      <c r="B331" s="3" t="s">
        <v>225</v>
      </c>
      <c r="C331" s="9">
        <v>19.899999999999999</v>
      </c>
      <c r="D331" s="3" t="s">
        <v>523</v>
      </c>
      <c r="E331" s="10">
        <v>45667.279942129629</v>
      </c>
      <c r="F331" s="10">
        <v>45667.30159722222</v>
      </c>
      <c r="G331" s="10">
        <v>45667.302766203713</v>
      </c>
      <c r="H331" s="3" t="s">
        <v>1290</v>
      </c>
      <c r="I331" s="10">
        <v>45670.420092592591</v>
      </c>
      <c r="J331" s="10">
        <v>45670.437557870369</v>
      </c>
      <c r="K331" s="10">
        <v>45670.437557870369</v>
      </c>
      <c r="L331" s="10">
        <v>45670.438252314823</v>
      </c>
      <c r="M331" s="11">
        <f t="shared" si="15"/>
        <v>2.2824074083473533E-2</v>
      </c>
      <c r="N331" s="11">
        <f t="shared" si="16"/>
        <v>3.1354861111103673</v>
      </c>
      <c r="O331" s="10">
        <v>45667.304918981477</v>
      </c>
      <c r="P331" s="11">
        <f t="shared" si="17"/>
        <v>3.1151736111132777</v>
      </c>
      <c r="Q331" s="12" t="s">
        <v>1291</v>
      </c>
    </row>
    <row r="332" spans="1:17" ht="25.5" x14ac:dyDescent="0.25">
      <c r="A332" s="3" t="s">
        <v>1292</v>
      </c>
      <c r="B332" s="3" t="s">
        <v>225</v>
      </c>
      <c r="C332" s="9">
        <v>36.4</v>
      </c>
      <c r="D332" s="3" t="s">
        <v>519</v>
      </c>
      <c r="E332" s="10">
        <v>45667.279942129629</v>
      </c>
      <c r="F332" s="10">
        <v>45667.302766203713</v>
      </c>
      <c r="G332" s="10">
        <v>45667.304837962962</v>
      </c>
      <c r="H332" s="3" t="s">
        <v>1281</v>
      </c>
      <c r="I332" s="10">
        <v>45667.44290509259</v>
      </c>
      <c r="J332" s="10">
        <v>45667.462835648148</v>
      </c>
      <c r="K332" s="10">
        <v>45667.462835648148</v>
      </c>
      <c r="L332" s="10">
        <v>45667.463599537034</v>
      </c>
      <c r="M332" s="11">
        <f t="shared" si="15"/>
        <v>2.4895833332266193E-2</v>
      </c>
      <c r="N332" s="11">
        <f t="shared" si="16"/>
        <v>0.158761574071832</v>
      </c>
      <c r="O332" s="10">
        <v>45667.309247685182</v>
      </c>
      <c r="P332" s="11">
        <f t="shared" si="17"/>
        <v>0.13365740740846377</v>
      </c>
      <c r="Q332" s="12" t="s">
        <v>1293</v>
      </c>
    </row>
    <row r="333" spans="1:17" ht="38.25" x14ac:dyDescent="0.25">
      <c r="A333" s="3" t="s">
        <v>1294</v>
      </c>
      <c r="B333" s="3" t="s">
        <v>225</v>
      </c>
      <c r="C333" s="9">
        <v>35.64</v>
      </c>
      <c r="D333" s="3" t="s">
        <v>515</v>
      </c>
      <c r="E333" s="10">
        <v>45667.279942129629</v>
      </c>
      <c r="F333" s="10">
        <v>45667.304837962962</v>
      </c>
      <c r="G333" s="10">
        <v>45667.306608796287</v>
      </c>
      <c r="H333" s="3" t="s">
        <v>1295</v>
      </c>
      <c r="I333" s="10">
        <v>45667.417951388888</v>
      </c>
      <c r="J333" s="10">
        <v>45667.440405092602</v>
      </c>
      <c r="K333" s="10">
        <v>45667.440405092602</v>
      </c>
      <c r="L333" s="10">
        <v>45667.441307870373</v>
      </c>
      <c r="M333" s="11">
        <f t="shared" si="15"/>
        <v>2.6666666657547466E-2</v>
      </c>
      <c r="N333" s="11">
        <f t="shared" si="16"/>
        <v>0.13469907408580184</v>
      </c>
      <c r="O333" s="10">
        <v>45667.309004629627</v>
      </c>
      <c r="P333" s="11">
        <f t="shared" si="17"/>
        <v>0.10894675926101627</v>
      </c>
      <c r="Q333" s="12" t="s">
        <v>1296</v>
      </c>
    </row>
    <row r="334" spans="1:17" ht="38.25" x14ac:dyDescent="0.25">
      <c r="A334" s="3" t="s">
        <v>1297</v>
      </c>
      <c r="B334" s="3" t="s">
        <v>225</v>
      </c>
      <c r="C334" s="9">
        <v>19.899999999999999</v>
      </c>
      <c r="D334" s="3" t="s">
        <v>484</v>
      </c>
      <c r="E334" s="10">
        <v>45667.279942129629</v>
      </c>
      <c r="F334" s="10">
        <v>45667.306608796287</v>
      </c>
      <c r="G334" s="10">
        <v>45667.308368055557</v>
      </c>
      <c r="H334" s="3" t="s">
        <v>1298</v>
      </c>
      <c r="I334" s="10">
        <v>45667.872361111113</v>
      </c>
      <c r="J334" s="10">
        <v>45667.892222222217</v>
      </c>
      <c r="K334" s="10">
        <v>45667.892222222217</v>
      </c>
      <c r="L334" s="10">
        <v>45667.89303240741</v>
      </c>
      <c r="M334" s="11">
        <f t="shared" si="15"/>
        <v>2.842592592787696E-2</v>
      </c>
      <c r="N334" s="11">
        <f t="shared" si="16"/>
        <v>0.5846643518525525</v>
      </c>
      <c r="O334" s="10">
        <v>45667.312268518523</v>
      </c>
      <c r="P334" s="11">
        <f t="shared" si="17"/>
        <v>0.56009259259008104</v>
      </c>
      <c r="Q334" s="12" t="s">
        <v>1299</v>
      </c>
    </row>
    <row r="335" spans="1:17" ht="38.25" x14ac:dyDescent="0.25">
      <c r="A335" s="3" t="s">
        <v>1300</v>
      </c>
      <c r="B335" s="3" t="s">
        <v>225</v>
      </c>
      <c r="C335" s="9">
        <v>19.899999999999999</v>
      </c>
      <c r="D335" s="3" t="s">
        <v>515</v>
      </c>
      <c r="E335" s="10">
        <v>45667.279942129629</v>
      </c>
      <c r="F335" s="10">
        <v>45667.308368055557</v>
      </c>
      <c r="G335" s="10">
        <v>45667.310104166667</v>
      </c>
      <c r="H335" s="3" t="s">
        <v>1295</v>
      </c>
      <c r="I335" s="10">
        <v>45667.417951388888</v>
      </c>
      <c r="J335" s="10">
        <v>45667.440405092602</v>
      </c>
      <c r="K335" s="10">
        <v>45667.440405092602</v>
      </c>
      <c r="L335" s="10">
        <v>45667.441307870373</v>
      </c>
      <c r="M335" s="11">
        <f t="shared" si="15"/>
        <v>3.0162037037371192E-2</v>
      </c>
      <c r="N335" s="11">
        <f t="shared" si="16"/>
        <v>0.13120370370597811</v>
      </c>
      <c r="O335" s="10">
        <v>45667.313657407409</v>
      </c>
      <c r="P335" s="11">
        <f t="shared" si="17"/>
        <v>0.10429398147971369</v>
      </c>
      <c r="Q335" s="12" t="s">
        <v>1301</v>
      </c>
    </row>
    <row r="336" spans="1:17" x14ac:dyDescent="0.25">
      <c r="A336" s="3" t="s">
        <v>1302</v>
      </c>
      <c r="B336" s="3" t="s">
        <v>226</v>
      </c>
      <c r="C336" s="9">
        <v>193.12</v>
      </c>
      <c r="D336" s="3" t="s">
        <v>500</v>
      </c>
      <c r="E336" s="10">
        <v>45667.312199074076</v>
      </c>
      <c r="F336" s="10">
        <v>45667.317453703698</v>
      </c>
      <c r="G336" s="10">
        <v>45667.319814814808</v>
      </c>
      <c r="H336" s="3" t="s">
        <v>1303</v>
      </c>
      <c r="I336" s="10">
        <v>45667.323888888888</v>
      </c>
      <c r="J336" s="10">
        <v>45667.357418981483</v>
      </c>
      <c r="K336" s="10">
        <v>45667.357418981483</v>
      </c>
      <c r="L336" s="10">
        <v>45667.358414351853</v>
      </c>
      <c r="M336" s="11">
        <f t="shared" si="15"/>
        <v>7.6157407311256975E-3</v>
      </c>
      <c r="N336" s="11">
        <f t="shared" si="16"/>
        <v>3.8599537045229226E-2</v>
      </c>
      <c r="O336" s="10">
        <v>45667.322187500002</v>
      </c>
      <c r="P336" s="11">
        <f t="shared" si="17"/>
        <v>1.7013888864312321E-3</v>
      </c>
      <c r="Q336" s="12" t="s">
        <v>1304</v>
      </c>
    </row>
    <row r="337" spans="1:17" x14ac:dyDescent="0.25">
      <c r="A337" s="3" t="s">
        <v>1305</v>
      </c>
      <c r="B337" s="3" t="s">
        <v>227</v>
      </c>
      <c r="C337" s="9">
        <v>380.82000000000011</v>
      </c>
      <c r="D337" s="3" t="s">
        <v>500</v>
      </c>
      <c r="E337" s="10">
        <v>45667.33258101852</v>
      </c>
      <c r="F337" s="10">
        <v>45667.339143518519</v>
      </c>
      <c r="G337" s="10">
        <v>45667.34171296296</v>
      </c>
      <c r="H337" s="3" t="s">
        <v>1306</v>
      </c>
      <c r="I337" s="10">
        <v>45667.34584490741</v>
      </c>
      <c r="J337" s="10">
        <v>45667.411956018521</v>
      </c>
      <c r="K337" s="10">
        <v>45667.411956018521</v>
      </c>
      <c r="L337" s="10">
        <v>45667.413344907407</v>
      </c>
      <c r="M337" s="11">
        <f t="shared" si="15"/>
        <v>9.1319444400141947E-3</v>
      </c>
      <c r="N337" s="11">
        <f t="shared" si="16"/>
        <v>7.1631944447290152E-2</v>
      </c>
      <c r="O337" s="10">
        <v>45667.344108796293</v>
      </c>
      <c r="P337" s="11">
        <f t="shared" si="17"/>
        <v>1.7361111167701893E-3</v>
      </c>
      <c r="Q337" s="12" t="s">
        <v>1307</v>
      </c>
    </row>
    <row r="338" spans="1:17" ht="25.5" x14ac:dyDescent="0.25">
      <c r="A338" s="3" t="s">
        <v>1308</v>
      </c>
      <c r="B338" s="3" t="s">
        <v>228</v>
      </c>
      <c r="C338" s="9">
        <v>19.899999999999999</v>
      </c>
      <c r="D338" s="3" t="s">
        <v>515</v>
      </c>
      <c r="E338" s="10">
        <v>45667.367372685178</v>
      </c>
      <c r="F338" s="10">
        <v>45667.389305555553</v>
      </c>
      <c r="G338" s="10">
        <v>45667.391006944446</v>
      </c>
      <c r="H338" s="3" t="s">
        <v>1295</v>
      </c>
      <c r="I338" s="10">
        <v>45667.417951388888</v>
      </c>
      <c r="J338" s="10">
        <v>45667.440405092602</v>
      </c>
      <c r="K338" s="10">
        <v>45667.440405092602</v>
      </c>
      <c r="L338" s="10">
        <v>45667.441307870373</v>
      </c>
      <c r="M338" s="11">
        <f t="shared" si="15"/>
        <v>2.3634259268874303E-2</v>
      </c>
      <c r="N338" s="11">
        <f t="shared" si="16"/>
        <v>5.0300925926421769E-2</v>
      </c>
      <c r="O338" s="10">
        <v>45667.393391203703</v>
      </c>
      <c r="P338" s="11">
        <f t="shared" si="17"/>
        <v>2.4560185185691807E-2</v>
      </c>
      <c r="Q338" s="12" t="s">
        <v>1309</v>
      </c>
    </row>
    <row r="339" spans="1:17" x14ac:dyDescent="0.25">
      <c r="A339" s="3" t="s">
        <v>1310</v>
      </c>
      <c r="B339" s="3" t="s">
        <v>228</v>
      </c>
      <c r="C339" s="9">
        <v>141.66</v>
      </c>
      <c r="D339" s="3" t="s">
        <v>533</v>
      </c>
      <c r="E339" s="10">
        <v>45667.367372685178</v>
      </c>
      <c r="F339" s="10">
        <v>45667.391006944446</v>
      </c>
      <c r="G339" s="10">
        <v>45667.392546296287</v>
      </c>
      <c r="H339" s="3" t="s">
        <v>1311</v>
      </c>
      <c r="I339" s="10">
        <v>45667.416666666657</v>
      </c>
      <c r="J339" s="10">
        <v>45667.441261574073</v>
      </c>
      <c r="K339" s="10">
        <v>45667.441307870373</v>
      </c>
      <c r="L339" s="10">
        <v>45667.442060185182</v>
      </c>
      <c r="M339" s="11">
        <f t="shared" si="15"/>
        <v>2.5173611109494232E-2</v>
      </c>
      <c r="N339" s="11">
        <f t="shared" si="16"/>
        <v>4.9513888894580305E-2</v>
      </c>
      <c r="O339" s="10">
        <v>45667.395543981482</v>
      </c>
      <c r="P339" s="11">
        <f t="shared" si="17"/>
        <v>2.1122685175214428E-2</v>
      </c>
      <c r="Q339" s="12" t="s">
        <v>1312</v>
      </c>
    </row>
    <row r="340" spans="1:17" ht="38.25" x14ac:dyDescent="0.25">
      <c r="A340" s="3" t="s">
        <v>1313</v>
      </c>
      <c r="B340" s="3" t="s">
        <v>228</v>
      </c>
      <c r="C340" s="9">
        <v>15.74</v>
      </c>
      <c r="D340" s="3" t="s">
        <v>484</v>
      </c>
      <c r="E340" s="10">
        <v>45667.367372685178</v>
      </c>
      <c r="F340" s="10">
        <v>45667.392546296287</v>
      </c>
      <c r="G340" s="10">
        <v>45667.394270833327</v>
      </c>
      <c r="H340" s="3" t="s">
        <v>1298</v>
      </c>
      <c r="I340" s="10">
        <v>45667.872361111113</v>
      </c>
      <c r="J340" s="10">
        <v>45667.892222222217</v>
      </c>
      <c r="K340" s="10">
        <v>45667.892222222217</v>
      </c>
      <c r="L340" s="10">
        <v>45667.89303240741</v>
      </c>
      <c r="M340" s="11">
        <f t="shared" si="15"/>
        <v>2.6898148149484769E-2</v>
      </c>
      <c r="N340" s="11">
        <f t="shared" si="16"/>
        <v>0.49876157408289146</v>
      </c>
      <c r="O340" s="10">
        <v>45667.397835648153</v>
      </c>
      <c r="P340" s="11">
        <f t="shared" si="17"/>
        <v>0.47452546295971842</v>
      </c>
      <c r="Q340" s="12" t="s">
        <v>1314</v>
      </c>
    </row>
    <row r="341" spans="1:17" ht="25.5" x14ac:dyDescent="0.25">
      <c r="A341" s="3" t="s">
        <v>1315</v>
      </c>
      <c r="B341" s="3" t="s">
        <v>228</v>
      </c>
      <c r="C341" s="9">
        <v>12.04</v>
      </c>
      <c r="D341" s="3" t="s">
        <v>492</v>
      </c>
      <c r="E341" s="10">
        <v>45667.367372685178</v>
      </c>
      <c r="F341" s="10">
        <v>45667.394270833327</v>
      </c>
      <c r="G341" s="10">
        <v>45667.395520833343</v>
      </c>
      <c r="H341" s="3" t="s">
        <v>1139</v>
      </c>
      <c r="I341" s="10">
        <v>45670.394155092603</v>
      </c>
      <c r="J341" s="10">
        <v>45670.425902777781</v>
      </c>
      <c r="K341" s="10">
        <v>45670.425902777781</v>
      </c>
      <c r="L341" s="10">
        <v>45670.426874999997</v>
      </c>
      <c r="M341" s="11">
        <f t="shared" si="15"/>
        <v>2.8148148165200837E-2</v>
      </c>
      <c r="N341" s="11">
        <f t="shared" si="16"/>
        <v>3.0313541666546371</v>
      </c>
      <c r="O341" s="10">
        <v>45667.400289351863</v>
      </c>
      <c r="P341" s="11">
        <f t="shared" si="17"/>
        <v>2.9938657407401479</v>
      </c>
      <c r="Q341" s="12" t="s">
        <v>1316</v>
      </c>
    </row>
    <row r="342" spans="1:17" ht="25.5" x14ac:dyDescent="0.25">
      <c r="A342" s="3" t="s">
        <v>1317</v>
      </c>
      <c r="B342" s="3" t="s">
        <v>228</v>
      </c>
      <c r="C342" s="9">
        <v>54</v>
      </c>
      <c r="D342" s="3" t="s">
        <v>527</v>
      </c>
      <c r="E342" s="10">
        <v>45667.367372685178</v>
      </c>
      <c r="F342" s="10">
        <v>45667.395520833343</v>
      </c>
      <c r="G342" s="10">
        <v>45667.396851851852</v>
      </c>
      <c r="H342" s="3" t="s">
        <v>1318</v>
      </c>
      <c r="I342" s="10">
        <v>45667.602789351848</v>
      </c>
      <c r="J342" s="10">
        <v>45667.623379629629</v>
      </c>
      <c r="K342" s="10">
        <v>45667.623379629629</v>
      </c>
      <c r="L342" s="10">
        <v>45667.624085648153</v>
      </c>
      <c r="M342" s="11">
        <f t="shared" si="15"/>
        <v>2.9479166674718726E-2</v>
      </c>
      <c r="N342" s="11">
        <f t="shared" si="16"/>
        <v>0.22723379630042473</v>
      </c>
      <c r="O342" s="10">
        <v>45667.400810185187</v>
      </c>
      <c r="P342" s="11">
        <f t="shared" si="17"/>
        <v>0.20197916666074889</v>
      </c>
      <c r="Q342" s="12" t="s">
        <v>1319</v>
      </c>
    </row>
    <row r="343" spans="1:17" ht="25.5" x14ac:dyDescent="0.25">
      <c r="A343" s="3" t="s">
        <v>1320</v>
      </c>
      <c r="B343" s="3" t="s">
        <v>228</v>
      </c>
      <c r="C343" s="9">
        <v>15.74</v>
      </c>
      <c r="D343" s="3" t="s">
        <v>496</v>
      </c>
      <c r="E343" s="10">
        <v>45667.367372685178</v>
      </c>
      <c r="F343" s="10">
        <v>45667.396851851852</v>
      </c>
      <c r="G343" s="10">
        <v>45667.398738425924</v>
      </c>
      <c r="H343" s="3" t="s">
        <v>1321</v>
      </c>
      <c r="I343" s="10">
        <v>45667.444664351853</v>
      </c>
      <c r="J343" s="10">
        <v>45667.489745370367</v>
      </c>
      <c r="K343" s="10">
        <v>45667.489745370367</v>
      </c>
      <c r="L343" s="10">
        <v>45667.490740740737</v>
      </c>
      <c r="M343" s="11">
        <f t="shared" si="15"/>
        <v>3.1365740745968651E-2</v>
      </c>
      <c r="N343" s="11">
        <f t="shared" si="16"/>
        <v>9.2002314813726116E-2</v>
      </c>
      <c r="O343" s="10">
        <v>45667.40351851852</v>
      </c>
      <c r="P343" s="11">
        <f t="shared" si="17"/>
        <v>4.1145833332848269E-2</v>
      </c>
      <c r="Q343" s="12" t="s">
        <v>1322</v>
      </c>
    </row>
    <row r="344" spans="1:17" ht="25.5" x14ac:dyDescent="0.25">
      <c r="A344" s="3" t="s">
        <v>1323</v>
      </c>
      <c r="B344" s="3" t="s">
        <v>228</v>
      </c>
      <c r="C344" s="9">
        <v>109.44</v>
      </c>
      <c r="D344" s="3" t="s">
        <v>506</v>
      </c>
      <c r="E344" s="10">
        <v>45667.367372685178</v>
      </c>
      <c r="F344" s="10">
        <v>45667.398738425924</v>
      </c>
      <c r="G344" s="10">
        <v>45667.400648148148</v>
      </c>
      <c r="H344" s="3" t="s">
        <v>1295</v>
      </c>
      <c r="I344" s="10">
        <v>45667.417951388888</v>
      </c>
      <c r="J344" s="10">
        <v>45667.440405092602</v>
      </c>
      <c r="K344" s="10">
        <v>45667.440405092602</v>
      </c>
      <c r="L344" s="10">
        <v>45667.441307870373</v>
      </c>
      <c r="M344" s="11">
        <f t="shared" si="15"/>
        <v>3.327546297077788E-2</v>
      </c>
      <c r="N344" s="11">
        <f t="shared" si="16"/>
        <v>4.0659722224518191E-2</v>
      </c>
      <c r="O344" s="10">
        <v>45667.405162037037</v>
      </c>
      <c r="P344" s="11">
        <f t="shared" si="17"/>
        <v>1.2789351851097308E-2</v>
      </c>
      <c r="Q344" s="12" t="s">
        <v>1324</v>
      </c>
    </row>
    <row r="345" spans="1:17" ht="38.25" x14ac:dyDescent="0.25">
      <c r="A345" s="3" t="s">
        <v>1325</v>
      </c>
      <c r="B345" s="3" t="s">
        <v>228</v>
      </c>
      <c r="C345" s="9">
        <v>19.899999999999999</v>
      </c>
      <c r="D345" s="3" t="s">
        <v>523</v>
      </c>
      <c r="E345" s="10">
        <v>45667.367372685178</v>
      </c>
      <c r="F345" s="10">
        <v>45667.400648148148</v>
      </c>
      <c r="G345" s="10">
        <v>45667.40179398148</v>
      </c>
      <c r="H345" s="3" t="s">
        <v>1290</v>
      </c>
      <c r="I345" s="10">
        <v>45670.420092592591</v>
      </c>
      <c r="J345" s="10">
        <v>45670.437557870369</v>
      </c>
      <c r="K345" s="10">
        <v>45670.437557870369</v>
      </c>
      <c r="L345" s="10">
        <v>45670.438252314823</v>
      </c>
      <c r="M345" s="11">
        <f t="shared" si="15"/>
        <v>3.4421296302753035E-2</v>
      </c>
      <c r="N345" s="11">
        <f t="shared" si="16"/>
        <v>3.0364583333430346</v>
      </c>
      <c r="O345" s="10">
        <v>45667.408263888887</v>
      </c>
      <c r="P345" s="11">
        <f t="shared" si="17"/>
        <v>3.0118287037039408</v>
      </c>
      <c r="Q345" s="12" t="s">
        <v>1326</v>
      </c>
    </row>
    <row r="346" spans="1:17" ht="25.5" x14ac:dyDescent="0.25">
      <c r="A346" s="3" t="s">
        <v>1327</v>
      </c>
      <c r="B346" s="3" t="s">
        <v>228</v>
      </c>
      <c r="C346" s="9">
        <v>61.9</v>
      </c>
      <c r="D346" s="3" t="s">
        <v>488</v>
      </c>
      <c r="E346" s="10">
        <v>45667.367372685178</v>
      </c>
      <c r="F346" s="10">
        <v>45667.40179398148</v>
      </c>
      <c r="G346" s="10">
        <v>45667.403819444437</v>
      </c>
      <c r="H346" s="3" t="s">
        <v>1328</v>
      </c>
      <c r="I346" s="10">
        <v>45667.805625000001</v>
      </c>
      <c r="J346" s="10">
        <v>45667.830381944441</v>
      </c>
      <c r="K346" s="10">
        <v>45667.830381944441</v>
      </c>
      <c r="L346" s="10">
        <v>45667.831261574072</v>
      </c>
      <c r="M346" s="11">
        <f t="shared" si="15"/>
        <v>3.6446759258979E-2</v>
      </c>
      <c r="N346" s="11">
        <f t="shared" si="16"/>
        <v>0.42744212963589234</v>
      </c>
      <c r="O346" s="10">
        <v>45667.408125000002</v>
      </c>
      <c r="P346" s="11">
        <f t="shared" si="17"/>
        <v>0.39749999999912689</v>
      </c>
      <c r="Q346" s="12" t="s">
        <v>1329</v>
      </c>
    </row>
    <row r="347" spans="1:17" ht="25.5" x14ac:dyDescent="0.25">
      <c r="A347" s="3" t="s">
        <v>1330</v>
      </c>
      <c r="B347" s="3" t="s">
        <v>228</v>
      </c>
      <c r="C347" s="9">
        <v>58.5</v>
      </c>
      <c r="D347" s="3" t="s">
        <v>519</v>
      </c>
      <c r="E347" s="10">
        <v>45667.367372685178</v>
      </c>
      <c r="F347" s="10">
        <v>45667.403819444437</v>
      </c>
      <c r="G347" s="10">
        <v>45667.405925925923</v>
      </c>
      <c r="H347" s="3" t="s">
        <v>1281</v>
      </c>
      <c r="I347" s="10">
        <v>45667.44290509259</v>
      </c>
      <c r="J347" s="10">
        <v>45667.462835648148</v>
      </c>
      <c r="K347" s="10">
        <v>45667.462835648148</v>
      </c>
      <c r="L347" s="10">
        <v>45667.463599537034</v>
      </c>
      <c r="M347" s="11">
        <f t="shared" si="15"/>
        <v>3.8553240745386574E-2</v>
      </c>
      <c r="N347" s="11">
        <f t="shared" si="16"/>
        <v>5.7673611110658385E-2</v>
      </c>
      <c r="O347" s="10">
        <v>45667.412488425929</v>
      </c>
      <c r="P347" s="11">
        <f t="shared" si="17"/>
        <v>3.0416666661039926E-2</v>
      </c>
      <c r="Q347" s="12" t="s">
        <v>1331</v>
      </c>
    </row>
    <row r="348" spans="1:17" ht="38.25" x14ac:dyDescent="0.25">
      <c r="A348" s="3" t="s">
        <v>1332</v>
      </c>
      <c r="B348" s="3" t="s">
        <v>228</v>
      </c>
      <c r="C348" s="9">
        <v>59.7</v>
      </c>
      <c r="D348" s="3" t="s">
        <v>539</v>
      </c>
      <c r="E348" s="10">
        <v>45667.367372685178</v>
      </c>
      <c r="F348" s="10">
        <v>45667.405925925923</v>
      </c>
      <c r="G348" s="10">
        <v>45667.407500000001</v>
      </c>
      <c r="H348" s="3" t="s">
        <v>1333</v>
      </c>
      <c r="I348" s="10">
        <v>45667.796099537038</v>
      </c>
      <c r="J348" s="10">
        <v>45667.81925925926</v>
      </c>
      <c r="K348" s="10">
        <v>45667.81925925926</v>
      </c>
      <c r="L348" s="10">
        <v>45667.820104166669</v>
      </c>
      <c r="M348" s="11">
        <f t="shared" si="15"/>
        <v>4.0127314823621418E-2</v>
      </c>
      <c r="N348" s="11">
        <f t="shared" si="16"/>
        <v>0.41260416666773381</v>
      </c>
      <c r="O348" s="10">
        <v>45667.411493055559</v>
      </c>
      <c r="P348" s="11">
        <f t="shared" si="17"/>
        <v>0.38460648147884058</v>
      </c>
      <c r="Q348" s="12" t="s">
        <v>1334</v>
      </c>
    </row>
    <row r="349" spans="1:17" ht="38.25" x14ac:dyDescent="0.25">
      <c r="A349" s="3" t="s">
        <v>1335</v>
      </c>
      <c r="B349" s="3" t="s">
        <v>228</v>
      </c>
      <c r="C349" s="9">
        <v>19.899999999999999</v>
      </c>
      <c r="D349" s="3" t="s">
        <v>484</v>
      </c>
      <c r="E349" s="10">
        <v>45667.367372685178</v>
      </c>
      <c r="F349" s="10">
        <v>45667.407500000001</v>
      </c>
      <c r="G349" s="10">
        <v>45667.409224537027</v>
      </c>
      <c r="H349" s="3" t="s">
        <v>1298</v>
      </c>
      <c r="I349" s="10">
        <v>45667.872361111113</v>
      </c>
      <c r="J349" s="10">
        <v>45667.892222222217</v>
      </c>
      <c r="K349" s="10">
        <v>45667.892222222217</v>
      </c>
      <c r="L349" s="10">
        <v>45667.89303240741</v>
      </c>
      <c r="M349" s="11">
        <f t="shared" si="15"/>
        <v>4.185185184906004E-2</v>
      </c>
      <c r="N349" s="11">
        <f t="shared" si="16"/>
        <v>0.48380787038331619</v>
      </c>
      <c r="O349" s="10">
        <v>45667.416238425933</v>
      </c>
      <c r="P349" s="11">
        <f t="shared" si="17"/>
        <v>0.45612268518016208</v>
      </c>
      <c r="Q349" s="12" t="s">
        <v>1336</v>
      </c>
    </row>
    <row r="350" spans="1:17" ht="25.5" x14ac:dyDescent="0.25">
      <c r="A350" s="3" t="s">
        <v>1337</v>
      </c>
      <c r="B350" s="3" t="s">
        <v>229</v>
      </c>
      <c r="C350" s="9">
        <v>75</v>
      </c>
      <c r="D350" s="3" t="s">
        <v>500</v>
      </c>
      <c r="E350" s="10">
        <v>45667.376134259262</v>
      </c>
      <c r="F350" s="10">
        <v>45667.383368055547</v>
      </c>
      <c r="G350" s="10">
        <v>45667.384884259263</v>
      </c>
      <c r="H350" s="3" t="s">
        <v>1338</v>
      </c>
      <c r="I350" s="10">
        <v>45667.41369212963</v>
      </c>
      <c r="J350" s="10">
        <v>45667.442997685182</v>
      </c>
      <c r="K350" s="10">
        <v>45667.442997685182</v>
      </c>
      <c r="L350" s="10">
        <v>45667.443865740737</v>
      </c>
      <c r="M350" s="11">
        <f t="shared" si="15"/>
        <v>8.7500000008731149E-3</v>
      </c>
      <c r="N350" s="11">
        <f t="shared" si="16"/>
        <v>5.8981481473892927E-2</v>
      </c>
      <c r="O350" s="10">
        <v>45667.38726851852</v>
      </c>
      <c r="P350" s="11">
        <f t="shared" si="17"/>
        <v>2.6423611110658385E-2</v>
      </c>
      <c r="Q350" s="12" t="s">
        <v>1339</v>
      </c>
    </row>
    <row r="351" spans="1:17" ht="25.5" x14ac:dyDescent="0.25">
      <c r="A351" s="3" t="s">
        <v>1340</v>
      </c>
      <c r="B351" s="3" t="s">
        <v>229</v>
      </c>
      <c r="C351" s="9">
        <v>37.5</v>
      </c>
      <c r="D351" s="3" t="s">
        <v>572</v>
      </c>
      <c r="E351" s="10">
        <v>45667.376134259262</v>
      </c>
      <c r="F351" s="10">
        <v>45667.384884259263</v>
      </c>
      <c r="G351" s="10">
        <v>45667.38685185185</v>
      </c>
      <c r="H351" s="3" t="s">
        <v>1178</v>
      </c>
      <c r="I351" s="10">
        <v>45667.391284722216</v>
      </c>
      <c r="J351" s="10">
        <v>45667.41510416667</v>
      </c>
      <c r="K351" s="10">
        <v>45667.41510416667</v>
      </c>
      <c r="L351" s="10">
        <v>45667.415821759263</v>
      </c>
      <c r="M351" s="11">
        <f t="shared" si="15"/>
        <v>1.0717592587752733E-2</v>
      </c>
      <c r="N351" s="11">
        <f t="shared" si="16"/>
        <v>2.8969907412829343E-2</v>
      </c>
      <c r="O351" s="10">
        <v>45667.390416666669</v>
      </c>
      <c r="P351" s="11">
        <f t="shared" si="17"/>
        <v>8.6805554747115821E-4</v>
      </c>
      <c r="Q351" s="12" t="s">
        <v>1341</v>
      </c>
    </row>
    <row r="352" spans="1:17" ht="25.5" x14ac:dyDescent="0.25">
      <c r="A352" s="3" t="s">
        <v>1342</v>
      </c>
      <c r="B352" s="3" t="s">
        <v>229</v>
      </c>
      <c r="C352" s="9">
        <v>93.800000000000011</v>
      </c>
      <c r="D352" s="3" t="s">
        <v>500</v>
      </c>
      <c r="E352" s="10">
        <v>45667.376134259262</v>
      </c>
      <c r="F352" s="10">
        <v>45667.38685185185</v>
      </c>
      <c r="G352" s="10">
        <v>45667.388425925928</v>
      </c>
      <c r="H352" s="3" t="s">
        <v>1338</v>
      </c>
      <c r="I352" s="10">
        <v>45667.41369212963</v>
      </c>
      <c r="J352" s="10">
        <v>45667.442997685182</v>
      </c>
      <c r="K352" s="10">
        <v>45667.442997685182</v>
      </c>
      <c r="L352" s="10">
        <v>45667.443865740737</v>
      </c>
      <c r="M352" s="11">
        <f t="shared" si="15"/>
        <v>1.2291666665987577E-2</v>
      </c>
      <c r="N352" s="11">
        <f t="shared" si="16"/>
        <v>5.5439814808778465E-2</v>
      </c>
      <c r="O352" s="10">
        <v>45667.392326388886</v>
      </c>
      <c r="P352" s="11">
        <f t="shared" si="17"/>
        <v>2.1365740743931383E-2</v>
      </c>
      <c r="Q352" s="12" t="s">
        <v>1343</v>
      </c>
    </row>
    <row r="353" spans="1:17" x14ac:dyDescent="0.25">
      <c r="A353" s="3" t="s">
        <v>1344</v>
      </c>
      <c r="B353" s="3" t="s">
        <v>230</v>
      </c>
      <c r="C353" s="9">
        <v>259.66000000000003</v>
      </c>
      <c r="D353" s="3" t="s">
        <v>500</v>
      </c>
      <c r="E353" s="10">
        <v>45667.431817129633</v>
      </c>
      <c r="F353" s="10">
        <v>45667.437650462962</v>
      </c>
      <c r="G353" s="10">
        <v>45667.440127314818</v>
      </c>
      <c r="H353" s="3" t="s">
        <v>1321</v>
      </c>
      <c r="I353" s="10">
        <v>45667.444664351853</v>
      </c>
      <c r="J353" s="10">
        <v>45667.489745370367</v>
      </c>
      <c r="K353" s="10">
        <v>45667.489745370367</v>
      </c>
      <c r="L353" s="10">
        <v>45667.490740740737</v>
      </c>
      <c r="M353" s="11">
        <f t="shared" si="15"/>
        <v>8.3101851851097308E-3</v>
      </c>
      <c r="N353" s="11">
        <f t="shared" si="16"/>
        <v>5.061342591943685E-2</v>
      </c>
      <c r="O353" s="10">
        <v>45667.443622685183</v>
      </c>
      <c r="P353" s="11">
        <f t="shared" si="17"/>
        <v>1.0416666700621136E-3</v>
      </c>
      <c r="Q353" s="12" t="s">
        <v>1345</v>
      </c>
    </row>
    <row r="354" spans="1:17" ht="25.5" x14ac:dyDescent="0.25">
      <c r="A354" s="3" t="s">
        <v>1346</v>
      </c>
      <c r="B354" s="3" t="s">
        <v>231</v>
      </c>
      <c r="C354" s="9">
        <v>95.339999999999989</v>
      </c>
      <c r="D354" s="3" t="s">
        <v>500</v>
      </c>
      <c r="E354" s="10">
        <v>45667.546793981477</v>
      </c>
      <c r="F354" s="10">
        <v>45667.551168981481</v>
      </c>
      <c r="G354" s="10">
        <v>45667.552627314813</v>
      </c>
      <c r="H354" s="3" t="s">
        <v>1318</v>
      </c>
      <c r="I354" s="10">
        <v>45667.602789351848</v>
      </c>
      <c r="J354" s="10">
        <v>45667.623379629629</v>
      </c>
      <c r="K354" s="10">
        <v>45667.623379629629</v>
      </c>
      <c r="L354" s="10">
        <v>45667.624085648153</v>
      </c>
      <c r="M354" s="11">
        <f t="shared" si="15"/>
        <v>5.8333333363407291E-3</v>
      </c>
      <c r="N354" s="11">
        <f t="shared" si="16"/>
        <v>7.1458333339251112E-2</v>
      </c>
      <c r="O354" s="10">
        <v>45667.554988425924</v>
      </c>
      <c r="P354" s="11">
        <f t="shared" si="17"/>
        <v>4.7800925924093463E-2</v>
      </c>
      <c r="Q354" s="12" t="s">
        <v>1347</v>
      </c>
    </row>
    <row r="355" spans="1:17" ht="25.5" x14ac:dyDescent="0.25">
      <c r="A355" s="3" t="s">
        <v>1348</v>
      </c>
      <c r="B355" s="3" t="s">
        <v>232</v>
      </c>
      <c r="C355" s="9">
        <v>23.24</v>
      </c>
      <c r="D355" s="3" t="s">
        <v>500</v>
      </c>
      <c r="E355" s="10">
        <v>45667.592615740738</v>
      </c>
      <c r="F355" s="10">
        <v>45667.596388888887</v>
      </c>
      <c r="G355" s="10">
        <v>45667.598032407397</v>
      </c>
      <c r="H355" s="3" t="s">
        <v>1318</v>
      </c>
      <c r="I355" s="10">
        <v>45667.602789351848</v>
      </c>
      <c r="J355" s="10">
        <v>45667.623379629629</v>
      </c>
      <c r="K355" s="10">
        <v>45667.623379629629</v>
      </c>
      <c r="L355" s="10">
        <v>45667.624085648153</v>
      </c>
      <c r="M355" s="11">
        <f t="shared" si="15"/>
        <v>5.4166666595847346E-3</v>
      </c>
      <c r="N355" s="11">
        <f t="shared" si="16"/>
        <v>2.6053240755572915E-2</v>
      </c>
      <c r="O355" s="10">
        <v>45667.601921296293</v>
      </c>
      <c r="P355" s="11">
        <f t="shared" si="17"/>
        <v>8.6805555474711582E-4</v>
      </c>
      <c r="Q355" s="12" t="s">
        <v>1349</v>
      </c>
    </row>
    <row r="356" spans="1:17" x14ac:dyDescent="0.25">
      <c r="A356" s="3" t="s">
        <v>1350</v>
      </c>
      <c r="B356" s="3" t="s">
        <v>233</v>
      </c>
      <c r="C356" s="9">
        <v>393.50000000000011</v>
      </c>
      <c r="D356" s="3" t="s">
        <v>500</v>
      </c>
      <c r="E356" s="10">
        <v>45667.619930555556</v>
      </c>
      <c r="F356" s="10">
        <v>45667.626527777778</v>
      </c>
      <c r="G356" s="10">
        <v>45667.629317129627</v>
      </c>
      <c r="H356" s="3" t="s">
        <v>1351</v>
      </c>
      <c r="I356" s="10">
        <v>45667.6325462963</v>
      </c>
      <c r="J356" s="10">
        <v>45667.700868055559</v>
      </c>
      <c r="K356" s="10">
        <v>45667.700868055559</v>
      </c>
      <c r="L356" s="10">
        <v>45667.702164351853</v>
      </c>
      <c r="M356" s="11">
        <f t="shared" si="15"/>
        <v>9.3865740709588863E-3</v>
      </c>
      <c r="N356" s="11">
        <f t="shared" si="16"/>
        <v>7.2847222225391306E-2</v>
      </c>
      <c r="O356" s="10">
        <v>45667.631712962961</v>
      </c>
      <c r="P356" s="11">
        <f t="shared" si="17"/>
        <v>8.3333333896007389E-4</v>
      </c>
      <c r="Q356" s="12" t="s">
        <v>1352</v>
      </c>
    </row>
    <row r="357" spans="1:17" x14ac:dyDescent="0.25">
      <c r="A357" s="3" t="s">
        <v>1353</v>
      </c>
      <c r="B357" s="3" t="s">
        <v>234</v>
      </c>
      <c r="C357" s="9">
        <v>302.12000000000012</v>
      </c>
      <c r="D357" s="3" t="s">
        <v>500</v>
      </c>
      <c r="E357" s="10">
        <v>45667.730543981481</v>
      </c>
      <c r="F357" s="10">
        <v>45667.736747685187</v>
      </c>
      <c r="G357" s="10">
        <v>45667.738680555558</v>
      </c>
      <c r="H357" s="3" t="s">
        <v>1354</v>
      </c>
      <c r="I357" s="10">
        <v>45667.741909722223</v>
      </c>
      <c r="J357" s="10">
        <v>45667.794363425928</v>
      </c>
      <c r="K357" s="10">
        <v>45667.794363425928</v>
      </c>
      <c r="L357" s="10">
        <v>45667.795497685183</v>
      </c>
      <c r="M357" s="11">
        <f t="shared" si="15"/>
        <v>8.1365740770706907E-3</v>
      </c>
      <c r="N357" s="11">
        <f t="shared" si="16"/>
        <v>5.6817129625414964E-2</v>
      </c>
      <c r="O357" s="10">
        <v>45667.741041666668</v>
      </c>
      <c r="P357" s="11">
        <f t="shared" si="17"/>
        <v>8.6805555474711582E-4</v>
      </c>
      <c r="Q357" s="12" t="s">
        <v>1355</v>
      </c>
    </row>
    <row r="358" spans="1:17" ht="38.25" x14ac:dyDescent="0.25">
      <c r="A358" s="3" t="s">
        <v>1356</v>
      </c>
      <c r="B358" s="3" t="s">
        <v>235</v>
      </c>
      <c r="C358" s="9">
        <v>39.799999999999997</v>
      </c>
      <c r="D358" s="3" t="s">
        <v>539</v>
      </c>
      <c r="E358" s="10">
        <v>45667.737685185188</v>
      </c>
      <c r="F358" s="10">
        <v>45667.758888888893</v>
      </c>
      <c r="G358" s="10">
        <v>45667.760416666657</v>
      </c>
      <c r="H358" s="3" t="s">
        <v>1333</v>
      </c>
      <c r="I358" s="10">
        <v>45667.796099537038</v>
      </c>
      <c r="J358" s="10">
        <v>45667.81925925926</v>
      </c>
      <c r="K358" s="10">
        <v>45667.81925925926</v>
      </c>
      <c r="L358" s="10">
        <v>45667.820104166669</v>
      </c>
      <c r="M358" s="11">
        <f t="shared" si="15"/>
        <v>2.2731481469236314E-2</v>
      </c>
      <c r="N358" s="11">
        <f t="shared" si="16"/>
        <v>5.968750001193257E-2</v>
      </c>
      <c r="O358" s="10">
        <v>45667.764305555553</v>
      </c>
      <c r="P358" s="11">
        <f t="shared" si="17"/>
        <v>3.1793981484952383E-2</v>
      </c>
      <c r="Q358" s="12" t="s">
        <v>1357</v>
      </c>
    </row>
    <row r="359" spans="1:17" x14ac:dyDescent="0.25">
      <c r="A359" s="3" t="s">
        <v>1358</v>
      </c>
      <c r="B359" s="3" t="s">
        <v>235</v>
      </c>
      <c r="C359" s="9">
        <v>218.14</v>
      </c>
      <c r="D359" s="3" t="s">
        <v>506</v>
      </c>
      <c r="E359" s="10">
        <v>45667.737685185188</v>
      </c>
      <c r="F359" s="10">
        <v>45667.760416666657</v>
      </c>
      <c r="G359" s="10">
        <v>45667.762766203698</v>
      </c>
      <c r="H359" s="3" t="s">
        <v>1359</v>
      </c>
      <c r="I359" s="10">
        <v>45667.766018518523</v>
      </c>
      <c r="J359" s="10">
        <v>45667.803888888891</v>
      </c>
      <c r="K359" s="10">
        <v>45667.803888888891</v>
      </c>
      <c r="L359" s="10">
        <v>45667.804780092592</v>
      </c>
      <c r="M359" s="11">
        <f t="shared" si="15"/>
        <v>2.5081018509808928E-2</v>
      </c>
      <c r="N359" s="11">
        <f t="shared" si="16"/>
        <v>4.2013888894871343E-2</v>
      </c>
      <c r="O359" s="10">
        <v>45667.764930555553</v>
      </c>
      <c r="P359" s="11">
        <f t="shared" si="17"/>
        <v>1.0879629699047655E-3</v>
      </c>
      <c r="Q359" s="12" t="s">
        <v>1360</v>
      </c>
    </row>
    <row r="360" spans="1:17" ht="25.5" x14ac:dyDescent="0.25">
      <c r="A360" s="3" t="s">
        <v>1361</v>
      </c>
      <c r="B360" s="3" t="s">
        <v>235</v>
      </c>
      <c r="C360" s="9">
        <v>15.74</v>
      </c>
      <c r="D360" s="3" t="s">
        <v>515</v>
      </c>
      <c r="E360" s="10">
        <v>45667.737685185188</v>
      </c>
      <c r="F360" s="10">
        <v>45667.762766203698</v>
      </c>
      <c r="G360" s="10">
        <v>45667.764467592591</v>
      </c>
      <c r="H360" s="3" t="s">
        <v>1362</v>
      </c>
      <c r="I360" s="10">
        <v>45667.787939814807</v>
      </c>
      <c r="J360" s="10">
        <v>45667.807071759264</v>
      </c>
      <c r="K360" s="10">
        <v>45667.807071759264</v>
      </c>
      <c r="L360" s="10">
        <v>45667.807928240742</v>
      </c>
      <c r="M360" s="11">
        <f t="shared" si="15"/>
        <v>2.6782407403516117E-2</v>
      </c>
      <c r="N360" s="11">
        <f t="shared" si="16"/>
        <v>4.3460648150357883E-2</v>
      </c>
      <c r="O360" s="10">
        <v>45667.766840277778</v>
      </c>
      <c r="P360" s="11">
        <f t="shared" si="17"/>
        <v>2.1099537028931081E-2</v>
      </c>
      <c r="Q360" s="12" t="s">
        <v>1363</v>
      </c>
    </row>
    <row r="361" spans="1:17" ht="38.25" x14ac:dyDescent="0.25">
      <c r="A361" s="3" t="s">
        <v>1364</v>
      </c>
      <c r="B361" s="3" t="s">
        <v>235</v>
      </c>
      <c r="C361" s="9">
        <v>16.5</v>
      </c>
      <c r="D361" s="3" t="s">
        <v>519</v>
      </c>
      <c r="E361" s="10">
        <v>45667.737685185188</v>
      </c>
      <c r="F361" s="10">
        <v>45667.764467592591</v>
      </c>
      <c r="G361" s="10">
        <v>45667.766469907408</v>
      </c>
      <c r="H361" s="3" t="s">
        <v>1365</v>
      </c>
      <c r="I361" s="10">
        <v>45669.756898148153</v>
      </c>
      <c r="J361" s="10">
        <v>45669.803460648152</v>
      </c>
      <c r="K361" s="10">
        <v>45669.803460648152</v>
      </c>
      <c r="L361" s="10">
        <v>45669.804583333331</v>
      </c>
      <c r="M361" s="11">
        <f t="shared" si="15"/>
        <v>2.8784722220734693E-2</v>
      </c>
      <c r="N361" s="11">
        <f t="shared" si="16"/>
        <v>2.0381134259223472</v>
      </c>
      <c r="O361" s="10">
        <v>45667.768634259257</v>
      </c>
      <c r="P361" s="11">
        <f t="shared" si="17"/>
        <v>1.9882638888957445</v>
      </c>
      <c r="Q361" s="12" t="s">
        <v>1366</v>
      </c>
    </row>
    <row r="362" spans="1:17" ht="25.5" x14ac:dyDescent="0.25">
      <c r="A362" s="3" t="s">
        <v>1367</v>
      </c>
      <c r="B362" s="3" t="s">
        <v>235</v>
      </c>
      <c r="C362" s="9">
        <v>94.44</v>
      </c>
      <c r="D362" s="3" t="s">
        <v>533</v>
      </c>
      <c r="E362" s="10">
        <v>45667.737685185188</v>
      </c>
      <c r="F362" s="10">
        <v>45667.766469907408</v>
      </c>
      <c r="G362" s="10">
        <v>45667.76834490741</v>
      </c>
      <c r="H362" s="3" t="s">
        <v>1362</v>
      </c>
      <c r="I362" s="10">
        <v>45667.787939814807</v>
      </c>
      <c r="J362" s="10">
        <v>45667.807071759264</v>
      </c>
      <c r="K362" s="10">
        <v>45667.807071759264</v>
      </c>
      <c r="L362" s="10">
        <v>45667.807928240742</v>
      </c>
      <c r="M362" s="11">
        <f t="shared" si="15"/>
        <v>3.0659722222480923E-2</v>
      </c>
      <c r="N362" s="11">
        <f t="shared" si="16"/>
        <v>3.9583333331393078E-2</v>
      </c>
      <c r="O362" s="10">
        <v>45667.772245370368</v>
      </c>
      <c r="P362" s="11">
        <f t="shared" si="17"/>
        <v>1.5694444438850041E-2</v>
      </c>
      <c r="Q362" s="12" t="s">
        <v>1368</v>
      </c>
    </row>
    <row r="363" spans="1:17" ht="25.5" x14ac:dyDescent="0.25">
      <c r="A363" s="3" t="s">
        <v>1369</v>
      </c>
      <c r="B363" s="3" t="s">
        <v>235</v>
      </c>
      <c r="C363" s="9">
        <v>14</v>
      </c>
      <c r="D363" s="3" t="s">
        <v>595</v>
      </c>
      <c r="E363" s="10">
        <v>45667.737685185188</v>
      </c>
      <c r="F363" s="10">
        <v>45667.76834490741</v>
      </c>
      <c r="G363" s="10">
        <v>45667.769814814812</v>
      </c>
      <c r="H363" s="3" t="s">
        <v>1333</v>
      </c>
      <c r="I363" s="10">
        <v>45667.796099537038</v>
      </c>
      <c r="J363" s="10">
        <v>45667.81925925926</v>
      </c>
      <c r="K363" s="10">
        <v>45667.81925925926</v>
      </c>
      <c r="L363" s="10">
        <v>45667.820104166669</v>
      </c>
      <c r="M363" s="11">
        <f t="shared" si="15"/>
        <v>3.2129629624250811E-2</v>
      </c>
      <c r="N363" s="11">
        <f t="shared" si="16"/>
        <v>5.0289351856918074E-2</v>
      </c>
      <c r="O363" s="10">
        <v>45667.773368055547</v>
      </c>
      <c r="P363" s="11">
        <f t="shared" si="17"/>
        <v>2.2731481491064187E-2</v>
      </c>
      <c r="Q363" s="12" t="s">
        <v>1370</v>
      </c>
    </row>
    <row r="364" spans="1:17" ht="25.5" x14ac:dyDescent="0.25">
      <c r="A364" s="3" t="s">
        <v>1371</v>
      </c>
      <c r="B364" s="3" t="s">
        <v>235</v>
      </c>
      <c r="C364" s="9">
        <v>19.899999999999999</v>
      </c>
      <c r="D364" s="3" t="s">
        <v>539</v>
      </c>
      <c r="E364" s="10">
        <v>45667.737685185188</v>
      </c>
      <c r="F364" s="10">
        <v>45667.769814814812</v>
      </c>
      <c r="G364" s="10">
        <v>45667.771296296298</v>
      </c>
      <c r="H364" s="3" t="s">
        <v>1333</v>
      </c>
      <c r="I364" s="10">
        <v>45667.796099537038</v>
      </c>
      <c r="J364" s="10">
        <v>45667.81925925926</v>
      </c>
      <c r="K364" s="10">
        <v>45667.81925925926</v>
      </c>
      <c r="L364" s="10">
        <v>45667.820104166669</v>
      </c>
      <c r="M364" s="11">
        <f t="shared" si="15"/>
        <v>3.3611111110076308E-2</v>
      </c>
      <c r="N364" s="11">
        <f t="shared" si="16"/>
        <v>4.8807870371092577E-2</v>
      </c>
      <c r="O364" s="10">
        <v>45667.777002314811</v>
      </c>
      <c r="P364" s="11">
        <f t="shared" si="17"/>
        <v>1.9097222226264421E-2</v>
      </c>
      <c r="Q364" s="12" t="s">
        <v>1372</v>
      </c>
    </row>
    <row r="365" spans="1:17" ht="38.25" x14ac:dyDescent="0.25">
      <c r="A365" s="3" t="s">
        <v>1373</v>
      </c>
      <c r="B365" s="3" t="s">
        <v>235</v>
      </c>
      <c r="C365" s="9">
        <v>19.899999999999999</v>
      </c>
      <c r="D365" s="3" t="s">
        <v>523</v>
      </c>
      <c r="E365" s="10">
        <v>45667.737685185188</v>
      </c>
      <c r="F365" s="10">
        <v>45667.771296296298</v>
      </c>
      <c r="G365" s="10">
        <v>45667.772430555553</v>
      </c>
      <c r="H365" s="3" t="s">
        <v>1290</v>
      </c>
      <c r="I365" s="10">
        <v>45670.420092592591</v>
      </c>
      <c r="J365" s="10">
        <v>45670.437557870369</v>
      </c>
      <c r="K365" s="10">
        <v>45670.437557870369</v>
      </c>
      <c r="L365" s="10">
        <v>45670.438252314823</v>
      </c>
      <c r="M365" s="11">
        <f t="shared" si="15"/>
        <v>3.474537036527181E-2</v>
      </c>
      <c r="N365" s="11">
        <f t="shared" si="16"/>
        <v>2.6658217592703295</v>
      </c>
      <c r="O365" s="10">
        <v>45667.777685185189</v>
      </c>
      <c r="P365" s="11">
        <f t="shared" si="17"/>
        <v>2.6424074074020609</v>
      </c>
      <c r="Q365" s="12" t="s">
        <v>1374</v>
      </c>
    </row>
    <row r="366" spans="1:17" ht="63.75" x14ac:dyDescent="0.25">
      <c r="A366" s="3" t="s">
        <v>1375</v>
      </c>
      <c r="B366" s="3" t="s">
        <v>235</v>
      </c>
      <c r="C366" s="9">
        <v>15.74</v>
      </c>
      <c r="D366" s="3" t="s">
        <v>496</v>
      </c>
      <c r="E366" s="10">
        <v>45667.737685185188</v>
      </c>
      <c r="F366" s="10">
        <v>45667.772430555553</v>
      </c>
      <c r="G366" s="10">
        <v>45667.774317129632</v>
      </c>
      <c r="H366" s="3" t="s">
        <v>1376</v>
      </c>
      <c r="I366" s="10">
        <v>45671.459560185183</v>
      </c>
      <c r="J366" s="10">
        <v>45671.47991898148</v>
      </c>
      <c r="K366" s="10">
        <v>45671.47991898148</v>
      </c>
      <c r="L366" s="10">
        <v>45671.480578703697</v>
      </c>
      <c r="M366" s="11">
        <f t="shared" si="15"/>
        <v>3.6631944443797693E-2</v>
      </c>
      <c r="N366" s="11">
        <f t="shared" si="16"/>
        <v>3.7062615740651381</v>
      </c>
      <c r="O366" s="10">
        <v>45667.780219907407</v>
      </c>
      <c r="P366" s="11">
        <f t="shared" si="17"/>
        <v>3.679340277776646</v>
      </c>
      <c r="Q366" s="12" t="s">
        <v>1377</v>
      </c>
    </row>
    <row r="367" spans="1:17" ht="25.5" x14ac:dyDescent="0.25">
      <c r="A367" s="3" t="s">
        <v>1378</v>
      </c>
      <c r="B367" s="3" t="s">
        <v>235</v>
      </c>
      <c r="C367" s="9">
        <v>15.74</v>
      </c>
      <c r="D367" s="3" t="s">
        <v>484</v>
      </c>
      <c r="E367" s="10">
        <v>45667.737685185188</v>
      </c>
      <c r="F367" s="10">
        <v>45667.774317129632</v>
      </c>
      <c r="G367" s="10">
        <v>45667.776041666657</v>
      </c>
      <c r="H367" s="3" t="s">
        <v>1298</v>
      </c>
      <c r="I367" s="10">
        <v>45667.872361111113</v>
      </c>
      <c r="J367" s="10">
        <v>45667.892222222217</v>
      </c>
      <c r="K367" s="10">
        <v>45667.892222222217</v>
      </c>
      <c r="L367" s="10">
        <v>45667.89303240741</v>
      </c>
      <c r="M367" s="11">
        <f t="shared" si="15"/>
        <v>3.8356481469236314E-2</v>
      </c>
      <c r="N367" s="11">
        <f t="shared" si="16"/>
        <v>0.11699074075295357</v>
      </c>
      <c r="O367" s="10">
        <v>45667.782002314823</v>
      </c>
      <c r="P367" s="11">
        <f t="shared" si="17"/>
        <v>9.0358796289365273E-2</v>
      </c>
      <c r="Q367" s="12" t="s">
        <v>1379</v>
      </c>
    </row>
    <row r="368" spans="1:17" ht="25.5" x14ac:dyDescent="0.25">
      <c r="A368" s="3" t="s">
        <v>1380</v>
      </c>
      <c r="B368" s="3" t="s">
        <v>235</v>
      </c>
      <c r="C368" s="9">
        <v>27</v>
      </c>
      <c r="D368" s="3" t="s">
        <v>527</v>
      </c>
      <c r="E368" s="10">
        <v>45667.737685185188</v>
      </c>
      <c r="F368" s="10">
        <v>45667.776041666657</v>
      </c>
      <c r="G368" s="10">
        <v>45667.777314814812</v>
      </c>
      <c r="H368" s="3" t="s">
        <v>1381</v>
      </c>
      <c r="I368" s="10">
        <v>45667.869652777779</v>
      </c>
      <c r="J368" s="10">
        <v>45667.889178240737</v>
      </c>
      <c r="K368" s="10">
        <v>45667.889178240737</v>
      </c>
      <c r="L368" s="10">
        <v>45667.889872685177</v>
      </c>
      <c r="M368" s="11">
        <f t="shared" si="15"/>
        <v>3.9629629623959772E-2</v>
      </c>
      <c r="N368" s="11">
        <f t="shared" si="16"/>
        <v>0.11255787036498077</v>
      </c>
      <c r="O368" s="10">
        <v>45667.783449074072</v>
      </c>
      <c r="P368" s="11">
        <f t="shared" si="17"/>
        <v>8.6203703707724344E-2</v>
      </c>
      <c r="Q368" s="12" t="s">
        <v>1382</v>
      </c>
    </row>
    <row r="369" spans="1:17" ht="25.5" x14ac:dyDescent="0.25">
      <c r="A369" s="3" t="s">
        <v>1383</v>
      </c>
      <c r="B369" s="3" t="s">
        <v>235</v>
      </c>
      <c r="C369" s="9">
        <v>80.699999999999989</v>
      </c>
      <c r="D369" s="3" t="s">
        <v>488</v>
      </c>
      <c r="E369" s="10">
        <v>45667.737685185188</v>
      </c>
      <c r="F369" s="10">
        <v>45667.777314814812</v>
      </c>
      <c r="G369" s="10">
        <v>45667.779398148137</v>
      </c>
      <c r="H369" s="3" t="s">
        <v>1328</v>
      </c>
      <c r="I369" s="10">
        <v>45667.805625000001</v>
      </c>
      <c r="J369" s="10">
        <v>45667.830381944441</v>
      </c>
      <c r="K369" s="10">
        <v>45667.830381944441</v>
      </c>
      <c r="L369" s="10">
        <v>45667.831261574072</v>
      </c>
      <c r="M369" s="11">
        <f t="shared" si="15"/>
        <v>4.1712962949532084E-2</v>
      </c>
      <c r="N369" s="11">
        <f t="shared" si="16"/>
        <v>5.1863425935152918E-2</v>
      </c>
      <c r="O369" s="10">
        <v>45667.78633101852</v>
      </c>
      <c r="P369" s="11">
        <f t="shared" si="17"/>
        <v>1.9293981480586808E-2</v>
      </c>
      <c r="Q369" s="12" t="s">
        <v>1384</v>
      </c>
    </row>
    <row r="370" spans="1:17" ht="25.5" x14ac:dyDescent="0.25">
      <c r="A370" s="3" t="s">
        <v>1385</v>
      </c>
      <c r="B370" s="3" t="s">
        <v>236</v>
      </c>
      <c r="C370" s="9">
        <v>85.46</v>
      </c>
      <c r="D370" s="3" t="s">
        <v>506</v>
      </c>
      <c r="E370" s="10">
        <v>45667.843391203707</v>
      </c>
      <c r="F370" s="10">
        <v>45667.856990740736</v>
      </c>
      <c r="G370" s="10">
        <v>45667.858425925922</v>
      </c>
      <c r="H370" s="3" t="s">
        <v>1381</v>
      </c>
      <c r="I370" s="10">
        <v>45667.869652777779</v>
      </c>
      <c r="J370" s="10">
        <v>45667.889178240737</v>
      </c>
      <c r="K370" s="10">
        <v>45667.889178240737</v>
      </c>
      <c r="L370" s="10">
        <v>45667.889872685177</v>
      </c>
      <c r="M370" s="11">
        <f t="shared" si="15"/>
        <v>1.5034722215204965E-2</v>
      </c>
      <c r="N370" s="11">
        <f t="shared" si="16"/>
        <v>3.1446759254322387E-2</v>
      </c>
      <c r="O370" s="10">
        <v>45667.860821759263</v>
      </c>
      <c r="P370" s="11">
        <f t="shared" si="17"/>
        <v>8.8310185165028088E-3</v>
      </c>
      <c r="Q370" s="12" t="s">
        <v>1386</v>
      </c>
    </row>
    <row r="371" spans="1:17" ht="51" x14ac:dyDescent="0.25">
      <c r="A371" s="3" t="s">
        <v>1387</v>
      </c>
      <c r="B371" s="3" t="s">
        <v>236</v>
      </c>
      <c r="C371" s="9">
        <v>14</v>
      </c>
      <c r="D371" s="3" t="s">
        <v>595</v>
      </c>
      <c r="E371" s="10">
        <v>45667.843391203707</v>
      </c>
      <c r="F371" s="10">
        <v>45667.858425925922</v>
      </c>
      <c r="G371" s="10">
        <v>45667.860335648147</v>
      </c>
      <c r="H371" s="3" t="s">
        <v>1376</v>
      </c>
      <c r="I371" s="10">
        <v>45671.459560185183</v>
      </c>
      <c r="J371" s="10">
        <v>45671.47991898148</v>
      </c>
      <c r="K371" s="10">
        <v>45671.47991898148</v>
      </c>
      <c r="L371" s="10">
        <v>45671.480578703697</v>
      </c>
      <c r="M371" s="11">
        <f t="shared" si="15"/>
        <v>1.6944444440014195E-2</v>
      </c>
      <c r="N371" s="11">
        <f t="shared" si="16"/>
        <v>3.6202430555495084</v>
      </c>
      <c r="O371" s="10">
        <v>45667.862708333327</v>
      </c>
      <c r="P371" s="11">
        <f t="shared" si="17"/>
        <v>3.596851851856627</v>
      </c>
      <c r="Q371" s="12" t="s">
        <v>1388</v>
      </c>
    </row>
    <row r="372" spans="1:17" ht="25.5" x14ac:dyDescent="0.25">
      <c r="A372" s="3" t="s">
        <v>1389</v>
      </c>
      <c r="B372" s="3" t="s">
        <v>236</v>
      </c>
      <c r="C372" s="9">
        <v>19.899999999999999</v>
      </c>
      <c r="D372" s="3" t="s">
        <v>539</v>
      </c>
      <c r="E372" s="10">
        <v>45667.843391203707</v>
      </c>
      <c r="F372" s="10">
        <v>45667.860335648147</v>
      </c>
      <c r="G372" s="10">
        <v>45667.861851851849</v>
      </c>
      <c r="H372" s="3" t="s">
        <v>1390</v>
      </c>
      <c r="I372" s="10">
        <v>45670.662037037036</v>
      </c>
      <c r="J372" s="10">
        <v>45670.682766203703</v>
      </c>
      <c r="K372" s="10">
        <v>45670.682766203703</v>
      </c>
      <c r="L372" s="10">
        <v>45670.683587962973</v>
      </c>
      <c r="M372" s="11">
        <f t="shared" si="15"/>
        <v>1.8460648141626734E-2</v>
      </c>
      <c r="N372" s="11">
        <f t="shared" si="16"/>
        <v>2.8217361111237551</v>
      </c>
      <c r="O372" s="10">
        <v>45667.864247685182</v>
      </c>
      <c r="P372" s="11">
        <f t="shared" si="17"/>
        <v>2.7977893518545898</v>
      </c>
      <c r="Q372" s="12" t="s">
        <v>1391</v>
      </c>
    </row>
    <row r="373" spans="1:17" ht="25.5" x14ac:dyDescent="0.25">
      <c r="A373" s="3" t="s">
        <v>1392</v>
      </c>
      <c r="B373" s="3" t="s">
        <v>236</v>
      </c>
      <c r="C373" s="9">
        <v>21</v>
      </c>
      <c r="D373" s="3" t="s">
        <v>488</v>
      </c>
      <c r="E373" s="10">
        <v>45667.843391203707</v>
      </c>
      <c r="F373" s="10">
        <v>45667.861851851849</v>
      </c>
      <c r="G373" s="10">
        <v>45667.863587962973</v>
      </c>
      <c r="H373" s="3" t="s">
        <v>1393</v>
      </c>
      <c r="I373" s="10">
        <v>45670.118437500001</v>
      </c>
      <c r="J373" s="10">
        <v>45670.150868055563</v>
      </c>
      <c r="K373" s="10">
        <v>45670.150868055563</v>
      </c>
      <c r="L373" s="10">
        <v>45670.151898148149</v>
      </c>
      <c r="M373" s="11">
        <f t="shared" si="15"/>
        <v>2.0196759265672881E-2</v>
      </c>
      <c r="N373" s="11">
        <f t="shared" si="16"/>
        <v>2.2883101851766696</v>
      </c>
      <c r="O373" s="10">
        <v>45667.865949074083</v>
      </c>
      <c r="P373" s="11">
        <f t="shared" si="17"/>
        <v>2.2524884259182727</v>
      </c>
      <c r="Q373" s="12" t="s">
        <v>1394</v>
      </c>
    </row>
    <row r="374" spans="1:17" ht="25.5" x14ac:dyDescent="0.25">
      <c r="A374" s="3" t="s">
        <v>1395</v>
      </c>
      <c r="B374" s="3" t="s">
        <v>236</v>
      </c>
      <c r="C374" s="9">
        <v>27</v>
      </c>
      <c r="D374" s="3" t="s">
        <v>527</v>
      </c>
      <c r="E374" s="10">
        <v>45667.843391203707</v>
      </c>
      <c r="F374" s="10">
        <v>45667.863587962973</v>
      </c>
      <c r="G374" s="10">
        <v>45667.864884259259</v>
      </c>
      <c r="H374" s="3" t="s">
        <v>1381</v>
      </c>
      <c r="I374" s="10">
        <v>45667.869652777779</v>
      </c>
      <c r="J374" s="10">
        <v>45667.889178240737</v>
      </c>
      <c r="K374" s="10">
        <v>45667.889178240737</v>
      </c>
      <c r="L374" s="10">
        <v>45667.889872685177</v>
      </c>
      <c r="M374" s="11">
        <f t="shared" si="15"/>
        <v>2.1493055552127771E-2</v>
      </c>
      <c r="N374" s="11">
        <f t="shared" si="16"/>
        <v>2.4988425917399582E-2</v>
      </c>
      <c r="O374" s="10">
        <v>45667.868784722217</v>
      </c>
      <c r="P374" s="11">
        <f t="shared" si="17"/>
        <v>8.6805556202307343E-4</v>
      </c>
      <c r="Q374" s="12" t="s">
        <v>1396</v>
      </c>
    </row>
    <row r="375" spans="1:17" ht="25.5" x14ac:dyDescent="0.25">
      <c r="A375" s="3" t="s">
        <v>1397</v>
      </c>
      <c r="B375" s="3" t="s">
        <v>236</v>
      </c>
      <c r="C375" s="9">
        <v>43.14</v>
      </c>
      <c r="D375" s="3" t="s">
        <v>484</v>
      </c>
      <c r="E375" s="10">
        <v>45667.843391203707</v>
      </c>
      <c r="F375" s="10">
        <v>45667.864884259259</v>
      </c>
      <c r="G375" s="10">
        <v>45667.866701388892</v>
      </c>
      <c r="H375" s="3" t="s">
        <v>1298</v>
      </c>
      <c r="I375" s="10">
        <v>45667.872361111113</v>
      </c>
      <c r="J375" s="10">
        <v>45667.892222222217</v>
      </c>
      <c r="K375" s="10">
        <v>45667.892222222217</v>
      </c>
      <c r="L375" s="10">
        <v>45667.89303240741</v>
      </c>
      <c r="M375" s="11">
        <f t="shared" si="15"/>
        <v>2.3310185184527654E-2</v>
      </c>
      <c r="N375" s="11">
        <f t="shared" si="16"/>
        <v>2.6331018518249039E-2</v>
      </c>
      <c r="O375" s="10">
        <v>45667.870625000003</v>
      </c>
      <c r="P375" s="11">
        <f t="shared" si="17"/>
        <v>1.7361111094942316E-3</v>
      </c>
      <c r="Q375" s="12" t="s">
        <v>1398</v>
      </c>
    </row>
    <row r="376" spans="1:17" ht="25.5" x14ac:dyDescent="0.25">
      <c r="A376" s="3" t="s">
        <v>1399</v>
      </c>
      <c r="B376" s="3" t="s">
        <v>236</v>
      </c>
      <c r="C376" s="9">
        <v>27</v>
      </c>
      <c r="D376" s="3" t="s">
        <v>527</v>
      </c>
      <c r="E376" s="10">
        <v>45667.843391203707</v>
      </c>
      <c r="F376" s="10">
        <v>45667.866701388892</v>
      </c>
      <c r="G376" s="10">
        <v>45667.868449074071</v>
      </c>
      <c r="H376" s="3" t="s">
        <v>1400</v>
      </c>
      <c r="I376" s="10">
        <v>45670.353333333333</v>
      </c>
      <c r="J376" s="10">
        <v>45670.381458333337</v>
      </c>
      <c r="K376" s="10">
        <v>45670.381458333337</v>
      </c>
      <c r="L376" s="10">
        <v>45670.382349537038</v>
      </c>
      <c r="M376" s="11">
        <f t="shared" si="15"/>
        <v>2.5057870363525581E-2</v>
      </c>
      <c r="N376" s="11">
        <f t="shared" si="16"/>
        <v>2.5139004629672854</v>
      </c>
      <c r="O376" s="10">
        <v>45667.870821759258</v>
      </c>
      <c r="P376" s="11">
        <f t="shared" si="17"/>
        <v>2.4825115740750334</v>
      </c>
      <c r="Q376" s="12" t="s">
        <v>1401</v>
      </c>
    </row>
    <row r="377" spans="1:17" ht="25.5" x14ac:dyDescent="0.25">
      <c r="A377" s="3" t="s">
        <v>1402</v>
      </c>
      <c r="B377" s="3" t="s">
        <v>236</v>
      </c>
      <c r="C377" s="9">
        <v>62.96</v>
      </c>
      <c r="D377" s="3" t="s">
        <v>533</v>
      </c>
      <c r="E377" s="10">
        <v>45667.843391203707</v>
      </c>
      <c r="F377" s="10">
        <v>45667.868449074071</v>
      </c>
      <c r="G377" s="10">
        <v>45667.870520833327</v>
      </c>
      <c r="H377" s="3" t="s">
        <v>1403</v>
      </c>
      <c r="I377" s="10">
        <v>45668.224733796298</v>
      </c>
      <c r="J377" s="10">
        <v>45668.243854166663</v>
      </c>
      <c r="K377" s="10">
        <v>45668.243854166663</v>
      </c>
      <c r="L377" s="10">
        <v>45668.244664351849</v>
      </c>
      <c r="M377" s="11">
        <f t="shared" si="15"/>
        <v>2.7129629619594198E-2</v>
      </c>
      <c r="N377" s="11">
        <f t="shared" si="16"/>
        <v>0.37414351852203254</v>
      </c>
      <c r="O377" s="10">
        <v>45667.872893518521</v>
      </c>
      <c r="P377" s="11">
        <f t="shared" si="17"/>
        <v>0.35184027777722804</v>
      </c>
      <c r="Q377" s="12" t="s">
        <v>1404</v>
      </c>
    </row>
    <row r="378" spans="1:17" ht="25.5" x14ac:dyDescent="0.25">
      <c r="A378" s="3" t="s">
        <v>1405</v>
      </c>
      <c r="B378" s="3" t="s">
        <v>237</v>
      </c>
      <c r="C378" s="9">
        <v>47.22</v>
      </c>
      <c r="D378" s="3" t="s">
        <v>533</v>
      </c>
      <c r="E378" s="10">
        <v>45668.20925925926</v>
      </c>
      <c r="F378" s="10">
        <v>45668.217928240738</v>
      </c>
      <c r="G378" s="10">
        <v>45668.219965277778</v>
      </c>
      <c r="H378" s="3" t="s">
        <v>1403</v>
      </c>
      <c r="I378" s="10">
        <v>45668.224733796298</v>
      </c>
      <c r="J378" s="10">
        <v>45668.243854166663</v>
      </c>
      <c r="K378" s="10">
        <v>45668.243854166663</v>
      </c>
      <c r="L378" s="10">
        <v>45668.244664351849</v>
      </c>
      <c r="M378" s="11">
        <f t="shared" si="15"/>
        <v>1.0706018518249039E-2</v>
      </c>
      <c r="N378" s="11">
        <f t="shared" si="16"/>
        <v>2.4699074070667848E-2</v>
      </c>
      <c r="O378" s="10">
        <v>45668.22388888889</v>
      </c>
      <c r="P378" s="11">
        <f t="shared" si="17"/>
        <v>8.4490740846376866E-4</v>
      </c>
      <c r="Q378" s="12" t="s">
        <v>1406</v>
      </c>
    </row>
    <row r="379" spans="1:17" ht="38.25" x14ac:dyDescent="0.25">
      <c r="A379" s="3" t="s">
        <v>1407</v>
      </c>
      <c r="B379" s="3" t="s">
        <v>237</v>
      </c>
      <c r="C379" s="9">
        <v>16.5</v>
      </c>
      <c r="D379" s="3" t="s">
        <v>519</v>
      </c>
      <c r="E379" s="10">
        <v>45668.20925925926</v>
      </c>
      <c r="F379" s="10">
        <v>45668.219965277778</v>
      </c>
      <c r="G379" s="10">
        <v>45668.221990740742</v>
      </c>
      <c r="H379" s="3" t="s">
        <v>1365</v>
      </c>
      <c r="I379" s="10">
        <v>45669.756898148153</v>
      </c>
      <c r="J379" s="10">
        <v>45669.803460648152</v>
      </c>
      <c r="K379" s="10">
        <v>45669.803460648152</v>
      </c>
      <c r="L379" s="10">
        <v>45669.804583333331</v>
      </c>
      <c r="M379" s="11">
        <f t="shared" si="15"/>
        <v>1.2731481481750961E-2</v>
      </c>
      <c r="N379" s="11">
        <f t="shared" si="16"/>
        <v>1.5825925925892079</v>
      </c>
      <c r="O379" s="10">
        <v>45668.225532407407</v>
      </c>
      <c r="P379" s="11">
        <f t="shared" si="17"/>
        <v>1.5313657407459687</v>
      </c>
      <c r="Q379" s="12" t="s">
        <v>1408</v>
      </c>
    </row>
    <row r="380" spans="1:17" x14ac:dyDescent="0.25">
      <c r="A380" s="3" t="s">
        <v>1409</v>
      </c>
      <c r="B380" s="3" t="s">
        <v>237</v>
      </c>
      <c r="C380" s="9">
        <v>302.86</v>
      </c>
      <c r="D380" s="3" t="s">
        <v>506</v>
      </c>
      <c r="E380" s="10">
        <v>45668.20925925926</v>
      </c>
      <c r="F380" s="10">
        <v>45668.221990740742</v>
      </c>
      <c r="G380" s="10">
        <v>45668.223923611113</v>
      </c>
      <c r="H380" s="3" t="s">
        <v>1410</v>
      </c>
      <c r="I380" s="10">
        <v>45668.227164351847</v>
      </c>
      <c r="J380" s="10">
        <v>45668.279745370368</v>
      </c>
      <c r="K380" s="10">
        <v>45668.279745370368</v>
      </c>
      <c r="L380" s="10">
        <v>45668.280868055554</v>
      </c>
      <c r="M380" s="11">
        <f t="shared" si="15"/>
        <v>1.4664351852843538E-2</v>
      </c>
      <c r="N380" s="11">
        <f t="shared" si="16"/>
        <v>5.694444444088731E-2</v>
      </c>
      <c r="O380" s="10">
        <v>45668.2262962963</v>
      </c>
      <c r="P380" s="11">
        <f t="shared" si="17"/>
        <v>8.6805554747115821E-4</v>
      </c>
      <c r="Q380" s="12" t="s">
        <v>1411</v>
      </c>
    </row>
    <row r="381" spans="1:17" ht="38.25" x14ac:dyDescent="0.25">
      <c r="A381" s="3" t="s">
        <v>1412</v>
      </c>
      <c r="B381" s="3" t="s">
        <v>238</v>
      </c>
      <c r="C381" s="9">
        <v>40.9</v>
      </c>
      <c r="D381" s="3" t="s">
        <v>519</v>
      </c>
      <c r="E381" s="10">
        <v>45668.231203703697</v>
      </c>
      <c r="F381" s="10">
        <v>45668.241168981483</v>
      </c>
      <c r="G381" s="10">
        <v>45668.243252314824</v>
      </c>
      <c r="H381" s="3" t="s">
        <v>1365</v>
      </c>
      <c r="I381" s="10">
        <v>45669.756898148153</v>
      </c>
      <c r="J381" s="10">
        <v>45669.803460648152</v>
      </c>
      <c r="K381" s="10">
        <v>45669.803460648152</v>
      </c>
      <c r="L381" s="10">
        <v>45669.804583333331</v>
      </c>
      <c r="M381" s="11">
        <f t="shared" si="15"/>
        <v>1.2048611126374453E-2</v>
      </c>
      <c r="N381" s="11">
        <f t="shared" si="16"/>
        <v>1.5613310185071896</v>
      </c>
      <c r="O381" s="10">
        <v>45668.247141203698</v>
      </c>
      <c r="P381" s="11">
        <f t="shared" si="17"/>
        <v>1.5097569444551482</v>
      </c>
      <c r="Q381" s="12" t="s">
        <v>1413</v>
      </c>
    </row>
    <row r="382" spans="1:17" x14ac:dyDescent="0.25">
      <c r="A382" s="3" t="s">
        <v>1414</v>
      </c>
      <c r="B382" s="3" t="s">
        <v>238</v>
      </c>
      <c r="C382" s="9">
        <v>110.18</v>
      </c>
      <c r="D382" s="3" t="s">
        <v>533</v>
      </c>
      <c r="E382" s="10">
        <v>45668.231203703697</v>
      </c>
      <c r="F382" s="10">
        <v>45668.243252314824</v>
      </c>
      <c r="G382" s="10">
        <v>45668.24523148148</v>
      </c>
      <c r="H382" s="3" t="s">
        <v>1415</v>
      </c>
      <c r="I382" s="10">
        <v>45668.248819444438</v>
      </c>
      <c r="J382" s="10">
        <v>45668.267951388887</v>
      </c>
      <c r="K382" s="10">
        <v>45668.267951388887</v>
      </c>
      <c r="L382" s="10">
        <v>45668.268738425933</v>
      </c>
      <c r="M382" s="11">
        <f t="shared" si="15"/>
        <v>1.4027777782757767E-2</v>
      </c>
      <c r="N382" s="11">
        <f t="shared" si="16"/>
        <v>2.3506944453401957E-2</v>
      </c>
      <c r="O382" s="10">
        <v>45668.247407407413</v>
      </c>
      <c r="P382" s="11">
        <f t="shared" si="17"/>
        <v>1.4120370251475833E-3</v>
      </c>
      <c r="Q382" s="12" t="s">
        <v>1416</v>
      </c>
    </row>
    <row r="383" spans="1:17" x14ac:dyDescent="0.25">
      <c r="A383" s="3" t="s">
        <v>1417</v>
      </c>
      <c r="B383" s="3" t="s">
        <v>238</v>
      </c>
      <c r="C383" s="9">
        <v>210.64</v>
      </c>
      <c r="D383" s="3" t="s">
        <v>506</v>
      </c>
      <c r="E383" s="10">
        <v>45668.231203703697</v>
      </c>
      <c r="F383" s="10">
        <v>45668.24523148148</v>
      </c>
      <c r="G383" s="10">
        <v>45668.247060185182</v>
      </c>
      <c r="H383" s="3" t="s">
        <v>1418</v>
      </c>
      <c r="I383" s="10">
        <v>45668.254305555558</v>
      </c>
      <c r="J383" s="10">
        <v>45668.290879629632</v>
      </c>
      <c r="K383" s="10">
        <v>45668.290879629632</v>
      </c>
      <c r="L383" s="10">
        <v>45668.291851851849</v>
      </c>
      <c r="M383" s="11">
        <f t="shared" si="15"/>
        <v>1.5856481484661344E-2</v>
      </c>
      <c r="N383" s="11">
        <f t="shared" si="16"/>
        <v>4.4791666667151731E-2</v>
      </c>
      <c r="O383" s="10">
        <v>45668.249444444453</v>
      </c>
      <c r="P383" s="11">
        <f t="shared" si="17"/>
        <v>4.8611111051286571E-3</v>
      </c>
      <c r="Q383" s="12" t="s">
        <v>1419</v>
      </c>
    </row>
    <row r="384" spans="1:17" ht="25.5" x14ac:dyDescent="0.25">
      <c r="A384" s="3" t="s">
        <v>1420</v>
      </c>
      <c r="B384" s="3" t="s">
        <v>238</v>
      </c>
      <c r="C384" s="9">
        <v>21</v>
      </c>
      <c r="D384" s="3" t="s">
        <v>519</v>
      </c>
      <c r="E384" s="10">
        <v>45668.231203703697</v>
      </c>
      <c r="F384" s="10">
        <v>45668.247060185182</v>
      </c>
      <c r="G384" s="10">
        <v>45668.249108796299</v>
      </c>
      <c r="H384" s="3" t="s">
        <v>1365</v>
      </c>
      <c r="I384" s="10">
        <v>45669.756898148153</v>
      </c>
      <c r="J384" s="10">
        <v>45669.803460648152</v>
      </c>
      <c r="K384" s="10">
        <v>45669.803460648152</v>
      </c>
      <c r="L384" s="10">
        <v>45669.804583333331</v>
      </c>
      <c r="M384" s="11">
        <f t="shared" si="15"/>
        <v>1.7905092601722572E-2</v>
      </c>
      <c r="N384" s="11">
        <f t="shared" si="16"/>
        <v>1.5554745370318415</v>
      </c>
      <c r="O384" s="10">
        <v>45668.25267361111</v>
      </c>
      <c r="P384" s="11">
        <f t="shared" si="17"/>
        <v>1.5042245370423188</v>
      </c>
      <c r="Q384" s="12" t="s">
        <v>1421</v>
      </c>
    </row>
    <row r="385" spans="1:17" ht="25.5" x14ac:dyDescent="0.25">
      <c r="A385" s="3" t="s">
        <v>1422</v>
      </c>
      <c r="B385" s="3" t="s">
        <v>239</v>
      </c>
      <c r="C385" s="9">
        <v>173.3</v>
      </c>
      <c r="D385" s="3" t="s">
        <v>519</v>
      </c>
      <c r="E385" s="10">
        <v>45669.739560185182</v>
      </c>
      <c r="F385" s="10">
        <v>45669.749745370369</v>
      </c>
      <c r="G385" s="10">
        <v>45669.752106481479</v>
      </c>
      <c r="H385" s="3" t="s">
        <v>1365</v>
      </c>
      <c r="I385" s="10">
        <v>45669.756898148153</v>
      </c>
      <c r="J385" s="10">
        <v>45669.803460648152</v>
      </c>
      <c r="K385" s="10">
        <v>45669.803460648152</v>
      </c>
      <c r="L385" s="10">
        <v>45669.804583333331</v>
      </c>
      <c r="M385" s="11">
        <f t="shared" si="15"/>
        <v>1.2546296296932269E-2</v>
      </c>
      <c r="N385" s="11">
        <f t="shared" si="16"/>
        <v>5.2476851851679385E-2</v>
      </c>
      <c r="O385" s="10">
        <v>45669.756030092591</v>
      </c>
      <c r="P385" s="11">
        <f t="shared" si="17"/>
        <v>8.6805556202307343E-4</v>
      </c>
      <c r="Q385" s="12" t="s">
        <v>1423</v>
      </c>
    </row>
    <row r="386" spans="1:17" x14ac:dyDescent="0.25">
      <c r="A386" s="3" t="s">
        <v>1424</v>
      </c>
      <c r="B386" s="3" t="s">
        <v>239</v>
      </c>
      <c r="C386" s="9">
        <v>349.34</v>
      </c>
      <c r="D386" s="3" t="s">
        <v>506</v>
      </c>
      <c r="E386" s="10">
        <v>45669.739560185182</v>
      </c>
      <c r="F386" s="10">
        <v>45669.752106481479</v>
      </c>
      <c r="G386" s="10">
        <v>45669.754131944443</v>
      </c>
      <c r="H386" s="3" t="s">
        <v>1425</v>
      </c>
      <c r="I386" s="10">
        <v>45669.7577662037</v>
      </c>
      <c r="J386" s="10">
        <v>45669.818414351852</v>
      </c>
      <c r="K386" s="10">
        <v>45669.818414351852</v>
      </c>
      <c r="L386" s="10">
        <v>45669.819652777784</v>
      </c>
      <c r="M386" s="11">
        <f t="shared" ref="M386:M449" si="18">IF(AND(ISNUMBER(E386),ISNUMBER(G386)),(G386-E386),"")</f>
        <v>1.4571759260434192E-2</v>
      </c>
      <c r="N386" s="11">
        <f t="shared" ref="N386:N449" si="19">IF(AND(ISNUMBER(G386),ISNUMBER(L386)),(L386-G386),"")</f>
        <v>6.5520833340997342E-2</v>
      </c>
      <c r="O386" s="10">
        <v>45669.756493055553</v>
      </c>
      <c r="P386" s="11">
        <f t="shared" ref="P386:P449" si="20">IF(AND(ISNUMBER(I386),ISNUMBER(O386)),(I386-O386),"")</f>
        <v>1.2731481474475004E-3</v>
      </c>
      <c r="Q386" s="12" t="s">
        <v>1426</v>
      </c>
    </row>
    <row r="387" spans="1:17" ht="38.25" x14ac:dyDescent="0.25">
      <c r="A387" s="3" t="s">
        <v>1427</v>
      </c>
      <c r="B387" s="3" t="s">
        <v>239</v>
      </c>
      <c r="C387" s="9">
        <v>31.48</v>
      </c>
      <c r="D387" s="3" t="s">
        <v>533</v>
      </c>
      <c r="E387" s="10">
        <v>45669.739560185182</v>
      </c>
      <c r="F387" s="10">
        <v>45669.754131944443</v>
      </c>
      <c r="G387" s="10">
        <v>45669.755891203713</v>
      </c>
      <c r="H387" s="3" t="s">
        <v>1428</v>
      </c>
      <c r="I387" s="10">
        <v>45671.653101851851</v>
      </c>
      <c r="J387" s="10">
        <v>45671.67769675926</v>
      </c>
      <c r="K387" s="10">
        <v>45671.67769675926</v>
      </c>
      <c r="L387" s="10">
        <v>45671.678564814807</v>
      </c>
      <c r="M387" s="11">
        <f t="shared" si="18"/>
        <v>1.6331018530763686E-2</v>
      </c>
      <c r="N387" s="11">
        <f t="shared" si="19"/>
        <v>1.9226736110940692</v>
      </c>
      <c r="O387" s="10">
        <v>45669.758263888893</v>
      </c>
      <c r="P387" s="11">
        <f t="shared" si="20"/>
        <v>1.8948379629582632</v>
      </c>
      <c r="Q387" s="12" t="s">
        <v>1429</v>
      </c>
    </row>
    <row r="388" spans="1:17" x14ac:dyDescent="0.25">
      <c r="A388" s="3" t="s">
        <v>1430</v>
      </c>
      <c r="B388" s="3" t="s">
        <v>240</v>
      </c>
      <c r="C388" s="9">
        <v>106.9</v>
      </c>
      <c r="D388" s="3" t="s">
        <v>519</v>
      </c>
      <c r="E388" s="10">
        <v>45669.837060185193</v>
      </c>
      <c r="F388" s="10">
        <v>45669.843460648153</v>
      </c>
      <c r="G388" s="10">
        <v>45669.844953703701</v>
      </c>
      <c r="H388" s="3" t="s">
        <v>1431</v>
      </c>
      <c r="I388" s="10">
        <v>45669.847997685189</v>
      </c>
      <c r="J388" s="10">
        <v>45669.866550925923</v>
      </c>
      <c r="K388" s="10">
        <v>45669.866550925923</v>
      </c>
      <c r="L388" s="10">
        <v>45669.8672337963</v>
      </c>
      <c r="M388" s="11">
        <f t="shared" si="18"/>
        <v>7.8935185083537363E-3</v>
      </c>
      <c r="N388" s="11">
        <f t="shared" si="19"/>
        <v>2.2280092598521151E-2</v>
      </c>
      <c r="O388" s="10">
        <v>45669.847129629627</v>
      </c>
      <c r="P388" s="11">
        <f t="shared" si="20"/>
        <v>8.6805556202307343E-4</v>
      </c>
      <c r="Q388" s="12" t="s">
        <v>1432</v>
      </c>
    </row>
    <row r="389" spans="1:17" x14ac:dyDescent="0.25">
      <c r="A389" s="3" t="s">
        <v>1433</v>
      </c>
      <c r="B389" s="3" t="s">
        <v>240</v>
      </c>
      <c r="C389" s="9">
        <v>101.2</v>
      </c>
      <c r="D389" s="3" t="s">
        <v>506</v>
      </c>
      <c r="E389" s="10">
        <v>45669.837060185193</v>
      </c>
      <c r="F389" s="10">
        <v>45669.844953703701</v>
      </c>
      <c r="G389" s="10">
        <v>45669.847175925926</v>
      </c>
      <c r="H389" s="3" t="s">
        <v>1434</v>
      </c>
      <c r="I389" s="10">
        <v>45669.850324074083</v>
      </c>
      <c r="J389" s="10">
        <v>45669.867893518523</v>
      </c>
      <c r="K389" s="10">
        <v>45669.867893518523</v>
      </c>
      <c r="L389" s="10">
        <v>45669.868634259263</v>
      </c>
      <c r="M389" s="11">
        <f t="shared" si="18"/>
        <v>1.0115740733454004E-2</v>
      </c>
      <c r="N389" s="11">
        <f t="shared" si="19"/>
        <v>2.1458333336340729E-2</v>
      </c>
      <c r="O389" s="10">
        <v>45669.849537037036</v>
      </c>
      <c r="P389" s="11">
        <f t="shared" si="20"/>
        <v>7.8703704639337957E-4</v>
      </c>
      <c r="Q389" s="12" t="s">
        <v>1435</v>
      </c>
    </row>
    <row r="390" spans="1:17" ht="25.5" x14ac:dyDescent="0.25">
      <c r="A390" s="3" t="s">
        <v>1436</v>
      </c>
      <c r="B390" s="3" t="s">
        <v>241</v>
      </c>
      <c r="C390" s="9">
        <v>165.8</v>
      </c>
      <c r="D390" s="3" t="s">
        <v>488</v>
      </c>
      <c r="E390" s="10">
        <v>45670.105439814812</v>
      </c>
      <c r="F390" s="10">
        <v>45670.111585648148</v>
      </c>
      <c r="G390" s="10">
        <v>45670.113657407397</v>
      </c>
      <c r="H390" s="3" t="s">
        <v>1393</v>
      </c>
      <c r="I390" s="10">
        <v>45670.118437500001</v>
      </c>
      <c r="J390" s="10">
        <v>45670.150868055563</v>
      </c>
      <c r="K390" s="10">
        <v>45670.150868055563</v>
      </c>
      <c r="L390" s="10">
        <v>45670.151898148149</v>
      </c>
      <c r="M390" s="11">
        <f t="shared" si="18"/>
        <v>8.2175925854244269E-3</v>
      </c>
      <c r="N390" s="11">
        <f t="shared" si="19"/>
        <v>3.8240740752371494E-2</v>
      </c>
      <c r="O390" s="10">
        <v>45670.117569444446</v>
      </c>
      <c r="P390" s="11">
        <f t="shared" si="20"/>
        <v>8.6805555474711582E-4</v>
      </c>
      <c r="Q390" s="12" t="s">
        <v>1437</v>
      </c>
    </row>
    <row r="391" spans="1:17" ht="38.25" x14ac:dyDescent="0.25">
      <c r="A391" s="3" t="s">
        <v>1438</v>
      </c>
      <c r="B391" s="3" t="s">
        <v>241</v>
      </c>
      <c r="C391" s="9">
        <v>15.74</v>
      </c>
      <c r="D391" s="3" t="s">
        <v>484</v>
      </c>
      <c r="E391" s="10">
        <v>45670.105439814812</v>
      </c>
      <c r="F391" s="10">
        <v>45670.113657407397</v>
      </c>
      <c r="G391" s="10">
        <v>45670.114942129629</v>
      </c>
      <c r="H391" s="3" t="s">
        <v>1439</v>
      </c>
      <c r="I391" s="10">
        <v>45670.42763888889</v>
      </c>
      <c r="J391" s="10">
        <v>45670.449386574073</v>
      </c>
      <c r="K391" s="10">
        <v>45670.449386574073</v>
      </c>
      <c r="L391" s="10">
        <v>45670.450104166674</v>
      </c>
      <c r="M391" s="11">
        <f t="shared" si="18"/>
        <v>9.5023148169275373E-3</v>
      </c>
      <c r="N391" s="11">
        <f t="shared" si="19"/>
        <v>0.33516203704493819</v>
      </c>
      <c r="O391" s="10">
        <v>45670.117118055547</v>
      </c>
      <c r="P391" s="11">
        <f t="shared" si="20"/>
        <v>0.31052083334361669</v>
      </c>
      <c r="Q391" s="12" t="s">
        <v>1440</v>
      </c>
    </row>
    <row r="392" spans="1:17" x14ac:dyDescent="0.25">
      <c r="A392" s="3" t="s">
        <v>1441</v>
      </c>
      <c r="B392" s="3" t="s">
        <v>242</v>
      </c>
      <c r="C392" s="9">
        <v>301.2</v>
      </c>
      <c r="D392" s="3" t="s">
        <v>519</v>
      </c>
      <c r="E392" s="10">
        <v>45670.188796296286</v>
      </c>
      <c r="F392" s="10">
        <v>45670.194872685177</v>
      </c>
      <c r="G392" s="10">
        <v>45670.197557870371</v>
      </c>
      <c r="H392" s="3" t="s">
        <v>1442</v>
      </c>
      <c r="I392" s="10">
        <v>45670.200798611113</v>
      </c>
      <c r="J392" s="10">
        <v>45670.25309027778</v>
      </c>
      <c r="K392" s="10">
        <v>45670.25309027778</v>
      </c>
      <c r="L392" s="10">
        <v>45670.254293981481</v>
      </c>
      <c r="M392" s="11">
        <f t="shared" si="18"/>
        <v>8.7615740849287249E-3</v>
      </c>
      <c r="N392" s="11">
        <f t="shared" si="19"/>
        <v>5.673611110978527E-2</v>
      </c>
      <c r="O392" s="10">
        <v>45670.199953703697</v>
      </c>
      <c r="P392" s="11">
        <f t="shared" si="20"/>
        <v>8.4490741573972628E-4</v>
      </c>
      <c r="Q392" s="12" t="s">
        <v>1443</v>
      </c>
    </row>
    <row r="393" spans="1:17" x14ac:dyDescent="0.25">
      <c r="A393" s="3" t="s">
        <v>1444</v>
      </c>
      <c r="B393" s="3" t="s">
        <v>243</v>
      </c>
      <c r="C393" s="9">
        <v>298</v>
      </c>
      <c r="D393" s="3" t="s">
        <v>500</v>
      </c>
      <c r="E393" s="10">
        <v>45670.255636574067</v>
      </c>
      <c r="F393" s="10">
        <v>45670.261678240742</v>
      </c>
      <c r="G393" s="10">
        <v>45670.264363425929</v>
      </c>
      <c r="H393" s="3" t="s">
        <v>1445</v>
      </c>
      <c r="I393" s="10">
        <v>45670.267395833333</v>
      </c>
      <c r="J393" s="10">
        <v>45670.319131944438</v>
      </c>
      <c r="K393" s="10">
        <v>45670.319131944438</v>
      </c>
      <c r="L393" s="10">
        <v>45670.3203125</v>
      </c>
      <c r="M393" s="11">
        <f t="shared" si="18"/>
        <v>8.7268518618657254E-3</v>
      </c>
      <c r="N393" s="11">
        <f t="shared" si="19"/>
        <v>5.5949074070667848E-2</v>
      </c>
      <c r="O393" s="10">
        <v>45670.266527777778</v>
      </c>
      <c r="P393" s="11">
        <f t="shared" si="20"/>
        <v>8.6805555474711582E-4</v>
      </c>
      <c r="Q393" s="12" t="s">
        <v>1446</v>
      </c>
    </row>
    <row r="394" spans="1:17" x14ac:dyDescent="0.25">
      <c r="A394" s="3" t="s">
        <v>1447</v>
      </c>
      <c r="B394" s="3" t="s">
        <v>244</v>
      </c>
      <c r="C394" s="9">
        <v>205.52</v>
      </c>
      <c r="D394" s="3" t="s">
        <v>500</v>
      </c>
      <c r="E394" s="10">
        <v>45670.295254629629</v>
      </c>
      <c r="F394" s="10">
        <v>45670.300555555557</v>
      </c>
      <c r="G394" s="10">
        <v>45670.302719907413</v>
      </c>
      <c r="H394" s="3" t="s">
        <v>1448</v>
      </c>
      <c r="I394" s="10">
        <v>45670.305717592593</v>
      </c>
      <c r="J394" s="10">
        <v>45670.341400462959</v>
      </c>
      <c r="K394" s="10">
        <v>45670.341400462959</v>
      </c>
      <c r="L394" s="10">
        <v>45670.342465277783</v>
      </c>
      <c r="M394" s="11">
        <f t="shared" si="18"/>
        <v>7.4652777839219198E-3</v>
      </c>
      <c r="N394" s="11">
        <f t="shared" si="19"/>
        <v>3.9745370369928423E-2</v>
      </c>
      <c r="O394" s="10">
        <v>45670.304884259262</v>
      </c>
      <c r="P394" s="11">
        <f t="shared" si="20"/>
        <v>8.3333333168411627E-4</v>
      </c>
      <c r="Q394" s="12" t="s">
        <v>1449</v>
      </c>
    </row>
    <row r="395" spans="1:17" x14ac:dyDescent="0.25">
      <c r="A395" s="3" t="s">
        <v>1450</v>
      </c>
      <c r="B395" s="3" t="s">
        <v>245</v>
      </c>
      <c r="C395" s="9">
        <v>397.30000000000013</v>
      </c>
      <c r="D395" s="3" t="s">
        <v>500</v>
      </c>
      <c r="E395" s="10">
        <v>45670.304189814808</v>
      </c>
      <c r="F395" s="10">
        <v>45670.311018518521</v>
      </c>
      <c r="G395" s="10">
        <v>45670.313831018517</v>
      </c>
      <c r="H395" s="3" t="s">
        <v>1451</v>
      </c>
      <c r="I395" s="10">
        <v>45670.317627314813</v>
      </c>
      <c r="J395" s="10">
        <v>45670.386608796303</v>
      </c>
      <c r="K395" s="10">
        <v>45670.386608796303</v>
      </c>
      <c r="L395" s="10">
        <v>45670.388067129628</v>
      </c>
      <c r="M395" s="11">
        <f t="shared" si="18"/>
        <v>9.6412037091795355E-3</v>
      </c>
      <c r="N395" s="11">
        <f t="shared" si="19"/>
        <v>7.42361111115315E-2</v>
      </c>
      <c r="O395" s="10">
        <v>45670.315983796303</v>
      </c>
      <c r="P395" s="11">
        <f t="shared" si="20"/>
        <v>1.6435185098089278E-3</v>
      </c>
      <c r="Q395" s="12" t="s">
        <v>1452</v>
      </c>
    </row>
    <row r="396" spans="1:17" ht="38.25" x14ac:dyDescent="0.25">
      <c r="A396" s="3" t="s">
        <v>1453</v>
      </c>
      <c r="B396" s="3" t="s">
        <v>246</v>
      </c>
      <c r="C396" s="9">
        <v>15.74</v>
      </c>
      <c r="D396" s="3" t="s">
        <v>1033</v>
      </c>
      <c r="E396" s="10">
        <v>45670.307256944441</v>
      </c>
      <c r="F396" s="10">
        <v>45670.328912037039</v>
      </c>
      <c r="G396" s="10">
        <v>45670.330520833333</v>
      </c>
      <c r="H396" s="3" t="s">
        <v>1264</v>
      </c>
      <c r="I396" s="10">
        <v>45671.398194444453</v>
      </c>
      <c r="J396" s="10">
        <v>45671.457824074067</v>
      </c>
      <c r="K396" s="10">
        <v>45671.458148148151</v>
      </c>
      <c r="L396" s="10">
        <v>45671.459537037037</v>
      </c>
      <c r="M396" s="11">
        <f t="shared" si="18"/>
        <v>2.326388889196096E-2</v>
      </c>
      <c r="N396" s="11">
        <f t="shared" si="19"/>
        <v>1.1290162037039408</v>
      </c>
      <c r="O396" s="10">
        <v>45670.334444444437</v>
      </c>
      <c r="P396" s="11">
        <f t="shared" si="20"/>
        <v>1.0637500000157161</v>
      </c>
      <c r="Q396" s="12" t="s">
        <v>1454</v>
      </c>
    </row>
    <row r="397" spans="1:17" ht="25.5" x14ac:dyDescent="0.25">
      <c r="A397" s="3" t="s">
        <v>1455</v>
      </c>
      <c r="B397" s="3" t="s">
        <v>246</v>
      </c>
      <c r="C397" s="9">
        <v>70.459999999999994</v>
      </c>
      <c r="D397" s="3" t="s">
        <v>506</v>
      </c>
      <c r="E397" s="10">
        <v>45670.307256944441</v>
      </c>
      <c r="F397" s="10">
        <v>45670.330520833333</v>
      </c>
      <c r="G397" s="10">
        <v>45670.332037037027</v>
      </c>
      <c r="H397" s="3" t="s">
        <v>1456</v>
      </c>
      <c r="I397" s="10">
        <v>45670.444097222222</v>
      </c>
      <c r="J397" s="10">
        <v>45670.48196759259</v>
      </c>
      <c r="K397" s="10">
        <v>45670.48196759259</v>
      </c>
      <c r="L397" s="10">
        <v>45670.48296296296</v>
      </c>
      <c r="M397" s="11">
        <f t="shared" si="18"/>
        <v>2.4780092586297542E-2</v>
      </c>
      <c r="N397" s="11">
        <f t="shared" si="19"/>
        <v>0.15092592593282461</v>
      </c>
      <c r="O397" s="10">
        <v>45670.334409722222</v>
      </c>
      <c r="P397" s="11">
        <f t="shared" si="20"/>
        <v>0.10968750000029104</v>
      </c>
      <c r="Q397" s="12" t="s">
        <v>1457</v>
      </c>
    </row>
    <row r="398" spans="1:17" ht="38.25" x14ac:dyDescent="0.25">
      <c r="A398" s="3" t="s">
        <v>1458</v>
      </c>
      <c r="B398" s="3" t="s">
        <v>246</v>
      </c>
      <c r="C398" s="9">
        <v>23.24</v>
      </c>
      <c r="D398" s="3" t="s">
        <v>484</v>
      </c>
      <c r="E398" s="10">
        <v>45670.307256944441</v>
      </c>
      <c r="F398" s="10">
        <v>45670.332037037027</v>
      </c>
      <c r="G398" s="10">
        <v>45670.333333333343</v>
      </c>
      <c r="H398" s="3" t="s">
        <v>1439</v>
      </c>
      <c r="I398" s="10">
        <v>45670.42763888889</v>
      </c>
      <c r="J398" s="10">
        <v>45670.449386574073</v>
      </c>
      <c r="K398" s="10">
        <v>45670.449386574073</v>
      </c>
      <c r="L398" s="10">
        <v>45670.450104166674</v>
      </c>
      <c r="M398" s="11">
        <f t="shared" si="18"/>
        <v>2.6076388901856262E-2</v>
      </c>
      <c r="N398" s="11">
        <f t="shared" si="19"/>
        <v>0.11677083333051996</v>
      </c>
      <c r="O398" s="10">
        <v>45670.339166666658</v>
      </c>
      <c r="P398" s="11">
        <f t="shared" si="20"/>
        <v>8.8472222232667264E-2</v>
      </c>
      <c r="Q398" s="12" t="s">
        <v>1459</v>
      </c>
    </row>
    <row r="399" spans="1:17" ht="25.5" x14ac:dyDescent="0.25">
      <c r="A399" s="3" t="s">
        <v>1460</v>
      </c>
      <c r="B399" s="3" t="s">
        <v>246</v>
      </c>
      <c r="C399" s="9">
        <v>79.599999999999994</v>
      </c>
      <c r="D399" s="3" t="s">
        <v>539</v>
      </c>
      <c r="E399" s="10">
        <v>45670.307256944441</v>
      </c>
      <c r="F399" s="10">
        <v>45670.333333333343</v>
      </c>
      <c r="G399" s="10">
        <v>45670.334976851853</v>
      </c>
      <c r="H399" s="3" t="s">
        <v>1390</v>
      </c>
      <c r="I399" s="10">
        <v>45670.662037037036</v>
      </c>
      <c r="J399" s="10">
        <v>45670.682766203703</v>
      </c>
      <c r="K399" s="10">
        <v>45670.682766203703</v>
      </c>
      <c r="L399" s="10">
        <v>45670.683587962973</v>
      </c>
      <c r="M399" s="11">
        <f t="shared" si="18"/>
        <v>2.771990741166519E-2</v>
      </c>
      <c r="N399" s="11">
        <f t="shared" si="19"/>
        <v>0.34861111111968057</v>
      </c>
      <c r="O399" s="10">
        <v>45670.339236111111</v>
      </c>
      <c r="P399" s="11">
        <f t="shared" si="20"/>
        <v>0.32280092592554865</v>
      </c>
      <c r="Q399" s="12" t="s">
        <v>1461</v>
      </c>
    </row>
    <row r="400" spans="1:17" ht="38.25" x14ac:dyDescent="0.25">
      <c r="A400" s="3" t="s">
        <v>1462</v>
      </c>
      <c r="B400" s="3" t="s">
        <v>246</v>
      </c>
      <c r="C400" s="9">
        <v>31.48</v>
      </c>
      <c r="D400" s="3" t="s">
        <v>654</v>
      </c>
      <c r="E400" s="10">
        <v>45670.307256944441</v>
      </c>
      <c r="F400" s="10">
        <v>45670.334976851853</v>
      </c>
      <c r="G400" s="10">
        <v>45670.336967592593</v>
      </c>
      <c r="H400" s="3" t="s">
        <v>1463</v>
      </c>
      <c r="I400" s="10">
        <v>45671.77648148148</v>
      </c>
      <c r="J400" s="10">
        <v>45671.798344907409</v>
      </c>
      <c r="K400" s="10">
        <v>45671.798344907409</v>
      </c>
      <c r="L400" s="10">
        <v>45671.799166666657</v>
      </c>
      <c r="M400" s="11">
        <f t="shared" si="18"/>
        <v>2.9710648152104113E-2</v>
      </c>
      <c r="N400" s="11">
        <f t="shared" si="19"/>
        <v>1.4621990740633919</v>
      </c>
      <c r="O400" s="10">
        <v>45670.34238425926</v>
      </c>
      <c r="P400" s="11">
        <f t="shared" si="20"/>
        <v>1.4340972222198616</v>
      </c>
      <c r="Q400" s="12" t="s">
        <v>1464</v>
      </c>
    </row>
    <row r="401" spans="1:17" ht="38.25" x14ac:dyDescent="0.25">
      <c r="A401" s="3" t="s">
        <v>1465</v>
      </c>
      <c r="B401" s="3" t="s">
        <v>246</v>
      </c>
      <c r="C401" s="9">
        <v>19.899999999999999</v>
      </c>
      <c r="D401" s="3" t="s">
        <v>515</v>
      </c>
      <c r="E401" s="10">
        <v>45670.307256944441</v>
      </c>
      <c r="F401" s="10">
        <v>45670.336967592593</v>
      </c>
      <c r="G401" s="10">
        <v>45670.338703703703</v>
      </c>
      <c r="H401" s="3" t="s">
        <v>1466</v>
      </c>
      <c r="I401" s="10">
        <v>45670.442175925928</v>
      </c>
      <c r="J401" s="10">
        <v>45670.46769675926</v>
      </c>
      <c r="K401" s="10">
        <v>45670.46769675926</v>
      </c>
      <c r="L401" s="10">
        <v>45670.468634259261</v>
      </c>
      <c r="M401" s="11">
        <f t="shared" si="18"/>
        <v>3.1446759261598345E-2</v>
      </c>
      <c r="N401" s="11">
        <f t="shared" si="19"/>
        <v>0.12993055555853061</v>
      </c>
      <c r="O401" s="10">
        <v>45670.342499999999</v>
      </c>
      <c r="P401" s="11">
        <f t="shared" si="20"/>
        <v>9.9675925928750075E-2</v>
      </c>
      <c r="Q401" s="12" t="s">
        <v>1467</v>
      </c>
    </row>
    <row r="402" spans="1:17" ht="25.5" x14ac:dyDescent="0.25">
      <c r="A402" s="3" t="s">
        <v>1468</v>
      </c>
      <c r="B402" s="3" t="s">
        <v>246</v>
      </c>
      <c r="C402" s="9">
        <v>27</v>
      </c>
      <c r="D402" s="3" t="s">
        <v>527</v>
      </c>
      <c r="E402" s="10">
        <v>45670.307256944441</v>
      </c>
      <c r="F402" s="10">
        <v>45670.338703703703</v>
      </c>
      <c r="G402" s="10">
        <v>45670.340451388889</v>
      </c>
      <c r="H402" s="3" t="s">
        <v>1400</v>
      </c>
      <c r="I402" s="10">
        <v>45670.353333333333</v>
      </c>
      <c r="J402" s="10">
        <v>45670.381458333337</v>
      </c>
      <c r="K402" s="10">
        <v>45670.381458333337</v>
      </c>
      <c r="L402" s="10">
        <v>45670.382349537038</v>
      </c>
      <c r="M402" s="11">
        <f t="shared" si="18"/>
        <v>3.3194444447872229E-2</v>
      </c>
      <c r="N402" s="11">
        <f t="shared" si="19"/>
        <v>4.1898148148902692E-2</v>
      </c>
      <c r="O402" s="10">
        <v>45670.345752314817</v>
      </c>
      <c r="P402" s="11">
        <f t="shared" si="20"/>
        <v>7.5810185153386556E-3</v>
      </c>
      <c r="Q402" s="12" t="s">
        <v>1469</v>
      </c>
    </row>
    <row r="403" spans="1:17" ht="38.25" x14ac:dyDescent="0.25">
      <c r="A403" s="3" t="s">
        <v>1470</v>
      </c>
      <c r="B403" s="3" t="s">
        <v>246</v>
      </c>
      <c r="C403" s="9">
        <v>16.5</v>
      </c>
      <c r="D403" s="3" t="s">
        <v>519</v>
      </c>
      <c r="E403" s="10">
        <v>45670.307256944441</v>
      </c>
      <c r="F403" s="10">
        <v>45670.340451388889</v>
      </c>
      <c r="G403" s="10">
        <v>45670.342361111107</v>
      </c>
      <c r="H403" s="3" t="s">
        <v>1471</v>
      </c>
      <c r="I403" s="10">
        <v>45671.298530092587</v>
      </c>
      <c r="J403" s="10">
        <v>45671.331099537027</v>
      </c>
      <c r="K403" s="10">
        <v>45671.331099537027</v>
      </c>
      <c r="L403" s="10">
        <v>45671.331921296303</v>
      </c>
      <c r="M403" s="11">
        <f t="shared" si="18"/>
        <v>3.5104166665405501E-2</v>
      </c>
      <c r="N403" s="11">
        <f t="shared" si="19"/>
        <v>0.98956018519675126</v>
      </c>
      <c r="O403" s="10">
        <v>45670.344733796293</v>
      </c>
      <c r="P403" s="11">
        <f t="shared" si="20"/>
        <v>0.95379629629314877</v>
      </c>
      <c r="Q403" s="12" t="s">
        <v>1472</v>
      </c>
    </row>
    <row r="404" spans="1:17" ht="25.5" x14ac:dyDescent="0.25">
      <c r="A404" s="3" t="s">
        <v>1473</v>
      </c>
      <c r="B404" s="3" t="s">
        <v>246</v>
      </c>
      <c r="C404" s="9">
        <v>23.24</v>
      </c>
      <c r="D404" s="3" t="s">
        <v>506</v>
      </c>
      <c r="E404" s="10">
        <v>45670.307256944441</v>
      </c>
      <c r="F404" s="10">
        <v>45670.342361111107</v>
      </c>
      <c r="G404" s="10">
        <v>45670.343773148154</v>
      </c>
      <c r="H404" s="3" t="s">
        <v>1456</v>
      </c>
      <c r="I404" s="10">
        <v>45670.444097222222</v>
      </c>
      <c r="J404" s="10">
        <v>45670.48196759259</v>
      </c>
      <c r="K404" s="10">
        <v>45670.48196759259</v>
      </c>
      <c r="L404" s="10">
        <v>45670.48296296296</v>
      </c>
      <c r="M404" s="11">
        <f t="shared" si="18"/>
        <v>3.6516203712380957E-2</v>
      </c>
      <c r="N404" s="11">
        <f t="shared" si="19"/>
        <v>0.1391898148067412</v>
      </c>
      <c r="O404" s="10">
        <v>45670.347696759258</v>
      </c>
      <c r="P404" s="11">
        <f t="shared" si="20"/>
        <v>9.6400462964083999E-2</v>
      </c>
      <c r="Q404" s="12" t="s">
        <v>1474</v>
      </c>
    </row>
    <row r="405" spans="1:17" ht="25.5" x14ac:dyDescent="0.25">
      <c r="A405" s="3" t="s">
        <v>1475</v>
      </c>
      <c r="B405" s="3" t="s">
        <v>246</v>
      </c>
      <c r="C405" s="9">
        <v>108</v>
      </c>
      <c r="D405" s="3" t="s">
        <v>527</v>
      </c>
      <c r="E405" s="10">
        <v>45670.307256944441</v>
      </c>
      <c r="F405" s="10">
        <v>45670.343773148154</v>
      </c>
      <c r="G405" s="10">
        <v>45670.345706018517</v>
      </c>
      <c r="H405" s="3" t="s">
        <v>1400</v>
      </c>
      <c r="I405" s="10">
        <v>45670.353333333333</v>
      </c>
      <c r="J405" s="10">
        <v>45670.381458333337</v>
      </c>
      <c r="K405" s="10">
        <v>45670.381458333337</v>
      </c>
      <c r="L405" s="10">
        <v>45670.382349537038</v>
      </c>
      <c r="M405" s="11">
        <f t="shared" si="18"/>
        <v>3.8449074076197576E-2</v>
      </c>
      <c r="N405" s="11">
        <f t="shared" si="19"/>
        <v>3.6643518520577345E-2</v>
      </c>
      <c r="O405" s="10">
        <v>45670.349606481483</v>
      </c>
      <c r="P405" s="11">
        <f t="shared" si="20"/>
        <v>3.7268518499331549E-3</v>
      </c>
      <c r="Q405" s="12" t="s">
        <v>1476</v>
      </c>
    </row>
    <row r="406" spans="1:17" ht="38.25" x14ac:dyDescent="0.25">
      <c r="A406" s="3" t="s">
        <v>1477</v>
      </c>
      <c r="B406" s="3" t="s">
        <v>246</v>
      </c>
      <c r="C406" s="9">
        <v>15.74</v>
      </c>
      <c r="D406" s="3" t="s">
        <v>533</v>
      </c>
      <c r="E406" s="10">
        <v>45670.307256944441</v>
      </c>
      <c r="F406" s="10">
        <v>45670.345706018517</v>
      </c>
      <c r="G406" s="10">
        <v>45670.34746527778</v>
      </c>
      <c r="H406" s="3" t="s">
        <v>1428</v>
      </c>
      <c r="I406" s="10">
        <v>45671.653101851851</v>
      </c>
      <c r="J406" s="10">
        <v>45671.67769675926</v>
      </c>
      <c r="K406" s="10">
        <v>45671.67769675926</v>
      </c>
      <c r="L406" s="10">
        <v>45671.678564814807</v>
      </c>
      <c r="M406" s="11">
        <f t="shared" si="18"/>
        <v>4.0208333339251112E-2</v>
      </c>
      <c r="N406" s="11">
        <f t="shared" si="19"/>
        <v>1.3310995370266028</v>
      </c>
      <c r="O406" s="10">
        <v>45670.351030092592</v>
      </c>
      <c r="P406" s="11">
        <f t="shared" si="20"/>
        <v>1.302071759258979</v>
      </c>
      <c r="Q406" s="12" t="s">
        <v>1478</v>
      </c>
    </row>
    <row r="407" spans="1:17" ht="25.5" x14ac:dyDescent="0.25">
      <c r="A407" s="3" t="s">
        <v>1479</v>
      </c>
      <c r="B407" s="3" t="s">
        <v>246</v>
      </c>
      <c r="C407" s="9">
        <v>23.24</v>
      </c>
      <c r="D407" s="3" t="s">
        <v>515</v>
      </c>
      <c r="E407" s="10">
        <v>45670.307256944441</v>
      </c>
      <c r="F407" s="10">
        <v>45670.34746527778</v>
      </c>
      <c r="G407" s="10">
        <v>45670.34920138889</v>
      </c>
      <c r="H407" s="3" t="s">
        <v>1466</v>
      </c>
      <c r="I407" s="10">
        <v>45670.442175925928</v>
      </c>
      <c r="J407" s="10">
        <v>45670.46769675926</v>
      </c>
      <c r="K407" s="10">
        <v>45670.46769675926</v>
      </c>
      <c r="L407" s="10">
        <v>45670.468634259261</v>
      </c>
      <c r="M407" s="11">
        <f t="shared" si="18"/>
        <v>4.1944444448745344E-2</v>
      </c>
      <c r="N407" s="11">
        <f t="shared" si="19"/>
        <v>0.11943287037138361</v>
      </c>
      <c r="O407" s="10">
        <v>45670.351597222223</v>
      </c>
      <c r="P407" s="11">
        <f t="shared" si="20"/>
        <v>9.0578703704522923E-2</v>
      </c>
      <c r="Q407" s="12" t="s">
        <v>1480</v>
      </c>
    </row>
    <row r="408" spans="1:17" ht="25.5" x14ac:dyDescent="0.25">
      <c r="A408" s="3" t="s">
        <v>1481</v>
      </c>
      <c r="B408" s="3" t="s">
        <v>246</v>
      </c>
      <c r="C408" s="9">
        <v>19.899999999999999</v>
      </c>
      <c r="D408" s="3" t="s">
        <v>523</v>
      </c>
      <c r="E408" s="10">
        <v>45670.307256944441</v>
      </c>
      <c r="F408" s="10">
        <v>45670.34920138889</v>
      </c>
      <c r="G408" s="10">
        <v>45670.350381944438</v>
      </c>
      <c r="H408" s="3" t="s">
        <v>1290</v>
      </c>
      <c r="I408" s="10">
        <v>45670.420092592591</v>
      </c>
      <c r="J408" s="10">
        <v>45670.437557870369</v>
      </c>
      <c r="K408" s="10">
        <v>45670.437557870369</v>
      </c>
      <c r="L408" s="10">
        <v>45670.438252314823</v>
      </c>
      <c r="M408" s="11">
        <f t="shared" si="18"/>
        <v>4.312499999650754E-2</v>
      </c>
      <c r="N408" s="11">
        <f t="shared" si="19"/>
        <v>8.7870370385644492E-2</v>
      </c>
      <c r="O408" s="10">
        <v>45670.35428240741</v>
      </c>
      <c r="P408" s="11">
        <f t="shared" si="20"/>
        <v>6.5810185180453118E-2</v>
      </c>
      <c r="Q408" s="12" t="s">
        <v>1482</v>
      </c>
    </row>
    <row r="409" spans="1:17" ht="25.5" x14ac:dyDescent="0.25">
      <c r="A409" s="3" t="s">
        <v>1483</v>
      </c>
      <c r="B409" s="3" t="s">
        <v>246</v>
      </c>
      <c r="C409" s="9">
        <v>23.24</v>
      </c>
      <c r="D409" s="3" t="s">
        <v>484</v>
      </c>
      <c r="E409" s="10">
        <v>45670.307256944441</v>
      </c>
      <c r="F409" s="10">
        <v>45670.350381944438</v>
      </c>
      <c r="G409" s="10">
        <v>45670.351666666669</v>
      </c>
      <c r="H409" s="3" t="s">
        <v>1439</v>
      </c>
      <c r="I409" s="10">
        <v>45670.42763888889</v>
      </c>
      <c r="J409" s="10">
        <v>45670.449386574073</v>
      </c>
      <c r="K409" s="10">
        <v>45670.449386574073</v>
      </c>
      <c r="L409" s="10">
        <v>45670.450104166674</v>
      </c>
      <c r="M409" s="11">
        <f t="shared" si="18"/>
        <v>4.4409722228010651E-2</v>
      </c>
      <c r="N409" s="11">
        <f t="shared" si="19"/>
        <v>9.8437500004365575E-2</v>
      </c>
      <c r="O409" s="10">
        <v>45670.355567129627</v>
      </c>
      <c r="P409" s="11">
        <f t="shared" si="20"/>
        <v>7.2071759263053536E-2</v>
      </c>
      <c r="Q409" s="12" t="s">
        <v>1484</v>
      </c>
    </row>
    <row r="410" spans="1:17" x14ac:dyDescent="0.25">
      <c r="A410" s="3" t="s">
        <v>1485</v>
      </c>
      <c r="B410" s="3" t="s">
        <v>247</v>
      </c>
      <c r="C410" s="9">
        <v>279</v>
      </c>
      <c r="D410" s="3" t="s">
        <v>500</v>
      </c>
      <c r="E410" s="10">
        <v>45670.377569444441</v>
      </c>
      <c r="F410" s="10">
        <v>45670.385243055563</v>
      </c>
      <c r="G410" s="10">
        <v>45670.387881944444</v>
      </c>
      <c r="H410" s="3" t="s">
        <v>1486</v>
      </c>
      <c r="I410" s="10">
        <v>45670.391111111108</v>
      </c>
      <c r="J410" s="10">
        <v>45670.43954861111</v>
      </c>
      <c r="K410" s="10">
        <v>45670.43954861111</v>
      </c>
      <c r="L410" s="10">
        <v>45670.440694444442</v>
      </c>
      <c r="M410" s="11">
        <f t="shared" si="18"/>
        <v>1.0312500002328306E-2</v>
      </c>
      <c r="N410" s="11">
        <f t="shared" si="19"/>
        <v>5.281249999825377E-2</v>
      </c>
      <c r="O410" s="10">
        <v>45670.390243055554</v>
      </c>
      <c r="P410" s="11">
        <f t="shared" si="20"/>
        <v>8.6805555474711582E-4</v>
      </c>
      <c r="Q410" s="12" t="s">
        <v>1487</v>
      </c>
    </row>
    <row r="411" spans="1:17" ht="25.5" x14ac:dyDescent="0.25">
      <c r="A411" s="3" t="s">
        <v>1488</v>
      </c>
      <c r="B411" s="3" t="s">
        <v>247</v>
      </c>
      <c r="C411" s="9">
        <v>114.8</v>
      </c>
      <c r="D411" s="3" t="s">
        <v>572</v>
      </c>
      <c r="E411" s="10">
        <v>45670.377569444441</v>
      </c>
      <c r="F411" s="10">
        <v>45670.387881944444</v>
      </c>
      <c r="G411" s="10">
        <v>45670.389386574083</v>
      </c>
      <c r="H411" s="3" t="s">
        <v>1139</v>
      </c>
      <c r="I411" s="10">
        <v>45670.394155092603</v>
      </c>
      <c r="J411" s="10">
        <v>45670.425902777781</v>
      </c>
      <c r="K411" s="10">
        <v>45670.425902777781</v>
      </c>
      <c r="L411" s="10">
        <v>45670.426874999997</v>
      </c>
      <c r="M411" s="11">
        <f t="shared" si="18"/>
        <v>1.1817129641713109E-2</v>
      </c>
      <c r="N411" s="11">
        <f t="shared" si="19"/>
        <v>3.7488425914489198E-2</v>
      </c>
      <c r="O411" s="10">
        <v>45670.393287037034</v>
      </c>
      <c r="P411" s="11">
        <f t="shared" si="20"/>
        <v>8.6805556929903105E-4</v>
      </c>
      <c r="Q411" s="12" t="s">
        <v>1489</v>
      </c>
    </row>
    <row r="412" spans="1:17" ht="51" x14ac:dyDescent="0.25">
      <c r="A412" s="3" t="s">
        <v>1490</v>
      </c>
      <c r="B412" s="3" t="s">
        <v>248</v>
      </c>
      <c r="C412" s="9">
        <v>14</v>
      </c>
      <c r="D412" s="3" t="s">
        <v>595</v>
      </c>
      <c r="E412" s="10">
        <v>45670.378229166658</v>
      </c>
      <c r="F412" s="10">
        <v>45670.395138888889</v>
      </c>
      <c r="G412" s="10">
        <v>45670.39702546296</v>
      </c>
      <c r="H412" s="3" t="s">
        <v>1376</v>
      </c>
      <c r="I412" s="10">
        <v>45671.459560185183</v>
      </c>
      <c r="J412" s="10">
        <v>45671.47991898148</v>
      </c>
      <c r="K412" s="10">
        <v>45671.47991898148</v>
      </c>
      <c r="L412" s="10">
        <v>45671.480578703697</v>
      </c>
      <c r="M412" s="11">
        <f t="shared" si="18"/>
        <v>1.8796296302753035E-2</v>
      </c>
      <c r="N412" s="11">
        <f t="shared" si="19"/>
        <v>1.0835532407363644</v>
      </c>
      <c r="O412" s="10">
        <v>45670.400925925933</v>
      </c>
      <c r="P412" s="11">
        <f t="shared" si="20"/>
        <v>1.0586342592505389</v>
      </c>
      <c r="Q412" s="12" t="s">
        <v>1491</v>
      </c>
    </row>
    <row r="413" spans="1:17" ht="25.5" x14ac:dyDescent="0.25">
      <c r="A413" s="3" t="s">
        <v>1492</v>
      </c>
      <c r="B413" s="3" t="s">
        <v>248</v>
      </c>
      <c r="C413" s="9">
        <v>21</v>
      </c>
      <c r="D413" s="3" t="s">
        <v>488</v>
      </c>
      <c r="E413" s="10">
        <v>45670.378229166658</v>
      </c>
      <c r="F413" s="10">
        <v>45670.39702546296</v>
      </c>
      <c r="G413" s="10">
        <v>45670.3981712963</v>
      </c>
      <c r="H413" s="3" t="s">
        <v>1290</v>
      </c>
      <c r="I413" s="10">
        <v>45670.420092592591</v>
      </c>
      <c r="J413" s="10">
        <v>45670.437557870369</v>
      </c>
      <c r="K413" s="10">
        <v>45670.437557870369</v>
      </c>
      <c r="L413" s="10">
        <v>45670.438252314823</v>
      </c>
      <c r="M413" s="11">
        <f t="shared" si="18"/>
        <v>1.9942129642004147E-2</v>
      </c>
      <c r="N413" s="11">
        <f t="shared" si="19"/>
        <v>4.0081018523778766E-2</v>
      </c>
      <c r="O413" s="10">
        <v>45670.401736111111</v>
      </c>
      <c r="P413" s="11">
        <f t="shared" si="20"/>
        <v>1.8356481479713693E-2</v>
      </c>
      <c r="Q413" s="12" t="s">
        <v>1493</v>
      </c>
    </row>
    <row r="414" spans="1:17" ht="25.5" x14ac:dyDescent="0.25">
      <c r="A414" s="3" t="s">
        <v>1494</v>
      </c>
      <c r="B414" s="3" t="s">
        <v>248</v>
      </c>
      <c r="C414" s="9">
        <v>63.039999999999992</v>
      </c>
      <c r="D414" s="3" t="s">
        <v>484</v>
      </c>
      <c r="E414" s="10">
        <v>45670.378229166658</v>
      </c>
      <c r="F414" s="10">
        <v>45670.3981712963</v>
      </c>
      <c r="G414" s="10">
        <v>45670.399525462963</v>
      </c>
      <c r="H414" s="3" t="s">
        <v>1439</v>
      </c>
      <c r="I414" s="10">
        <v>45670.42763888889</v>
      </c>
      <c r="J414" s="10">
        <v>45670.449386574073</v>
      </c>
      <c r="K414" s="10">
        <v>45670.449386574073</v>
      </c>
      <c r="L414" s="10">
        <v>45670.450104166674</v>
      </c>
      <c r="M414" s="11">
        <f t="shared" si="18"/>
        <v>2.1296296305081341E-2</v>
      </c>
      <c r="N414" s="11">
        <f t="shared" si="19"/>
        <v>5.0578703710925765E-2</v>
      </c>
      <c r="O414" s="10">
        <v>45670.405671296299</v>
      </c>
      <c r="P414" s="11">
        <f t="shared" si="20"/>
        <v>2.1967592590954155E-2</v>
      </c>
      <c r="Q414" s="12" t="s">
        <v>1495</v>
      </c>
    </row>
    <row r="415" spans="1:17" ht="25.5" x14ac:dyDescent="0.25">
      <c r="A415" s="3" t="s">
        <v>1496</v>
      </c>
      <c r="B415" s="3" t="s">
        <v>248</v>
      </c>
      <c r="C415" s="9">
        <v>15.74</v>
      </c>
      <c r="D415" s="3" t="s">
        <v>515</v>
      </c>
      <c r="E415" s="10">
        <v>45670.378229166658</v>
      </c>
      <c r="F415" s="10">
        <v>45670.399525462963</v>
      </c>
      <c r="G415" s="10">
        <v>45670.40121527778</v>
      </c>
      <c r="H415" s="3" t="s">
        <v>1466</v>
      </c>
      <c r="I415" s="10">
        <v>45670.442175925928</v>
      </c>
      <c r="J415" s="10">
        <v>45670.46769675926</v>
      </c>
      <c r="K415" s="10">
        <v>45670.46769675926</v>
      </c>
      <c r="L415" s="10">
        <v>45670.468634259261</v>
      </c>
      <c r="M415" s="11">
        <f t="shared" si="18"/>
        <v>2.2986111122008879E-2</v>
      </c>
      <c r="N415" s="11">
        <f t="shared" si="19"/>
        <v>6.7418981481750961E-2</v>
      </c>
      <c r="O415" s="10">
        <v>45670.406087962961</v>
      </c>
      <c r="P415" s="11">
        <f t="shared" si="20"/>
        <v>3.6087962966121268E-2</v>
      </c>
      <c r="Q415" s="12" t="s">
        <v>1497</v>
      </c>
    </row>
    <row r="416" spans="1:17" ht="25.5" x14ac:dyDescent="0.25">
      <c r="A416" s="3" t="s">
        <v>1498</v>
      </c>
      <c r="B416" s="3" t="s">
        <v>248</v>
      </c>
      <c r="C416" s="9">
        <v>19.899999999999999</v>
      </c>
      <c r="D416" s="3" t="s">
        <v>523</v>
      </c>
      <c r="E416" s="10">
        <v>45670.378229166658</v>
      </c>
      <c r="F416" s="10">
        <v>45670.40121527778</v>
      </c>
      <c r="G416" s="10">
        <v>45670.402361111112</v>
      </c>
      <c r="H416" s="3" t="s">
        <v>1499</v>
      </c>
      <c r="I416" s="10">
        <v>45670.616655092592</v>
      </c>
      <c r="J416" s="10">
        <v>45670.684074074074</v>
      </c>
      <c r="K416" s="10">
        <v>45670.684074074074</v>
      </c>
      <c r="L416" s="10">
        <v>45670.685439814813</v>
      </c>
      <c r="M416" s="11">
        <f t="shared" si="18"/>
        <v>2.4131944453984033E-2</v>
      </c>
      <c r="N416" s="11">
        <f t="shared" si="19"/>
        <v>0.28307870370190358</v>
      </c>
      <c r="O416" s="10">
        <v>45670.408888888887</v>
      </c>
      <c r="P416" s="11">
        <f t="shared" si="20"/>
        <v>0.20776620370452292</v>
      </c>
      <c r="Q416" s="12" t="s">
        <v>1500</v>
      </c>
    </row>
    <row r="417" spans="1:17" ht="25.5" x14ac:dyDescent="0.25">
      <c r="A417" s="3" t="s">
        <v>1501</v>
      </c>
      <c r="B417" s="3" t="s">
        <v>248</v>
      </c>
      <c r="C417" s="9">
        <v>12.04</v>
      </c>
      <c r="D417" s="3" t="s">
        <v>492</v>
      </c>
      <c r="E417" s="10">
        <v>45670.378229166658</v>
      </c>
      <c r="F417" s="10">
        <v>45670.402361111112</v>
      </c>
      <c r="G417" s="10">
        <v>45670.403611111113</v>
      </c>
      <c r="H417" s="3" t="s">
        <v>1502</v>
      </c>
      <c r="I417" s="10">
        <v>45670.525671296287</v>
      </c>
      <c r="J417" s="10">
        <v>45670.583726851852</v>
      </c>
      <c r="K417" s="10">
        <v>45670.583726851852</v>
      </c>
      <c r="L417" s="10">
        <v>45670.585046296299</v>
      </c>
      <c r="M417" s="11">
        <f t="shared" si="18"/>
        <v>2.5381944455148187E-2</v>
      </c>
      <c r="N417" s="11">
        <f t="shared" si="19"/>
        <v>0.18143518518627388</v>
      </c>
      <c r="O417" s="10">
        <v>45670.409050925933</v>
      </c>
      <c r="P417" s="11">
        <f t="shared" si="20"/>
        <v>0.11662037035421235</v>
      </c>
      <c r="Q417" s="12" t="s">
        <v>1503</v>
      </c>
    </row>
    <row r="418" spans="1:17" ht="25.5" x14ac:dyDescent="0.25">
      <c r="A418" s="3" t="s">
        <v>1504</v>
      </c>
      <c r="B418" s="3" t="s">
        <v>248</v>
      </c>
      <c r="C418" s="9">
        <v>124.44</v>
      </c>
      <c r="D418" s="3" t="s">
        <v>506</v>
      </c>
      <c r="E418" s="10">
        <v>45670.378229166658</v>
      </c>
      <c r="F418" s="10">
        <v>45670.403611111113</v>
      </c>
      <c r="G418" s="10">
        <v>45670.405219907407</v>
      </c>
      <c r="H418" s="3" t="s">
        <v>1456</v>
      </c>
      <c r="I418" s="10">
        <v>45670.444097222222</v>
      </c>
      <c r="J418" s="10">
        <v>45670.48196759259</v>
      </c>
      <c r="K418" s="10">
        <v>45670.48196759259</v>
      </c>
      <c r="L418" s="10">
        <v>45670.48296296296</v>
      </c>
      <c r="M418" s="11">
        <f t="shared" si="18"/>
        <v>2.6990740749170072E-2</v>
      </c>
      <c r="N418" s="11">
        <f t="shared" si="19"/>
        <v>7.7743055553582963E-2</v>
      </c>
      <c r="O418" s="10">
        <v>45670.413645833331</v>
      </c>
      <c r="P418" s="11">
        <f t="shared" si="20"/>
        <v>3.0451388891378883E-2</v>
      </c>
      <c r="Q418" s="12" t="s">
        <v>1505</v>
      </c>
    </row>
    <row r="419" spans="1:17" ht="25.5" x14ac:dyDescent="0.25">
      <c r="A419" s="3" t="s">
        <v>1506</v>
      </c>
      <c r="B419" s="3" t="s">
        <v>248</v>
      </c>
      <c r="C419" s="9">
        <v>108</v>
      </c>
      <c r="D419" s="3" t="s">
        <v>527</v>
      </c>
      <c r="E419" s="10">
        <v>45670.378229166658</v>
      </c>
      <c r="F419" s="10">
        <v>45670.405219907407</v>
      </c>
      <c r="G419" s="10">
        <v>45670.407129629632</v>
      </c>
      <c r="H419" s="3" t="s">
        <v>1466</v>
      </c>
      <c r="I419" s="10">
        <v>45670.442175925928</v>
      </c>
      <c r="J419" s="10">
        <v>45670.46769675926</v>
      </c>
      <c r="K419" s="10">
        <v>45670.46769675926</v>
      </c>
      <c r="L419" s="10">
        <v>45670.468634259261</v>
      </c>
      <c r="M419" s="11">
        <f t="shared" si="18"/>
        <v>2.8900462973979302E-2</v>
      </c>
      <c r="N419" s="11">
        <f t="shared" si="19"/>
        <v>6.1504629629780538E-2</v>
      </c>
      <c r="O419" s="10">
        <v>45670.413414351853</v>
      </c>
      <c r="P419" s="11">
        <f t="shared" si="20"/>
        <v>2.8761574074451346E-2</v>
      </c>
      <c r="Q419" s="12" t="s">
        <v>1507</v>
      </c>
    </row>
    <row r="420" spans="1:17" ht="38.25" x14ac:dyDescent="0.25">
      <c r="A420" s="3" t="s">
        <v>1508</v>
      </c>
      <c r="B420" s="3" t="s">
        <v>248</v>
      </c>
      <c r="C420" s="9">
        <v>19.899999999999999</v>
      </c>
      <c r="D420" s="3" t="s">
        <v>519</v>
      </c>
      <c r="E420" s="10">
        <v>45670.378229166658</v>
      </c>
      <c r="F420" s="10">
        <v>45670.407129629632</v>
      </c>
      <c r="G420" s="10">
        <v>45670.40902777778</v>
      </c>
      <c r="H420" s="3" t="s">
        <v>1471</v>
      </c>
      <c r="I420" s="10">
        <v>45671.298530092587</v>
      </c>
      <c r="J420" s="10">
        <v>45671.331099537027</v>
      </c>
      <c r="K420" s="10">
        <v>45671.331099537027</v>
      </c>
      <c r="L420" s="10">
        <v>45671.331921296303</v>
      </c>
      <c r="M420" s="11">
        <f t="shared" si="18"/>
        <v>3.0798611122008879E-2</v>
      </c>
      <c r="N420" s="11">
        <f t="shared" si="19"/>
        <v>0.92289351852377877</v>
      </c>
      <c r="O420" s="10">
        <v>45670.417766203696</v>
      </c>
      <c r="P420" s="11">
        <f t="shared" si="20"/>
        <v>0.88076388889021473</v>
      </c>
      <c r="Q420" s="12" t="s">
        <v>1509</v>
      </c>
    </row>
    <row r="421" spans="1:17" ht="38.25" x14ac:dyDescent="0.25">
      <c r="A421" s="3" t="s">
        <v>1510</v>
      </c>
      <c r="B421" s="3" t="s">
        <v>248</v>
      </c>
      <c r="C421" s="9">
        <v>47.22</v>
      </c>
      <c r="D421" s="3" t="s">
        <v>654</v>
      </c>
      <c r="E421" s="10">
        <v>45670.378229166658</v>
      </c>
      <c r="F421" s="10">
        <v>45670.40902777778</v>
      </c>
      <c r="G421" s="10">
        <v>45670.41101851852</v>
      </c>
      <c r="H421" s="3" t="s">
        <v>1463</v>
      </c>
      <c r="I421" s="10">
        <v>45671.77648148148</v>
      </c>
      <c r="J421" s="10">
        <v>45671.798344907409</v>
      </c>
      <c r="K421" s="10">
        <v>45671.798344907409</v>
      </c>
      <c r="L421" s="10">
        <v>45671.799166666657</v>
      </c>
      <c r="M421" s="11">
        <f t="shared" si="18"/>
        <v>3.2789351862447802E-2</v>
      </c>
      <c r="N421" s="11">
        <f t="shared" si="19"/>
        <v>1.3881481481366791</v>
      </c>
      <c r="O421" s="10">
        <v>45670.418391203697</v>
      </c>
      <c r="P421" s="11">
        <f t="shared" si="20"/>
        <v>1.3580902777830488</v>
      </c>
      <c r="Q421" s="12" t="s">
        <v>1511</v>
      </c>
    </row>
    <row r="422" spans="1:17" x14ac:dyDescent="0.25">
      <c r="A422" s="3" t="s">
        <v>1512</v>
      </c>
      <c r="B422" s="3" t="s">
        <v>249</v>
      </c>
      <c r="C422" s="9">
        <v>267.5</v>
      </c>
      <c r="D422" s="3" t="s">
        <v>500</v>
      </c>
      <c r="E422" s="10">
        <v>45670.421539351853</v>
      </c>
      <c r="F422" s="10">
        <v>45670.430833333332</v>
      </c>
      <c r="G422" s="10">
        <v>45670.433368055557</v>
      </c>
      <c r="H422" s="3" t="s">
        <v>1513</v>
      </c>
      <c r="I422" s="10">
        <v>45670.451122685183</v>
      </c>
      <c r="J422" s="10">
        <v>45670.497569444437</v>
      </c>
      <c r="K422" s="10">
        <v>45670.497569444437</v>
      </c>
      <c r="L422" s="10">
        <v>45670.498738425929</v>
      </c>
      <c r="M422" s="11">
        <f t="shared" si="18"/>
        <v>1.1828703703940846E-2</v>
      </c>
      <c r="N422" s="11">
        <f t="shared" si="19"/>
        <v>6.5370370371965691E-2</v>
      </c>
      <c r="O422" s="10">
        <v>45670.440520833326</v>
      </c>
      <c r="P422" s="11">
        <f t="shared" si="20"/>
        <v>1.0601851856335998E-2</v>
      </c>
      <c r="Q422" s="12" t="s">
        <v>1514</v>
      </c>
    </row>
    <row r="423" spans="1:17" ht="25.5" x14ac:dyDescent="0.25">
      <c r="A423" s="3" t="s">
        <v>1515</v>
      </c>
      <c r="B423" s="3" t="s">
        <v>249</v>
      </c>
      <c r="C423" s="9">
        <v>40.9</v>
      </c>
      <c r="D423" s="3" t="s">
        <v>572</v>
      </c>
      <c r="E423" s="10">
        <v>45670.421539351853</v>
      </c>
      <c r="F423" s="10">
        <v>45670.433368055557</v>
      </c>
      <c r="G423" s="10">
        <v>45670.435150462959</v>
      </c>
      <c r="H423" s="3" t="s">
        <v>1516</v>
      </c>
      <c r="I423" s="10">
        <v>45670.689201388886</v>
      </c>
      <c r="J423" s="10">
        <v>45670.723715277767</v>
      </c>
      <c r="K423" s="10">
        <v>45670.723715277767</v>
      </c>
      <c r="L423" s="10">
        <v>45670.724687499998</v>
      </c>
      <c r="M423" s="11">
        <f t="shared" si="18"/>
        <v>1.3611111106001772E-2</v>
      </c>
      <c r="N423" s="11">
        <f t="shared" si="19"/>
        <v>0.28953703703882638</v>
      </c>
      <c r="O423" s="10">
        <v>45670.440775462957</v>
      </c>
      <c r="P423" s="11">
        <f t="shared" si="20"/>
        <v>0.24842592592904111</v>
      </c>
      <c r="Q423" s="12" t="s">
        <v>1517</v>
      </c>
    </row>
    <row r="424" spans="1:17" ht="25.5" x14ac:dyDescent="0.25">
      <c r="A424" s="3" t="s">
        <v>1518</v>
      </c>
      <c r="B424" s="3" t="s">
        <v>249</v>
      </c>
      <c r="C424" s="9">
        <v>99.519999999999982</v>
      </c>
      <c r="D424" s="3" t="s">
        <v>500</v>
      </c>
      <c r="E424" s="10">
        <v>45670.421539351853</v>
      </c>
      <c r="F424" s="10">
        <v>45670.435150462959</v>
      </c>
      <c r="G424" s="10">
        <v>45670.436631944453</v>
      </c>
      <c r="H424" s="3" t="s">
        <v>1502</v>
      </c>
      <c r="I424" s="10">
        <v>45670.525671296287</v>
      </c>
      <c r="J424" s="10">
        <v>45670.583726851852</v>
      </c>
      <c r="K424" s="10">
        <v>45670.583726851852</v>
      </c>
      <c r="L424" s="10">
        <v>45670.585046296299</v>
      </c>
      <c r="M424" s="11">
        <f t="shared" si="18"/>
        <v>1.5092592599103227E-2</v>
      </c>
      <c r="N424" s="11">
        <f t="shared" si="19"/>
        <v>0.1484143518464407</v>
      </c>
      <c r="O424" s="10">
        <v>45670.442476851851</v>
      </c>
      <c r="P424" s="11">
        <f t="shared" si="20"/>
        <v>8.3194444436230697E-2</v>
      </c>
      <c r="Q424" s="12" t="s">
        <v>1519</v>
      </c>
    </row>
    <row r="425" spans="1:17" ht="25.5" x14ac:dyDescent="0.25">
      <c r="A425" s="3" t="s">
        <v>1520</v>
      </c>
      <c r="B425" s="3" t="s">
        <v>250</v>
      </c>
      <c r="C425" s="9">
        <v>234.88000000000011</v>
      </c>
      <c r="D425" s="3" t="s">
        <v>500</v>
      </c>
      <c r="E425" s="10">
        <v>45670.513657407413</v>
      </c>
      <c r="F425" s="10">
        <v>45670.519108796303</v>
      </c>
      <c r="G425" s="10">
        <v>45670.520902777767</v>
      </c>
      <c r="H425" s="3" t="s">
        <v>1502</v>
      </c>
      <c r="I425" s="10">
        <v>45670.525671296287</v>
      </c>
      <c r="J425" s="10">
        <v>45670.583726851852</v>
      </c>
      <c r="K425" s="10">
        <v>45670.583726851852</v>
      </c>
      <c r="L425" s="10">
        <v>45670.585046296299</v>
      </c>
      <c r="M425" s="11">
        <f t="shared" si="18"/>
        <v>7.2453703542123549E-3</v>
      </c>
      <c r="N425" s="11">
        <f t="shared" si="19"/>
        <v>6.4143518531636801E-2</v>
      </c>
      <c r="O425" s="10">
        <v>45670.524826388893</v>
      </c>
      <c r="P425" s="11">
        <f t="shared" si="20"/>
        <v>8.4490739391185343E-4</v>
      </c>
      <c r="Q425" s="12" t="s">
        <v>1521</v>
      </c>
    </row>
    <row r="426" spans="1:17" x14ac:dyDescent="0.25">
      <c r="A426" s="3" t="s">
        <v>1522</v>
      </c>
      <c r="B426" s="3" t="s">
        <v>251</v>
      </c>
      <c r="C426" s="9">
        <v>388.32000000000011</v>
      </c>
      <c r="D426" s="3" t="s">
        <v>500</v>
      </c>
      <c r="E426" s="10">
        <v>45670.604490740741</v>
      </c>
      <c r="F426" s="10">
        <v>45670.611400462964</v>
      </c>
      <c r="G426" s="10">
        <v>45670.613425925927</v>
      </c>
      <c r="H426" s="3" t="s">
        <v>1499</v>
      </c>
      <c r="I426" s="10">
        <v>45670.616655092592</v>
      </c>
      <c r="J426" s="10">
        <v>45670.684074074074</v>
      </c>
      <c r="K426" s="10">
        <v>45670.684074074074</v>
      </c>
      <c r="L426" s="10">
        <v>45670.685439814813</v>
      </c>
      <c r="M426" s="11">
        <f t="shared" si="18"/>
        <v>8.9351851856918074E-3</v>
      </c>
      <c r="N426" s="11">
        <f t="shared" si="19"/>
        <v>7.2013888886431232E-2</v>
      </c>
      <c r="O426" s="10">
        <v>45670.615787037037</v>
      </c>
      <c r="P426" s="11">
        <f t="shared" si="20"/>
        <v>8.6805555474711582E-4</v>
      </c>
      <c r="Q426" s="12" t="s">
        <v>1523</v>
      </c>
    </row>
    <row r="427" spans="1:17" ht="25.5" x14ac:dyDescent="0.25">
      <c r="A427" s="3" t="s">
        <v>1524</v>
      </c>
      <c r="B427" s="3" t="s">
        <v>252</v>
      </c>
      <c r="C427" s="9">
        <v>31.48</v>
      </c>
      <c r="D427" s="3" t="s">
        <v>506</v>
      </c>
      <c r="E427" s="10">
        <v>45670.617893518523</v>
      </c>
      <c r="F427" s="10">
        <v>45670.634432870371</v>
      </c>
      <c r="G427" s="10">
        <v>45670.635740740741</v>
      </c>
      <c r="H427" s="3" t="s">
        <v>1525</v>
      </c>
      <c r="I427" s="10">
        <v>45671.309004629627</v>
      </c>
      <c r="J427" s="10">
        <v>45671.326701388891</v>
      </c>
      <c r="K427" s="10">
        <v>45671.326701388891</v>
      </c>
      <c r="L427" s="10">
        <v>45671.327361111107</v>
      </c>
      <c r="M427" s="11">
        <f t="shared" si="18"/>
        <v>1.784722221782431E-2</v>
      </c>
      <c r="N427" s="11">
        <f t="shared" si="19"/>
        <v>0.69162037036585389</v>
      </c>
      <c r="O427" s="10">
        <v>45670.638113425928</v>
      </c>
      <c r="P427" s="11">
        <f t="shared" si="20"/>
        <v>0.67089120369928423</v>
      </c>
      <c r="Q427" s="12" t="s">
        <v>1526</v>
      </c>
    </row>
    <row r="428" spans="1:17" ht="25.5" x14ac:dyDescent="0.25">
      <c r="A428" s="3" t="s">
        <v>1527</v>
      </c>
      <c r="B428" s="3" t="s">
        <v>252</v>
      </c>
      <c r="C428" s="9">
        <v>81</v>
      </c>
      <c r="D428" s="3" t="s">
        <v>527</v>
      </c>
      <c r="E428" s="10">
        <v>45670.617893518523</v>
      </c>
      <c r="F428" s="10">
        <v>45670.635740740741</v>
      </c>
      <c r="G428" s="10">
        <v>45670.637928240743</v>
      </c>
      <c r="H428" s="3" t="s">
        <v>1528</v>
      </c>
      <c r="I428" s="10">
        <v>45670.647245370368</v>
      </c>
      <c r="J428" s="10">
        <v>45670.664756944447</v>
      </c>
      <c r="K428" s="10">
        <v>45670.664756944447</v>
      </c>
      <c r="L428" s="10">
        <v>45670.665497685193</v>
      </c>
      <c r="M428" s="11">
        <f t="shared" si="18"/>
        <v>2.0034722219861578E-2</v>
      </c>
      <c r="N428" s="11">
        <f t="shared" si="19"/>
        <v>2.7569444449909497E-2</v>
      </c>
      <c r="O428" s="10">
        <v>45670.640300925923</v>
      </c>
      <c r="P428" s="11">
        <f t="shared" si="20"/>
        <v>6.9444444452528842E-3</v>
      </c>
      <c r="Q428" s="12" t="s">
        <v>1529</v>
      </c>
    </row>
    <row r="429" spans="1:17" ht="25.5" x14ac:dyDescent="0.25">
      <c r="A429" s="3" t="s">
        <v>1530</v>
      </c>
      <c r="B429" s="3" t="s">
        <v>252</v>
      </c>
      <c r="C429" s="9">
        <v>47.22</v>
      </c>
      <c r="D429" s="3" t="s">
        <v>1033</v>
      </c>
      <c r="E429" s="10">
        <v>45670.617893518523</v>
      </c>
      <c r="F429" s="10">
        <v>45670.637928240743</v>
      </c>
      <c r="G429" s="10">
        <v>45670.639606481483</v>
      </c>
      <c r="H429" s="3" t="s">
        <v>1264</v>
      </c>
      <c r="I429" s="10">
        <v>45671.398194444453</v>
      </c>
      <c r="J429" s="10">
        <v>45671.457824074067</v>
      </c>
      <c r="K429" s="10">
        <v>45671.458148148151</v>
      </c>
      <c r="L429" s="10">
        <v>45671.459537037037</v>
      </c>
      <c r="M429" s="11">
        <f t="shared" si="18"/>
        <v>2.1712962960009463E-2</v>
      </c>
      <c r="N429" s="11">
        <f t="shared" si="19"/>
        <v>0.81993055555358296</v>
      </c>
      <c r="O429" s="10">
        <v>45670.643506944441</v>
      </c>
      <c r="P429" s="11">
        <f t="shared" si="20"/>
        <v>0.75468750001164153</v>
      </c>
      <c r="Q429" s="12" t="s">
        <v>1531</v>
      </c>
    </row>
    <row r="430" spans="1:17" ht="25.5" x14ac:dyDescent="0.25">
      <c r="A430" s="3" t="s">
        <v>1532</v>
      </c>
      <c r="B430" s="3" t="s">
        <v>252</v>
      </c>
      <c r="C430" s="9">
        <v>19.899999999999999</v>
      </c>
      <c r="D430" s="3" t="s">
        <v>563</v>
      </c>
      <c r="E430" s="10">
        <v>45670.617893518523</v>
      </c>
      <c r="F430" s="10">
        <v>45670.639606481483</v>
      </c>
      <c r="G430" s="10">
        <v>45670.641643518517</v>
      </c>
      <c r="H430" s="3" t="s">
        <v>1528</v>
      </c>
      <c r="I430" s="10">
        <v>45670.647245370368</v>
      </c>
      <c r="J430" s="10">
        <v>45670.664756944447</v>
      </c>
      <c r="K430" s="10">
        <v>45670.664756944447</v>
      </c>
      <c r="L430" s="10">
        <v>45670.665497685193</v>
      </c>
      <c r="M430" s="11">
        <f t="shared" si="18"/>
        <v>2.3749999993015081E-2</v>
      </c>
      <c r="N430" s="11">
        <f t="shared" si="19"/>
        <v>2.3854166676755995E-2</v>
      </c>
      <c r="O430" s="10">
        <v>45670.645543981482</v>
      </c>
      <c r="P430" s="11">
        <f t="shared" si="20"/>
        <v>1.7013888864312321E-3</v>
      </c>
      <c r="Q430" s="12" t="s">
        <v>1533</v>
      </c>
    </row>
    <row r="431" spans="1:17" ht="38.25" x14ac:dyDescent="0.25">
      <c r="A431" s="3" t="s">
        <v>1534</v>
      </c>
      <c r="B431" s="3" t="s">
        <v>252</v>
      </c>
      <c r="C431" s="9">
        <v>15.74</v>
      </c>
      <c r="D431" s="3" t="s">
        <v>533</v>
      </c>
      <c r="E431" s="10">
        <v>45670.617893518523</v>
      </c>
      <c r="F431" s="10">
        <v>45670.641643518517</v>
      </c>
      <c r="G431" s="10">
        <v>45670.64340277778</v>
      </c>
      <c r="H431" s="3" t="s">
        <v>1428</v>
      </c>
      <c r="I431" s="10">
        <v>45671.653101851851</v>
      </c>
      <c r="J431" s="10">
        <v>45671.67769675926</v>
      </c>
      <c r="K431" s="10">
        <v>45671.67769675926</v>
      </c>
      <c r="L431" s="10">
        <v>45671.678564814807</v>
      </c>
      <c r="M431" s="11">
        <f t="shared" si="18"/>
        <v>2.5509259256068617E-2</v>
      </c>
      <c r="N431" s="11">
        <f t="shared" si="19"/>
        <v>1.0351620370274759</v>
      </c>
      <c r="O431" s="10">
        <v>45670.647326388891</v>
      </c>
      <c r="P431" s="11">
        <f t="shared" si="20"/>
        <v>1.0057754629597184</v>
      </c>
      <c r="Q431" s="12" t="s">
        <v>1535</v>
      </c>
    </row>
    <row r="432" spans="1:17" ht="38.25" x14ac:dyDescent="0.25">
      <c r="A432" s="3" t="s">
        <v>1536</v>
      </c>
      <c r="B432" s="3" t="s">
        <v>252</v>
      </c>
      <c r="C432" s="9">
        <v>15.74</v>
      </c>
      <c r="D432" s="3" t="s">
        <v>496</v>
      </c>
      <c r="E432" s="10">
        <v>45670.617893518523</v>
      </c>
      <c r="F432" s="10">
        <v>45670.64340277778</v>
      </c>
      <c r="G432" s="10">
        <v>45670.645312499997</v>
      </c>
      <c r="H432" s="3" t="s">
        <v>1376</v>
      </c>
      <c r="I432" s="10">
        <v>45671.459560185183</v>
      </c>
      <c r="J432" s="10">
        <v>45671.47991898148</v>
      </c>
      <c r="K432" s="10">
        <v>45671.47991898148</v>
      </c>
      <c r="L432" s="10">
        <v>45671.480578703697</v>
      </c>
      <c r="M432" s="11">
        <f t="shared" si="18"/>
        <v>2.7418981473601889E-2</v>
      </c>
      <c r="N432" s="11">
        <f t="shared" si="19"/>
        <v>0.83526620369957527</v>
      </c>
      <c r="O432" s="10">
        <v>45670.649201388893</v>
      </c>
      <c r="P432" s="11">
        <f t="shared" si="20"/>
        <v>0.81035879629052943</v>
      </c>
      <c r="Q432" s="12" t="s">
        <v>1537</v>
      </c>
    </row>
    <row r="433" spans="1:17" ht="25.5" x14ac:dyDescent="0.25">
      <c r="A433" s="3" t="s">
        <v>1538</v>
      </c>
      <c r="B433" s="3" t="s">
        <v>252</v>
      </c>
      <c r="C433" s="9">
        <v>21</v>
      </c>
      <c r="D433" s="3" t="s">
        <v>488</v>
      </c>
      <c r="E433" s="10">
        <v>45670.617893518523</v>
      </c>
      <c r="F433" s="10">
        <v>45670.645312499997</v>
      </c>
      <c r="G433" s="10">
        <v>45670.647048611107</v>
      </c>
      <c r="H433" s="3" t="s">
        <v>1539</v>
      </c>
      <c r="I433" s="10">
        <v>45671.11855324074</v>
      </c>
      <c r="J433" s="10">
        <v>45671.140231481477</v>
      </c>
      <c r="K433" s="10">
        <v>45671.140231481477</v>
      </c>
      <c r="L433" s="10">
        <v>45671.141122685192</v>
      </c>
      <c r="M433" s="11">
        <f t="shared" si="18"/>
        <v>2.9155092583096121E-2</v>
      </c>
      <c r="N433" s="11">
        <f t="shared" si="19"/>
        <v>0.49407407408580184</v>
      </c>
      <c r="O433" s="10">
        <v>45670.650590277779</v>
      </c>
      <c r="P433" s="11">
        <f t="shared" si="20"/>
        <v>0.46796296296088258</v>
      </c>
      <c r="Q433" s="12" t="s">
        <v>1540</v>
      </c>
    </row>
    <row r="434" spans="1:17" ht="38.25" x14ac:dyDescent="0.25">
      <c r="A434" s="3" t="s">
        <v>1541</v>
      </c>
      <c r="B434" s="3" t="s">
        <v>252</v>
      </c>
      <c r="C434" s="9">
        <v>58.88</v>
      </c>
      <c r="D434" s="3" t="s">
        <v>484</v>
      </c>
      <c r="E434" s="10">
        <v>45670.617893518523</v>
      </c>
      <c r="F434" s="10">
        <v>45670.647048611107</v>
      </c>
      <c r="G434" s="10">
        <v>45670.649097222216</v>
      </c>
      <c r="H434" s="3" t="s">
        <v>1542</v>
      </c>
      <c r="I434" s="10">
        <v>45672.123703703714</v>
      </c>
      <c r="J434" s="10">
        <v>45672.154502314806</v>
      </c>
      <c r="K434" s="10">
        <v>45672.155173611107</v>
      </c>
      <c r="L434" s="10">
        <v>45672.156134259261</v>
      </c>
      <c r="M434" s="11">
        <f t="shared" si="18"/>
        <v>3.120370369288139E-2</v>
      </c>
      <c r="N434" s="11">
        <f t="shared" si="19"/>
        <v>1.5070370370449382</v>
      </c>
      <c r="O434" s="10">
        <v>45670.652407407397</v>
      </c>
      <c r="P434" s="11">
        <f t="shared" si="20"/>
        <v>1.4712962963167229</v>
      </c>
      <c r="Q434" s="12" t="s">
        <v>1543</v>
      </c>
    </row>
    <row r="435" spans="1:17" ht="25.5" x14ac:dyDescent="0.25">
      <c r="A435" s="3" t="s">
        <v>1544</v>
      </c>
      <c r="B435" s="3" t="s">
        <v>252</v>
      </c>
      <c r="C435" s="9">
        <v>15.74</v>
      </c>
      <c r="D435" s="3" t="s">
        <v>654</v>
      </c>
      <c r="E435" s="10">
        <v>45670.617893518523</v>
      </c>
      <c r="F435" s="10">
        <v>45670.649097222216</v>
      </c>
      <c r="G435" s="10">
        <v>45670.651053240741</v>
      </c>
      <c r="H435" s="3" t="s">
        <v>1463</v>
      </c>
      <c r="I435" s="10">
        <v>45671.77648148148</v>
      </c>
      <c r="J435" s="10">
        <v>45671.798344907409</v>
      </c>
      <c r="K435" s="10">
        <v>45671.798344907409</v>
      </c>
      <c r="L435" s="10">
        <v>45671.799166666657</v>
      </c>
      <c r="M435" s="11">
        <f t="shared" si="18"/>
        <v>3.3159722217533272E-2</v>
      </c>
      <c r="N435" s="11">
        <f t="shared" si="19"/>
        <v>1.1481134259156534</v>
      </c>
      <c r="O435" s="10">
        <v>45670.655381944453</v>
      </c>
      <c r="P435" s="11">
        <f t="shared" si="20"/>
        <v>1.1210995370274759</v>
      </c>
      <c r="Q435" s="12" t="s">
        <v>1545</v>
      </c>
    </row>
    <row r="436" spans="1:17" ht="25.5" x14ac:dyDescent="0.25">
      <c r="A436" s="3" t="s">
        <v>1546</v>
      </c>
      <c r="B436" s="3" t="s">
        <v>252</v>
      </c>
      <c r="C436" s="9">
        <v>40.9</v>
      </c>
      <c r="D436" s="3" t="s">
        <v>519</v>
      </c>
      <c r="E436" s="10">
        <v>45670.617893518523</v>
      </c>
      <c r="F436" s="10">
        <v>45670.651053240741</v>
      </c>
      <c r="G436" s="10">
        <v>45670.653032407397</v>
      </c>
      <c r="H436" s="3" t="s">
        <v>1471</v>
      </c>
      <c r="I436" s="10">
        <v>45671.298530092587</v>
      </c>
      <c r="J436" s="10">
        <v>45671.331099537027</v>
      </c>
      <c r="K436" s="10">
        <v>45671.331099537027</v>
      </c>
      <c r="L436" s="10">
        <v>45671.331921296303</v>
      </c>
      <c r="M436" s="11">
        <f t="shared" si="18"/>
        <v>3.5138888873916585E-2</v>
      </c>
      <c r="N436" s="11">
        <f t="shared" si="19"/>
        <v>0.6788888889059308</v>
      </c>
      <c r="O436" s="10">
        <v>45670.657129629632</v>
      </c>
      <c r="P436" s="11">
        <f t="shared" si="20"/>
        <v>0.64140046295506181</v>
      </c>
      <c r="Q436" s="12" t="s">
        <v>1547</v>
      </c>
    </row>
    <row r="437" spans="1:17" ht="25.5" x14ac:dyDescent="0.25">
      <c r="A437" s="3" t="s">
        <v>1548</v>
      </c>
      <c r="B437" s="3" t="s">
        <v>252</v>
      </c>
      <c r="C437" s="9">
        <v>19.899999999999999</v>
      </c>
      <c r="D437" s="3" t="s">
        <v>539</v>
      </c>
      <c r="E437" s="10">
        <v>45670.617893518523</v>
      </c>
      <c r="F437" s="10">
        <v>45670.653032407397</v>
      </c>
      <c r="G437" s="10">
        <v>45670.654537037037</v>
      </c>
      <c r="H437" s="3" t="s">
        <v>1390</v>
      </c>
      <c r="I437" s="10">
        <v>45670.662037037036</v>
      </c>
      <c r="J437" s="10">
        <v>45670.682766203703</v>
      </c>
      <c r="K437" s="10">
        <v>45670.682766203703</v>
      </c>
      <c r="L437" s="10">
        <v>45670.683587962973</v>
      </c>
      <c r="M437" s="11">
        <f t="shared" si="18"/>
        <v>3.6643518513301387E-2</v>
      </c>
      <c r="N437" s="11">
        <f t="shared" si="19"/>
        <v>2.9050925935734995E-2</v>
      </c>
      <c r="O437" s="10">
        <v>45670.660173611112</v>
      </c>
      <c r="P437" s="11">
        <f t="shared" si="20"/>
        <v>1.8634259249665774E-3</v>
      </c>
      <c r="Q437" s="12" t="s">
        <v>1549</v>
      </c>
    </row>
    <row r="438" spans="1:17" x14ac:dyDescent="0.25">
      <c r="A438" s="3" t="s">
        <v>1550</v>
      </c>
      <c r="B438" s="3" t="s">
        <v>253</v>
      </c>
      <c r="C438" s="9">
        <v>393.50000000000011</v>
      </c>
      <c r="D438" s="3" t="s">
        <v>500</v>
      </c>
      <c r="E438" s="10">
        <v>45670.641481481478</v>
      </c>
      <c r="F438" s="10">
        <v>45670.655405092592</v>
      </c>
      <c r="G438" s="10">
        <v>45670.657638888893</v>
      </c>
      <c r="H438" s="3" t="s">
        <v>1551</v>
      </c>
      <c r="I438" s="10">
        <v>45670.666458333333</v>
      </c>
      <c r="J438" s="10">
        <v>45670.734768518523</v>
      </c>
      <c r="K438" s="10">
        <v>45670.734768518523</v>
      </c>
      <c r="L438" s="10">
        <v>45670.736168981479</v>
      </c>
      <c r="M438" s="11">
        <f t="shared" si="18"/>
        <v>1.6157407415448688E-2</v>
      </c>
      <c r="N438" s="11">
        <f t="shared" si="19"/>
        <v>7.8530092585424427E-2</v>
      </c>
      <c r="O438" s="10">
        <v>45670.66033564815</v>
      </c>
      <c r="P438" s="11">
        <f t="shared" si="20"/>
        <v>6.1226851830724627E-3</v>
      </c>
      <c r="Q438" s="12" t="s">
        <v>1552</v>
      </c>
    </row>
    <row r="439" spans="1:17" ht="25.5" x14ac:dyDescent="0.25">
      <c r="A439" s="3" t="s">
        <v>1553</v>
      </c>
      <c r="B439" s="3" t="s">
        <v>254</v>
      </c>
      <c r="C439" s="9">
        <v>157.9</v>
      </c>
      <c r="D439" s="3" t="s">
        <v>572</v>
      </c>
      <c r="E439" s="10">
        <v>45670.669652777768</v>
      </c>
      <c r="F439" s="10">
        <v>45670.677662037036</v>
      </c>
      <c r="G439" s="10">
        <v>45670.679722222223</v>
      </c>
      <c r="H439" s="3" t="s">
        <v>1516</v>
      </c>
      <c r="I439" s="10">
        <v>45670.689201388886</v>
      </c>
      <c r="J439" s="10">
        <v>45670.723715277767</v>
      </c>
      <c r="K439" s="10">
        <v>45670.723715277767</v>
      </c>
      <c r="L439" s="10">
        <v>45670.724687499998</v>
      </c>
      <c r="M439" s="11">
        <f t="shared" si="18"/>
        <v>1.0069444455439225E-2</v>
      </c>
      <c r="N439" s="11">
        <f t="shared" si="19"/>
        <v>4.4965277775190771E-2</v>
      </c>
      <c r="O439" s="10">
        <v>45670.6875</v>
      </c>
      <c r="P439" s="11">
        <f t="shared" si="20"/>
        <v>1.7013888864312321E-3</v>
      </c>
      <c r="Q439" s="12" t="s">
        <v>1554</v>
      </c>
    </row>
    <row r="440" spans="1:17" x14ac:dyDescent="0.25">
      <c r="A440" s="3" t="s">
        <v>1555</v>
      </c>
      <c r="B440" s="3" t="s">
        <v>254</v>
      </c>
      <c r="C440" s="9">
        <v>229.7</v>
      </c>
      <c r="D440" s="3" t="s">
        <v>500</v>
      </c>
      <c r="E440" s="10">
        <v>45670.669652777768</v>
      </c>
      <c r="F440" s="10">
        <v>45670.679722222223</v>
      </c>
      <c r="G440" s="10">
        <v>45670.682245370372</v>
      </c>
      <c r="H440" s="3" t="s">
        <v>1556</v>
      </c>
      <c r="I440" s="10">
        <v>45670.686898148153</v>
      </c>
      <c r="J440" s="10">
        <v>45670.726782407408</v>
      </c>
      <c r="K440" s="10">
        <v>45670.726782407408</v>
      </c>
      <c r="L440" s="10">
        <v>45670.727812500001</v>
      </c>
      <c r="M440" s="11">
        <f t="shared" si="18"/>
        <v>1.2592592604050878E-2</v>
      </c>
      <c r="N440" s="11">
        <f t="shared" si="19"/>
        <v>4.55671296294895E-2</v>
      </c>
      <c r="O440" s="10">
        <v>45670.686030092591</v>
      </c>
      <c r="P440" s="11">
        <f t="shared" si="20"/>
        <v>8.6805556202307343E-4</v>
      </c>
      <c r="Q440" s="12" t="s">
        <v>1557</v>
      </c>
    </row>
    <row r="441" spans="1:17" x14ac:dyDescent="0.25">
      <c r="A441" s="3" t="s">
        <v>1558</v>
      </c>
      <c r="B441" s="3" t="s">
        <v>255</v>
      </c>
      <c r="C441" s="9">
        <v>185.92</v>
      </c>
      <c r="D441" s="3" t="s">
        <v>500</v>
      </c>
      <c r="E441" s="10">
        <v>45670.728865740741</v>
      </c>
      <c r="F441" s="10">
        <v>45670.733935185177</v>
      </c>
      <c r="G441" s="10">
        <v>45670.735486111109</v>
      </c>
      <c r="H441" s="3" t="s">
        <v>1559</v>
      </c>
      <c r="I441" s="10">
        <v>45670.738749999997</v>
      </c>
      <c r="J441" s="10">
        <v>45670.77103009259</v>
      </c>
      <c r="K441" s="10">
        <v>45670.77103009259</v>
      </c>
      <c r="L441" s="10">
        <v>45670.771932870368</v>
      </c>
      <c r="M441" s="11">
        <f t="shared" si="18"/>
        <v>6.6203703681821935E-3</v>
      </c>
      <c r="N441" s="11">
        <f t="shared" si="19"/>
        <v>3.6446759258979E-2</v>
      </c>
      <c r="O441" s="10">
        <v>45670.737881944442</v>
      </c>
      <c r="P441" s="11">
        <f t="shared" si="20"/>
        <v>8.6805555474711582E-4</v>
      </c>
      <c r="Q441" s="12" t="s">
        <v>1560</v>
      </c>
    </row>
    <row r="442" spans="1:17" x14ac:dyDescent="0.25">
      <c r="A442" s="3" t="s">
        <v>1561</v>
      </c>
      <c r="B442" s="3" t="s">
        <v>256</v>
      </c>
      <c r="C442" s="9">
        <v>389.06000000000012</v>
      </c>
      <c r="D442" s="3" t="s">
        <v>500</v>
      </c>
      <c r="E442" s="10">
        <v>45670.880254629628</v>
      </c>
      <c r="F442" s="10">
        <v>45670.887175925927</v>
      </c>
      <c r="G442" s="10">
        <v>45670.889201388891</v>
      </c>
      <c r="H442" s="3" t="s">
        <v>1562</v>
      </c>
      <c r="I442" s="10">
        <v>45670.892465277779</v>
      </c>
      <c r="J442" s="10">
        <v>45670.960011574083</v>
      </c>
      <c r="K442" s="10">
        <v>45670.960011574083</v>
      </c>
      <c r="L442" s="10">
        <v>45670.961377314823</v>
      </c>
      <c r="M442" s="11">
        <f t="shared" si="18"/>
        <v>8.9467592624714598E-3</v>
      </c>
      <c r="N442" s="11">
        <f t="shared" si="19"/>
        <v>7.2175925932242535E-2</v>
      </c>
      <c r="O442" s="10">
        <v>45670.891597222217</v>
      </c>
      <c r="P442" s="11">
        <f t="shared" si="20"/>
        <v>8.6805556202307343E-4</v>
      </c>
      <c r="Q442" s="12" t="s">
        <v>1563</v>
      </c>
    </row>
    <row r="443" spans="1:17" ht="25.5" x14ac:dyDescent="0.25">
      <c r="A443" s="3" t="s">
        <v>1564</v>
      </c>
      <c r="B443" s="3" t="s">
        <v>257</v>
      </c>
      <c r="C443" s="9">
        <v>103.9</v>
      </c>
      <c r="D443" s="3" t="s">
        <v>488</v>
      </c>
      <c r="E443" s="10">
        <v>45671.104409722233</v>
      </c>
      <c r="F443" s="10">
        <v>45671.112210648149</v>
      </c>
      <c r="G443" s="10">
        <v>45671.11414351852</v>
      </c>
      <c r="H443" s="3" t="s">
        <v>1539</v>
      </c>
      <c r="I443" s="10">
        <v>45671.11855324074</v>
      </c>
      <c r="J443" s="10">
        <v>45671.140231481477</v>
      </c>
      <c r="K443" s="10">
        <v>45671.140231481477</v>
      </c>
      <c r="L443" s="10">
        <v>45671.141122685192</v>
      </c>
      <c r="M443" s="11">
        <f t="shared" si="18"/>
        <v>9.7337962870369665E-3</v>
      </c>
      <c r="N443" s="11">
        <f t="shared" si="19"/>
        <v>2.697916667239042E-2</v>
      </c>
      <c r="O443" s="10">
        <v>45671.117708333331</v>
      </c>
      <c r="P443" s="11">
        <f t="shared" si="20"/>
        <v>8.4490740846376866E-4</v>
      </c>
      <c r="Q443" s="12" t="s">
        <v>1565</v>
      </c>
    </row>
    <row r="444" spans="1:17" ht="38.25" x14ac:dyDescent="0.25">
      <c r="A444" s="3" t="s">
        <v>1566</v>
      </c>
      <c r="B444" s="3" t="s">
        <v>257</v>
      </c>
      <c r="C444" s="9">
        <v>12.04</v>
      </c>
      <c r="D444" s="3" t="s">
        <v>492</v>
      </c>
      <c r="E444" s="10">
        <v>45671.104409722233</v>
      </c>
      <c r="F444" s="10">
        <v>45671.11414351852</v>
      </c>
      <c r="G444" s="10">
        <v>45671.115416666667</v>
      </c>
      <c r="H444" s="3" t="s">
        <v>1567</v>
      </c>
      <c r="I444" s="10">
        <v>45671.776724537027</v>
      </c>
      <c r="J444" s="10">
        <v>45671.794722222221</v>
      </c>
      <c r="K444" s="10">
        <v>45671.794722222221</v>
      </c>
      <c r="L444" s="10">
        <v>45671.79550925926</v>
      </c>
      <c r="M444" s="11">
        <f t="shared" si="18"/>
        <v>1.1006944434484467E-2</v>
      </c>
      <c r="N444" s="11">
        <f t="shared" si="19"/>
        <v>0.68009259259270038</v>
      </c>
      <c r="O444" s="10">
        <v>45671.117812500001</v>
      </c>
      <c r="P444" s="11">
        <f t="shared" si="20"/>
        <v>0.65891203702631174</v>
      </c>
      <c r="Q444" s="12" t="s">
        <v>1568</v>
      </c>
    </row>
    <row r="445" spans="1:17" ht="38.25" x14ac:dyDescent="0.25">
      <c r="A445" s="3" t="s">
        <v>1569</v>
      </c>
      <c r="B445" s="3" t="s">
        <v>257</v>
      </c>
      <c r="C445" s="9">
        <v>15.74</v>
      </c>
      <c r="D445" s="3" t="s">
        <v>484</v>
      </c>
      <c r="E445" s="10">
        <v>45671.104409722233</v>
      </c>
      <c r="F445" s="10">
        <v>45671.115416666667</v>
      </c>
      <c r="G445" s="10">
        <v>45671.117361111108</v>
      </c>
      <c r="H445" s="3" t="s">
        <v>1542</v>
      </c>
      <c r="I445" s="10">
        <v>45672.123703703714</v>
      </c>
      <c r="J445" s="10">
        <v>45672.154502314806</v>
      </c>
      <c r="K445" s="10">
        <v>45672.155173611107</v>
      </c>
      <c r="L445" s="10">
        <v>45672.156134259261</v>
      </c>
      <c r="M445" s="11">
        <f t="shared" si="18"/>
        <v>1.2951388875080738E-2</v>
      </c>
      <c r="N445" s="11">
        <f t="shared" si="19"/>
        <v>1.0387731481532683</v>
      </c>
      <c r="O445" s="10">
        <v>45671.12128472222</v>
      </c>
      <c r="P445" s="11">
        <f t="shared" si="20"/>
        <v>1.0024189814939746</v>
      </c>
      <c r="Q445" s="12" t="s">
        <v>1570</v>
      </c>
    </row>
    <row r="446" spans="1:17" ht="38.25" x14ac:dyDescent="0.25">
      <c r="A446" s="3" t="s">
        <v>1571</v>
      </c>
      <c r="B446" s="3" t="s">
        <v>257</v>
      </c>
      <c r="C446" s="9">
        <v>15.74</v>
      </c>
      <c r="D446" s="3" t="s">
        <v>496</v>
      </c>
      <c r="E446" s="10">
        <v>45671.104409722233</v>
      </c>
      <c r="F446" s="10">
        <v>45671.117361111108</v>
      </c>
      <c r="G446" s="10">
        <v>45671.11928240741</v>
      </c>
      <c r="H446" s="3" t="s">
        <v>1376</v>
      </c>
      <c r="I446" s="10">
        <v>45671.459560185183</v>
      </c>
      <c r="J446" s="10">
        <v>45671.47991898148</v>
      </c>
      <c r="K446" s="10">
        <v>45671.47991898148</v>
      </c>
      <c r="L446" s="10">
        <v>45671.480578703697</v>
      </c>
      <c r="M446" s="11">
        <f t="shared" si="18"/>
        <v>1.487268517666962E-2</v>
      </c>
      <c r="N446" s="11">
        <f t="shared" si="19"/>
        <v>0.36129629628703697</v>
      </c>
      <c r="O446" s="10">
        <v>45671.123206018521</v>
      </c>
      <c r="P446" s="11">
        <f t="shared" si="20"/>
        <v>0.33635416666220408</v>
      </c>
      <c r="Q446" s="12" t="s">
        <v>1572</v>
      </c>
    </row>
    <row r="447" spans="1:17" x14ac:dyDescent="0.25">
      <c r="A447" s="3" t="s">
        <v>1573</v>
      </c>
      <c r="B447" s="3" t="s">
        <v>258</v>
      </c>
      <c r="C447" s="9">
        <v>297</v>
      </c>
      <c r="D447" s="3" t="s">
        <v>500</v>
      </c>
      <c r="E447" s="10">
        <v>45671.272777777784</v>
      </c>
      <c r="F447" s="10">
        <v>45671.278912037043</v>
      </c>
      <c r="G447" s="10">
        <v>45671.280729166669</v>
      </c>
      <c r="H447" s="3" t="s">
        <v>1574</v>
      </c>
      <c r="I447" s="10">
        <v>45671.28396990741</v>
      </c>
      <c r="J447" s="10">
        <v>45671.335532407407</v>
      </c>
      <c r="K447" s="10">
        <v>45671.335532407407</v>
      </c>
      <c r="L447" s="10">
        <v>45671.336689814823</v>
      </c>
      <c r="M447" s="11">
        <f t="shared" si="18"/>
        <v>7.9513888849760406E-3</v>
      </c>
      <c r="N447" s="11">
        <f t="shared" si="19"/>
        <v>5.5960648154723458E-2</v>
      </c>
      <c r="O447" s="10">
        <v>45671.283101851863</v>
      </c>
      <c r="P447" s="11">
        <f t="shared" si="20"/>
        <v>8.6805554747115821E-4</v>
      </c>
      <c r="Q447" s="12" t="s">
        <v>1575</v>
      </c>
    </row>
    <row r="448" spans="1:17" ht="25.5" x14ac:dyDescent="0.25">
      <c r="A448" s="3" t="s">
        <v>1576</v>
      </c>
      <c r="B448" s="3" t="s">
        <v>259</v>
      </c>
      <c r="C448" s="9">
        <v>110.3</v>
      </c>
      <c r="D448" s="3" t="s">
        <v>519</v>
      </c>
      <c r="E448" s="10">
        <v>45671.278356481482</v>
      </c>
      <c r="F448" s="10">
        <v>45671.290833333333</v>
      </c>
      <c r="G448" s="10">
        <v>45671.292939814812</v>
      </c>
      <c r="H448" s="3" t="s">
        <v>1471</v>
      </c>
      <c r="I448" s="10">
        <v>45671.298530092587</v>
      </c>
      <c r="J448" s="10">
        <v>45671.331099537027</v>
      </c>
      <c r="K448" s="10">
        <v>45671.331099537027</v>
      </c>
      <c r="L448" s="10">
        <v>45671.331921296303</v>
      </c>
      <c r="M448" s="11">
        <f t="shared" si="18"/>
        <v>1.4583333329937886E-2</v>
      </c>
      <c r="N448" s="11">
        <f t="shared" si="19"/>
        <v>3.8981481491646264E-2</v>
      </c>
      <c r="O448" s="10">
        <v>45671.296840277777</v>
      </c>
      <c r="P448" s="11">
        <f t="shared" si="20"/>
        <v>1.6898148096515797E-3</v>
      </c>
      <c r="Q448" s="12" t="s">
        <v>1577</v>
      </c>
    </row>
    <row r="449" spans="1:17" ht="25.5" x14ac:dyDescent="0.25">
      <c r="A449" s="3" t="s">
        <v>1578</v>
      </c>
      <c r="B449" s="3" t="s">
        <v>259</v>
      </c>
      <c r="C449" s="9">
        <v>70.459999999999994</v>
      </c>
      <c r="D449" s="3" t="s">
        <v>506</v>
      </c>
      <c r="E449" s="10">
        <v>45671.278356481482</v>
      </c>
      <c r="F449" s="10">
        <v>45671.292939814812</v>
      </c>
      <c r="G449" s="10">
        <v>45671.294317129628</v>
      </c>
      <c r="H449" s="3" t="s">
        <v>1525</v>
      </c>
      <c r="I449" s="10">
        <v>45671.309004629627</v>
      </c>
      <c r="J449" s="10">
        <v>45671.326701388891</v>
      </c>
      <c r="K449" s="10">
        <v>45671.326701388891</v>
      </c>
      <c r="L449" s="10">
        <v>45671.327361111107</v>
      </c>
      <c r="M449" s="11">
        <f t="shared" si="18"/>
        <v>1.5960648146574385E-2</v>
      </c>
      <c r="N449" s="11">
        <f t="shared" si="19"/>
        <v>3.3043981478840578E-2</v>
      </c>
      <c r="O449" s="10">
        <v>45671.29824074074</v>
      </c>
      <c r="P449" s="11">
        <f t="shared" si="20"/>
        <v>1.0763888887595385E-2</v>
      </c>
      <c r="Q449" s="12" t="s">
        <v>1579</v>
      </c>
    </row>
    <row r="450" spans="1:17" ht="25.5" x14ac:dyDescent="0.25">
      <c r="A450" s="3" t="s">
        <v>1580</v>
      </c>
      <c r="B450" s="3" t="s">
        <v>259</v>
      </c>
      <c r="C450" s="9">
        <v>54</v>
      </c>
      <c r="D450" s="3" t="s">
        <v>527</v>
      </c>
      <c r="E450" s="10">
        <v>45671.278356481482</v>
      </c>
      <c r="F450" s="10">
        <v>45671.294317129628</v>
      </c>
      <c r="G450" s="10">
        <v>45671.296400462961</v>
      </c>
      <c r="H450" s="3" t="s">
        <v>1581</v>
      </c>
      <c r="I450" s="10">
        <v>45671.436388888891</v>
      </c>
      <c r="J450" s="10">
        <v>45671.469201388893</v>
      </c>
      <c r="K450" s="10">
        <v>45671.469201388893</v>
      </c>
      <c r="L450" s="10">
        <v>45671.470138888893</v>
      </c>
      <c r="M450" s="11">
        <f t="shared" ref="M450:M513" si="21">IF(AND(ISNUMBER(E450),ISNUMBER(G450)),(G450-E450),"")</f>
        <v>1.8043981479422655E-2</v>
      </c>
      <c r="N450" s="11">
        <f t="shared" ref="N450:N513" si="22">IF(AND(ISNUMBER(G450),ISNUMBER(L450)),(L450-G450),"")</f>
        <v>0.17373842593224254</v>
      </c>
      <c r="O450" s="10">
        <v>45671.298576388886</v>
      </c>
      <c r="P450" s="11">
        <f t="shared" ref="P450:P513" si="23">IF(AND(ISNUMBER(I450),ISNUMBER(O450)),(I450-O450),"")</f>
        <v>0.13781250000465661</v>
      </c>
      <c r="Q450" s="12" t="s">
        <v>1582</v>
      </c>
    </row>
    <row r="451" spans="1:17" ht="38.25" x14ac:dyDescent="0.25">
      <c r="A451" s="3" t="s">
        <v>1583</v>
      </c>
      <c r="B451" s="3" t="s">
        <v>259</v>
      </c>
      <c r="C451" s="9">
        <v>23.24</v>
      </c>
      <c r="D451" s="3" t="s">
        <v>515</v>
      </c>
      <c r="E451" s="10">
        <v>45671.278356481482</v>
      </c>
      <c r="F451" s="10">
        <v>45671.296400462961</v>
      </c>
      <c r="G451" s="10">
        <v>45671.298113425917</v>
      </c>
      <c r="H451" s="3" t="s">
        <v>1584</v>
      </c>
      <c r="I451" s="10">
        <v>45671.438298611109</v>
      </c>
      <c r="J451" s="10">
        <v>45671.457303240742</v>
      </c>
      <c r="K451" s="10">
        <v>45671.457303240742</v>
      </c>
      <c r="L451" s="10">
        <v>45671.458148148151</v>
      </c>
      <c r="M451" s="11">
        <f t="shared" si="21"/>
        <v>1.9756944435357582E-2</v>
      </c>
      <c r="N451" s="11">
        <f t="shared" si="22"/>
        <v>0.16003472223383142</v>
      </c>
      <c r="O451" s="10">
        <v>45671.301504629628</v>
      </c>
      <c r="P451" s="11">
        <f t="shared" si="23"/>
        <v>0.13679398148087785</v>
      </c>
      <c r="Q451" s="12" t="s">
        <v>1585</v>
      </c>
    </row>
    <row r="452" spans="1:17" ht="38.25" x14ac:dyDescent="0.25">
      <c r="A452" s="3" t="s">
        <v>1586</v>
      </c>
      <c r="B452" s="3" t="s">
        <v>259</v>
      </c>
      <c r="C452" s="9">
        <v>39.799999999999997</v>
      </c>
      <c r="D452" s="3" t="s">
        <v>492</v>
      </c>
      <c r="E452" s="10">
        <v>45671.278356481482</v>
      </c>
      <c r="F452" s="10">
        <v>45671.298113425917</v>
      </c>
      <c r="G452" s="10">
        <v>45671.299421296288</v>
      </c>
      <c r="H452" s="3" t="s">
        <v>1567</v>
      </c>
      <c r="I452" s="10">
        <v>45671.776724537027</v>
      </c>
      <c r="J452" s="10">
        <v>45671.794722222221</v>
      </c>
      <c r="K452" s="10">
        <v>45671.794722222221</v>
      </c>
      <c r="L452" s="10">
        <v>45671.79550925926</v>
      </c>
      <c r="M452" s="11">
        <f t="shared" si="21"/>
        <v>2.1064814805868082E-2</v>
      </c>
      <c r="N452" s="11">
        <f t="shared" si="22"/>
        <v>0.49608796297252411</v>
      </c>
      <c r="O452" s="10">
        <v>45671.302986111114</v>
      </c>
      <c r="P452" s="11">
        <f t="shared" si="23"/>
        <v>0.47373842591332505</v>
      </c>
      <c r="Q452" s="12" t="s">
        <v>1587</v>
      </c>
    </row>
    <row r="453" spans="1:17" ht="25.5" x14ac:dyDescent="0.25">
      <c r="A453" s="3" t="s">
        <v>1588</v>
      </c>
      <c r="B453" s="3" t="s">
        <v>259</v>
      </c>
      <c r="C453" s="9">
        <v>27</v>
      </c>
      <c r="D453" s="3" t="s">
        <v>527</v>
      </c>
      <c r="E453" s="10">
        <v>45671.278356481482</v>
      </c>
      <c r="F453" s="10">
        <v>45671.299421296288</v>
      </c>
      <c r="G453" s="10">
        <v>45671.301446759258</v>
      </c>
      <c r="H453" s="3" t="s">
        <v>1581</v>
      </c>
      <c r="I453" s="10">
        <v>45671.436388888891</v>
      </c>
      <c r="J453" s="10">
        <v>45671.469201388893</v>
      </c>
      <c r="K453" s="10">
        <v>45671.469201388893</v>
      </c>
      <c r="L453" s="10">
        <v>45671.470138888893</v>
      </c>
      <c r="M453" s="11">
        <f t="shared" si="21"/>
        <v>2.3090277776645962E-2</v>
      </c>
      <c r="N453" s="11">
        <f t="shared" si="22"/>
        <v>0.16869212963501923</v>
      </c>
      <c r="O453" s="10">
        <v>45671.306296296287</v>
      </c>
      <c r="P453" s="11">
        <f t="shared" si="23"/>
        <v>0.13009259260434192</v>
      </c>
      <c r="Q453" s="12" t="s">
        <v>1589</v>
      </c>
    </row>
    <row r="454" spans="1:17" ht="38.25" x14ac:dyDescent="0.25">
      <c r="A454" s="3" t="s">
        <v>1590</v>
      </c>
      <c r="B454" s="3" t="s">
        <v>259</v>
      </c>
      <c r="C454" s="9">
        <v>38.979999999999997</v>
      </c>
      <c r="D454" s="3" t="s">
        <v>515</v>
      </c>
      <c r="E454" s="10">
        <v>45671.278356481482</v>
      </c>
      <c r="F454" s="10">
        <v>45671.301446759258</v>
      </c>
      <c r="G454" s="10">
        <v>45671.303194444437</v>
      </c>
      <c r="H454" s="3" t="s">
        <v>1584</v>
      </c>
      <c r="I454" s="10">
        <v>45671.438298611109</v>
      </c>
      <c r="J454" s="10">
        <v>45671.457303240742</v>
      </c>
      <c r="K454" s="10">
        <v>45671.457303240742</v>
      </c>
      <c r="L454" s="10">
        <v>45671.458148148151</v>
      </c>
      <c r="M454" s="11">
        <f t="shared" si="21"/>
        <v>2.4837962955643889E-2</v>
      </c>
      <c r="N454" s="11">
        <f t="shared" si="22"/>
        <v>0.15495370371354511</v>
      </c>
      <c r="O454" s="10">
        <v>45671.307349537034</v>
      </c>
      <c r="P454" s="11">
        <f t="shared" si="23"/>
        <v>0.13094907407503342</v>
      </c>
      <c r="Q454" s="12" t="s">
        <v>1591</v>
      </c>
    </row>
    <row r="455" spans="1:17" x14ac:dyDescent="0.25">
      <c r="A455" s="3" t="s">
        <v>1592</v>
      </c>
      <c r="B455" s="3" t="s">
        <v>260</v>
      </c>
      <c r="C455" s="9">
        <v>213.84</v>
      </c>
      <c r="D455" s="3" t="s">
        <v>500</v>
      </c>
      <c r="E455" s="10">
        <v>45671.307430555556</v>
      </c>
      <c r="F455" s="10">
        <v>45671.312719907408</v>
      </c>
      <c r="G455" s="10">
        <v>45671.31490740741</v>
      </c>
      <c r="H455" s="3" t="s">
        <v>1593</v>
      </c>
      <c r="I455" s="10">
        <v>45671.331331018519</v>
      </c>
      <c r="J455" s="10">
        <v>45671.368449074071</v>
      </c>
      <c r="K455" s="10">
        <v>45671.368449074071</v>
      </c>
      <c r="L455" s="10">
        <v>45671.369456018518</v>
      </c>
      <c r="M455" s="11">
        <f t="shared" si="21"/>
        <v>7.4768518534256145E-3</v>
      </c>
      <c r="N455" s="11">
        <f t="shared" si="22"/>
        <v>5.4548611107748002E-2</v>
      </c>
      <c r="O455" s="10">
        <v>45671.329664351862</v>
      </c>
      <c r="P455" s="11">
        <f t="shared" si="23"/>
        <v>1.6666666560922749E-3</v>
      </c>
      <c r="Q455" s="12" t="s">
        <v>1594</v>
      </c>
    </row>
    <row r="456" spans="1:17" x14ac:dyDescent="0.25">
      <c r="A456" s="3" t="s">
        <v>1595</v>
      </c>
      <c r="B456" s="3" t="s">
        <v>261</v>
      </c>
      <c r="C456" s="9">
        <v>389.80000000000013</v>
      </c>
      <c r="D456" s="3" t="s">
        <v>500</v>
      </c>
      <c r="E456" s="10">
        <v>45671.336168981477</v>
      </c>
      <c r="F456" s="10">
        <v>45671.342604166668</v>
      </c>
      <c r="G456" s="10">
        <v>45671.34474537037</v>
      </c>
      <c r="H456" s="3" t="s">
        <v>1596</v>
      </c>
      <c r="I456" s="10">
        <v>45671.347986111112</v>
      </c>
      <c r="J456" s="10">
        <v>45671.415659722217</v>
      </c>
      <c r="K456" s="10">
        <v>45671.415659722217</v>
      </c>
      <c r="L456" s="10">
        <v>45671.416990740741</v>
      </c>
      <c r="M456" s="11">
        <f t="shared" si="21"/>
        <v>8.5763888928340748E-3</v>
      </c>
      <c r="N456" s="11">
        <f t="shared" si="22"/>
        <v>7.2245370371092577E-2</v>
      </c>
      <c r="O456" s="10">
        <v>45671.347118055557</v>
      </c>
      <c r="P456" s="11">
        <f t="shared" si="23"/>
        <v>8.6805555474711582E-4</v>
      </c>
      <c r="Q456" s="12" t="s">
        <v>1597</v>
      </c>
    </row>
    <row r="457" spans="1:17" ht="25.5" x14ac:dyDescent="0.25">
      <c r="A457" s="3" t="s">
        <v>1598</v>
      </c>
      <c r="B457" s="3" t="s">
        <v>262</v>
      </c>
      <c r="C457" s="9">
        <v>15.74</v>
      </c>
      <c r="D457" s="3" t="s">
        <v>515</v>
      </c>
      <c r="E457" s="10">
        <v>45671.377557870372</v>
      </c>
      <c r="F457" s="10">
        <v>45671.398333333331</v>
      </c>
      <c r="G457" s="10">
        <v>45671.400034722217</v>
      </c>
      <c r="H457" s="3" t="s">
        <v>1584</v>
      </c>
      <c r="I457" s="10">
        <v>45671.438298611109</v>
      </c>
      <c r="J457" s="10">
        <v>45671.457303240742</v>
      </c>
      <c r="K457" s="10">
        <v>45671.457303240742</v>
      </c>
      <c r="L457" s="10">
        <v>45671.458148148151</v>
      </c>
      <c r="M457" s="11">
        <f t="shared" si="21"/>
        <v>2.247685184556758E-2</v>
      </c>
      <c r="N457" s="11">
        <f t="shared" si="22"/>
        <v>5.8113425933697727E-2</v>
      </c>
      <c r="O457" s="10">
        <v>45671.420393518521</v>
      </c>
      <c r="P457" s="11">
        <f t="shared" si="23"/>
        <v>1.7905092587170657E-2</v>
      </c>
      <c r="Q457" s="12" t="s">
        <v>1599</v>
      </c>
    </row>
    <row r="458" spans="1:17" ht="25.5" x14ac:dyDescent="0.25">
      <c r="A458" s="3" t="s">
        <v>1600</v>
      </c>
      <c r="B458" s="3" t="s">
        <v>262</v>
      </c>
      <c r="C458" s="9">
        <v>19.899999999999999</v>
      </c>
      <c r="D458" s="3" t="s">
        <v>519</v>
      </c>
      <c r="E458" s="10">
        <v>45671.377557870372</v>
      </c>
      <c r="F458" s="10">
        <v>45671.400034722217</v>
      </c>
      <c r="G458" s="10">
        <v>45671.401180555556</v>
      </c>
      <c r="H458" s="3" t="s">
        <v>1601</v>
      </c>
      <c r="I458" s="10">
        <v>45671.669502314813</v>
      </c>
      <c r="J458" s="10">
        <v>45671.692488425928</v>
      </c>
      <c r="K458" s="10">
        <v>45671.692488425928</v>
      </c>
      <c r="L458" s="10">
        <v>45671.69326388889</v>
      </c>
      <c r="M458" s="11">
        <f t="shared" si="21"/>
        <v>2.3622685184818693E-2</v>
      </c>
      <c r="N458" s="11">
        <f t="shared" si="22"/>
        <v>0.29208333333372138</v>
      </c>
      <c r="O458" s="10">
        <v>45671.418923611112</v>
      </c>
      <c r="P458" s="11">
        <f t="shared" si="23"/>
        <v>0.25057870370073942</v>
      </c>
      <c r="Q458" s="12" t="s">
        <v>1602</v>
      </c>
    </row>
    <row r="459" spans="1:17" ht="38.25" x14ac:dyDescent="0.25">
      <c r="A459" s="3" t="s">
        <v>1603</v>
      </c>
      <c r="B459" s="3" t="s">
        <v>262</v>
      </c>
      <c r="C459" s="9">
        <v>28</v>
      </c>
      <c r="D459" s="3" t="s">
        <v>595</v>
      </c>
      <c r="E459" s="10">
        <v>45671.377557870372</v>
      </c>
      <c r="F459" s="10">
        <v>45671.401180555556</v>
      </c>
      <c r="G459" s="10">
        <v>45671.403090277781</v>
      </c>
      <c r="H459" s="3" t="s">
        <v>1376</v>
      </c>
      <c r="I459" s="10">
        <v>45671.459560185183</v>
      </c>
      <c r="J459" s="10">
        <v>45671.47991898148</v>
      </c>
      <c r="K459" s="10">
        <v>45671.47991898148</v>
      </c>
      <c r="L459" s="10">
        <v>45671.480578703697</v>
      </c>
      <c r="M459" s="11">
        <f t="shared" si="21"/>
        <v>2.5532407409627922E-2</v>
      </c>
      <c r="N459" s="11">
        <f t="shared" si="22"/>
        <v>7.7488425915362313E-2</v>
      </c>
      <c r="O459" s="10">
        <v>45671.423715277779</v>
      </c>
      <c r="P459" s="11">
        <f t="shared" si="23"/>
        <v>3.5844907404680271E-2</v>
      </c>
      <c r="Q459" s="12" t="s">
        <v>1604</v>
      </c>
    </row>
    <row r="460" spans="1:17" ht="25.5" x14ac:dyDescent="0.25">
      <c r="A460" s="3" t="s">
        <v>1605</v>
      </c>
      <c r="B460" s="3" t="s">
        <v>262</v>
      </c>
      <c r="C460" s="9">
        <v>108</v>
      </c>
      <c r="D460" s="3" t="s">
        <v>527</v>
      </c>
      <c r="E460" s="10">
        <v>45671.377557870372</v>
      </c>
      <c r="F460" s="10">
        <v>45671.403090277781</v>
      </c>
      <c r="G460" s="10">
        <v>45671.405300925922</v>
      </c>
      <c r="H460" s="3" t="s">
        <v>1581</v>
      </c>
      <c r="I460" s="10">
        <v>45671.436388888891</v>
      </c>
      <c r="J460" s="10">
        <v>45671.469201388893</v>
      </c>
      <c r="K460" s="10">
        <v>45671.469201388893</v>
      </c>
      <c r="L460" s="10">
        <v>45671.470138888893</v>
      </c>
      <c r="M460" s="11">
        <f t="shared" si="21"/>
        <v>2.774305555067258E-2</v>
      </c>
      <c r="N460" s="11">
        <f t="shared" si="22"/>
        <v>6.4837962971068919E-2</v>
      </c>
      <c r="O460" s="10">
        <v>45671.425115740742</v>
      </c>
      <c r="P460" s="11">
        <f t="shared" si="23"/>
        <v>1.1273148149484769E-2</v>
      </c>
      <c r="Q460" s="12" t="s">
        <v>1606</v>
      </c>
    </row>
    <row r="461" spans="1:17" ht="25.5" x14ac:dyDescent="0.25">
      <c r="A461" s="3" t="s">
        <v>1607</v>
      </c>
      <c r="B461" s="3" t="s">
        <v>262</v>
      </c>
      <c r="C461" s="9">
        <v>42</v>
      </c>
      <c r="D461" s="3" t="s">
        <v>488</v>
      </c>
      <c r="E461" s="10">
        <v>45671.377557870372</v>
      </c>
      <c r="F461" s="10">
        <v>45671.405300925922</v>
      </c>
      <c r="G461" s="10">
        <v>45671.407060185193</v>
      </c>
      <c r="H461" s="3" t="s">
        <v>1608</v>
      </c>
      <c r="I461" s="10">
        <v>45672.11791666667</v>
      </c>
      <c r="J461" s="10">
        <v>45672.154178240737</v>
      </c>
      <c r="K461" s="10">
        <v>45672.154178240737</v>
      </c>
      <c r="L461" s="10">
        <v>45672.155173611107</v>
      </c>
      <c r="M461" s="11">
        <f t="shared" si="21"/>
        <v>2.9502314821002074E-2</v>
      </c>
      <c r="N461" s="11">
        <f t="shared" si="22"/>
        <v>0.74811342591419816</v>
      </c>
      <c r="O461" s="10">
        <v>45671.426053240742</v>
      </c>
      <c r="P461" s="11">
        <f t="shared" si="23"/>
        <v>0.69186342592729488</v>
      </c>
      <c r="Q461" s="12" t="s">
        <v>1609</v>
      </c>
    </row>
    <row r="462" spans="1:17" ht="25.5" x14ac:dyDescent="0.25">
      <c r="A462" s="3" t="s">
        <v>1610</v>
      </c>
      <c r="B462" s="3" t="s">
        <v>262</v>
      </c>
      <c r="C462" s="9">
        <v>15.74</v>
      </c>
      <c r="D462" s="3" t="s">
        <v>484</v>
      </c>
      <c r="E462" s="10">
        <v>45671.377557870372</v>
      </c>
      <c r="F462" s="10">
        <v>45671.407060185193</v>
      </c>
      <c r="G462" s="10">
        <v>45671.40898148148</v>
      </c>
      <c r="H462" s="3" t="s">
        <v>1542</v>
      </c>
      <c r="I462" s="10">
        <v>45672.123703703714</v>
      </c>
      <c r="J462" s="10">
        <v>45672.154502314806</v>
      </c>
      <c r="K462" s="10">
        <v>45672.155173611107</v>
      </c>
      <c r="L462" s="10">
        <v>45672.156134259261</v>
      </c>
      <c r="M462" s="11">
        <f t="shared" si="21"/>
        <v>3.142361110803904E-2</v>
      </c>
      <c r="N462" s="11">
        <f t="shared" si="22"/>
        <v>0.74715277778159361</v>
      </c>
      <c r="O462" s="10">
        <v>45671.427835648137</v>
      </c>
      <c r="P462" s="11">
        <f t="shared" si="23"/>
        <v>0.69586805557628395</v>
      </c>
      <c r="Q462" s="12" t="s">
        <v>1611</v>
      </c>
    </row>
    <row r="463" spans="1:17" ht="25.5" x14ac:dyDescent="0.25">
      <c r="A463" s="3" t="s">
        <v>1612</v>
      </c>
      <c r="B463" s="3" t="s">
        <v>262</v>
      </c>
      <c r="C463" s="9">
        <v>19.899999999999999</v>
      </c>
      <c r="D463" s="3" t="s">
        <v>563</v>
      </c>
      <c r="E463" s="10">
        <v>45671.377557870372</v>
      </c>
      <c r="F463" s="10">
        <v>45671.40898148148</v>
      </c>
      <c r="G463" s="10">
        <v>45671.410462962973</v>
      </c>
      <c r="H463" s="3" t="s">
        <v>1613</v>
      </c>
      <c r="I463" s="10">
        <v>45671.650347222218</v>
      </c>
      <c r="J463" s="10">
        <v>45671.667812500003</v>
      </c>
      <c r="K463" s="10">
        <v>45671.667812500003</v>
      </c>
      <c r="L463" s="10">
        <v>45671.668587962973</v>
      </c>
      <c r="M463" s="11">
        <f t="shared" si="21"/>
        <v>3.2905092601140495E-2</v>
      </c>
      <c r="N463" s="11">
        <f t="shared" si="22"/>
        <v>0.25812500000029104</v>
      </c>
      <c r="O463" s="10">
        <v>45671.426979166667</v>
      </c>
      <c r="P463" s="11">
        <f t="shared" si="23"/>
        <v>0.22336805555096362</v>
      </c>
      <c r="Q463" s="12" t="s">
        <v>1614</v>
      </c>
    </row>
    <row r="464" spans="1:17" ht="25.5" x14ac:dyDescent="0.25">
      <c r="A464" s="3" t="s">
        <v>1615</v>
      </c>
      <c r="B464" s="3" t="s">
        <v>262</v>
      </c>
      <c r="C464" s="9">
        <v>16.5</v>
      </c>
      <c r="D464" s="3" t="s">
        <v>519</v>
      </c>
      <c r="E464" s="10">
        <v>45671.377557870372</v>
      </c>
      <c r="F464" s="10">
        <v>45671.410462962973</v>
      </c>
      <c r="G464" s="10">
        <v>45671.411597222221</v>
      </c>
      <c r="H464" s="3" t="s">
        <v>1601</v>
      </c>
      <c r="I464" s="10">
        <v>45671.669502314813</v>
      </c>
      <c r="J464" s="10">
        <v>45671.692488425928</v>
      </c>
      <c r="K464" s="10">
        <v>45671.692488425928</v>
      </c>
      <c r="L464" s="10">
        <v>45671.69326388889</v>
      </c>
      <c r="M464" s="11">
        <f t="shared" si="21"/>
        <v>3.403935184906004E-2</v>
      </c>
      <c r="N464" s="11">
        <f t="shared" si="22"/>
        <v>0.28166666666948004</v>
      </c>
      <c r="O464" s="10">
        <v>45671.431770833333</v>
      </c>
      <c r="P464" s="11">
        <f t="shared" si="23"/>
        <v>0.23773148148029577</v>
      </c>
      <c r="Q464" s="12" t="s">
        <v>1616</v>
      </c>
    </row>
    <row r="465" spans="1:17" ht="25.5" x14ac:dyDescent="0.25">
      <c r="A465" s="3" t="s">
        <v>1617</v>
      </c>
      <c r="B465" s="3" t="s">
        <v>262</v>
      </c>
      <c r="C465" s="9">
        <v>14</v>
      </c>
      <c r="D465" s="3" t="s">
        <v>595</v>
      </c>
      <c r="E465" s="10">
        <v>45671.377557870372</v>
      </c>
      <c r="F465" s="10">
        <v>45671.411597222221</v>
      </c>
      <c r="G465" s="10">
        <v>45671.413472222222</v>
      </c>
      <c r="H465" s="3" t="s">
        <v>1376</v>
      </c>
      <c r="I465" s="10">
        <v>45671.459560185183</v>
      </c>
      <c r="J465" s="10">
        <v>45671.47991898148</v>
      </c>
      <c r="K465" s="10">
        <v>45671.47991898148</v>
      </c>
      <c r="L465" s="10">
        <v>45671.480578703697</v>
      </c>
      <c r="M465" s="11">
        <f t="shared" si="21"/>
        <v>3.591435185080627E-2</v>
      </c>
      <c r="N465" s="11">
        <f t="shared" si="22"/>
        <v>6.7106481474183965E-2</v>
      </c>
      <c r="O465" s="10">
        <v>45671.434571759259</v>
      </c>
      <c r="P465" s="11">
        <f t="shared" si="23"/>
        <v>2.4988425924675539E-2</v>
      </c>
      <c r="Q465" s="12" t="s">
        <v>1618</v>
      </c>
    </row>
    <row r="466" spans="1:17" ht="25.5" x14ac:dyDescent="0.25">
      <c r="A466" s="3" t="s">
        <v>1619</v>
      </c>
      <c r="B466" s="3" t="s">
        <v>262</v>
      </c>
      <c r="C466" s="9">
        <v>31.48</v>
      </c>
      <c r="D466" s="3" t="s">
        <v>515</v>
      </c>
      <c r="E466" s="10">
        <v>45671.377557870372</v>
      </c>
      <c r="F466" s="10">
        <v>45671.413472222222</v>
      </c>
      <c r="G466" s="10">
        <v>45671.415208333332</v>
      </c>
      <c r="H466" s="3" t="s">
        <v>1584</v>
      </c>
      <c r="I466" s="10">
        <v>45671.438298611109</v>
      </c>
      <c r="J466" s="10">
        <v>45671.457303240742</v>
      </c>
      <c r="K466" s="10">
        <v>45671.457303240742</v>
      </c>
      <c r="L466" s="10">
        <v>45671.458148148151</v>
      </c>
      <c r="M466" s="11">
        <f t="shared" si="21"/>
        <v>3.7650462960300501E-2</v>
      </c>
      <c r="N466" s="11">
        <f t="shared" si="22"/>
        <v>4.2939814818964805E-2</v>
      </c>
      <c r="O466" s="10">
        <v>45671.430405092593</v>
      </c>
      <c r="P466" s="11">
        <f t="shared" si="23"/>
        <v>7.8935185156296939E-3</v>
      </c>
      <c r="Q466" s="12" t="s">
        <v>1620</v>
      </c>
    </row>
    <row r="467" spans="1:17" ht="25.5" x14ac:dyDescent="0.25">
      <c r="A467" s="3" t="s">
        <v>1621</v>
      </c>
      <c r="B467" s="3" t="s">
        <v>262</v>
      </c>
      <c r="C467" s="9">
        <v>31.48</v>
      </c>
      <c r="D467" s="3" t="s">
        <v>533</v>
      </c>
      <c r="E467" s="10">
        <v>45671.377557870372</v>
      </c>
      <c r="F467" s="10">
        <v>45671.415208333332</v>
      </c>
      <c r="G467" s="10">
        <v>45671.416967592602</v>
      </c>
      <c r="H467" s="3" t="s">
        <v>1428</v>
      </c>
      <c r="I467" s="10">
        <v>45671.653101851851</v>
      </c>
      <c r="J467" s="10">
        <v>45671.67769675926</v>
      </c>
      <c r="K467" s="10">
        <v>45671.67769675926</v>
      </c>
      <c r="L467" s="10">
        <v>45671.678564814807</v>
      </c>
      <c r="M467" s="11">
        <f t="shared" si="21"/>
        <v>3.9409722230629995E-2</v>
      </c>
      <c r="N467" s="11">
        <f t="shared" si="22"/>
        <v>0.26159722220472759</v>
      </c>
      <c r="O467" s="10">
        <v>45671.429849537039</v>
      </c>
      <c r="P467" s="11">
        <f t="shared" si="23"/>
        <v>0.22325231481227092</v>
      </c>
      <c r="Q467" s="12" t="s">
        <v>1622</v>
      </c>
    </row>
    <row r="468" spans="1:17" ht="25.5" x14ac:dyDescent="0.25">
      <c r="A468" s="3" t="s">
        <v>1623</v>
      </c>
      <c r="B468" s="3" t="s">
        <v>262</v>
      </c>
      <c r="C468" s="9">
        <v>233.14</v>
      </c>
      <c r="D468" s="3" t="s">
        <v>506</v>
      </c>
      <c r="E468" s="10">
        <v>45671.377557870372</v>
      </c>
      <c r="F468" s="10">
        <v>45671.416967592602</v>
      </c>
      <c r="G468" s="10">
        <v>45671.41883101852</v>
      </c>
      <c r="H468" s="3" t="s">
        <v>1624</v>
      </c>
      <c r="I468" s="10">
        <v>45671.459039351852</v>
      </c>
      <c r="J468" s="10">
        <v>45671.572199074071</v>
      </c>
      <c r="K468" s="10">
        <v>45671.572199074071</v>
      </c>
      <c r="L468" s="10">
        <v>45671.574189814812</v>
      </c>
      <c r="M468" s="11">
        <f t="shared" si="21"/>
        <v>4.1273148148320615E-2</v>
      </c>
      <c r="N468" s="11">
        <f t="shared" si="22"/>
        <v>0.15535879629169358</v>
      </c>
      <c r="O468" s="10">
        <v>45671.43105324074</v>
      </c>
      <c r="P468" s="11">
        <f t="shared" si="23"/>
        <v>2.7986111112113576E-2</v>
      </c>
      <c r="Q468" s="12" t="s">
        <v>1625</v>
      </c>
    </row>
    <row r="469" spans="1:17" ht="25.5" x14ac:dyDescent="0.25">
      <c r="A469" s="3" t="s">
        <v>1626</v>
      </c>
      <c r="B469" s="3" t="s">
        <v>262</v>
      </c>
      <c r="C469" s="9">
        <v>15.74</v>
      </c>
      <c r="D469" s="3" t="s">
        <v>496</v>
      </c>
      <c r="E469" s="10">
        <v>45671.377557870372</v>
      </c>
      <c r="F469" s="10">
        <v>45671.41883101852</v>
      </c>
      <c r="G469" s="10">
        <v>45671.420717592591</v>
      </c>
      <c r="H469" s="3" t="s">
        <v>1376</v>
      </c>
      <c r="I469" s="10">
        <v>45671.459560185183</v>
      </c>
      <c r="J469" s="10">
        <v>45671.47991898148</v>
      </c>
      <c r="K469" s="10">
        <v>45671.47991898148</v>
      </c>
      <c r="L469" s="10">
        <v>45671.480578703697</v>
      </c>
      <c r="M469" s="11">
        <f t="shared" si="21"/>
        <v>4.315972221957054E-2</v>
      </c>
      <c r="N469" s="11">
        <f t="shared" si="22"/>
        <v>5.9861111105419695E-2</v>
      </c>
      <c r="O469" s="10">
        <v>45671.436562499999</v>
      </c>
      <c r="P469" s="11">
        <f t="shared" si="23"/>
        <v>2.2997685184236616E-2</v>
      </c>
      <c r="Q469" s="12" t="s">
        <v>1627</v>
      </c>
    </row>
    <row r="470" spans="1:17" ht="25.5" x14ac:dyDescent="0.25">
      <c r="A470" s="3" t="s">
        <v>1628</v>
      </c>
      <c r="B470" s="3" t="s">
        <v>263</v>
      </c>
      <c r="C470" s="9">
        <v>56.3</v>
      </c>
      <c r="D470" s="3" t="s">
        <v>572</v>
      </c>
      <c r="E470" s="10">
        <v>45671.380671296298</v>
      </c>
      <c r="F470" s="10">
        <v>45671.389224537037</v>
      </c>
      <c r="G470" s="10">
        <v>45671.391238425917</v>
      </c>
      <c r="H470" s="3" t="s">
        <v>1629</v>
      </c>
      <c r="I470" s="10">
        <v>45671.400671296287</v>
      </c>
      <c r="J470" s="10">
        <v>45671.423090277778</v>
      </c>
      <c r="K470" s="10">
        <v>45671.423090277778</v>
      </c>
      <c r="L470" s="10">
        <v>45671.423761574071</v>
      </c>
      <c r="M470" s="11">
        <f t="shared" si="21"/>
        <v>1.0567129618721083E-2</v>
      </c>
      <c r="N470" s="11">
        <f t="shared" si="22"/>
        <v>3.2523148154723458E-2</v>
      </c>
      <c r="O470" s="10">
        <v>45671.393414351849</v>
      </c>
      <c r="P470" s="11">
        <f t="shared" si="23"/>
        <v>7.2569444382679649E-3</v>
      </c>
      <c r="Q470" s="12" t="s">
        <v>1630</v>
      </c>
    </row>
    <row r="471" spans="1:17" ht="25.5" x14ac:dyDescent="0.25">
      <c r="A471" s="3" t="s">
        <v>1631</v>
      </c>
      <c r="B471" s="3" t="s">
        <v>263</v>
      </c>
      <c r="C471" s="9">
        <v>264.8</v>
      </c>
      <c r="D471" s="3" t="s">
        <v>500</v>
      </c>
      <c r="E471" s="10">
        <v>45671.380671296298</v>
      </c>
      <c r="F471" s="10">
        <v>45671.391238425917</v>
      </c>
      <c r="G471" s="10">
        <v>45671.393425925933</v>
      </c>
      <c r="H471" s="3" t="s">
        <v>1264</v>
      </c>
      <c r="I471" s="10">
        <v>45671.398194444453</v>
      </c>
      <c r="J471" s="10">
        <v>45671.457824074067</v>
      </c>
      <c r="K471" s="10">
        <v>45671.458148148151</v>
      </c>
      <c r="L471" s="10">
        <v>45671.459537037037</v>
      </c>
      <c r="M471" s="11">
        <f t="shared" si="21"/>
        <v>1.2754629635310266E-2</v>
      </c>
      <c r="N471" s="11">
        <f t="shared" si="22"/>
        <v>6.6111111103964504E-2</v>
      </c>
      <c r="O471" s="10">
        <v>45671.397326388891</v>
      </c>
      <c r="P471" s="11">
        <f t="shared" si="23"/>
        <v>8.6805556202307343E-4</v>
      </c>
      <c r="Q471" s="12" t="s">
        <v>1632</v>
      </c>
    </row>
    <row r="472" spans="1:17" ht="25.5" x14ac:dyDescent="0.25">
      <c r="A472" s="3" t="s">
        <v>1633</v>
      </c>
      <c r="B472" s="3" t="s">
        <v>263</v>
      </c>
      <c r="C472" s="9">
        <v>72.8</v>
      </c>
      <c r="D472" s="3" t="s">
        <v>572</v>
      </c>
      <c r="E472" s="10">
        <v>45671.380671296298</v>
      </c>
      <c r="F472" s="10">
        <v>45671.393425925933</v>
      </c>
      <c r="G472" s="10">
        <v>45671.395462962973</v>
      </c>
      <c r="H472" s="3" t="s">
        <v>1629</v>
      </c>
      <c r="I472" s="10">
        <v>45671.400671296287</v>
      </c>
      <c r="J472" s="10">
        <v>45671.423090277778</v>
      </c>
      <c r="K472" s="10">
        <v>45671.423090277778</v>
      </c>
      <c r="L472" s="10">
        <v>45671.423761574071</v>
      </c>
      <c r="M472" s="11">
        <f t="shared" si="21"/>
        <v>1.4791666675591841E-2</v>
      </c>
      <c r="N472" s="11">
        <f t="shared" si="22"/>
        <v>2.8298611097852699E-2</v>
      </c>
      <c r="O472" s="10">
        <v>45671.399039351847</v>
      </c>
      <c r="P472" s="11">
        <f t="shared" si="23"/>
        <v>1.631944440305233E-3</v>
      </c>
      <c r="Q472" s="12" t="s">
        <v>1634</v>
      </c>
    </row>
    <row r="473" spans="1:17" ht="25.5" x14ac:dyDescent="0.25">
      <c r="A473" s="3" t="s">
        <v>1635</v>
      </c>
      <c r="B473" s="3" t="s">
        <v>264</v>
      </c>
      <c r="C473" s="9">
        <v>21</v>
      </c>
      <c r="D473" s="3" t="s">
        <v>572</v>
      </c>
      <c r="E473" s="10">
        <v>45671.411851851852</v>
      </c>
      <c r="F473" s="10">
        <v>45671.421585648153</v>
      </c>
      <c r="G473" s="10">
        <v>45671.423101851848</v>
      </c>
      <c r="H473" s="3" t="s">
        <v>1613</v>
      </c>
      <c r="I473" s="10">
        <v>45671.650347222218</v>
      </c>
      <c r="J473" s="10">
        <v>45671.667812500003</v>
      </c>
      <c r="K473" s="10">
        <v>45671.667812500003</v>
      </c>
      <c r="L473" s="10">
        <v>45671.668587962973</v>
      </c>
      <c r="M473" s="11">
        <f t="shared" si="21"/>
        <v>1.1249999995925464E-2</v>
      </c>
      <c r="N473" s="11">
        <f t="shared" si="22"/>
        <v>0.24548611112550134</v>
      </c>
      <c r="O473" s="10">
        <v>45671.43476851852</v>
      </c>
      <c r="P473" s="11">
        <f t="shared" si="23"/>
        <v>0.21557870369724697</v>
      </c>
      <c r="Q473" s="12" t="s">
        <v>1636</v>
      </c>
    </row>
    <row r="474" spans="1:17" ht="25.5" x14ac:dyDescent="0.25">
      <c r="A474" s="3" t="s">
        <v>1637</v>
      </c>
      <c r="B474" s="3" t="s">
        <v>264</v>
      </c>
      <c r="C474" s="9">
        <v>418.66</v>
      </c>
      <c r="D474" s="3" t="s">
        <v>500</v>
      </c>
      <c r="E474" s="10">
        <v>45671.411851851852</v>
      </c>
      <c r="F474" s="10">
        <v>45671.423101851848</v>
      </c>
      <c r="G474" s="10">
        <v>45671.425416666672</v>
      </c>
      <c r="H474" s="3" t="s">
        <v>1624</v>
      </c>
      <c r="I474" s="10">
        <v>45671.459039351852</v>
      </c>
      <c r="J474" s="10">
        <v>45671.572199074071</v>
      </c>
      <c r="K474" s="10">
        <v>45671.572199074071</v>
      </c>
      <c r="L474" s="10">
        <v>45671.574189814812</v>
      </c>
      <c r="M474" s="11">
        <f t="shared" si="21"/>
        <v>1.3564814820711035E-2</v>
      </c>
      <c r="N474" s="11">
        <f t="shared" si="22"/>
        <v>0.14877314813929843</v>
      </c>
      <c r="O474" s="10">
        <v>45671.435810185183</v>
      </c>
      <c r="P474" s="11">
        <f t="shared" si="23"/>
        <v>2.322916666889796E-2</v>
      </c>
      <c r="Q474" s="12" t="s">
        <v>1638</v>
      </c>
    </row>
    <row r="475" spans="1:17" x14ac:dyDescent="0.25">
      <c r="A475" s="3" t="s">
        <v>1639</v>
      </c>
      <c r="B475" s="3" t="s">
        <v>265</v>
      </c>
      <c r="C475" s="9">
        <v>297.8</v>
      </c>
      <c r="D475" s="3" t="s">
        <v>500</v>
      </c>
      <c r="E475" s="10">
        <v>45671.537685185183</v>
      </c>
      <c r="F475" s="10">
        <v>45671.543807870366</v>
      </c>
      <c r="G475" s="10">
        <v>45671.545844907407</v>
      </c>
      <c r="H475" s="3" t="s">
        <v>1640</v>
      </c>
      <c r="I475" s="10">
        <v>45671.549074074072</v>
      </c>
      <c r="J475" s="10">
        <v>45671.600775462961</v>
      </c>
      <c r="K475" s="10">
        <v>45671.600775462961</v>
      </c>
      <c r="L475" s="10">
        <v>45671.601944444446</v>
      </c>
      <c r="M475" s="11">
        <f t="shared" si="21"/>
        <v>8.1597222233540379E-3</v>
      </c>
      <c r="N475" s="11">
        <f t="shared" si="22"/>
        <v>5.6099537039699499E-2</v>
      </c>
      <c r="O475" s="10">
        <v>45671.54824074074</v>
      </c>
      <c r="P475" s="11">
        <f t="shared" si="23"/>
        <v>8.3333333168411627E-4</v>
      </c>
      <c r="Q475" s="12" t="s">
        <v>1641</v>
      </c>
    </row>
    <row r="476" spans="1:17" x14ac:dyDescent="0.25">
      <c r="A476" s="3" t="s">
        <v>1642</v>
      </c>
      <c r="B476" s="3" t="s">
        <v>266</v>
      </c>
      <c r="C476" s="9">
        <v>225.64</v>
      </c>
      <c r="D476" s="3" t="s">
        <v>500</v>
      </c>
      <c r="E476" s="10">
        <v>45671.601724537039</v>
      </c>
      <c r="F476" s="10">
        <v>45671.607152777768</v>
      </c>
      <c r="G476" s="10">
        <v>45671.609027777777</v>
      </c>
      <c r="H476" s="3" t="s">
        <v>1643</v>
      </c>
      <c r="I476" s="10">
        <v>45671.612256944441</v>
      </c>
      <c r="J476" s="10">
        <v>45671.651435185187</v>
      </c>
      <c r="K476" s="10">
        <v>45671.651435185187</v>
      </c>
      <c r="L476" s="10">
        <v>45671.652442129627</v>
      </c>
      <c r="M476" s="11">
        <f t="shared" si="21"/>
        <v>7.3032407381106168E-3</v>
      </c>
      <c r="N476" s="11">
        <f t="shared" si="22"/>
        <v>4.3414351850515231E-2</v>
      </c>
      <c r="O476" s="10">
        <v>45671.61142361111</v>
      </c>
      <c r="P476" s="11">
        <f t="shared" si="23"/>
        <v>8.3333333168411627E-4</v>
      </c>
      <c r="Q476" s="12" t="s">
        <v>1644</v>
      </c>
    </row>
    <row r="477" spans="1:17" ht="38.25" x14ac:dyDescent="0.25">
      <c r="A477" s="3" t="s">
        <v>1645</v>
      </c>
      <c r="B477" s="3" t="s">
        <v>267</v>
      </c>
      <c r="C477" s="9">
        <v>19.899999999999999</v>
      </c>
      <c r="D477" s="3" t="s">
        <v>492</v>
      </c>
      <c r="E477" s="10">
        <v>45671.622291666667</v>
      </c>
      <c r="F477" s="10">
        <v>45671.641898148147</v>
      </c>
      <c r="G477" s="10">
        <v>45671.643159722233</v>
      </c>
      <c r="H477" s="3" t="s">
        <v>1567</v>
      </c>
      <c r="I477" s="10">
        <v>45671.776724537027</v>
      </c>
      <c r="J477" s="10">
        <v>45671.794722222221</v>
      </c>
      <c r="K477" s="10">
        <v>45671.794722222221</v>
      </c>
      <c r="L477" s="10">
        <v>45671.79550925926</v>
      </c>
      <c r="M477" s="11">
        <f t="shared" si="21"/>
        <v>2.086805556609761E-2</v>
      </c>
      <c r="N477" s="11">
        <f t="shared" si="22"/>
        <v>0.15234953702747589</v>
      </c>
      <c r="O477" s="10">
        <v>45671.647083333337</v>
      </c>
      <c r="P477" s="11">
        <f t="shared" si="23"/>
        <v>0.12964120368997101</v>
      </c>
      <c r="Q477" s="12" t="s">
        <v>1646</v>
      </c>
    </row>
    <row r="478" spans="1:17" ht="25.5" x14ac:dyDescent="0.25">
      <c r="A478" s="3" t="s">
        <v>1647</v>
      </c>
      <c r="B478" s="3" t="s">
        <v>267</v>
      </c>
      <c r="C478" s="9">
        <v>59.7</v>
      </c>
      <c r="D478" s="3" t="s">
        <v>563</v>
      </c>
      <c r="E478" s="10">
        <v>45671.622291666667</v>
      </c>
      <c r="F478" s="10">
        <v>45671.643159722233</v>
      </c>
      <c r="G478" s="10">
        <v>45671.644733796304</v>
      </c>
      <c r="H478" s="3" t="s">
        <v>1613</v>
      </c>
      <c r="I478" s="10">
        <v>45671.650347222218</v>
      </c>
      <c r="J478" s="10">
        <v>45671.667812500003</v>
      </c>
      <c r="K478" s="10">
        <v>45671.667812500003</v>
      </c>
      <c r="L478" s="10">
        <v>45671.668587962973</v>
      </c>
      <c r="M478" s="11">
        <f t="shared" si="21"/>
        <v>2.2442129637056496E-2</v>
      </c>
      <c r="N478" s="11">
        <f t="shared" si="22"/>
        <v>2.3854166669480037E-2</v>
      </c>
      <c r="O478" s="10">
        <v>45671.648634259262</v>
      </c>
      <c r="P478" s="11">
        <f t="shared" si="23"/>
        <v>1.7129629559349269E-3</v>
      </c>
      <c r="Q478" s="12" t="s">
        <v>1648</v>
      </c>
    </row>
    <row r="479" spans="1:17" ht="25.5" x14ac:dyDescent="0.25">
      <c r="A479" s="3" t="s">
        <v>1649</v>
      </c>
      <c r="B479" s="3" t="s">
        <v>267</v>
      </c>
      <c r="C479" s="9">
        <v>47.22</v>
      </c>
      <c r="D479" s="3" t="s">
        <v>533</v>
      </c>
      <c r="E479" s="10">
        <v>45671.622291666667</v>
      </c>
      <c r="F479" s="10">
        <v>45671.644733796304</v>
      </c>
      <c r="G479" s="10">
        <v>45671.646527777782</v>
      </c>
      <c r="H479" s="3" t="s">
        <v>1428</v>
      </c>
      <c r="I479" s="10">
        <v>45671.653101851851</v>
      </c>
      <c r="J479" s="10">
        <v>45671.67769675926</v>
      </c>
      <c r="K479" s="10">
        <v>45671.67769675926</v>
      </c>
      <c r="L479" s="10">
        <v>45671.678564814807</v>
      </c>
      <c r="M479" s="11">
        <f t="shared" si="21"/>
        <v>2.4236111115897074E-2</v>
      </c>
      <c r="N479" s="11">
        <f t="shared" si="22"/>
        <v>3.2037037024565507E-2</v>
      </c>
      <c r="O479" s="10">
        <v>45671.650451388887</v>
      </c>
      <c r="P479" s="11">
        <f t="shared" si="23"/>
        <v>2.6504629640839994E-3</v>
      </c>
      <c r="Q479" s="12" t="s">
        <v>1650</v>
      </c>
    </row>
    <row r="480" spans="1:17" ht="25.5" x14ac:dyDescent="0.25">
      <c r="A480" s="3" t="s">
        <v>1651</v>
      </c>
      <c r="B480" s="3" t="s">
        <v>267</v>
      </c>
      <c r="C480" s="9">
        <v>96</v>
      </c>
      <c r="D480" s="3" t="s">
        <v>519</v>
      </c>
      <c r="E480" s="10">
        <v>45671.622291666667</v>
      </c>
      <c r="F480" s="10">
        <v>45671.646527777782</v>
      </c>
      <c r="G480" s="10">
        <v>45671.647847222222</v>
      </c>
      <c r="H480" s="3" t="s">
        <v>1601</v>
      </c>
      <c r="I480" s="10">
        <v>45671.669502314813</v>
      </c>
      <c r="J480" s="10">
        <v>45671.692488425928</v>
      </c>
      <c r="K480" s="10">
        <v>45671.692488425928</v>
      </c>
      <c r="L480" s="10">
        <v>45671.69326388889</v>
      </c>
      <c r="M480" s="11">
        <f t="shared" si="21"/>
        <v>2.5555555555911269E-2</v>
      </c>
      <c r="N480" s="11">
        <f t="shared" si="22"/>
        <v>4.5416666667733807E-2</v>
      </c>
      <c r="O480" s="10">
        <v>45671.651412037027</v>
      </c>
      <c r="P480" s="11">
        <f t="shared" si="23"/>
        <v>1.8090277786541265E-2</v>
      </c>
      <c r="Q480" s="12" t="s">
        <v>1652</v>
      </c>
    </row>
    <row r="481" spans="1:17" ht="38.25" x14ac:dyDescent="0.25">
      <c r="A481" s="3" t="s">
        <v>1653</v>
      </c>
      <c r="B481" s="3" t="s">
        <v>267</v>
      </c>
      <c r="C481" s="9">
        <v>15.74</v>
      </c>
      <c r="D481" s="3" t="s">
        <v>496</v>
      </c>
      <c r="E481" s="10">
        <v>45671.622291666667</v>
      </c>
      <c r="F481" s="10">
        <v>45671.647847222222</v>
      </c>
      <c r="G481" s="10">
        <v>45671.649733796286</v>
      </c>
      <c r="H481" s="3" t="s">
        <v>1654</v>
      </c>
      <c r="I481" s="10">
        <v>45671.679375</v>
      </c>
      <c r="J481" s="10">
        <v>45671.703587962962</v>
      </c>
      <c r="K481" s="10">
        <v>45671.703587962962</v>
      </c>
      <c r="L481" s="10">
        <v>45671.704305555562</v>
      </c>
      <c r="M481" s="11">
        <f t="shared" si="21"/>
        <v>2.7442129619885236E-2</v>
      </c>
      <c r="N481" s="11">
        <f t="shared" si="22"/>
        <v>5.4571759275859222E-2</v>
      </c>
      <c r="O481" s="10">
        <v>45671.653715277767</v>
      </c>
      <c r="P481" s="11">
        <f t="shared" si="23"/>
        <v>2.5659722232376225E-2</v>
      </c>
      <c r="Q481" s="12" t="s">
        <v>1655</v>
      </c>
    </row>
    <row r="482" spans="1:17" x14ac:dyDescent="0.25">
      <c r="A482" s="3" t="s">
        <v>1656</v>
      </c>
      <c r="B482" s="3" t="s">
        <v>267</v>
      </c>
      <c r="C482" s="9">
        <v>163.41999999999999</v>
      </c>
      <c r="D482" s="3" t="s">
        <v>506</v>
      </c>
      <c r="E482" s="10">
        <v>45671.622291666667</v>
      </c>
      <c r="F482" s="10">
        <v>45671.649733796286</v>
      </c>
      <c r="G482" s="10">
        <v>45671.651319444441</v>
      </c>
      <c r="H482" s="3" t="s">
        <v>1657</v>
      </c>
      <c r="I482" s="10">
        <v>45671.6715625</v>
      </c>
      <c r="J482" s="10">
        <v>45671.699930555558</v>
      </c>
      <c r="K482" s="10">
        <v>45671.699930555558</v>
      </c>
      <c r="L482" s="10">
        <v>45671.700740740736</v>
      </c>
      <c r="M482" s="11">
        <f t="shared" si="21"/>
        <v>2.9027777774899732E-2</v>
      </c>
      <c r="N482" s="11">
        <f t="shared" si="22"/>
        <v>4.9421296294895001E-2</v>
      </c>
      <c r="O482" s="10">
        <v>45671.654386574082</v>
      </c>
      <c r="P482" s="11">
        <f t="shared" si="23"/>
        <v>1.7175925917399582E-2</v>
      </c>
      <c r="Q482" s="12" t="s">
        <v>1658</v>
      </c>
    </row>
    <row r="483" spans="1:17" ht="38.25" x14ac:dyDescent="0.25">
      <c r="A483" s="3" t="s">
        <v>1659</v>
      </c>
      <c r="B483" s="3" t="s">
        <v>267</v>
      </c>
      <c r="C483" s="9">
        <v>27</v>
      </c>
      <c r="D483" s="3" t="s">
        <v>527</v>
      </c>
      <c r="E483" s="10">
        <v>45671.622291666667</v>
      </c>
      <c r="F483" s="10">
        <v>45671.651319444441</v>
      </c>
      <c r="G483" s="10">
        <v>45671.653229166674</v>
      </c>
      <c r="H483" s="3" t="s">
        <v>1654</v>
      </c>
      <c r="I483" s="10">
        <v>45671.679375</v>
      </c>
      <c r="J483" s="10">
        <v>45671.703587962962</v>
      </c>
      <c r="K483" s="10">
        <v>45671.703587962962</v>
      </c>
      <c r="L483" s="10">
        <v>45671.704305555562</v>
      </c>
      <c r="M483" s="11">
        <f t="shared" si="21"/>
        <v>3.0937500006984919E-2</v>
      </c>
      <c r="N483" s="11">
        <f t="shared" si="22"/>
        <v>5.1076388888759539E-2</v>
      </c>
      <c r="O483" s="10">
        <v>45671.658506944441</v>
      </c>
      <c r="P483" s="11">
        <f t="shared" si="23"/>
        <v>2.0868055558821652E-2</v>
      </c>
      <c r="Q483" s="12" t="s">
        <v>1660</v>
      </c>
    </row>
    <row r="484" spans="1:17" ht="25.5" x14ac:dyDescent="0.25">
      <c r="A484" s="3" t="s">
        <v>1661</v>
      </c>
      <c r="B484" s="3" t="s">
        <v>267</v>
      </c>
      <c r="C484" s="9">
        <v>19.899999999999999</v>
      </c>
      <c r="D484" s="3" t="s">
        <v>492</v>
      </c>
      <c r="E484" s="10">
        <v>45671.622291666667</v>
      </c>
      <c r="F484" s="10">
        <v>45671.653229166674</v>
      </c>
      <c r="G484" s="10">
        <v>45671.654490740737</v>
      </c>
      <c r="H484" s="3" t="s">
        <v>1567</v>
      </c>
      <c r="I484" s="10">
        <v>45671.776724537027</v>
      </c>
      <c r="J484" s="10">
        <v>45671.794722222221</v>
      </c>
      <c r="K484" s="10">
        <v>45671.794722222221</v>
      </c>
      <c r="L484" s="10">
        <v>45671.79550925926</v>
      </c>
      <c r="M484" s="11">
        <f t="shared" si="21"/>
        <v>3.219907407037681E-2</v>
      </c>
      <c r="N484" s="11">
        <f t="shared" si="22"/>
        <v>0.14101851852319669</v>
      </c>
      <c r="O484" s="10">
        <v>45671.658738425933</v>
      </c>
      <c r="P484" s="11">
        <f t="shared" si="23"/>
        <v>0.1179861110940692</v>
      </c>
      <c r="Q484" s="12" t="s">
        <v>1662</v>
      </c>
    </row>
    <row r="485" spans="1:17" ht="25.5" x14ac:dyDescent="0.25">
      <c r="A485" s="3" t="s">
        <v>1663</v>
      </c>
      <c r="B485" s="3" t="s">
        <v>267</v>
      </c>
      <c r="C485" s="9">
        <v>15.74</v>
      </c>
      <c r="D485" s="3" t="s">
        <v>496</v>
      </c>
      <c r="E485" s="10">
        <v>45671.622291666667</v>
      </c>
      <c r="F485" s="10">
        <v>45671.654490740737</v>
      </c>
      <c r="G485" s="10">
        <v>45671.656377314823</v>
      </c>
      <c r="H485" s="3" t="s">
        <v>1654</v>
      </c>
      <c r="I485" s="10">
        <v>45671.679375</v>
      </c>
      <c r="J485" s="10">
        <v>45671.703587962962</v>
      </c>
      <c r="K485" s="10">
        <v>45671.703587962962</v>
      </c>
      <c r="L485" s="10">
        <v>45671.704305555562</v>
      </c>
      <c r="M485" s="11">
        <f t="shared" si="21"/>
        <v>3.408564815617865E-2</v>
      </c>
      <c r="N485" s="11">
        <f t="shared" si="22"/>
        <v>4.7928240739565808E-2</v>
      </c>
      <c r="O485" s="10">
        <v>45671.663298611107</v>
      </c>
      <c r="P485" s="11">
        <f t="shared" si="23"/>
        <v>1.6076388892543036E-2</v>
      </c>
      <c r="Q485" s="12" t="s">
        <v>1664</v>
      </c>
    </row>
    <row r="486" spans="1:17" ht="25.5" x14ac:dyDescent="0.25">
      <c r="A486" s="3" t="s">
        <v>1665</v>
      </c>
      <c r="B486" s="3" t="s">
        <v>267</v>
      </c>
      <c r="C486" s="9">
        <v>81</v>
      </c>
      <c r="D486" s="3" t="s">
        <v>527</v>
      </c>
      <c r="E486" s="10">
        <v>45671.622291666667</v>
      </c>
      <c r="F486" s="10">
        <v>45671.656377314823</v>
      </c>
      <c r="G486" s="10">
        <v>45671.658414351848</v>
      </c>
      <c r="H486" s="3" t="s">
        <v>1654</v>
      </c>
      <c r="I486" s="10">
        <v>45671.679375</v>
      </c>
      <c r="J486" s="10">
        <v>45671.703587962962</v>
      </c>
      <c r="K486" s="10">
        <v>45671.703587962962</v>
      </c>
      <c r="L486" s="10">
        <v>45671.704305555562</v>
      </c>
      <c r="M486" s="11">
        <f t="shared" si="21"/>
        <v>3.6122685181908309E-2</v>
      </c>
      <c r="N486" s="11">
        <f t="shared" si="22"/>
        <v>4.5891203713836148E-2</v>
      </c>
      <c r="O486" s="10">
        <v>45671.663807870369</v>
      </c>
      <c r="P486" s="11">
        <f t="shared" si="23"/>
        <v>1.5567129630653653E-2</v>
      </c>
      <c r="Q486" s="12" t="s">
        <v>1666</v>
      </c>
    </row>
    <row r="487" spans="1:17" ht="25.5" x14ac:dyDescent="0.25">
      <c r="A487" s="3" t="s">
        <v>1667</v>
      </c>
      <c r="B487" s="3" t="s">
        <v>267</v>
      </c>
      <c r="C487" s="9">
        <v>38.979999999999997</v>
      </c>
      <c r="D487" s="3" t="s">
        <v>515</v>
      </c>
      <c r="E487" s="10">
        <v>45671.622291666667</v>
      </c>
      <c r="F487" s="10">
        <v>45671.658414351848</v>
      </c>
      <c r="G487" s="10">
        <v>45671.660462962973</v>
      </c>
      <c r="H487" s="3" t="s">
        <v>1668</v>
      </c>
      <c r="I487" s="10">
        <v>45672.339236111111</v>
      </c>
      <c r="J487" s="10">
        <v>45672.364421296297</v>
      </c>
      <c r="K487" s="10">
        <v>45672.364421296297</v>
      </c>
      <c r="L487" s="10">
        <v>45672.365254629629</v>
      </c>
      <c r="M487" s="11">
        <f t="shared" si="21"/>
        <v>3.8171296306245495E-2</v>
      </c>
      <c r="N487" s="11">
        <f t="shared" si="22"/>
        <v>0.70479166665609227</v>
      </c>
      <c r="O487" s="10">
        <v>45671.666562500002</v>
      </c>
      <c r="P487" s="11">
        <f t="shared" si="23"/>
        <v>0.67267361110862112</v>
      </c>
      <c r="Q487" s="12" t="s">
        <v>1669</v>
      </c>
    </row>
    <row r="488" spans="1:17" x14ac:dyDescent="0.25">
      <c r="A488" s="3" t="s">
        <v>1670</v>
      </c>
      <c r="B488" s="3" t="s">
        <v>268</v>
      </c>
      <c r="C488" s="9">
        <v>173.14</v>
      </c>
      <c r="D488" s="3" t="s">
        <v>500</v>
      </c>
      <c r="E488" s="10">
        <v>45671.646006944437</v>
      </c>
      <c r="F488" s="10">
        <v>45671.66133101852</v>
      </c>
      <c r="G488" s="10">
        <v>45671.663425925923</v>
      </c>
      <c r="H488" s="3" t="s">
        <v>1671</v>
      </c>
      <c r="I488" s="10">
        <v>45671.694189814807</v>
      </c>
      <c r="J488" s="10">
        <v>45671.724247685182</v>
      </c>
      <c r="K488" s="10">
        <v>45671.724247685182</v>
      </c>
      <c r="L488" s="10">
        <v>45671.725243055553</v>
      </c>
      <c r="M488" s="11">
        <f t="shared" si="21"/>
        <v>1.7418981486116536E-2</v>
      </c>
      <c r="N488" s="11">
        <f t="shared" si="22"/>
        <v>6.1817129630071577E-2</v>
      </c>
      <c r="O488" s="10">
        <v>45671.66678240741</v>
      </c>
      <c r="P488" s="11">
        <f t="shared" si="23"/>
        <v>2.7407407396822236E-2</v>
      </c>
      <c r="Q488" s="12" t="s">
        <v>1672</v>
      </c>
    </row>
    <row r="489" spans="1:17" ht="25.5" x14ac:dyDescent="0.25">
      <c r="A489" s="3" t="s">
        <v>1673</v>
      </c>
      <c r="B489" s="3" t="s">
        <v>269</v>
      </c>
      <c r="C489" s="9">
        <v>40.9</v>
      </c>
      <c r="D489" s="3" t="s">
        <v>500</v>
      </c>
      <c r="E489" s="10">
        <v>45671.65347222222</v>
      </c>
      <c r="F489" s="10">
        <v>45671.664293981477</v>
      </c>
      <c r="G489" s="10">
        <v>45671.666319444441</v>
      </c>
      <c r="H489" s="3" t="s">
        <v>1674</v>
      </c>
      <c r="I489" s="10">
        <v>45671.756956018522</v>
      </c>
      <c r="J489" s="10">
        <v>45671.774988425917</v>
      </c>
      <c r="K489" s="10">
        <v>45671.774988425917</v>
      </c>
      <c r="L489" s="10">
        <v>45671.775821759264</v>
      </c>
      <c r="M489" s="11">
        <f t="shared" si="21"/>
        <v>1.2847222220443655E-2</v>
      </c>
      <c r="N489" s="11">
        <f t="shared" si="22"/>
        <v>0.1095023148227483</v>
      </c>
      <c r="O489" s="10">
        <v>45671.66982638889</v>
      </c>
      <c r="P489" s="11">
        <f t="shared" si="23"/>
        <v>8.7129629631817807E-2</v>
      </c>
      <c r="Q489" s="12" t="s">
        <v>1675</v>
      </c>
    </row>
    <row r="490" spans="1:17" ht="25.5" x14ac:dyDescent="0.25">
      <c r="A490" s="3" t="s">
        <v>1676</v>
      </c>
      <c r="B490" s="3" t="s">
        <v>270</v>
      </c>
      <c r="C490" s="9">
        <v>31.48</v>
      </c>
      <c r="D490" s="3" t="s">
        <v>654</v>
      </c>
      <c r="E490" s="10">
        <v>45671.732743055552</v>
      </c>
      <c r="F490" s="10">
        <v>45671.753055555557</v>
      </c>
      <c r="G490" s="10">
        <v>45671.755046296297</v>
      </c>
      <c r="H490" s="3" t="s">
        <v>1463</v>
      </c>
      <c r="I490" s="10">
        <v>45671.77648148148</v>
      </c>
      <c r="J490" s="10">
        <v>45671.798344907409</v>
      </c>
      <c r="K490" s="10">
        <v>45671.798344907409</v>
      </c>
      <c r="L490" s="10">
        <v>45671.799166666657</v>
      </c>
      <c r="M490" s="11">
        <f t="shared" si="21"/>
        <v>2.2303240744804498E-2</v>
      </c>
      <c r="N490" s="11">
        <f t="shared" si="22"/>
        <v>4.4120370359451044E-2</v>
      </c>
      <c r="O490" s="10">
        <v>45671.758935185193</v>
      </c>
      <c r="P490" s="11">
        <f t="shared" si="23"/>
        <v>1.7546296287036967E-2</v>
      </c>
      <c r="Q490" s="12" t="s">
        <v>1677</v>
      </c>
    </row>
    <row r="491" spans="1:17" x14ac:dyDescent="0.25">
      <c r="A491" s="3" t="s">
        <v>1678</v>
      </c>
      <c r="B491" s="3" t="s">
        <v>270</v>
      </c>
      <c r="C491" s="9">
        <v>108</v>
      </c>
      <c r="D491" s="3" t="s">
        <v>527</v>
      </c>
      <c r="E491" s="10">
        <v>45671.732743055552</v>
      </c>
      <c r="F491" s="10">
        <v>45671.755046296297</v>
      </c>
      <c r="G491" s="10">
        <v>45671.756412037037</v>
      </c>
      <c r="H491" s="3" t="s">
        <v>1679</v>
      </c>
      <c r="I491" s="10">
        <v>45671.76021990741</v>
      </c>
      <c r="J491" s="10">
        <v>45671.778969907413</v>
      </c>
      <c r="K491" s="10">
        <v>45671.778969907413</v>
      </c>
      <c r="L491" s="10">
        <v>45671.779687499999</v>
      </c>
      <c r="M491" s="11">
        <f t="shared" si="21"/>
        <v>2.3668981484661344E-2</v>
      </c>
      <c r="N491" s="11">
        <f t="shared" si="22"/>
        <v>2.3275462961464655E-2</v>
      </c>
      <c r="O491" s="10">
        <v>45671.758576388893</v>
      </c>
      <c r="P491" s="11">
        <f t="shared" si="23"/>
        <v>1.6435185170848854E-3</v>
      </c>
      <c r="Q491" s="12" t="s">
        <v>1680</v>
      </c>
    </row>
    <row r="492" spans="1:17" ht="25.5" x14ac:dyDescent="0.25">
      <c r="A492" s="3" t="s">
        <v>1681</v>
      </c>
      <c r="B492" s="3" t="s">
        <v>270</v>
      </c>
      <c r="C492" s="9">
        <v>12.04</v>
      </c>
      <c r="D492" s="3" t="s">
        <v>492</v>
      </c>
      <c r="E492" s="10">
        <v>45671.732743055552</v>
      </c>
      <c r="F492" s="10">
        <v>45671.756412037037</v>
      </c>
      <c r="G492" s="10">
        <v>45671.757685185177</v>
      </c>
      <c r="H492" s="3" t="s">
        <v>1567</v>
      </c>
      <c r="I492" s="10">
        <v>45671.776724537027</v>
      </c>
      <c r="J492" s="10">
        <v>45671.794722222221</v>
      </c>
      <c r="K492" s="10">
        <v>45671.794722222221</v>
      </c>
      <c r="L492" s="10">
        <v>45671.79550925926</v>
      </c>
      <c r="M492" s="11">
        <f t="shared" si="21"/>
        <v>2.4942129624832887E-2</v>
      </c>
      <c r="N492" s="11">
        <f t="shared" si="22"/>
        <v>3.7824074082891457E-2</v>
      </c>
      <c r="O492" s="10">
        <v>45671.761597222219</v>
      </c>
      <c r="P492" s="11">
        <f t="shared" si="23"/>
        <v>1.5127314807614312E-2</v>
      </c>
      <c r="Q492" s="12" t="s">
        <v>1682</v>
      </c>
    </row>
    <row r="493" spans="1:17" ht="25.5" x14ac:dyDescent="0.25">
      <c r="A493" s="3" t="s">
        <v>1683</v>
      </c>
      <c r="B493" s="3" t="s">
        <v>270</v>
      </c>
      <c r="C493" s="9">
        <v>38.979999999999997</v>
      </c>
      <c r="D493" s="3" t="s">
        <v>515</v>
      </c>
      <c r="E493" s="10">
        <v>45671.732743055552</v>
      </c>
      <c r="F493" s="10">
        <v>45671.757685185177</v>
      </c>
      <c r="G493" s="10">
        <v>45671.759768518517</v>
      </c>
      <c r="H493" s="3" t="s">
        <v>1668</v>
      </c>
      <c r="I493" s="10">
        <v>45672.339236111111</v>
      </c>
      <c r="J493" s="10">
        <v>45672.364421296297</v>
      </c>
      <c r="K493" s="10">
        <v>45672.364421296297</v>
      </c>
      <c r="L493" s="10">
        <v>45672.365254629629</v>
      </c>
      <c r="M493" s="11">
        <f t="shared" si="21"/>
        <v>2.7025462964957114E-2</v>
      </c>
      <c r="N493" s="11">
        <f t="shared" si="22"/>
        <v>0.6054861111115315</v>
      </c>
      <c r="O493" s="10">
        <v>45671.763668981483</v>
      </c>
      <c r="P493" s="11">
        <f t="shared" si="23"/>
        <v>0.57556712962832535</v>
      </c>
      <c r="Q493" s="12" t="s">
        <v>1684</v>
      </c>
    </row>
    <row r="494" spans="1:17" ht="38.25" x14ac:dyDescent="0.25">
      <c r="A494" s="3" t="s">
        <v>1685</v>
      </c>
      <c r="B494" s="3" t="s">
        <v>270</v>
      </c>
      <c r="C494" s="9">
        <v>19.899999999999999</v>
      </c>
      <c r="D494" s="3" t="s">
        <v>539</v>
      </c>
      <c r="E494" s="10">
        <v>45671.732743055552</v>
      </c>
      <c r="F494" s="10">
        <v>45671.759768518517</v>
      </c>
      <c r="G494" s="10">
        <v>45671.761053240742</v>
      </c>
      <c r="H494" s="3" t="s">
        <v>1686</v>
      </c>
      <c r="I494" s="10">
        <v>45673.543124999997</v>
      </c>
      <c r="J494" s="10">
        <v>45673.598275462973</v>
      </c>
      <c r="K494" s="10">
        <v>45673.598275462973</v>
      </c>
      <c r="L494" s="10">
        <v>45673.599432870367</v>
      </c>
      <c r="M494" s="11">
        <f t="shared" si="21"/>
        <v>2.8310185189184267E-2</v>
      </c>
      <c r="N494" s="11">
        <f t="shared" si="22"/>
        <v>1.838379629625706</v>
      </c>
      <c r="O494" s="10">
        <v>45671.764814814807</v>
      </c>
      <c r="P494" s="11">
        <f t="shared" si="23"/>
        <v>1.7783101851891843</v>
      </c>
      <c r="Q494" s="12" t="s">
        <v>1687</v>
      </c>
    </row>
    <row r="495" spans="1:17" ht="25.5" x14ac:dyDescent="0.25">
      <c r="A495" s="3" t="s">
        <v>1688</v>
      </c>
      <c r="B495" s="3" t="s">
        <v>270</v>
      </c>
      <c r="C495" s="9">
        <v>15.74</v>
      </c>
      <c r="D495" s="3" t="s">
        <v>533</v>
      </c>
      <c r="E495" s="10">
        <v>45671.732743055552</v>
      </c>
      <c r="F495" s="10">
        <v>45671.761053240742</v>
      </c>
      <c r="G495" s="10">
        <v>45671.762974537043</v>
      </c>
      <c r="H495" s="3" t="s">
        <v>1689</v>
      </c>
      <c r="I495" s="10">
        <v>45672.321886574071</v>
      </c>
      <c r="J495" s="10">
        <v>45672.34101851852</v>
      </c>
      <c r="K495" s="10">
        <v>45672.34101851852</v>
      </c>
      <c r="L495" s="10">
        <v>45672.341666666667</v>
      </c>
      <c r="M495" s="11">
        <f t="shared" si="21"/>
        <v>3.0231481490773149E-2</v>
      </c>
      <c r="N495" s="11">
        <f t="shared" si="22"/>
        <v>0.57869212962395977</v>
      </c>
      <c r="O495" s="10">
        <v>45671.766863425917</v>
      </c>
      <c r="P495" s="11">
        <f t="shared" si="23"/>
        <v>0.55502314815385034</v>
      </c>
      <c r="Q495" s="12" t="s">
        <v>1690</v>
      </c>
    </row>
    <row r="496" spans="1:17" ht="25.5" x14ac:dyDescent="0.25">
      <c r="A496" s="3" t="s">
        <v>1691</v>
      </c>
      <c r="B496" s="3" t="s">
        <v>270</v>
      </c>
      <c r="C496" s="9">
        <v>54.72</v>
      </c>
      <c r="D496" s="3" t="s">
        <v>506</v>
      </c>
      <c r="E496" s="10">
        <v>45671.732743055552</v>
      </c>
      <c r="F496" s="10">
        <v>45671.762974537043</v>
      </c>
      <c r="G496" s="10">
        <v>45671.764780092592</v>
      </c>
      <c r="H496" s="3" t="s">
        <v>1692</v>
      </c>
      <c r="I496" s="10">
        <v>45671.796458333331</v>
      </c>
      <c r="J496" s="10">
        <v>45671.819490740738</v>
      </c>
      <c r="K496" s="10">
        <v>45671.819490740738</v>
      </c>
      <c r="L496" s="10">
        <v>45671.820393518523</v>
      </c>
      <c r="M496" s="11">
        <f t="shared" si="21"/>
        <v>3.2037037039117422E-2</v>
      </c>
      <c r="N496" s="11">
        <f t="shared" si="22"/>
        <v>5.561342593136942E-2</v>
      </c>
      <c r="O496" s="10">
        <v>45671.76803240741</v>
      </c>
      <c r="P496" s="11">
        <f t="shared" si="23"/>
        <v>2.8425925920601003E-2</v>
      </c>
      <c r="Q496" s="12" t="s">
        <v>1693</v>
      </c>
    </row>
    <row r="497" spans="1:17" x14ac:dyDescent="0.25">
      <c r="A497" s="3" t="s">
        <v>1694</v>
      </c>
      <c r="B497" s="3" t="s">
        <v>270</v>
      </c>
      <c r="C497" s="9">
        <v>111.4</v>
      </c>
      <c r="D497" s="3" t="s">
        <v>519</v>
      </c>
      <c r="E497" s="10">
        <v>45671.732743055552</v>
      </c>
      <c r="F497" s="10">
        <v>45671.764780092592</v>
      </c>
      <c r="G497" s="10">
        <v>45671.766759259262</v>
      </c>
      <c r="H497" s="3" t="s">
        <v>1695</v>
      </c>
      <c r="I497" s="10">
        <v>45671.780706018522</v>
      </c>
      <c r="J497" s="10">
        <v>45671.800046296303</v>
      </c>
      <c r="K497" s="10">
        <v>45671.800046296303</v>
      </c>
      <c r="L497" s="10">
        <v>45671.800844907397</v>
      </c>
      <c r="M497" s="11">
        <f t="shared" si="21"/>
        <v>3.401620371005265E-2</v>
      </c>
      <c r="N497" s="11">
        <f t="shared" si="22"/>
        <v>3.4085648134350777E-2</v>
      </c>
      <c r="O497" s="10">
        <v>45671.770069444443</v>
      </c>
      <c r="P497" s="11">
        <f t="shared" si="23"/>
        <v>1.0636574079398997E-2</v>
      </c>
      <c r="Q497" s="12" t="s">
        <v>1696</v>
      </c>
    </row>
    <row r="498" spans="1:17" ht="25.5" x14ac:dyDescent="0.25">
      <c r="A498" s="3" t="s">
        <v>1697</v>
      </c>
      <c r="B498" s="3" t="s">
        <v>270</v>
      </c>
      <c r="C498" s="9">
        <v>19.899999999999999</v>
      </c>
      <c r="D498" s="3" t="s">
        <v>563</v>
      </c>
      <c r="E498" s="10">
        <v>45671.732743055552</v>
      </c>
      <c r="F498" s="10">
        <v>45671.766759259262</v>
      </c>
      <c r="G498" s="10">
        <v>45671.768263888887</v>
      </c>
      <c r="H498" s="3" t="s">
        <v>1698</v>
      </c>
      <c r="I498" s="10">
        <v>45672.430868055562</v>
      </c>
      <c r="J498" s="10">
        <v>45672.450798611113</v>
      </c>
      <c r="K498" s="10">
        <v>45672.450798611113</v>
      </c>
      <c r="L498" s="10">
        <v>45672.451597222222</v>
      </c>
      <c r="M498" s="11">
        <f t="shared" si="21"/>
        <v>3.5520833334885538E-2</v>
      </c>
      <c r="N498" s="11">
        <f t="shared" si="22"/>
        <v>0.68333333333430346</v>
      </c>
      <c r="O498" s="10">
        <v>45671.771261574067</v>
      </c>
      <c r="P498" s="11">
        <f t="shared" si="23"/>
        <v>0.65960648149484769</v>
      </c>
      <c r="Q498" s="12" t="s">
        <v>1699</v>
      </c>
    </row>
    <row r="499" spans="1:17" ht="25.5" x14ac:dyDescent="0.25">
      <c r="A499" s="3" t="s">
        <v>1700</v>
      </c>
      <c r="B499" s="3" t="s">
        <v>270</v>
      </c>
      <c r="C499" s="9">
        <v>77.959999999999994</v>
      </c>
      <c r="D499" s="3" t="s">
        <v>506</v>
      </c>
      <c r="E499" s="10">
        <v>45671.732743055552</v>
      </c>
      <c r="F499" s="10">
        <v>45671.768263888887</v>
      </c>
      <c r="G499" s="10">
        <v>45671.770138888889</v>
      </c>
      <c r="H499" s="3" t="s">
        <v>1692</v>
      </c>
      <c r="I499" s="10">
        <v>45671.796458333331</v>
      </c>
      <c r="J499" s="10">
        <v>45671.819490740738</v>
      </c>
      <c r="K499" s="10">
        <v>45671.819490740738</v>
      </c>
      <c r="L499" s="10">
        <v>45671.820393518523</v>
      </c>
      <c r="M499" s="11">
        <f t="shared" si="21"/>
        <v>3.7395833336631767E-2</v>
      </c>
      <c r="N499" s="11">
        <f t="shared" si="22"/>
        <v>5.0254629633855075E-2</v>
      </c>
      <c r="O499" s="10">
        <v>45671.774791666663</v>
      </c>
      <c r="P499" s="11">
        <f t="shared" si="23"/>
        <v>2.1666666667442769E-2</v>
      </c>
      <c r="Q499" s="12" t="s">
        <v>1701</v>
      </c>
    </row>
    <row r="500" spans="1:17" ht="25.5" x14ac:dyDescent="0.25">
      <c r="A500" s="3" t="s">
        <v>1702</v>
      </c>
      <c r="B500" s="3" t="s">
        <v>271</v>
      </c>
      <c r="C500" s="9">
        <v>62.96</v>
      </c>
      <c r="D500" s="3" t="s">
        <v>500</v>
      </c>
      <c r="E500" s="10">
        <v>45671.74596064815</v>
      </c>
      <c r="F500" s="10">
        <v>45671.750104166669</v>
      </c>
      <c r="G500" s="10">
        <v>45671.752187500002</v>
      </c>
      <c r="H500" s="3" t="s">
        <v>1674</v>
      </c>
      <c r="I500" s="10">
        <v>45671.756956018522</v>
      </c>
      <c r="J500" s="10">
        <v>45671.774988425917</v>
      </c>
      <c r="K500" s="10">
        <v>45671.774988425917</v>
      </c>
      <c r="L500" s="10">
        <v>45671.775821759264</v>
      </c>
      <c r="M500" s="11">
        <f t="shared" si="21"/>
        <v>6.2268518522614613E-3</v>
      </c>
      <c r="N500" s="11">
        <f t="shared" si="22"/>
        <v>2.3634259261598345E-2</v>
      </c>
      <c r="O500" s="10">
        <v>45671.75608796296</v>
      </c>
      <c r="P500" s="11">
        <f t="shared" si="23"/>
        <v>8.6805556202307343E-4</v>
      </c>
      <c r="Q500" s="12" t="s">
        <v>1703</v>
      </c>
    </row>
    <row r="501" spans="1:17" ht="25.5" x14ac:dyDescent="0.25">
      <c r="A501" s="3" t="s">
        <v>1704</v>
      </c>
      <c r="B501" s="3" t="s">
        <v>272</v>
      </c>
      <c r="C501" s="9">
        <v>15.74</v>
      </c>
      <c r="D501" s="3" t="s">
        <v>500</v>
      </c>
      <c r="E501" s="10">
        <v>45671.826018518521</v>
      </c>
      <c r="F501" s="10">
        <v>45671.829814814817</v>
      </c>
      <c r="G501" s="10">
        <v>45671.831331018519</v>
      </c>
      <c r="H501" s="3" t="s">
        <v>1705</v>
      </c>
      <c r="I501" s="10">
        <v>45672.28466435185</v>
      </c>
      <c r="J501" s="10">
        <v>45672.339131944442</v>
      </c>
      <c r="K501" s="10">
        <v>45672.339131944442</v>
      </c>
      <c r="L501" s="10">
        <v>45672.340324074074</v>
      </c>
      <c r="M501" s="11">
        <f t="shared" si="21"/>
        <v>5.3124999976716936E-3</v>
      </c>
      <c r="N501" s="11">
        <f t="shared" si="22"/>
        <v>0.50899305555503815</v>
      </c>
      <c r="O501" s="10">
        <v>45671.833483796298</v>
      </c>
      <c r="P501" s="11">
        <f t="shared" si="23"/>
        <v>0.45118055555212777</v>
      </c>
      <c r="Q501" s="12" t="s">
        <v>1706</v>
      </c>
    </row>
    <row r="502" spans="1:17" ht="25.5" x14ac:dyDescent="0.25">
      <c r="A502" s="3" t="s">
        <v>1707</v>
      </c>
      <c r="B502" s="3" t="s">
        <v>273</v>
      </c>
      <c r="C502" s="9">
        <v>166.9</v>
      </c>
      <c r="D502" s="3" t="s">
        <v>488</v>
      </c>
      <c r="E502" s="10">
        <v>45672.102152777778</v>
      </c>
      <c r="F502" s="10">
        <v>45672.111076388886</v>
      </c>
      <c r="G502" s="10">
        <v>45672.11314814815</v>
      </c>
      <c r="H502" s="3" t="s">
        <v>1608</v>
      </c>
      <c r="I502" s="10">
        <v>45672.11791666667</v>
      </c>
      <c r="J502" s="10">
        <v>45672.154178240737</v>
      </c>
      <c r="K502" s="10">
        <v>45672.154178240737</v>
      </c>
      <c r="L502" s="10">
        <v>45672.155173611107</v>
      </c>
      <c r="M502" s="11">
        <f t="shared" si="21"/>
        <v>1.099537037225673E-2</v>
      </c>
      <c r="N502" s="11">
        <f t="shared" si="22"/>
        <v>4.202546295709908E-2</v>
      </c>
      <c r="O502" s="10">
        <v>45672.117048611108</v>
      </c>
      <c r="P502" s="11">
        <f t="shared" si="23"/>
        <v>8.6805556202307343E-4</v>
      </c>
      <c r="Q502" s="12" t="s">
        <v>1708</v>
      </c>
    </row>
    <row r="503" spans="1:17" ht="25.5" x14ac:dyDescent="0.25">
      <c r="A503" s="3" t="s">
        <v>1709</v>
      </c>
      <c r="B503" s="3" t="s">
        <v>273</v>
      </c>
      <c r="C503" s="9">
        <v>47.22</v>
      </c>
      <c r="D503" s="3" t="s">
        <v>496</v>
      </c>
      <c r="E503" s="10">
        <v>45672.102152777778</v>
      </c>
      <c r="F503" s="10">
        <v>45672.11314814815</v>
      </c>
      <c r="G503" s="10">
        <v>45672.115127314813</v>
      </c>
      <c r="H503" s="3" t="s">
        <v>1689</v>
      </c>
      <c r="I503" s="10">
        <v>45672.321886574071</v>
      </c>
      <c r="J503" s="10">
        <v>45672.34101851852</v>
      </c>
      <c r="K503" s="10">
        <v>45672.34101851852</v>
      </c>
      <c r="L503" s="10">
        <v>45672.341666666667</v>
      </c>
      <c r="M503" s="11">
        <f t="shared" si="21"/>
        <v>1.2974537035916001E-2</v>
      </c>
      <c r="N503" s="11">
        <f t="shared" si="22"/>
        <v>0.22653935185371665</v>
      </c>
      <c r="O503" s="10">
        <v>45672.119027777779</v>
      </c>
      <c r="P503" s="11">
        <f t="shared" si="23"/>
        <v>0.20285879629227566</v>
      </c>
      <c r="Q503" s="12" t="s">
        <v>1710</v>
      </c>
    </row>
    <row r="504" spans="1:17" ht="38.25" x14ac:dyDescent="0.25">
      <c r="A504" s="3" t="s">
        <v>1711</v>
      </c>
      <c r="B504" s="3" t="s">
        <v>273</v>
      </c>
      <c r="C504" s="9">
        <v>12.04</v>
      </c>
      <c r="D504" s="3" t="s">
        <v>492</v>
      </c>
      <c r="E504" s="10">
        <v>45672.102152777778</v>
      </c>
      <c r="F504" s="10">
        <v>45672.115127314813</v>
      </c>
      <c r="G504" s="10">
        <v>45672.116851851853</v>
      </c>
      <c r="H504" s="3" t="s">
        <v>1712</v>
      </c>
      <c r="I504" s="10">
        <v>45673.341365740736</v>
      </c>
      <c r="J504" s="10">
        <v>45673.360092592593</v>
      </c>
      <c r="K504" s="10">
        <v>45673.360092592593</v>
      </c>
      <c r="L504" s="10">
        <v>45673.360937500001</v>
      </c>
      <c r="M504" s="11">
        <f t="shared" si="21"/>
        <v>1.4699074075906537E-2</v>
      </c>
      <c r="N504" s="11">
        <f t="shared" si="22"/>
        <v>1.2440856481480296</v>
      </c>
      <c r="O504" s="10">
        <v>45672.119004629632</v>
      </c>
      <c r="P504" s="11">
        <f t="shared" si="23"/>
        <v>1.2223611111039645</v>
      </c>
      <c r="Q504" s="12" t="s">
        <v>1713</v>
      </c>
    </row>
    <row r="505" spans="1:17" ht="25.5" x14ac:dyDescent="0.25">
      <c r="A505" s="3" t="s">
        <v>1714</v>
      </c>
      <c r="B505" s="3" t="s">
        <v>273</v>
      </c>
      <c r="C505" s="9">
        <v>87.02</v>
      </c>
      <c r="D505" s="3" t="s">
        <v>484</v>
      </c>
      <c r="E505" s="10">
        <v>45672.102152777778</v>
      </c>
      <c r="F505" s="10">
        <v>45672.116851851853</v>
      </c>
      <c r="G505" s="10">
        <v>45672.118969907409</v>
      </c>
      <c r="H505" s="3" t="s">
        <v>1542</v>
      </c>
      <c r="I505" s="10">
        <v>45672.123703703714</v>
      </c>
      <c r="J505" s="10">
        <v>45672.154502314806</v>
      </c>
      <c r="K505" s="10">
        <v>45672.155173611107</v>
      </c>
      <c r="L505" s="10">
        <v>45672.156134259261</v>
      </c>
      <c r="M505" s="11">
        <f t="shared" si="21"/>
        <v>1.6817129631817807E-2</v>
      </c>
      <c r="N505" s="11">
        <f t="shared" si="22"/>
        <v>3.7164351851970423E-2</v>
      </c>
      <c r="O505" s="10">
        <v>45672.122870370367</v>
      </c>
      <c r="P505" s="11">
        <f t="shared" si="23"/>
        <v>8.333333462360315E-4</v>
      </c>
      <c r="Q505" s="12" t="s">
        <v>1715</v>
      </c>
    </row>
    <row r="506" spans="1:17" x14ac:dyDescent="0.25">
      <c r="A506" s="3" t="s">
        <v>1716</v>
      </c>
      <c r="B506" s="3" t="s">
        <v>274</v>
      </c>
      <c r="C506" s="9">
        <v>521.9</v>
      </c>
      <c r="D506" s="3" t="s">
        <v>519</v>
      </c>
      <c r="E506" s="10">
        <v>45672.193923611107</v>
      </c>
      <c r="F506" s="10">
        <v>45672.201967592591</v>
      </c>
      <c r="G506" s="10">
        <v>45672.204884259263</v>
      </c>
      <c r="H506" s="3" t="s">
        <v>1717</v>
      </c>
      <c r="I506" s="10">
        <v>45672.208101851851</v>
      </c>
      <c r="J506" s="10">
        <v>45672.298703703702</v>
      </c>
      <c r="K506" s="10">
        <v>45672.298703703702</v>
      </c>
      <c r="L506" s="10">
        <v>45672.300451388888</v>
      </c>
      <c r="M506" s="11">
        <f t="shared" si="21"/>
        <v>1.0960648156469688E-2</v>
      </c>
      <c r="N506" s="11">
        <f t="shared" si="22"/>
        <v>9.5567129625123926E-2</v>
      </c>
      <c r="O506" s="10">
        <v>45672.207256944443</v>
      </c>
      <c r="P506" s="11">
        <f t="shared" si="23"/>
        <v>8.4490740846376866E-4</v>
      </c>
      <c r="Q506" s="12" t="s">
        <v>1718</v>
      </c>
    </row>
    <row r="507" spans="1:17" ht="25.5" x14ac:dyDescent="0.25">
      <c r="A507" s="3" t="s">
        <v>1719</v>
      </c>
      <c r="B507" s="3" t="s">
        <v>275</v>
      </c>
      <c r="C507" s="9">
        <v>298</v>
      </c>
      <c r="D507" s="3" t="s">
        <v>500</v>
      </c>
      <c r="E507" s="10">
        <v>45672.272199074083</v>
      </c>
      <c r="F507" s="10">
        <v>45672.278090277781</v>
      </c>
      <c r="G507" s="10">
        <v>45672.279895833337</v>
      </c>
      <c r="H507" s="3" t="s">
        <v>1705</v>
      </c>
      <c r="I507" s="10">
        <v>45672.28466435185</v>
      </c>
      <c r="J507" s="10">
        <v>45672.339131944442</v>
      </c>
      <c r="K507" s="10">
        <v>45672.339131944442</v>
      </c>
      <c r="L507" s="10">
        <v>45672.340324074074</v>
      </c>
      <c r="M507" s="11">
        <f t="shared" si="21"/>
        <v>7.696759254031349E-3</v>
      </c>
      <c r="N507" s="11">
        <f t="shared" si="22"/>
        <v>6.0428240736655425E-2</v>
      </c>
      <c r="O507" s="10">
        <v>45672.283796296288</v>
      </c>
      <c r="P507" s="11">
        <f t="shared" si="23"/>
        <v>8.6805556202307343E-4</v>
      </c>
      <c r="Q507" s="12" t="s">
        <v>1720</v>
      </c>
    </row>
    <row r="508" spans="1:17" ht="25.5" x14ac:dyDescent="0.25">
      <c r="A508" s="3" t="s">
        <v>1721</v>
      </c>
      <c r="B508" s="3" t="s">
        <v>276</v>
      </c>
      <c r="C508" s="9">
        <v>47.22</v>
      </c>
      <c r="D508" s="3" t="s">
        <v>533</v>
      </c>
      <c r="E508" s="10">
        <v>45672.299525462957</v>
      </c>
      <c r="F508" s="10">
        <v>45672.315474537027</v>
      </c>
      <c r="G508" s="10">
        <v>45672.317453703698</v>
      </c>
      <c r="H508" s="3" t="s">
        <v>1689</v>
      </c>
      <c r="I508" s="10">
        <v>45672.321886574071</v>
      </c>
      <c r="J508" s="10">
        <v>45672.34101851852</v>
      </c>
      <c r="K508" s="10">
        <v>45672.34101851852</v>
      </c>
      <c r="L508" s="10">
        <v>45672.341666666667</v>
      </c>
      <c r="M508" s="11">
        <f t="shared" si="21"/>
        <v>1.7928240740729962E-2</v>
      </c>
      <c r="N508" s="11">
        <f t="shared" si="22"/>
        <v>2.4212962969613727E-2</v>
      </c>
      <c r="O508" s="10">
        <v>45672.321018518523</v>
      </c>
      <c r="P508" s="11">
        <f t="shared" si="23"/>
        <v>8.6805554747115821E-4</v>
      </c>
      <c r="Q508" s="12" t="s">
        <v>1722</v>
      </c>
    </row>
    <row r="509" spans="1:17" ht="25.5" x14ac:dyDescent="0.25">
      <c r="A509" s="3" t="s">
        <v>1723</v>
      </c>
      <c r="B509" s="3" t="s">
        <v>276</v>
      </c>
      <c r="C509" s="9">
        <v>23.24</v>
      </c>
      <c r="D509" s="3" t="s">
        <v>506</v>
      </c>
      <c r="E509" s="10">
        <v>45672.299525462957</v>
      </c>
      <c r="F509" s="10">
        <v>45672.317453703698</v>
      </c>
      <c r="G509" s="10">
        <v>45672.319421296299</v>
      </c>
      <c r="H509" s="3" t="s">
        <v>1724</v>
      </c>
      <c r="I509" s="10">
        <v>45672.394652777781</v>
      </c>
      <c r="J509" s="10">
        <v>45672.413530092592</v>
      </c>
      <c r="K509" s="10">
        <v>45672.413530092592</v>
      </c>
      <c r="L509" s="10">
        <v>45672.4143287037</v>
      </c>
      <c r="M509" s="11">
        <f t="shared" si="21"/>
        <v>1.9895833342161495E-2</v>
      </c>
      <c r="N509" s="11">
        <f t="shared" si="22"/>
        <v>9.4907407401478849E-2</v>
      </c>
      <c r="O509" s="10">
        <v>45672.321793981479</v>
      </c>
      <c r="P509" s="11">
        <f t="shared" si="23"/>
        <v>7.2858796302170958E-2</v>
      </c>
      <c r="Q509" s="12" t="s">
        <v>1725</v>
      </c>
    </row>
    <row r="510" spans="1:17" ht="25.5" x14ac:dyDescent="0.25">
      <c r="A510" s="3" t="s">
        <v>1726</v>
      </c>
      <c r="B510" s="3" t="s">
        <v>276</v>
      </c>
      <c r="C510" s="9">
        <v>37.5</v>
      </c>
      <c r="D510" s="3" t="s">
        <v>519</v>
      </c>
      <c r="E510" s="10">
        <v>45672.299525462957</v>
      </c>
      <c r="F510" s="10">
        <v>45672.319421296299</v>
      </c>
      <c r="G510" s="10">
        <v>45672.321203703701</v>
      </c>
      <c r="H510" s="3" t="s">
        <v>1727</v>
      </c>
      <c r="I510" s="10">
        <v>45672.671979166669</v>
      </c>
      <c r="J510" s="10">
        <v>45672.710856481477</v>
      </c>
      <c r="K510" s="10">
        <v>45672.710856481477</v>
      </c>
      <c r="L510" s="10">
        <v>45672.711886574078</v>
      </c>
      <c r="M510" s="11">
        <f t="shared" si="21"/>
        <v>2.1678240744222421E-2</v>
      </c>
      <c r="N510" s="11">
        <f t="shared" si="22"/>
        <v>0.3906828703766223</v>
      </c>
      <c r="O510" s="10">
        <v>45672.323993055557</v>
      </c>
      <c r="P510" s="11">
        <f t="shared" si="23"/>
        <v>0.34798611111182254</v>
      </c>
      <c r="Q510" s="12" t="s">
        <v>1728</v>
      </c>
    </row>
    <row r="511" spans="1:17" ht="38.25" x14ac:dyDescent="0.25">
      <c r="A511" s="3" t="s">
        <v>1729</v>
      </c>
      <c r="B511" s="3" t="s">
        <v>276</v>
      </c>
      <c r="C511" s="9">
        <v>12.04</v>
      </c>
      <c r="D511" s="3" t="s">
        <v>492</v>
      </c>
      <c r="E511" s="10">
        <v>45672.299525462957</v>
      </c>
      <c r="F511" s="10">
        <v>45672.321203703701</v>
      </c>
      <c r="G511" s="10">
        <v>45672.322916666657</v>
      </c>
      <c r="H511" s="3" t="s">
        <v>1712</v>
      </c>
      <c r="I511" s="10">
        <v>45673.341365740736</v>
      </c>
      <c r="J511" s="10">
        <v>45673.360092592593</v>
      </c>
      <c r="K511" s="10">
        <v>45673.360092592593</v>
      </c>
      <c r="L511" s="10">
        <v>45673.360937500001</v>
      </c>
      <c r="M511" s="11">
        <f t="shared" si="21"/>
        <v>2.3391203700157348E-2</v>
      </c>
      <c r="N511" s="11">
        <f t="shared" si="22"/>
        <v>1.0380208333444898</v>
      </c>
      <c r="O511" s="10">
        <v>45672.326805555553</v>
      </c>
      <c r="P511" s="11">
        <f t="shared" si="23"/>
        <v>1.0145601851836545</v>
      </c>
      <c r="Q511" s="12" t="s">
        <v>1730</v>
      </c>
    </row>
    <row r="512" spans="1:17" ht="51" x14ac:dyDescent="0.25">
      <c r="A512" s="3" t="s">
        <v>1731</v>
      </c>
      <c r="B512" s="3" t="s">
        <v>276</v>
      </c>
      <c r="C512" s="9">
        <v>21</v>
      </c>
      <c r="D512" s="3" t="s">
        <v>488</v>
      </c>
      <c r="E512" s="10">
        <v>45672.299525462957</v>
      </c>
      <c r="F512" s="10">
        <v>45672.322916666657</v>
      </c>
      <c r="G512" s="10">
        <v>45672.324548611112</v>
      </c>
      <c r="H512" s="3" t="s">
        <v>1732</v>
      </c>
      <c r="I512" s="10">
        <v>45672.778344907398</v>
      </c>
      <c r="J512" s="10">
        <v>45672.79892361111</v>
      </c>
      <c r="K512" s="10">
        <v>45672.79892361111</v>
      </c>
      <c r="L512" s="10">
        <v>45672.799803240741</v>
      </c>
      <c r="M512" s="11">
        <f t="shared" si="21"/>
        <v>2.5023148155014496E-2</v>
      </c>
      <c r="N512" s="11">
        <f t="shared" si="22"/>
        <v>0.4752546296294895</v>
      </c>
      <c r="O512" s="10">
        <v>45672.326956018522</v>
      </c>
      <c r="P512" s="11">
        <f t="shared" si="23"/>
        <v>0.45138888887595385</v>
      </c>
      <c r="Q512" s="12" t="s">
        <v>1733</v>
      </c>
    </row>
    <row r="513" spans="1:17" ht="51" x14ac:dyDescent="0.25">
      <c r="A513" s="3" t="s">
        <v>1734</v>
      </c>
      <c r="B513" s="3" t="s">
        <v>276</v>
      </c>
      <c r="C513" s="9">
        <v>28</v>
      </c>
      <c r="D513" s="3" t="s">
        <v>595</v>
      </c>
      <c r="E513" s="10">
        <v>45672.299525462957</v>
      </c>
      <c r="F513" s="10">
        <v>45672.324548611112</v>
      </c>
      <c r="G513" s="10">
        <v>45672.325960648152</v>
      </c>
      <c r="H513" s="3" t="s">
        <v>1735</v>
      </c>
      <c r="I513" s="10">
        <v>45677.719953703701</v>
      </c>
      <c r="J513" s="10">
        <v>45677.741828703707</v>
      </c>
      <c r="K513" s="10">
        <v>45677.741828703707</v>
      </c>
      <c r="L513" s="10">
        <v>45677.742604166669</v>
      </c>
      <c r="M513" s="11">
        <f t="shared" si="21"/>
        <v>2.6435185194713995E-2</v>
      </c>
      <c r="N513" s="11">
        <f t="shared" si="22"/>
        <v>5.416643518517958</v>
      </c>
      <c r="O513" s="10">
        <v>45672.330011574071</v>
      </c>
      <c r="P513" s="11">
        <f t="shared" si="23"/>
        <v>5.3899421296300716</v>
      </c>
      <c r="Q513" s="12" t="s">
        <v>1736</v>
      </c>
    </row>
    <row r="514" spans="1:17" ht="25.5" x14ac:dyDescent="0.25">
      <c r="A514" s="3" t="s">
        <v>1737</v>
      </c>
      <c r="B514" s="3" t="s">
        <v>276</v>
      </c>
      <c r="C514" s="9">
        <v>67.12</v>
      </c>
      <c r="D514" s="3" t="s">
        <v>515</v>
      </c>
      <c r="E514" s="10">
        <v>45672.299525462957</v>
      </c>
      <c r="F514" s="10">
        <v>45672.325960648152</v>
      </c>
      <c r="G514" s="10">
        <v>45672.328101851846</v>
      </c>
      <c r="H514" s="3" t="s">
        <v>1668</v>
      </c>
      <c r="I514" s="10">
        <v>45672.339236111111</v>
      </c>
      <c r="J514" s="10">
        <v>45672.364421296297</v>
      </c>
      <c r="K514" s="10">
        <v>45672.364421296297</v>
      </c>
      <c r="L514" s="10">
        <v>45672.365254629629</v>
      </c>
      <c r="M514" s="11">
        <f t="shared" ref="M514:M577" si="24">IF(AND(ISNUMBER(E514),ISNUMBER(G514)),(G514-E514),"")</f>
        <v>2.8576388889632653E-2</v>
      </c>
      <c r="N514" s="11">
        <f t="shared" ref="N514:N577" si="25">IF(AND(ISNUMBER(G514),ISNUMBER(L514)),(L514-G514),"")</f>
        <v>3.7152777782466728E-2</v>
      </c>
      <c r="O514" s="10">
        <v>45672.331666666672</v>
      </c>
      <c r="P514" s="11">
        <f t="shared" ref="P514:P577" si="26">IF(AND(ISNUMBER(I514),ISNUMBER(O514)),(I514-O514),"")</f>
        <v>7.5694444385590032E-3</v>
      </c>
      <c r="Q514" s="12" t="s">
        <v>1738</v>
      </c>
    </row>
    <row r="515" spans="1:17" ht="25.5" x14ac:dyDescent="0.25">
      <c r="A515" s="3" t="s">
        <v>1739</v>
      </c>
      <c r="B515" s="3" t="s">
        <v>276</v>
      </c>
      <c r="C515" s="9">
        <v>62.22</v>
      </c>
      <c r="D515" s="3" t="s">
        <v>506</v>
      </c>
      <c r="E515" s="10">
        <v>45672.299525462957</v>
      </c>
      <c r="F515" s="10">
        <v>45672.328101851846</v>
      </c>
      <c r="G515" s="10">
        <v>45672.33016203704</v>
      </c>
      <c r="H515" s="3" t="s">
        <v>1724</v>
      </c>
      <c r="I515" s="10">
        <v>45672.394652777781</v>
      </c>
      <c r="J515" s="10">
        <v>45672.413530092592</v>
      </c>
      <c r="K515" s="10">
        <v>45672.413530092592</v>
      </c>
      <c r="L515" s="10">
        <v>45672.4143287037</v>
      </c>
      <c r="M515" s="11">
        <f t="shared" si="24"/>
        <v>3.0636574083473533E-2</v>
      </c>
      <c r="N515" s="11">
        <f t="shared" si="25"/>
        <v>8.4166666660166811E-2</v>
      </c>
      <c r="O515" s="10">
        <v>45672.334745370368</v>
      </c>
      <c r="P515" s="11">
        <f t="shared" si="26"/>
        <v>5.9907407412538305E-2</v>
      </c>
      <c r="Q515" s="12" t="s">
        <v>1740</v>
      </c>
    </row>
    <row r="516" spans="1:17" x14ac:dyDescent="0.25">
      <c r="A516" s="3" t="s">
        <v>1741</v>
      </c>
      <c r="B516" s="3" t="s">
        <v>276</v>
      </c>
      <c r="C516" s="9">
        <v>108</v>
      </c>
      <c r="D516" s="3" t="s">
        <v>527</v>
      </c>
      <c r="E516" s="10">
        <v>45672.299525462957</v>
      </c>
      <c r="F516" s="10">
        <v>45672.33016203704</v>
      </c>
      <c r="G516" s="10">
        <v>45672.331666666672</v>
      </c>
      <c r="H516" s="3" t="s">
        <v>1742</v>
      </c>
      <c r="I516" s="10">
        <v>45672.340868055559</v>
      </c>
      <c r="J516" s="10">
        <v>45672.359618055547</v>
      </c>
      <c r="K516" s="10">
        <v>45672.359618055547</v>
      </c>
      <c r="L516" s="10">
        <v>45672.36041666667</v>
      </c>
      <c r="M516" s="11">
        <f t="shared" si="24"/>
        <v>3.2141203715582378E-2</v>
      </c>
      <c r="N516" s="11">
        <f t="shared" si="25"/>
        <v>2.8749999997671694E-2</v>
      </c>
      <c r="O516" s="10">
        <v>45672.334641203714</v>
      </c>
      <c r="P516" s="11">
        <f t="shared" si="26"/>
        <v>6.2268518449855037E-3</v>
      </c>
      <c r="Q516" s="12" t="s">
        <v>1743</v>
      </c>
    </row>
    <row r="517" spans="1:17" x14ac:dyDescent="0.25">
      <c r="A517" s="3" t="s">
        <v>1744</v>
      </c>
      <c r="B517" s="3" t="s">
        <v>277</v>
      </c>
      <c r="C517" s="9">
        <v>256.98</v>
      </c>
      <c r="D517" s="3" t="s">
        <v>500</v>
      </c>
      <c r="E517" s="10">
        <v>45672.313298611109</v>
      </c>
      <c r="F517" s="10">
        <v>45672.332546296297</v>
      </c>
      <c r="G517" s="10">
        <v>45672.334826388891</v>
      </c>
      <c r="H517" s="3" t="s">
        <v>1745</v>
      </c>
      <c r="I517" s="10">
        <v>45672.34275462963</v>
      </c>
      <c r="J517" s="10">
        <v>45672.387372685182</v>
      </c>
      <c r="K517" s="10">
        <v>45672.387372685182</v>
      </c>
      <c r="L517" s="10">
        <v>45672.388506944437</v>
      </c>
      <c r="M517" s="11">
        <f t="shared" si="24"/>
        <v>2.1527777782466728E-2</v>
      </c>
      <c r="N517" s="11">
        <f t="shared" si="25"/>
        <v>5.3680555545724928E-2</v>
      </c>
      <c r="O517" s="10">
        <v>45672.337604166663</v>
      </c>
      <c r="P517" s="11">
        <f t="shared" si="26"/>
        <v>5.1504629664123058E-3</v>
      </c>
      <c r="Q517" s="12" t="s">
        <v>1746</v>
      </c>
    </row>
    <row r="518" spans="1:17" x14ac:dyDescent="0.25">
      <c r="A518" s="3" t="s">
        <v>1747</v>
      </c>
      <c r="B518" s="3" t="s">
        <v>278</v>
      </c>
      <c r="C518" s="9">
        <v>374.06000000000012</v>
      </c>
      <c r="D518" s="3" t="s">
        <v>500</v>
      </c>
      <c r="E518" s="10">
        <v>45672.337858796287</v>
      </c>
      <c r="F518" s="10">
        <v>45672.344317129631</v>
      </c>
      <c r="G518" s="10">
        <v>45672.34710648148</v>
      </c>
      <c r="H518" s="3" t="s">
        <v>1748</v>
      </c>
      <c r="I518" s="10">
        <v>45672.364189814813</v>
      </c>
      <c r="J518" s="10">
        <v>45672.429131944453</v>
      </c>
      <c r="K518" s="10">
        <v>45672.429131944453</v>
      </c>
      <c r="L518" s="10">
        <v>45672.430532407408</v>
      </c>
      <c r="M518" s="11">
        <f t="shared" si="24"/>
        <v>9.2476851932588033E-3</v>
      </c>
      <c r="N518" s="11">
        <f t="shared" si="25"/>
        <v>8.3425925928167999E-2</v>
      </c>
      <c r="O518" s="10">
        <v>45672.362546296303</v>
      </c>
      <c r="P518" s="11">
        <f t="shared" si="26"/>
        <v>1.6435185098089278E-3</v>
      </c>
      <c r="Q518" s="12" t="s">
        <v>1749</v>
      </c>
    </row>
    <row r="519" spans="1:17" ht="25.5" x14ac:dyDescent="0.25">
      <c r="A519" s="3" t="s">
        <v>1750</v>
      </c>
      <c r="B519" s="3" t="s">
        <v>279</v>
      </c>
      <c r="C519" s="9">
        <v>23.24</v>
      </c>
      <c r="D519" s="3" t="s">
        <v>506</v>
      </c>
      <c r="E519" s="10">
        <v>45672.372581018521</v>
      </c>
      <c r="F519" s="10">
        <v>45672.385763888888</v>
      </c>
      <c r="G519" s="10">
        <v>45672.387731481482</v>
      </c>
      <c r="H519" s="3" t="s">
        <v>1724</v>
      </c>
      <c r="I519" s="10">
        <v>45672.394652777781</v>
      </c>
      <c r="J519" s="10">
        <v>45672.413530092592</v>
      </c>
      <c r="K519" s="10">
        <v>45672.413530092592</v>
      </c>
      <c r="L519" s="10">
        <v>45672.4143287037</v>
      </c>
      <c r="M519" s="11">
        <f t="shared" si="24"/>
        <v>1.5150462961173616E-2</v>
      </c>
      <c r="N519" s="11">
        <f t="shared" si="25"/>
        <v>2.6597222218697425E-2</v>
      </c>
      <c r="O519" s="10">
        <v>45672.39162037037</v>
      </c>
      <c r="P519" s="11">
        <f t="shared" si="26"/>
        <v>3.0324074105010368E-3</v>
      </c>
      <c r="Q519" s="12" t="s">
        <v>1751</v>
      </c>
    </row>
    <row r="520" spans="1:17" ht="38.25" x14ac:dyDescent="0.25">
      <c r="A520" s="3" t="s">
        <v>1752</v>
      </c>
      <c r="B520" s="3" t="s">
        <v>279</v>
      </c>
      <c r="C520" s="9">
        <v>21</v>
      </c>
      <c r="D520" s="3" t="s">
        <v>488</v>
      </c>
      <c r="E520" s="10">
        <v>45672.372581018521</v>
      </c>
      <c r="F520" s="10">
        <v>45672.387731481482</v>
      </c>
      <c r="G520" s="10">
        <v>45672.389351851853</v>
      </c>
      <c r="H520" s="3" t="s">
        <v>1732</v>
      </c>
      <c r="I520" s="10">
        <v>45672.778344907398</v>
      </c>
      <c r="J520" s="10">
        <v>45672.79892361111</v>
      </c>
      <c r="K520" s="10">
        <v>45672.79892361111</v>
      </c>
      <c r="L520" s="10">
        <v>45672.799803240741</v>
      </c>
      <c r="M520" s="11">
        <f t="shared" si="24"/>
        <v>1.6770833331975155E-2</v>
      </c>
      <c r="N520" s="11">
        <f t="shared" si="25"/>
        <v>0.41045138888875954</v>
      </c>
      <c r="O520" s="10">
        <v>45672.392916666657</v>
      </c>
      <c r="P520" s="11">
        <f t="shared" si="26"/>
        <v>0.385428240741021</v>
      </c>
      <c r="Q520" s="12" t="s">
        <v>1753</v>
      </c>
    </row>
    <row r="521" spans="1:17" ht="25.5" x14ac:dyDescent="0.25">
      <c r="A521" s="3" t="s">
        <v>1754</v>
      </c>
      <c r="B521" s="3" t="s">
        <v>279</v>
      </c>
      <c r="C521" s="9">
        <v>19.899999999999999</v>
      </c>
      <c r="D521" s="3" t="s">
        <v>515</v>
      </c>
      <c r="E521" s="10">
        <v>45672.372581018521</v>
      </c>
      <c r="F521" s="10">
        <v>45672.389351851853</v>
      </c>
      <c r="G521" s="10">
        <v>45672.390520833331</v>
      </c>
      <c r="H521" s="3" t="s">
        <v>1755</v>
      </c>
      <c r="I521" s="10">
        <v>45672.667210648149</v>
      </c>
      <c r="J521" s="10">
        <v>45672.685057870367</v>
      </c>
      <c r="K521" s="10">
        <v>45672.685057870367</v>
      </c>
      <c r="L521" s="10">
        <v>45672.685752314806</v>
      </c>
      <c r="M521" s="11">
        <f t="shared" si="24"/>
        <v>1.7939814810233656E-2</v>
      </c>
      <c r="N521" s="11">
        <f t="shared" si="25"/>
        <v>0.29523148147563916</v>
      </c>
      <c r="O521" s="10">
        <v>45672.392916666657</v>
      </c>
      <c r="P521" s="11">
        <f t="shared" si="26"/>
        <v>0.27429398149251938</v>
      </c>
      <c r="Q521" s="12" t="s">
        <v>1756</v>
      </c>
    </row>
    <row r="522" spans="1:17" ht="25.5" x14ac:dyDescent="0.25">
      <c r="A522" s="3" t="s">
        <v>1757</v>
      </c>
      <c r="B522" s="3" t="s">
        <v>279</v>
      </c>
      <c r="C522" s="9">
        <v>57.4</v>
      </c>
      <c r="D522" s="3" t="s">
        <v>519</v>
      </c>
      <c r="E522" s="10">
        <v>45672.372581018521</v>
      </c>
      <c r="F522" s="10">
        <v>45672.390520833331</v>
      </c>
      <c r="G522" s="10">
        <v>45672.39234953704</v>
      </c>
      <c r="H522" s="3" t="s">
        <v>1727</v>
      </c>
      <c r="I522" s="10">
        <v>45672.671979166669</v>
      </c>
      <c r="J522" s="10">
        <v>45672.710856481477</v>
      </c>
      <c r="K522" s="10">
        <v>45672.710856481477</v>
      </c>
      <c r="L522" s="10">
        <v>45672.711886574078</v>
      </c>
      <c r="M522" s="11">
        <f t="shared" si="24"/>
        <v>1.9768518519413192E-2</v>
      </c>
      <c r="N522" s="11">
        <f t="shared" si="25"/>
        <v>0.31953703703766223</v>
      </c>
      <c r="O522" s="10">
        <v>45672.396249999998</v>
      </c>
      <c r="P522" s="11">
        <f t="shared" si="26"/>
        <v>0.27572916667122627</v>
      </c>
      <c r="Q522" s="12" t="s">
        <v>1758</v>
      </c>
    </row>
    <row r="523" spans="1:17" ht="25.5" x14ac:dyDescent="0.25">
      <c r="A523" s="3" t="s">
        <v>1759</v>
      </c>
      <c r="B523" s="3" t="s">
        <v>279</v>
      </c>
      <c r="C523" s="9">
        <v>31.48</v>
      </c>
      <c r="D523" s="3" t="s">
        <v>523</v>
      </c>
      <c r="E523" s="10">
        <v>45672.372581018521</v>
      </c>
      <c r="F523" s="10">
        <v>45672.39234953704</v>
      </c>
      <c r="G523" s="10">
        <v>45672.393541666657</v>
      </c>
      <c r="H523" s="3" t="s">
        <v>1755</v>
      </c>
      <c r="I523" s="10">
        <v>45672.667210648149</v>
      </c>
      <c r="J523" s="10">
        <v>45672.685057870367</v>
      </c>
      <c r="K523" s="10">
        <v>45672.685057870367</v>
      </c>
      <c r="L523" s="10">
        <v>45672.685752314806</v>
      </c>
      <c r="M523" s="11">
        <f t="shared" si="24"/>
        <v>2.0960648136679083E-2</v>
      </c>
      <c r="N523" s="11">
        <f t="shared" si="25"/>
        <v>0.29221064814919373</v>
      </c>
      <c r="O523" s="10">
        <v>45672.397430555553</v>
      </c>
      <c r="P523" s="11">
        <f t="shared" si="26"/>
        <v>0.26978009259619284</v>
      </c>
      <c r="Q523" s="12" t="s">
        <v>1760</v>
      </c>
    </row>
    <row r="524" spans="1:17" ht="38.25" x14ac:dyDescent="0.25">
      <c r="A524" s="3" t="s">
        <v>1761</v>
      </c>
      <c r="B524" s="3" t="s">
        <v>279</v>
      </c>
      <c r="C524" s="9">
        <v>62.96</v>
      </c>
      <c r="D524" s="3" t="s">
        <v>533</v>
      </c>
      <c r="E524" s="10">
        <v>45672.372581018521</v>
      </c>
      <c r="F524" s="10">
        <v>45672.393541666657</v>
      </c>
      <c r="G524" s="10">
        <v>45672.395567129628</v>
      </c>
      <c r="H524" s="3" t="s">
        <v>1762</v>
      </c>
      <c r="I524" s="10">
        <v>45672.786157407398</v>
      </c>
      <c r="J524" s="10">
        <v>45672.808009259257</v>
      </c>
      <c r="K524" s="10">
        <v>45672.808009259257</v>
      </c>
      <c r="L524" s="10">
        <v>45672.808692129627</v>
      </c>
      <c r="M524" s="11">
        <f t="shared" si="24"/>
        <v>2.2986111107456964E-2</v>
      </c>
      <c r="N524" s="11">
        <f t="shared" si="25"/>
        <v>0.41312499999912689</v>
      </c>
      <c r="O524" s="10">
        <v>45672.399467592593</v>
      </c>
      <c r="P524" s="11">
        <f t="shared" si="26"/>
        <v>0.38668981480441289</v>
      </c>
      <c r="Q524" s="12" t="s">
        <v>1763</v>
      </c>
    </row>
    <row r="525" spans="1:17" ht="25.5" x14ac:dyDescent="0.25">
      <c r="A525" s="3" t="s">
        <v>1764</v>
      </c>
      <c r="B525" s="3" t="s">
        <v>279</v>
      </c>
      <c r="C525" s="9">
        <v>54</v>
      </c>
      <c r="D525" s="3" t="s">
        <v>527</v>
      </c>
      <c r="E525" s="10">
        <v>45672.372581018521</v>
      </c>
      <c r="F525" s="10">
        <v>45672.395567129628</v>
      </c>
      <c r="G525" s="10">
        <v>45672.397685185177</v>
      </c>
      <c r="H525" s="3" t="s">
        <v>1765</v>
      </c>
      <c r="I525" s="10">
        <v>45672.65829861111</v>
      </c>
      <c r="J525" s="10">
        <v>45672.691111111111</v>
      </c>
      <c r="K525" s="10">
        <v>45672.691111111111</v>
      </c>
      <c r="L525" s="10">
        <v>45672.692048611112</v>
      </c>
      <c r="M525" s="11">
        <f t="shared" si="24"/>
        <v>2.5104166656092275E-2</v>
      </c>
      <c r="N525" s="11">
        <f t="shared" si="25"/>
        <v>0.29436342593544396</v>
      </c>
      <c r="O525" s="10">
        <v>45672.400636574072</v>
      </c>
      <c r="P525" s="11">
        <f t="shared" si="26"/>
        <v>0.25766203703824431</v>
      </c>
      <c r="Q525" s="12" t="s">
        <v>1766</v>
      </c>
    </row>
    <row r="526" spans="1:17" ht="38.25" x14ac:dyDescent="0.25">
      <c r="A526" s="3" t="s">
        <v>1767</v>
      </c>
      <c r="B526" s="3" t="s">
        <v>279</v>
      </c>
      <c r="C526" s="9">
        <v>15.74</v>
      </c>
      <c r="D526" s="3" t="s">
        <v>1033</v>
      </c>
      <c r="E526" s="10">
        <v>45672.372581018521</v>
      </c>
      <c r="F526" s="10">
        <v>45672.397685185177</v>
      </c>
      <c r="G526" s="10">
        <v>45672.399293981478</v>
      </c>
      <c r="H526" s="3" t="s">
        <v>1732</v>
      </c>
      <c r="I526" s="10">
        <v>45672.778344907398</v>
      </c>
      <c r="J526" s="10">
        <v>45672.79892361111</v>
      </c>
      <c r="K526" s="10">
        <v>45672.79892361111</v>
      </c>
      <c r="L526" s="10">
        <v>45672.799803240741</v>
      </c>
      <c r="M526" s="11">
        <f t="shared" si="24"/>
        <v>2.6712962957390118E-2</v>
      </c>
      <c r="N526" s="11">
        <f t="shared" si="25"/>
        <v>0.40050925926334457</v>
      </c>
      <c r="O526" s="10">
        <v>45672.404224537036</v>
      </c>
      <c r="P526" s="11">
        <f t="shared" si="26"/>
        <v>0.37412037036119727</v>
      </c>
      <c r="Q526" s="12" t="s">
        <v>1768</v>
      </c>
    </row>
    <row r="527" spans="1:17" x14ac:dyDescent="0.25">
      <c r="A527" s="3" t="s">
        <v>1769</v>
      </c>
      <c r="B527" s="3" t="s">
        <v>280</v>
      </c>
      <c r="C527" s="9">
        <v>281.39999999999998</v>
      </c>
      <c r="D527" s="3" t="s">
        <v>500</v>
      </c>
      <c r="E527" s="10">
        <v>45672.38071759259</v>
      </c>
      <c r="F527" s="10">
        <v>45672.40016203704</v>
      </c>
      <c r="G527" s="10">
        <v>45672.402037037027</v>
      </c>
      <c r="H527" s="3" t="s">
        <v>1770</v>
      </c>
      <c r="I527" s="10">
        <v>45672.41065972222</v>
      </c>
      <c r="J527" s="10">
        <v>45672.459513888891</v>
      </c>
      <c r="K527" s="10">
        <v>45672.459513888891</v>
      </c>
      <c r="L527" s="10">
        <v>45672.460717592592</v>
      </c>
      <c r="M527" s="11">
        <f t="shared" si="24"/>
        <v>2.1319444436812773E-2</v>
      </c>
      <c r="N527" s="11">
        <f t="shared" si="25"/>
        <v>5.8680555564933456E-2</v>
      </c>
      <c r="O527" s="10">
        <v>45672.404398148137</v>
      </c>
      <c r="P527" s="11">
        <f t="shared" si="26"/>
        <v>6.2615740826004185E-3</v>
      </c>
      <c r="Q527" s="12" t="s">
        <v>1771</v>
      </c>
    </row>
    <row r="528" spans="1:17" ht="25.5" x14ac:dyDescent="0.25">
      <c r="A528" s="3" t="s">
        <v>1772</v>
      </c>
      <c r="B528" s="3" t="s">
        <v>280</v>
      </c>
      <c r="C528" s="9">
        <v>73.900000000000006</v>
      </c>
      <c r="D528" s="3" t="s">
        <v>572</v>
      </c>
      <c r="E528" s="10">
        <v>45672.38071759259</v>
      </c>
      <c r="F528" s="10">
        <v>45672.402037037027</v>
      </c>
      <c r="G528" s="10">
        <v>45672.403634259259</v>
      </c>
      <c r="H528" s="3" t="s">
        <v>1698</v>
      </c>
      <c r="I528" s="10">
        <v>45672.430868055562</v>
      </c>
      <c r="J528" s="10">
        <v>45672.450798611113</v>
      </c>
      <c r="K528" s="10">
        <v>45672.450798611113</v>
      </c>
      <c r="L528" s="10">
        <v>45672.451597222222</v>
      </c>
      <c r="M528" s="11">
        <f t="shared" si="24"/>
        <v>2.2916666668606922E-2</v>
      </c>
      <c r="N528" s="11">
        <f t="shared" si="25"/>
        <v>4.7962962962628808E-2</v>
      </c>
      <c r="O528" s="10">
        <v>45672.40896990741</v>
      </c>
      <c r="P528" s="11">
        <f t="shared" si="26"/>
        <v>2.1898148152104113E-2</v>
      </c>
      <c r="Q528" s="12" t="s">
        <v>1773</v>
      </c>
    </row>
    <row r="529" spans="1:17" ht="25.5" x14ac:dyDescent="0.25">
      <c r="A529" s="3" t="s">
        <v>1774</v>
      </c>
      <c r="B529" s="3" t="s">
        <v>281</v>
      </c>
      <c r="C529" s="9">
        <v>21</v>
      </c>
      <c r="D529" s="3" t="s">
        <v>572</v>
      </c>
      <c r="E529" s="10">
        <v>45672.41679398148</v>
      </c>
      <c r="F529" s="10">
        <v>45672.423726851863</v>
      </c>
      <c r="G529" s="10">
        <v>45672.425243055557</v>
      </c>
      <c r="H529" s="3" t="s">
        <v>1698</v>
      </c>
      <c r="I529" s="10">
        <v>45672.430868055562</v>
      </c>
      <c r="J529" s="10">
        <v>45672.450798611113</v>
      </c>
      <c r="K529" s="10">
        <v>45672.450798611113</v>
      </c>
      <c r="L529" s="10">
        <v>45672.451597222222</v>
      </c>
      <c r="M529" s="11">
        <f t="shared" si="24"/>
        <v>8.449074077361729E-3</v>
      </c>
      <c r="N529" s="11">
        <f t="shared" si="25"/>
        <v>2.6354166664532386E-2</v>
      </c>
      <c r="O529" s="10">
        <v>45672.429166666669</v>
      </c>
      <c r="P529" s="11">
        <f t="shared" si="26"/>
        <v>1.7013888937071897E-3</v>
      </c>
      <c r="Q529" s="12" t="s">
        <v>1775</v>
      </c>
    </row>
    <row r="530" spans="1:17" x14ac:dyDescent="0.25">
      <c r="A530" s="3" t="s">
        <v>1776</v>
      </c>
      <c r="B530" s="3" t="s">
        <v>281</v>
      </c>
      <c r="C530" s="9">
        <v>252.6</v>
      </c>
      <c r="D530" s="3" t="s">
        <v>500</v>
      </c>
      <c r="E530" s="10">
        <v>45672.41679398148</v>
      </c>
      <c r="F530" s="10">
        <v>45672.425243055557</v>
      </c>
      <c r="G530" s="10">
        <v>45672.427534722221</v>
      </c>
      <c r="H530" s="3" t="s">
        <v>1777</v>
      </c>
      <c r="I530" s="10">
        <v>45672.431377314817</v>
      </c>
      <c r="J530" s="10">
        <v>45672.475231481483</v>
      </c>
      <c r="K530" s="10">
        <v>45672.475231481483</v>
      </c>
      <c r="L530" s="10">
        <v>45672.476354166669</v>
      </c>
      <c r="M530" s="11">
        <f t="shared" si="24"/>
        <v>1.0740740741312038E-2</v>
      </c>
      <c r="N530" s="11">
        <f t="shared" si="25"/>
        <v>4.8819444447872229E-2</v>
      </c>
      <c r="O530" s="10">
        <v>45672.429722222223</v>
      </c>
      <c r="P530" s="11">
        <f t="shared" si="26"/>
        <v>1.6550925938645378E-3</v>
      </c>
      <c r="Q530" s="12" t="s">
        <v>1778</v>
      </c>
    </row>
    <row r="531" spans="1:17" x14ac:dyDescent="0.25">
      <c r="A531" s="3" t="s">
        <v>1779</v>
      </c>
      <c r="B531" s="3" t="s">
        <v>282</v>
      </c>
      <c r="C531" s="9">
        <v>120.92</v>
      </c>
      <c r="D531" s="3" t="s">
        <v>500</v>
      </c>
      <c r="E531" s="10">
        <v>45672.54278935185</v>
      </c>
      <c r="F531" s="10">
        <v>45672.547372685192</v>
      </c>
      <c r="G531" s="10">
        <v>45672.549363425933</v>
      </c>
      <c r="H531" s="3" t="s">
        <v>1780</v>
      </c>
      <c r="I531" s="10">
        <v>45672.552615740737</v>
      </c>
      <c r="J531" s="10">
        <v>45672.573599537027</v>
      </c>
      <c r="K531" s="10">
        <v>45672.573599537027</v>
      </c>
      <c r="L531" s="10">
        <v>45672.574421296304</v>
      </c>
      <c r="M531" s="11">
        <f t="shared" si="24"/>
        <v>6.5740740828914568E-3</v>
      </c>
      <c r="N531" s="11">
        <f t="shared" si="25"/>
        <v>2.5057870370801538E-2</v>
      </c>
      <c r="O531" s="10">
        <v>45672.551747685182</v>
      </c>
      <c r="P531" s="11">
        <f t="shared" si="26"/>
        <v>8.6805555474711582E-4</v>
      </c>
      <c r="Q531" s="12" t="s">
        <v>1781</v>
      </c>
    </row>
    <row r="532" spans="1:17" ht="38.25" x14ac:dyDescent="0.25">
      <c r="A532" s="3" t="s">
        <v>1782</v>
      </c>
      <c r="B532" s="3" t="s">
        <v>283</v>
      </c>
      <c r="C532" s="9">
        <v>19.899999999999999</v>
      </c>
      <c r="D532" s="3" t="s">
        <v>488</v>
      </c>
      <c r="E532" s="10">
        <v>45672.630208333343</v>
      </c>
      <c r="F532" s="10">
        <v>45672.647696759261</v>
      </c>
      <c r="G532" s="10">
        <v>45672.649328703701</v>
      </c>
      <c r="H532" s="3" t="s">
        <v>1732</v>
      </c>
      <c r="I532" s="10">
        <v>45672.778344907398</v>
      </c>
      <c r="J532" s="10">
        <v>45672.79892361111</v>
      </c>
      <c r="K532" s="10">
        <v>45672.79892361111</v>
      </c>
      <c r="L532" s="10">
        <v>45672.799803240741</v>
      </c>
      <c r="M532" s="11">
        <f t="shared" si="24"/>
        <v>1.9120370357995853E-2</v>
      </c>
      <c r="N532" s="11">
        <f t="shared" si="25"/>
        <v>0.15047453704028158</v>
      </c>
      <c r="O532" s="10">
        <v>45672.65289351852</v>
      </c>
      <c r="P532" s="11">
        <f t="shared" si="26"/>
        <v>0.12545138887799112</v>
      </c>
      <c r="Q532" s="12" t="s">
        <v>1783</v>
      </c>
    </row>
    <row r="533" spans="1:17" ht="38.25" x14ac:dyDescent="0.25">
      <c r="A533" s="3" t="s">
        <v>1784</v>
      </c>
      <c r="B533" s="3" t="s">
        <v>283</v>
      </c>
      <c r="C533" s="9">
        <v>15.74</v>
      </c>
      <c r="D533" s="3" t="s">
        <v>533</v>
      </c>
      <c r="E533" s="10">
        <v>45672.630208333343</v>
      </c>
      <c r="F533" s="10">
        <v>45672.649328703701</v>
      </c>
      <c r="G533" s="10">
        <v>45672.651238425933</v>
      </c>
      <c r="H533" s="3" t="s">
        <v>1762</v>
      </c>
      <c r="I533" s="10">
        <v>45672.786157407398</v>
      </c>
      <c r="J533" s="10">
        <v>45672.808009259257</v>
      </c>
      <c r="K533" s="10">
        <v>45672.808009259257</v>
      </c>
      <c r="L533" s="10">
        <v>45672.808692129627</v>
      </c>
      <c r="M533" s="11">
        <f t="shared" si="24"/>
        <v>2.103009259008104E-2</v>
      </c>
      <c r="N533" s="11">
        <f t="shared" si="25"/>
        <v>0.15745370369404554</v>
      </c>
      <c r="O533" s="10">
        <v>45672.655138888891</v>
      </c>
      <c r="P533" s="11">
        <f t="shared" si="26"/>
        <v>0.13101851850660751</v>
      </c>
      <c r="Q533" s="12" t="s">
        <v>1785</v>
      </c>
    </row>
    <row r="534" spans="1:17" ht="25.5" x14ac:dyDescent="0.25">
      <c r="A534" s="3" t="s">
        <v>1786</v>
      </c>
      <c r="B534" s="3" t="s">
        <v>283</v>
      </c>
      <c r="C534" s="9">
        <v>135</v>
      </c>
      <c r="D534" s="3" t="s">
        <v>527</v>
      </c>
      <c r="E534" s="10">
        <v>45672.630208333343</v>
      </c>
      <c r="F534" s="10">
        <v>45672.651238425933</v>
      </c>
      <c r="G534" s="10">
        <v>45672.653541666667</v>
      </c>
      <c r="H534" s="3" t="s">
        <v>1765</v>
      </c>
      <c r="I534" s="10">
        <v>45672.65829861111</v>
      </c>
      <c r="J534" s="10">
        <v>45672.691111111111</v>
      </c>
      <c r="K534" s="10">
        <v>45672.691111111111</v>
      </c>
      <c r="L534" s="10">
        <v>45672.692048611112</v>
      </c>
      <c r="M534" s="11">
        <f t="shared" si="24"/>
        <v>2.3333333323535044E-2</v>
      </c>
      <c r="N534" s="11">
        <f t="shared" si="25"/>
        <v>3.8506944445543922E-2</v>
      </c>
      <c r="O534" s="10">
        <v>45672.657430555562</v>
      </c>
      <c r="P534" s="11">
        <f t="shared" si="26"/>
        <v>8.6805554747115821E-4</v>
      </c>
      <c r="Q534" s="12" t="s">
        <v>1787</v>
      </c>
    </row>
    <row r="535" spans="1:17" ht="38.25" x14ac:dyDescent="0.25">
      <c r="A535" s="3" t="s">
        <v>1788</v>
      </c>
      <c r="B535" s="3" t="s">
        <v>283</v>
      </c>
      <c r="C535" s="9">
        <v>15.74</v>
      </c>
      <c r="D535" s="3" t="s">
        <v>654</v>
      </c>
      <c r="E535" s="10">
        <v>45672.630208333343</v>
      </c>
      <c r="F535" s="10">
        <v>45672.653541666667</v>
      </c>
      <c r="G535" s="10">
        <v>45672.655289351853</v>
      </c>
      <c r="H535" s="3" t="s">
        <v>1789</v>
      </c>
      <c r="I535" s="10">
        <v>45674.867858796293</v>
      </c>
      <c r="J535" s="10">
        <v>45674.928761574083</v>
      </c>
      <c r="K535" s="10">
        <v>45674.928761574083</v>
      </c>
      <c r="L535" s="10">
        <v>45674.930115740739</v>
      </c>
      <c r="M535" s="11">
        <f t="shared" si="24"/>
        <v>2.5081018509808928E-2</v>
      </c>
      <c r="N535" s="11">
        <f t="shared" si="25"/>
        <v>2.2748263888861402</v>
      </c>
      <c r="O535" s="10">
        <v>45672.657465277778</v>
      </c>
      <c r="P535" s="11">
        <f t="shared" si="26"/>
        <v>2.2103935185150476</v>
      </c>
      <c r="Q535" s="12" t="s">
        <v>1790</v>
      </c>
    </row>
    <row r="536" spans="1:17" ht="25.5" x14ac:dyDescent="0.25">
      <c r="A536" s="3" t="s">
        <v>1791</v>
      </c>
      <c r="B536" s="3" t="s">
        <v>283</v>
      </c>
      <c r="C536" s="9">
        <v>93.699999999999989</v>
      </c>
      <c r="D536" s="3" t="s">
        <v>506</v>
      </c>
      <c r="E536" s="10">
        <v>45672.630208333343</v>
      </c>
      <c r="F536" s="10">
        <v>45672.655289351853</v>
      </c>
      <c r="G536" s="10">
        <v>45672.657430555562</v>
      </c>
      <c r="H536" s="3" t="s">
        <v>1792</v>
      </c>
      <c r="I536" s="10">
        <v>45672.764155092591</v>
      </c>
      <c r="J536" s="10">
        <v>45672.784456018519</v>
      </c>
      <c r="K536" s="10">
        <v>45672.784456018519</v>
      </c>
      <c r="L536" s="10">
        <v>45672.785277777781</v>
      </c>
      <c r="M536" s="11">
        <f t="shared" si="24"/>
        <v>2.7222222219279502E-2</v>
      </c>
      <c r="N536" s="11">
        <f t="shared" si="25"/>
        <v>0.12784722221840639</v>
      </c>
      <c r="O536" s="10">
        <v>45672.659803240742</v>
      </c>
      <c r="P536" s="11">
        <f t="shared" si="26"/>
        <v>0.10435185184906004</v>
      </c>
      <c r="Q536" s="12" t="s">
        <v>1793</v>
      </c>
    </row>
    <row r="537" spans="1:17" ht="25.5" x14ac:dyDescent="0.25">
      <c r="A537" s="3" t="s">
        <v>1794</v>
      </c>
      <c r="B537" s="3" t="s">
        <v>283</v>
      </c>
      <c r="C537" s="9">
        <v>19.899999999999999</v>
      </c>
      <c r="D537" s="3" t="s">
        <v>488</v>
      </c>
      <c r="E537" s="10">
        <v>45672.630208333343</v>
      </c>
      <c r="F537" s="10">
        <v>45672.657430555562</v>
      </c>
      <c r="G537" s="10">
        <v>45672.659050925933</v>
      </c>
      <c r="H537" s="3" t="s">
        <v>1732</v>
      </c>
      <c r="I537" s="10">
        <v>45672.778344907398</v>
      </c>
      <c r="J537" s="10">
        <v>45672.79892361111</v>
      </c>
      <c r="K537" s="10">
        <v>45672.79892361111</v>
      </c>
      <c r="L537" s="10">
        <v>45672.799803240741</v>
      </c>
      <c r="M537" s="11">
        <f t="shared" si="24"/>
        <v>2.884259259008104E-2</v>
      </c>
      <c r="N537" s="11">
        <f t="shared" si="25"/>
        <v>0.14075231480819639</v>
      </c>
      <c r="O537" s="10">
        <v>45672.662939814807</v>
      </c>
      <c r="P537" s="11">
        <f t="shared" si="26"/>
        <v>0.11540509259066312</v>
      </c>
      <c r="Q537" s="12" t="s">
        <v>1795</v>
      </c>
    </row>
    <row r="538" spans="1:17" ht="38.25" x14ac:dyDescent="0.25">
      <c r="A538" s="3" t="s">
        <v>1796</v>
      </c>
      <c r="B538" s="3" t="s">
        <v>283</v>
      </c>
      <c r="C538" s="9">
        <v>12.04</v>
      </c>
      <c r="D538" s="3" t="s">
        <v>492</v>
      </c>
      <c r="E538" s="10">
        <v>45672.630208333343</v>
      </c>
      <c r="F538" s="10">
        <v>45672.659050925933</v>
      </c>
      <c r="G538" s="10">
        <v>45672.660763888889</v>
      </c>
      <c r="H538" s="3" t="s">
        <v>1712</v>
      </c>
      <c r="I538" s="10">
        <v>45673.341365740736</v>
      </c>
      <c r="J538" s="10">
        <v>45673.360092592593</v>
      </c>
      <c r="K538" s="10">
        <v>45673.360092592593</v>
      </c>
      <c r="L538" s="10">
        <v>45673.360937500001</v>
      </c>
      <c r="M538" s="11">
        <f t="shared" si="24"/>
        <v>3.0555555546015967E-2</v>
      </c>
      <c r="N538" s="11">
        <f t="shared" si="25"/>
        <v>0.70017361111240461</v>
      </c>
      <c r="O538" s="10">
        <v>45672.664664351847</v>
      </c>
      <c r="P538" s="11">
        <f t="shared" si="26"/>
        <v>0.67670138888934162</v>
      </c>
      <c r="Q538" s="12" t="s">
        <v>1797</v>
      </c>
    </row>
    <row r="539" spans="1:17" ht="25.5" x14ac:dyDescent="0.25">
      <c r="A539" s="3" t="s">
        <v>1798</v>
      </c>
      <c r="B539" s="3" t="s">
        <v>283</v>
      </c>
      <c r="C539" s="9">
        <v>51.38</v>
      </c>
      <c r="D539" s="3" t="s">
        <v>515</v>
      </c>
      <c r="E539" s="10">
        <v>45672.630208333343</v>
      </c>
      <c r="F539" s="10">
        <v>45672.660763888889</v>
      </c>
      <c r="G539" s="10">
        <v>45672.66201388889</v>
      </c>
      <c r="H539" s="3" t="s">
        <v>1755</v>
      </c>
      <c r="I539" s="10">
        <v>45672.667210648149</v>
      </c>
      <c r="J539" s="10">
        <v>45672.685057870367</v>
      </c>
      <c r="K539" s="10">
        <v>45672.685057870367</v>
      </c>
      <c r="L539" s="10">
        <v>45672.685752314806</v>
      </c>
      <c r="M539" s="11">
        <f t="shared" si="24"/>
        <v>3.180555554718012E-2</v>
      </c>
      <c r="N539" s="11">
        <f t="shared" si="25"/>
        <v>2.3738425916235428E-2</v>
      </c>
      <c r="O539" s="10">
        <v>45672.665578703702</v>
      </c>
      <c r="P539" s="11">
        <f t="shared" si="26"/>
        <v>1.6319444475811906E-3</v>
      </c>
      <c r="Q539" s="12" t="s">
        <v>1799</v>
      </c>
    </row>
    <row r="540" spans="1:17" ht="51" x14ac:dyDescent="0.25">
      <c r="A540" s="3" t="s">
        <v>1800</v>
      </c>
      <c r="B540" s="3" t="s">
        <v>283</v>
      </c>
      <c r="C540" s="9">
        <v>23.24</v>
      </c>
      <c r="D540" s="3" t="s">
        <v>484</v>
      </c>
      <c r="E540" s="10">
        <v>45672.630208333343</v>
      </c>
      <c r="F540" s="10">
        <v>45672.66201388889</v>
      </c>
      <c r="G540" s="10">
        <v>45672.663530092592</v>
      </c>
      <c r="H540" s="3" t="s">
        <v>1801</v>
      </c>
      <c r="I540" s="10">
        <v>45674.346863425933</v>
      </c>
      <c r="J540" s="10">
        <v>45674.370185185187</v>
      </c>
      <c r="K540" s="10">
        <v>45674.370185185187</v>
      </c>
      <c r="L540" s="10">
        <v>45674.371041666673</v>
      </c>
      <c r="M540" s="11">
        <f t="shared" si="24"/>
        <v>3.3321759248792659E-2</v>
      </c>
      <c r="N540" s="11">
        <f t="shared" si="25"/>
        <v>1.7075115740808542</v>
      </c>
      <c r="O540" s="10">
        <v>45672.665925925918</v>
      </c>
      <c r="P540" s="11">
        <f t="shared" si="26"/>
        <v>1.6809375000157161</v>
      </c>
      <c r="Q540" s="12" t="s">
        <v>1802</v>
      </c>
    </row>
    <row r="541" spans="1:17" ht="25.5" x14ac:dyDescent="0.25">
      <c r="A541" s="3" t="s">
        <v>1803</v>
      </c>
      <c r="B541" s="3" t="s">
        <v>283</v>
      </c>
      <c r="C541" s="9">
        <v>129</v>
      </c>
      <c r="D541" s="3" t="s">
        <v>519</v>
      </c>
      <c r="E541" s="10">
        <v>45672.630208333343</v>
      </c>
      <c r="F541" s="10">
        <v>45672.663530092592</v>
      </c>
      <c r="G541" s="10">
        <v>45672.665509259263</v>
      </c>
      <c r="H541" s="3" t="s">
        <v>1727</v>
      </c>
      <c r="I541" s="10">
        <v>45672.671979166669</v>
      </c>
      <c r="J541" s="10">
        <v>45672.710856481477</v>
      </c>
      <c r="K541" s="10">
        <v>45672.710856481477</v>
      </c>
      <c r="L541" s="10">
        <v>45672.711886574078</v>
      </c>
      <c r="M541" s="11">
        <f t="shared" si="24"/>
        <v>3.5300925919727888E-2</v>
      </c>
      <c r="N541" s="11">
        <f t="shared" si="25"/>
        <v>4.6377314814890269E-2</v>
      </c>
      <c r="O541" s="10">
        <v>45672.669398148151</v>
      </c>
      <c r="P541" s="11">
        <f t="shared" si="26"/>
        <v>2.5810185179580003E-3</v>
      </c>
      <c r="Q541" s="12" t="s">
        <v>1804</v>
      </c>
    </row>
    <row r="542" spans="1:17" x14ac:dyDescent="0.25">
      <c r="A542" s="3" t="s">
        <v>1805</v>
      </c>
      <c r="B542" s="3" t="s">
        <v>284</v>
      </c>
      <c r="C542" s="9">
        <v>110.18</v>
      </c>
      <c r="D542" s="3" t="s">
        <v>500</v>
      </c>
      <c r="E542" s="10">
        <v>45672.649178240739</v>
      </c>
      <c r="F542" s="10">
        <v>45672.666377314818</v>
      </c>
      <c r="G542" s="10">
        <v>45672.667847222219</v>
      </c>
      <c r="H542" s="3" t="s">
        <v>1806</v>
      </c>
      <c r="I542" s="10">
        <v>45672.686747685177</v>
      </c>
      <c r="J542" s="10">
        <v>45672.705879629633</v>
      </c>
      <c r="K542" s="10">
        <v>45672.705879629633</v>
      </c>
      <c r="L542" s="10">
        <v>45672.706678240742</v>
      </c>
      <c r="M542" s="11">
        <f t="shared" si="24"/>
        <v>1.8668981480004732E-2</v>
      </c>
      <c r="N542" s="11">
        <f t="shared" si="25"/>
        <v>3.8831018522614613E-2</v>
      </c>
      <c r="O542" s="10">
        <v>45672.670243055552</v>
      </c>
      <c r="P542" s="11">
        <f t="shared" si="26"/>
        <v>1.6504629624250811E-2</v>
      </c>
      <c r="Q542" s="12" t="s">
        <v>1807</v>
      </c>
    </row>
    <row r="543" spans="1:17" x14ac:dyDescent="0.25">
      <c r="A543" s="3" t="s">
        <v>1808</v>
      </c>
      <c r="B543" s="3" t="s">
        <v>285</v>
      </c>
      <c r="C543" s="9">
        <v>325.36000000000013</v>
      </c>
      <c r="D543" s="3" t="s">
        <v>500</v>
      </c>
      <c r="E543" s="10">
        <v>45672.720648148148</v>
      </c>
      <c r="F543" s="10">
        <v>45672.7268287037</v>
      </c>
      <c r="G543" s="10">
        <v>45672.728703703702</v>
      </c>
      <c r="H543" s="3" t="s">
        <v>1809</v>
      </c>
      <c r="I543" s="10">
        <v>45672.73196759259</v>
      </c>
      <c r="J543" s="10">
        <v>45672.788460648153</v>
      </c>
      <c r="K543" s="10">
        <v>45672.788460648153</v>
      </c>
      <c r="L543" s="10">
        <v>45672.789675925917</v>
      </c>
      <c r="M543" s="11">
        <f t="shared" si="24"/>
        <v>8.0555555541650392E-3</v>
      </c>
      <c r="N543" s="11">
        <f t="shared" si="25"/>
        <v>6.097222221433185E-2</v>
      </c>
      <c r="O543" s="10">
        <v>45672.731099537043</v>
      </c>
      <c r="P543" s="11">
        <f t="shared" si="26"/>
        <v>8.6805554747115821E-4</v>
      </c>
      <c r="Q543" s="12" t="s">
        <v>1810</v>
      </c>
    </row>
    <row r="544" spans="1:17" ht="25.5" x14ac:dyDescent="0.25">
      <c r="A544" s="3" t="s">
        <v>1811</v>
      </c>
      <c r="B544" s="3" t="s">
        <v>286</v>
      </c>
      <c r="C544" s="9">
        <v>15.74</v>
      </c>
      <c r="D544" s="3" t="s">
        <v>533</v>
      </c>
      <c r="E544" s="10">
        <v>45672.737673611111</v>
      </c>
      <c r="F544" s="10">
        <v>45672.754479166673</v>
      </c>
      <c r="G544" s="10">
        <v>45672.756388888891</v>
      </c>
      <c r="H544" s="3" t="s">
        <v>1762</v>
      </c>
      <c r="I544" s="10">
        <v>45672.786157407398</v>
      </c>
      <c r="J544" s="10">
        <v>45672.808009259257</v>
      </c>
      <c r="K544" s="10">
        <v>45672.808009259257</v>
      </c>
      <c r="L544" s="10">
        <v>45672.808692129627</v>
      </c>
      <c r="M544" s="11">
        <f t="shared" si="24"/>
        <v>1.8715277779847383E-2</v>
      </c>
      <c r="N544" s="11">
        <f t="shared" si="25"/>
        <v>5.2303240736364387E-2</v>
      </c>
      <c r="O544" s="10">
        <v>45672.760312500002</v>
      </c>
      <c r="P544" s="11">
        <f t="shared" si="26"/>
        <v>2.5844907395367045E-2</v>
      </c>
      <c r="Q544" s="12" t="s">
        <v>1812</v>
      </c>
    </row>
    <row r="545" spans="1:17" ht="51" x14ac:dyDescent="0.25">
      <c r="A545" s="3" t="s">
        <v>1813</v>
      </c>
      <c r="B545" s="3" t="s">
        <v>286</v>
      </c>
      <c r="C545" s="9">
        <v>14</v>
      </c>
      <c r="D545" s="3" t="s">
        <v>595</v>
      </c>
      <c r="E545" s="10">
        <v>45672.737673611111</v>
      </c>
      <c r="F545" s="10">
        <v>45672.756388888891</v>
      </c>
      <c r="G545" s="10">
        <v>45672.757777777777</v>
      </c>
      <c r="H545" s="3" t="s">
        <v>1735</v>
      </c>
      <c r="I545" s="10">
        <v>45677.719953703701</v>
      </c>
      <c r="J545" s="10">
        <v>45677.741828703707</v>
      </c>
      <c r="K545" s="10">
        <v>45677.741828703707</v>
      </c>
      <c r="L545" s="10">
        <v>45677.742604166669</v>
      </c>
      <c r="M545" s="11">
        <f t="shared" si="24"/>
        <v>2.0104166665987577E-2</v>
      </c>
      <c r="N545" s="11">
        <f t="shared" si="25"/>
        <v>4.984826388892543</v>
      </c>
      <c r="O545" s="10">
        <v>45672.761678240742</v>
      </c>
      <c r="P545" s="11">
        <f t="shared" si="26"/>
        <v>4.9582754629591363</v>
      </c>
      <c r="Q545" s="12" t="s">
        <v>1814</v>
      </c>
    </row>
    <row r="546" spans="1:17" ht="25.5" x14ac:dyDescent="0.25">
      <c r="A546" s="3" t="s">
        <v>1815</v>
      </c>
      <c r="B546" s="3" t="s">
        <v>286</v>
      </c>
      <c r="C546" s="9">
        <v>23.24</v>
      </c>
      <c r="D546" s="3" t="s">
        <v>506</v>
      </c>
      <c r="E546" s="10">
        <v>45672.737673611111</v>
      </c>
      <c r="F546" s="10">
        <v>45672.757777777777</v>
      </c>
      <c r="G546" s="10">
        <v>45672.759745370371</v>
      </c>
      <c r="H546" s="3" t="s">
        <v>1792</v>
      </c>
      <c r="I546" s="10">
        <v>45672.764155092591</v>
      </c>
      <c r="J546" s="10">
        <v>45672.784456018519</v>
      </c>
      <c r="K546" s="10">
        <v>45672.784456018519</v>
      </c>
      <c r="L546" s="10">
        <v>45672.785277777781</v>
      </c>
      <c r="M546" s="11">
        <f t="shared" si="24"/>
        <v>2.2071759260143153E-2</v>
      </c>
      <c r="N546" s="11">
        <f t="shared" si="25"/>
        <v>2.5532407409627922E-2</v>
      </c>
      <c r="O546" s="10">
        <v>45672.763310185182</v>
      </c>
      <c r="P546" s="11">
        <f t="shared" si="26"/>
        <v>8.4490740846376866E-4</v>
      </c>
      <c r="Q546" s="12" t="s">
        <v>1816</v>
      </c>
    </row>
    <row r="547" spans="1:17" ht="25.5" x14ac:dyDescent="0.25">
      <c r="A547" s="3" t="s">
        <v>1817</v>
      </c>
      <c r="B547" s="3" t="s">
        <v>286</v>
      </c>
      <c r="C547" s="9">
        <v>21</v>
      </c>
      <c r="D547" s="3" t="s">
        <v>488</v>
      </c>
      <c r="E547" s="10">
        <v>45672.737673611111</v>
      </c>
      <c r="F547" s="10">
        <v>45672.759745370371</v>
      </c>
      <c r="G547" s="10">
        <v>45672.761365740742</v>
      </c>
      <c r="H547" s="3" t="s">
        <v>1732</v>
      </c>
      <c r="I547" s="10">
        <v>45672.778344907398</v>
      </c>
      <c r="J547" s="10">
        <v>45672.79892361111</v>
      </c>
      <c r="K547" s="10">
        <v>45672.79892361111</v>
      </c>
      <c r="L547" s="10">
        <v>45672.799803240741</v>
      </c>
      <c r="M547" s="11">
        <f t="shared" si="24"/>
        <v>2.3692129630944692E-2</v>
      </c>
      <c r="N547" s="11">
        <f t="shared" si="25"/>
        <v>3.8437499999417923E-2</v>
      </c>
      <c r="O547" s="10">
        <v>45672.765289351853</v>
      </c>
      <c r="P547" s="11">
        <f t="shared" si="26"/>
        <v>1.3055555544269737E-2</v>
      </c>
      <c r="Q547" s="12" t="s">
        <v>1818</v>
      </c>
    </row>
    <row r="548" spans="1:17" ht="38.25" x14ac:dyDescent="0.25">
      <c r="A548" s="3" t="s">
        <v>1819</v>
      </c>
      <c r="B548" s="3" t="s">
        <v>286</v>
      </c>
      <c r="C548" s="9">
        <v>27</v>
      </c>
      <c r="D548" s="3" t="s">
        <v>527</v>
      </c>
      <c r="E548" s="10">
        <v>45672.737673611111</v>
      </c>
      <c r="F548" s="10">
        <v>45672.761365740742</v>
      </c>
      <c r="G548" s="10">
        <v>45672.763425925928</v>
      </c>
      <c r="H548" s="3" t="s">
        <v>1820</v>
      </c>
      <c r="I548" s="10">
        <v>45673.430636574078</v>
      </c>
      <c r="J548" s="10">
        <v>45673.449386574073</v>
      </c>
      <c r="K548" s="10">
        <v>45673.449386574073</v>
      </c>
      <c r="L548" s="10">
        <v>45673.450127314813</v>
      </c>
      <c r="M548" s="11">
        <f t="shared" si="24"/>
        <v>2.5752314817509614E-2</v>
      </c>
      <c r="N548" s="11">
        <f t="shared" si="25"/>
        <v>0.68670138888410293</v>
      </c>
      <c r="O548" s="10">
        <v>45672.766273148147</v>
      </c>
      <c r="P548" s="11">
        <f t="shared" si="26"/>
        <v>0.66436342593078734</v>
      </c>
      <c r="Q548" s="12" t="s">
        <v>1821</v>
      </c>
    </row>
    <row r="549" spans="1:17" ht="25.5" x14ac:dyDescent="0.25">
      <c r="A549" s="3" t="s">
        <v>1822</v>
      </c>
      <c r="B549" s="3" t="s">
        <v>286</v>
      </c>
      <c r="C549" s="9">
        <v>23.24</v>
      </c>
      <c r="D549" s="3" t="s">
        <v>506</v>
      </c>
      <c r="E549" s="10">
        <v>45672.737673611111</v>
      </c>
      <c r="F549" s="10">
        <v>45672.763425925928</v>
      </c>
      <c r="G549" s="10">
        <v>45672.765393518523</v>
      </c>
      <c r="H549" s="3" t="s">
        <v>1823</v>
      </c>
      <c r="I549" s="10">
        <v>45673.335520833331</v>
      </c>
      <c r="J549" s="10">
        <v>45673.357129629629</v>
      </c>
      <c r="K549" s="10">
        <v>45673.357129629629</v>
      </c>
      <c r="L549" s="10">
        <v>45673.357951388891</v>
      </c>
      <c r="M549" s="11">
        <f t="shared" si="24"/>
        <v>2.771990741166519E-2</v>
      </c>
      <c r="N549" s="11">
        <f t="shared" si="25"/>
        <v>0.59255787036818219</v>
      </c>
      <c r="O549" s="10">
        <v>45672.768553240741</v>
      </c>
      <c r="P549" s="11">
        <f t="shared" si="26"/>
        <v>0.56696759258920792</v>
      </c>
      <c r="Q549" s="12" t="s">
        <v>1824</v>
      </c>
    </row>
    <row r="550" spans="1:17" ht="25.5" x14ac:dyDescent="0.25">
      <c r="A550" s="3" t="s">
        <v>1825</v>
      </c>
      <c r="B550" s="3" t="s">
        <v>286</v>
      </c>
      <c r="C550" s="9">
        <v>28</v>
      </c>
      <c r="D550" s="3" t="s">
        <v>523</v>
      </c>
      <c r="E550" s="10">
        <v>45672.737673611111</v>
      </c>
      <c r="F550" s="10">
        <v>45672.765393518523</v>
      </c>
      <c r="G550" s="10">
        <v>45672.766585648147</v>
      </c>
      <c r="H550" s="3" t="s">
        <v>1826</v>
      </c>
      <c r="I550" s="10">
        <v>45673.124803240738</v>
      </c>
      <c r="J550" s="10">
        <v>45673.149942129632</v>
      </c>
      <c r="K550" s="10">
        <v>45673.149942129632</v>
      </c>
      <c r="L550" s="10">
        <v>45673.150740740741</v>
      </c>
      <c r="M550" s="11">
        <f t="shared" si="24"/>
        <v>2.8912037036207039E-2</v>
      </c>
      <c r="N550" s="11">
        <f t="shared" si="25"/>
        <v>0.3841550925935735</v>
      </c>
      <c r="O550" s="10">
        <v>45672.769247685188</v>
      </c>
      <c r="P550" s="11">
        <f t="shared" si="26"/>
        <v>0.35555555555038154</v>
      </c>
      <c r="Q550" s="12" t="s">
        <v>1827</v>
      </c>
    </row>
    <row r="551" spans="1:17" ht="38.25" x14ac:dyDescent="0.25">
      <c r="A551" s="3" t="s">
        <v>1828</v>
      </c>
      <c r="B551" s="3" t="s">
        <v>286</v>
      </c>
      <c r="C551" s="9">
        <v>15.74</v>
      </c>
      <c r="D551" s="3" t="s">
        <v>484</v>
      </c>
      <c r="E551" s="10">
        <v>45672.737673611111</v>
      </c>
      <c r="F551" s="10">
        <v>45672.766585648147</v>
      </c>
      <c r="G551" s="10">
        <v>45672.768078703702</v>
      </c>
      <c r="H551" s="3" t="s">
        <v>1801</v>
      </c>
      <c r="I551" s="10">
        <v>45674.346863425933</v>
      </c>
      <c r="J551" s="10">
        <v>45674.370185185187</v>
      </c>
      <c r="K551" s="10">
        <v>45674.370185185187</v>
      </c>
      <c r="L551" s="10">
        <v>45674.371041666673</v>
      </c>
      <c r="M551" s="11">
        <f t="shared" si="24"/>
        <v>3.0405092591536231E-2</v>
      </c>
      <c r="N551" s="11">
        <f t="shared" si="25"/>
        <v>1.6029629629701958</v>
      </c>
      <c r="O551" s="10">
        <v>45672.773344907408</v>
      </c>
      <c r="P551" s="11">
        <f t="shared" si="26"/>
        <v>1.573518518525816</v>
      </c>
      <c r="Q551" s="12" t="s">
        <v>1829</v>
      </c>
    </row>
    <row r="552" spans="1:17" ht="25.5" x14ac:dyDescent="0.25">
      <c r="A552" s="3" t="s">
        <v>1830</v>
      </c>
      <c r="B552" s="3" t="s">
        <v>286</v>
      </c>
      <c r="C552" s="9">
        <v>59.7</v>
      </c>
      <c r="D552" s="3" t="s">
        <v>515</v>
      </c>
      <c r="E552" s="10">
        <v>45672.737673611111</v>
      </c>
      <c r="F552" s="10">
        <v>45672.768078703702</v>
      </c>
      <c r="G552" s="10">
        <v>45672.769907407397</v>
      </c>
      <c r="H552" s="3" t="s">
        <v>1831</v>
      </c>
      <c r="I552" s="10">
        <v>45674.439317129632</v>
      </c>
      <c r="J552" s="10">
        <v>45674.462627314817</v>
      </c>
      <c r="K552" s="10">
        <v>45674.462627314817</v>
      </c>
      <c r="L552" s="10">
        <v>45674.463449074072</v>
      </c>
      <c r="M552" s="11">
        <f t="shared" si="24"/>
        <v>3.2233796286163852E-2</v>
      </c>
      <c r="N552" s="11">
        <f t="shared" si="25"/>
        <v>1.6935416666747187</v>
      </c>
      <c r="O552" s="10">
        <v>45672.772210648152</v>
      </c>
      <c r="P552" s="11">
        <f t="shared" si="26"/>
        <v>1.6671064814800047</v>
      </c>
      <c r="Q552" s="12" t="s">
        <v>1832</v>
      </c>
    </row>
    <row r="553" spans="1:17" ht="25.5" x14ac:dyDescent="0.25">
      <c r="A553" s="3" t="s">
        <v>1833</v>
      </c>
      <c r="B553" s="3" t="s">
        <v>286</v>
      </c>
      <c r="C553" s="9">
        <v>31.48</v>
      </c>
      <c r="D553" s="3" t="s">
        <v>533</v>
      </c>
      <c r="E553" s="10">
        <v>45672.737673611111</v>
      </c>
      <c r="F553" s="10">
        <v>45672.769907407397</v>
      </c>
      <c r="G553" s="10">
        <v>45672.771851851852</v>
      </c>
      <c r="H553" s="3" t="s">
        <v>1762</v>
      </c>
      <c r="I553" s="10">
        <v>45672.786157407398</v>
      </c>
      <c r="J553" s="10">
        <v>45672.808009259257</v>
      </c>
      <c r="K553" s="10">
        <v>45672.808009259257</v>
      </c>
      <c r="L553" s="10">
        <v>45672.808692129627</v>
      </c>
      <c r="M553" s="11">
        <f t="shared" si="24"/>
        <v>3.4178240741312038E-2</v>
      </c>
      <c r="N553" s="11">
        <f t="shared" si="25"/>
        <v>3.6840277774899732E-2</v>
      </c>
      <c r="O553" s="10">
        <v>45672.776562500003</v>
      </c>
      <c r="P553" s="11">
        <f t="shared" si="26"/>
        <v>9.5949073947849683E-3</v>
      </c>
      <c r="Q553" s="12" t="s">
        <v>1834</v>
      </c>
    </row>
    <row r="554" spans="1:17" ht="25.5" x14ac:dyDescent="0.25">
      <c r="A554" s="3" t="s">
        <v>1835</v>
      </c>
      <c r="B554" s="3" t="s">
        <v>286</v>
      </c>
      <c r="C554" s="9">
        <v>37.5</v>
      </c>
      <c r="D554" s="3" t="s">
        <v>519</v>
      </c>
      <c r="E554" s="10">
        <v>45672.737673611111</v>
      </c>
      <c r="F554" s="10">
        <v>45672.771851851852</v>
      </c>
      <c r="G554" s="10">
        <v>45672.773182870369</v>
      </c>
      <c r="H554" s="3" t="s">
        <v>1836</v>
      </c>
      <c r="I554" s="10">
        <v>45673.456516203703</v>
      </c>
      <c r="J554" s="10">
        <v>45673.473969907413</v>
      </c>
      <c r="K554" s="10">
        <v>45673.473969907413</v>
      </c>
      <c r="L554" s="10">
        <v>45673.474745370368</v>
      </c>
      <c r="M554" s="11">
        <f t="shared" si="24"/>
        <v>3.5509259258105885E-2</v>
      </c>
      <c r="N554" s="11">
        <f t="shared" si="25"/>
        <v>0.70156249999854481</v>
      </c>
      <c r="O554" s="10">
        <v>45672.776608796303</v>
      </c>
      <c r="P554" s="11">
        <f t="shared" si="26"/>
        <v>0.67990740740060573</v>
      </c>
      <c r="Q554" s="12" t="s">
        <v>1837</v>
      </c>
    </row>
    <row r="555" spans="1:17" x14ac:dyDescent="0.25">
      <c r="A555" s="3" t="s">
        <v>1838</v>
      </c>
      <c r="B555" s="3" t="s">
        <v>287</v>
      </c>
      <c r="C555" s="9">
        <v>144.80000000000001</v>
      </c>
      <c r="D555" s="3" t="s">
        <v>488</v>
      </c>
      <c r="E555" s="10">
        <v>45673.112557870372</v>
      </c>
      <c r="F555" s="10">
        <v>45673.120162037027</v>
      </c>
      <c r="G555" s="10">
        <v>45673.121620370373</v>
      </c>
      <c r="H555" s="3" t="s">
        <v>1826</v>
      </c>
      <c r="I555" s="10">
        <v>45673.124803240738</v>
      </c>
      <c r="J555" s="10">
        <v>45673.149942129632</v>
      </c>
      <c r="K555" s="10">
        <v>45673.149942129632</v>
      </c>
      <c r="L555" s="10">
        <v>45673.150740740741</v>
      </c>
      <c r="M555" s="11">
        <f t="shared" si="24"/>
        <v>9.0625000011641532E-3</v>
      </c>
      <c r="N555" s="11">
        <f t="shared" si="25"/>
        <v>2.9120370367309079E-2</v>
      </c>
      <c r="O555" s="10">
        <v>45673.124016203707</v>
      </c>
      <c r="P555" s="11">
        <f t="shared" si="26"/>
        <v>7.8703703184146434E-4</v>
      </c>
      <c r="Q555" s="12" t="s">
        <v>1839</v>
      </c>
    </row>
    <row r="556" spans="1:17" ht="25.5" x14ac:dyDescent="0.25">
      <c r="A556" s="3" t="s">
        <v>1840</v>
      </c>
      <c r="B556" s="3" t="s">
        <v>287</v>
      </c>
      <c r="C556" s="9">
        <v>39.799999999999997</v>
      </c>
      <c r="D556" s="3" t="s">
        <v>492</v>
      </c>
      <c r="E556" s="10">
        <v>45673.112557870372</v>
      </c>
      <c r="F556" s="10">
        <v>45673.121620370373</v>
      </c>
      <c r="G556" s="10">
        <v>45673.123402777783</v>
      </c>
      <c r="H556" s="3" t="s">
        <v>1712</v>
      </c>
      <c r="I556" s="10">
        <v>45673.341365740736</v>
      </c>
      <c r="J556" s="10">
        <v>45673.360092592593</v>
      </c>
      <c r="K556" s="10">
        <v>45673.360092592593</v>
      </c>
      <c r="L556" s="10">
        <v>45673.360937500001</v>
      </c>
      <c r="M556" s="11">
        <f t="shared" si="24"/>
        <v>1.0844907410501037E-2</v>
      </c>
      <c r="N556" s="11">
        <f t="shared" si="25"/>
        <v>0.23753472221869742</v>
      </c>
      <c r="O556" s="10">
        <v>45673.127303240741</v>
      </c>
      <c r="P556" s="11">
        <f t="shared" si="26"/>
        <v>0.21406249999563443</v>
      </c>
      <c r="Q556" s="12" t="s">
        <v>1841</v>
      </c>
    </row>
    <row r="557" spans="1:17" ht="51" x14ac:dyDescent="0.25">
      <c r="A557" s="3" t="s">
        <v>1842</v>
      </c>
      <c r="B557" s="3" t="s">
        <v>287</v>
      </c>
      <c r="C557" s="9">
        <v>15.74</v>
      </c>
      <c r="D557" s="3" t="s">
        <v>496</v>
      </c>
      <c r="E557" s="10">
        <v>45673.112557870372</v>
      </c>
      <c r="F557" s="10">
        <v>45673.123402777783</v>
      </c>
      <c r="G557" s="10">
        <v>45673.1253125</v>
      </c>
      <c r="H557" s="3" t="s">
        <v>1843</v>
      </c>
      <c r="I557" s="10">
        <v>45675.30059027778</v>
      </c>
      <c r="J557" s="10">
        <v>45675.328321759262</v>
      </c>
      <c r="K557" s="10">
        <v>45675.328321759262</v>
      </c>
      <c r="L557" s="10">
        <v>45675.329074074078</v>
      </c>
      <c r="M557" s="11">
        <f t="shared" si="24"/>
        <v>1.2754629628034309E-2</v>
      </c>
      <c r="N557" s="11">
        <f t="shared" si="25"/>
        <v>2.2037615740773617</v>
      </c>
      <c r="O557" s="10">
        <v>45673.127708333333</v>
      </c>
      <c r="P557" s="11">
        <f t="shared" si="26"/>
        <v>2.1728819444469991</v>
      </c>
      <c r="Q557" s="12" t="s">
        <v>1844</v>
      </c>
    </row>
    <row r="558" spans="1:17" x14ac:dyDescent="0.25">
      <c r="A558" s="3" t="s">
        <v>1845</v>
      </c>
      <c r="B558" s="3" t="s">
        <v>288</v>
      </c>
      <c r="C558" s="9">
        <v>297</v>
      </c>
      <c r="D558" s="3" t="s">
        <v>500</v>
      </c>
      <c r="E558" s="10">
        <v>45673.26699074074</v>
      </c>
      <c r="F558" s="10">
        <v>45673.272800925923</v>
      </c>
      <c r="G558" s="10">
        <v>45673.274606481478</v>
      </c>
      <c r="H558" s="3" t="s">
        <v>1846</v>
      </c>
      <c r="I558" s="10">
        <v>45673.27784722222</v>
      </c>
      <c r="J558" s="10">
        <v>45673.329409722217</v>
      </c>
      <c r="K558" s="10">
        <v>45673.329409722217</v>
      </c>
      <c r="L558" s="10">
        <v>45673.330567129633</v>
      </c>
      <c r="M558" s="11">
        <f t="shared" si="24"/>
        <v>7.6157407384016551E-3</v>
      </c>
      <c r="N558" s="11">
        <f t="shared" si="25"/>
        <v>5.5960648154723458E-2</v>
      </c>
      <c r="O558" s="10">
        <v>45673.276979166672</v>
      </c>
      <c r="P558" s="11">
        <f t="shared" si="26"/>
        <v>8.6805554747115821E-4</v>
      </c>
      <c r="Q558" s="12" t="s">
        <v>1847</v>
      </c>
    </row>
    <row r="559" spans="1:17" ht="38.25" x14ac:dyDescent="0.25">
      <c r="A559" s="3" t="s">
        <v>1848</v>
      </c>
      <c r="B559" s="3" t="s">
        <v>289</v>
      </c>
      <c r="C559" s="9">
        <v>47.22</v>
      </c>
      <c r="D559" s="3" t="s">
        <v>533</v>
      </c>
      <c r="E559" s="10">
        <v>45673.303553240738</v>
      </c>
      <c r="F559" s="10">
        <v>45673.319421296299</v>
      </c>
      <c r="G559" s="10">
        <v>45673.321111111109</v>
      </c>
      <c r="H559" s="3" t="s">
        <v>1849</v>
      </c>
      <c r="I559" s="10">
        <v>45674.32607638889</v>
      </c>
      <c r="J559" s="10">
        <v>45674.345208333332</v>
      </c>
      <c r="K559" s="10">
        <v>45674.345208333332</v>
      </c>
      <c r="L559" s="10">
        <v>45674.346064814818</v>
      </c>
      <c r="M559" s="11">
        <f t="shared" si="24"/>
        <v>1.7557870371092577E-2</v>
      </c>
      <c r="N559" s="11">
        <f t="shared" si="25"/>
        <v>1.0249537037088885</v>
      </c>
      <c r="O559" s="10">
        <v>45673.323483796303</v>
      </c>
      <c r="P559" s="11">
        <f t="shared" si="26"/>
        <v>1.0025925925874617</v>
      </c>
      <c r="Q559" s="12" t="s">
        <v>1850</v>
      </c>
    </row>
    <row r="560" spans="1:17" ht="25.5" x14ac:dyDescent="0.25">
      <c r="A560" s="3" t="s">
        <v>1851</v>
      </c>
      <c r="B560" s="3" t="s">
        <v>289</v>
      </c>
      <c r="C560" s="9">
        <v>101.2</v>
      </c>
      <c r="D560" s="3" t="s">
        <v>506</v>
      </c>
      <c r="E560" s="10">
        <v>45673.303553240738</v>
      </c>
      <c r="F560" s="10">
        <v>45673.321111111109</v>
      </c>
      <c r="G560" s="10">
        <v>45673.323263888888</v>
      </c>
      <c r="H560" s="3" t="s">
        <v>1823</v>
      </c>
      <c r="I560" s="10">
        <v>45673.335520833331</v>
      </c>
      <c r="J560" s="10">
        <v>45673.357129629629</v>
      </c>
      <c r="K560" s="10">
        <v>45673.357129629629</v>
      </c>
      <c r="L560" s="10">
        <v>45673.357951388891</v>
      </c>
      <c r="M560" s="11">
        <f t="shared" si="24"/>
        <v>1.9710648150066845E-2</v>
      </c>
      <c r="N560" s="11">
        <f t="shared" si="25"/>
        <v>3.4687500003201421E-2</v>
      </c>
      <c r="O560" s="10">
        <v>45673.327187499999</v>
      </c>
      <c r="P560" s="11">
        <f t="shared" si="26"/>
        <v>8.333333331393078E-3</v>
      </c>
      <c r="Q560" s="12" t="s">
        <v>1852</v>
      </c>
    </row>
    <row r="561" spans="1:17" ht="38.25" x14ac:dyDescent="0.25">
      <c r="A561" s="3" t="s">
        <v>1853</v>
      </c>
      <c r="B561" s="3" t="s">
        <v>289</v>
      </c>
      <c r="C561" s="9">
        <v>15.74</v>
      </c>
      <c r="D561" s="3" t="s">
        <v>496</v>
      </c>
      <c r="E561" s="10">
        <v>45673.303553240738</v>
      </c>
      <c r="F561" s="10">
        <v>45673.323263888888</v>
      </c>
      <c r="G561" s="10">
        <v>45673.325173611112</v>
      </c>
      <c r="H561" s="3" t="s">
        <v>1843</v>
      </c>
      <c r="I561" s="10">
        <v>45675.30059027778</v>
      </c>
      <c r="J561" s="10">
        <v>45675.328321759262</v>
      </c>
      <c r="K561" s="10">
        <v>45675.328321759262</v>
      </c>
      <c r="L561" s="10">
        <v>45675.329074074078</v>
      </c>
      <c r="M561" s="11">
        <f t="shared" si="24"/>
        <v>2.1620370374876074E-2</v>
      </c>
      <c r="N561" s="11">
        <f t="shared" si="25"/>
        <v>2.0039004629652482</v>
      </c>
      <c r="O561" s="10">
        <v>45673.329074074078</v>
      </c>
      <c r="P561" s="11">
        <f t="shared" si="26"/>
        <v>1.9715162037027767</v>
      </c>
      <c r="Q561" s="12" t="s">
        <v>1854</v>
      </c>
    </row>
    <row r="562" spans="1:17" ht="38.25" x14ac:dyDescent="0.25">
      <c r="A562" s="3" t="s">
        <v>1855</v>
      </c>
      <c r="B562" s="3" t="s">
        <v>289</v>
      </c>
      <c r="C562" s="9">
        <v>19.899999999999999</v>
      </c>
      <c r="D562" s="3" t="s">
        <v>539</v>
      </c>
      <c r="E562" s="10">
        <v>45673.303553240738</v>
      </c>
      <c r="F562" s="10">
        <v>45673.325173611112</v>
      </c>
      <c r="G562" s="10">
        <v>45673.326458333337</v>
      </c>
      <c r="H562" s="3" t="s">
        <v>1686</v>
      </c>
      <c r="I562" s="10">
        <v>45673.543124999997</v>
      </c>
      <c r="J562" s="10">
        <v>45673.598275462973</v>
      </c>
      <c r="K562" s="10">
        <v>45673.598275462973</v>
      </c>
      <c r="L562" s="10">
        <v>45673.599432870367</v>
      </c>
      <c r="M562" s="11">
        <f t="shared" si="24"/>
        <v>2.2905092599103227E-2</v>
      </c>
      <c r="N562" s="11">
        <f t="shared" si="25"/>
        <v>0.27297453703067731</v>
      </c>
      <c r="O562" s="10">
        <v>45673.331979166673</v>
      </c>
      <c r="P562" s="11">
        <f t="shared" si="26"/>
        <v>0.21114583332382608</v>
      </c>
      <c r="Q562" s="12" t="s">
        <v>1856</v>
      </c>
    </row>
    <row r="563" spans="1:17" ht="25.5" x14ac:dyDescent="0.25">
      <c r="A563" s="3" t="s">
        <v>1857</v>
      </c>
      <c r="B563" s="3" t="s">
        <v>289</v>
      </c>
      <c r="C563" s="9">
        <v>21</v>
      </c>
      <c r="D563" s="3" t="s">
        <v>519</v>
      </c>
      <c r="E563" s="10">
        <v>45673.303553240738</v>
      </c>
      <c r="F563" s="10">
        <v>45673.326458333337</v>
      </c>
      <c r="G563" s="10">
        <v>45673.32775462963</v>
      </c>
      <c r="H563" s="3" t="s">
        <v>1836</v>
      </c>
      <c r="I563" s="10">
        <v>45673.456516203703</v>
      </c>
      <c r="J563" s="10">
        <v>45673.473969907413</v>
      </c>
      <c r="K563" s="10">
        <v>45673.473969907413</v>
      </c>
      <c r="L563" s="10">
        <v>45673.474745370368</v>
      </c>
      <c r="M563" s="11">
        <f t="shared" si="24"/>
        <v>2.4201388892834075E-2</v>
      </c>
      <c r="N563" s="11">
        <f t="shared" si="25"/>
        <v>0.1469907407372375</v>
      </c>
      <c r="O563" s="10">
        <v>45673.333831018521</v>
      </c>
      <c r="P563" s="11">
        <f t="shared" si="26"/>
        <v>0.12268518518249039</v>
      </c>
      <c r="Q563" s="12" t="s">
        <v>1858</v>
      </c>
    </row>
    <row r="564" spans="1:17" ht="38.25" x14ac:dyDescent="0.25">
      <c r="A564" s="3" t="s">
        <v>1859</v>
      </c>
      <c r="B564" s="3" t="s">
        <v>289</v>
      </c>
      <c r="C564" s="9">
        <v>47.22</v>
      </c>
      <c r="D564" s="3" t="s">
        <v>506</v>
      </c>
      <c r="E564" s="10">
        <v>45673.303553240738</v>
      </c>
      <c r="F564" s="10">
        <v>45673.32775462963</v>
      </c>
      <c r="G564" s="10">
        <v>45673.329108796293</v>
      </c>
      <c r="H564" s="3" t="s">
        <v>1686</v>
      </c>
      <c r="I564" s="10">
        <v>45673.543124999997</v>
      </c>
      <c r="J564" s="10">
        <v>45673.598275462973</v>
      </c>
      <c r="K564" s="10">
        <v>45673.598275462973</v>
      </c>
      <c r="L564" s="10">
        <v>45673.599432870367</v>
      </c>
      <c r="M564" s="11">
        <f t="shared" si="24"/>
        <v>2.5555555555911269E-2</v>
      </c>
      <c r="N564" s="11">
        <f t="shared" si="25"/>
        <v>0.27032407407386927</v>
      </c>
      <c r="O564" s="10">
        <v>45673.333773148152</v>
      </c>
      <c r="P564" s="11">
        <f t="shared" si="26"/>
        <v>0.2093518518449855</v>
      </c>
      <c r="Q564" s="12" t="s">
        <v>1860</v>
      </c>
    </row>
    <row r="565" spans="1:17" ht="38.25" x14ac:dyDescent="0.25">
      <c r="A565" s="3" t="s">
        <v>1861</v>
      </c>
      <c r="B565" s="3" t="s">
        <v>289</v>
      </c>
      <c r="C565" s="9">
        <v>27</v>
      </c>
      <c r="D565" s="3" t="s">
        <v>527</v>
      </c>
      <c r="E565" s="10">
        <v>45673.303553240738</v>
      </c>
      <c r="F565" s="10">
        <v>45673.329108796293</v>
      </c>
      <c r="G565" s="10">
        <v>45673.331157407411</v>
      </c>
      <c r="H565" s="3" t="s">
        <v>1820</v>
      </c>
      <c r="I565" s="10">
        <v>45673.430636574078</v>
      </c>
      <c r="J565" s="10">
        <v>45673.449386574073</v>
      </c>
      <c r="K565" s="10">
        <v>45673.449386574073</v>
      </c>
      <c r="L565" s="10">
        <v>45673.450127314813</v>
      </c>
      <c r="M565" s="11">
        <f t="shared" si="24"/>
        <v>2.7604166672972497E-2</v>
      </c>
      <c r="N565" s="11">
        <f t="shared" si="25"/>
        <v>0.11896990740206093</v>
      </c>
      <c r="O565" s="10">
        <v>45673.335081018522</v>
      </c>
      <c r="P565" s="11">
        <f t="shared" si="26"/>
        <v>9.5555555555620231E-2</v>
      </c>
      <c r="Q565" s="12" t="s">
        <v>1862</v>
      </c>
    </row>
    <row r="566" spans="1:17" ht="25.5" x14ac:dyDescent="0.25">
      <c r="A566" s="3" t="s">
        <v>1863</v>
      </c>
      <c r="B566" s="3" t="s">
        <v>289</v>
      </c>
      <c r="C566" s="9">
        <v>31.48</v>
      </c>
      <c r="D566" s="3" t="s">
        <v>515</v>
      </c>
      <c r="E566" s="10">
        <v>45673.303553240738</v>
      </c>
      <c r="F566" s="10">
        <v>45673.331157407411</v>
      </c>
      <c r="G566" s="10">
        <v>45673.332916666674</v>
      </c>
      <c r="H566" s="3" t="s">
        <v>1831</v>
      </c>
      <c r="I566" s="10">
        <v>45674.439317129632</v>
      </c>
      <c r="J566" s="10">
        <v>45674.462627314817</v>
      </c>
      <c r="K566" s="10">
        <v>45674.462627314817</v>
      </c>
      <c r="L566" s="10">
        <v>45674.463449074072</v>
      </c>
      <c r="M566" s="11">
        <f t="shared" si="24"/>
        <v>2.9363425936026033E-2</v>
      </c>
      <c r="N566" s="11">
        <f t="shared" si="25"/>
        <v>1.1305324073982774</v>
      </c>
      <c r="O566" s="10">
        <v>45673.336840277778</v>
      </c>
      <c r="P566" s="11">
        <f t="shared" si="26"/>
        <v>1.1024768518545898</v>
      </c>
      <c r="Q566" s="12" t="s">
        <v>1864</v>
      </c>
    </row>
    <row r="567" spans="1:17" ht="38.25" x14ac:dyDescent="0.25">
      <c r="A567" s="3" t="s">
        <v>1865</v>
      </c>
      <c r="B567" s="3" t="s">
        <v>289</v>
      </c>
      <c r="C567" s="9">
        <v>21</v>
      </c>
      <c r="D567" s="3" t="s">
        <v>488</v>
      </c>
      <c r="E567" s="10">
        <v>45673.303553240738</v>
      </c>
      <c r="F567" s="10">
        <v>45673.332916666674</v>
      </c>
      <c r="G567" s="10">
        <v>45673.334837962961</v>
      </c>
      <c r="H567" s="3" t="s">
        <v>1866</v>
      </c>
      <c r="I567" s="10">
        <v>45673.861666666657</v>
      </c>
      <c r="J567" s="10">
        <v>45673.88354166667</v>
      </c>
      <c r="K567" s="10">
        <v>45673.88354166667</v>
      </c>
      <c r="L567" s="10">
        <v>45673.884212962963</v>
      </c>
      <c r="M567" s="11">
        <f t="shared" si="24"/>
        <v>3.1284722223063E-2</v>
      </c>
      <c r="N567" s="11">
        <f t="shared" si="25"/>
        <v>0.54937500000232831</v>
      </c>
      <c r="O567" s="10">
        <v>45673.337708333333</v>
      </c>
      <c r="P567" s="11">
        <f t="shared" si="26"/>
        <v>0.52395833332411712</v>
      </c>
      <c r="Q567" s="12" t="s">
        <v>1867</v>
      </c>
    </row>
    <row r="568" spans="1:17" ht="25.5" x14ac:dyDescent="0.25">
      <c r="A568" s="3" t="s">
        <v>1868</v>
      </c>
      <c r="B568" s="3" t="s">
        <v>289</v>
      </c>
      <c r="C568" s="9">
        <v>31.94</v>
      </c>
      <c r="D568" s="3" t="s">
        <v>492</v>
      </c>
      <c r="E568" s="10">
        <v>45673.303553240738</v>
      </c>
      <c r="F568" s="10">
        <v>45673.334837962961</v>
      </c>
      <c r="G568" s="10">
        <v>45673.336608796293</v>
      </c>
      <c r="H568" s="3" t="s">
        <v>1712</v>
      </c>
      <c r="I568" s="10">
        <v>45673.341365740736</v>
      </c>
      <c r="J568" s="10">
        <v>45673.360092592593</v>
      </c>
      <c r="K568" s="10">
        <v>45673.360092592593</v>
      </c>
      <c r="L568" s="10">
        <v>45673.360937500001</v>
      </c>
      <c r="M568" s="11">
        <f t="shared" si="24"/>
        <v>3.3055555555620231E-2</v>
      </c>
      <c r="N568" s="11">
        <f t="shared" si="25"/>
        <v>2.4328703708306421E-2</v>
      </c>
      <c r="O568" s="10">
        <v>45673.340532407397</v>
      </c>
      <c r="P568" s="11">
        <f t="shared" si="26"/>
        <v>8.3333333896007389E-4</v>
      </c>
      <c r="Q568" s="12" t="s">
        <v>1869</v>
      </c>
    </row>
    <row r="569" spans="1:17" ht="25.5" x14ac:dyDescent="0.25">
      <c r="A569" s="3" t="s">
        <v>1870</v>
      </c>
      <c r="B569" s="3" t="s">
        <v>289</v>
      </c>
      <c r="C569" s="9">
        <v>27</v>
      </c>
      <c r="D569" s="3" t="s">
        <v>527</v>
      </c>
      <c r="E569" s="10">
        <v>45673.303553240738</v>
      </c>
      <c r="F569" s="10">
        <v>45673.336608796293</v>
      </c>
      <c r="G569" s="10">
        <v>45673.33865740741</v>
      </c>
      <c r="H569" s="3" t="s">
        <v>1820</v>
      </c>
      <c r="I569" s="10">
        <v>45673.430636574078</v>
      </c>
      <c r="J569" s="10">
        <v>45673.449386574073</v>
      </c>
      <c r="K569" s="10">
        <v>45673.449386574073</v>
      </c>
      <c r="L569" s="10">
        <v>45673.450127314813</v>
      </c>
      <c r="M569" s="11">
        <f t="shared" si="24"/>
        <v>3.5104166672681458E-2</v>
      </c>
      <c r="N569" s="11">
        <f t="shared" si="25"/>
        <v>0.11146990740235196</v>
      </c>
      <c r="O569" s="10">
        <v>45673.342581018522</v>
      </c>
      <c r="P569" s="11">
        <f t="shared" si="26"/>
        <v>8.8055555555911269E-2</v>
      </c>
      <c r="Q569" s="12" t="s">
        <v>1871</v>
      </c>
    </row>
    <row r="570" spans="1:17" x14ac:dyDescent="0.25">
      <c r="A570" s="3" t="s">
        <v>1872</v>
      </c>
      <c r="B570" s="3" t="s">
        <v>290</v>
      </c>
      <c r="C570" s="9">
        <v>126</v>
      </c>
      <c r="D570" s="3" t="s">
        <v>500</v>
      </c>
      <c r="E570" s="10">
        <v>45673.302766203713</v>
      </c>
      <c r="F570" s="10">
        <v>45673.307511574072</v>
      </c>
      <c r="G570" s="10">
        <v>45673.309699074067</v>
      </c>
      <c r="H570" s="3" t="s">
        <v>1873</v>
      </c>
      <c r="I570" s="10">
        <v>45673.312905092593</v>
      </c>
      <c r="J570" s="10">
        <v>45673.334780092591</v>
      </c>
      <c r="K570" s="10">
        <v>45673.334780092591</v>
      </c>
      <c r="L570" s="10">
        <v>45673.335625</v>
      </c>
      <c r="M570" s="11">
        <f t="shared" si="24"/>
        <v>6.9328703539213166E-3</v>
      </c>
      <c r="N570" s="11">
        <f t="shared" si="25"/>
        <v>2.5925925932824612E-2</v>
      </c>
      <c r="O570" s="10">
        <v>45673.312071759261</v>
      </c>
      <c r="P570" s="11">
        <f t="shared" si="26"/>
        <v>8.3333333168411627E-4</v>
      </c>
      <c r="Q570" s="12" t="s">
        <v>1874</v>
      </c>
    </row>
    <row r="571" spans="1:17" x14ac:dyDescent="0.25">
      <c r="A571" s="3" t="s">
        <v>1875</v>
      </c>
      <c r="B571" s="3" t="s">
        <v>291</v>
      </c>
      <c r="C571" s="9">
        <v>396.56000000000012</v>
      </c>
      <c r="D571" s="3" t="s">
        <v>500</v>
      </c>
      <c r="E571" s="10">
        <v>45673.332905092589</v>
      </c>
      <c r="F571" s="10">
        <v>45673.339525462958</v>
      </c>
      <c r="G571" s="10">
        <v>45673.341539351852</v>
      </c>
      <c r="H571" s="3" t="s">
        <v>1876</v>
      </c>
      <c r="I571" s="10">
        <v>45673.345671296287</v>
      </c>
      <c r="J571" s="10">
        <v>45673.414525462962</v>
      </c>
      <c r="K571" s="10">
        <v>45673.414525462962</v>
      </c>
      <c r="L571" s="10">
        <v>45673.415902777779</v>
      </c>
      <c r="M571" s="11">
        <f t="shared" si="24"/>
        <v>8.6342592621804215E-3</v>
      </c>
      <c r="N571" s="11">
        <f t="shared" si="25"/>
        <v>7.4363425927003846E-2</v>
      </c>
      <c r="O571" s="10">
        <v>45673.343935185178</v>
      </c>
      <c r="P571" s="11">
        <f t="shared" si="26"/>
        <v>1.7361111094942316E-3</v>
      </c>
      <c r="Q571" s="12" t="s">
        <v>1877</v>
      </c>
    </row>
    <row r="572" spans="1:17" ht="38.25" x14ac:dyDescent="0.25">
      <c r="A572" s="3" t="s">
        <v>1878</v>
      </c>
      <c r="B572" s="3" t="s">
        <v>292</v>
      </c>
      <c r="C572" s="9">
        <v>31.48</v>
      </c>
      <c r="D572" s="3" t="s">
        <v>533</v>
      </c>
      <c r="E572" s="10">
        <v>45673.377962962957</v>
      </c>
      <c r="F572" s="10">
        <v>45673.395011574074</v>
      </c>
      <c r="G572" s="10">
        <v>45673.396655092591</v>
      </c>
      <c r="H572" s="3" t="s">
        <v>1849</v>
      </c>
      <c r="I572" s="10">
        <v>45674.32607638889</v>
      </c>
      <c r="J572" s="10">
        <v>45674.345208333332</v>
      </c>
      <c r="K572" s="10">
        <v>45674.345208333332</v>
      </c>
      <c r="L572" s="10">
        <v>45674.346064814818</v>
      </c>
      <c r="M572" s="11">
        <f t="shared" si="24"/>
        <v>1.8692129633564036E-2</v>
      </c>
      <c r="N572" s="11">
        <f t="shared" si="25"/>
        <v>0.9494097222268465</v>
      </c>
      <c r="O572" s="10">
        <v>45673.419317129628</v>
      </c>
      <c r="P572" s="11">
        <f t="shared" si="26"/>
        <v>0.90675925926188938</v>
      </c>
      <c r="Q572" s="12" t="s">
        <v>1879</v>
      </c>
    </row>
    <row r="573" spans="1:17" ht="38.25" x14ac:dyDescent="0.25">
      <c r="A573" s="3" t="s">
        <v>1880</v>
      </c>
      <c r="B573" s="3" t="s">
        <v>292</v>
      </c>
      <c r="C573" s="9">
        <v>14</v>
      </c>
      <c r="D573" s="3" t="s">
        <v>595</v>
      </c>
      <c r="E573" s="10">
        <v>45673.377962962957</v>
      </c>
      <c r="F573" s="10">
        <v>45673.396655092591</v>
      </c>
      <c r="G573" s="10">
        <v>45673.398043981477</v>
      </c>
      <c r="H573" s="3" t="s">
        <v>1735</v>
      </c>
      <c r="I573" s="10">
        <v>45677.719953703701</v>
      </c>
      <c r="J573" s="10">
        <v>45677.741828703707</v>
      </c>
      <c r="K573" s="10">
        <v>45677.741828703707</v>
      </c>
      <c r="L573" s="10">
        <v>45677.742604166669</v>
      </c>
      <c r="M573" s="11">
        <f t="shared" si="24"/>
        <v>2.008101851970423E-2</v>
      </c>
      <c r="N573" s="11">
        <f t="shared" si="25"/>
        <v>4.3445601851926767</v>
      </c>
      <c r="O573" s="10">
        <v>45673.419317129628</v>
      </c>
      <c r="P573" s="11">
        <f t="shared" si="26"/>
        <v>4.3006365740729962</v>
      </c>
      <c r="Q573" s="12" t="s">
        <v>1881</v>
      </c>
    </row>
    <row r="574" spans="1:17" ht="38.25" x14ac:dyDescent="0.25">
      <c r="A574" s="3" t="s">
        <v>1882</v>
      </c>
      <c r="B574" s="3" t="s">
        <v>292</v>
      </c>
      <c r="C574" s="9">
        <v>15.74</v>
      </c>
      <c r="D574" s="3" t="s">
        <v>654</v>
      </c>
      <c r="E574" s="10">
        <v>45673.377962962957</v>
      </c>
      <c r="F574" s="10">
        <v>45673.398043981477</v>
      </c>
      <c r="G574" s="10">
        <v>45673.399791666663</v>
      </c>
      <c r="H574" s="3" t="s">
        <v>1789</v>
      </c>
      <c r="I574" s="10">
        <v>45674.867858796293</v>
      </c>
      <c r="J574" s="10">
        <v>45674.928761574083</v>
      </c>
      <c r="K574" s="10">
        <v>45674.928761574083</v>
      </c>
      <c r="L574" s="10">
        <v>45674.930115740739</v>
      </c>
      <c r="M574" s="11">
        <f t="shared" si="24"/>
        <v>2.1828703705978114E-2</v>
      </c>
      <c r="N574" s="11">
        <f t="shared" si="25"/>
        <v>1.5303240740759065</v>
      </c>
      <c r="O574" s="10">
        <v>45673.424108796287</v>
      </c>
      <c r="P574" s="11">
        <f t="shared" si="26"/>
        <v>1.4437500000058208</v>
      </c>
      <c r="Q574" s="12" t="s">
        <v>1883</v>
      </c>
    </row>
    <row r="575" spans="1:17" ht="38.25" x14ac:dyDescent="0.25">
      <c r="A575" s="3" t="s">
        <v>1884</v>
      </c>
      <c r="B575" s="3" t="s">
        <v>292</v>
      </c>
      <c r="C575" s="9">
        <v>21</v>
      </c>
      <c r="D575" s="3" t="s">
        <v>488</v>
      </c>
      <c r="E575" s="10">
        <v>45673.377962962957</v>
      </c>
      <c r="F575" s="10">
        <v>45673.399791666663</v>
      </c>
      <c r="G575" s="10">
        <v>45673.401724537027</v>
      </c>
      <c r="H575" s="3" t="s">
        <v>1866</v>
      </c>
      <c r="I575" s="10">
        <v>45673.861666666657</v>
      </c>
      <c r="J575" s="10">
        <v>45673.88354166667</v>
      </c>
      <c r="K575" s="10">
        <v>45673.88354166667</v>
      </c>
      <c r="L575" s="10">
        <v>45673.884212962963</v>
      </c>
      <c r="M575" s="11">
        <f t="shared" si="24"/>
        <v>2.3761574069794733E-2</v>
      </c>
      <c r="N575" s="11">
        <f t="shared" si="25"/>
        <v>0.48248842593602603</v>
      </c>
      <c r="O575" s="10">
        <v>45673.424108796287</v>
      </c>
      <c r="P575" s="11">
        <f t="shared" si="26"/>
        <v>0.43755787036934635</v>
      </c>
      <c r="Q575" s="12" t="s">
        <v>1885</v>
      </c>
    </row>
    <row r="576" spans="1:17" ht="25.5" x14ac:dyDescent="0.25">
      <c r="A576" s="3" t="s">
        <v>1886</v>
      </c>
      <c r="B576" s="3" t="s">
        <v>292</v>
      </c>
      <c r="C576" s="9">
        <v>27</v>
      </c>
      <c r="D576" s="3" t="s">
        <v>527</v>
      </c>
      <c r="E576" s="10">
        <v>45673.377962962957</v>
      </c>
      <c r="F576" s="10">
        <v>45673.401724537027</v>
      </c>
      <c r="G576" s="10">
        <v>45673.403773148151</v>
      </c>
      <c r="H576" s="3" t="s">
        <v>1820</v>
      </c>
      <c r="I576" s="10">
        <v>45673.430636574078</v>
      </c>
      <c r="J576" s="10">
        <v>45673.449386574073</v>
      </c>
      <c r="K576" s="10">
        <v>45673.449386574073</v>
      </c>
      <c r="L576" s="10">
        <v>45673.450127314813</v>
      </c>
      <c r="M576" s="11">
        <f t="shared" si="24"/>
        <v>2.5810185194131918E-2</v>
      </c>
      <c r="N576" s="11">
        <f t="shared" si="25"/>
        <v>4.6354166661330964E-2</v>
      </c>
      <c r="O576" s="10">
        <v>45673.428900462961</v>
      </c>
      <c r="P576" s="11">
        <f t="shared" si="26"/>
        <v>1.7361111167701893E-3</v>
      </c>
      <c r="Q576" s="12" t="s">
        <v>1887</v>
      </c>
    </row>
    <row r="577" spans="1:17" ht="25.5" x14ac:dyDescent="0.25">
      <c r="A577" s="3" t="s">
        <v>1888</v>
      </c>
      <c r="B577" s="3" t="s">
        <v>292</v>
      </c>
      <c r="C577" s="9">
        <v>42</v>
      </c>
      <c r="D577" s="3" t="s">
        <v>519</v>
      </c>
      <c r="E577" s="10">
        <v>45673.377962962957</v>
      </c>
      <c r="F577" s="10">
        <v>45673.403773148151</v>
      </c>
      <c r="G577" s="10">
        <v>45673.405115740738</v>
      </c>
      <c r="H577" s="3" t="s">
        <v>1836</v>
      </c>
      <c r="I577" s="10">
        <v>45673.456516203703</v>
      </c>
      <c r="J577" s="10">
        <v>45673.473969907413</v>
      </c>
      <c r="K577" s="10">
        <v>45673.473969907413</v>
      </c>
      <c r="L577" s="10">
        <v>45673.474745370368</v>
      </c>
      <c r="M577" s="11">
        <f t="shared" si="24"/>
        <v>2.715277778042946E-2</v>
      </c>
      <c r="N577" s="11">
        <f t="shared" si="25"/>
        <v>6.9629629630071577E-2</v>
      </c>
      <c r="O577" s="10">
        <v>45673.428900462961</v>
      </c>
      <c r="P577" s="11">
        <f t="shared" si="26"/>
        <v>2.7615740742476191E-2</v>
      </c>
      <c r="Q577" s="12" t="s">
        <v>1889</v>
      </c>
    </row>
    <row r="578" spans="1:17" ht="38.25" x14ac:dyDescent="0.25">
      <c r="A578" s="3" t="s">
        <v>1890</v>
      </c>
      <c r="B578" s="3" t="s">
        <v>292</v>
      </c>
      <c r="C578" s="9">
        <v>15.74</v>
      </c>
      <c r="D578" s="3" t="s">
        <v>496</v>
      </c>
      <c r="E578" s="10">
        <v>45673.377962962957</v>
      </c>
      <c r="F578" s="10">
        <v>45673.405115740738</v>
      </c>
      <c r="G578" s="10">
        <v>45673.407025462962</v>
      </c>
      <c r="H578" s="3" t="s">
        <v>1843</v>
      </c>
      <c r="I578" s="10">
        <v>45675.30059027778</v>
      </c>
      <c r="J578" s="10">
        <v>45675.328321759262</v>
      </c>
      <c r="K578" s="10">
        <v>45675.328321759262</v>
      </c>
      <c r="L578" s="10">
        <v>45675.329074074078</v>
      </c>
      <c r="M578" s="11">
        <f t="shared" ref="M578:M641" si="27">IF(AND(ISNUMBER(E578),ISNUMBER(G578)),(G578-E578),"")</f>
        <v>2.9062500005238689E-2</v>
      </c>
      <c r="N578" s="11">
        <f t="shared" ref="N578:N641" si="28">IF(AND(ISNUMBER(G578),ISNUMBER(L578)),(L578-G578),"")</f>
        <v>1.922048611115315</v>
      </c>
      <c r="O578" s="10">
        <v>45673.429976851847</v>
      </c>
      <c r="P578" s="11">
        <f t="shared" ref="P578:P641" si="29">IF(AND(ISNUMBER(I578),ISNUMBER(O578)),(I578-O578),"")</f>
        <v>1.8706134259336977</v>
      </c>
      <c r="Q578" s="12" t="s">
        <v>1891</v>
      </c>
    </row>
    <row r="579" spans="1:17" ht="38.25" x14ac:dyDescent="0.25">
      <c r="A579" s="3" t="s">
        <v>1892</v>
      </c>
      <c r="B579" s="3" t="s">
        <v>292</v>
      </c>
      <c r="C579" s="9">
        <v>19.899999999999999</v>
      </c>
      <c r="D579" s="3" t="s">
        <v>484</v>
      </c>
      <c r="E579" s="10">
        <v>45673.377962962957</v>
      </c>
      <c r="F579" s="10">
        <v>45673.407025462962</v>
      </c>
      <c r="G579" s="10">
        <v>45673.408541666657</v>
      </c>
      <c r="H579" s="3" t="s">
        <v>1801</v>
      </c>
      <c r="I579" s="10">
        <v>45674.346863425933</v>
      </c>
      <c r="J579" s="10">
        <v>45674.370185185187</v>
      </c>
      <c r="K579" s="10">
        <v>45674.370185185187</v>
      </c>
      <c r="L579" s="10">
        <v>45674.371041666673</v>
      </c>
      <c r="M579" s="11">
        <f t="shared" si="27"/>
        <v>3.0578703699575271E-2</v>
      </c>
      <c r="N579" s="11">
        <f t="shared" si="28"/>
        <v>0.96250000001600711</v>
      </c>
      <c r="O579" s="10">
        <v>45673.430381944447</v>
      </c>
      <c r="P579" s="11">
        <f t="shared" si="29"/>
        <v>0.91648148148669861</v>
      </c>
      <c r="Q579" s="12" t="s">
        <v>1893</v>
      </c>
    </row>
    <row r="580" spans="1:17" ht="25.5" x14ac:dyDescent="0.25">
      <c r="A580" s="3" t="s">
        <v>1894</v>
      </c>
      <c r="B580" s="3" t="s">
        <v>292</v>
      </c>
      <c r="C580" s="9">
        <v>59.7</v>
      </c>
      <c r="D580" s="3" t="s">
        <v>539</v>
      </c>
      <c r="E580" s="10">
        <v>45673.377962962957</v>
      </c>
      <c r="F580" s="10">
        <v>45673.408541666657</v>
      </c>
      <c r="G580" s="10">
        <v>45673.409918981481</v>
      </c>
      <c r="H580" s="3" t="s">
        <v>1686</v>
      </c>
      <c r="I580" s="10">
        <v>45673.543124999997</v>
      </c>
      <c r="J580" s="10">
        <v>45673.598275462973</v>
      </c>
      <c r="K580" s="10">
        <v>45673.598275462973</v>
      </c>
      <c r="L580" s="10">
        <v>45673.599432870367</v>
      </c>
      <c r="M580" s="11">
        <f t="shared" si="27"/>
        <v>3.1956018523487728E-2</v>
      </c>
      <c r="N580" s="11">
        <f t="shared" si="28"/>
        <v>0.18951388888672227</v>
      </c>
      <c r="O580" s="10">
        <v>45673.431979166657</v>
      </c>
      <c r="P580" s="11">
        <f t="shared" si="29"/>
        <v>0.11114583333983319</v>
      </c>
      <c r="Q580" s="12" t="s">
        <v>1895</v>
      </c>
    </row>
    <row r="581" spans="1:17" ht="25.5" x14ac:dyDescent="0.25">
      <c r="A581" s="3" t="s">
        <v>1896</v>
      </c>
      <c r="B581" s="3" t="s">
        <v>292</v>
      </c>
      <c r="C581" s="9">
        <v>170.92</v>
      </c>
      <c r="D581" s="3" t="s">
        <v>506</v>
      </c>
      <c r="E581" s="10">
        <v>45673.377962962957</v>
      </c>
      <c r="F581" s="10">
        <v>45673.409918981481</v>
      </c>
      <c r="G581" s="10">
        <v>45673.411550925928</v>
      </c>
      <c r="H581" s="3" t="s">
        <v>1686</v>
      </c>
      <c r="I581" s="10">
        <v>45673.543124999997</v>
      </c>
      <c r="J581" s="10">
        <v>45673.598275462973</v>
      </c>
      <c r="K581" s="10">
        <v>45673.598275462973</v>
      </c>
      <c r="L581" s="10">
        <v>45673.599432870367</v>
      </c>
      <c r="M581" s="11">
        <f t="shared" si="27"/>
        <v>3.3587962971068919E-2</v>
      </c>
      <c r="N581" s="11">
        <f t="shared" si="28"/>
        <v>0.18788194443914108</v>
      </c>
      <c r="O581" s="10">
        <v>45673.43310185185</v>
      </c>
      <c r="P581" s="11">
        <f t="shared" si="29"/>
        <v>0.11002314814686542</v>
      </c>
      <c r="Q581" s="12" t="s">
        <v>1897</v>
      </c>
    </row>
    <row r="582" spans="1:17" x14ac:dyDescent="0.25">
      <c r="A582" s="3" t="s">
        <v>1898</v>
      </c>
      <c r="B582" s="3" t="s">
        <v>293</v>
      </c>
      <c r="C582" s="9">
        <v>208.6</v>
      </c>
      <c r="D582" s="3" t="s">
        <v>572</v>
      </c>
      <c r="E582" s="10">
        <v>45673.378217592603</v>
      </c>
      <c r="F582" s="10">
        <v>45673.386053240742</v>
      </c>
      <c r="G582" s="10">
        <v>45673.388194444437</v>
      </c>
      <c r="H582" s="3" t="s">
        <v>1899</v>
      </c>
      <c r="I582" s="10">
        <v>45673.391400462962</v>
      </c>
      <c r="J582" s="10">
        <v>45673.427615740737</v>
      </c>
      <c r="K582" s="10">
        <v>45673.427615740737</v>
      </c>
      <c r="L582" s="10">
        <v>45673.42869212963</v>
      </c>
      <c r="M582" s="11">
        <f t="shared" si="27"/>
        <v>9.9768518339260481E-3</v>
      </c>
      <c r="N582" s="11">
        <f t="shared" si="28"/>
        <v>4.0497685193258803E-2</v>
      </c>
      <c r="O582" s="10">
        <v>45673.390555555547</v>
      </c>
      <c r="P582" s="11">
        <f t="shared" si="29"/>
        <v>8.4490741573972628E-4</v>
      </c>
      <c r="Q582" s="12" t="s">
        <v>1900</v>
      </c>
    </row>
    <row r="583" spans="1:17" x14ac:dyDescent="0.25">
      <c r="A583" s="3" t="s">
        <v>1901</v>
      </c>
      <c r="B583" s="3" t="s">
        <v>293</v>
      </c>
      <c r="C583" s="9">
        <v>180.8</v>
      </c>
      <c r="D583" s="3" t="s">
        <v>500</v>
      </c>
      <c r="E583" s="10">
        <v>45673.378217592603</v>
      </c>
      <c r="F583" s="10">
        <v>45673.388194444437</v>
      </c>
      <c r="G583" s="10">
        <v>45673.390497685177</v>
      </c>
      <c r="H583" s="3" t="s">
        <v>1902</v>
      </c>
      <c r="I583" s="10">
        <v>45673.394270833327</v>
      </c>
      <c r="J583" s="10">
        <v>45673.425659722219</v>
      </c>
      <c r="K583" s="10">
        <v>45673.425659722219</v>
      </c>
      <c r="L583" s="10">
        <v>45673.426620370366</v>
      </c>
      <c r="M583" s="11">
        <f t="shared" si="27"/>
        <v>1.228009257465601E-2</v>
      </c>
      <c r="N583" s="11">
        <f t="shared" si="28"/>
        <v>3.6122685189184267E-2</v>
      </c>
      <c r="O583" s="10">
        <v>45673.39266203704</v>
      </c>
      <c r="P583" s="11">
        <f t="shared" si="29"/>
        <v>1.6087962867459282E-3</v>
      </c>
      <c r="Q583" s="12" t="s">
        <v>1903</v>
      </c>
    </row>
    <row r="584" spans="1:17" ht="25.5" x14ac:dyDescent="0.25">
      <c r="A584" s="3" t="s">
        <v>1904</v>
      </c>
      <c r="B584" s="3" t="s">
        <v>294</v>
      </c>
      <c r="C584" s="9">
        <v>21</v>
      </c>
      <c r="D584" s="3" t="s">
        <v>572</v>
      </c>
      <c r="E584" s="10">
        <v>45673.443576388891</v>
      </c>
      <c r="F584" s="10">
        <v>45673.45113425926</v>
      </c>
      <c r="G584" s="10">
        <v>45673.452314814807</v>
      </c>
      <c r="H584" s="3" t="s">
        <v>1905</v>
      </c>
      <c r="I584" s="10">
        <v>45674.659560185188</v>
      </c>
      <c r="J584" s="10">
        <v>45674.682870370372</v>
      </c>
      <c r="K584" s="10">
        <v>45674.682870370372</v>
      </c>
      <c r="L584" s="10">
        <v>45674.683645833327</v>
      </c>
      <c r="M584" s="11">
        <f t="shared" si="27"/>
        <v>8.7384259168175049E-3</v>
      </c>
      <c r="N584" s="11">
        <f t="shared" si="28"/>
        <v>1.2313310185199953</v>
      </c>
      <c r="O584" s="10">
        <v>45673.454710648148</v>
      </c>
      <c r="P584" s="11">
        <f t="shared" si="29"/>
        <v>1.2048495370399905</v>
      </c>
      <c r="Q584" s="12" t="s">
        <v>1906</v>
      </c>
    </row>
    <row r="585" spans="1:17" x14ac:dyDescent="0.25">
      <c r="A585" s="3" t="s">
        <v>1907</v>
      </c>
      <c r="B585" s="3" t="s">
        <v>294</v>
      </c>
      <c r="C585" s="9">
        <v>338.34000000000009</v>
      </c>
      <c r="D585" s="3" t="s">
        <v>500</v>
      </c>
      <c r="E585" s="10">
        <v>45673.443576388891</v>
      </c>
      <c r="F585" s="10">
        <v>45673.452314814807</v>
      </c>
      <c r="G585" s="10">
        <v>45673.454780092587</v>
      </c>
      <c r="H585" s="3" t="s">
        <v>1908</v>
      </c>
      <c r="I585" s="10">
        <v>45673.615995370368</v>
      </c>
      <c r="J585" s="10">
        <v>45673.674733796302</v>
      </c>
      <c r="K585" s="10">
        <v>45673.674733796302</v>
      </c>
      <c r="L585" s="10">
        <v>45673.676111111112</v>
      </c>
      <c r="M585" s="11">
        <f t="shared" si="27"/>
        <v>1.1203703696082812E-2</v>
      </c>
      <c r="N585" s="11">
        <f t="shared" si="28"/>
        <v>0.22133101852523396</v>
      </c>
      <c r="O585" s="10">
        <v>45673.457175925927</v>
      </c>
      <c r="P585" s="11">
        <f t="shared" si="29"/>
        <v>0.15881944444117835</v>
      </c>
      <c r="Q585" s="12" t="s">
        <v>1909</v>
      </c>
    </row>
    <row r="586" spans="1:17" x14ac:dyDescent="0.25">
      <c r="A586" s="3" t="s">
        <v>1910</v>
      </c>
      <c r="B586" s="3" t="s">
        <v>295</v>
      </c>
      <c r="C586" s="9">
        <v>172.98</v>
      </c>
      <c r="D586" s="3" t="s">
        <v>500</v>
      </c>
      <c r="E586" s="10">
        <v>45673.534050925933</v>
      </c>
      <c r="F586" s="10">
        <v>45673.539004629631</v>
      </c>
      <c r="G586" s="10">
        <v>45673.541388888887</v>
      </c>
      <c r="H586" s="3" t="s">
        <v>1911</v>
      </c>
      <c r="I586" s="10">
        <v>45673.643078703702</v>
      </c>
      <c r="J586" s="10">
        <v>45673.673101851848</v>
      </c>
      <c r="K586" s="10">
        <v>45673.673101851848</v>
      </c>
      <c r="L586" s="10">
        <v>45673.674004629633</v>
      </c>
      <c r="M586" s="11">
        <f t="shared" si="27"/>
        <v>7.3379629538976587E-3</v>
      </c>
      <c r="N586" s="11">
        <f t="shared" si="28"/>
        <v>0.13261574074567761</v>
      </c>
      <c r="O586" s="10">
        <v>45673.54378472222</v>
      </c>
      <c r="P586" s="11">
        <f t="shared" si="29"/>
        <v>9.9293981482333038E-2</v>
      </c>
      <c r="Q586" s="12" t="s">
        <v>1912</v>
      </c>
    </row>
    <row r="587" spans="1:17" x14ac:dyDescent="0.25">
      <c r="A587" s="3" t="s">
        <v>1913</v>
      </c>
      <c r="B587" s="3" t="s">
        <v>296</v>
      </c>
      <c r="C587" s="9">
        <v>233.88</v>
      </c>
      <c r="D587" s="3" t="s">
        <v>500</v>
      </c>
      <c r="E587" s="10">
        <v>45673.60701388889</v>
      </c>
      <c r="F587" s="10">
        <v>45673.612476851849</v>
      </c>
      <c r="G587" s="10">
        <v>45673.614259259259</v>
      </c>
      <c r="H587" s="3" t="s">
        <v>1914</v>
      </c>
      <c r="I587" s="10">
        <v>45673.655231481483</v>
      </c>
      <c r="J587" s="10">
        <v>45673.695844907408</v>
      </c>
      <c r="K587" s="10">
        <v>45673.695844907408</v>
      </c>
      <c r="L587" s="10">
        <v>45673.696805555563</v>
      </c>
      <c r="M587" s="11">
        <f t="shared" si="27"/>
        <v>7.2453703687642701E-3</v>
      </c>
      <c r="N587" s="11">
        <f t="shared" si="28"/>
        <v>8.2546296303917188E-2</v>
      </c>
      <c r="O587" s="10">
        <v>45673.616655092592</v>
      </c>
      <c r="P587" s="11">
        <f t="shared" si="29"/>
        <v>3.8576388891669922E-2</v>
      </c>
      <c r="Q587" s="12" t="s">
        <v>1915</v>
      </c>
    </row>
    <row r="588" spans="1:17" ht="25.5" x14ac:dyDescent="0.25">
      <c r="A588" s="3" t="s">
        <v>1916</v>
      </c>
      <c r="B588" s="3" t="s">
        <v>297</v>
      </c>
      <c r="C588" s="9">
        <v>42</v>
      </c>
      <c r="D588" s="3" t="s">
        <v>488</v>
      </c>
      <c r="E588" s="10">
        <v>45673.616747685177</v>
      </c>
      <c r="F588" s="10">
        <v>45673.62877314815</v>
      </c>
      <c r="G588" s="10">
        <v>45673.630740740737</v>
      </c>
      <c r="H588" s="3" t="s">
        <v>1866</v>
      </c>
      <c r="I588" s="10">
        <v>45673.861666666657</v>
      </c>
      <c r="J588" s="10">
        <v>45673.88354166667</v>
      </c>
      <c r="K588" s="10">
        <v>45673.88354166667</v>
      </c>
      <c r="L588" s="10">
        <v>45673.884212962963</v>
      </c>
      <c r="M588" s="11">
        <f t="shared" si="27"/>
        <v>1.3993055559694767E-2</v>
      </c>
      <c r="N588" s="11">
        <f t="shared" si="28"/>
        <v>0.25347222222626442</v>
      </c>
      <c r="O588" s="10">
        <v>45673.634664351863</v>
      </c>
      <c r="P588" s="11">
        <f t="shared" si="29"/>
        <v>0.22700231479393551</v>
      </c>
      <c r="Q588" s="12" t="s">
        <v>1917</v>
      </c>
    </row>
    <row r="589" spans="1:17" x14ac:dyDescent="0.25">
      <c r="A589" s="3" t="s">
        <v>1918</v>
      </c>
      <c r="B589" s="3" t="s">
        <v>297</v>
      </c>
      <c r="C589" s="9">
        <v>171.66</v>
      </c>
      <c r="D589" s="3" t="s">
        <v>506</v>
      </c>
      <c r="E589" s="10">
        <v>45673.616747685177</v>
      </c>
      <c r="F589" s="10">
        <v>45673.630740740737</v>
      </c>
      <c r="G589" s="10">
        <v>45673.632384259261</v>
      </c>
      <c r="H589" s="3" t="s">
        <v>1919</v>
      </c>
      <c r="I589" s="10">
        <v>45673.683032407411</v>
      </c>
      <c r="J589" s="10">
        <v>45673.712835648148</v>
      </c>
      <c r="K589" s="10">
        <v>45673.712835648148</v>
      </c>
      <c r="L589" s="10">
        <v>45673.71365740741</v>
      </c>
      <c r="M589" s="11">
        <f t="shared" si="27"/>
        <v>1.563657408405561E-2</v>
      </c>
      <c r="N589" s="11">
        <f t="shared" si="28"/>
        <v>8.127314814919373E-2</v>
      </c>
      <c r="O589" s="10">
        <v>45673.634560185194</v>
      </c>
      <c r="P589" s="11">
        <f t="shared" si="29"/>
        <v>4.8472222217242233E-2</v>
      </c>
      <c r="Q589" s="12" t="s">
        <v>1920</v>
      </c>
    </row>
    <row r="590" spans="1:17" ht="25.5" x14ac:dyDescent="0.25">
      <c r="A590" s="3" t="s">
        <v>1921</v>
      </c>
      <c r="B590" s="3" t="s">
        <v>297</v>
      </c>
      <c r="C590" s="9">
        <v>15.74</v>
      </c>
      <c r="D590" s="3" t="s">
        <v>533</v>
      </c>
      <c r="E590" s="10">
        <v>45673.616747685177</v>
      </c>
      <c r="F590" s="10">
        <v>45673.632384259261</v>
      </c>
      <c r="G590" s="10">
        <v>45673.633993055562</v>
      </c>
      <c r="H590" s="3" t="s">
        <v>1849</v>
      </c>
      <c r="I590" s="10">
        <v>45674.32607638889</v>
      </c>
      <c r="J590" s="10">
        <v>45674.345208333332</v>
      </c>
      <c r="K590" s="10">
        <v>45674.345208333332</v>
      </c>
      <c r="L590" s="10">
        <v>45674.346064814818</v>
      </c>
      <c r="M590" s="11">
        <f t="shared" si="27"/>
        <v>1.7245370385353453E-2</v>
      </c>
      <c r="N590" s="11">
        <f t="shared" si="28"/>
        <v>0.7120717592551955</v>
      </c>
      <c r="O590" s="10">
        <v>45673.637881944444</v>
      </c>
      <c r="P590" s="11">
        <f t="shared" si="29"/>
        <v>0.68819444444670808</v>
      </c>
      <c r="Q590" s="12" t="s">
        <v>1922</v>
      </c>
    </row>
    <row r="591" spans="1:17" ht="38.25" x14ac:dyDescent="0.25">
      <c r="A591" s="3" t="s">
        <v>1923</v>
      </c>
      <c r="B591" s="3" t="s">
        <v>297</v>
      </c>
      <c r="C591" s="9">
        <v>19.899999999999999</v>
      </c>
      <c r="D591" s="3" t="s">
        <v>563</v>
      </c>
      <c r="E591" s="10">
        <v>45673.616747685177</v>
      </c>
      <c r="F591" s="10">
        <v>45673.633993055562</v>
      </c>
      <c r="G591" s="10">
        <v>45673.635497685187</v>
      </c>
      <c r="H591" s="3" t="s">
        <v>1801</v>
      </c>
      <c r="I591" s="10">
        <v>45674.346863425933</v>
      </c>
      <c r="J591" s="10">
        <v>45674.370185185187</v>
      </c>
      <c r="K591" s="10">
        <v>45674.370185185187</v>
      </c>
      <c r="L591" s="10">
        <v>45674.371041666673</v>
      </c>
      <c r="M591" s="11">
        <f t="shared" si="27"/>
        <v>1.8750000010186341E-2</v>
      </c>
      <c r="N591" s="11">
        <f t="shared" si="28"/>
        <v>0.73554398148553446</v>
      </c>
      <c r="O591" s="10">
        <v>45673.639074074083</v>
      </c>
      <c r="P591" s="11">
        <f t="shared" si="29"/>
        <v>0.70778935185080627</v>
      </c>
      <c r="Q591" s="12" t="s">
        <v>1924</v>
      </c>
    </row>
    <row r="592" spans="1:17" ht="38.25" x14ac:dyDescent="0.25">
      <c r="A592" s="3" t="s">
        <v>1925</v>
      </c>
      <c r="B592" s="3" t="s">
        <v>297</v>
      </c>
      <c r="C592" s="9">
        <v>15.74</v>
      </c>
      <c r="D592" s="3" t="s">
        <v>496</v>
      </c>
      <c r="E592" s="10">
        <v>45673.616747685177</v>
      </c>
      <c r="F592" s="10">
        <v>45673.635497685187</v>
      </c>
      <c r="G592" s="10">
        <v>45673.637418981481</v>
      </c>
      <c r="H592" s="3" t="s">
        <v>1843</v>
      </c>
      <c r="I592" s="10">
        <v>45675.30059027778</v>
      </c>
      <c r="J592" s="10">
        <v>45675.328321759262</v>
      </c>
      <c r="K592" s="10">
        <v>45675.328321759262</v>
      </c>
      <c r="L592" s="10">
        <v>45675.329074074078</v>
      </c>
      <c r="M592" s="11">
        <f t="shared" si="27"/>
        <v>2.0671296304499265E-2</v>
      </c>
      <c r="N592" s="11">
        <f t="shared" si="28"/>
        <v>1.6916550925961928</v>
      </c>
      <c r="O592" s="10">
        <v>45673.641342592593</v>
      </c>
      <c r="P592" s="11">
        <f t="shared" si="29"/>
        <v>1.659247685187438</v>
      </c>
      <c r="Q592" s="12" t="s">
        <v>1926</v>
      </c>
    </row>
    <row r="593" spans="1:17" ht="25.5" x14ac:dyDescent="0.25">
      <c r="A593" s="3" t="s">
        <v>1927</v>
      </c>
      <c r="B593" s="3" t="s">
        <v>297</v>
      </c>
      <c r="C593" s="9">
        <v>19.899999999999999</v>
      </c>
      <c r="D593" s="3" t="s">
        <v>519</v>
      </c>
      <c r="E593" s="10">
        <v>45673.616747685177</v>
      </c>
      <c r="F593" s="10">
        <v>45673.637418981481</v>
      </c>
      <c r="G593" s="10">
        <v>45673.639374999999</v>
      </c>
      <c r="H593" s="3" t="s">
        <v>1928</v>
      </c>
      <c r="I593" s="10">
        <v>45674.379143518519</v>
      </c>
      <c r="J593" s="10">
        <v>45674.478807870371</v>
      </c>
      <c r="K593" s="10">
        <v>45674.478807870371</v>
      </c>
      <c r="L593" s="10">
        <v>45674.480694444443</v>
      </c>
      <c r="M593" s="11">
        <f t="shared" si="27"/>
        <v>2.2627314821875188E-2</v>
      </c>
      <c r="N593" s="11">
        <f t="shared" si="28"/>
        <v>0.84131944444379769</v>
      </c>
      <c r="O593" s="10">
        <v>45673.641747685193</v>
      </c>
      <c r="P593" s="11">
        <f t="shared" si="29"/>
        <v>0.73739583332644543</v>
      </c>
      <c r="Q593" s="12" t="s">
        <v>1929</v>
      </c>
    </row>
    <row r="594" spans="1:17" ht="25.5" x14ac:dyDescent="0.25">
      <c r="A594" s="3" t="s">
        <v>1930</v>
      </c>
      <c r="B594" s="3" t="s">
        <v>297</v>
      </c>
      <c r="C594" s="9">
        <v>54</v>
      </c>
      <c r="D594" s="3" t="s">
        <v>527</v>
      </c>
      <c r="E594" s="10">
        <v>45673.616747685177</v>
      </c>
      <c r="F594" s="10">
        <v>45673.639374999999</v>
      </c>
      <c r="G594" s="10">
        <v>45673.640752314823</v>
      </c>
      <c r="H594" s="3" t="s">
        <v>1931</v>
      </c>
      <c r="I594" s="10">
        <v>45674.2815162037</v>
      </c>
      <c r="J594" s="10">
        <v>45674.300266203703</v>
      </c>
      <c r="K594" s="10">
        <v>45674.300266203703</v>
      </c>
      <c r="L594" s="10">
        <v>45674.301064814812</v>
      </c>
      <c r="M594" s="11">
        <f t="shared" si="27"/>
        <v>2.4004629645787645E-2</v>
      </c>
      <c r="N594" s="11">
        <f t="shared" si="28"/>
        <v>0.66031249998923158</v>
      </c>
      <c r="O594" s="10">
        <v>45673.642928240741</v>
      </c>
      <c r="P594" s="11">
        <f t="shared" si="29"/>
        <v>0.63858796295971842</v>
      </c>
      <c r="Q594" s="12" t="s">
        <v>1932</v>
      </c>
    </row>
    <row r="595" spans="1:17" ht="25.5" x14ac:dyDescent="0.25">
      <c r="A595" s="3" t="s">
        <v>1933</v>
      </c>
      <c r="B595" s="3" t="s">
        <v>298</v>
      </c>
      <c r="C595" s="9">
        <v>62.96</v>
      </c>
      <c r="D595" s="3" t="s">
        <v>500</v>
      </c>
      <c r="E595" s="10">
        <v>45673.644942129627</v>
      </c>
      <c r="F595" s="10">
        <v>45673.649016203701</v>
      </c>
      <c r="G595" s="10">
        <v>45673.651435185187</v>
      </c>
      <c r="H595" s="3" t="s">
        <v>1934</v>
      </c>
      <c r="I595" s="10">
        <v>45673.751863425918</v>
      </c>
      <c r="J595" s="10">
        <v>45673.77275462963</v>
      </c>
      <c r="K595" s="10">
        <v>45673.77275462963</v>
      </c>
      <c r="L595" s="10">
        <v>45673.773576388892</v>
      </c>
      <c r="M595" s="11">
        <f t="shared" si="27"/>
        <v>6.4930555599858053E-3</v>
      </c>
      <c r="N595" s="11">
        <f t="shared" si="28"/>
        <v>0.12214120370481396</v>
      </c>
      <c r="O595" s="10">
        <v>45673.653611111113</v>
      </c>
      <c r="P595" s="11">
        <f t="shared" si="29"/>
        <v>9.8252314804994967E-2</v>
      </c>
      <c r="Q595" s="12" t="s">
        <v>1935</v>
      </c>
    </row>
    <row r="596" spans="1:17" ht="25.5" x14ac:dyDescent="0.25">
      <c r="A596" s="3" t="s">
        <v>1936</v>
      </c>
      <c r="B596" s="3" t="s">
        <v>299</v>
      </c>
      <c r="C596" s="9">
        <v>61.9</v>
      </c>
      <c r="D596" s="3" t="s">
        <v>572</v>
      </c>
      <c r="E596" s="10">
        <v>45673.672453703701</v>
      </c>
      <c r="F596" s="10">
        <v>45673.677974537037</v>
      </c>
      <c r="G596" s="10">
        <v>45673.679247685177</v>
      </c>
      <c r="H596" s="3" t="s">
        <v>1905</v>
      </c>
      <c r="I596" s="10">
        <v>45674.659560185188</v>
      </c>
      <c r="J596" s="10">
        <v>45674.682870370372</v>
      </c>
      <c r="K596" s="10">
        <v>45674.682870370372</v>
      </c>
      <c r="L596" s="10">
        <v>45674.683645833327</v>
      </c>
      <c r="M596" s="11">
        <f t="shared" si="27"/>
        <v>6.7939814762212336E-3</v>
      </c>
      <c r="N596" s="11">
        <f t="shared" si="28"/>
        <v>1.0043981481503579</v>
      </c>
      <c r="O596" s="10">
        <v>45673.683148148149</v>
      </c>
      <c r="P596" s="11">
        <f t="shared" si="29"/>
        <v>0.97641203703824431</v>
      </c>
      <c r="Q596" s="12" t="s">
        <v>1937</v>
      </c>
    </row>
    <row r="597" spans="1:17" ht="25.5" x14ac:dyDescent="0.25">
      <c r="A597" s="3" t="s">
        <v>1938</v>
      </c>
      <c r="B597" s="3" t="s">
        <v>299</v>
      </c>
      <c r="C597" s="9">
        <v>57.4</v>
      </c>
      <c r="D597" s="3" t="s">
        <v>500</v>
      </c>
      <c r="E597" s="10">
        <v>45673.672453703701</v>
      </c>
      <c r="F597" s="10">
        <v>45673.679247685177</v>
      </c>
      <c r="G597" s="10">
        <v>45673.681296296287</v>
      </c>
      <c r="H597" s="3" t="s">
        <v>1934</v>
      </c>
      <c r="I597" s="10">
        <v>45673.751863425918</v>
      </c>
      <c r="J597" s="10">
        <v>45673.77275462963</v>
      </c>
      <c r="K597" s="10">
        <v>45673.77275462963</v>
      </c>
      <c r="L597" s="10">
        <v>45673.773576388892</v>
      </c>
      <c r="M597" s="11">
        <f t="shared" si="27"/>
        <v>8.8425925860065036E-3</v>
      </c>
      <c r="N597" s="11">
        <f t="shared" si="28"/>
        <v>9.228009260550607E-2</v>
      </c>
      <c r="O597" s="10">
        <v>45673.685219907413</v>
      </c>
      <c r="P597" s="11">
        <f t="shared" si="29"/>
        <v>6.6643518504861277E-2</v>
      </c>
      <c r="Q597" s="12" t="s">
        <v>1939</v>
      </c>
    </row>
    <row r="598" spans="1:17" ht="25.5" x14ac:dyDescent="0.25">
      <c r="A598" s="3" t="s">
        <v>1940</v>
      </c>
      <c r="B598" s="3" t="s">
        <v>300</v>
      </c>
      <c r="C598" s="9">
        <v>27</v>
      </c>
      <c r="D598" s="3" t="s">
        <v>527</v>
      </c>
      <c r="E598" s="10">
        <v>45673.729490740741</v>
      </c>
      <c r="F598" s="10">
        <v>45673.741446759261</v>
      </c>
      <c r="G598" s="10">
        <v>45673.742754629631</v>
      </c>
      <c r="H598" s="3" t="s">
        <v>1931</v>
      </c>
      <c r="I598" s="10">
        <v>45674.2815162037</v>
      </c>
      <c r="J598" s="10">
        <v>45674.300266203703</v>
      </c>
      <c r="K598" s="10">
        <v>45674.300266203703</v>
      </c>
      <c r="L598" s="10">
        <v>45674.301064814812</v>
      </c>
      <c r="M598" s="11">
        <f t="shared" si="27"/>
        <v>1.3263888889923692E-2</v>
      </c>
      <c r="N598" s="11">
        <f t="shared" si="28"/>
        <v>0.55831018518074416</v>
      </c>
      <c r="O598" s="10">
        <v>45673.746319444443</v>
      </c>
      <c r="P598" s="11">
        <f t="shared" si="29"/>
        <v>0.53519675925781485</v>
      </c>
      <c r="Q598" s="12" t="s">
        <v>1941</v>
      </c>
    </row>
    <row r="599" spans="1:17" ht="25.5" x14ac:dyDescent="0.25">
      <c r="A599" s="3" t="s">
        <v>1942</v>
      </c>
      <c r="B599" s="3" t="s">
        <v>300</v>
      </c>
      <c r="C599" s="9">
        <v>42</v>
      </c>
      <c r="D599" s="3" t="s">
        <v>488</v>
      </c>
      <c r="E599" s="10">
        <v>45673.729490740741</v>
      </c>
      <c r="F599" s="10">
        <v>45673.742754629631</v>
      </c>
      <c r="G599" s="10">
        <v>45673.744722222233</v>
      </c>
      <c r="H599" s="3" t="s">
        <v>1866</v>
      </c>
      <c r="I599" s="10">
        <v>45673.861666666657</v>
      </c>
      <c r="J599" s="10">
        <v>45673.88354166667</v>
      </c>
      <c r="K599" s="10">
        <v>45673.88354166667</v>
      </c>
      <c r="L599" s="10">
        <v>45673.884212962963</v>
      </c>
      <c r="M599" s="11">
        <f t="shared" si="27"/>
        <v>1.5231481491355225E-2</v>
      </c>
      <c r="N599" s="11">
        <f t="shared" si="28"/>
        <v>0.13949074073025258</v>
      </c>
      <c r="O599" s="10">
        <v>45673.748645833337</v>
      </c>
      <c r="P599" s="11">
        <f t="shared" si="29"/>
        <v>0.11302083331975155</v>
      </c>
      <c r="Q599" s="12" t="s">
        <v>1943</v>
      </c>
    </row>
    <row r="600" spans="1:17" x14ac:dyDescent="0.25">
      <c r="A600" s="3" t="s">
        <v>1944</v>
      </c>
      <c r="B600" s="3" t="s">
        <v>300</v>
      </c>
      <c r="C600" s="9">
        <v>373.32000000000011</v>
      </c>
      <c r="D600" s="3" t="s">
        <v>506</v>
      </c>
      <c r="E600" s="10">
        <v>45673.729490740741</v>
      </c>
      <c r="F600" s="10">
        <v>45673.744722222233</v>
      </c>
      <c r="G600" s="10">
        <v>45673.746828703697</v>
      </c>
      <c r="H600" s="3" t="s">
        <v>1945</v>
      </c>
      <c r="I600" s="10">
        <v>45674.133692129632</v>
      </c>
      <c r="J600" s="10">
        <v>45674.198506944442</v>
      </c>
      <c r="K600" s="10">
        <v>45674.198506944442</v>
      </c>
      <c r="L600" s="10">
        <v>45674.199791666673</v>
      </c>
      <c r="M600" s="11">
        <f t="shared" si="27"/>
        <v>1.7337962955934927E-2</v>
      </c>
      <c r="N600" s="11">
        <f t="shared" si="28"/>
        <v>0.45296296297601657</v>
      </c>
      <c r="O600" s="10">
        <v>45673.748993055553</v>
      </c>
      <c r="P600" s="11">
        <f t="shared" si="29"/>
        <v>0.38469907407852588</v>
      </c>
      <c r="Q600" s="12" t="s">
        <v>1946</v>
      </c>
    </row>
    <row r="601" spans="1:17" ht="25.5" x14ac:dyDescent="0.25">
      <c r="A601" s="3" t="s">
        <v>1947</v>
      </c>
      <c r="B601" s="3" t="s">
        <v>300</v>
      </c>
      <c r="C601" s="9">
        <v>40.9</v>
      </c>
      <c r="D601" s="3" t="s">
        <v>519</v>
      </c>
      <c r="E601" s="10">
        <v>45673.729490740741</v>
      </c>
      <c r="F601" s="10">
        <v>45673.746828703697</v>
      </c>
      <c r="G601" s="10">
        <v>45673.748842592591</v>
      </c>
      <c r="H601" s="3" t="s">
        <v>1928</v>
      </c>
      <c r="I601" s="10">
        <v>45674.379143518519</v>
      </c>
      <c r="J601" s="10">
        <v>45674.478807870371</v>
      </c>
      <c r="K601" s="10">
        <v>45674.478807870371</v>
      </c>
      <c r="L601" s="10">
        <v>45674.480694444443</v>
      </c>
      <c r="M601" s="11">
        <f t="shared" si="27"/>
        <v>1.9351851849933155E-2</v>
      </c>
      <c r="N601" s="11">
        <f t="shared" si="28"/>
        <v>0.73185185185138835</v>
      </c>
      <c r="O601" s="10">
        <v>45673.75240740741</v>
      </c>
      <c r="P601" s="11">
        <f t="shared" si="29"/>
        <v>0.62673611110949423</v>
      </c>
      <c r="Q601" s="12" t="s">
        <v>1948</v>
      </c>
    </row>
    <row r="602" spans="1:17" ht="25.5" x14ac:dyDescent="0.25">
      <c r="A602" s="3" t="s">
        <v>1949</v>
      </c>
      <c r="B602" s="3" t="s">
        <v>300</v>
      </c>
      <c r="C602" s="9">
        <v>19.899999999999999</v>
      </c>
      <c r="D602" s="3" t="s">
        <v>539</v>
      </c>
      <c r="E602" s="10">
        <v>45673.729490740741</v>
      </c>
      <c r="F602" s="10">
        <v>45673.748842592591</v>
      </c>
      <c r="G602" s="10">
        <v>45673.750127314823</v>
      </c>
      <c r="H602" s="3" t="s">
        <v>1950</v>
      </c>
      <c r="I602" s="10">
        <v>45674.399699074071</v>
      </c>
      <c r="J602" s="10">
        <v>45674.451261574082</v>
      </c>
      <c r="K602" s="10">
        <v>45674.451261574082</v>
      </c>
      <c r="L602" s="10">
        <v>45674.452372685177</v>
      </c>
      <c r="M602" s="11">
        <f t="shared" si="27"/>
        <v>2.0636574081436265E-2</v>
      </c>
      <c r="N602" s="11">
        <f t="shared" si="28"/>
        <v>0.70224537035392132</v>
      </c>
      <c r="O602" s="10">
        <v>45673.752280092587</v>
      </c>
      <c r="P602" s="11">
        <f t="shared" si="29"/>
        <v>0.64741898148349719</v>
      </c>
      <c r="Q602" s="12" t="s">
        <v>1951</v>
      </c>
    </row>
    <row r="603" spans="1:17" ht="38.25" x14ac:dyDescent="0.25">
      <c r="A603" s="3" t="s">
        <v>1952</v>
      </c>
      <c r="B603" s="3" t="s">
        <v>301</v>
      </c>
      <c r="C603" s="9">
        <v>14</v>
      </c>
      <c r="D603" s="3" t="s">
        <v>595</v>
      </c>
      <c r="E603" s="10">
        <v>45673.837245370371</v>
      </c>
      <c r="F603" s="10">
        <v>45673.848379629628</v>
      </c>
      <c r="G603" s="10">
        <v>45673.849768518521</v>
      </c>
      <c r="H603" s="3" t="s">
        <v>1735</v>
      </c>
      <c r="I603" s="10">
        <v>45677.719953703701</v>
      </c>
      <c r="J603" s="10">
        <v>45677.741828703707</v>
      </c>
      <c r="K603" s="10">
        <v>45677.741828703707</v>
      </c>
      <c r="L603" s="10">
        <v>45677.742604166669</v>
      </c>
      <c r="M603" s="11">
        <f t="shared" si="27"/>
        <v>1.2523148150648922E-2</v>
      </c>
      <c r="N603" s="11">
        <f t="shared" si="28"/>
        <v>3.8928356481483206</v>
      </c>
      <c r="O603" s="10">
        <v>45673.853333333333</v>
      </c>
      <c r="P603" s="11">
        <f t="shared" si="29"/>
        <v>3.8666203703687643</v>
      </c>
      <c r="Q603" s="12" t="s">
        <v>1953</v>
      </c>
    </row>
    <row r="604" spans="1:17" x14ac:dyDescent="0.25">
      <c r="A604" s="3" t="s">
        <v>1954</v>
      </c>
      <c r="B604" s="3" t="s">
        <v>301</v>
      </c>
      <c r="C604" s="9">
        <v>108.7</v>
      </c>
      <c r="D604" s="3" t="s">
        <v>506</v>
      </c>
      <c r="E604" s="10">
        <v>45673.837245370371</v>
      </c>
      <c r="F604" s="10">
        <v>45673.849768518521</v>
      </c>
      <c r="G604" s="10">
        <v>45673.852002314823</v>
      </c>
      <c r="H604" s="3" t="s">
        <v>1955</v>
      </c>
      <c r="I604" s="10">
        <v>45674.199456018519</v>
      </c>
      <c r="J604" s="10">
        <v>45674.218333333331</v>
      </c>
      <c r="K604" s="10">
        <v>45674.218333333331</v>
      </c>
      <c r="L604" s="10">
        <v>45674.219085648147</v>
      </c>
      <c r="M604" s="11">
        <f t="shared" si="27"/>
        <v>1.4756944452528842E-2</v>
      </c>
      <c r="N604" s="11">
        <f t="shared" si="28"/>
        <v>0.36708333332353504</v>
      </c>
      <c r="O604" s="10">
        <v>45673.854398148149</v>
      </c>
      <c r="P604" s="11">
        <f t="shared" si="29"/>
        <v>0.3450578703705105</v>
      </c>
      <c r="Q604" s="12" t="s">
        <v>1956</v>
      </c>
    </row>
    <row r="605" spans="1:17" ht="25.5" x14ac:dyDescent="0.25">
      <c r="A605" s="3" t="s">
        <v>1957</v>
      </c>
      <c r="B605" s="3" t="s">
        <v>301</v>
      </c>
      <c r="C605" s="9">
        <v>19.899999999999999</v>
      </c>
      <c r="D605" s="3" t="s">
        <v>563</v>
      </c>
      <c r="E605" s="10">
        <v>45673.837245370371</v>
      </c>
      <c r="F605" s="10">
        <v>45673.852002314823</v>
      </c>
      <c r="G605" s="10">
        <v>45673.853518518517</v>
      </c>
      <c r="H605" s="3" t="s">
        <v>1801</v>
      </c>
      <c r="I605" s="10">
        <v>45674.346863425933</v>
      </c>
      <c r="J605" s="10">
        <v>45674.370185185187</v>
      </c>
      <c r="K605" s="10">
        <v>45674.370185185187</v>
      </c>
      <c r="L605" s="10">
        <v>45674.371041666673</v>
      </c>
      <c r="M605" s="11">
        <f t="shared" si="27"/>
        <v>1.6273148146865424E-2</v>
      </c>
      <c r="N605" s="11">
        <f t="shared" si="28"/>
        <v>0.51752314815530553</v>
      </c>
      <c r="O605" s="10">
        <v>45673.857060185182</v>
      </c>
      <c r="P605" s="11">
        <f t="shared" si="29"/>
        <v>0.4898032407509163</v>
      </c>
      <c r="Q605" s="12" t="s">
        <v>1958</v>
      </c>
    </row>
    <row r="606" spans="1:17" ht="38.25" x14ac:dyDescent="0.25">
      <c r="A606" s="3" t="s">
        <v>1959</v>
      </c>
      <c r="B606" s="3" t="s">
        <v>301</v>
      </c>
      <c r="C606" s="9">
        <v>15.74</v>
      </c>
      <c r="D606" s="3" t="s">
        <v>654</v>
      </c>
      <c r="E606" s="10">
        <v>45673.837245370371</v>
      </c>
      <c r="F606" s="10">
        <v>45673.853518518517</v>
      </c>
      <c r="G606" s="10">
        <v>45673.855266203696</v>
      </c>
      <c r="H606" s="3" t="s">
        <v>1789</v>
      </c>
      <c r="I606" s="10">
        <v>45674.867858796293</v>
      </c>
      <c r="J606" s="10">
        <v>45674.928761574083</v>
      </c>
      <c r="K606" s="10">
        <v>45674.928761574083</v>
      </c>
      <c r="L606" s="10">
        <v>45674.930115740739</v>
      </c>
      <c r="M606" s="11">
        <f t="shared" si="27"/>
        <v>1.802083332586335E-2</v>
      </c>
      <c r="N606" s="11">
        <f t="shared" si="28"/>
        <v>1.0748495370426099</v>
      </c>
      <c r="O606" s="10">
        <v>45673.858831018522</v>
      </c>
      <c r="P606" s="11">
        <f t="shared" si="29"/>
        <v>1.0090277777708252</v>
      </c>
      <c r="Q606" s="12" t="s">
        <v>1960</v>
      </c>
    </row>
    <row r="607" spans="1:17" ht="25.5" x14ac:dyDescent="0.25">
      <c r="A607" s="3" t="s">
        <v>1961</v>
      </c>
      <c r="B607" s="3" t="s">
        <v>301</v>
      </c>
      <c r="C607" s="9">
        <v>27</v>
      </c>
      <c r="D607" s="3" t="s">
        <v>527</v>
      </c>
      <c r="E607" s="10">
        <v>45673.837245370371</v>
      </c>
      <c r="F607" s="10">
        <v>45673.855266203696</v>
      </c>
      <c r="G607" s="10">
        <v>45673.856574074067</v>
      </c>
      <c r="H607" s="3" t="s">
        <v>1931</v>
      </c>
      <c r="I607" s="10">
        <v>45674.2815162037</v>
      </c>
      <c r="J607" s="10">
        <v>45674.300266203703</v>
      </c>
      <c r="K607" s="10">
        <v>45674.300266203703</v>
      </c>
      <c r="L607" s="10">
        <v>45674.301064814812</v>
      </c>
      <c r="M607" s="11">
        <f t="shared" si="27"/>
        <v>1.932870369637385E-2</v>
      </c>
      <c r="N607" s="11">
        <f t="shared" si="28"/>
        <v>0.44449074074509554</v>
      </c>
      <c r="O607" s="10">
        <v>45673.860497685193</v>
      </c>
      <c r="P607" s="11">
        <f t="shared" si="29"/>
        <v>0.42101851850748062</v>
      </c>
      <c r="Q607" s="12" t="s">
        <v>1962</v>
      </c>
    </row>
    <row r="608" spans="1:17" ht="25.5" x14ac:dyDescent="0.25">
      <c r="A608" s="3" t="s">
        <v>1963</v>
      </c>
      <c r="B608" s="3" t="s">
        <v>301</v>
      </c>
      <c r="C608" s="9">
        <v>15.74</v>
      </c>
      <c r="D608" s="3" t="s">
        <v>533</v>
      </c>
      <c r="E608" s="10">
        <v>45673.837245370371</v>
      </c>
      <c r="F608" s="10">
        <v>45673.856574074067</v>
      </c>
      <c r="G608" s="10">
        <v>45673.858194444438</v>
      </c>
      <c r="H608" s="3" t="s">
        <v>1849</v>
      </c>
      <c r="I608" s="10">
        <v>45674.32607638889</v>
      </c>
      <c r="J608" s="10">
        <v>45674.345208333332</v>
      </c>
      <c r="K608" s="10">
        <v>45674.345208333332</v>
      </c>
      <c r="L608" s="10">
        <v>45674.346064814818</v>
      </c>
      <c r="M608" s="11">
        <f t="shared" si="27"/>
        <v>2.0949074067175388E-2</v>
      </c>
      <c r="N608" s="11">
        <f t="shared" si="28"/>
        <v>0.48787037037982373</v>
      </c>
      <c r="O608" s="10">
        <v>45673.86173611111</v>
      </c>
      <c r="P608" s="11">
        <f t="shared" si="29"/>
        <v>0.46434027778013842</v>
      </c>
      <c r="Q608" s="12" t="s">
        <v>1964</v>
      </c>
    </row>
    <row r="609" spans="1:17" ht="25.5" x14ac:dyDescent="0.25">
      <c r="A609" s="3" t="s">
        <v>1965</v>
      </c>
      <c r="B609" s="3" t="s">
        <v>301</v>
      </c>
      <c r="C609" s="9">
        <v>19.899999999999999</v>
      </c>
      <c r="D609" s="3" t="s">
        <v>488</v>
      </c>
      <c r="E609" s="10">
        <v>45673.837245370371</v>
      </c>
      <c r="F609" s="10">
        <v>45673.858194444438</v>
      </c>
      <c r="G609" s="10">
        <v>45673.859930555547</v>
      </c>
      <c r="H609" s="3" t="s">
        <v>1966</v>
      </c>
      <c r="I609" s="10">
        <v>45674.328900462962</v>
      </c>
      <c r="J609" s="10">
        <v>45674.357685185183</v>
      </c>
      <c r="K609" s="10">
        <v>45674.357685185183</v>
      </c>
      <c r="L609" s="10">
        <v>45674.358657407407</v>
      </c>
      <c r="M609" s="11">
        <f t="shared" si="27"/>
        <v>2.268518517666962E-2</v>
      </c>
      <c r="N609" s="11">
        <f t="shared" si="28"/>
        <v>0.49872685185982846</v>
      </c>
      <c r="O609" s="10">
        <v>45673.86210648148</v>
      </c>
      <c r="P609" s="11">
        <f t="shared" si="29"/>
        <v>0.46679398148262408</v>
      </c>
      <c r="Q609" s="12" t="s">
        <v>1967</v>
      </c>
    </row>
    <row r="610" spans="1:17" ht="25.5" x14ac:dyDescent="0.25">
      <c r="A610" s="3" t="s">
        <v>1968</v>
      </c>
      <c r="B610" s="3" t="s">
        <v>302</v>
      </c>
      <c r="C610" s="9">
        <v>145.9</v>
      </c>
      <c r="D610" s="3" t="s">
        <v>488</v>
      </c>
      <c r="E610" s="10">
        <v>45674.116030092591</v>
      </c>
      <c r="F610" s="10">
        <v>45674.124525462961</v>
      </c>
      <c r="G610" s="10">
        <v>45674.126550925917</v>
      </c>
      <c r="H610" s="3" t="s">
        <v>1966</v>
      </c>
      <c r="I610" s="10">
        <v>45674.328900462962</v>
      </c>
      <c r="J610" s="10">
        <v>45674.357685185183</v>
      </c>
      <c r="K610" s="10">
        <v>45674.357685185183</v>
      </c>
      <c r="L610" s="10">
        <v>45674.358657407407</v>
      </c>
      <c r="M610" s="11">
        <f t="shared" si="27"/>
        <v>1.0520833326154388E-2</v>
      </c>
      <c r="N610" s="11">
        <f t="shared" si="28"/>
        <v>0.232106481489609</v>
      </c>
      <c r="O610" s="10">
        <v>45674.130474537043</v>
      </c>
      <c r="P610" s="11">
        <f t="shared" si="29"/>
        <v>0.19842592591885477</v>
      </c>
      <c r="Q610" s="12" t="s">
        <v>1969</v>
      </c>
    </row>
    <row r="611" spans="1:17" ht="25.5" x14ac:dyDescent="0.25">
      <c r="A611" s="3" t="s">
        <v>1970</v>
      </c>
      <c r="B611" s="3" t="s">
        <v>302</v>
      </c>
      <c r="C611" s="9">
        <v>15.74</v>
      </c>
      <c r="D611" s="3" t="s">
        <v>496</v>
      </c>
      <c r="E611" s="10">
        <v>45674.116030092591</v>
      </c>
      <c r="F611" s="10">
        <v>45674.126550925917</v>
      </c>
      <c r="G611" s="10">
        <v>45674.128472222219</v>
      </c>
      <c r="H611" s="3" t="s">
        <v>1843</v>
      </c>
      <c r="I611" s="10">
        <v>45675.30059027778</v>
      </c>
      <c r="J611" s="10">
        <v>45675.328321759262</v>
      </c>
      <c r="K611" s="10">
        <v>45675.328321759262</v>
      </c>
      <c r="L611" s="10">
        <v>45675.329074074078</v>
      </c>
      <c r="M611" s="11">
        <f t="shared" si="27"/>
        <v>1.244212962774327E-2</v>
      </c>
      <c r="N611" s="11">
        <f t="shared" si="28"/>
        <v>1.2006018518586643</v>
      </c>
      <c r="O611" s="10">
        <v>45674.132361111107</v>
      </c>
      <c r="P611" s="11">
        <f t="shared" si="29"/>
        <v>1.1682291666729725</v>
      </c>
      <c r="Q611" s="12" t="s">
        <v>1971</v>
      </c>
    </row>
    <row r="612" spans="1:17" ht="25.5" x14ac:dyDescent="0.25">
      <c r="A612" s="3" t="s">
        <v>1972</v>
      </c>
      <c r="B612" s="3" t="s">
        <v>302</v>
      </c>
      <c r="C612" s="9">
        <v>12.04</v>
      </c>
      <c r="D612" s="3" t="s">
        <v>492</v>
      </c>
      <c r="E612" s="10">
        <v>45674.116030092591</v>
      </c>
      <c r="F612" s="10">
        <v>45674.128472222219</v>
      </c>
      <c r="G612" s="10">
        <v>45674.13040509259</v>
      </c>
      <c r="H612" s="3" t="s">
        <v>1973</v>
      </c>
      <c r="I612" s="10">
        <v>45674.740868055553</v>
      </c>
      <c r="J612" s="10">
        <v>45674.765347222223</v>
      </c>
      <c r="K612" s="10">
        <v>45674.765347222223</v>
      </c>
      <c r="L612" s="10">
        <v>45674.766215277778</v>
      </c>
      <c r="M612" s="11">
        <f t="shared" si="27"/>
        <v>1.4374999998835847E-2</v>
      </c>
      <c r="N612" s="11">
        <f t="shared" si="28"/>
        <v>0.63581018518743804</v>
      </c>
      <c r="O612" s="10">
        <v>45674.132569444453</v>
      </c>
      <c r="P612" s="11">
        <f t="shared" si="29"/>
        <v>0.60829861109959893</v>
      </c>
      <c r="Q612" s="12" t="s">
        <v>1974</v>
      </c>
    </row>
    <row r="613" spans="1:17" ht="25.5" x14ac:dyDescent="0.25">
      <c r="A613" s="3" t="s">
        <v>1975</v>
      </c>
      <c r="B613" s="3" t="s">
        <v>302</v>
      </c>
      <c r="C613" s="9">
        <v>35.64</v>
      </c>
      <c r="D613" s="3" t="s">
        <v>484</v>
      </c>
      <c r="E613" s="10">
        <v>45674.116030092591</v>
      </c>
      <c r="F613" s="10">
        <v>45674.13040509259</v>
      </c>
      <c r="G613" s="10">
        <v>45674.131956018522</v>
      </c>
      <c r="H613" s="3" t="s">
        <v>1801</v>
      </c>
      <c r="I613" s="10">
        <v>45674.346863425933</v>
      </c>
      <c r="J613" s="10">
        <v>45674.370185185187</v>
      </c>
      <c r="K613" s="10">
        <v>45674.370185185187</v>
      </c>
      <c r="L613" s="10">
        <v>45674.371041666673</v>
      </c>
      <c r="M613" s="11">
        <f t="shared" si="27"/>
        <v>1.5925925930787344E-2</v>
      </c>
      <c r="N613" s="11">
        <f t="shared" si="28"/>
        <v>0.23908564815064892</v>
      </c>
      <c r="O613" s="10">
        <v>45674.135879629634</v>
      </c>
      <c r="P613" s="11">
        <f t="shared" si="29"/>
        <v>0.21098379629984265</v>
      </c>
      <c r="Q613" s="12" t="s">
        <v>1976</v>
      </c>
    </row>
    <row r="614" spans="1:17" ht="25.5" x14ac:dyDescent="0.25">
      <c r="A614" s="3" t="s">
        <v>1977</v>
      </c>
      <c r="B614" s="3" t="s">
        <v>303</v>
      </c>
      <c r="C614" s="9">
        <v>513.29999999999995</v>
      </c>
      <c r="D614" s="3" t="s">
        <v>519</v>
      </c>
      <c r="E614" s="10">
        <v>45674.18712962963</v>
      </c>
      <c r="F614" s="10">
        <v>45674.194618055553</v>
      </c>
      <c r="G614" s="10">
        <v>45674.19771990741</v>
      </c>
      <c r="H614" s="3" t="s">
        <v>1928</v>
      </c>
      <c r="I614" s="10">
        <v>45674.379143518519</v>
      </c>
      <c r="J614" s="10">
        <v>45674.478807870371</v>
      </c>
      <c r="K614" s="10">
        <v>45674.478807870371</v>
      </c>
      <c r="L614" s="10">
        <v>45674.480694444443</v>
      </c>
      <c r="M614" s="11">
        <f t="shared" si="27"/>
        <v>1.0590277779556345E-2</v>
      </c>
      <c r="N614" s="11">
        <f t="shared" si="28"/>
        <v>0.28297453703271458</v>
      </c>
      <c r="O614" s="10">
        <v>45674.201273148137</v>
      </c>
      <c r="P614" s="11">
        <f t="shared" si="29"/>
        <v>0.17787037038215203</v>
      </c>
      <c r="Q614" s="12" t="s">
        <v>1978</v>
      </c>
    </row>
    <row r="615" spans="1:17" x14ac:dyDescent="0.25">
      <c r="A615" s="3" t="s">
        <v>1979</v>
      </c>
      <c r="B615" s="3" t="s">
        <v>304</v>
      </c>
      <c r="C615" s="9">
        <v>297</v>
      </c>
      <c r="D615" s="3" t="s">
        <v>500</v>
      </c>
      <c r="E615" s="10">
        <v>45674.271886574083</v>
      </c>
      <c r="F615" s="10">
        <v>45674.277858796297</v>
      </c>
      <c r="G615" s="10">
        <v>45674.279780092591</v>
      </c>
      <c r="H615" s="3" t="s">
        <v>1950</v>
      </c>
      <c r="I615" s="10">
        <v>45674.399699074071</v>
      </c>
      <c r="J615" s="10">
        <v>45674.451261574082</v>
      </c>
      <c r="K615" s="10">
        <v>45674.451261574082</v>
      </c>
      <c r="L615" s="10">
        <v>45674.452372685177</v>
      </c>
      <c r="M615" s="11">
        <f t="shared" si="27"/>
        <v>7.8935185083537363E-3</v>
      </c>
      <c r="N615" s="11">
        <f t="shared" si="28"/>
        <v>0.17259259258571547</v>
      </c>
      <c r="O615" s="10">
        <v>45674.281944444447</v>
      </c>
      <c r="P615" s="11">
        <f t="shared" si="29"/>
        <v>0.11775462962395977</v>
      </c>
      <c r="Q615" s="12" t="s">
        <v>1980</v>
      </c>
    </row>
    <row r="616" spans="1:17" ht="25.5" x14ac:dyDescent="0.25">
      <c r="A616" s="3" t="s">
        <v>1981</v>
      </c>
      <c r="B616" s="3" t="s">
        <v>305</v>
      </c>
      <c r="C616" s="9">
        <v>43.14</v>
      </c>
      <c r="D616" s="3" t="s">
        <v>515</v>
      </c>
      <c r="E616" s="10">
        <v>45674.292395833327</v>
      </c>
      <c r="F616" s="10">
        <v>45674.307500000003</v>
      </c>
      <c r="G616" s="10">
        <v>45674.309293981481</v>
      </c>
      <c r="H616" s="3" t="s">
        <v>1831</v>
      </c>
      <c r="I616" s="10">
        <v>45674.439317129632</v>
      </c>
      <c r="J616" s="10">
        <v>45674.462627314817</v>
      </c>
      <c r="K616" s="10">
        <v>45674.462627314817</v>
      </c>
      <c r="L616" s="10">
        <v>45674.463449074072</v>
      </c>
      <c r="M616" s="11">
        <f t="shared" si="27"/>
        <v>1.6898148154723458E-2</v>
      </c>
      <c r="N616" s="11">
        <f t="shared" si="28"/>
        <v>0.15415509259037208</v>
      </c>
      <c r="O616" s="10">
        <v>45674.312847222223</v>
      </c>
      <c r="P616" s="11">
        <f t="shared" si="29"/>
        <v>0.12646990740904585</v>
      </c>
      <c r="Q616" s="12" t="s">
        <v>1982</v>
      </c>
    </row>
    <row r="617" spans="1:17" x14ac:dyDescent="0.25">
      <c r="A617" s="3" t="s">
        <v>1983</v>
      </c>
      <c r="B617" s="3" t="s">
        <v>305</v>
      </c>
      <c r="C617" s="9">
        <v>147.68</v>
      </c>
      <c r="D617" s="3" t="s">
        <v>506</v>
      </c>
      <c r="E617" s="10">
        <v>45674.292395833327</v>
      </c>
      <c r="F617" s="10">
        <v>45674.309293981481</v>
      </c>
      <c r="G617" s="10">
        <v>45674.311620370368</v>
      </c>
      <c r="H617" s="3" t="s">
        <v>1984</v>
      </c>
      <c r="I617" s="10">
        <v>45674.545451388891</v>
      </c>
      <c r="J617" s="10">
        <v>45674.571099537039</v>
      </c>
      <c r="K617" s="10">
        <v>45674.571099537039</v>
      </c>
      <c r="L617" s="10">
        <v>45674.571932870371</v>
      </c>
      <c r="M617" s="11">
        <f t="shared" si="27"/>
        <v>1.9224537041736767E-2</v>
      </c>
      <c r="N617" s="11">
        <f t="shared" si="28"/>
        <v>0.26031250000232831</v>
      </c>
      <c r="O617" s="10">
        <v>45674.314016203702</v>
      </c>
      <c r="P617" s="11">
        <f t="shared" si="29"/>
        <v>0.23143518518918427</v>
      </c>
      <c r="Q617" s="12" t="s">
        <v>1985</v>
      </c>
    </row>
    <row r="618" spans="1:17" ht="25.5" x14ac:dyDescent="0.25">
      <c r="A618" s="3" t="s">
        <v>1986</v>
      </c>
      <c r="B618" s="3" t="s">
        <v>305</v>
      </c>
      <c r="C618" s="9">
        <v>15.74</v>
      </c>
      <c r="D618" s="3" t="s">
        <v>654</v>
      </c>
      <c r="E618" s="10">
        <v>45674.292395833327</v>
      </c>
      <c r="F618" s="10">
        <v>45674.311620370368</v>
      </c>
      <c r="G618" s="10">
        <v>45674.313379629632</v>
      </c>
      <c r="H618" s="3" t="s">
        <v>1789</v>
      </c>
      <c r="I618" s="10">
        <v>45674.867858796293</v>
      </c>
      <c r="J618" s="10">
        <v>45674.928761574083</v>
      </c>
      <c r="K618" s="10">
        <v>45674.928761574083</v>
      </c>
      <c r="L618" s="10">
        <v>45674.930115740739</v>
      </c>
      <c r="M618" s="11">
        <f t="shared" si="27"/>
        <v>2.0983796304790303E-2</v>
      </c>
      <c r="N618" s="11">
        <f t="shared" si="28"/>
        <v>0.61673611110745696</v>
      </c>
      <c r="O618" s="10">
        <v>45674.31726851852</v>
      </c>
      <c r="P618" s="11">
        <f t="shared" si="29"/>
        <v>0.5505902777731535</v>
      </c>
      <c r="Q618" s="12" t="s">
        <v>1987</v>
      </c>
    </row>
    <row r="619" spans="1:17" ht="25.5" x14ac:dyDescent="0.25">
      <c r="A619" s="3" t="s">
        <v>1988</v>
      </c>
      <c r="B619" s="3" t="s">
        <v>305</v>
      </c>
      <c r="C619" s="9">
        <v>51.38</v>
      </c>
      <c r="D619" s="3" t="s">
        <v>523</v>
      </c>
      <c r="E619" s="10">
        <v>45674.292395833327</v>
      </c>
      <c r="F619" s="10">
        <v>45674.313379629632</v>
      </c>
      <c r="G619" s="10">
        <v>45674.314618055563</v>
      </c>
      <c r="H619" s="3" t="s">
        <v>1905</v>
      </c>
      <c r="I619" s="10">
        <v>45674.659560185188</v>
      </c>
      <c r="J619" s="10">
        <v>45674.682870370372</v>
      </c>
      <c r="K619" s="10">
        <v>45674.682870370372</v>
      </c>
      <c r="L619" s="10">
        <v>45674.683645833327</v>
      </c>
      <c r="M619" s="11">
        <f t="shared" si="27"/>
        <v>2.2222222236450762E-2</v>
      </c>
      <c r="N619" s="11">
        <f t="shared" si="28"/>
        <v>0.36902777776413132</v>
      </c>
      <c r="O619" s="10">
        <v>45674.318541666667</v>
      </c>
      <c r="P619" s="11">
        <f t="shared" si="29"/>
        <v>0.34101851852028631</v>
      </c>
      <c r="Q619" s="12" t="s">
        <v>1989</v>
      </c>
    </row>
    <row r="620" spans="1:17" ht="25.5" x14ac:dyDescent="0.25">
      <c r="A620" s="3" t="s">
        <v>1990</v>
      </c>
      <c r="B620" s="3" t="s">
        <v>305</v>
      </c>
      <c r="C620" s="9">
        <v>15.74</v>
      </c>
      <c r="D620" s="3" t="s">
        <v>1033</v>
      </c>
      <c r="E620" s="10">
        <v>45674.292395833327</v>
      </c>
      <c r="F620" s="10">
        <v>45674.314618055563</v>
      </c>
      <c r="G620" s="10">
        <v>45674.316238425927</v>
      </c>
      <c r="H620" s="3" t="s">
        <v>1991</v>
      </c>
      <c r="I620" s="10">
        <v>45675.25440972222</v>
      </c>
      <c r="J620" s="10">
        <v>45675.296180555553</v>
      </c>
      <c r="K620" s="10">
        <v>45675.296180555553</v>
      </c>
      <c r="L620" s="10">
        <v>45675.297337962962</v>
      </c>
      <c r="M620" s="11">
        <f t="shared" si="27"/>
        <v>2.3842592599976342E-2</v>
      </c>
      <c r="N620" s="11">
        <f t="shared" si="28"/>
        <v>0.98109953703533392</v>
      </c>
      <c r="O620" s="10">
        <v>45674.31863425926</v>
      </c>
      <c r="P620" s="11">
        <f t="shared" si="29"/>
        <v>0.93577546296000946</v>
      </c>
      <c r="Q620" s="12" t="s">
        <v>1992</v>
      </c>
    </row>
    <row r="621" spans="1:17" ht="25.5" x14ac:dyDescent="0.25">
      <c r="A621" s="3" t="s">
        <v>1993</v>
      </c>
      <c r="B621" s="3" t="s">
        <v>305</v>
      </c>
      <c r="C621" s="9">
        <v>73.900000000000006</v>
      </c>
      <c r="D621" s="3" t="s">
        <v>519</v>
      </c>
      <c r="E621" s="10">
        <v>45674.292395833327</v>
      </c>
      <c r="F621" s="10">
        <v>45674.316238425927</v>
      </c>
      <c r="G621" s="10">
        <v>45674.318287037036</v>
      </c>
      <c r="H621" s="3" t="s">
        <v>1994</v>
      </c>
      <c r="I621" s="10">
        <v>45676.747916666667</v>
      </c>
      <c r="J621" s="10">
        <v>45676.779965277783</v>
      </c>
      <c r="K621" s="10">
        <v>45676.779965277783</v>
      </c>
      <c r="L621" s="10">
        <v>45676.780763888892</v>
      </c>
      <c r="M621" s="11">
        <f t="shared" si="27"/>
        <v>2.5891203709761612E-2</v>
      </c>
      <c r="N621" s="11">
        <f t="shared" si="28"/>
        <v>2.4624768518551718</v>
      </c>
      <c r="O621" s="10">
        <v>45674.320648148147</v>
      </c>
      <c r="P621" s="11">
        <f t="shared" si="29"/>
        <v>2.4272685185205773</v>
      </c>
      <c r="Q621" s="12" t="s">
        <v>1995</v>
      </c>
    </row>
    <row r="622" spans="1:17" ht="25.5" x14ac:dyDescent="0.25">
      <c r="A622" s="3" t="s">
        <v>1996</v>
      </c>
      <c r="B622" s="3" t="s">
        <v>305</v>
      </c>
      <c r="C622" s="9">
        <v>15.74</v>
      </c>
      <c r="D622" s="3" t="s">
        <v>484</v>
      </c>
      <c r="E622" s="10">
        <v>45674.292395833327</v>
      </c>
      <c r="F622" s="10">
        <v>45674.318287037036</v>
      </c>
      <c r="G622" s="10">
        <v>45674.320231481477</v>
      </c>
      <c r="H622" s="3" t="s">
        <v>1997</v>
      </c>
      <c r="I622" s="10">
        <v>45677.257071759261</v>
      </c>
      <c r="J622" s="10">
        <v>45677.276192129633</v>
      </c>
      <c r="K622" s="10">
        <v>45677.276192129633</v>
      </c>
      <c r="L622" s="10">
        <v>45677.277002314811</v>
      </c>
      <c r="M622" s="11">
        <f t="shared" si="27"/>
        <v>2.7835648150357883E-2</v>
      </c>
      <c r="N622" s="11">
        <f t="shared" si="28"/>
        <v>2.9567708333343035</v>
      </c>
      <c r="O622" s="10">
        <v>45674.322627314818</v>
      </c>
      <c r="P622" s="11">
        <f t="shared" si="29"/>
        <v>2.9344444444432156</v>
      </c>
      <c r="Q622" s="12" t="s">
        <v>1998</v>
      </c>
    </row>
    <row r="623" spans="1:17" ht="25.5" x14ac:dyDescent="0.25">
      <c r="A623" s="3" t="s">
        <v>1999</v>
      </c>
      <c r="B623" s="3" t="s">
        <v>305</v>
      </c>
      <c r="C623" s="9">
        <v>116.94</v>
      </c>
      <c r="D623" s="3" t="s">
        <v>506</v>
      </c>
      <c r="E623" s="10">
        <v>45674.292395833327</v>
      </c>
      <c r="F623" s="10">
        <v>45674.320231481477</v>
      </c>
      <c r="G623" s="10">
        <v>45674.322418981479</v>
      </c>
      <c r="H623" s="3" t="s">
        <v>1973</v>
      </c>
      <c r="I623" s="10">
        <v>45674.740868055553</v>
      </c>
      <c r="J623" s="10">
        <v>45674.765347222223</v>
      </c>
      <c r="K623" s="10">
        <v>45674.765347222223</v>
      </c>
      <c r="L623" s="10">
        <v>45674.766215277778</v>
      </c>
      <c r="M623" s="11">
        <f t="shared" si="27"/>
        <v>3.0023148152395152E-2</v>
      </c>
      <c r="N623" s="11">
        <f t="shared" si="28"/>
        <v>0.44379629629838746</v>
      </c>
      <c r="O623" s="10">
        <v>45674.326319444437</v>
      </c>
      <c r="P623" s="11">
        <f t="shared" si="29"/>
        <v>0.41454861111560604</v>
      </c>
      <c r="Q623" s="12" t="s">
        <v>2000</v>
      </c>
    </row>
    <row r="624" spans="1:17" ht="25.5" x14ac:dyDescent="0.25">
      <c r="A624" s="3" t="s">
        <v>2001</v>
      </c>
      <c r="B624" s="3" t="s">
        <v>305</v>
      </c>
      <c r="C624" s="9">
        <v>12.04</v>
      </c>
      <c r="D624" s="3" t="s">
        <v>492</v>
      </c>
      <c r="E624" s="10">
        <v>45674.292395833327</v>
      </c>
      <c r="F624" s="10">
        <v>45674.322418981479</v>
      </c>
      <c r="G624" s="10">
        <v>45674.324363425927</v>
      </c>
      <c r="H624" s="3" t="s">
        <v>1973</v>
      </c>
      <c r="I624" s="10">
        <v>45674.740868055553</v>
      </c>
      <c r="J624" s="10">
        <v>45674.765347222223</v>
      </c>
      <c r="K624" s="10">
        <v>45674.765347222223</v>
      </c>
      <c r="L624" s="10">
        <v>45674.766215277778</v>
      </c>
      <c r="M624" s="11">
        <f t="shared" si="27"/>
        <v>3.196759260026738E-2</v>
      </c>
      <c r="N624" s="11">
        <f t="shared" si="28"/>
        <v>0.44185185185051523</v>
      </c>
      <c r="O624" s="10">
        <v>45674.328287037039</v>
      </c>
      <c r="P624" s="11">
        <f t="shared" si="29"/>
        <v>0.4125810185141745</v>
      </c>
      <c r="Q624" s="12" t="s">
        <v>2002</v>
      </c>
    </row>
    <row r="625" spans="1:17" x14ac:dyDescent="0.25">
      <c r="A625" s="3" t="s">
        <v>2003</v>
      </c>
      <c r="B625" s="3" t="s">
        <v>306</v>
      </c>
      <c r="C625" s="9">
        <v>339.84000000000009</v>
      </c>
      <c r="D625" s="3" t="s">
        <v>500</v>
      </c>
      <c r="E625" s="10">
        <v>45674.313402777778</v>
      </c>
      <c r="F625" s="10">
        <v>45674.325162037043</v>
      </c>
      <c r="G625" s="10">
        <v>45674.327164351853</v>
      </c>
      <c r="H625" s="3" t="s">
        <v>2004</v>
      </c>
      <c r="I625" s="10">
        <v>45674.760115740741</v>
      </c>
      <c r="J625" s="10">
        <v>45674.819120370368</v>
      </c>
      <c r="K625" s="10">
        <v>45674.819120370368</v>
      </c>
      <c r="L625" s="10">
        <v>45674.820451388892</v>
      </c>
      <c r="M625" s="11">
        <f t="shared" si="27"/>
        <v>1.3761574075033423E-2</v>
      </c>
      <c r="N625" s="11">
        <f t="shared" si="28"/>
        <v>0.49328703703940846</v>
      </c>
      <c r="O625" s="10">
        <v>45674.329525462963</v>
      </c>
      <c r="P625" s="11">
        <f t="shared" si="29"/>
        <v>0.43059027777781012</v>
      </c>
      <c r="Q625" s="12" t="s">
        <v>2005</v>
      </c>
    </row>
    <row r="626" spans="1:17" ht="25.5" x14ac:dyDescent="0.25">
      <c r="A626" s="3" t="s">
        <v>2006</v>
      </c>
      <c r="B626" s="3" t="s">
        <v>307</v>
      </c>
      <c r="C626" s="9">
        <v>287.86</v>
      </c>
      <c r="D626" s="3" t="s">
        <v>500</v>
      </c>
      <c r="E626" s="10">
        <v>45674.334537037037</v>
      </c>
      <c r="F626" s="10">
        <v>45674.340509259258</v>
      </c>
      <c r="G626" s="10">
        <v>45674.342893518522</v>
      </c>
      <c r="H626" s="3" t="s">
        <v>1789</v>
      </c>
      <c r="I626" s="10">
        <v>45674.867858796293</v>
      </c>
      <c r="J626" s="10">
        <v>45674.928761574083</v>
      </c>
      <c r="K626" s="10">
        <v>45674.928761574083</v>
      </c>
      <c r="L626" s="10">
        <v>45674.930115740739</v>
      </c>
      <c r="M626" s="11">
        <f t="shared" si="27"/>
        <v>8.3564814849523827E-3</v>
      </c>
      <c r="N626" s="11">
        <f t="shared" si="28"/>
        <v>0.5872222222169512</v>
      </c>
      <c r="O626" s="10">
        <v>45674.346782407411</v>
      </c>
      <c r="P626" s="11">
        <f t="shared" si="29"/>
        <v>0.52107638888264773</v>
      </c>
      <c r="Q626" s="12" t="s">
        <v>2007</v>
      </c>
    </row>
    <row r="627" spans="1:17" ht="51" x14ac:dyDescent="0.25">
      <c r="A627" s="3" t="s">
        <v>2008</v>
      </c>
      <c r="B627" s="3" t="s">
        <v>308</v>
      </c>
      <c r="C627" s="9">
        <v>15.74</v>
      </c>
      <c r="D627" s="3" t="s">
        <v>523</v>
      </c>
      <c r="E627" s="10">
        <v>45674.361875000002</v>
      </c>
      <c r="F627" s="10">
        <v>45674.379745370366</v>
      </c>
      <c r="G627" s="10">
        <v>45674.38144675926</v>
      </c>
      <c r="H627" s="3" t="s">
        <v>2009</v>
      </c>
      <c r="I627" s="10">
        <v>45680.306504629632</v>
      </c>
      <c r="J627" s="10">
        <v>45680.325069444443</v>
      </c>
      <c r="K627" s="10">
        <v>45680.325706018521</v>
      </c>
      <c r="L627" s="10">
        <v>45680.326550925929</v>
      </c>
      <c r="M627" s="11">
        <f t="shared" si="27"/>
        <v>1.9571759257814847E-2</v>
      </c>
      <c r="N627" s="11">
        <f t="shared" si="28"/>
        <v>5.945104166668898</v>
      </c>
      <c r="O627" s="10">
        <v>45674.383842592593</v>
      </c>
      <c r="P627" s="11">
        <f t="shared" si="29"/>
        <v>5.9226620370391174</v>
      </c>
      <c r="Q627" s="12" t="s">
        <v>2010</v>
      </c>
    </row>
    <row r="628" spans="1:17" x14ac:dyDescent="0.25">
      <c r="A628" s="3" t="s">
        <v>2011</v>
      </c>
      <c r="B628" s="3" t="s">
        <v>308</v>
      </c>
      <c r="C628" s="9">
        <v>240.64</v>
      </c>
      <c r="D628" s="3" t="s">
        <v>506</v>
      </c>
      <c r="E628" s="10">
        <v>45674.361875000002</v>
      </c>
      <c r="F628" s="10">
        <v>45674.38144675926</v>
      </c>
      <c r="G628" s="10">
        <v>45674.383553240739</v>
      </c>
      <c r="H628" s="3" t="s">
        <v>1991</v>
      </c>
      <c r="I628" s="10">
        <v>45675.25440972222</v>
      </c>
      <c r="J628" s="10">
        <v>45675.296180555553</v>
      </c>
      <c r="K628" s="10">
        <v>45675.296180555553</v>
      </c>
      <c r="L628" s="10">
        <v>45675.297337962962</v>
      </c>
      <c r="M628" s="11">
        <f t="shared" si="27"/>
        <v>2.1678240736946464E-2</v>
      </c>
      <c r="N628" s="11">
        <f t="shared" si="28"/>
        <v>0.91378472222277196</v>
      </c>
      <c r="O628" s="10">
        <v>45674.385949074072</v>
      </c>
      <c r="P628" s="11">
        <f t="shared" si="29"/>
        <v>0.8684606481474475</v>
      </c>
      <c r="Q628" s="12" t="s">
        <v>2012</v>
      </c>
    </row>
    <row r="629" spans="1:17" ht="51" x14ac:dyDescent="0.25">
      <c r="A629" s="3" t="s">
        <v>2013</v>
      </c>
      <c r="B629" s="3" t="s">
        <v>308</v>
      </c>
      <c r="C629" s="9">
        <v>19.899999999999999</v>
      </c>
      <c r="D629" s="3" t="s">
        <v>563</v>
      </c>
      <c r="E629" s="10">
        <v>45674.361875000002</v>
      </c>
      <c r="F629" s="10">
        <v>45674.383553240739</v>
      </c>
      <c r="G629" s="10">
        <v>45674.385034722232</v>
      </c>
      <c r="H629" s="3" t="s">
        <v>2014</v>
      </c>
      <c r="I629" s="10">
        <v>45680.650775462957</v>
      </c>
      <c r="J629" s="10">
        <v>45680.67150462963</v>
      </c>
      <c r="K629" s="10">
        <v>45680.67150462963</v>
      </c>
      <c r="L629" s="10">
        <v>45680.672326388893</v>
      </c>
      <c r="M629" s="11">
        <f t="shared" si="27"/>
        <v>2.3159722230047919E-2</v>
      </c>
      <c r="N629" s="11">
        <f t="shared" si="28"/>
        <v>6.2872916666601668</v>
      </c>
      <c r="O629" s="10">
        <v>45674.387430555558</v>
      </c>
      <c r="P629" s="11">
        <f t="shared" si="29"/>
        <v>6.2633449073982774</v>
      </c>
      <c r="Q629" s="12" t="s">
        <v>2015</v>
      </c>
    </row>
    <row r="630" spans="1:17" ht="25.5" x14ac:dyDescent="0.25">
      <c r="A630" s="3" t="s">
        <v>2016</v>
      </c>
      <c r="B630" s="3" t="s">
        <v>308</v>
      </c>
      <c r="C630" s="9">
        <v>15.74</v>
      </c>
      <c r="D630" s="3" t="s">
        <v>484</v>
      </c>
      <c r="E630" s="10">
        <v>45674.361875000002</v>
      </c>
      <c r="F630" s="10">
        <v>45674.385034722232</v>
      </c>
      <c r="G630" s="10">
        <v>45674.386956018519</v>
      </c>
      <c r="H630" s="3" t="s">
        <v>1997</v>
      </c>
      <c r="I630" s="10">
        <v>45677.257071759261</v>
      </c>
      <c r="J630" s="10">
        <v>45677.276192129633</v>
      </c>
      <c r="K630" s="10">
        <v>45677.276192129633</v>
      </c>
      <c r="L630" s="10">
        <v>45677.277002314811</v>
      </c>
      <c r="M630" s="11">
        <f t="shared" si="27"/>
        <v>2.5081018517084885E-2</v>
      </c>
      <c r="N630" s="11">
        <f t="shared" si="28"/>
        <v>2.8900462962919846</v>
      </c>
      <c r="O630" s="10">
        <v>45674.390879629631</v>
      </c>
      <c r="P630" s="11">
        <f t="shared" si="29"/>
        <v>2.8661921296297805</v>
      </c>
      <c r="Q630" s="12" t="s">
        <v>2017</v>
      </c>
    </row>
    <row r="631" spans="1:17" ht="25.5" x14ac:dyDescent="0.25">
      <c r="A631" s="3" t="s">
        <v>2018</v>
      </c>
      <c r="B631" s="3" t="s">
        <v>308</v>
      </c>
      <c r="C631" s="9">
        <v>47.22</v>
      </c>
      <c r="D631" s="3" t="s">
        <v>533</v>
      </c>
      <c r="E631" s="10">
        <v>45674.361875000002</v>
      </c>
      <c r="F631" s="10">
        <v>45674.386956018519</v>
      </c>
      <c r="G631" s="10">
        <v>45674.389027777783</v>
      </c>
      <c r="H631" s="3" t="s">
        <v>2019</v>
      </c>
      <c r="I631" s="10">
        <v>45677.122731481482</v>
      </c>
      <c r="J631" s="10">
        <v>45677.160983796297</v>
      </c>
      <c r="K631" s="10">
        <v>45677.160983796297</v>
      </c>
      <c r="L631" s="10">
        <v>45677.162002314813</v>
      </c>
      <c r="M631" s="11">
        <f t="shared" si="27"/>
        <v>2.715277778042946E-2</v>
      </c>
      <c r="N631" s="11">
        <f t="shared" si="28"/>
        <v>2.7729745370306773</v>
      </c>
      <c r="O631" s="10">
        <v>45674.391423611109</v>
      </c>
      <c r="P631" s="11">
        <f t="shared" si="29"/>
        <v>2.7313078703737119</v>
      </c>
      <c r="Q631" s="12" t="s">
        <v>2020</v>
      </c>
    </row>
    <row r="632" spans="1:17" ht="25.5" x14ac:dyDescent="0.25">
      <c r="A632" s="3" t="s">
        <v>2021</v>
      </c>
      <c r="B632" s="3" t="s">
        <v>308</v>
      </c>
      <c r="C632" s="9">
        <v>14</v>
      </c>
      <c r="D632" s="3" t="s">
        <v>595</v>
      </c>
      <c r="E632" s="10">
        <v>45674.361875000002</v>
      </c>
      <c r="F632" s="10">
        <v>45674.389027777783</v>
      </c>
      <c r="G632" s="10">
        <v>45674.390381944453</v>
      </c>
      <c r="H632" s="3" t="s">
        <v>1735</v>
      </c>
      <c r="I632" s="10">
        <v>45677.719953703701</v>
      </c>
      <c r="J632" s="10">
        <v>45677.741828703707</v>
      </c>
      <c r="K632" s="10">
        <v>45677.741828703707</v>
      </c>
      <c r="L632" s="10">
        <v>45677.742604166669</v>
      </c>
      <c r="M632" s="11">
        <f t="shared" si="27"/>
        <v>2.8506944450782612E-2</v>
      </c>
      <c r="N632" s="11">
        <f t="shared" si="28"/>
        <v>3.3522222222163691</v>
      </c>
      <c r="O632" s="10">
        <v>45674.393946759257</v>
      </c>
      <c r="P632" s="11">
        <f t="shared" si="29"/>
        <v>3.3260069444440887</v>
      </c>
      <c r="Q632" s="12" t="s">
        <v>2022</v>
      </c>
    </row>
    <row r="633" spans="1:17" ht="25.5" x14ac:dyDescent="0.25">
      <c r="A633" s="3" t="s">
        <v>2023</v>
      </c>
      <c r="B633" s="3" t="s">
        <v>308</v>
      </c>
      <c r="C633" s="9">
        <v>15.74</v>
      </c>
      <c r="D633" s="3" t="s">
        <v>1033</v>
      </c>
      <c r="E633" s="10">
        <v>45674.361875000002</v>
      </c>
      <c r="F633" s="10">
        <v>45674.390381944453</v>
      </c>
      <c r="G633" s="10">
        <v>45674.391967592594</v>
      </c>
      <c r="H633" s="3" t="s">
        <v>2024</v>
      </c>
      <c r="I633" s="10">
        <v>45677.540914351863</v>
      </c>
      <c r="J633" s="10">
        <v>45677.559664351851</v>
      </c>
      <c r="K633" s="10">
        <v>45677.559664351851</v>
      </c>
      <c r="L633" s="10">
        <v>45677.56050925926</v>
      </c>
      <c r="M633" s="11">
        <f t="shared" si="27"/>
        <v>3.0092592591245193E-2</v>
      </c>
      <c r="N633" s="11">
        <f t="shared" si="28"/>
        <v>3.1685416666659876</v>
      </c>
      <c r="O633" s="10">
        <v>45674.394363425927</v>
      </c>
      <c r="P633" s="11">
        <f t="shared" si="29"/>
        <v>3.146550925936026</v>
      </c>
      <c r="Q633" s="12" t="s">
        <v>2025</v>
      </c>
    </row>
    <row r="634" spans="1:17" ht="25.5" x14ac:dyDescent="0.25">
      <c r="A634" s="3" t="s">
        <v>2026</v>
      </c>
      <c r="B634" s="3" t="s">
        <v>308</v>
      </c>
      <c r="C634" s="9">
        <v>94.9</v>
      </c>
      <c r="D634" s="3" t="s">
        <v>519</v>
      </c>
      <c r="E634" s="10">
        <v>45674.361875000002</v>
      </c>
      <c r="F634" s="10">
        <v>45674.391967592594</v>
      </c>
      <c r="G634" s="10">
        <v>45674.39403935185</v>
      </c>
      <c r="H634" s="3" t="s">
        <v>1994</v>
      </c>
      <c r="I634" s="10">
        <v>45676.747916666667</v>
      </c>
      <c r="J634" s="10">
        <v>45676.779965277783</v>
      </c>
      <c r="K634" s="10">
        <v>45676.779965277783</v>
      </c>
      <c r="L634" s="10">
        <v>45676.780763888892</v>
      </c>
      <c r="M634" s="11">
        <f t="shared" si="27"/>
        <v>3.216435184731381E-2</v>
      </c>
      <c r="N634" s="11">
        <f t="shared" si="28"/>
        <v>2.3867245370420278</v>
      </c>
      <c r="O634" s="10">
        <v>45674.397962962961</v>
      </c>
      <c r="P634" s="11">
        <f t="shared" si="29"/>
        <v>2.3499537037059781</v>
      </c>
      <c r="Q634" s="12" t="s">
        <v>2027</v>
      </c>
    </row>
    <row r="635" spans="1:17" ht="25.5" x14ac:dyDescent="0.25">
      <c r="A635" s="3" t="s">
        <v>2028</v>
      </c>
      <c r="B635" s="3" t="s">
        <v>308</v>
      </c>
      <c r="C635" s="9">
        <v>81</v>
      </c>
      <c r="D635" s="3" t="s">
        <v>527</v>
      </c>
      <c r="E635" s="10">
        <v>45674.361875000002</v>
      </c>
      <c r="F635" s="10">
        <v>45674.39403935185</v>
      </c>
      <c r="G635" s="10">
        <v>45674.39607638889</v>
      </c>
      <c r="H635" s="3" t="s">
        <v>1843</v>
      </c>
      <c r="I635" s="10">
        <v>45675.30059027778</v>
      </c>
      <c r="J635" s="10">
        <v>45675.328321759262</v>
      </c>
      <c r="K635" s="10">
        <v>45675.328321759262</v>
      </c>
      <c r="L635" s="10">
        <v>45675.329074074078</v>
      </c>
      <c r="M635" s="11">
        <f t="shared" si="27"/>
        <v>3.4201388887595385E-2</v>
      </c>
      <c r="N635" s="11">
        <f t="shared" si="28"/>
        <v>0.93299768518772908</v>
      </c>
      <c r="O635" s="10">
        <v>45674.400000000001</v>
      </c>
      <c r="P635" s="11">
        <f t="shared" si="29"/>
        <v>0.90059027777897427</v>
      </c>
      <c r="Q635" s="12" t="s">
        <v>2029</v>
      </c>
    </row>
    <row r="636" spans="1:17" ht="25.5" x14ac:dyDescent="0.25">
      <c r="A636" s="3" t="s">
        <v>2030</v>
      </c>
      <c r="B636" s="3" t="s">
        <v>308</v>
      </c>
      <c r="C636" s="9">
        <v>15.74</v>
      </c>
      <c r="D636" s="3" t="s">
        <v>515</v>
      </c>
      <c r="E636" s="10">
        <v>45674.361875000002</v>
      </c>
      <c r="F636" s="10">
        <v>45674.39607638889</v>
      </c>
      <c r="G636" s="10">
        <v>45674.397951388892</v>
      </c>
      <c r="H636" s="3" t="s">
        <v>1994</v>
      </c>
      <c r="I636" s="10">
        <v>45676.747916666667</v>
      </c>
      <c r="J636" s="10">
        <v>45676.779965277783</v>
      </c>
      <c r="K636" s="10">
        <v>45676.779965277783</v>
      </c>
      <c r="L636" s="10">
        <v>45676.780763888892</v>
      </c>
      <c r="M636" s="11">
        <f t="shared" si="27"/>
        <v>3.6076388889341615E-2</v>
      </c>
      <c r="N636" s="11">
        <f t="shared" si="28"/>
        <v>2.3828125</v>
      </c>
      <c r="O636" s="10">
        <v>45674.40152777778</v>
      </c>
      <c r="P636" s="11">
        <f t="shared" si="29"/>
        <v>2.3463888888873043</v>
      </c>
      <c r="Q636" s="12" t="s">
        <v>2031</v>
      </c>
    </row>
    <row r="637" spans="1:17" x14ac:dyDescent="0.25">
      <c r="A637" s="3" t="s">
        <v>2032</v>
      </c>
      <c r="B637" s="3" t="s">
        <v>309</v>
      </c>
      <c r="C637" s="9">
        <v>163.19999999999999</v>
      </c>
      <c r="D637" s="3" t="s">
        <v>500</v>
      </c>
      <c r="E637" s="10">
        <v>45674.368784722217</v>
      </c>
      <c r="F637" s="10"/>
      <c r="G637" s="10"/>
      <c r="H637" s="3"/>
      <c r="I637" s="10"/>
      <c r="J637" s="10"/>
      <c r="K637" s="10"/>
      <c r="L637" s="10"/>
      <c r="M637" s="11" t="str">
        <f t="shared" si="27"/>
        <v/>
      </c>
      <c r="N637" s="11" t="str">
        <f t="shared" si="28"/>
        <v/>
      </c>
      <c r="O637" s="10"/>
      <c r="P637" s="11" t="str">
        <f t="shared" si="29"/>
        <v/>
      </c>
      <c r="Q637" s="12"/>
    </row>
    <row r="638" spans="1:17" x14ac:dyDescent="0.25">
      <c r="A638" s="3" t="s">
        <v>2033</v>
      </c>
      <c r="B638" s="3" t="s">
        <v>309</v>
      </c>
      <c r="C638" s="9">
        <v>173.3</v>
      </c>
      <c r="D638" s="3" t="s">
        <v>572</v>
      </c>
      <c r="E638" s="10">
        <v>45674.368784722217</v>
      </c>
      <c r="F638" s="10">
        <v>45674.375914351847</v>
      </c>
      <c r="G638" s="10">
        <v>45674.377442129633</v>
      </c>
      <c r="H638" s="3" t="s">
        <v>2034</v>
      </c>
      <c r="I638" s="10">
        <v>45675.036435185182</v>
      </c>
      <c r="J638" s="10">
        <v>45675.066516203697</v>
      </c>
      <c r="K638" s="10">
        <v>45675.066516203697</v>
      </c>
      <c r="L638" s="10">
        <v>45675.067384259259</v>
      </c>
      <c r="M638" s="11">
        <f t="shared" si="27"/>
        <v>8.6574074157397263E-3</v>
      </c>
      <c r="N638" s="11">
        <f t="shared" si="28"/>
        <v>0.689942129625706</v>
      </c>
      <c r="O638" s="10">
        <v>45674.379837962973</v>
      </c>
      <c r="P638" s="11">
        <f t="shared" si="29"/>
        <v>0.65659722220880212</v>
      </c>
      <c r="Q638" s="12" t="s">
        <v>2035</v>
      </c>
    </row>
    <row r="639" spans="1:17" ht="25.5" x14ac:dyDescent="0.25">
      <c r="A639" s="3" t="s">
        <v>2036</v>
      </c>
      <c r="B639" s="3" t="s">
        <v>310</v>
      </c>
      <c r="C639" s="9">
        <v>21</v>
      </c>
      <c r="D639" s="3" t="s">
        <v>572</v>
      </c>
      <c r="E639" s="10">
        <v>45674.42564814815</v>
      </c>
      <c r="F639" s="10">
        <v>45674.434305555558</v>
      </c>
      <c r="G639" s="10">
        <v>45674.435474537036</v>
      </c>
      <c r="H639" s="3" t="s">
        <v>2037</v>
      </c>
      <c r="I639" s="10">
        <v>45677.201331018521</v>
      </c>
      <c r="J639" s="10">
        <v>45677.253784722219</v>
      </c>
      <c r="K639" s="10">
        <v>45677.253784722219</v>
      </c>
      <c r="L639" s="10">
        <v>45677.254942129628</v>
      </c>
      <c r="M639" s="11">
        <f t="shared" si="27"/>
        <v>9.8263888867222704E-3</v>
      </c>
      <c r="N639" s="11">
        <f t="shared" si="28"/>
        <v>2.8194675925915362</v>
      </c>
      <c r="O639" s="10">
        <v>45674.437650462962</v>
      </c>
      <c r="P639" s="11">
        <f t="shared" si="29"/>
        <v>2.7636805555594037</v>
      </c>
      <c r="Q639" s="12" t="s">
        <v>2038</v>
      </c>
    </row>
    <row r="640" spans="1:17" x14ac:dyDescent="0.25">
      <c r="A640" s="3" t="s">
        <v>2039</v>
      </c>
      <c r="B640" s="3" t="s">
        <v>310</v>
      </c>
      <c r="C640" s="9">
        <v>422.2</v>
      </c>
      <c r="D640" s="3" t="s">
        <v>500</v>
      </c>
      <c r="E640" s="10">
        <v>45674.42564814815</v>
      </c>
      <c r="F640" s="10"/>
      <c r="G640" s="10"/>
      <c r="H640" s="3"/>
      <c r="I640" s="10"/>
      <c r="J640" s="10"/>
      <c r="K640" s="10"/>
      <c r="L640" s="10"/>
      <c r="M640" s="11" t="str">
        <f t="shared" si="27"/>
        <v/>
      </c>
      <c r="N640" s="11" t="str">
        <f t="shared" si="28"/>
        <v/>
      </c>
      <c r="O640" s="10"/>
      <c r="P640" s="11" t="str">
        <f t="shared" si="29"/>
        <v/>
      </c>
      <c r="Q640" s="12"/>
    </row>
    <row r="641" spans="1:17" x14ac:dyDescent="0.25">
      <c r="A641" s="3" t="s">
        <v>2040</v>
      </c>
      <c r="B641" s="3" t="s">
        <v>311</v>
      </c>
      <c r="C641" s="9">
        <v>238.44</v>
      </c>
      <c r="D641" s="3" t="s">
        <v>500</v>
      </c>
      <c r="E641" s="10">
        <v>45674.536481481482</v>
      </c>
      <c r="F641" s="10">
        <v>45674.541956018518</v>
      </c>
      <c r="G641" s="10">
        <v>45674.543749999997</v>
      </c>
      <c r="H641" s="3" t="s">
        <v>2041</v>
      </c>
      <c r="I641" s="10">
        <v>45676.855671296304</v>
      </c>
      <c r="J641" s="10">
        <v>45676.89707175926</v>
      </c>
      <c r="K641" s="10">
        <v>45676.89707175926</v>
      </c>
      <c r="L641" s="10">
        <v>45676.898043981477</v>
      </c>
      <c r="M641" s="11">
        <f t="shared" si="27"/>
        <v>7.2685185150476173E-3</v>
      </c>
      <c r="N641" s="11">
        <f t="shared" si="28"/>
        <v>2.3542939814797137</v>
      </c>
      <c r="O641" s="10">
        <v>45674.54614583333</v>
      </c>
      <c r="P641" s="11">
        <f t="shared" si="29"/>
        <v>2.3095254629733972</v>
      </c>
      <c r="Q641" s="12" t="s">
        <v>2042</v>
      </c>
    </row>
    <row r="642" spans="1:17" x14ac:dyDescent="0.25">
      <c r="A642" s="3" t="s">
        <v>2043</v>
      </c>
      <c r="B642" s="3" t="s">
        <v>312</v>
      </c>
      <c r="C642" s="9">
        <v>220.36</v>
      </c>
      <c r="D642" s="3" t="s">
        <v>500</v>
      </c>
      <c r="E642" s="10">
        <v>45674.649745370371</v>
      </c>
      <c r="F642" s="10">
        <v>45674.655312499999</v>
      </c>
      <c r="G642" s="10">
        <v>45674.657824074071</v>
      </c>
      <c r="H642" s="3" t="s">
        <v>2019</v>
      </c>
      <c r="I642" s="10">
        <v>45677.122731481482</v>
      </c>
      <c r="J642" s="10">
        <v>45677.160983796297</v>
      </c>
      <c r="K642" s="10">
        <v>45677.160983796297</v>
      </c>
      <c r="L642" s="10">
        <v>45677.162002314813</v>
      </c>
      <c r="M642" s="11">
        <f t="shared" ref="M642:M705" si="30">IF(AND(ISNUMBER(E642),ISNUMBER(G642)),(G642-E642),"")</f>
        <v>8.0787037004483864E-3</v>
      </c>
      <c r="N642" s="11">
        <f t="shared" ref="N642:N705" si="31">IF(AND(ISNUMBER(G642),ISNUMBER(L642)),(L642-G642),"")</f>
        <v>2.5041782407424762</v>
      </c>
      <c r="O642" s="10">
        <v>45674.660185185188</v>
      </c>
      <c r="P642" s="11">
        <f t="shared" ref="P642:P705" si="32">IF(AND(ISNUMBER(I642),ISNUMBER(O642)),(I642-O642),"")</f>
        <v>2.4625462962940219</v>
      </c>
      <c r="Q642" s="12" t="s">
        <v>2044</v>
      </c>
    </row>
    <row r="643" spans="1:17" x14ac:dyDescent="0.25">
      <c r="A643" s="3" t="s">
        <v>2045</v>
      </c>
      <c r="B643" s="3" t="s">
        <v>313</v>
      </c>
      <c r="C643" s="9">
        <v>302.12000000000012</v>
      </c>
      <c r="D643" s="3" t="s">
        <v>500</v>
      </c>
      <c r="E643" s="10">
        <v>45674.731377314813</v>
      </c>
      <c r="F643" s="10">
        <v>45674.737337962957</v>
      </c>
      <c r="G643" s="10">
        <v>45674.739166666674</v>
      </c>
      <c r="H643" s="3" t="s">
        <v>2037</v>
      </c>
      <c r="I643" s="10">
        <v>45677.201331018521</v>
      </c>
      <c r="J643" s="10">
        <v>45677.253784722219</v>
      </c>
      <c r="K643" s="10">
        <v>45677.253784722219</v>
      </c>
      <c r="L643" s="10">
        <v>45677.254942129628</v>
      </c>
      <c r="M643" s="11">
        <f t="shared" si="30"/>
        <v>7.7893518609926105E-3</v>
      </c>
      <c r="N643" s="11">
        <f t="shared" si="31"/>
        <v>2.5157754629544797</v>
      </c>
      <c r="O643" s="10">
        <v>45674.741562499999</v>
      </c>
      <c r="P643" s="11">
        <f t="shared" si="32"/>
        <v>2.4597685185217415</v>
      </c>
      <c r="Q643" s="12" t="s">
        <v>2046</v>
      </c>
    </row>
    <row r="644" spans="1:17" x14ac:dyDescent="0.25">
      <c r="A644" s="3" t="s">
        <v>2047</v>
      </c>
      <c r="B644" s="3" t="s">
        <v>314</v>
      </c>
      <c r="C644" s="9">
        <v>110.18</v>
      </c>
      <c r="D644" s="3" t="s">
        <v>500</v>
      </c>
      <c r="E644" s="10">
        <v>45674.751597222217</v>
      </c>
      <c r="F644" s="10">
        <v>45674.756203703713</v>
      </c>
      <c r="G644" s="10">
        <v>45674.758379629631</v>
      </c>
      <c r="H644" s="3" t="s">
        <v>1997</v>
      </c>
      <c r="I644" s="10">
        <v>45677.257071759261</v>
      </c>
      <c r="J644" s="10">
        <v>45677.276192129633</v>
      </c>
      <c r="K644" s="10">
        <v>45677.276192129633</v>
      </c>
      <c r="L644" s="10">
        <v>45677.277002314811</v>
      </c>
      <c r="M644" s="11">
        <f t="shared" si="30"/>
        <v>6.7824074139934964E-3</v>
      </c>
      <c r="N644" s="11">
        <f t="shared" si="31"/>
        <v>2.5186226851801621</v>
      </c>
      <c r="O644" s="10">
        <v>45674.760775462957</v>
      </c>
      <c r="P644" s="11">
        <f t="shared" si="32"/>
        <v>2.4962962963036261</v>
      </c>
      <c r="Q644" s="12" t="s">
        <v>2048</v>
      </c>
    </row>
    <row r="645" spans="1:17" ht="38.25" x14ac:dyDescent="0.25">
      <c r="A645" s="3" t="s">
        <v>2049</v>
      </c>
      <c r="B645" s="3" t="s">
        <v>315</v>
      </c>
      <c r="C645" s="9">
        <v>15.74</v>
      </c>
      <c r="D645" s="3" t="s">
        <v>533</v>
      </c>
      <c r="E645" s="10">
        <v>45674.839930555558</v>
      </c>
      <c r="F645" s="10">
        <v>45674.853275462963</v>
      </c>
      <c r="G645" s="10">
        <v>45674.855300925927</v>
      </c>
      <c r="H645" s="3" t="s">
        <v>2050</v>
      </c>
      <c r="I645" s="10">
        <v>45677.666030092587</v>
      </c>
      <c r="J645" s="10">
        <v>45677.723263888889</v>
      </c>
      <c r="K645" s="10">
        <v>45677.723263888889</v>
      </c>
      <c r="L645" s="10">
        <v>45677.724537037036</v>
      </c>
      <c r="M645" s="11">
        <f t="shared" si="30"/>
        <v>1.5370370369055308E-2</v>
      </c>
      <c r="N645" s="11">
        <f t="shared" si="31"/>
        <v>2.8692361111097853</v>
      </c>
      <c r="O645" s="10">
        <v>45674.857662037037</v>
      </c>
      <c r="P645" s="11">
        <f t="shared" si="32"/>
        <v>2.8083680555500905</v>
      </c>
      <c r="Q645" s="12" t="s">
        <v>2051</v>
      </c>
    </row>
    <row r="646" spans="1:17" ht="25.5" x14ac:dyDescent="0.25">
      <c r="A646" s="3" t="s">
        <v>2052</v>
      </c>
      <c r="B646" s="3" t="s">
        <v>315</v>
      </c>
      <c r="C646" s="9">
        <v>36.4</v>
      </c>
      <c r="D646" s="3" t="s">
        <v>519</v>
      </c>
      <c r="E646" s="10">
        <v>45674.839930555558</v>
      </c>
      <c r="F646" s="10">
        <v>45674.855300925927</v>
      </c>
      <c r="G646" s="10">
        <v>45674.857071759259</v>
      </c>
      <c r="H646" s="3" t="s">
        <v>2053</v>
      </c>
      <c r="I646" s="10">
        <v>45677.355173611111</v>
      </c>
      <c r="J646" s="10">
        <v>45677.380057870367</v>
      </c>
      <c r="K646" s="10">
        <v>45677.380057870367</v>
      </c>
      <c r="L646" s="10">
        <v>45677.380891203713</v>
      </c>
      <c r="M646" s="11">
        <f t="shared" si="30"/>
        <v>1.714120370161254E-2</v>
      </c>
      <c r="N646" s="11">
        <f t="shared" si="31"/>
        <v>2.523819444453693</v>
      </c>
      <c r="O646" s="10">
        <v>45674.859236111108</v>
      </c>
      <c r="P646" s="11">
        <f t="shared" si="32"/>
        <v>2.4959375000034925</v>
      </c>
      <c r="Q646" s="12" t="s">
        <v>2054</v>
      </c>
    </row>
    <row r="647" spans="1:17" ht="25.5" x14ac:dyDescent="0.25">
      <c r="A647" s="3" t="s">
        <v>2055</v>
      </c>
      <c r="B647" s="3" t="s">
        <v>315</v>
      </c>
      <c r="C647" s="9">
        <v>19.899999999999999</v>
      </c>
      <c r="D647" s="3" t="s">
        <v>492</v>
      </c>
      <c r="E647" s="10">
        <v>45674.839930555558</v>
      </c>
      <c r="F647" s="10">
        <v>45674.857071759259</v>
      </c>
      <c r="G647" s="10">
        <v>45674.859039351853</v>
      </c>
      <c r="H647" s="3" t="s">
        <v>2056</v>
      </c>
      <c r="I647" s="10">
        <v>45677.321250000001</v>
      </c>
      <c r="J647" s="10">
        <v>45677.351770833331</v>
      </c>
      <c r="K647" s="10">
        <v>45677.351770833331</v>
      </c>
      <c r="L647" s="10">
        <v>45677.352719907409</v>
      </c>
      <c r="M647" s="11">
        <f t="shared" si="30"/>
        <v>1.9108796295768116E-2</v>
      </c>
      <c r="N647" s="11">
        <f t="shared" si="31"/>
        <v>2.4936805555553292</v>
      </c>
      <c r="O647" s="10">
        <v>45674.861400462964</v>
      </c>
      <c r="P647" s="11">
        <f t="shared" si="32"/>
        <v>2.4598495370373712</v>
      </c>
      <c r="Q647" s="12" t="s">
        <v>2057</v>
      </c>
    </row>
    <row r="648" spans="1:17" ht="25.5" x14ac:dyDescent="0.25">
      <c r="A648" s="3" t="s">
        <v>2058</v>
      </c>
      <c r="B648" s="3" t="s">
        <v>315</v>
      </c>
      <c r="C648" s="9">
        <v>54</v>
      </c>
      <c r="D648" s="3" t="s">
        <v>527</v>
      </c>
      <c r="E648" s="10">
        <v>45674.839930555558</v>
      </c>
      <c r="F648" s="10">
        <v>45674.859039351853</v>
      </c>
      <c r="G648" s="10">
        <v>45674.860405092593</v>
      </c>
      <c r="H648" s="3" t="s">
        <v>2059</v>
      </c>
      <c r="I648" s="10">
        <v>45677.672233796293</v>
      </c>
      <c r="J648" s="10">
        <v>45677.695671296293</v>
      </c>
      <c r="K648" s="10">
        <v>45677.695671296293</v>
      </c>
      <c r="L648" s="10">
        <v>45677.696527777778</v>
      </c>
      <c r="M648" s="11">
        <f t="shared" si="30"/>
        <v>2.0474537035624962E-2</v>
      </c>
      <c r="N648" s="11">
        <f t="shared" si="31"/>
        <v>2.8361226851848187</v>
      </c>
      <c r="O648" s="10">
        <v>45674.862569444442</v>
      </c>
      <c r="P648" s="11">
        <f t="shared" si="32"/>
        <v>2.8096643518510973</v>
      </c>
      <c r="Q648" s="12" t="s">
        <v>2060</v>
      </c>
    </row>
    <row r="649" spans="1:17" ht="25.5" x14ac:dyDescent="0.25">
      <c r="A649" s="3" t="s">
        <v>2061</v>
      </c>
      <c r="B649" s="3" t="s">
        <v>315</v>
      </c>
      <c r="C649" s="9">
        <v>23.24</v>
      </c>
      <c r="D649" s="3" t="s">
        <v>515</v>
      </c>
      <c r="E649" s="10">
        <v>45674.839930555558</v>
      </c>
      <c r="F649" s="10">
        <v>45674.860405092593</v>
      </c>
      <c r="G649" s="10">
        <v>45674.862337962957</v>
      </c>
      <c r="H649" s="3" t="s">
        <v>2062</v>
      </c>
      <c r="I649" s="10">
        <v>45677.456828703696</v>
      </c>
      <c r="J649" s="10">
        <v>45677.479861111111</v>
      </c>
      <c r="K649" s="10">
        <v>45677.479861111111</v>
      </c>
      <c r="L649" s="10">
        <v>45677.480555555558</v>
      </c>
      <c r="M649" s="11">
        <f t="shared" si="30"/>
        <v>2.2407407399441581E-2</v>
      </c>
      <c r="N649" s="11">
        <f t="shared" si="31"/>
        <v>2.6182175926005584</v>
      </c>
      <c r="O649" s="10">
        <v>45674.864699074067</v>
      </c>
      <c r="P649" s="11">
        <f t="shared" si="32"/>
        <v>2.5921296296291985</v>
      </c>
      <c r="Q649" s="12" t="s">
        <v>2063</v>
      </c>
    </row>
    <row r="650" spans="1:17" ht="25.5" x14ac:dyDescent="0.25">
      <c r="A650" s="3" t="s">
        <v>2064</v>
      </c>
      <c r="B650" s="3" t="s">
        <v>315</v>
      </c>
      <c r="C650" s="9">
        <v>155.91999999999999</v>
      </c>
      <c r="D650" s="3" t="s">
        <v>506</v>
      </c>
      <c r="E650" s="10">
        <v>45674.839930555558</v>
      </c>
      <c r="F650" s="10">
        <v>45674.862337962957</v>
      </c>
      <c r="G650" s="10">
        <v>45674.864618055559</v>
      </c>
      <c r="H650" s="3" t="s">
        <v>2056</v>
      </c>
      <c r="I650" s="10">
        <v>45677.321250000001</v>
      </c>
      <c r="J650" s="10">
        <v>45677.351770833331</v>
      </c>
      <c r="K650" s="10">
        <v>45677.351770833331</v>
      </c>
      <c r="L650" s="10">
        <v>45677.352719907409</v>
      </c>
      <c r="M650" s="11">
        <f t="shared" si="30"/>
        <v>2.4687500001164153E-2</v>
      </c>
      <c r="N650" s="11">
        <f t="shared" si="31"/>
        <v>2.4881018518499332</v>
      </c>
      <c r="O650" s="10">
        <v>45674.868159722217</v>
      </c>
      <c r="P650" s="11">
        <f t="shared" si="32"/>
        <v>2.453090277784213</v>
      </c>
      <c r="Q650" s="12" t="s">
        <v>2065</v>
      </c>
    </row>
    <row r="651" spans="1:17" ht="51" x14ac:dyDescent="0.25">
      <c r="A651" s="3" t="s">
        <v>2066</v>
      </c>
      <c r="B651" s="3" t="s">
        <v>315</v>
      </c>
      <c r="C651" s="9">
        <v>19.899999999999999</v>
      </c>
      <c r="D651" s="3" t="s">
        <v>563</v>
      </c>
      <c r="E651" s="10">
        <v>45674.839930555558</v>
      </c>
      <c r="F651" s="10">
        <v>45674.864618055559</v>
      </c>
      <c r="G651" s="10">
        <v>45674.866122685176</v>
      </c>
      <c r="H651" s="3" t="s">
        <v>2014</v>
      </c>
      <c r="I651" s="10">
        <v>45680.650775462957</v>
      </c>
      <c r="J651" s="10">
        <v>45680.67150462963</v>
      </c>
      <c r="K651" s="10">
        <v>45680.67150462963</v>
      </c>
      <c r="L651" s="10">
        <v>45680.672326388893</v>
      </c>
      <c r="M651" s="11">
        <f t="shared" si="30"/>
        <v>2.6192129618721083E-2</v>
      </c>
      <c r="N651" s="11">
        <f t="shared" si="31"/>
        <v>5.8062037037161645</v>
      </c>
      <c r="O651" s="10">
        <v>45674.870011574072</v>
      </c>
      <c r="P651" s="11">
        <f t="shared" si="32"/>
        <v>5.780763888884394</v>
      </c>
      <c r="Q651" s="12" t="s">
        <v>2067</v>
      </c>
    </row>
    <row r="652" spans="1:17" x14ac:dyDescent="0.25">
      <c r="A652" s="3" t="s">
        <v>2068</v>
      </c>
      <c r="B652" s="3" t="s">
        <v>315</v>
      </c>
      <c r="C652" s="9">
        <v>19.899999999999999</v>
      </c>
      <c r="D652" s="3" t="s">
        <v>488</v>
      </c>
      <c r="E652" s="10">
        <v>45674.839930555558</v>
      </c>
      <c r="F652" s="10"/>
      <c r="G652" s="10"/>
      <c r="H652" s="3"/>
      <c r="I652" s="10"/>
      <c r="J652" s="10"/>
      <c r="K652" s="10"/>
      <c r="L652" s="10"/>
      <c r="M652" s="11" t="str">
        <f t="shared" si="30"/>
        <v/>
      </c>
      <c r="N652" s="11" t="str">
        <f t="shared" si="31"/>
        <v/>
      </c>
      <c r="O652" s="10"/>
      <c r="P652" s="11" t="str">
        <f t="shared" si="32"/>
        <v/>
      </c>
      <c r="Q652" s="12"/>
    </row>
    <row r="653" spans="1:17" x14ac:dyDescent="0.25">
      <c r="A653" s="3" t="s">
        <v>2069</v>
      </c>
      <c r="B653" s="3" t="s">
        <v>316</v>
      </c>
      <c r="C653" s="9">
        <v>179.16</v>
      </c>
      <c r="D653" s="3" t="s">
        <v>506</v>
      </c>
      <c r="E653" s="10">
        <v>45675.018622685187</v>
      </c>
      <c r="F653" s="10">
        <v>45675.028946759259</v>
      </c>
      <c r="G653" s="10">
        <v>45675.031076388892</v>
      </c>
      <c r="H653" s="3" t="s">
        <v>2070</v>
      </c>
      <c r="I653" s="10">
        <v>45677.322812500002</v>
      </c>
      <c r="J653" s="10">
        <v>45677.35392361111</v>
      </c>
      <c r="K653" s="10">
        <v>45677.35392361111</v>
      </c>
      <c r="L653" s="10">
        <v>45677.354872685188</v>
      </c>
      <c r="M653" s="11">
        <f t="shared" si="30"/>
        <v>1.2453703704522923E-2</v>
      </c>
      <c r="N653" s="11">
        <f t="shared" si="31"/>
        <v>2.3237962962957681</v>
      </c>
      <c r="O653" s="10">
        <v>45675.033229166656</v>
      </c>
      <c r="P653" s="11">
        <f t="shared" si="32"/>
        <v>2.289583333345945</v>
      </c>
      <c r="Q653" s="12" t="s">
        <v>2071</v>
      </c>
    </row>
    <row r="654" spans="1:17" ht="25.5" x14ac:dyDescent="0.25">
      <c r="A654" s="3" t="s">
        <v>2072</v>
      </c>
      <c r="B654" s="3" t="s">
        <v>316</v>
      </c>
      <c r="C654" s="9">
        <v>54</v>
      </c>
      <c r="D654" s="3" t="s">
        <v>519</v>
      </c>
      <c r="E654" s="10">
        <v>45675.018622685187</v>
      </c>
      <c r="F654" s="10">
        <v>45675.031076388892</v>
      </c>
      <c r="G654" s="10">
        <v>45675.032881944448</v>
      </c>
      <c r="H654" s="3" t="s">
        <v>2053</v>
      </c>
      <c r="I654" s="10">
        <v>45677.355173611111</v>
      </c>
      <c r="J654" s="10">
        <v>45677.380057870367</v>
      </c>
      <c r="K654" s="10">
        <v>45677.380057870367</v>
      </c>
      <c r="L654" s="10">
        <v>45677.380891203713</v>
      </c>
      <c r="M654" s="11">
        <f t="shared" si="30"/>
        <v>1.4259259260143153E-2</v>
      </c>
      <c r="N654" s="11">
        <f t="shared" si="31"/>
        <v>2.3480092592653818</v>
      </c>
      <c r="O654" s="10">
        <v>45675.036805555559</v>
      </c>
      <c r="P654" s="11">
        <f t="shared" si="32"/>
        <v>2.3183680555521278</v>
      </c>
      <c r="Q654" s="12" t="s">
        <v>2073</v>
      </c>
    </row>
    <row r="655" spans="1:17" x14ac:dyDescent="0.25">
      <c r="A655" s="3" t="s">
        <v>2074</v>
      </c>
      <c r="B655" s="3" t="s">
        <v>316</v>
      </c>
      <c r="C655" s="9">
        <v>85.46</v>
      </c>
      <c r="D655" s="3" t="s">
        <v>506</v>
      </c>
      <c r="E655" s="10">
        <v>45675.018622685187</v>
      </c>
      <c r="F655" s="10"/>
      <c r="G655" s="10"/>
      <c r="H655" s="3"/>
      <c r="I655" s="10"/>
      <c r="J655" s="10"/>
      <c r="K655" s="10"/>
      <c r="L655" s="10"/>
      <c r="M655" s="11" t="str">
        <f t="shared" si="30"/>
        <v/>
      </c>
      <c r="N655" s="11" t="str">
        <f t="shared" si="31"/>
        <v/>
      </c>
      <c r="O655" s="10"/>
      <c r="P655" s="11" t="str">
        <f t="shared" si="32"/>
        <v/>
      </c>
      <c r="Q655" s="12"/>
    </row>
    <row r="656" spans="1:17" ht="25.5" x14ac:dyDescent="0.25">
      <c r="A656" s="3" t="s">
        <v>2075</v>
      </c>
      <c r="B656" s="3" t="s">
        <v>316</v>
      </c>
      <c r="C656" s="9">
        <v>52.9</v>
      </c>
      <c r="D656" s="3" t="s">
        <v>519</v>
      </c>
      <c r="E656" s="10">
        <v>45675.018622685187</v>
      </c>
      <c r="F656" s="10">
        <v>45675.032881944448</v>
      </c>
      <c r="G656" s="10">
        <v>45675.034699074073</v>
      </c>
      <c r="H656" s="3" t="s">
        <v>2053</v>
      </c>
      <c r="I656" s="10">
        <v>45677.355173611111</v>
      </c>
      <c r="J656" s="10">
        <v>45677.380057870367</v>
      </c>
      <c r="K656" s="10">
        <v>45677.380057870367</v>
      </c>
      <c r="L656" s="10">
        <v>45677.380891203713</v>
      </c>
      <c r="M656" s="11">
        <f t="shared" si="30"/>
        <v>1.6076388885267079E-2</v>
      </c>
      <c r="N656" s="11">
        <f t="shared" si="31"/>
        <v>2.3461921296402579</v>
      </c>
      <c r="O656" s="10">
        <v>45675.038240740738</v>
      </c>
      <c r="P656" s="11">
        <f t="shared" si="32"/>
        <v>2.3169328703734209</v>
      </c>
      <c r="Q656" s="12" t="s">
        <v>2076</v>
      </c>
    </row>
    <row r="657" spans="1:17" ht="38.25" x14ac:dyDescent="0.25">
      <c r="A657" s="3" t="s">
        <v>2077</v>
      </c>
      <c r="B657" s="3" t="s">
        <v>317</v>
      </c>
      <c r="C657" s="9">
        <v>31.48</v>
      </c>
      <c r="D657" s="3" t="s">
        <v>533</v>
      </c>
      <c r="E657" s="10">
        <v>45675.240439814806</v>
      </c>
      <c r="F657" s="10">
        <v>45675.249259259261</v>
      </c>
      <c r="G657" s="10">
        <v>45675.251331018517</v>
      </c>
      <c r="H657" s="3" t="s">
        <v>2050</v>
      </c>
      <c r="I657" s="10">
        <v>45677.666030092587</v>
      </c>
      <c r="J657" s="10">
        <v>45677.723263888889</v>
      </c>
      <c r="K657" s="10">
        <v>45677.723263888889</v>
      </c>
      <c r="L657" s="10">
        <v>45677.724537037036</v>
      </c>
      <c r="M657" s="11">
        <f t="shared" si="30"/>
        <v>1.0891203710343689E-2</v>
      </c>
      <c r="N657" s="11">
        <f t="shared" si="31"/>
        <v>2.4732060185197042</v>
      </c>
      <c r="O657" s="10">
        <v>45675.255254629628</v>
      </c>
      <c r="P657" s="11">
        <f t="shared" si="32"/>
        <v>2.4107754629585543</v>
      </c>
      <c r="Q657" s="12" t="s">
        <v>2078</v>
      </c>
    </row>
    <row r="658" spans="1:17" ht="25.5" x14ac:dyDescent="0.25">
      <c r="A658" s="3" t="s">
        <v>2079</v>
      </c>
      <c r="B658" s="3" t="s">
        <v>317</v>
      </c>
      <c r="C658" s="9">
        <v>93.800000000000011</v>
      </c>
      <c r="D658" s="3" t="s">
        <v>519</v>
      </c>
      <c r="E658" s="10">
        <v>45675.240439814806</v>
      </c>
      <c r="F658" s="10">
        <v>45675.251331018517</v>
      </c>
      <c r="G658" s="10">
        <v>45675.25267361111</v>
      </c>
      <c r="H658" s="3" t="s">
        <v>2080</v>
      </c>
      <c r="I658" s="10">
        <v>45677.38726851852</v>
      </c>
      <c r="J658" s="10">
        <v>45677.406412037039</v>
      </c>
      <c r="K658" s="10">
        <v>45677.406412037039</v>
      </c>
      <c r="L658" s="10">
        <v>45677.407141203701</v>
      </c>
      <c r="M658" s="11">
        <f t="shared" si="30"/>
        <v>1.2233796303917188E-2</v>
      </c>
      <c r="N658" s="11">
        <f t="shared" si="31"/>
        <v>2.1544675925906631</v>
      </c>
      <c r="O658" s="10">
        <v>45675.254849537043</v>
      </c>
      <c r="P658" s="11">
        <f t="shared" si="32"/>
        <v>2.1324189814768033</v>
      </c>
      <c r="Q658" s="12" t="s">
        <v>2081</v>
      </c>
    </row>
    <row r="659" spans="1:17" x14ac:dyDescent="0.25">
      <c r="A659" s="3" t="s">
        <v>2082</v>
      </c>
      <c r="B659" s="3" t="s">
        <v>317</v>
      </c>
      <c r="C659" s="9">
        <v>287.86</v>
      </c>
      <c r="D659" s="3" t="s">
        <v>506</v>
      </c>
      <c r="E659" s="10">
        <v>45675.240439814806</v>
      </c>
      <c r="F659" s="10"/>
      <c r="G659" s="10"/>
      <c r="H659" s="3"/>
      <c r="I659" s="10"/>
      <c r="J659" s="10"/>
      <c r="K659" s="10"/>
      <c r="L659" s="10"/>
      <c r="M659" s="11" t="str">
        <f t="shared" si="30"/>
        <v/>
      </c>
      <c r="N659" s="11" t="str">
        <f t="shared" si="31"/>
        <v/>
      </c>
      <c r="O659" s="10"/>
      <c r="P659" s="11" t="str">
        <f t="shared" si="32"/>
        <v/>
      </c>
      <c r="Q659" s="12"/>
    </row>
    <row r="660" spans="1:17" ht="25.5" x14ac:dyDescent="0.25">
      <c r="A660" s="3" t="s">
        <v>2083</v>
      </c>
      <c r="B660" s="3" t="s">
        <v>318</v>
      </c>
      <c r="C660" s="9">
        <v>47.22</v>
      </c>
      <c r="D660" s="3" t="s">
        <v>533</v>
      </c>
      <c r="E660" s="10">
        <v>45675.270335648151</v>
      </c>
      <c r="F660" s="10">
        <v>45675.286527777767</v>
      </c>
      <c r="G660" s="10">
        <v>45675.288634259261</v>
      </c>
      <c r="H660" s="3" t="s">
        <v>2050</v>
      </c>
      <c r="I660" s="10">
        <v>45677.666030092587</v>
      </c>
      <c r="J660" s="10">
        <v>45677.723263888889</v>
      </c>
      <c r="K660" s="10">
        <v>45677.723263888889</v>
      </c>
      <c r="L660" s="10">
        <v>45677.724537037036</v>
      </c>
      <c r="M660" s="11">
        <f t="shared" si="30"/>
        <v>1.8298611110367347E-2</v>
      </c>
      <c r="N660" s="11">
        <f t="shared" si="31"/>
        <v>2.4359027777754818</v>
      </c>
      <c r="O660" s="10">
        <v>45675.292199074072</v>
      </c>
      <c r="P660" s="11">
        <f t="shared" si="32"/>
        <v>2.3738310185144655</v>
      </c>
      <c r="Q660" s="12" t="s">
        <v>2084</v>
      </c>
    </row>
    <row r="661" spans="1:17" x14ac:dyDescent="0.25">
      <c r="A661" s="3" t="s">
        <v>2085</v>
      </c>
      <c r="B661" s="3" t="s">
        <v>318</v>
      </c>
      <c r="C661" s="9">
        <v>21</v>
      </c>
      <c r="D661" s="3" t="s">
        <v>488</v>
      </c>
      <c r="E661" s="10">
        <v>45675.270335648151</v>
      </c>
      <c r="F661" s="10"/>
      <c r="G661" s="10"/>
      <c r="H661" s="3"/>
      <c r="I661" s="10"/>
      <c r="J661" s="10"/>
      <c r="K661" s="10"/>
      <c r="L661" s="10"/>
      <c r="M661" s="11" t="str">
        <f t="shared" si="30"/>
        <v/>
      </c>
      <c r="N661" s="11" t="str">
        <f t="shared" si="31"/>
        <v/>
      </c>
      <c r="O661" s="10"/>
      <c r="P661" s="11" t="str">
        <f t="shared" si="32"/>
        <v/>
      </c>
      <c r="Q661" s="12"/>
    </row>
    <row r="662" spans="1:17" ht="25.5" x14ac:dyDescent="0.25">
      <c r="A662" s="3" t="s">
        <v>2086</v>
      </c>
      <c r="B662" s="3" t="s">
        <v>318</v>
      </c>
      <c r="C662" s="9">
        <v>31.48</v>
      </c>
      <c r="D662" s="3" t="s">
        <v>496</v>
      </c>
      <c r="E662" s="10">
        <v>45675.270335648151</v>
      </c>
      <c r="F662" s="10">
        <v>45675.288634259261</v>
      </c>
      <c r="G662" s="10">
        <v>45675.290578703702</v>
      </c>
      <c r="H662" s="3" t="s">
        <v>2087</v>
      </c>
      <c r="I662" s="10">
        <v>45677.409317129634</v>
      </c>
      <c r="J662" s="10">
        <v>45677.499895833331</v>
      </c>
      <c r="K662" s="10">
        <v>45677.499895833331</v>
      </c>
      <c r="L662" s="10">
        <v>45677.501493055563</v>
      </c>
      <c r="M662" s="11">
        <f t="shared" si="30"/>
        <v>2.0243055550963618E-2</v>
      </c>
      <c r="N662" s="11">
        <f t="shared" si="31"/>
        <v>2.2109143518609926</v>
      </c>
      <c r="O662" s="10">
        <v>45675.292974537027</v>
      </c>
      <c r="P662" s="11">
        <f t="shared" si="32"/>
        <v>2.1163425926060881</v>
      </c>
      <c r="Q662" s="12" t="s">
        <v>2088</v>
      </c>
    </row>
    <row r="663" spans="1:17" ht="51" x14ac:dyDescent="0.25">
      <c r="A663" s="3" t="s">
        <v>2089</v>
      </c>
      <c r="B663" s="3" t="s">
        <v>318</v>
      </c>
      <c r="C663" s="9">
        <v>15.74</v>
      </c>
      <c r="D663" s="3" t="s">
        <v>484</v>
      </c>
      <c r="E663" s="10">
        <v>45675.270335648151</v>
      </c>
      <c r="F663" s="10">
        <v>45675.290578703702</v>
      </c>
      <c r="G663" s="10">
        <v>45675.292534722219</v>
      </c>
      <c r="H663" s="3" t="s">
        <v>2090</v>
      </c>
      <c r="I663" s="10">
        <v>45678.286076388889</v>
      </c>
      <c r="J663" s="10">
        <v>45678.30972222222</v>
      </c>
      <c r="K663" s="10">
        <v>45678.30972222222</v>
      </c>
      <c r="L663" s="10">
        <v>45678.310578703713</v>
      </c>
      <c r="M663" s="11">
        <f t="shared" si="30"/>
        <v>2.2199074068339542E-2</v>
      </c>
      <c r="N663" s="11">
        <f t="shared" si="31"/>
        <v>3.0180439814939746</v>
      </c>
      <c r="O663" s="10">
        <v>45675.294895833344</v>
      </c>
      <c r="P663" s="11">
        <f t="shared" si="32"/>
        <v>2.9911805555457249</v>
      </c>
      <c r="Q663" s="12" t="s">
        <v>2091</v>
      </c>
    </row>
    <row r="664" spans="1:17" ht="25.5" x14ac:dyDescent="0.25">
      <c r="A664" s="3" t="s">
        <v>2092</v>
      </c>
      <c r="B664" s="3" t="s">
        <v>318</v>
      </c>
      <c r="C664" s="9">
        <v>19.899999999999999</v>
      </c>
      <c r="D664" s="3" t="s">
        <v>492</v>
      </c>
      <c r="E664" s="10">
        <v>45675.270335648151</v>
      </c>
      <c r="F664" s="10">
        <v>45675.292534722219</v>
      </c>
      <c r="G664" s="10">
        <v>45675.294490740736</v>
      </c>
      <c r="H664" s="3" t="s">
        <v>2093</v>
      </c>
      <c r="I664" s="10">
        <v>45678.1406712963</v>
      </c>
      <c r="J664" s="10">
        <v>45678.1641087963</v>
      </c>
      <c r="K664" s="10">
        <v>45678.1641087963</v>
      </c>
      <c r="L664" s="10">
        <v>45678.164965277778</v>
      </c>
      <c r="M664" s="11">
        <f t="shared" si="30"/>
        <v>2.4155092585715465E-2</v>
      </c>
      <c r="N664" s="11">
        <f t="shared" si="31"/>
        <v>2.8704745370414457</v>
      </c>
      <c r="O664" s="10">
        <v>45675.296886574077</v>
      </c>
      <c r="P664" s="11">
        <f t="shared" si="32"/>
        <v>2.843784722223063</v>
      </c>
      <c r="Q664" s="12" t="s">
        <v>2094</v>
      </c>
    </row>
    <row r="665" spans="1:17" ht="25.5" x14ac:dyDescent="0.25">
      <c r="A665" s="3" t="s">
        <v>2095</v>
      </c>
      <c r="B665" s="3" t="s">
        <v>318</v>
      </c>
      <c r="C665" s="9">
        <v>27</v>
      </c>
      <c r="D665" s="3" t="s">
        <v>527</v>
      </c>
      <c r="E665" s="10">
        <v>45675.270335648151</v>
      </c>
      <c r="F665" s="10">
        <v>45675.294490740736</v>
      </c>
      <c r="G665" s="10">
        <v>45675.295798611107</v>
      </c>
      <c r="H665" s="3" t="s">
        <v>2059</v>
      </c>
      <c r="I665" s="10">
        <v>45677.672233796293</v>
      </c>
      <c r="J665" s="10">
        <v>45677.695671296293</v>
      </c>
      <c r="K665" s="10">
        <v>45677.695671296293</v>
      </c>
      <c r="L665" s="10">
        <v>45677.696527777778</v>
      </c>
      <c r="M665" s="11">
        <f t="shared" si="30"/>
        <v>2.5462962956225965E-2</v>
      </c>
      <c r="N665" s="11">
        <f t="shared" si="31"/>
        <v>2.4007291666712263</v>
      </c>
      <c r="O665" s="10">
        <v>45675.299699074072</v>
      </c>
      <c r="P665" s="11">
        <f t="shared" si="32"/>
        <v>2.3725347222207347</v>
      </c>
      <c r="Q665" s="12" t="s">
        <v>2096</v>
      </c>
    </row>
    <row r="666" spans="1:17" ht="25.5" x14ac:dyDescent="0.25">
      <c r="A666" s="3" t="s">
        <v>2097</v>
      </c>
      <c r="B666" s="3" t="s">
        <v>318</v>
      </c>
      <c r="C666" s="9">
        <v>38.979999999999997</v>
      </c>
      <c r="D666" s="3" t="s">
        <v>515</v>
      </c>
      <c r="E666" s="10">
        <v>45675.270335648151</v>
      </c>
      <c r="F666" s="10">
        <v>45675.295798611107</v>
      </c>
      <c r="G666" s="10">
        <v>45675.297766203701</v>
      </c>
      <c r="H666" s="3" t="s">
        <v>2062</v>
      </c>
      <c r="I666" s="10">
        <v>45677.456828703696</v>
      </c>
      <c r="J666" s="10">
        <v>45677.479861111111</v>
      </c>
      <c r="K666" s="10">
        <v>45677.479861111111</v>
      </c>
      <c r="L666" s="10">
        <v>45677.480555555558</v>
      </c>
      <c r="M666" s="11">
        <f t="shared" si="30"/>
        <v>2.7430555550381541E-2</v>
      </c>
      <c r="N666" s="11">
        <f t="shared" si="31"/>
        <v>2.182789351856627</v>
      </c>
      <c r="O666" s="10">
        <v>45675.301689814813</v>
      </c>
      <c r="P666" s="11">
        <f t="shared" si="32"/>
        <v>2.1551388888838119</v>
      </c>
      <c r="Q666" s="12" t="s">
        <v>2098</v>
      </c>
    </row>
    <row r="667" spans="1:17" x14ac:dyDescent="0.25">
      <c r="A667" s="3" t="s">
        <v>2099</v>
      </c>
      <c r="B667" s="3" t="s">
        <v>318</v>
      </c>
      <c r="C667" s="9">
        <v>15.74</v>
      </c>
      <c r="D667" s="3" t="s">
        <v>506</v>
      </c>
      <c r="E667" s="10">
        <v>45675.270335648151</v>
      </c>
      <c r="F667" s="10"/>
      <c r="G667" s="10"/>
      <c r="H667" s="3"/>
      <c r="I667" s="10"/>
      <c r="J667" s="10"/>
      <c r="K667" s="10"/>
      <c r="L667" s="10"/>
      <c r="M667" s="11" t="str">
        <f t="shared" si="30"/>
        <v/>
      </c>
      <c r="N667" s="11" t="str">
        <f t="shared" si="31"/>
        <v/>
      </c>
      <c r="O667" s="10"/>
      <c r="P667" s="11" t="str">
        <f t="shared" si="32"/>
        <v/>
      </c>
      <c r="Q667" s="12"/>
    </row>
    <row r="668" spans="1:17" ht="25.5" x14ac:dyDescent="0.25">
      <c r="A668" s="3" t="s">
        <v>2100</v>
      </c>
      <c r="B668" s="3" t="s">
        <v>318</v>
      </c>
      <c r="C668" s="9">
        <v>16.5</v>
      </c>
      <c r="D668" s="3" t="s">
        <v>519</v>
      </c>
      <c r="E668" s="10">
        <v>45675.270335648151</v>
      </c>
      <c r="F668" s="10">
        <v>45675.297766203701</v>
      </c>
      <c r="G668" s="10">
        <v>45675.298935185187</v>
      </c>
      <c r="H668" s="3" t="s">
        <v>2080</v>
      </c>
      <c r="I668" s="10">
        <v>45677.38726851852</v>
      </c>
      <c r="J668" s="10">
        <v>45677.406412037039</v>
      </c>
      <c r="K668" s="10">
        <v>45677.406412037039</v>
      </c>
      <c r="L668" s="10">
        <v>45677.407141203701</v>
      </c>
      <c r="M668" s="11">
        <f t="shared" si="30"/>
        <v>2.8599537035916001E-2</v>
      </c>
      <c r="N668" s="11">
        <f t="shared" si="31"/>
        <v>2.1082060185144655</v>
      </c>
      <c r="O668" s="10">
        <v>45675.302858796298</v>
      </c>
      <c r="P668" s="11">
        <f t="shared" si="32"/>
        <v>2.0844097222216078</v>
      </c>
      <c r="Q668" s="12" t="s">
        <v>2101</v>
      </c>
    </row>
    <row r="669" spans="1:17" x14ac:dyDescent="0.25">
      <c r="A669" s="3" t="s">
        <v>2102</v>
      </c>
      <c r="B669" s="3" t="s">
        <v>318</v>
      </c>
      <c r="C669" s="9">
        <v>23.24</v>
      </c>
      <c r="D669" s="3" t="s">
        <v>506</v>
      </c>
      <c r="E669" s="10">
        <v>45675.270335648151</v>
      </c>
      <c r="F669" s="10"/>
      <c r="G669" s="10"/>
      <c r="H669" s="3"/>
      <c r="I669" s="10"/>
      <c r="J669" s="10"/>
      <c r="K669" s="10"/>
      <c r="L669" s="10"/>
      <c r="M669" s="11" t="str">
        <f t="shared" si="30"/>
        <v/>
      </c>
      <c r="N669" s="11" t="str">
        <f t="shared" si="31"/>
        <v/>
      </c>
      <c r="O669" s="10"/>
      <c r="P669" s="11" t="str">
        <f t="shared" si="32"/>
        <v/>
      </c>
      <c r="Q669" s="12"/>
    </row>
    <row r="670" spans="1:17" x14ac:dyDescent="0.25">
      <c r="A670" s="3" t="s">
        <v>2103</v>
      </c>
      <c r="B670" s="3" t="s">
        <v>319</v>
      </c>
      <c r="C670" s="9">
        <v>521.74000000000012</v>
      </c>
      <c r="D670" s="3" t="s">
        <v>506</v>
      </c>
      <c r="E670" s="10">
        <v>45676.732233796298</v>
      </c>
      <c r="F670" s="10">
        <v>45676.741423611107</v>
      </c>
      <c r="G670" s="10">
        <v>45676.744479166657</v>
      </c>
      <c r="H670" s="3" t="s">
        <v>2087</v>
      </c>
      <c r="I670" s="10">
        <v>45677.409317129634</v>
      </c>
      <c r="J670" s="10">
        <v>45677.499895833331</v>
      </c>
      <c r="K670" s="10">
        <v>45677.499895833331</v>
      </c>
      <c r="L670" s="10">
        <v>45677.501493055563</v>
      </c>
      <c r="M670" s="11">
        <f t="shared" si="30"/>
        <v>1.2245370358868968E-2</v>
      </c>
      <c r="N670" s="11">
        <f t="shared" si="31"/>
        <v>0.7570138889059308</v>
      </c>
      <c r="O670" s="10">
        <v>45676.746655092589</v>
      </c>
      <c r="P670" s="11">
        <f t="shared" si="32"/>
        <v>0.66266203704435611</v>
      </c>
      <c r="Q670" s="12" t="s">
        <v>2104</v>
      </c>
    </row>
    <row r="671" spans="1:17" ht="25.5" x14ac:dyDescent="0.25">
      <c r="A671" s="3" t="s">
        <v>2105</v>
      </c>
      <c r="B671" s="3" t="s">
        <v>319</v>
      </c>
      <c r="C671" s="9">
        <v>70.5</v>
      </c>
      <c r="D671" s="3" t="s">
        <v>519</v>
      </c>
      <c r="E671" s="10">
        <v>45676.732233796298</v>
      </c>
      <c r="F671" s="10">
        <v>45676.744479166657</v>
      </c>
      <c r="G671" s="10">
        <v>45676.746180555558</v>
      </c>
      <c r="H671" s="3" t="s">
        <v>2024</v>
      </c>
      <c r="I671" s="10">
        <v>45677.540914351863</v>
      </c>
      <c r="J671" s="10">
        <v>45677.559664351851</v>
      </c>
      <c r="K671" s="10">
        <v>45677.559664351851</v>
      </c>
      <c r="L671" s="10">
        <v>45677.56050925926</v>
      </c>
      <c r="M671" s="11">
        <f t="shared" si="30"/>
        <v>1.3946759259852115E-2</v>
      </c>
      <c r="N671" s="11">
        <f t="shared" si="31"/>
        <v>0.81432870370190358</v>
      </c>
      <c r="O671" s="10">
        <v>45676.748576388891</v>
      </c>
      <c r="P671" s="11">
        <f t="shared" si="32"/>
        <v>0.79233796297194203</v>
      </c>
      <c r="Q671" s="12" t="s">
        <v>2106</v>
      </c>
    </row>
    <row r="672" spans="1:17" x14ac:dyDescent="0.25">
      <c r="A672" s="3" t="s">
        <v>2107</v>
      </c>
      <c r="B672" s="3" t="s">
        <v>320</v>
      </c>
      <c r="C672" s="9">
        <v>132.68</v>
      </c>
      <c r="D672" s="3" t="s">
        <v>506</v>
      </c>
      <c r="E672" s="10">
        <v>45676.843807870369</v>
      </c>
      <c r="F672" s="10">
        <v>45676.850092592591</v>
      </c>
      <c r="G672" s="10">
        <v>45676.852268518523</v>
      </c>
      <c r="H672" s="3" t="s">
        <v>2062</v>
      </c>
      <c r="I672" s="10">
        <v>45677.456828703696</v>
      </c>
      <c r="J672" s="10">
        <v>45677.479861111111</v>
      </c>
      <c r="K672" s="10">
        <v>45677.479861111111</v>
      </c>
      <c r="L672" s="10">
        <v>45677.480555555558</v>
      </c>
      <c r="M672" s="11">
        <f t="shared" si="30"/>
        <v>8.4606481541413814E-3</v>
      </c>
      <c r="N672" s="11">
        <f t="shared" si="31"/>
        <v>0.62828703703416977</v>
      </c>
      <c r="O672" s="10">
        <v>45676.854444444441</v>
      </c>
      <c r="P672" s="11">
        <f t="shared" si="32"/>
        <v>0.60238425925490446</v>
      </c>
      <c r="Q672" s="12" t="s">
        <v>2108</v>
      </c>
    </row>
    <row r="673" spans="1:17" ht="25.5" x14ac:dyDescent="0.25">
      <c r="A673" s="3" t="s">
        <v>2109</v>
      </c>
      <c r="B673" s="3" t="s">
        <v>320</v>
      </c>
      <c r="C673" s="9">
        <v>37.5</v>
      </c>
      <c r="D673" s="3" t="s">
        <v>519</v>
      </c>
      <c r="E673" s="10">
        <v>45676.843807870369</v>
      </c>
      <c r="F673" s="10">
        <v>45676.852268518523</v>
      </c>
      <c r="G673" s="10">
        <v>45676.853935185187</v>
      </c>
      <c r="H673" s="3" t="s">
        <v>2024</v>
      </c>
      <c r="I673" s="10">
        <v>45677.540914351863</v>
      </c>
      <c r="J673" s="10">
        <v>45677.559664351851</v>
      </c>
      <c r="K673" s="10">
        <v>45677.559664351851</v>
      </c>
      <c r="L673" s="10">
        <v>45677.56050925926</v>
      </c>
      <c r="M673" s="11">
        <f t="shared" si="30"/>
        <v>1.0127314817509614E-2</v>
      </c>
      <c r="N673" s="11">
        <f t="shared" si="31"/>
        <v>0.70657407407270512</v>
      </c>
      <c r="O673" s="10">
        <v>45676.857858796298</v>
      </c>
      <c r="P673" s="11">
        <f t="shared" si="32"/>
        <v>0.68305555556435138</v>
      </c>
      <c r="Q673" s="12" t="s">
        <v>2110</v>
      </c>
    </row>
    <row r="674" spans="1:17" ht="25.5" x14ac:dyDescent="0.25">
      <c r="A674" s="3" t="s">
        <v>2111</v>
      </c>
      <c r="B674" s="3" t="s">
        <v>321</v>
      </c>
      <c r="C674" s="9">
        <v>12.04</v>
      </c>
      <c r="D674" s="3" t="s">
        <v>492</v>
      </c>
      <c r="E674" s="10">
        <v>45677.104780092603</v>
      </c>
      <c r="F674" s="10">
        <v>45677.113437499997</v>
      </c>
      <c r="G674" s="10">
        <v>45677.115381944437</v>
      </c>
      <c r="H674" s="3" t="s">
        <v>2093</v>
      </c>
      <c r="I674" s="10">
        <v>45678.1406712963</v>
      </c>
      <c r="J674" s="10">
        <v>45678.1641087963</v>
      </c>
      <c r="K674" s="10">
        <v>45678.1641087963</v>
      </c>
      <c r="L674" s="10">
        <v>45678.164965277778</v>
      </c>
      <c r="M674" s="11">
        <f t="shared" si="30"/>
        <v>1.0601851834508125E-2</v>
      </c>
      <c r="N674" s="11">
        <f t="shared" si="31"/>
        <v>1.0495833333407063</v>
      </c>
      <c r="O674" s="10">
        <v>45677.119305555563</v>
      </c>
      <c r="P674" s="11">
        <f t="shared" si="32"/>
        <v>1.0213657407366554</v>
      </c>
      <c r="Q674" s="12" t="s">
        <v>2112</v>
      </c>
    </row>
    <row r="675" spans="1:17" x14ac:dyDescent="0.25">
      <c r="A675" s="3" t="s">
        <v>2113</v>
      </c>
      <c r="B675" s="3" t="s">
        <v>321</v>
      </c>
      <c r="C675" s="9">
        <v>165.8</v>
      </c>
      <c r="D675" s="3" t="s">
        <v>488</v>
      </c>
      <c r="E675" s="10">
        <v>45677.104780092603</v>
      </c>
      <c r="F675" s="10">
        <v>45677.115381944437</v>
      </c>
      <c r="G675" s="10">
        <v>45677.117013888892</v>
      </c>
      <c r="H675" s="3" t="s">
        <v>2114</v>
      </c>
      <c r="I675" s="10">
        <v>45677.612662037027</v>
      </c>
      <c r="J675" s="10">
        <v>45677.641446759262</v>
      </c>
      <c r="K675" s="10">
        <v>45677.641446759262</v>
      </c>
      <c r="L675" s="10">
        <v>45677.642256944448</v>
      </c>
      <c r="M675" s="11">
        <f t="shared" si="30"/>
        <v>1.2233796289365273E-2</v>
      </c>
      <c r="N675" s="11">
        <f t="shared" si="31"/>
        <v>0.52524305555562023</v>
      </c>
      <c r="O675" s="10">
        <v>45677.119409722232</v>
      </c>
      <c r="P675" s="11">
        <f t="shared" si="32"/>
        <v>0.49325231479451759</v>
      </c>
      <c r="Q675" s="12" t="s">
        <v>2115</v>
      </c>
    </row>
    <row r="676" spans="1:17" ht="51" x14ac:dyDescent="0.25">
      <c r="A676" s="3" t="s">
        <v>2116</v>
      </c>
      <c r="B676" s="3" t="s">
        <v>321</v>
      </c>
      <c r="C676" s="9">
        <v>35.64</v>
      </c>
      <c r="D676" s="3" t="s">
        <v>484</v>
      </c>
      <c r="E676" s="10">
        <v>45677.104780092603</v>
      </c>
      <c r="F676" s="10">
        <v>45677.117013888892</v>
      </c>
      <c r="G676" s="10">
        <v>45677.119004629632</v>
      </c>
      <c r="H676" s="3" t="s">
        <v>2090</v>
      </c>
      <c r="I676" s="10">
        <v>45678.286076388889</v>
      </c>
      <c r="J676" s="10">
        <v>45678.30972222222</v>
      </c>
      <c r="K676" s="10">
        <v>45678.30972222222</v>
      </c>
      <c r="L676" s="10">
        <v>45678.310578703713</v>
      </c>
      <c r="M676" s="11">
        <f t="shared" si="30"/>
        <v>1.4224537029804196E-2</v>
      </c>
      <c r="N676" s="11">
        <f t="shared" si="31"/>
        <v>1.1915740740805632</v>
      </c>
      <c r="O676" s="10">
        <v>45677.122557870367</v>
      </c>
      <c r="P676" s="11">
        <f t="shared" si="32"/>
        <v>1.1635185185223236</v>
      </c>
      <c r="Q676" s="12" t="s">
        <v>2117</v>
      </c>
    </row>
    <row r="677" spans="1:17" ht="38.25" x14ac:dyDescent="0.25">
      <c r="A677" s="3" t="s">
        <v>2118</v>
      </c>
      <c r="B677" s="3" t="s">
        <v>321</v>
      </c>
      <c r="C677" s="9">
        <v>47.22</v>
      </c>
      <c r="D677" s="3" t="s">
        <v>496</v>
      </c>
      <c r="E677" s="10">
        <v>45677.104780092603</v>
      </c>
      <c r="F677" s="10">
        <v>45677.119004629632</v>
      </c>
      <c r="G677" s="10">
        <v>45677.120995370373</v>
      </c>
      <c r="H677" s="3" t="s">
        <v>2119</v>
      </c>
      <c r="I677" s="10">
        <v>45678.340532407397</v>
      </c>
      <c r="J677" s="10">
        <v>45678.358749999999</v>
      </c>
      <c r="K677" s="10">
        <v>45678.358749999999</v>
      </c>
      <c r="L677" s="10">
        <v>45678.359386574077</v>
      </c>
      <c r="M677" s="11">
        <f t="shared" si="30"/>
        <v>1.6215277770243119E-2</v>
      </c>
      <c r="N677" s="11">
        <f t="shared" si="31"/>
        <v>1.2383912037039408</v>
      </c>
      <c r="O677" s="10">
        <v>45677.123391203713</v>
      </c>
      <c r="P677" s="11">
        <f t="shared" si="32"/>
        <v>1.2171412036841502</v>
      </c>
      <c r="Q677" s="12" t="s">
        <v>2120</v>
      </c>
    </row>
    <row r="678" spans="1:17" x14ac:dyDescent="0.25">
      <c r="A678" s="3" t="s">
        <v>2121</v>
      </c>
      <c r="B678" s="3" t="s">
        <v>322</v>
      </c>
      <c r="C678" s="9">
        <v>329.7</v>
      </c>
      <c r="D678" s="3" t="s">
        <v>519</v>
      </c>
      <c r="E678" s="10">
        <v>45677.190393518518</v>
      </c>
      <c r="F678" s="10">
        <v>45677.196921296287</v>
      </c>
      <c r="G678" s="10">
        <v>45677.199675925927</v>
      </c>
      <c r="H678" s="3" t="s">
        <v>2050</v>
      </c>
      <c r="I678" s="10">
        <v>45677.666030092587</v>
      </c>
      <c r="J678" s="10">
        <v>45677.723263888889</v>
      </c>
      <c r="K678" s="10">
        <v>45677.723263888889</v>
      </c>
      <c r="L678" s="10">
        <v>45677.724537037036</v>
      </c>
      <c r="M678" s="11">
        <f t="shared" si="30"/>
        <v>9.2824074090458453E-3</v>
      </c>
      <c r="N678" s="11">
        <f t="shared" si="31"/>
        <v>0.52486111110920319</v>
      </c>
      <c r="O678" s="10">
        <v>45677.20207175926</v>
      </c>
      <c r="P678" s="11">
        <f t="shared" si="32"/>
        <v>0.46395833332644543</v>
      </c>
      <c r="Q678" s="12" t="s">
        <v>2122</v>
      </c>
    </row>
    <row r="679" spans="1:17" x14ac:dyDescent="0.25">
      <c r="A679" s="3" t="s">
        <v>2123</v>
      </c>
      <c r="B679" s="3" t="s">
        <v>323</v>
      </c>
      <c r="C679" s="9">
        <v>293.44</v>
      </c>
      <c r="D679" s="3" t="s">
        <v>500</v>
      </c>
      <c r="E679" s="10">
        <v>45677.249432870369</v>
      </c>
      <c r="F679" s="10"/>
      <c r="G679" s="10"/>
      <c r="H679" s="3"/>
      <c r="I679" s="10"/>
      <c r="J679" s="10"/>
      <c r="K679" s="10"/>
      <c r="L679" s="10"/>
      <c r="M679" s="11" t="str">
        <f t="shared" si="30"/>
        <v/>
      </c>
      <c r="N679" s="11" t="str">
        <f t="shared" si="31"/>
        <v/>
      </c>
      <c r="O679" s="10"/>
      <c r="P679" s="11" t="str">
        <f t="shared" si="32"/>
        <v/>
      </c>
      <c r="Q679" s="12"/>
    </row>
    <row r="680" spans="1:17" x14ac:dyDescent="0.25">
      <c r="A680" s="3" t="s">
        <v>2124</v>
      </c>
      <c r="B680" s="3" t="s">
        <v>324</v>
      </c>
      <c r="C680" s="9">
        <v>102.8</v>
      </c>
      <c r="D680" s="3" t="s">
        <v>488</v>
      </c>
      <c r="E680" s="10">
        <v>45677.304560185177</v>
      </c>
      <c r="F680" s="10">
        <v>45677.330578703702</v>
      </c>
      <c r="G680" s="10">
        <v>45677.331793981481</v>
      </c>
      <c r="H680" s="3" t="s">
        <v>2125</v>
      </c>
      <c r="I680" s="10">
        <v>45677.667569444442</v>
      </c>
      <c r="J680" s="10">
        <v>45677.685416666667</v>
      </c>
      <c r="K680" s="10">
        <v>45677.685416666667</v>
      </c>
      <c r="L680" s="10">
        <v>45677.686111111107</v>
      </c>
      <c r="M680" s="11">
        <f t="shared" si="30"/>
        <v>2.7233796303335112E-2</v>
      </c>
      <c r="N680" s="11">
        <f t="shared" si="31"/>
        <v>0.35431712962599704</v>
      </c>
      <c r="O680" s="10">
        <v>45677.333958333344</v>
      </c>
      <c r="P680" s="11">
        <f t="shared" si="32"/>
        <v>0.33361111109843478</v>
      </c>
      <c r="Q680" s="12" t="s">
        <v>2126</v>
      </c>
    </row>
    <row r="681" spans="1:17" ht="38.25" x14ac:dyDescent="0.25">
      <c r="A681" s="3" t="s">
        <v>2127</v>
      </c>
      <c r="B681" s="3" t="s">
        <v>324</v>
      </c>
      <c r="C681" s="9">
        <v>19.899999999999999</v>
      </c>
      <c r="D681" s="3" t="s">
        <v>519</v>
      </c>
      <c r="E681" s="10">
        <v>45677.304560185177</v>
      </c>
      <c r="F681" s="10">
        <v>45677.331793981481</v>
      </c>
      <c r="G681" s="10">
        <v>45677.333611111113</v>
      </c>
      <c r="H681" s="3" t="s">
        <v>2090</v>
      </c>
      <c r="I681" s="10">
        <v>45678.286076388889</v>
      </c>
      <c r="J681" s="10">
        <v>45678.30972222222</v>
      </c>
      <c r="K681" s="10">
        <v>45678.30972222222</v>
      </c>
      <c r="L681" s="10">
        <v>45678.310578703713</v>
      </c>
      <c r="M681" s="11">
        <f t="shared" si="30"/>
        <v>2.9050925935734995E-2</v>
      </c>
      <c r="N681" s="11">
        <f t="shared" si="31"/>
        <v>0.97696759259997634</v>
      </c>
      <c r="O681" s="10">
        <v>45677.335995370369</v>
      </c>
      <c r="P681" s="11">
        <f t="shared" si="32"/>
        <v>0.95008101851999527</v>
      </c>
      <c r="Q681" s="12" t="s">
        <v>2128</v>
      </c>
    </row>
    <row r="682" spans="1:17" ht="25.5" x14ac:dyDescent="0.25">
      <c r="A682" s="3" t="s">
        <v>2129</v>
      </c>
      <c r="B682" s="3" t="s">
        <v>324</v>
      </c>
      <c r="C682" s="9">
        <v>54</v>
      </c>
      <c r="D682" s="3" t="s">
        <v>527</v>
      </c>
      <c r="E682" s="10">
        <v>45677.304560185177</v>
      </c>
      <c r="F682" s="10">
        <v>45677.333611111113</v>
      </c>
      <c r="G682" s="10">
        <v>45677.334849537037</v>
      </c>
      <c r="H682" s="3" t="s">
        <v>2059</v>
      </c>
      <c r="I682" s="10">
        <v>45677.672233796293</v>
      </c>
      <c r="J682" s="10">
        <v>45677.695671296293</v>
      </c>
      <c r="K682" s="10">
        <v>45677.695671296293</v>
      </c>
      <c r="L682" s="10">
        <v>45677.696527777778</v>
      </c>
      <c r="M682" s="11">
        <f t="shared" si="30"/>
        <v>3.0289351860119496E-2</v>
      </c>
      <c r="N682" s="11">
        <f t="shared" si="31"/>
        <v>0.36167824074072996</v>
      </c>
      <c r="O682" s="10">
        <v>45677.338391203702</v>
      </c>
      <c r="P682" s="11">
        <f t="shared" si="32"/>
        <v>0.33384259259037208</v>
      </c>
      <c r="Q682" s="12" t="s">
        <v>2130</v>
      </c>
    </row>
    <row r="683" spans="1:17" ht="38.25" x14ac:dyDescent="0.25">
      <c r="A683" s="3" t="s">
        <v>2131</v>
      </c>
      <c r="B683" s="3" t="s">
        <v>324</v>
      </c>
      <c r="C683" s="9">
        <v>15.74</v>
      </c>
      <c r="D683" s="3" t="s">
        <v>523</v>
      </c>
      <c r="E683" s="10">
        <v>45677.304560185177</v>
      </c>
      <c r="F683" s="10">
        <v>45677.334849537037</v>
      </c>
      <c r="G683" s="10">
        <v>45677.336423611108</v>
      </c>
      <c r="H683" s="3" t="s">
        <v>2009</v>
      </c>
      <c r="I683" s="10">
        <v>45680.306504629632</v>
      </c>
      <c r="J683" s="10">
        <v>45680.325069444443</v>
      </c>
      <c r="K683" s="10">
        <v>45680.325706018521</v>
      </c>
      <c r="L683" s="10">
        <v>45680.326550925929</v>
      </c>
      <c r="M683" s="11">
        <f t="shared" si="30"/>
        <v>3.1863425931078382E-2</v>
      </c>
      <c r="N683" s="11">
        <f t="shared" si="31"/>
        <v>2.990127314820711</v>
      </c>
      <c r="O683" s="10">
        <v>45677.340740740743</v>
      </c>
      <c r="P683" s="11">
        <f t="shared" si="32"/>
        <v>2.9657638888893416</v>
      </c>
      <c r="Q683" s="12" t="s">
        <v>2132</v>
      </c>
    </row>
    <row r="684" spans="1:17" ht="38.25" x14ac:dyDescent="0.25">
      <c r="A684" s="3" t="s">
        <v>2133</v>
      </c>
      <c r="B684" s="3" t="s">
        <v>324</v>
      </c>
      <c r="C684" s="9">
        <v>31.48</v>
      </c>
      <c r="D684" s="3" t="s">
        <v>533</v>
      </c>
      <c r="E684" s="10">
        <v>45677.304560185177</v>
      </c>
      <c r="F684" s="10">
        <v>45677.336423611108</v>
      </c>
      <c r="G684" s="10">
        <v>45677.33834490741</v>
      </c>
      <c r="H684" s="3" t="s">
        <v>2134</v>
      </c>
      <c r="I684" s="10">
        <v>45678.641886574071</v>
      </c>
      <c r="J684" s="10">
        <v>45678.7109837963</v>
      </c>
      <c r="K684" s="10">
        <v>45678.7109837963</v>
      </c>
      <c r="L684" s="10">
        <v>45678.712407407409</v>
      </c>
      <c r="M684" s="11">
        <f t="shared" si="30"/>
        <v>3.3784722232667264E-2</v>
      </c>
      <c r="N684" s="11">
        <f t="shared" si="31"/>
        <v>1.3740624999991269</v>
      </c>
      <c r="O684" s="10">
        <v>45677.341331018521</v>
      </c>
      <c r="P684" s="11">
        <f t="shared" si="32"/>
        <v>1.3005555555500905</v>
      </c>
      <c r="Q684" s="12" t="s">
        <v>2135</v>
      </c>
    </row>
    <row r="685" spans="1:17" ht="51" x14ac:dyDescent="0.25">
      <c r="A685" s="3" t="s">
        <v>2136</v>
      </c>
      <c r="B685" s="3" t="s">
        <v>324</v>
      </c>
      <c r="C685" s="9">
        <v>31.48</v>
      </c>
      <c r="D685" s="3" t="s">
        <v>515</v>
      </c>
      <c r="E685" s="10">
        <v>45677.304560185177</v>
      </c>
      <c r="F685" s="10">
        <v>45677.33834490741</v>
      </c>
      <c r="G685" s="10">
        <v>45677.340150462973</v>
      </c>
      <c r="H685" s="3" t="s">
        <v>2137</v>
      </c>
      <c r="I685" s="10">
        <v>45678.647372685176</v>
      </c>
      <c r="J685" s="10">
        <v>45678.698703703703</v>
      </c>
      <c r="K685" s="10">
        <v>45678.698703703703</v>
      </c>
      <c r="L685" s="10">
        <v>45678.69976851852</v>
      </c>
      <c r="M685" s="11">
        <f t="shared" si="30"/>
        <v>3.5590277795563452E-2</v>
      </c>
      <c r="N685" s="11">
        <f t="shared" si="31"/>
        <v>1.3596180555468891</v>
      </c>
      <c r="O685" s="10">
        <v>45677.343958333331</v>
      </c>
      <c r="P685" s="11">
        <f t="shared" si="32"/>
        <v>1.3034143518452765</v>
      </c>
      <c r="Q685" s="12" t="s">
        <v>2138</v>
      </c>
    </row>
    <row r="686" spans="1:17" x14ac:dyDescent="0.25">
      <c r="A686" s="3" t="s">
        <v>2139</v>
      </c>
      <c r="B686" s="3" t="s">
        <v>324</v>
      </c>
      <c r="C686" s="9">
        <v>135</v>
      </c>
      <c r="D686" s="3" t="s">
        <v>527</v>
      </c>
      <c r="E686" s="10">
        <v>45677.304560185177</v>
      </c>
      <c r="F686" s="10"/>
      <c r="G686" s="10"/>
      <c r="H686" s="3"/>
      <c r="I686" s="10"/>
      <c r="J686" s="10"/>
      <c r="K686" s="10"/>
      <c r="L686" s="10"/>
      <c r="M686" s="11" t="str">
        <f t="shared" si="30"/>
        <v/>
      </c>
      <c r="N686" s="11" t="str">
        <f t="shared" si="31"/>
        <v/>
      </c>
      <c r="O686" s="10"/>
      <c r="P686" s="11" t="str">
        <f t="shared" si="32"/>
        <v/>
      </c>
      <c r="Q686" s="12"/>
    </row>
    <row r="687" spans="1:17" ht="38.25" x14ac:dyDescent="0.25">
      <c r="A687" s="3" t="s">
        <v>2140</v>
      </c>
      <c r="B687" s="3" t="s">
        <v>324</v>
      </c>
      <c r="C687" s="9">
        <v>15.74</v>
      </c>
      <c r="D687" s="3" t="s">
        <v>496</v>
      </c>
      <c r="E687" s="10">
        <v>45677.304560185177</v>
      </c>
      <c r="F687" s="10">
        <v>45677.340150462973</v>
      </c>
      <c r="G687" s="10">
        <v>45677.341921296298</v>
      </c>
      <c r="H687" s="3" t="s">
        <v>2119</v>
      </c>
      <c r="I687" s="10">
        <v>45678.340532407397</v>
      </c>
      <c r="J687" s="10">
        <v>45678.358749999999</v>
      </c>
      <c r="K687" s="10">
        <v>45678.358749999999</v>
      </c>
      <c r="L687" s="10">
        <v>45678.359386574077</v>
      </c>
      <c r="M687" s="11">
        <f t="shared" si="30"/>
        <v>3.7361111120844726E-2</v>
      </c>
      <c r="N687" s="11">
        <f t="shared" si="31"/>
        <v>1.0174652777786832</v>
      </c>
      <c r="O687" s="10">
        <v>45677.345648148148</v>
      </c>
      <c r="P687" s="11">
        <f t="shared" si="32"/>
        <v>0.99488425924937474</v>
      </c>
      <c r="Q687" s="12" t="s">
        <v>2141</v>
      </c>
    </row>
    <row r="688" spans="1:17" x14ac:dyDescent="0.25">
      <c r="A688" s="3" t="s">
        <v>2142</v>
      </c>
      <c r="B688" s="3" t="s">
        <v>324</v>
      </c>
      <c r="C688" s="9">
        <v>23.24</v>
      </c>
      <c r="D688" s="3" t="s">
        <v>506</v>
      </c>
      <c r="E688" s="10">
        <v>45677.304560185177</v>
      </c>
      <c r="F688" s="10"/>
      <c r="G688" s="10"/>
      <c r="H688" s="3"/>
      <c r="I688" s="10"/>
      <c r="J688" s="10"/>
      <c r="K688" s="10"/>
      <c r="L688" s="10"/>
      <c r="M688" s="11" t="str">
        <f t="shared" si="30"/>
        <v/>
      </c>
      <c r="N688" s="11" t="str">
        <f t="shared" si="31"/>
        <v/>
      </c>
      <c r="O688" s="10"/>
      <c r="P688" s="11" t="str">
        <f t="shared" si="32"/>
        <v/>
      </c>
      <c r="Q688" s="12"/>
    </row>
    <row r="689" spans="1:17" ht="38.25" x14ac:dyDescent="0.25">
      <c r="A689" s="3" t="s">
        <v>2143</v>
      </c>
      <c r="B689" s="3" t="s">
        <v>324</v>
      </c>
      <c r="C689" s="9">
        <v>21</v>
      </c>
      <c r="D689" s="3" t="s">
        <v>519</v>
      </c>
      <c r="E689" s="10">
        <v>45677.304560185177</v>
      </c>
      <c r="F689" s="10">
        <v>45677.341921296298</v>
      </c>
      <c r="G689" s="10">
        <v>45677.34375</v>
      </c>
      <c r="H689" s="3" t="s">
        <v>2090</v>
      </c>
      <c r="I689" s="10">
        <v>45678.286076388889</v>
      </c>
      <c r="J689" s="10">
        <v>45678.30972222222</v>
      </c>
      <c r="K689" s="10">
        <v>45678.30972222222</v>
      </c>
      <c r="L689" s="10">
        <v>45678.310578703713</v>
      </c>
      <c r="M689" s="11">
        <f t="shared" si="30"/>
        <v>3.9189814822748303E-2</v>
      </c>
      <c r="N689" s="11">
        <f t="shared" si="31"/>
        <v>0.96682870371296303</v>
      </c>
      <c r="O689" s="10">
        <v>45677.348715277767</v>
      </c>
      <c r="P689" s="11">
        <f t="shared" si="32"/>
        <v>0.93736111112229992</v>
      </c>
      <c r="Q689" s="12" t="s">
        <v>2144</v>
      </c>
    </row>
    <row r="690" spans="1:17" ht="38.25" x14ac:dyDescent="0.25">
      <c r="A690" s="3" t="s">
        <v>2145</v>
      </c>
      <c r="B690" s="3" t="s">
        <v>324</v>
      </c>
      <c r="C690" s="9">
        <v>31.48</v>
      </c>
      <c r="D690" s="3" t="s">
        <v>654</v>
      </c>
      <c r="E690" s="10">
        <v>45677.304560185177</v>
      </c>
      <c r="F690" s="10">
        <v>45677.34375</v>
      </c>
      <c r="G690" s="10">
        <v>45677.345393518517</v>
      </c>
      <c r="H690" s="3" t="s">
        <v>2146</v>
      </c>
      <c r="I690" s="10">
        <v>45678.401921296303</v>
      </c>
      <c r="J690" s="10">
        <v>45678.426261574074</v>
      </c>
      <c r="K690" s="10">
        <v>45678.426261574074</v>
      </c>
      <c r="L690" s="10">
        <v>45678.427118055559</v>
      </c>
      <c r="M690" s="11">
        <f t="shared" si="30"/>
        <v>4.0833333339833189E-2</v>
      </c>
      <c r="N690" s="11">
        <f t="shared" si="31"/>
        <v>1.0817245370417368</v>
      </c>
      <c r="O690" s="10">
        <v>45677.348576388889</v>
      </c>
      <c r="P690" s="11">
        <f t="shared" si="32"/>
        <v>1.0533449074137025</v>
      </c>
      <c r="Q690" s="12" t="s">
        <v>2147</v>
      </c>
    </row>
    <row r="691" spans="1:17" x14ac:dyDescent="0.25">
      <c r="A691" s="3" t="s">
        <v>2148</v>
      </c>
      <c r="B691" s="3" t="s">
        <v>324</v>
      </c>
      <c r="C691" s="9">
        <v>23.24</v>
      </c>
      <c r="D691" s="3" t="s">
        <v>506</v>
      </c>
      <c r="E691" s="10">
        <v>45677.304560185177</v>
      </c>
      <c r="F691" s="10"/>
      <c r="G691" s="10"/>
      <c r="H691" s="3"/>
      <c r="I691" s="10"/>
      <c r="J691" s="10"/>
      <c r="K691" s="10"/>
      <c r="L691" s="10"/>
      <c r="M691" s="11" t="str">
        <f t="shared" si="30"/>
        <v/>
      </c>
      <c r="N691" s="11" t="str">
        <f t="shared" si="31"/>
        <v/>
      </c>
      <c r="O691" s="10"/>
      <c r="P691" s="11" t="str">
        <f t="shared" si="32"/>
        <v/>
      </c>
      <c r="Q691" s="12"/>
    </row>
    <row r="692" spans="1:17" ht="25.5" x14ac:dyDescent="0.25">
      <c r="A692" s="3" t="s">
        <v>2149</v>
      </c>
      <c r="B692" s="3" t="s">
        <v>324</v>
      </c>
      <c r="C692" s="9">
        <v>15.74</v>
      </c>
      <c r="D692" s="3" t="s">
        <v>1033</v>
      </c>
      <c r="E692" s="10">
        <v>45677.304560185177</v>
      </c>
      <c r="F692" s="10">
        <v>45677.345393518517</v>
      </c>
      <c r="G692" s="10">
        <v>45677.346863425933</v>
      </c>
      <c r="H692" s="3" t="s">
        <v>2150</v>
      </c>
      <c r="I692" s="10">
        <v>45678.387997685182</v>
      </c>
      <c r="J692" s="10">
        <v>45678.455543981479</v>
      </c>
      <c r="K692" s="10">
        <v>45678.455543981479</v>
      </c>
      <c r="L692" s="10">
        <v>45678.457037037027</v>
      </c>
      <c r="M692" s="11">
        <f t="shared" si="30"/>
        <v>4.2303240756154992E-2</v>
      </c>
      <c r="N692" s="11">
        <f t="shared" si="31"/>
        <v>1.1101736110940692</v>
      </c>
      <c r="O692" s="10">
        <v>45677.3515162037</v>
      </c>
      <c r="P692" s="11">
        <f t="shared" si="32"/>
        <v>1.036481481482042</v>
      </c>
      <c r="Q692" s="12" t="s">
        <v>2151</v>
      </c>
    </row>
    <row r="693" spans="1:17" ht="38.25" x14ac:dyDescent="0.25">
      <c r="A693" s="3" t="s">
        <v>2152</v>
      </c>
      <c r="B693" s="3" t="s">
        <v>324</v>
      </c>
      <c r="C693" s="9">
        <v>15.74</v>
      </c>
      <c r="D693" s="3" t="s">
        <v>533</v>
      </c>
      <c r="E693" s="10">
        <v>45677.304560185177</v>
      </c>
      <c r="F693" s="10">
        <v>45677.346863425933</v>
      </c>
      <c r="G693" s="10">
        <v>45677.348749999997</v>
      </c>
      <c r="H693" s="3" t="s">
        <v>2134</v>
      </c>
      <c r="I693" s="10">
        <v>45678.641886574071</v>
      </c>
      <c r="J693" s="10">
        <v>45678.7109837963</v>
      </c>
      <c r="K693" s="10">
        <v>45678.7109837963</v>
      </c>
      <c r="L693" s="10">
        <v>45678.712407407409</v>
      </c>
      <c r="M693" s="11">
        <f t="shared" si="30"/>
        <v>4.4189814820128959E-2</v>
      </c>
      <c r="N693" s="11">
        <f t="shared" si="31"/>
        <v>1.3636574074116652</v>
      </c>
      <c r="O693" s="10">
        <v>45677.353460648148</v>
      </c>
      <c r="P693" s="11">
        <f t="shared" si="32"/>
        <v>1.2884259259226383</v>
      </c>
      <c r="Q693" s="12" t="s">
        <v>2153</v>
      </c>
    </row>
    <row r="694" spans="1:17" ht="38.25" x14ac:dyDescent="0.25">
      <c r="A694" s="3" t="s">
        <v>2154</v>
      </c>
      <c r="B694" s="3" t="s">
        <v>324</v>
      </c>
      <c r="C694" s="9">
        <v>15.74</v>
      </c>
      <c r="D694" s="3" t="s">
        <v>484</v>
      </c>
      <c r="E694" s="10">
        <v>45677.304560185177</v>
      </c>
      <c r="F694" s="10">
        <v>45677.348749999997</v>
      </c>
      <c r="G694" s="10">
        <v>45677.350555555553</v>
      </c>
      <c r="H694" s="3" t="s">
        <v>2090</v>
      </c>
      <c r="I694" s="10">
        <v>45678.286076388889</v>
      </c>
      <c r="J694" s="10">
        <v>45678.30972222222</v>
      </c>
      <c r="K694" s="10">
        <v>45678.30972222222</v>
      </c>
      <c r="L694" s="10">
        <v>45678.310578703713</v>
      </c>
      <c r="M694" s="11">
        <f t="shared" si="30"/>
        <v>4.5995370375749189E-2</v>
      </c>
      <c r="N694" s="11">
        <f t="shared" si="31"/>
        <v>0.96002314815996215</v>
      </c>
      <c r="O694" s="10">
        <v>45677.355833333328</v>
      </c>
      <c r="P694" s="11">
        <f t="shared" si="32"/>
        <v>0.93024305556173204</v>
      </c>
      <c r="Q694" s="12" t="s">
        <v>2155</v>
      </c>
    </row>
    <row r="695" spans="1:17" ht="25.5" x14ac:dyDescent="0.25">
      <c r="A695" s="3" t="s">
        <v>2156</v>
      </c>
      <c r="B695" s="3" t="s">
        <v>324</v>
      </c>
      <c r="C695" s="9">
        <v>42</v>
      </c>
      <c r="D695" s="3" t="s">
        <v>595</v>
      </c>
      <c r="E695" s="10">
        <v>45677.304560185177</v>
      </c>
      <c r="F695" s="10">
        <v>45677.350555555553</v>
      </c>
      <c r="G695" s="10">
        <v>45677.351863425924</v>
      </c>
      <c r="H695" s="3" t="s">
        <v>1735</v>
      </c>
      <c r="I695" s="10">
        <v>45677.719953703701</v>
      </c>
      <c r="J695" s="10">
        <v>45677.741828703707</v>
      </c>
      <c r="K695" s="10">
        <v>45677.741828703707</v>
      </c>
      <c r="L695" s="10">
        <v>45677.742604166669</v>
      </c>
      <c r="M695" s="11">
        <f t="shared" si="30"/>
        <v>4.7303240746259689E-2</v>
      </c>
      <c r="N695" s="11">
        <f t="shared" si="31"/>
        <v>0.39074074074596865</v>
      </c>
      <c r="O695" s="10">
        <v>45677.356562499997</v>
      </c>
      <c r="P695" s="11">
        <f t="shared" si="32"/>
        <v>0.36339120370394085</v>
      </c>
      <c r="Q695" s="12" t="s">
        <v>2157</v>
      </c>
    </row>
    <row r="696" spans="1:17" x14ac:dyDescent="0.25">
      <c r="A696" s="3" t="s">
        <v>2158</v>
      </c>
      <c r="B696" s="3" t="s">
        <v>325</v>
      </c>
      <c r="C696" s="9">
        <v>380.82000000000011</v>
      </c>
      <c r="D696" s="3" t="s">
        <v>500</v>
      </c>
      <c r="E696" s="10">
        <v>45677.3122337963</v>
      </c>
      <c r="F696" s="10"/>
      <c r="G696" s="10"/>
      <c r="H696" s="3"/>
      <c r="I696" s="10"/>
      <c r="J696" s="10"/>
      <c r="K696" s="10"/>
      <c r="L696" s="10"/>
      <c r="M696" s="11" t="str">
        <f t="shared" si="30"/>
        <v/>
      </c>
      <c r="N696" s="11" t="str">
        <f t="shared" si="31"/>
        <v/>
      </c>
      <c r="O696" s="10"/>
      <c r="P696" s="11" t="str">
        <f t="shared" si="32"/>
        <v/>
      </c>
      <c r="Q696" s="12"/>
    </row>
    <row r="697" spans="1:17" x14ac:dyDescent="0.25">
      <c r="A697" s="3" t="s">
        <v>2159</v>
      </c>
      <c r="B697" s="3" t="s">
        <v>326</v>
      </c>
      <c r="C697" s="9">
        <v>330.78000000000009</v>
      </c>
      <c r="D697" s="3" t="s">
        <v>500</v>
      </c>
      <c r="E697" s="10">
        <v>45677.31453703704</v>
      </c>
      <c r="F697" s="10"/>
      <c r="G697" s="10"/>
      <c r="H697" s="3"/>
      <c r="I697" s="10"/>
      <c r="J697" s="10"/>
      <c r="K697" s="10"/>
      <c r="L697" s="10"/>
      <c r="M697" s="11" t="str">
        <f t="shared" si="30"/>
        <v/>
      </c>
      <c r="N697" s="11" t="str">
        <f t="shared" si="31"/>
        <v/>
      </c>
      <c r="O697" s="10"/>
      <c r="P697" s="11" t="str">
        <f t="shared" si="32"/>
        <v/>
      </c>
      <c r="Q697" s="12"/>
    </row>
    <row r="698" spans="1:17" ht="38.25" x14ac:dyDescent="0.25">
      <c r="A698" s="3" t="s">
        <v>2160</v>
      </c>
      <c r="B698" s="3" t="s">
        <v>327</v>
      </c>
      <c r="C698" s="9">
        <v>46.48</v>
      </c>
      <c r="D698" s="3" t="s">
        <v>506</v>
      </c>
      <c r="E698" s="10">
        <v>45677.366689814808</v>
      </c>
      <c r="F698" s="10">
        <v>45677.388541666667</v>
      </c>
      <c r="G698" s="10">
        <v>45677.390370370369</v>
      </c>
      <c r="H698" s="3" t="s">
        <v>2146</v>
      </c>
      <c r="I698" s="10">
        <v>45678.401921296303</v>
      </c>
      <c r="J698" s="10">
        <v>45678.426261574074</v>
      </c>
      <c r="K698" s="10">
        <v>45678.426261574074</v>
      </c>
      <c r="L698" s="10">
        <v>45678.427118055559</v>
      </c>
      <c r="M698" s="11">
        <f t="shared" si="30"/>
        <v>2.3680555561440997E-2</v>
      </c>
      <c r="N698" s="11">
        <f t="shared" si="31"/>
        <v>1.0367476851897663</v>
      </c>
      <c r="O698" s="10">
        <v>45677.392766203702</v>
      </c>
      <c r="P698" s="11">
        <f t="shared" si="32"/>
        <v>1.0091550926008495</v>
      </c>
      <c r="Q698" s="12" t="s">
        <v>2161</v>
      </c>
    </row>
    <row r="699" spans="1:17" ht="25.5" x14ac:dyDescent="0.25">
      <c r="A699" s="3" t="s">
        <v>2162</v>
      </c>
      <c r="B699" s="3" t="s">
        <v>327</v>
      </c>
      <c r="C699" s="9">
        <v>47.22</v>
      </c>
      <c r="D699" s="3" t="s">
        <v>533</v>
      </c>
      <c r="E699" s="10">
        <v>45677.366689814808</v>
      </c>
      <c r="F699" s="10">
        <v>45677.390370370369</v>
      </c>
      <c r="G699" s="10">
        <v>45677.392465277779</v>
      </c>
      <c r="H699" s="3" t="s">
        <v>2134</v>
      </c>
      <c r="I699" s="10">
        <v>45678.641886574071</v>
      </c>
      <c r="J699" s="10">
        <v>45678.7109837963</v>
      </c>
      <c r="K699" s="10">
        <v>45678.7109837963</v>
      </c>
      <c r="L699" s="10">
        <v>45678.712407407409</v>
      </c>
      <c r="M699" s="11">
        <f t="shared" si="30"/>
        <v>2.5775462971068919E-2</v>
      </c>
      <c r="N699" s="11">
        <f t="shared" si="31"/>
        <v>1.3199421296303626</v>
      </c>
      <c r="O699" s="10">
        <v>45677.39638888889</v>
      </c>
      <c r="P699" s="11">
        <f t="shared" si="32"/>
        <v>1.2454976851804531</v>
      </c>
      <c r="Q699" s="12" t="s">
        <v>2163</v>
      </c>
    </row>
    <row r="700" spans="1:17" x14ac:dyDescent="0.25">
      <c r="A700" s="3" t="s">
        <v>2164</v>
      </c>
      <c r="B700" s="3" t="s">
        <v>327</v>
      </c>
      <c r="C700" s="9">
        <v>135</v>
      </c>
      <c r="D700" s="3" t="s">
        <v>527</v>
      </c>
      <c r="E700" s="10">
        <v>45677.366689814808</v>
      </c>
      <c r="F700" s="10">
        <v>45677.392465277779</v>
      </c>
      <c r="G700" s="10">
        <v>45677.394699074073</v>
      </c>
      <c r="H700" s="3" t="s">
        <v>2093</v>
      </c>
      <c r="I700" s="10">
        <v>45678.1406712963</v>
      </c>
      <c r="J700" s="10">
        <v>45678.1641087963</v>
      </c>
      <c r="K700" s="10">
        <v>45678.1641087963</v>
      </c>
      <c r="L700" s="10">
        <v>45678.164965277778</v>
      </c>
      <c r="M700" s="11">
        <f t="shared" si="30"/>
        <v>2.8009259265672881E-2</v>
      </c>
      <c r="N700" s="11">
        <f t="shared" si="31"/>
        <v>0.77026620370452292</v>
      </c>
      <c r="O700" s="10">
        <v>45677.397094907406</v>
      </c>
      <c r="P700" s="11">
        <f t="shared" si="32"/>
        <v>0.74357638889341615</v>
      </c>
      <c r="Q700" s="12" t="s">
        <v>2165</v>
      </c>
    </row>
    <row r="701" spans="1:17" ht="25.5" x14ac:dyDescent="0.25">
      <c r="A701" s="3" t="s">
        <v>2166</v>
      </c>
      <c r="B701" s="3" t="s">
        <v>327</v>
      </c>
      <c r="C701" s="9">
        <v>15.74</v>
      </c>
      <c r="D701" s="3" t="s">
        <v>496</v>
      </c>
      <c r="E701" s="10">
        <v>45677.366689814808</v>
      </c>
      <c r="F701" s="10">
        <v>45677.394699074073</v>
      </c>
      <c r="G701" s="10">
        <v>45677.396608796298</v>
      </c>
      <c r="H701" s="3" t="s">
        <v>2119</v>
      </c>
      <c r="I701" s="10">
        <v>45678.340532407397</v>
      </c>
      <c r="J701" s="10">
        <v>45678.358749999999</v>
      </c>
      <c r="K701" s="10">
        <v>45678.358749999999</v>
      </c>
      <c r="L701" s="10">
        <v>45678.359386574077</v>
      </c>
      <c r="M701" s="11">
        <f t="shared" si="30"/>
        <v>2.9918981490482111E-2</v>
      </c>
      <c r="N701" s="11">
        <f t="shared" si="31"/>
        <v>0.96277777777868323</v>
      </c>
      <c r="O701" s="10">
        <v>45677.400173611109</v>
      </c>
      <c r="P701" s="11">
        <f t="shared" si="32"/>
        <v>0.94035879628791008</v>
      </c>
      <c r="Q701" s="12" t="s">
        <v>2167</v>
      </c>
    </row>
    <row r="702" spans="1:17" ht="25.5" x14ac:dyDescent="0.25">
      <c r="A702" s="3" t="s">
        <v>2168</v>
      </c>
      <c r="B702" s="3" t="s">
        <v>327</v>
      </c>
      <c r="C702" s="9">
        <v>36.4</v>
      </c>
      <c r="D702" s="3" t="s">
        <v>519</v>
      </c>
      <c r="E702" s="10">
        <v>45677.366689814808</v>
      </c>
      <c r="F702" s="10">
        <v>45677.396608796298</v>
      </c>
      <c r="G702" s="10">
        <v>45677.398611111108</v>
      </c>
      <c r="H702" s="3" t="s">
        <v>2090</v>
      </c>
      <c r="I702" s="10">
        <v>45678.286076388889</v>
      </c>
      <c r="J702" s="10">
        <v>45678.30972222222</v>
      </c>
      <c r="K702" s="10">
        <v>45678.30972222222</v>
      </c>
      <c r="L702" s="10">
        <v>45678.310578703713</v>
      </c>
      <c r="M702" s="11">
        <f t="shared" si="30"/>
        <v>3.1921296300424729E-2</v>
      </c>
      <c r="N702" s="11">
        <f t="shared" si="31"/>
        <v>0.91196759260492399</v>
      </c>
      <c r="O702" s="10">
        <v>45677.40253472222</v>
      </c>
      <c r="P702" s="11">
        <f t="shared" si="32"/>
        <v>0.88354166666977108</v>
      </c>
      <c r="Q702" s="12" t="s">
        <v>2169</v>
      </c>
    </row>
    <row r="703" spans="1:17" x14ac:dyDescent="0.25">
      <c r="A703" s="3" t="s">
        <v>2170</v>
      </c>
      <c r="B703" s="3" t="s">
        <v>327</v>
      </c>
      <c r="C703" s="9">
        <v>42</v>
      </c>
      <c r="D703" s="3" t="s">
        <v>488</v>
      </c>
      <c r="E703" s="10">
        <v>45677.366689814808</v>
      </c>
      <c r="F703" s="10"/>
      <c r="G703" s="10"/>
      <c r="H703" s="3"/>
      <c r="I703" s="10"/>
      <c r="J703" s="10"/>
      <c r="K703" s="10"/>
      <c r="L703" s="10"/>
      <c r="M703" s="11" t="str">
        <f t="shared" si="30"/>
        <v/>
      </c>
      <c r="N703" s="11" t="str">
        <f t="shared" si="31"/>
        <v/>
      </c>
      <c r="O703" s="10"/>
      <c r="P703" s="11" t="str">
        <f t="shared" si="32"/>
        <v/>
      </c>
      <c r="Q703" s="12"/>
    </row>
    <row r="704" spans="1:17" ht="38.25" x14ac:dyDescent="0.25">
      <c r="A704" s="3" t="s">
        <v>2171</v>
      </c>
      <c r="B704" s="3" t="s">
        <v>327</v>
      </c>
      <c r="C704" s="9">
        <v>31.48</v>
      </c>
      <c r="D704" s="3" t="s">
        <v>515</v>
      </c>
      <c r="E704" s="10">
        <v>45677.366689814808</v>
      </c>
      <c r="F704" s="10">
        <v>45677.398611111108</v>
      </c>
      <c r="G704" s="10">
        <v>45677.400555555563</v>
      </c>
      <c r="H704" s="3" t="s">
        <v>2137</v>
      </c>
      <c r="I704" s="10">
        <v>45678.647372685176</v>
      </c>
      <c r="J704" s="10">
        <v>45678.698703703703</v>
      </c>
      <c r="K704" s="10">
        <v>45678.698703703703</v>
      </c>
      <c r="L704" s="10">
        <v>45678.69976851852</v>
      </c>
      <c r="M704" s="11">
        <f t="shared" si="30"/>
        <v>3.3865740755572915E-2</v>
      </c>
      <c r="N704" s="11">
        <f t="shared" si="31"/>
        <v>1.299212962956517</v>
      </c>
      <c r="O704" s="10">
        <v>45677.404479166667</v>
      </c>
      <c r="P704" s="11">
        <f t="shared" si="32"/>
        <v>1.2428935185089358</v>
      </c>
      <c r="Q704" s="12" t="s">
        <v>2172</v>
      </c>
    </row>
    <row r="705" spans="1:17" ht="38.25" x14ac:dyDescent="0.25">
      <c r="A705" s="3" t="s">
        <v>2173</v>
      </c>
      <c r="B705" s="3" t="s">
        <v>327</v>
      </c>
      <c r="C705" s="9">
        <v>19.899999999999999</v>
      </c>
      <c r="D705" s="3" t="s">
        <v>539</v>
      </c>
      <c r="E705" s="10">
        <v>45677.366689814808</v>
      </c>
      <c r="F705" s="10">
        <v>45677.400555555563</v>
      </c>
      <c r="G705" s="10">
        <v>45677.40184027778</v>
      </c>
      <c r="H705" s="3" t="s">
        <v>2174</v>
      </c>
      <c r="I705" s="10">
        <v>45680.67324074074</v>
      </c>
      <c r="J705" s="10">
        <v>45680.700879629629</v>
      </c>
      <c r="K705" s="10">
        <v>45680.700879629629</v>
      </c>
      <c r="L705" s="10">
        <v>45680.701678240737</v>
      </c>
      <c r="M705" s="11">
        <f t="shared" si="30"/>
        <v>3.515046297252411E-2</v>
      </c>
      <c r="N705" s="11">
        <f t="shared" si="31"/>
        <v>3.2998379629570991</v>
      </c>
      <c r="O705" s="10">
        <v>45677.404016203713</v>
      </c>
      <c r="P705" s="11">
        <f t="shared" si="32"/>
        <v>3.2692245370271849</v>
      </c>
      <c r="Q705" s="12" t="s">
        <v>2175</v>
      </c>
    </row>
    <row r="706" spans="1:17" x14ac:dyDescent="0.25">
      <c r="A706" s="3" t="s">
        <v>2176</v>
      </c>
      <c r="B706" s="3" t="s">
        <v>327</v>
      </c>
      <c r="C706" s="9">
        <v>28</v>
      </c>
      <c r="D706" s="3" t="s">
        <v>595</v>
      </c>
      <c r="E706" s="10">
        <v>45677.366689814808</v>
      </c>
      <c r="F706" s="10"/>
      <c r="G706" s="10"/>
      <c r="H706" s="3"/>
      <c r="I706" s="10"/>
      <c r="J706" s="10"/>
      <c r="K706" s="10"/>
      <c r="L706" s="10"/>
      <c r="M706" s="11" t="str">
        <f t="shared" ref="M706:M769" si="33">IF(AND(ISNUMBER(E706),ISNUMBER(G706)),(G706-E706),"")</f>
        <v/>
      </c>
      <c r="N706" s="11" t="str">
        <f t="shared" ref="N706:N769" si="34">IF(AND(ISNUMBER(G706),ISNUMBER(L706)),(L706-G706),"")</f>
        <v/>
      </c>
      <c r="O706" s="10"/>
      <c r="P706" s="11" t="str">
        <f t="shared" ref="P706:P769" si="35">IF(AND(ISNUMBER(I706),ISNUMBER(O706)),(I706-O706),"")</f>
        <v/>
      </c>
      <c r="Q706" s="12"/>
    </row>
    <row r="707" spans="1:17" ht="38.25" x14ac:dyDescent="0.25">
      <c r="A707" s="3" t="s">
        <v>2177</v>
      </c>
      <c r="B707" s="3" t="s">
        <v>327</v>
      </c>
      <c r="C707" s="9">
        <v>15.74</v>
      </c>
      <c r="D707" s="3" t="s">
        <v>654</v>
      </c>
      <c r="E707" s="10">
        <v>45677.366689814808</v>
      </c>
      <c r="F707" s="10">
        <v>45677.40184027778</v>
      </c>
      <c r="G707" s="10">
        <v>45677.403599537043</v>
      </c>
      <c r="H707" s="3" t="s">
        <v>2146</v>
      </c>
      <c r="I707" s="10">
        <v>45678.401921296303</v>
      </c>
      <c r="J707" s="10">
        <v>45678.426261574074</v>
      </c>
      <c r="K707" s="10">
        <v>45678.426261574074</v>
      </c>
      <c r="L707" s="10">
        <v>45678.427118055559</v>
      </c>
      <c r="M707" s="11">
        <f t="shared" si="33"/>
        <v>3.6909722235577647E-2</v>
      </c>
      <c r="N707" s="11">
        <f t="shared" si="34"/>
        <v>1.0235185185156297</v>
      </c>
      <c r="O707" s="10">
        <v>45677.407523148147</v>
      </c>
      <c r="P707" s="11">
        <f t="shared" si="35"/>
        <v>0.99439814815559657</v>
      </c>
      <c r="Q707" s="12" t="s">
        <v>2178</v>
      </c>
    </row>
    <row r="708" spans="1:17" ht="25.5" x14ac:dyDescent="0.25">
      <c r="A708" s="3" t="s">
        <v>2179</v>
      </c>
      <c r="B708" s="3" t="s">
        <v>327</v>
      </c>
      <c r="C708" s="9">
        <v>43.14</v>
      </c>
      <c r="D708" s="3" t="s">
        <v>484</v>
      </c>
      <c r="E708" s="10">
        <v>45677.366689814808</v>
      </c>
      <c r="F708" s="10">
        <v>45677.403599537043</v>
      </c>
      <c r="G708" s="10">
        <v>45677.405613425923</v>
      </c>
      <c r="H708" s="3" t="s">
        <v>2090</v>
      </c>
      <c r="I708" s="10">
        <v>45678.286076388889</v>
      </c>
      <c r="J708" s="10">
        <v>45678.30972222222</v>
      </c>
      <c r="K708" s="10">
        <v>45678.30972222222</v>
      </c>
      <c r="L708" s="10">
        <v>45678.310578703713</v>
      </c>
      <c r="M708" s="11">
        <f t="shared" si="33"/>
        <v>3.8923611115023959E-2</v>
      </c>
      <c r="N708" s="11">
        <f t="shared" si="34"/>
        <v>0.90496527779032476</v>
      </c>
      <c r="O708" s="10">
        <v>45677.409537037027</v>
      </c>
      <c r="P708" s="11">
        <f t="shared" si="35"/>
        <v>0.8765393518624478</v>
      </c>
      <c r="Q708" s="12" t="s">
        <v>2180</v>
      </c>
    </row>
    <row r="709" spans="1:17" ht="25.5" x14ac:dyDescent="0.25">
      <c r="A709" s="3" t="s">
        <v>2181</v>
      </c>
      <c r="B709" s="3" t="s">
        <v>327</v>
      </c>
      <c r="C709" s="9">
        <v>19.899999999999999</v>
      </c>
      <c r="D709" s="3" t="s">
        <v>492</v>
      </c>
      <c r="E709" s="10">
        <v>45677.366689814808</v>
      </c>
      <c r="F709" s="10">
        <v>45677.405613425923</v>
      </c>
      <c r="G709" s="10">
        <v>45677.407581018517</v>
      </c>
      <c r="H709" s="3" t="s">
        <v>2182</v>
      </c>
      <c r="I709" s="10">
        <v>45679.12300925926</v>
      </c>
      <c r="J709" s="10">
        <v>45679.143310185187</v>
      </c>
      <c r="K709" s="10">
        <v>45679.143310185187</v>
      </c>
      <c r="L709" s="10">
        <v>45679.144120370373</v>
      </c>
      <c r="M709" s="11">
        <f t="shared" si="33"/>
        <v>4.0891203709179536E-2</v>
      </c>
      <c r="N709" s="11">
        <f t="shared" si="34"/>
        <v>1.7365393518557539</v>
      </c>
      <c r="O709" s="10">
        <v>45677.409942129627</v>
      </c>
      <c r="P709" s="11">
        <f t="shared" si="35"/>
        <v>1.7130671296326909</v>
      </c>
      <c r="Q709" s="12" t="s">
        <v>2183</v>
      </c>
    </row>
    <row r="710" spans="1:17" x14ac:dyDescent="0.25">
      <c r="A710" s="3" t="s">
        <v>2184</v>
      </c>
      <c r="B710" s="3" t="s">
        <v>327</v>
      </c>
      <c r="C710" s="9">
        <v>39.799999999999997</v>
      </c>
      <c r="D710" s="3" t="s">
        <v>488</v>
      </c>
      <c r="E710" s="10">
        <v>45677.366689814808</v>
      </c>
      <c r="F710" s="10"/>
      <c r="G710" s="10"/>
      <c r="H710" s="3"/>
      <c r="I710" s="10"/>
      <c r="J710" s="10"/>
      <c r="K710" s="10"/>
      <c r="L710" s="10"/>
      <c r="M710" s="11" t="str">
        <f t="shared" si="33"/>
        <v/>
      </c>
      <c r="N710" s="11" t="str">
        <f t="shared" si="34"/>
        <v/>
      </c>
      <c r="O710" s="10"/>
      <c r="P710" s="11" t="str">
        <f t="shared" si="35"/>
        <v/>
      </c>
      <c r="Q710" s="12"/>
    </row>
    <row r="711" spans="1:17" x14ac:dyDescent="0.25">
      <c r="A711" s="3" t="s">
        <v>2185</v>
      </c>
      <c r="B711" s="3" t="s">
        <v>328</v>
      </c>
      <c r="C711" s="9">
        <v>240.8</v>
      </c>
      <c r="D711" s="3" t="s">
        <v>500</v>
      </c>
      <c r="E711" s="10">
        <v>45677.376423611109</v>
      </c>
      <c r="F711" s="10"/>
      <c r="G711" s="10"/>
      <c r="H711" s="3"/>
      <c r="I711" s="10"/>
      <c r="J711" s="10"/>
      <c r="K711" s="10"/>
      <c r="L711" s="10"/>
      <c r="M711" s="11" t="str">
        <f t="shared" si="33"/>
        <v/>
      </c>
      <c r="N711" s="11" t="str">
        <f t="shared" si="34"/>
        <v/>
      </c>
      <c r="O711" s="10"/>
      <c r="P711" s="11" t="str">
        <f t="shared" si="35"/>
        <v/>
      </c>
      <c r="Q711" s="12"/>
    </row>
    <row r="712" spans="1:17" x14ac:dyDescent="0.25">
      <c r="A712" s="3" t="s">
        <v>2186</v>
      </c>
      <c r="B712" s="3" t="s">
        <v>328</v>
      </c>
      <c r="C712" s="9">
        <v>145.6</v>
      </c>
      <c r="D712" s="3" t="s">
        <v>572</v>
      </c>
      <c r="E712" s="10">
        <v>45677.376423611109</v>
      </c>
      <c r="F712" s="10">
        <v>45677.384131944447</v>
      </c>
      <c r="G712" s="10">
        <v>45677.385555555556</v>
      </c>
      <c r="H712" s="3" t="s">
        <v>2187</v>
      </c>
      <c r="I712" s="10">
        <v>45677.889351851853</v>
      </c>
      <c r="J712" s="10">
        <v>45677.914629629631</v>
      </c>
      <c r="K712" s="10">
        <v>45677.914629629631</v>
      </c>
      <c r="L712" s="10">
        <v>45677.91542824074</v>
      </c>
      <c r="M712" s="11">
        <f t="shared" si="33"/>
        <v>9.1319444472901523E-3</v>
      </c>
      <c r="N712" s="11">
        <f t="shared" si="34"/>
        <v>0.5298726851833635</v>
      </c>
      <c r="O712" s="10">
        <v>45677.38795138889</v>
      </c>
      <c r="P712" s="11">
        <f t="shared" si="35"/>
        <v>0.50140046296291985</v>
      </c>
      <c r="Q712" s="12" t="s">
        <v>2188</v>
      </c>
    </row>
    <row r="713" spans="1:17" ht="25.5" x14ac:dyDescent="0.25">
      <c r="A713" s="3" t="s">
        <v>2189</v>
      </c>
      <c r="B713" s="3" t="s">
        <v>329</v>
      </c>
      <c r="C713" s="9">
        <v>144.80000000000001</v>
      </c>
      <c r="D713" s="3" t="s">
        <v>500</v>
      </c>
      <c r="E713" s="10">
        <v>45677.442164351851</v>
      </c>
      <c r="F713" s="10">
        <v>45677.450439814813</v>
      </c>
      <c r="G713" s="10">
        <v>45677.451898148152</v>
      </c>
      <c r="H713" s="3" t="s">
        <v>2190</v>
      </c>
      <c r="I713" s="10">
        <v>45678.316377314812</v>
      </c>
      <c r="J713" s="10">
        <v>45678.34516203704</v>
      </c>
      <c r="K713" s="10">
        <v>45678.34516203704</v>
      </c>
      <c r="L713" s="10">
        <v>45678.346018518518</v>
      </c>
      <c r="M713" s="11">
        <f t="shared" si="33"/>
        <v>9.7337963015888818E-3</v>
      </c>
      <c r="N713" s="11">
        <f t="shared" si="34"/>
        <v>0.89412037036527181</v>
      </c>
      <c r="O713" s="10">
        <v>45677.454259259262</v>
      </c>
      <c r="P713" s="11">
        <f t="shared" si="35"/>
        <v>0.86211805554921739</v>
      </c>
      <c r="Q713" s="12" t="s">
        <v>2191</v>
      </c>
    </row>
    <row r="714" spans="1:17" ht="25.5" x14ac:dyDescent="0.25">
      <c r="A714" s="3" t="s">
        <v>2192</v>
      </c>
      <c r="B714" s="3" t="s">
        <v>329</v>
      </c>
      <c r="C714" s="9">
        <v>21</v>
      </c>
      <c r="D714" s="3" t="s">
        <v>572</v>
      </c>
      <c r="E714" s="10">
        <v>45677.442164351851</v>
      </c>
      <c r="F714" s="10">
        <v>45677.451898148152</v>
      </c>
      <c r="G714" s="10">
        <v>45677.453067129631</v>
      </c>
      <c r="H714" s="3" t="s">
        <v>2190</v>
      </c>
      <c r="I714" s="10">
        <v>45678.316377314812</v>
      </c>
      <c r="J714" s="10">
        <v>45678.34516203704</v>
      </c>
      <c r="K714" s="10">
        <v>45678.34516203704</v>
      </c>
      <c r="L714" s="10">
        <v>45678.346018518518</v>
      </c>
      <c r="M714" s="11">
        <f t="shared" si="33"/>
        <v>1.0902777779847383E-2</v>
      </c>
      <c r="N714" s="11">
        <f t="shared" si="34"/>
        <v>0.89295138888701331</v>
      </c>
      <c r="O714" s="10">
        <v>45677.456990740742</v>
      </c>
      <c r="P714" s="11">
        <f t="shared" si="35"/>
        <v>0.85938657406950369</v>
      </c>
      <c r="Q714" s="12" t="s">
        <v>2193</v>
      </c>
    </row>
    <row r="715" spans="1:17" x14ac:dyDescent="0.25">
      <c r="A715" s="3" t="s">
        <v>2194</v>
      </c>
      <c r="B715" s="3" t="s">
        <v>329</v>
      </c>
      <c r="C715" s="9">
        <v>153.88</v>
      </c>
      <c r="D715" s="3" t="s">
        <v>500</v>
      </c>
      <c r="E715" s="10">
        <v>45677.442164351851</v>
      </c>
      <c r="F715" s="10">
        <v>45677.453067129631</v>
      </c>
      <c r="G715" s="10">
        <v>45677.45511574074</v>
      </c>
      <c r="H715" s="3" t="s">
        <v>2195</v>
      </c>
      <c r="I715" s="10">
        <v>45678.334710648152</v>
      </c>
      <c r="J715" s="10">
        <v>45678.36142361111</v>
      </c>
      <c r="K715" s="10">
        <v>45678.36142361111</v>
      </c>
      <c r="L715" s="10">
        <v>45678.362291666657</v>
      </c>
      <c r="M715" s="11">
        <f t="shared" si="33"/>
        <v>1.2951388889632653E-2</v>
      </c>
      <c r="N715" s="11">
        <f t="shared" si="34"/>
        <v>0.9071759259168175</v>
      </c>
      <c r="O715" s="10">
        <v>45677.457476851851</v>
      </c>
      <c r="P715" s="11">
        <f t="shared" si="35"/>
        <v>0.87723379630187992</v>
      </c>
      <c r="Q715" s="12" t="s">
        <v>2196</v>
      </c>
    </row>
    <row r="716" spans="1:17" x14ac:dyDescent="0.25">
      <c r="A716" s="3" t="s">
        <v>2197</v>
      </c>
      <c r="B716" s="3" t="s">
        <v>330</v>
      </c>
      <c r="C716" s="9">
        <v>104.96</v>
      </c>
      <c r="D716" s="3" t="s">
        <v>500</v>
      </c>
      <c r="E716" s="10">
        <v>45677.532546296286</v>
      </c>
      <c r="F716" s="10">
        <v>45677.537083333344</v>
      </c>
      <c r="G716" s="10">
        <v>45677.539201388892</v>
      </c>
      <c r="H716" s="3" t="s">
        <v>2119</v>
      </c>
      <c r="I716" s="10">
        <v>45678.340532407397</v>
      </c>
      <c r="J716" s="10">
        <v>45678.358749999999</v>
      </c>
      <c r="K716" s="10">
        <v>45678.358749999999</v>
      </c>
      <c r="L716" s="10">
        <v>45678.359386574077</v>
      </c>
      <c r="M716" s="11">
        <f t="shared" si="33"/>
        <v>6.6550926057971083E-3</v>
      </c>
      <c r="N716" s="11">
        <f t="shared" si="34"/>
        <v>0.82018518518452765</v>
      </c>
      <c r="O716" s="10">
        <v>45677.541597222233</v>
      </c>
      <c r="P716" s="11">
        <f t="shared" si="35"/>
        <v>0.79893518516473705</v>
      </c>
      <c r="Q716" s="12" t="s">
        <v>2198</v>
      </c>
    </row>
    <row r="717" spans="1:17" x14ac:dyDescent="0.25">
      <c r="A717" s="3" t="s">
        <v>2199</v>
      </c>
      <c r="B717" s="3" t="s">
        <v>331</v>
      </c>
      <c r="C717" s="9">
        <v>389.06000000000012</v>
      </c>
      <c r="D717" s="3" t="s">
        <v>500</v>
      </c>
      <c r="E717" s="10">
        <v>45677.601840277777</v>
      </c>
      <c r="F717" s="10">
        <v>45677.608472222222</v>
      </c>
      <c r="G717" s="10">
        <v>45677.610949074071</v>
      </c>
      <c r="H717" s="3" t="s">
        <v>2150</v>
      </c>
      <c r="I717" s="10">
        <v>45678.387997685182</v>
      </c>
      <c r="J717" s="10">
        <v>45678.455543981479</v>
      </c>
      <c r="K717" s="10">
        <v>45678.455543981479</v>
      </c>
      <c r="L717" s="10">
        <v>45678.457037037027</v>
      </c>
      <c r="M717" s="11">
        <f t="shared" si="33"/>
        <v>9.1087962937308475E-3</v>
      </c>
      <c r="N717" s="11">
        <f t="shared" si="34"/>
        <v>0.846087962956517</v>
      </c>
      <c r="O717" s="10">
        <v>45677.613344907397</v>
      </c>
      <c r="P717" s="11">
        <f t="shared" si="35"/>
        <v>0.77465277778537711</v>
      </c>
      <c r="Q717" s="12" t="s">
        <v>2200</v>
      </c>
    </row>
    <row r="718" spans="1:17" ht="38.25" x14ac:dyDescent="0.25">
      <c r="A718" s="3" t="s">
        <v>2201</v>
      </c>
      <c r="B718" s="3" t="s">
        <v>332</v>
      </c>
      <c r="C718" s="9">
        <v>19.899999999999999</v>
      </c>
      <c r="D718" s="3" t="s">
        <v>563</v>
      </c>
      <c r="E718" s="10">
        <v>45677.632118055553</v>
      </c>
      <c r="F718" s="10">
        <v>45677.648298611108</v>
      </c>
      <c r="G718" s="10">
        <v>45677.649814814817</v>
      </c>
      <c r="H718" s="3" t="s">
        <v>2014</v>
      </c>
      <c r="I718" s="10">
        <v>45680.650775462957</v>
      </c>
      <c r="J718" s="10">
        <v>45680.67150462963</v>
      </c>
      <c r="K718" s="10">
        <v>45680.67150462963</v>
      </c>
      <c r="L718" s="10">
        <v>45680.672326388893</v>
      </c>
      <c r="M718" s="11">
        <f t="shared" si="33"/>
        <v>1.7696759263344575E-2</v>
      </c>
      <c r="N718" s="11">
        <f t="shared" si="34"/>
        <v>3.0225115740759065</v>
      </c>
      <c r="O718" s="10">
        <v>45677.653738425928</v>
      </c>
      <c r="P718" s="11">
        <f t="shared" si="35"/>
        <v>2.997037037028349</v>
      </c>
      <c r="Q718" s="12" t="s">
        <v>2202</v>
      </c>
    </row>
    <row r="719" spans="1:17" ht="25.5" x14ac:dyDescent="0.25">
      <c r="A719" s="3" t="s">
        <v>2203</v>
      </c>
      <c r="B719" s="3" t="s">
        <v>332</v>
      </c>
      <c r="C719" s="9">
        <v>19.899999999999999</v>
      </c>
      <c r="D719" s="3" t="s">
        <v>519</v>
      </c>
      <c r="E719" s="10">
        <v>45677.632118055553</v>
      </c>
      <c r="F719" s="10">
        <v>45677.649814814817</v>
      </c>
      <c r="G719" s="10">
        <v>45677.651770833327</v>
      </c>
      <c r="H719" s="3" t="s">
        <v>2204</v>
      </c>
      <c r="I719" s="10">
        <v>45679.203449074077</v>
      </c>
      <c r="J719" s="10">
        <v>45679.22378472222</v>
      </c>
      <c r="K719" s="10">
        <v>45679.22378472222</v>
      </c>
      <c r="L719" s="10">
        <v>45679.224594907413</v>
      </c>
      <c r="M719" s="11">
        <f t="shared" si="33"/>
        <v>1.9652777773444541E-2</v>
      </c>
      <c r="N719" s="11">
        <f t="shared" si="34"/>
        <v>1.5728240740863839</v>
      </c>
      <c r="O719" s="10">
        <v>45677.654143518521</v>
      </c>
      <c r="P719" s="11">
        <f t="shared" si="35"/>
        <v>1.5493055555562023</v>
      </c>
      <c r="Q719" s="12" t="s">
        <v>2205</v>
      </c>
    </row>
    <row r="720" spans="1:17" ht="38.25" x14ac:dyDescent="0.25">
      <c r="A720" s="3" t="s">
        <v>2206</v>
      </c>
      <c r="B720" s="3" t="s">
        <v>332</v>
      </c>
      <c r="C720" s="9">
        <v>19.899999999999999</v>
      </c>
      <c r="D720" s="3" t="s">
        <v>488</v>
      </c>
      <c r="E720" s="10">
        <v>45677.632118055553</v>
      </c>
      <c r="F720" s="10">
        <v>45677.651770833327</v>
      </c>
      <c r="G720" s="10">
        <v>45677.653692129628</v>
      </c>
      <c r="H720" s="3" t="s">
        <v>2137</v>
      </c>
      <c r="I720" s="10">
        <v>45678.647372685176</v>
      </c>
      <c r="J720" s="10">
        <v>45678.698703703703</v>
      </c>
      <c r="K720" s="10">
        <v>45678.698703703703</v>
      </c>
      <c r="L720" s="10">
        <v>45678.69976851852</v>
      </c>
      <c r="M720" s="11">
        <f t="shared" si="33"/>
        <v>2.1574074075033423E-2</v>
      </c>
      <c r="N720" s="11">
        <f t="shared" si="34"/>
        <v>1.0460763888913789</v>
      </c>
      <c r="O720" s="10">
        <v>45677.656064814822</v>
      </c>
      <c r="P720" s="11">
        <f t="shared" si="35"/>
        <v>0.99130787035392132</v>
      </c>
      <c r="Q720" s="12" t="s">
        <v>2207</v>
      </c>
    </row>
    <row r="721" spans="1:17" x14ac:dyDescent="0.25">
      <c r="A721" s="3" t="s">
        <v>2208</v>
      </c>
      <c r="B721" s="3" t="s">
        <v>332</v>
      </c>
      <c r="C721" s="9">
        <v>81</v>
      </c>
      <c r="D721" s="3" t="s">
        <v>527</v>
      </c>
      <c r="E721" s="10">
        <v>45677.632118055553</v>
      </c>
      <c r="F721" s="10"/>
      <c r="G721" s="10"/>
      <c r="H721" s="3"/>
      <c r="I721" s="10"/>
      <c r="J721" s="10"/>
      <c r="K721" s="10"/>
      <c r="L721" s="10"/>
      <c r="M721" s="11" t="str">
        <f t="shared" si="33"/>
        <v/>
      </c>
      <c r="N721" s="11" t="str">
        <f t="shared" si="34"/>
        <v/>
      </c>
      <c r="O721" s="10"/>
      <c r="P721" s="11" t="str">
        <f t="shared" si="35"/>
        <v/>
      </c>
      <c r="Q721" s="12"/>
    </row>
    <row r="722" spans="1:17" ht="38.25" x14ac:dyDescent="0.25">
      <c r="A722" s="3" t="s">
        <v>2209</v>
      </c>
      <c r="B722" s="3" t="s">
        <v>332</v>
      </c>
      <c r="C722" s="9">
        <v>19.899999999999999</v>
      </c>
      <c r="D722" s="3" t="s">
        <v>539</v>
      </c>
      <c r="E722" s="10">
        <v>45677.632118055553</v>
      </c>
      <c r="F722" s="10">
        <v>45677.653692129628</v>
      </c>
      <c r="G722" s="10">
        <v>45677.654976851853</v>
      </c>
      <c r="H722" s="3" t="s">
        <v>2174</v>
      </c>
      <c r="I722" s="10">
        <v>45680.67324074074</v>
      </c>
      <c r="J722" s="10">
        <v>45680.700879629629</v>
      </c>
      <c r="K722" s="10">
        <v>45680.700879629629</v>
      </c>
      <c r="L722" s="10">
        <v>45680.701678240737</v>
      </c>
      <c r="M722" s="11">
        <f t="shared" si="33"/>
        <v>2.2858796299260575E-2</v>
      </c>
      <c r="N722" s="11">
        <f t="shared" si="34"/>
        <v>3.046701388884685</v>
      </c>
      <c r="O722" s="10">
        <v>45677.657372685193</v>
      </c>
      <c r="P722" s="11">
        <f t="shared" si="35"/>
        <v>3.0158680555468891</v>
      </c>
      <c r="Q722" s="12" t="s">
        <v>2210</v>
      </c>
    </row>
    <row r="723" spans="1:17" ht="25.5" x14ac:dyDescent="0.25">
      <c r="A723" s="3" t="s">
        <v>2211</v>
      </c>
      <c r="B723" s="3" t="s">
        <v>332</v>
      </c>
      <c r="C723" s="9">
        <v>15.74</v>
      </c>
      <c r="D723" s="3" t="s">
        <v>654</v>
      </c>
      <c r="E723" s="10">
        <v>45677.632118055553</v>
      </c>
      <c r="F723" s="10">
        <v>45677.654976851853</v>
      </c>
      <c r="G723" s="10">
        <v>45677.656736111108</v>
      </c>
      <c r="H723" s="3" t="s">
        <v>2146</v>
      </c>
      <c r="I723" s="10">
        <v>45678.401921296303</v>
      </c>
      <c r="J723" s="10">
        <v>45678.426261574074</v>
      </c>
      <c r="K723" s="10">
        <v>45678.426261574074</v>
      </c>
      <c r="L723" s="10">
        <v>45678.427118055559</v>
      </c>
      <c r="M723" s="11">
        <f t="shared" si="33"/>
        <v>2.4618055555038154E-2</v>
      </c>
      <c r="N723" s="11">
        <f t="shared" si="34"/>
        <v>0.77038194445049157</v>
      </c>
      <c r="O723" s="10">
        <v>45677.660636574074</v>
      </c>
      <c r="P723" s="11">
        <f t="shared" si="35"/>
        <v>0.74128472222946584</v>
      </c>
      <c r="Q723" s="12" t="s">
        <v>2212</v>
      </c>
    </row>
    <row r="724" spans="1:17" ht="25.5" x14ac:dyDescent="0.25">
      <c r="A724" s="3" t="s">
        <v>2213</v>
      </c>
      <c r="B724" s="3" t="s">
        <v>332</v>
      </c>
      <c r="C724" s="9">
        <v>62.22</v>
      </c>
      <c r="D724" s="3" t="s">
        <v>506</v>
      </c>
      <c r="E724" s="10">
        <v>45677.632118055553</v>
      </c>
      <c r="F724" s="10">
        <v>45677.656736111108</v>
      </c>
      <c r="G724" s="10">
        <v>45677.658599537041</v>
      </c>
      <c r="H724" s="3" t="s">
        <v>2146</v>
      </c>
      <c r="I724" s="10">
        <v>45678.401921296303</v>
      </c>
      <c r="J724" s="10">
        <v>45678.426261574074</v>
      </c>
      <c r="K724" s="10">
        <v>45678.426261574074</v>
      </c>
      <c r="L724" s="10">
        <v>45678.427118055559</v>
      </c>
      <c r="M724" s="11">
        <f t="shared" si="33"/>
        <v>2.6481481487280689E-2</v>
      </c>
      <c r="N724" s="11">
        <f t="shared" si="34"/>
        <v>0.76851851851824904</v>
      </c>
      <c r="O724" s="10">
        <v>45677.662523148138</v>
      </c>
      <c r="P724" s="11">
        <f t="shared" si="35"/>
        <v>0.73939814816549188</v>
      </c>
      <c r="Q724" s="12" t="s">
        <v>2214</v>
      </c>
    </row>
    <row r="725" spans="1:17" ht="38.25" x14ac:dyDescent="0.25">
      <c r="A725" s="3" t="s">
        <v>2215</v>
      </c>
      <c r="B725" s="3" t="s">
        <v>332</v>
      </c>
      <c r="C725" s="9">
        <v>15.74</v>
      </c>
      <c r="D725" s="3" t="s">
        <v>496</v>
      </c>
      <c r="E725" s="10">
        <v>45677.632118055553</v>
      </c>
      <c r="F725" s="10">
        <v>45677.658599537041</v>
      </c>
      <c r="G725" s="10">
        <v>45677.660509259258</v>
      </c>
      <c r="H725" s="3" t="s">
        <v>2216</v>
      </c>
      <c r="I725" s="10">
        <v>45679.341516203713</v>
      </c>
      <c r="J725" s="10">
        <v>45679.360856481479</v>
      </c>
      <c r="K725" s="10">
        <v>45679.360856481479</v>
      </c>
      <c r="L725" s="10">
        <v>45679.361504629633</v>
      </c>
      <c r="M725" s="11">
        <f t="shared" si="33"/>
        <v>2.8391203704813961E-2</v>
      </c>
      <c r="N725" s="11">
        <f t="shared" si="34"/>
        <v>1.700995370374585</v>
      </c>
      <c r="O725" s="10">
        <v>45677.662870370368</v>
      </c>
      <c r="P725" s="11">
        <f t="shared" si="35"/>
        <v>1.6786458333444898</v>
      </c>
      <c r="Q725" s="12" t="s">
        <v>2217</v>
      </c>
    </row>
    <row r="726" spans="1:17" ht="38.25" x14ac:dyDescent="0.25">
      <c r="A726" s="3" t="s">
        <v>2218</v>
      </c>
      <c r="B726" s="3" t="s">
        <v>332</v>
      </c>
      <c r="C726" s="9">
        <v>31.48</v>
      </c>
      <c r="D726" s="3" t="s">
        <v>515</v>
      </c>
      <c r="E726" s="10">
        <v>45677.632118055553</v>
      </c>
      <c r="F726" s="10">
        <v>45677.660509259258</v>
      </c>
      <c r="G726" s="10">
        <v>45677.662453703713</v>
      </c>
      <c r="H726" s="3" t="s">
        <v>2137</v>
      </c>
      <c r="I726" s="10">
        <v>45678.647372685176</v>
      </c>
      <c r="J726" s="10">
        <v>45678.698703703703</v>
      </c>
      <c r="K726" s="10">
        <v>45678.698703703703</v>
      </c>
      <c r="L726" s="10">
        <v>45678.69976851852</v>
      </c>
      <c r="M726" s="11">
        <f t="shared" si="33"/>
        <v>3.0335648159962147E-2</v>
      </c>
      <c r="N726" s="11">
        <f t="shared" si="34"/>
        <v>1.0373148148064502</v>
      </c>
      <c r="O726" s="10">
        <v>45677.666365740741</v>
      </c>
      <c r="P726" s="11">
        <f t="shared" si="35"/>
        <v>0.98100694443564862</v>
      </c>
      <c r="Q726" s="12" t="s">
        <v>2219</v>
      </c>
    </row>
    <row r="727" spans="1:17" ht="38.25" x14ac:dyDescent="0.25">
      <c r="A727" s="3" t="s">
        <v>2220</v>
      </c>
      <c r="B727" s="3" t="s">
        <v>332</v>
      </c>
      <c r="C727" s="9">
        <v>15.74</v>
      </c>
      <c r="D727" s="3" t="s">
        <v>496</v>
      </c>
      <c r="E727" s="10">
        <v>45677.632118055553</v>
      </c>
      <c r="F727" s="10">
        <v>45677.662453703713</v>
      </c>
      <c r="G727" s="10">
        <v>45677.664375</v>
      </c>
      <c r="H727" s="3" t="s">
        <v>2216</v>
      </c>
      <c r="I727" s="10">
        <v>45679.341516203713</v>
      </c>
      <c r="J727" s="10">
        <v>45679.360856481479</v>
      </c>
      <c r="K727" s="10">
        <v>45679.360856481479</v>
      </c>
      <c r="L727" s="10">
        <v>45679.361504629633</v>
      </c>
      <c r="M727" s="11">
        <f t="shared" si="33"/>
        <v>3.2256944446999114E-2</v>
      </c>
      <c r="N727" s="11">
        <f t="shared" si="34"/>
        <v>1.6971296296323999</v>
      </c>
      <c r="O727" s="10">
        <v>45677.668298611112</v>
      </c>
      <c r="P727" s="11">
        <f t="shared" si="35"/>
        <v>1.6732175926008495</v>
      </c>
      <c r="Q727" s="12" t="s">
        <v>2221</v>
      </c>
    </row>
    <row r="728" spans="1:17" x14ac:dyDescent="0.25">
      <c r="A728" s="3" t="s">
        <v>2222</v>
      </c>
      <c r="B728" s="3" t="s">
        <v>333</v>
      </c>
      <c r="C728" s="9">
        <v>152.30000000000001</v>
      </c>
      <c r="D728" s="3" t="s">
        <v>572</v>
      </c>
      <c r="E728" s="10">
        <v>45677.659131944441</v>
      </c>
      <c r="F728" s="10">
        <v>45677.666701388887</v>
      </c>
      <c r="G728" s="10">
        <v>45677.66814814815</v>
      </c>
      <c r="H728" s="3" t="s">
        <v>2223</v>
      </c>
      <c r="I728" s="10">
        <v>45678.438402777778</v>
      </c>
      <c r="J728" s="10">
        <v>45678.464849537027</v>
      </c>
      <c r="K728" s="10">
        <v>45678.464849537027</v>
      </c>
      <c r="L728" s="10">
        <v>45678.465671296297</v>
      </c>
      <c r="M728" s="11">
        <f t="shared" si="33"/>
        <v>9.0162037085974589E-3</v>
      </c>
      <c r="N728" s="11">
        <f t="shared" si="34"/>
        <v>0.79752314814686542</v>
      </c>
      <c r="O728" s="10">
        <v>45677.670520833337</v>
      </c>
      <c r="P728" s="11">
        <f t="shared" si="35"/>
        <v>0.76788194444088731</v>
      </c>
      <c r="Q728" s="12" t="s">
        <v>2224</v>
      </c>
    </row>
    <row r="729" spans="1:17" x14ac:dyDescent="0.25">
      <c r="A729" s="3" t="s">
        <v>2225</v>
      </c>
      <c r="B729" s="3" t="s">
        <v>333</v>
      </c>
      <c r="C729" s="9">
        <v>77.3</v>
      </c>
      <c r="D729" s="3" t="s">
        <v>500</v>
      </c>
      <c r="E729" s="10">
        <v>45677.659131944441</v>
      </c>
      <c r="F729" s="10"/>
      <c r="G729" s="10"/>
      <c r="H729" s="3"/>
      <c r="I729" s="10"/>
      <c r="J729" s="10"/>
      <c r="K729" s="10"/>
      <c r="L729" s="10"/>
      <c r="M729" s="11" t="str">
        <f t="shared" si="33"/>
        <v/>
      </c>
      <c r="N729" s="11" t="str">
        <f t="shared" si="34"/>
        <v/>
      </c>
      <c r="O729" s="10"/>
      <c r="P729" s="11" t="str">
        <f t="shared" si="35"/>
        <v/>
      </c>
      <c r="Q729" s="12"/>
    </row>
    <row r="730" spans="1:17" x14ac:dyDescent="0.25">
      <c r="A730" s="3" t="s">
        <v>2226</v>
      </c>
      <c r="B730" s="3" t="s">
        <v>334</v>
      </c>
      <c r="C730" s="9">
        <v>110.18</v>
      </c>
      <c r="D730" s="3" t="s">
        <v>500</v>
      </c>
      <c r="E730" s="10">
        <v>45677.660428240742</v>
      </c>
      <c r="F730" s="10"/>
      <c r="G730" s="10"/>
      <c r="H730" s="3"/>
      <c r="I730" s="10"/>
      <c r="J730" s="10"/>
      <c r="K730" s="10"/>
      <c r="L730" s="10"/>
      <c r="M730" s="11" t="str">
        <f t="shared" si="33"/>
        <v/>
      </c>
      <c r="N730" s="11" t="str">
        <f t="shared" si="34"/>
        <v/>
      </c>
      <c r="O730" s="10"/>
      <c r="P730" s="11" t="str">
        <f t="shared" si="35"/>
        <v/>
      </c>
      <c r="Q730" s="12"/>
    </row>
    <row r="731" spans="1:17" x14ac:dyDescent="0.25">
      <c r="A731" s="3" t="s">
        <v>2227</v>
      </c>
      <c r="B731" s="3" t="s">
        <v>335</v>
      </c>
      <c r="C731" s="9">
        <v>325.36000000000013</v>
      </c>
      <c r="D731" s="3" t="s">
        <v>500</v>
      </c>
      <c r="E731" s="10">
        <v>45677.710173611107</v>
      </c>
      <c r="F731" s="10">
        <v>45677.716331018521</v>
      </c>
      <c r="G731" s="10">
        <v>45677.718217592592</v>
      </c>
      <c r="H731" s="3" t="s">
        <v>2228</v>
      </c>
      <c r="I731" s="10">
        <v>45678.615937499999</v>
      </c>
      <c r="J731" s="10">
        <v>45678.672418981478</v>
      </c>
      <c r="K731" s="10">
        <v>45678.672418981478</v>
      </c>
      <c r="L731" s="10">
        <v>45678.673634259263</v>
      </c>
      <c r="M731" s="11">
        <f t="shared" si="33"/>
        <v>8.0439814846613444E-3</v>
      </c>
      <c r="N731" s="11">
        <f t="shared" si="34"/>
        <v>0.95541666667122627</v>
      </c>
      <c r="O731" s="10">
        <v>45677.720613425918</v>
      </c>
      <c r="P731" s="11">
        <f t="shared" si="35"/>
        <v>0.89532407408114523</v>
      </c>
      <c r="Q731" s="12" t="s">
        <v>2229</v>
      </c>
    </row>
    <row r="732" spans="1:17" x14ac:dyDescent="0.25">
      <c r="A732" s="3" t="s">
        <v>2230</v>
      </c>
      <c r="B732" s="3" t="s">
        <v>336</v>
      </c>
      <c r="C732" s="9">
        <v>398.04000000000008</v>
      </c>
      <c r="D732" s="3" t="s">
        <v>500</v>
      </c>
      <c r="E732" s="10">
        <v>45677.877893518518</v>
      </c>
      <c r="F732" s="10">
        <v>45677.884699074071</v>
      </c>
      <c r="G732" s="10">
        <v>45677.887615740743</v>
      </c>
      <c r="H732" s="3" t="s">
        <v>2134</v>
      </c>
      <c r="I732" s="10">
        <v>45678.641886574071</v>
      </c>
      <c r="J732" s="10">
        <v>45678.7109837963</v>
      </c>
      <c r="K732" s="10">
        <v>45678.7109837963</v>
      </c>
      <c r="L732" s="10">
        <v>45678.712407407409</v>
      </c>
      <c r="M732" s="11">
        <f t="shared" si="33"/>
        <v>9.7222222248092294E-3</v>
      </c>
      <c r="N732" s="11">
        <f t="shared" si="34"/>
        <v>0.82479166666598758</v>
      </c>
      <c r="O732" s="10">
        <v>45677.890011574083</v>
      </c>
      <c r="P732" s="11">
        <f t="shared" si="35"/>
        <v>0.75187499998719431</v>
      </c>
      <c r="Q732" s="12" t="s">
        <v>2231</v>
      </c>
    </row>
    <row r="733" spans="1:17" ht="38.25" x14ac:dyDescent="0.25">
      <c r="A733" s="3" t="s">
        <v>2232</v>
      </c>
      <c r="B733" s="3" t="s">
        <v>337</v>
      </c>
      <c r="C733" s="9">
        <v>15.74</v>
      </c>
      <c r="D733" s="3" t="s">
        <v>496</v>
      </c>
      <c r="E733" s="10">
        <v>45678.119456018518</v>
      </c>
      <c r="F733" s="10">
        <v>45678.129560185182</v>
      </c>
      <c r="G733" s="10">
        <v>45678.131469907406</v>
      </c>
      <c r="H733" s="3" t="s">
        <v>2216</v>
      </c>
      <c r="I733" s="10">
        <v>45679.341516203713</v>
      </c>
      <c r="J733" s="10">
        <v>45679.360856481479</v>
      </c>
      <c r="K733" s="10">
        <v>45679.360856481479</v>
      </c>
      <c r="L733" s="10">
        <v>45679.361504629633</v>
      </c>
      <c r="M733" s="11">
        <f t="shared" si="33"/>
        <v>1.2013888888759539E-2</v>
      </c>
      <c r="N733" s="11">
        <f t="shared" si="34"/>
        <v>1.2300347222262644</v>
      </c>
      <c r="O733" s="10">
        <v>45678.135393518518</v>
      </c>
      <c r="P733" s="11">
        <f t="shared" si="35"/>
        <v>1.206122685194714</v>
      </c>
      <c r="Q733" s="12" t="s">
        <v>2233</v>
      </c>
    </row>
    <row r="734" spans="1:17" ht="25.5" x14ac:dyDescent="0.25">
      <c r="A734" s="3" t="s">
        <v>2234</v>
      </c>
      <c r="B734" s="3" t="s">
        <v>337</v>
      </c>
      <c r="C734" s="9">
        <v>40.9</v>
      </c>
      <c r="D734" s="3" t="s">
        <v>488</v>
      </c>
      <c r="E734" s="10">
        <v>45678.119456018518</v>
      </c>
      <c r="F734" s="10">
        <v>45678.131469907406</v>
      </c>
      <c r="G734" s="10">
        <v>45678.133449074077</v>
      </c>
      <c r="H734" s="3" t="s">
        <v>2137</v>
      </c>
      <c r="I734" s="10">
        <v>45678.647372685176</v>
      </c>
      <c r="J734" s="10">
        <v>45678.698703703703</v>
      </c>
      <c r="K734" s="10">
        <v>45678.698703703703</v>
      </c>
      <c r="L734" s="10">
        <v>45678.69976851852</v>
      </c>
      <c r="M734" s="11">
        <f t="shared" si="33"/>
        <v>1.3993055559694767E-2</v>
      </c>
      <c r="N734" s="11">
        <f t="shared" si="34"/>
        <v>0.5663194444423425</v>
      </c>
      <c r="O734" s="10">
        <v>45678.137372685182</v>
      </c>
      <c r="P734" s="11">
        <f t="shared" si="35"/>
        <v>0.50999999999476131</v>
      </c>
      <c r="Q734" s="12" t="s">
        <v>2235</v>
      </c>
    </row>
    <row r="735" spans="1:17" ht="38.25" x14ac:dyDescent="0.25">
      <c r="A735" s="3" t="s">
        <v>2236</v>
      </c>
      <c r="B735" s="3" t="s">
        <v>337</v>
      </c>
      <c r="C735" s="9">
        <v>35.64</v>
      </c>
      <c r="D735" s="3" t="s">
        <v>484</v>
      </c>
      <c r="E735" s="10">
        <v>45678.119456018518</v>
      </c>
      <c r="F735" s="10">
        <v>45678.133449074077</v>
      </c>
      <c r="G735" s="10">
        <v>45678.134652777779</v>
      </c>
      <c r="H735" s="3" t="s">
        <v>2237</v>
      </c>
      <c r="I735" s="10">
        <v>45679.322650462957</v>
      </c>
      <c r="J735" s="10">
        <v>45679.347581018519</v>
      </c>
      <c r="K735" s="10">
        <v>45679.347581018519</v>
      </c>
      <c r="L735" s="10">
        <v>45679.348368055558</v>
      </c>
      <c r="M735" s="11">
        <f t="shared" si="33"/>
        <v>1.5196759261016268E-2</v>
      </c>
      <c r="N735" s="11">
        <f t="shared" si="34"/>
        <v>1.2137152777795563</v>
      </c>
      <c r="O735" s="10">
        <v>45678.137025462973</v>
      </c>
      <c r="P735" s="11">
        <f t="shared" si="35"/>
        <v>1.1856249999837019</v>
      </c>
      <c r="Q735" s="12" t="s">
        <v>2238</v>
      </c>
    </row>
    <row r="736" spans="1:17" ht="25.5" x14ac:dyDescent="0.25">
      <c r="A736" s="3" t="s">
        <v>2239</v>
      </c>
      <c r="B736" s="3" t="s">
        <v>337</v>
      </c>
      <c r="C736" s="9">
        <v>19.899999999999999</v>
      </c>
      <c r="D736" s="3" t="s">
        <v>492</v>
      </c>
      <c r="E736" s="10">
        <v>45678.119456018518</v>
      </c>
      <c r="F736" s="10">
        <v>45678.134652777779</v>
      </c>
      <c r="G736" s="10">
        <v>45678.136608796303</v>
      </c>
      <c r="H736" s="3" t="s">
        <v>2182</v>
      </c>
      <c r="I736" s="10">
        <v>45679.12300925926</v>
      </c>
      <c r="J736" s="10">
        <v>45679.143310185187</v>
      </c>
      <c r="K736" s="10">
        <v>45679.143310185187</v>
      </c>
      <c r="L736" s="10">
        <v>45679.144120370373</v>
      </c>
      <c r="M736" s="11">
        <f t="shared" si="33"/>
        <v>1.715277778566815E-2</v>
      </c>
      <c r="N736" s="11">
        <f t="shared" si="34"/>
        <v>1.0075115740692127</v>
      </c>
      <c r="O736" s="10">
        <v>45678.140532407408</v>
      </c>
      <c r="P736" s="11">
        <f t="shared" si="35"/>
        <v>0.98247685185197042</v>
      </c>
      <c r="Q736" s="12" t="s">
        <v>2240</v>
      </c>
    </row>
    <row r="737" spans="1:17" ht="25.5" x14ac:dyDescent="0.25">
      <c r="A737" s="3" t="s">
        <v>2241</v>
      </c>
      <c r="B737" s="3" t="s">
        <v>337</v>
      </c>
      <c r="C737" s="9">
        <v>203.4</v>
      </c>
      <c r="D737" s="3" t="s">
        <v>488</v>
      </c>
      <c r="E737" s="10">
        <v>45678.119456018518</v>
      </c>
      <c r="F737" s="10">
        <v>45678.136608796303</v>
      </c>
      <c r="G737" s="10">
        <v>45678.138958333337</v>
      </c>
      <c r="H737" s="3" t="s">
        <v>2137</v>
      </c>
      <c r="I737" s="10">
        <v>45678.647372685176</v>
      </c>
      <c r="J737" s="10">
        <v>45678.698703703703</v>
      </c>
      <c r="K737" s="10">
        <v>45678.698703703703</v>
      </c>
      <c r="L737" s="10">
        <v>45678.69976851852</v>
      </c>
      <c r="M737" s="11">
        <f t="shared" si="33"/>
        <v>1.9502314818964805E-2</v>
      </c>
      <c r="N737" s="11">
        <f t="shared" si="34"/>
        <v>0.56081018518307246</v>
      </c>
      <c r="O737" s="10">
        <v>45678.142881944441</v>
      </c>
      <c r="P737" s="11">
        <f t="shared" si="35"/>
        <v>0.50449074073549127</v>
      </c>
      <c r="Q737" s="12" t="s">
        <v>2242</v>
      </c>
    </row>
    <row r="738" spans="1:17" x14ac:dyDescent="0.25">
      <c r="A738" s="3" t="s">
        <v>2243</v>
      </c>
      <c r="B738" s="3" t="s">
        <v>338</v>
      </c>
      <c r="C738" s="9">
        <v>233.08</v>
      </c>
      <c r="D738" s="3" t="s">
        <v>500</v>
      </c>
      <c r="E738" s="10">
        <v>45678.276944444442</v>
      </c>
      <c r="F738" s="10">
        <v>45678.282453703701</v>
      </c>
      <c r="G738" s="10">
        <v>45678.28434027778</v>
      </c>
      <c r="H738" s="3" t="s">
        <v>2244</v>
      </c>
      <c r="I738" s="10">
        <v>45678.879432870373</v>
      </c>
      <c r="J738" s="10">
        <v>45678.919907407413</v>
      </c>
      <c r="K738" s="10">
        <v>45678.919907407413</v>
      </c>
      <c r="L738" s="10">
        <v>45678.920925925922</v>
      </c>
      <c r="M738" s="11">
        <f t="shared" si="33"/>
        <v>7.3958333377959207E-3</v>
      </c>
      <c r="N738" s="11">
        <f t="shared" si="34"/>
        <v>0.63658564814249985</v>
      </c>
      <c r="O738" s="10">
        <v>45678.286712962959</v>
      </c>
      <c r="P738" s="11">
        <f t="shared" si="35"/>
        <v>0.5927199074139935</v>
      </c>
      <c r="Q738" s="12" t="s">
        <v>2245</v>
      </c>
    </row>
    <row r="739" spans="1:17" ht="25.5" x14ac:dyDescent="0.25">
      <c r="A739" s="3" t="s">
        <v>2246</v>
      </c>
      <c r="B739" s="3" t="s">
        <v>339</v>
      </c>
      <c r="C739" s="9">
        <v>19.899999999999999</v>
      </c>
      <c r="D739" s="3" t="s">
        <v>488</v>
      </c>
      <c r="E739" s="10">
        <v>45678.302858796298</v>
      </c>
      <c r="F739" s="10">
        <v>45678.318622685183</v>
      </c>
      <c r="G739" s="10">
        <v>45678.319907407407</v>
      </c>
      <c r="H739" s="3" t="s">
        <v>2247</v>
      </c>
      <c r="I739" s="10">
        <v>45679.445787037039</v>
      </c>
      <c r="J739" s="10">
        <v>45679.463449074072</v>
      </c>
      <c r="K739" s="10">
        <v>45679.463449074072</v>
      </c>
      <c r="L739" s="10">
        <v>45679.464224537027</v>
      </c>
      <c r="M739" s="11">
        <f t="shared" si="33"/>
        <v>1.7048611109203193E-2</v>
      </c>
      <c r="N739" s="11">
        <f t="shared" si="34"/>
        <v>1.1443171296195942</v>
      </c>
      <c r="O739" s="10">
        <v>45678.32230324074</v>
      </c>
      <c r="P739" s="11">
        <f t="shared" si="35"/>
        <v>1.1234837962983875</v>
      </c>
      <c r="Q739" s="12" t="s">
        <v>2248</v>
      </c>
    </row>
    <row r="740" spans="1:17" ht="38.25" x14ac:dyDescent="0.25">
      <c r="A740" s="3" t="s">
        <v>2249</v>
      </c>
      <c r="B740" s="3" t="s">
        <v>339</v>
      </c>
      <c r="C740" s="9">
        <v>19.899999999999999</v>
      </c>
      <c r="D740" s="3" t="s">
        <v>539</v>
      </c>
      <c r="E740" s="10">
        <v>45678.302858796298</v>
      </c>
      <c r="F740" s="10">
        <v>45678.319907407407</v>
      </c>
      <c r="G740" s="10">
        <v>45678.321192129632</v>
      </c>
      <c r="H740" s="3" t="s">
        <v>2174</v>
      </c>
      <c r="I740" s="10">
        <v>45680.67324074074</v>
      </c>
      <c r="J740" s="10">
        <v>45680.700879629629</v>
      </c>
      <c r="K740" s="10">
        <v>45680.700879629629</v>
      </c>
      <c r="L740" s="10">
        <v>45680.701678240737</v>
      </c>
      <c r="M740" s="11">
        <f t="shared" si="33"/>
        <v>1.8333333333430346E-2</v>
      </c>
      <c r="N740" s="11">
        <f t="shared" si="34"/>
        <v>2.3804861111057107</v>
      </c>
      <c r="O740" s="10">
        <v>45678.325092592589</v>
      </c>
      <c r="P740" s="11">
        <f t="shared" si="35"/>
        <v>2.3481481481503579</v>
      </c>
      <c r="Q740" s="12" t="s">
        <v>2250</v>
      </c>
    </row>
    <row r="741" spans="1:17" ht="51" x14ac:dyDescent="0.25">
      <c r="A741" s="3" t="s">
        <v>2251</v>
      </c>
      <c r="B741" s="3" t="s">
        <v>339</v>
      </c>
      <c r="C741" s="9">
        <v>15.74</v>
      </c>
      <c r="D741" s="3" t="s">
        <v>515</v>
      </c>
      <c r="E741" s="10">
        <v>45678.302858796298</v>
      </c>
      <c r="F741" s="10">
        <v>45678.321192129632</v>
      </c>
      <c r="G741" s="10">
        <v>45678.323113425933</v>
      </c>
      <c r="H741" s="3" t="s">
        <v>2252</v>
      </c>
      <c r="I741" s="10">
        <v>45680.453194444453</v>
      </c>
      <c r="J741" s="10">
        <v>45680.47625</v>
      </c>
      <c r="K741" s="10">
        <v>45680.47625</v>
      </c>
      <c r="L741" s="10">
        <v>45680.47693287037</v>
      </c>
      <c r="M741" s="11">
        <f t="shared" si="33"/>
        <v>2.0254629635019228E-2</v>
      </c>
      <c r="N741" s="11">
        <f t="shared" si="34"/>
        <v>2.1538194444365217</v>
      </c>
      <c r="O741" s="10">
        <v>45678.325509259259</v>
      </c>
      <c r="P741" s="11">
        <f t="shared" si="35"/>
        <v>2.127685185194423</v>
      </c>
      <c r="Q741" s="12" t="s">
        <v>2253</v>
      </c>
    </row>
    <row r="742" spans="1:17" x14ac:dyDescent="0.25">
      <c r="A742" s="3" t="s">
        <v>2254</v>
      </c>
      <c r="B742" s="3" t="s">
        <v>339</v>
      </c>
      <c r="C742" s="9">
        <v>116.94</v>
      </c>
      <c r="D742" s="3" t="s">
        <v>506</v>
      </c>
      <c r="E742" s="10">
        <v>45678.302858796298</v>
      </c>
      <c r="F742" s="10">
        <v>45678.323113425933</v>
      </c>
      <c r="G742" s="10">
        <v>45678.325300925928</v>
      </c>
      <c r="H742" s="3" t="s">
        <v>2182</v>
      </c>
      <c r="I742" s="10">
        <v>45679.12300925926</v>
      </c>
      <c r="J742" s="10">
        <v>45679.143310185187</v>
      </c>
      <c r="K742" s="10">
        <v>45679.143310185187</v>
      </c>
      <c r="L742" s="10">
        <v>45679.144120370373</v>
      </c>
      <c r="M742" s="11">
        <f t="shared" si="33"/>
        <v>2.2442129629780538E-2</v>
      </c>
      <c r="N742" s="11">
        <f t="shared" si="34"/>
        <v>0.81881944444467081</v>
      </c>
      <c r="O742" s="10">
        <v>45678.327696759261</v>
      </c>
      <c r="P742" s="11">
        <f t="shared" si="35"/>
        <v>0.79531249999854481</v>
      </c>
      <c r="Q742" s="12" t="s">
        <v>2255</v>
      </c>
    </row>
    <row r="743" spans="1:17" ht="38.25" x14ac:dyDescent="0.25">
      <c r="A743" s="3" t="s">
        <v>2256</v>
      </c>
      <c r="B743" s="3" t="s">
        <v>339</v>
      </c>
      <c r="C743" s="9">
        <v>15.74</v>
      </c>
      <c r="D743" s="3" t="s">
        <v>523</v>
      </c>
      <c r="E743" s="10">
        <v>45678.302858796298</v>
      </c>
      <c r="F743" s="10">
        <v>45678.325300925928</v>
      </c>
      <c r="G743" s="10">
        <v>45678.327025462961</v>
      </c>
      <c r="H743" s="3" t="s">
        <v>2009</v>
      </c>
      <c r="I743" s="10">
        <v>45680.306504629632</v>
      </c>
      <c r="J743" s="10">
        <v>45680.325069444443</v>
      </c>
      <c r="K743" s="10">
        <v>45680.325706018521</v>
      </c>
      <c r="L743" s="10">
        <v>45680.326550925929</v>
      </c>
      <c r="M743" s="11">
        <f t="shared" si="33"/>
        <v>2.4166666662495118E-2</v>
      </c>
      <c r="N743" s="11">
        <f t="shared" si="34"/>
        <v>1.9995254629684496</v>
      </c>
      <c r="O743" s="10">
        <v>45678.330949074072</v>
      </c>
      <c r="P743" s="11">
        <f t="shared" si="35"/>
        <v>1.9755555555602768</v>
      </c>
      <c r="Q743" s="12" t="s">
        <v>2257</v>
      </c>
    </row>
    <row r="744" spans="1:17" x14ac:dyDescent="0.25">
      <c r="A744" s="3" t="s">
        <v>2258</v>
      </c>
      <c r="B744" s="3" t="s">
        <v>339</v>
      </c>
      <c r="C744" s="9">
        <v>27</v>
      </c>
      <c r="D744" s="3" t="s">
        <v>527</v>
      </c>
      <c r="E744" s="10">
        <v>45678.302858796298</v>
      </c>
      <c r="F744" s="10"/>
      <c r="G744" s="10"/>
      <c r="H744" s="3"/>
      <c r="I744" s="10"/>
      <c r="J744" s="10"/>
      <c r="K744" s="10"/>
      <c r="L744" s="10"/>
      <c r="M744" s="11" t="str">
        <f t="shared" si="33"/>
        <v/>
      </c>
      <c r="N744" s="11" t="str">
        <f t="shared" si="34"/>
        <v/>
      </c>
      <c r="O744" s="10"/>
      <c r="P744" s="11" t="str">
        <f t="shared" si="35"/>
        <v/>
      </c>
      <c r="Q744" s="12"/>
    </row>
    <row r="745" spans="1:17" ht="25.5" x14ac:dyDescent="0.25">
      <c r="A745" s="3" t="s">
        <v>2259</v>
      </c>
      <c r="B745" s="3" t="s">
        <v>339</v>
      </c>
      <c r="C745" s="9">
        <v>15.74</v>
      </c>
      <c r="D745" s="3" t="s">
        <v>533</v>
      </c>
      <c r="E745" s="10">
        <v>45678.302858796298</v>
      </c>
      <c r="F745" s="10">
        <v>45678.327025462961</v>
      </c>
      <c r="G745" s="10">
        <v>45678.329050925917</v>
      </c>
      <c r="H745" s="3" t="s">
        <v>2260</v>
      </c>
      <c r="I745" s="10">
        <v>45680.131921296299</v>
      </c>
      <c r="J745" s="10">
        <v>45680.195567129631</v>
      </c>
      <c r="K745" s="10">
        <v>45680.195567129631</v>
      </c>
      <c r="L745" s="10">
        <v>45680.196909722217</v>
      </c>
      <c r="M745" s="11">
        <f t="shared" si="33"/>
        <v>2.6192129618721083E-2</v>
      </c>
      <c r="N745" s="11">
        <f t="shared" si="34"/>
        <v>1.8678587963004247</v>
      </c>
      <c r="O745" s="10">
        <v>45678.331446759257</v>
      </c>
      <c r="P745" s="11">
        <f t="shared" si="35"/>
        <v>1.8004745370417368</v>
      </c>
      <c r="Q745" s="12" t="s">
        <v>2261</v>
      </c>
    </row>
    <row r="746" spans="1:17" ht="38.25" x14ac:dyDescent="0.25">
      <c r="A746" s="3" t="s">
        <v>2262</v>
      </c>
      <c r="B746" s="3" t="s">
        <v>339</v>
      </c>
      <c r="C746" s="9">
        <v>19.899999999999999</v>
      </c>
      <c r="D746" s="3" t="s">
        <v>523</v>
      </c>
      <c r="E746" s="10">
        <v>45678.302858796298</v>
      </c>
      <c r="F746" s="10">
        <v>45678.329050925917</v>
      </c>
      <c r="G746" s="10">
        <v>45678.330787037034</v>
      </c>
      <c r="H746" s="3" t="s">
        <v>2009</v>
      </c>
      <c r="I746" s="10">
        <v>45680.306504629632</v>
      </c>
      <c r="J746" s="10">
        <v>45680.325069444443</v>
      </c>
      <c r="K746" s="10">
        <v>45680.325706018521</v>
      </c>
      <c r="L746" s="10">
        <v>45680.326550925929</v>
      </c>
      <c r="M746" s="11">
        <f t="shared" si="33"/>
        <v>2.7928240735491272E-2</v>
      </c>
      <c r="N746" s="11">
        <f t="shared" si="34"/>
        <v>1.9957638888954534</v>
      </c>
      <c r="O746" s="10">
        <v>45678.334675925929</v>
      </c>
      <c r="P746" s="11">
        <f t="shared" si="35"/>
        <v>1.9718287037030677</v>
      </c>
      <c r="Q746" s="12" t="s">
        <v>2263</v>
      </c>
    </row>
    <row r="747" spans="1:17" x14ac:dyDescent="0.25">
      <c r="A747" s="3" t="s">
        <v>2264</v>
      </c>
      <c r="B747" s="3" t="s">
        <v>339</v>
      </c>
      <c r="C747" s="9">
        <v>117.1</v>
      </c>
      <c r="D747" s="3" t="s">
        <v>519</v>
      </c>
      <c r="E747" s="10">
        <v>45678.302858796298</v>
      </c>
      <c r="F747" s="10">
        <v>45678.330787037034</v>
      </c>
      <c r="G747" s="10">
        <v>45678.332974537043</v>
      </c>
      <c r="H747" s="3" t="s">
        <v>2204</v>
      </c>
      <c r="I747" s="10">
        <v>45679.203449074077</v>
      </c>
      <c r="J747" s="10">
        <v>45679.22378472222</v>
      </c>
      <c r="K747" s="10">
        <v>45679.22378472222</v>
      </c>
      <c r="L747" s="10">
        <v>45679.224594907413</v>
      </c>
      <c r="M747" s="11">
        <f t="shared" si="33"/>
        <v>3.0115740744804498E-2</v>
      </c>
      <c r="N747" s="11">
        <f t="shared" si="34"/>
        <v>0.89162037037021946</v>
      </c>
      <c r="O747" s="10">
        <v>45678.335370370369</v>
      </c>
      <c r="P747" s="11">
        <f t="shared" si="35"/>
        <v>0.86807870370830642</v>
      </c>
      <c r="Q747" s="12" t="s">
        <v>2265</v>
      </c>
    </row>
    <row r="748" spans="1:17" x14ac:dyDescent="0.25">
      <c r="A748" s="3" t="s">
        <v>2266</v>
      </c>
      <c r="B748" s="3" t="s">
        <v>339</v>
      </c>
      <c r="C748" s="9">
        <v>27</v>
      </c>
      <c r="D748" s="3" t="s">
        <v>527</v>
      </c>
      <c r="E748" s="10">
        <v>45678.302858796298</v>
      </c>
      <c r="F748" s="10"/>
      <c r="G748" s="10"/>
      <c r="H748" s="3"/>
      <c r="I748" s="10"/>
      <c r="J748" s="10"/>
      <c r="K748" s="10"/>
      <c r="L748" s="10"/>
      <c r="M748" s="11" t="str">
        <f t="shared" si="33"/>
        <v/>
      </c>
      <c r="N748" s="11" t="str">
        <f t="shared" si="34"/>
        <v/>
      </c>
      <c r="O748" s="10"/>
      <c r="P748" s="11" t="str">
        <f t="shared" si="35"/>
        <v/>
      </c>
      <c r="Q748" s="12"/>
    </row>
    <row r="749" spans="1:17" x14ac:dyDescent="0.25">
      <c r="A749" s="3" t="s">
        <v>2267</v>
      </c>
      <c r="B749" s="3" t="s">
        <v>340</v>
      </c>
      <c r="C749" s="9">
        <v>381.56000000000012</v>
      </c>
      <c r="D749" s="3" t="s">
        <v>500</v>
      </c>
      <c r="E749" s="10">
        <v>45678.307997685188</v>
      </c>
      <c r="F749" s="10"/>
      <c r="G749" s="10"/>
      <c r="H749" s="3"/>
      <c r="I749" s="10"/>
      <c r="J749" s="10"/>
      <c r="K749" s="10"/>
      <c r="L749" s="10"/>
      <c r="M749" s="11" t="str">
        <f t="shared" si="33"/>
        <v/>
      </c>
      <c r="N749" s="11" t="str">
        <f t="shared" si="34"/>
        <v/>
      </c>
      <c r="O749" s="10"/>
      <c r="P749" s="11" t="str">
        <f t="shared" si="35"/>
        <v/>
      </c>
      <c r="Q749" s="12"/>
    </row>
    <row r="750" spans="1:17" x14ac:dyDescent="0.25">
      <c r="A750" s="3" t="s">
        <v>2268</v>
      </c>
      <c r="B750" s="3" t="s">
        <v>341</v>
      </c>
      <c r="C750" s="9">
        <v>339.1</v>
      </c>
      <c r="D750" s="3" t="s">
        <v>500</v>
      </c>
      <c r="E750" s="10">
        <v>45678.31585648148</v>
      </c>
      <c r="F750" s="10">
        <v>45678.33384259259</v>
      </c>
      <c r="G750" s="10">
        <v>45678.336400462962</v>
      </c>
      <c r="H750" s="3" t="s">
        <v>2269</v>
      </c>
      <c r="I750" s="10">
        <v>45679.276956018519</v>
      </c>
      <c r="J750" s="10">
        <v>45679.335833333331</v>
      </c>
      <c r="K750" s="10">
        <v>45679.335833333331</v>
      </c>
      <c r="L750" s="10">
        <v>45679.337164351848</v>
      </c>
      <c r="M750" s="11">
        <f t="shared" si="33"/>
        <v>2.0543981481750961E-2</v>
      </c>
      <c r="N750" s="11">
        <f t="shared" si="34"/>
        <v>1.0007638888855581</v>
      </c>
      <c r="O750" s="10">
        <v>45678.338796296302</v>
      </c>
      <c r="P750" s="11">
        <f t="shared" si="35"/>
        <v>0.93815972221636912</v>
      </c>
      <c r="Q750" s="12" t="s">
        <v>2270</v>
      </c>
    </row>
    <row r="751" spans="1:17" ht="25.5" x14ac:dyDescent="0.25">
      <c r="A751" s="3" t="s">
        <v>2271</v>
      </c>
      <c r="B751" s="3" t="s">
        <v>342</v>
      </c>
      <c r="C751" s="9">
        <v>19.899999999999999</v>
      </c>
      <c r="D751" s="3" t="s">
        <v>539</v>
      </c>
      <c r="E751" s="10">
        <v>45678.368298611109</v>
      </c>
      <c r="F751" s="10">
        <v>45678.387152777781</v>
      </c>
      <c r="G751" s="10">
        <v>45678.388437499998</v>
      </c>
      <c r="H751" s="3" t="s">
        <v>2174</v>
      </c>
      <c r="I751" s="10">
        <v>45680.67324074074</v>
      </c>
      <c r="J751" s="10">
        <v>45680.700879629629</v>
      </c>
      <c r="K751" s="10">
        <v>45680.700879629629</v>
      </c>
      <c r="L751" s="10">
        <v>45680.701678240737</v>
      </c>
      <c r="M751" s="11">
        <f t="shared" si="33"/>
        <v>2.0138888889050577E-2</v>
      </c>
      <c r="N751" s="11">
        <f t="shared" si="34"/>
        <v>2.3132407407392748</v>
      </c>
      <c r="O751" s="10">
        <v>45678.392361111109</v>
      </c>
      <c r="P751" s="11">
        <f t="shared" si="35"/>
        <v>2.2808796296303626</v>
      </c>
      <c r="Q751" s="12" t="s">
        <v>2272</v>
      </c>
    </row>
    <row r="752" spans="1:17" ht="25.5" x14ac:dyDescent="0.25">
      <c r="A752" s="3" t="s">
        <v>2273</v>
      </c>
      <c r="B752" s="3" t="s">
        <v>342</v>
      </c>
      <c r="C752" s="9">
        <v>70.459999999999994</v>
      </c>
      <c r="D752" s="3" t="s">
        <v>506</v>
      </c>
      <c r="E752" s="10">
        <v>45678.368298611109</v>
      </c>
      <c r="F752" s="10">
        <v>45678.388437499998</v>
      </c>
      <c r="G752" s="10">
        <v>45678.389722222222</v>
      </c>
      <c r="H752" s="3" t="s">
        <v>2237</v>
      </c>
      <c r="I752" s="10">
        <v>45679.322650462957</v>
      </c>
      <c r="J752" s="10">
        <v>45679.347581018519</v>
      </c>
      <c r="K752" s="10">
        <v>45679.347581018519</v>
      </c>
      <c r="L752" s="10">
        <v>45679.348368055558</v>
      </c>
      <c r="M752" s="11">
        <f t="shared" si="33"/>
        <v>2.142361111327773E-2</v>
      </c>
      <c r="N752" s="11">
        <f t="shared" si="34"/>
        <v>0.95864583333604969</v>
      </c>
      <c r="O752" s="10">
        <v>45678.393645833326</v>
      </c>
      <c r="P752" s="11">
        <f t="shared" si="35"/>
        <v>0.92900462963007158</v>
      </c>
      <c r="Q752" s="12" t="s">
        <v>2274</v>
      </c>
    </row>
    <row r="753" spans="1:17" ht="25.5" x14ac:dyDescent="0.25">
      <c r="A753" s="3" t="s">
        <v>2275</v>
      </c>
      <c r="B753" s="3" t="s">
        <v>342</v>
      </c>
      <c r="C753" s="9">
        <v>35.64</v>
      </c>
      <c r="D753" s="3" t="s">
        <v>484</v>
      </c>
      <c r="E753" s="10">
        <v>45678.368298611109</v>
      </c>
      <c r="F753" s="10">
        <v>45678.389722222222</v>
      </c>
      <c r="G753" s="10">
        <v>45678.3909375</v>
      </c>
      <c r="H753" s="3" t="s">
        <v>2237</v>
      </c>
      <c r="I753" s="10">
        <v>45679.322650462957</v>
      </c>
      <c r="J753" s="10">
        <v>45679.347581018519</v>
      </c>
      <c r="K753" s="10">
        <v>45679.347581018519</v>
      </c>
      <c r="L753" s="10">
        <v>45679.348368055558</v>
      </c>
      <c r="M753" s="11">
        <f t="shared" si="33"/>
        <v>2.2638888891378883E-2</v>
      </c>
      <c r="N753" s="11">
        <f t="shared" si="34"/>
        <v>0.95743055555794854</v>
      </c>
      <c r="O753" s="10">
        <v>45678.394826388889</v>
      </c>
      <c r="P753" s="11">
        <f t="shared" si="35"/>
        <v>0.92782407406775746</v>
      </c>
      <c r="Q753" s="12" t="s">
        <v>2276</v>
      </c>
    </row>
    <row r="754" spans="1:17" ht="25.5" x14ac:dyDescent="0.25">
      <c r="A754" s="3" t="s">
        <v>2277</v>
      </c>
      <c r="B754" s="3" t="s">
        <v>342</v>
      </c>
      <c r="C754" s="9">
        <v>90.4</v>
      </c>
      <c r="D754" s="3" t="s">
        <v>519</v>
      </c>
      <c r="E754" s="10">
        <v>45678.368298611109</v>
      </c>
      <c r="F754" s="10">
        <v>45678.3909375</v>
      </c>
      <c r="G754" s="10">
        <v>45678.393020833333</v>
      </c>
      <c r="H754" s="3" t="s">
        <v>2216</v>
      </c>
      <c r="I754" s="10">
        <v>45679.341516203713</v>
      </c>
      <c r="J754" s="10">
        <v>45679.360856481479</v>
      </c>
      <c r="K754" s="10">
        <v>45679.360856481479</v>
      </c>
      <c r="L754" s="10">
        <v>45679.361504629633</v>
      </c>
      <c r="M754" s="11">
        <f t="shared" si="33"/>
        <v>2.4722222224227153E-2</v>
      </c>
      <c r="N754" s="11">
        <f t="shared" si="34"/>
        <v>0.96848379629955161</v>
      </c>
      <c r="O754" s="10">
        <v>45678.395173611112</v>
      </c>
      <c r="P754" s="11">
        <f t="shared" si="35"/>
        <v>0.94634259260055842</v>
      </c>
      <c r="Q754" s="12" t="s">
        <v>2278</v>
      </c>
    </row>
    <row r="755" spans="1:17" x14ac:dyDescent="0.25">
      <c r="A755" s="3" t="s">
        <v>2279</v>
      </c>
      <c r="B755" s="3" t="s">
        <v>342</v>
      </c>
      <c r="C755" s="9">
        <v>46.48</v>
      </c>
      <c r="D755" s="3" t="s">
        <v>506</v>
      </c>
      <c r="E755" s="10">
        <v>45678.368298611109</v>
      </c>
      <c r="F755" s="10"/>
      <c r="G755" s="10"/>
      <c r="H755" s="3"/>
      <c r="I755" s="10"/>
      <c r="J755" s="10"/>
      <c r="K755" s="10"/>
      <c r="L755" s="10"/>
      <c r="M755" s="11" t="str">
        <f t="shared" si="33"/>
        <v/>
      </c>
      <c r="N755" s="11" t="str">
        <f t="shared" si="34"/>
        <v/>
      </c>
      <c r="O755" s="10"/>
      <c r="P755" s="11" t="str">
        <f t="shared" si="35"/>
        <v/>
      </c>
      <c r="Q755" s="12"/>
    </row>
    <row r="756" spans="1:17" x14ac:dyDescent="0.25">
      <c r="A756" s="3" t="s">
        <v>2280</v>
      </c>
      <c r="B756" s="3" t="s">
        <v>342</v>
      </c>
      <c r="C756" s="9">
        <v>108</v>
      </c>
      <c r="D756" s="3" t="s">
        <v>527</v>
      </c>
      <c r="E756" s="10">
        <v>45678.368298611109</v>
      </c>
      <c r="F756" s="10">
        <v>45678.393020833333</v>
      </c>
      <c r="G756" s="10">
        <v>45678.394953703697</v>
      </c>
      <c r="H756" s="3" t="s">
        <v>2281</v>
      </c>
      <c r="I756" s="10">
        <v>45679.324895833342</v>
      </c>
      <c r="J756" s="10">
        <v>45679.343645833331</v>
      </c>
      <c r="K756" s="10">
        <v>45679.343645833331</v>
      </c>
      <c r="L756" s="10">
        <v>45679.344409722216</v>
      </c>
      <c r="M756" s="11">
        <f t="shared" si="33"/>
        <v>2.6655092588043772E-2</v>
      </c>
      <c r="N756" s="11">
        <f t="shared" si="34"/>
        <v>0.94945601851941319</v>
      </c>
      <c r="O756" s="10">
        <v>45678.397349537037</v>
      </c>
      <c r="P756" s="11">
        <f t="shared" si="35"/>
        <v>0.92754629630508134</v>
      </c>
      <c r="Q756" s="12" t="s">
        <v>2282</v>
      </c>
    </row>
    <row r="757" spans="1:17" ht="25.5" x14ac:dyDescent="0.25">
      <c r="A757" s="3" t="s">
        <v>2283</v>
      </c>
      <c r="B757" s="3" t="s">
        <v>342</v>
      </c>
      <c r="C757" s="9">
        <v>61.9</v>
      </c>
      <c r="D757" s="3" t="s">
        <v>488</v>
      </c>
      <c r="E757" s="10">
        <v>45678.368298611109</v>
      </c>
      <c r="F757" s="10">
        <v>45678.394953703697</v>
      </c>
      <c r="G757" s="10">
        <v>45678.39634259259</v>
      </c>
      <c r="H757" s="3" t="s">
        <v>2247</v>
      </c>
      <c r="I757" s="10">
        <v>45679.445787037039</v>
      </c>
      <c r="J757" s="10">
        <v>45679.463449074072</v>
      </c>
      <c r="K757" s="10">
        <v>45679.463449074072</v>
      </c>
      <c r="L757" s="10">
        <v>45679.464224537027</v>
      </c>
      <c r="M757" s="11">
        <f t="shared" si="33"/>
        <v>2.8043981481459923E-2</v>
      </c>
      <c r="N757" s="11">
        <f t="shared" si="34"/>
        <v>1.0678819444365217</v>
      </c>
      <c r="O757" s="10">
        <v>45678.399895833332</v>
      </c>
      <c r="P757" s="11">
        <f t="shared" si="35"/>
        <v>1.0458912037065602</v>
      </c>
      <c r="Q757" s="12" t="s">
        <v>2284</v>
      </c>
    </row>
    <row r="758" spans="1:17" ht="25.5" x14ac:dyDescent="0.25">
      <c r="A758" s="3" t="s">
        <v>2285</v>
      </c>
      <c r="B758" s="3" t="s">
        <v>342</v>
      </c>
      <c r="C758" s="9">
        <v>21</v>
      </c>
      <c r="D758" s="3" t="s">
        <v>519</v>
      </c>
      <c r="E758" s="10">
        <v>45678.368298611109</v>
      </c>
      <c r="F758" s="10">
        <v>45678.39634259259</v>
      </c>
      <c r="G758" s="10">
        <v>45678.398275462961</v>
      </c>
      <c r="H758" s="3" t="s">
        <v>2216</v>
      </c>
      <c r="I758" s="10">
        <v>45679.341516203713</v>
      </c>
      <c r="J758" s="10">
        <v>45679.360856481479</v>
      </c>
      <c r="K758" s="10">
        <v>45679.360856481479</v>
      </c>
      <c r="L758" s="10">
        <v>45679.361504629633</v>
      </c>
      <c r="M758" s="11">
        <f t="shared" si="33"/>
        <v>2.99768518525525E-2</v>
      </c>
      <c r="N758" s="11">
        <f t="shared" si="34"/>
        <v>0.96322916667122627</v>
      </c>
      <c r="O758" s="10">
        <v>45678.402199074073</v>
      </c>
      <c r="P758" s="11">
        <f t="shared" si="35"/>
        <v>0.93931712963967584</v>
      </c>
      <c r="Q758" s="12" t="s">
        <v>2286</v>
      </c>
    </row>
    <row r="759" spans="1:17" ht="51" x14ac:dyDescent="0.25">
      <c r="A759" s="3" t="s">
        <v>2287</v>
      </c>
      <c r="B759" s="3" t="s">
        <v>342</v>
      </c>
      <c r="C759" s="9">
        <v>15.74</v>
      </c>
      <c r="D759" s="3" t="s">
        <v>515</v>
      </c>
      <c r="E759" s="10">
        <v>45678.368298611109</v>
      </c>
      <c r="F759" s="10">
        <v>45678.398275462961</v>
      </c>
      <c r="G759" s="10">
        <v>45678.400185185194</v>
      </c>
      <c r="H759" s="3" t="s">
        <v>2252</v>
      </c>
      <c r="I759" s="10">
        <v>45680.453194444453</v>
      </c>
      <c r="J759" s="10">
        <v>45680.47625</v>
      </c>
      <c r="K759" s="10">
        <v>45680.47625</v>
      </c>
      <c r="L759" s="10">
        <v>45680.47693287037</v>
      </c>
      <c r="M759" s="11">
        <f t="shared" si="33"/>
        <v>3.1886574084637687E-2</v>
      </c>
      <c r="N759" s="11">
        <f t="shared" si="34"/>
        <v>2.0767476851760875</v>
      </c>
      <c r="O759" s="10">
        <v>45678.404074074067</v>
      </c>
      <c r="P759" s="11">
        <f t="shared" si="35"/>
        <v>2.0491203703859355</v>
      </c>
      <c r="Q759" s="12" t="s">
        <v>2288</v>
      </c>
    </row>
    <row r="760" spans="1:17" ht="25.5" x14ac:dyDescent="0.25">
      <c r="A760" s="3" t="s">
        <v>2289</v>
      </c>
      <c r="B760" s="3" t="s">
        <v>343</v>
      </c>
      <c r="C760" s="9">
        <v>77.3</v>
      </c>
      <c r="D760" s="3" t="s">
        <v>500</v>
      </c>
      <c r="E760" s="10">
        <v>45678.377430555563</v>
      </c>
      <c r="F760" s="10">
        <v>45678.383032407408</v>
      </c>
      <c r="G760" s="10">
        <v>45678.385104166657</v>
      </c>
      <c r="H760" s="3" t="s">
        <v>2290</v>
      </c>
      <c r="I760" s="10">
        <v>45679.362951388888</v>
      </c>
      <c r="J760" s="10">
        <v>45679.44189814815</v>
      </c>
      <c r="K760" s="10">
        <v>45679.44189814815</v>
      </c>
      <c r="L760" s="10">
        <v>45679.443506944437</v>
      </c>
      <c r="M760" s="11">
        <f t="shared" si="33"/>
        <v>7.6736110931960866E-3</v>
      </c>
      <c r="N760" s="11">
        <f t="shared" si="34"/>
        <v>1.0584027777804295</v>
      </c>
      <c r="O760" s="10">
        <v>45678.387499999997</v>
      </c>
      <c r="P760" s="11">
        <f t="shared" si="35"/>
        <v>0.97545138889108784</v>
      </c>
      <c r="Q760" s="12" t="s">
        <v>2291</v>
      </c>
    </row>
    <row r="761" spans="1:17" ht="25.5" x14ac:dyDescent="0.25">
      <c r="A761" s="3" t="s">
        <v>2292</v>
      </c>
      <c r="B761" s="3" t="s">
        <v>343</v>
      </c>
      <c r="C761" s="9">
        <v>37.5</v>
      </c>
      <c r="D761" s="3" t="s">
        <v>572</v>
      </c>
      <c r="E761" s="10">
        <v>45678.377430555563</v>
      </c>
      <c r="F761" s="10">
        <v>45678.385104166657</v>
      </c>
      <c r="G761" s="10">
        <v>45678.386284722219</v>
      </c>
      <c r="H761" s="3" t="s">
        <v>2237</v>
      </c>
      <c r="I761" s="10">
        <v>45679.322650462957</v>
      </c>
      <c r="J761" s="10">
        <v>45679.347581018519</v>
      </c>
      <c r="K761" s="10">
        <v>45679.347581018519</v>
      </c>
      <c r="L761" s="10">
        <v>45679.348368055558</v>
      </c>
      <c r="M761" s="11">
        <f t="shared" si="33"/>
        <v>8.8541666555101983E-3</v>
      </c>
      <c r="N761" s="11">
        <f t="shared" si="34"/>
        <v>0.96208333333925111</v>
      </c>
      <c r="O761" s="10">
        <v>45678.388680555552</v>
      </c>
      <c r="P761" s="11">
        <f t="shared" si="35"/>
        <v>0.93396990740438923</v>
      </c>
      <c r="Q761" s="12" t="s">
        <v>2293</v>
      </c>
    </row>
    <row r="762" spans="1:17" ht="25.5" x14ac:dyDescent="0.25">
      <c r="A762" s="3" t="s">
        <v>2294</v>
      </c>
      <c r="B762" s="3" t="s">
        <v>344</v>
      </c>
      <c r="C762" s="9">
        <v>286.3</v>
      </c>
      <c r="D762" s="3" t="s">
        <v>500</v>
      </c>
      <c r="E762" s="10">
        <v>45678.421284722222</v>
      </c>
      <c r="F762" s="10">
        <v>45678.430474537039</v>
      </c>
      <c r="G762" s="10">
        <v>45678.433055555557</v>
      </c>
      <c r="H762" s="3" t="s">
        <v>2290</v>
      </c>
      <c r="I762" s="10">
        <v>45679.362951388888</v>
      </c>
      <c r="J762" s="10">
        <v>45679.44189814815</v>
      </c>
      <c r="K762" s="10">
        <v>45679.44189814815</v>
      </c>
      <c r="L762" s="10">
        <v>45679.443506944437</v>
      </c>
      <c r="M762" s="11">
        <f t="shared" si="33"/>
        <v>1.1770833334594499E-2</v>
      </c>
      <c r="N762" s="11">
        <f t="shared" si="34"/>
        <v>1.0104513888800284</v>
      </c>
      <c r="O762" s="10">
        <v>45678.436944444453</v>
      </c>
      <c r="P762" s="11">
        <f t="shared" si="35"/>
        <v>0.92600694443535758</v>
      </c>
      <c r="Q762" s="12" t="s">
        <v>2295</v>
      </c>
    </row>
    <row r="763" spans="1:17" ht="25.5" x14ac:dyDescent="0.25">
      <c r="A763" s="3" t="s">
        <v>2296</v>
      </c>
      <c r="B763" s="3" t="s">
        <v>344</v>
      </c>
      <c r="C763" s="9">
        <v>40.9</v>
      </c>
      <c r="D763" s="3" t="s">
        <v>572</v>
      </c>
      <c r="E763" s="10">
        <v>45678.421284722222</v>
      </c>
      <c r="F763" s="10">
        <v>45678.433055555557</v>
      </c>
      <c r="G763" s="10">
        <v>45678.434270833342</v>
      </c>
      <c r="H763" s="3" t="s">
        <v>2297</v>
      </c>
      <c r="I763" s="10">
        <v>45679.549930555557</v>
      </c>
      <c r="J763" s="10">
        <v>45679.580023148148</v>
      </c>
      <c r="K763" s="10">
        <v>45679.580023148148</v>
      </c>
      <c r="L763" s="10">
        <v>45679.580891203703</v>
      </c>
      <c r="M763" s="11">
        <f t="shared" si="33"/>
        <v>1.2986111119971611E-2</v>
      </c>
      <c r="N763" s="11">
        <f t="shared" si="34"/>
        <v>1.1466203703603242</v>
      </c>
      <c r="O763" s="10">
        <v>45678.436666666668</v>
      </c>
      <c r="P763" s="11">
        <f t="shared" si="35"/>
        <v>1.1132638888884685</v>
      </c>
      <c r="Q763" s="12" t="s">
        <v>2298</v>
      </c>
    </row>
    <row r="764" spans="1:17" ht="25.5" x14ac:dyDescent="0.25">
      <c r="A764" s="3" t="s">
        <v>2299</v>
      </c>
      <c r="B764" s="3" t="s">
        <v>344</v>
      </c>
      <c r="C764" s="9">
        <v>91.179999999999993</v>
      </c>
      <c r="D764" s="3" t="s">
        <v>500</v>
      </c>
      <c r="E764" s="10">
        <v>45678.421284722222</v>
      </c>
      <c r="F764" s="10">
        <v>45678.434270833342</v>
      </c>
      <c r="G764" s="10">
        <v>45678.436400462961</v>
      </c>
      <c r="H764" s="3" t="s">
        <v>2290</v>
      </c>
      <c r="I764" s="10">
        <v>45679.362951388888</v>
      </c>
      <c r="J764" s="10">
        <v>45679.44189814815</v>
      </c>
      <c r="K764" s="10">
        <v>45679.44189814815</v>
      </c>
      <c r="L764" s="10">
        <v>45679.443506944437</v>
      </c>
      <c r="M764" s="11">
        <f t="shared" si="33"/>
        <v>1.5115740738110617E-2</v>
      </c>
      <c r="N764" s="11">
        <f t="shared" si="34"/>
        <v>1.0071064814765123</v>
      </c>
      <c r="O764" s="10">
        <v>45678.440324074072</v>
      </c>
      <c r="P764" s="11">
        <f t="shared" si="35"/>
        <v>0.92262731481605442</v>
      </c>
      <c r="Q764" s="12" t="s">
        <v>2300</v>
      </c>
    </row>
    <row r="765" spans="1:17" x14ac:dyDescent="0.25">
      <c r="A765" s="3" t="s">
        <v>2301</v>
      </c>
      <c r="B765" s="3" t="s">
        <v>345</v>
      </c>
      <c r="C765" s="9">
        <v>398.04000000000008</v>
      </c>
      <c r="D765" s="3" t="s">
        <v>500</v>
      </c>
      <c r="E765" s="10">
        <v>45678.604641203703</v>
      </c>
      <c r="F765" s="10">
        <v>45678.611354166656</v>
      </c>
      <c r="G765" s="10">
        <v>45678.614201388889</v>
      </c>
      <c r="H765" s="3" t="s">
        <v>2302</v>
      </c>
      <c r="I765" s="10">
        <v>45679.420636574083</v>
      </c>
      <c r="J765" s="10">
        <v>45679.489745370367</v>
      </c>
      <c r="K765" s="10">
        <v>45679.489745370367</v>
      </c>
      <c r="L765" s="10">
        <v>45679.491215277783</v>
      </c>
      <c r="M765" s="11">
        <f t="shared" si="33"/>
        <v>9.560185186273884E-3</v>
      </c>
      <c r="N765" s="11">
        <f t="shared" si="34"/>
        <v>0.87701388889399823</v>
      </c>
      <c r="O765" s="10">
        <v>45678.616377314807</v>
      </c>
      <c r="P765" s="11">
        <f t="shared" si="35"/>
        <v>0.80425925927556818</v>
      </c>
      <c r="Q765" s="12" t="s">
        <v>2303</v>
      </c>
    </row>
    <row r="766" spans="1:17" ht="25.5" x14ac:dyDescent="0.25">
      <c r="A766" s="3" t="s">
        <v>2304</v>
      </c>
      <c r="B766" s="3" t="s">
        <v>346</v>
      </c>
      <c r="C766" s="9">
        <v>19.899999999999999</v>
      </c>
      <c r="D766" s="3" t="s">
        <v>488</v>
      </c>
      <c r="E766" s="10">
        <v>45678.611134259263</v>
      </c>
      <c r="F766" s="10">
        <v>45678.626701388886</v>
      </c>
      <c r="G766" s="10">
        <v>45678.627962962957</v>
      </c>
      <c r="H766" s="3" t="s">
        <v>2247</v>
      </c>
      <c r="I766" s="10">
        <v>45679.445787037039</v>
      </c>
      <c r="J766" s="10">
        <v>45679.463449074072</v>
      </c>
      <c r="K766" s="10">
        <v>45679.463449074072</v>
      </c>
      <c r="L766" s="10">
        <v>45679.464224537027</v>
      </c>
      <c r="M766" s="11">
        <f t="shared" si="33"/>
        <v>1.6828703694045544E-2</v>
      </c>
      <c r="N766" s="11">
        <f t="shared" si="34"/>
        <v>0.83626157406979473</v>
      </c>
      <c r="O766" s="10">
        <v>45678.631504629629</v>
      </c>
      <c r="P766" s="11">
        <f t="shared" si="35"/>
        <v>0.81428240740933688</v>
      </c>
      <c r="Q766" s="12" t="s">
        <v>2305</v>
      </c>
    </row>
    <row r="767" spans="1:17" ht="38.25" x14ac:dyDescent="0.25">
      <c r="A767" s="3" t="s">
        <v>2306</v>
      </c>
      <c r="B767" s="3" t="s">
        <v>346</v>
      </c>
      <c r="C767" s="9">
        <v>19.899999999999999</v>
      </c>
      <c r="D767" s="3" t="s">
        <v>563</v>
      </c>
      <c r="E767" s="10">
        <v>45678.611134259263</v>
      </c>
      <c r="F767" s="10">
        <v>45678.627962962957</v>
      </c>
      <c r="G767" s="10">
        <v>45678.629444444443</v>
      </c>
      <c r="H767" s="3" t="s">
        <v>2014</v>
      </c>
      <c r="I767" s="10">
        <v>45680.650775462957</v>
      </c>
      <c r="J767" s="10">
        <v>45680.67150462963</v>
      </c>
      <c r="K767" s="10">
        <v>45680.67150462963</v>
      </c>
      <c r="L767" s="10">
        <v>45680.672326388893</v>
      </c>
      <c r="M767" s="11">
        <f t="shared" si="33"/>
        <v>1.8310185179871041E-2</v>
      </c>
      <c r="N767" s="11">
        <f t="shared" si="34"/>
        <v>2.0428819444496185</v>
      </c>
      <c r="O767" s="10">
        <v>45678.633344907408</v>
      </c>
      <c r="P767" s="11">
        <f t="shared" si="35"/>
        <v>2.0174305555483443</v>
      </c>
      <c r="Q767" s="12" t="s">
        <v>2307</v>
      </c>
    </row>
    <row r="768" spans="1:17" ht="25.5" x14ac:dyDescent="0.25">
      <c r="A768" s="3" t="s">
        <v>2308</v>
      </c>
      <c r="B768" s="3" t="s">
        <v>346</v>
      </c>
      <c r="C768" s="9">
        <v>15.74</v>
      </c>
      <c r="D768" s="3" t="s">
        <v>654</v>
      </c>
      <c r="E768" s="10">
        <v>45678.611134259263</v>
      </c>
      <c r="F768" s="10">
        <v>45678.629444444443</v>
      </c>
      <c r="G768" s="10">
        <v>45678.631168981483</v>
      </c>
      <c r="H768" s="3" t="s">
        <v>2309</v>
      </c>
      <c r="I768" s="10">
        <v>45679.642129629632</v>
      </c>
      <c r="J768" s="10">
        <v>45679.663611111107</v>
      </c>
      <c r="K768" s="10">
        <v>45679.663611111107</v>
      </c>
      <c r="L768" s="10">
        <v>45679.664444444446</v>
      </c>
      <c r="M768" s="11">
        <f t="shared" si="33"/>
        <v>2.0034722219861578E-2</v>
      </c>
      <c r="N768" s="11">
        <f t="shared" si="34"/>
        <v>1.0332754629635019</v>
      </c>
      <c r="O768" s="10">
        <v>45678.633530092593</v>
      </c>
      <c r="P768" s="11">
        <f t="shared" si="35"/>
        <v>1.0085995370391174</v>
      </c>
      <c r="Q768" s="12" t="s">
        <v>2310</v>
      </c>
    </row>
    <row r="769" spans="1:17" x14ac:dyDescent="0.25">
      <c r="A769" s="3" t="s">
        <v>2311</v>
      </c>
      <c r="B769" s="3" t="s">
        <v>346</v>
      </c>
      <c r="C769" s="9">
        <v>173.3</v>
      </c>
      <c r="D769" s="3" t="s">
        <v>519</v>
      </c>
      <c r="E769" s="10">
        <v>45678.611134259263</v>
      </c>
      <c r="F769" s="10">
        <v>45678.631168981483</v>
      </c>
      <c r="G769" s="10">
        <v>45678.632662037038</v>
      </c>
      <c r="H769" s="3" t="s">
        <v>2297</v>
      </c>
      <c r="I769" s="10">
        <v>45679.549930555557</v>
      </c>
      <c r="J769" s="10">
        <v>45679.580023148148</v>
      </c>
      <c r="K769" s="10">
        <v>45679.580023148148</v>
      </c>
      <c r="L769" s="10">
        <v>45679.580891203703</v>
      </c>
      <c r="M769" s="11">
        <f t="shared" si="33"/>
        <v>2.1527777775190771E-2</v>
      </c>
      <c r="N769" s="11">
        <f t="shared" si="34"/>
        <v>0.94822916666453239</v>
      </c>
      <c r="O769" s="10">
        <v>45678.634826388887</v>
      </c>
      <c r="P769" s="11">
        <f t="shared" si="35"/>
        <v>0.91510416667006211</v>
      </c>
      <c r="Q769" s="12" t="s">
        <v>2312</v>
      </c>
    </row>
    <row r="770" spans="1:17" ht="25.5" x14ac:dyDescent="0.25">
      <c r="A770" s="3" t="s">
        <v>2313</v>
      </c>
      <c r="B770" s="3" t="s">
        <v>346</v>
      </c>
      <c r="C770" s="9">
        <v>108</v>
      </c>
      <c r="D770" s="3" t="s">
        <v>527</v>
      </c>
      <c r="E770" s="10">
        <v>45678.611134259263</v>
      </c>
      <c r="F770" s="10">
        <v>45678.632662037038</v>
      </c>
      <c r="G770" s="10">
        <v>45678.634606481479</v>
      </c>
      <c r="H770" s="3" t="s">
        <v>2309</v>
      </c>
      <c r="I770" s="10">
        <v>45679.642129629632</v>
      </c>
      <c r="J770" s="10">
        <v>45679.663611111107</v>
      </c>
      <c r="K770" s="10">
        <v>45679.663611111107</v>
      </c>
      <c r="L770" s="10">
        <v>45679.664444444446</v>
      </c>
      <c r="M770" s="11">
        <f t="shared" ref="M770:M833" si="36">IF(AND(ISNUMBER(E770),ISNUMBER(G770)),(G770-E770),"")</f>
        <v>2.3472222215787042E-2</v>
      </c>
      <c r="N770" s="11">
        <f t="shared" ref="N770:N833" si="37">IF(AND(ISNUMBER(G770),ISNUMBER(L770)),(L770-G770),"")</f>
        <v>1.0298379629675765</v>
      </c>
      <c r="O770" s="10">
        <v>45678.638495370367</v>
      </c>
      <c r="P770" s="11">
        <f t="shared" ref="P770:P833" si="38">IF(AND(ISNUMBER(I770),ISNUMBER(O770)),(I770-O770),"")</f>
        <v>1.0036342592647998</v>
      </c>
      <c r="Q770" s="12" t="s">
        <v>2314</v>
      </c>
    </row>
    <row r="771" spans="1:17" ht="38.25" x14ac:dyDescent="0.25">
      <c r="A771" s="3" t="s">
        <v>2315</v>
      </c>
      <c r="B771" s="3" t="s">
        <v>346</v>
      </c>
      <c r="C771" s="9">
        <v>15.74</v>
      </c>
      <c r="D771" s="3" t="s">
        <v>515</v>
      </c>
      <c r="E771" s="10">
        <v>45678.611134259263</v>
      </c>
      <c r="F771" s="10">
        <v>45678.634606481479</v>
      </c>
      <c r="G771" s="10">
        <v>45678.636481481481</v>
      </c>
      <c r="H771" s="3" t="s">
        <v>2252</v>
      </c>
      <c r="I771" s="10">
        <v>45680.453194444453</v>
      </c>
      <c r="J771" s="10">
        <v>45680.47625</v>
      </c>
      <c r="K771" s="10">
        <v>45680.47625</v>
      </c>
      <c r="L771" s="10">
        <v>45680.47693287037</v>
      </c>
      <c r="M771" s="11">
        <f t="shared" si="36"/>
        <v>2.5347222217533272E-2</v>
      </c>
      <c r="N771" s="11">
        <f t="shared" si="37"/>
        <v>1.8404513888890506</v>
      </c>
      <c r="O771" s="10">
        <v>45678.640034722222</v>
      </c>
      <c r="P771" s="11">
        <f t="shared" si="38"/>
        <v>1.813159722230921</v>
      </c>
      <c r="Q771" s="12" t="s">
        <v>2316</v>
      </c>
    </row>
    <row r="772" spans="1:17" x14ac:dyDescent="0.25">
      <c r="A772" s="3" t="s">
        <v>2317</v>
      </c>
      <c r="B772" s="3" t="s">
        <v>346</v>
      </c>
      <c r="C772" s="9">
        <v>209.9</v>
      </c>
      <c r="D772" s="3" t="s">
        <v>506</v>
      </c>
      <c r="E772" s="10">
        <v>45678.611134259263</v>
      </c>
      <c r="F772" s="10">
        <v>45678.636481481481</v>
      </c>
      <c r="G772" s="10">
        <v>45678.638518518521</v>
      </c>
      <c r="H772" s="3" t="s">
        <v>2318</v>
      </c>
      <c r="I772" s="10">
        <v>45679.743090277778</v>
      </c>
      <c r="J772" s="10">
        <v>45679.779537037037</v>
      </c>
      <c r="K772" s="10">
        <v>45679.779537037037</v>
      </c>
      <c r="L772" s="10">
        <v>45679.780613425923</v>
      </c>
      <c r="M772" s="11">
        <f t="shared" si="36"/>
        <v>2.7384259257814847E-2</v>
      </c>
      <c r="N772" s="11">
        <f t="shared" si="37"/>
        <v>1.1420949074017699</v>
      </c>
      <c r="O772" s="10">
        <v>45678.6408912037</v>
      </c>
      <c r="P772" s="11">
        <f t="shared" si="38"/>
        <v>1.1021990740773617</v>
      </c>
      <c r="Q772" s="12" t="s">
        <v>2319</v>
      </c>
    </row>
    <row r="773" spans="1:17" ht="25.5" x14ac:dyDescent="0.25">
      <c r="A773" s="3" t="s">
        <v>2320</v>
      </c>
      <c r="B773" s="3" t="s">
        <v>346</v>
      </c>
      <c r="C773" s="9">
        <v>19.899999999999999</v>
      </c>
      <c r="D773" s="3" t="s">
        <v>523</v>
      </c>
      <c r="E773" s="10">
        <v>45678.611134259263</v>
      </c>
      <c r="F773" s="10">
        <v>45678.638518518521</v>
      </c>
      <c r="G773" s="10">
        <v>45678.640231481477</v>
      </c>
      <c r="H773" s="3" t="s">
        <v>2009</v>
      </c>
      <c r="I773" s="10">
        <v>45680.306504629632</v>
      </c>
      <c r="J773" s="10">
        <v>45680.325069444443</v>
      </c>
      <c r="K773" s="10">
        <v>45680.325706018521</v>
      </c>
      <c r="L773" s="10">
        <v>45680.326550925929</v>
      </c>
      <c r="M773" s="11">
        <f t="shared" si="36"/>
        <v>2.9097222213749774E-2</v>
      </c>
      <c r="N773" s="11">
        <f t="shared" si="37"/>
        <v>1.6863194444522378</v>
      </c>
      <c r="O773" s="10">
        <v>45678.644120370373</v>
      </c>
      <c r="P773" s="11">
        <f t="shared" si="38"/>
        <v>1.6623842592598521</v>
      </c>
      <c r="Q773" s="12" t="s">
        <v>2321</v>
      </c>
    </row>
    <row r="774" spans="1:17" x14ac:dyDescent="0.25">
      <c r="A774" s="3" t="s">
        <v>2322</v>
      </c>
      <c r="B774" s="3" t="s">
        <v>347</v>
      </c>
      <c r="C774" s="9">
        <v>125.92</v>
      </c>
      <c r="D774" s="3" t="s">
        <v>500</v>
      </c>
      <c r="E774" s="10">
        <v>45678.627314814818</v>
      </c>
      <c r="F774" s="10">
        <v>45678.641099537039</v>
      </c>
      <c r="G774" s="10">
        <v>45678.64329861111</v>
      </c>
      <c r="H774" s="3" t="s">
        <v>2323</v>
      </c>
      <c r="I774" s="10">
        <v>45679.76295138889</v>
      </c>
      <c r="J774" s="10">
        <v>45679.784803240742</v>
      </c>
      <c r="K774" s="10">
        <v>45679.784803240742</v>
      </c>
      <c r="L774" s="10">
        <v>45679.78564814815</v>
      </c>
      <c r="M774" s="11">
        <f t="shared" si="36"/>
        <v>1.5983796292857733E-2</v>
      </c>
      <c r="N774" s="11">
        <f t="shared" si="37"/>
        <v>1.1423495370399905</v>
      </c>
      <c r="O774" s="10">
        <v>45678.645682870367</v>
      </c>
      <c r="P774" s="11">
        <f t="shared" si="38"/>
        <v>1.1172685185229057</v>
      </c>
      <c r="Q774" s="12" t="s">
        <v>2324</v>
      </c>
    </row>
    <row r="775" spans="1:17" x14ac:dyDescent="0.25">
      <c r="A775" s="3" t="s">
        <v>2325</v>
      </c>
      <c r="B775" s="3" t="s">
        <v>348</v>
      </c>
      <c r="C775" s="9">
        <v>187.4</v>
      </c>
      <c r="D775" s="3" t="s">
        <v>500</v>
      </c>
      <c r="E775" s="10">
        <v>45678.870289351849</v>
      </c>
      <c r="F775" s="10">
        <v>45678.875428240739</v>
      </c>
      <c r="G775" s="10">
        <v>45678.87777777778</v>
      </c>
      <c r="H775" s="3" t="s">
        <v>2326</v>
      </c>
      <c r="I775" s="10">
        <v>45679.765347222223</v>
      </c>
      <c r="J775" s="10">
        <v>45679.797881944447</v>
      </c>
      <c r="K775" s="10">
        <v>45679.797881944447</v>
      </c>
      <c r="L775" s="10">
        <v>45679.798854166656</v>
      </c>
      <c r="M775" s="11">
        <f t="shared" si="36"/>
        <v>7.4884259302052669E-3</v>
      </c>
      <c r="N775" s="11">
        <f t="shared" si="37"/>
        <v>0.92107638887682697</v>
      </c>
      <c r="O775" s="10">
        <v>45678.880173611113</v>
      </c>
      <c r="P775" s="11">
        <f t="shared" si="38"/>
        <v>0.88517361111007631</v>
      </c>
      <c r="Q775" s="12" t="s">
        <v>2327</v>
      </c>
    </row>
    <row r="776" spans="1:17" ht="25.5" x14ac:dyDescent="0.25">
      <c r="A776" s="3" t="s">
        <v>2328</v>
      </c>
      <c r="B776" s="3" t="s">
        <v>349</v>
      </c>
      <c r="C776" s="9">
        <v>74.62</v>
      </c>
      <c r="D776" s="3" t="s">
        <v>484</v>
      </c>
      <c r="E776" s="10">
        <v>45679.105243055557</v>
      </c>
      <c r="F776" s="10">
        <v>45679.114537037043</v>
      </c>
      <c r="G776" s="10">
        <v>45679.115833333337</v>
      </c>
      <c r="H776" s="3" t="s">
        <v>2329</v>
      </c>
      <c r="I776" s="10">
        <v>45679.865972222222</v>
      </c>
      <c r="J776" s="10">
        <v>45679.904062499998</v>
      </c>
      <c r="K776" s="10">
        <v>45679.904062499998</v>
      </c>
      <c r="L776" s="10">
        <v>45679.905034722222</v>
      </c>
      <c r="M776" s="11">
        <f t="shared" si="36"/>
        <v>1.0590277779556345E-2</v>
      </c>
      <c r="N776" s="11">
        <f t="shared" si="37"/>
        <v>0.78920138888497604</v>
      </c>
      <c r="O776" s="10">
        <v>45679.118020833332</v>
      </c>
      <c r="P776" s="11">
        <f t="shared" si="38"/>
        <v>0.74795138889021473</v>
      </c>
      <c r="Q776" s="12" t="s">
        <v>2330</v>
      </c>
    </row>
    <row r="777" spans="1:17" ht="25.5" x14ac:dyDescent="0.25">
      <c r="A777" s="3" t="s">
        <v>2331</v>
      </c>
      <c r="B777" s="3" t="s">
        <v>349</v>
      </c>
      <c r="C777" s="9">
        <v>144.80000000000001</v>
      </c>
      <c r="D777" s="3" t="s">
        <v>488</v>
      </c>
      <c r="E777" s="10">
        <v>45679.105243055557</v>
      </c>
      <c r="F777" s="10">
        <v>45679.115833333337</v>
      </c>
      <c r="G777" s="10">
        <v>45679.117291666669</v>
      </c>
      <c r="H777" s="3" t="s">
        <v>2329</v>
      </c>
      <c r="I777" s="10">
        <v>45679.865972222222</v>
      </c>
      <c r="J777" s="10">
        <v>45679.904062499998</v>
      </c>
      <c r="K777" s="10">
        <v>45679.904062499998</v>
      </c>
      <c r="L777" s="10">
        <v>45679.905034722222</v>
      </c>
      <c r="M777" s="11">
        <f t="shared" si="36"/>
        <v>1.2048611111822538E-2</v>
      </c>
      <c r="N777" s="11">
        <f t="shared" si="37"/>
        <v>0.78774305555270985</v>
      </c>
      <c r="O777" s="10">
        <v>45679.121203703697</v>
      </c>
      <c r="P777" s="11">
        <f t="shared" si="38"/>
        <v>0.74476851852523396</v>
      </c>
      <c r="Q777" s="12" t="s">
        <v>2332</v>
      </c>
    </row>
    <row r="778" spans="1:17" ht="25.5" x14ac:dyDescent="0.25">
      <c r="A778" s="3" t="s">
        <v>2333</v>
      </c>
      <c r="B778" s="3" t="s">
        <v>349</v>
      </c>
      <c r="C778" s="9">
        <v>47.22</v>
      </c>
      <c r="D778" s="3" t="s">
        <v>496</v>
      </c>
      <c r="E778" s="10">
        <v>45679.105243055557</v>
      </c>
      <c r="F778" s="10">
        <v>45679.117291666669</v>
      </c>
      <c r="G778" s="10">
        <v>45679.11928240741</v>
      </c>
      <c r="H778" s="3" t="s">
        <v>2334</v>
      </c>
      <c r="I778" s="10">
        <v>45680.33</v>
      </c>
      <c r="J778" s="10">
        <v>45680.361111111109</v>
      </c>
      <c r="K778" s="10">
        <v>45680.361111111109</v>
      </c>
      <c r="L778" s="10">
        <v>45680.361921296288</v>
      </c>
      <c r="M778" s="11">
        <f t="shared" si="36"/>
        <v>1.4039351852261461E-2</v>
      </c>
      <c r="N778" s="11">
        <f t="shared" si="37"/>
        <v>1.2426388888779911</v>
      </c>
      <c r="O778" s="10">
        <v>45679.121458333328</v>
      </c>
      <c r="P778" s="11">
        <f t="shared" si="38"/>
        <v>1.2085416666741366</v>
      </c>
      <c r="Q778" s="12" t="s">
        <v>2335</v>
      </c>
    </row>
    <row r="779" spans="1:17" ht="38.25" x14ac:dyDescent="0.25">
      <c r="A779" s="3" t="s">
        <v>2336</v>
      </c>
      <c r="B779" s="3" t="s">
        <v>349</v>
      </c>
      <c r="C779" s="9">
        <v>31.94</v>
      </c>
      <c r="D779" s="3" t="s">
        <v>492</v>
      </c>
      <c r="E779" s="10">
        <v>45679.105243055557</v>
      </c>
      <c r="F779" s="10">
        <v>45679.11928240741</v>
      </c>
      <c r="G779" s="10">
        <v>45679.12127314815</v>
      </c>
      <c r="H779" s="3" t="s">
        <v>2337</v>
      </c>
      <c r="I779" s="10">
        <v>45680.377384259264</v>
      </c>
      <c r="J779" s="10">
        <v>45680.397314814807</v>
      </c>
      <c r="K779" s="10">
        <v>45680.397314814807</v>
      </c>
      <c r="L779" s="10">
        <v>45680.398125</v>
      </c>
      <c r="M779" s="11">
        <f t="shared" si="36"/>
        <v>1.6030092592700385E-2</v>
      </c>
      <c r="N779" s="11">
        <f t="shared" si="37"/>
        <v>1.2768518518496421</v>
      </c>
      <c r="O779" s="10">
        <v>45679.123437499999</v>
      </c>
      <c r="P779" s="11">
        <f t="shared" si="38"/>
        <v>1.2539467592650908</v>
      </c>
      <c r="Q779" s="12" t="s">
        <v>2338</v>
      </c>
    </row>
    <row r="780" spans="1:17" x14ac:dyDescent="0.25">
      <c r="A780" s="3" t="s">
        <v>2339</v>
      </c>
      <c r="B780" s="3" t="s">
        <v>350</v>
      </c>
      <c r="C780" s="9">
        <v>366.6</v>
      </c>
      <c r="D780" s="3" t="s">
        <v>519</v>
      </c>
      <c r="E780" s="10">
        <v>45679.192337962973</v>
      </c>
      <c r="F780" s="10">
        <v>45679.198900462958</v>
      </c>
      <c r="G780" s="10">
        <v>45679.201736111107</v>
      </c>
      <c r="H780" s="3" t="s">
        <v>2260</v>
      </c>
      <c r="I780" s="10">
        <v>45680.131921296299</v>
      </c>
      <c r="J780" s="10">
        <v>45680.195567129631</v>
      </c>
      <c r="K780" s="10">
        <v>45680.195567129631</v>
      </c>
      <c r="L780" s="10">
        <v>45680.196909722217</v>
      </c>
      <c r="M780" s="11">
        <f t="shared" si="36"/>
        <v>9.3981481331866235E-3</v>
      </c>
      <c r="N780" s="11">
        <f t="shared" si="37"/>
        <v>0.99517361111065838</v>
      </c>
      <c r="O780" s="10">
        <v>45679.204131944447</v>
      </c>
      <c r="P780" s="11">
        <f t="shared" si="38"/>
        <v>0.92778935185197042</v>
      </c>
      <c r="Q780" s="12" t="s">
        <v>2340</v>
      </c>
    </row>
    <row r="781" spans="1:17" x14ac:dyDescent="0.25">
      <c r="A781" s="3" t="s">
        <v>2341</v>
      </c>
      <c r="B781" s="3" t="s">
        <v>351</v>
      </c>
      <c r="C781" s="9">
        <v>291.7</v>
      </c>
      <c r="D781" s="3" t="s">
        <v>500</v>
      </c>
      <c r="E781" s="10">
        <v>45679.266643518517</v>
      </c>
      <c r="F781" s="10">
        <v>45679.272650462961</v>
      </c>
      <c r="G781" s="10">
        <v>45679.275243055563</v>
      </c>
      <c r="H781" s="3" t="s">
        <v>2342</v>
      </c>
      <c r="I781" s="10">
        <v>45680.273842592593</v>
      </c>
      <c r="J781" s="10">
        <v>45680.324479166673</v>
      </c>
      <c r="K781" s="10">
        <v>45680.324479166673</v>
      </c>
      <c r="L781" s="10">
        <v>45680.325706018521</v>
      </c>
      <c r="M781" s="11">
        <f t="shared" si="36"/>
        <v>8.5995370463933796E-3</v>
      </c>
      <c r="N781" s="11">
        <f t="shared" si="37"/>
        <v>1.0504629629576812</v>
      </c>
      <c r="O781" s="10">
        <v>45679.277638888889</v>
      </c>
      <c r="P781" s="11">
        <f t="shared" si="38"/>
        <v>0.99620370370394085</v>
      </c>
      <c r="Q781" s="12" t="s">
        <v>2343</v>
      </c>
    </row>
    <row r="782" spans="1:17" ht="25.5" x14ac:dyDescent="0.25">
      <c r="A782" s="3" t="s">
        <v>2344</v>
      </c>
      <c r="B782" s="3" t="s">
        <v>352</v>
      </c>
      <c r="C782" s="9">
        <v>81</v>
      </c>
      <c r="D782" s="3" t="s">
        <v>527</v>
      </c>
      <c r="E782" s="10">
        <v>45679.284513888888</v>
      </c>
      <c r="F782" s="10">
        <v>45679.302291666667</v>
      </c>
      <c r="G782" s="10">
        <v>45679.303831018522</v>
      </c>
      <c r="H782" s="3" t="s">
        <v>2345</v>
      </c>
      <c r="I782" s="10">
        <v>45680.418935185182</v>
      </c>
      <c r="J782" s="10">
        <v>45680.437685185178</v>
      </c>
      <c r="K782" s="10">
        <v>45680.437685185178</v>
      </c>
      <c r="L782" s="10">
        <v>45680.438414351847</v>
      </c>
      <c r="M782" s="11">
        <f t="shared" si="36"/>
        <v>1.9317129634146113E-2</v>
      </c>
      <c r="N782" s="11">
        <f t="shared" si="37"/>
        <v>1.1345833333252813</v>
      </c>
      <c r="O782" s="10">
        <v>45679.306226851862</v>
      </c>
      <c r="P782" s="11">
        <f t="shared" si="38"/>
        <v>1.1127083333194605</v>
      </c>
      <c r="Q782" s="12" t="s">
        <v>2346</v>
      </c>
    </row>
    <row r="783" spans="1:17" ht="38.25" x14ac:dyDescent="0.25">
      <c r="A783" s="3" t="s">
        <v>2347</v>
      </c>
      <c r="B783" s="3" t="s">
        <v>352</v>
      </c>
      <c r="C783" s="9">
        <v>19.899999999999999</v>
      </c>
      <c r="D783" s="3" t="s">
        <v>488</v>
      </c>
      <c r="E783" s="10">
        <v>45679.284513888888</v>
      </c>
      <c r="F783" s="10">
        <v>45679.303831018522</v>
      </c>
      <c r="G783" s="10">
        <v>45679.305787037039</v>
      </c>
      <c r="H783" s="3" t="s">
        <v>2337</v>
      </c>
      <c r="I783" s="10">
        <v>45680.377384259264</v>
      </c>
      <c r="J783" s="10">
        <v>45680.397314814807</v>
      </c>
      <c r="K783" s="10">
        <v>45680.397314814807</v>
      </c>
      <c r="L783" s="10">
        <v>45680.398125</v>
      </c>
      <c r="M783" s="11">
        <f t="shared" si="36"/>
        <v>2.1273148151522037E-2</v>
      </c>
      <c r="N783" s="11">
        <f t="shared" si="37"/>
        <v>1.0923379629603005</v>
      </c>
      <c r="O783" s="10">
        <v>45679.307951388888</v>
      </c>
      <c r="P783" s="11">
        <f t="shared" si="38"/>
        <v>1.0694328703757492</v>
      </c>
      <c r="Q783" s="12" t="s">
        <v>2348</v>
      </c>
    </row>
    <row r="784" spans="1:17" ht="63.75" x14ac:dyDescent="0.25">
      <c r="A784" s="3" t="s">
        <v>2349</v>
      </c>
      <c r="B784" s="3" t="s">
        <v>352</v>
      </c>
      <c r="C784" s="9">
        <v>15.74</v>
      </c>
      <c r="D784" s="3" t="s">
        <v>1033</v>
      </c>
      <c r="E784" s="10">
        <v>45679.284513888888</v>
      </c>
      <c r="F784" s="10">
        <v>45679.305787037039</v>
      </c>
      <c r="G784" s="10">
        <v>45679.30740740741</v>
      </c>
      <c r="H784" s="3" t="s">
        <v>2350</v>
      </c>
      <c r="I784" s="10">
        <v>45681.738668981481</v>
      </c>
      <c r="J784" s="10">
        <v>45681.757233796299</v>
      </c>
      <c r="K784" s="10">
        <v>45681.757233796299</v>
      </c>
      <c r="L784" s="10">
        <v>45681.7580787037</v>
      </c>
      <c r="M784" s="11">
        <f t="shared" si="36"/>
        <v>2.2893518522323575E-2</v>
      </c>
      <c r="N784" s="11">
        <f t="shared" si="37"/>
        <v>2.4506712962902384</v>
      </c>
      <c r="O784" s="10">
        <v>45679.309803240743</v>
      </c>
      <c r="P784" s="11">
        <f t="shared" si="38"/>
        <v>2.4288657407378196</v>
      </c>
      <c r="Q784" s="12" t="s">
        <v>2351</v>
      </c>
    </row>
    <row r="785" spans="1:17" ht="38.25" x14ac:dyDescent="0.25">
      <c r="A785" s="3" t="s">
        <v>2352</v>
      </c>
      <c r="B785" s="3" t="s">
        <v>352</v>
      </c>
      <c r="C785" s="9">
        <v>19.899999999999999</v>
      </c>
      <c r="D785" s="3" t="s">
        <v>519</v>
      </c>
      <c r="E785" s="10">
        <v>45679.284513888888</v>
      </c>
      <c r="F785" s="10">
        <v>45679.30740740741</v>
      </c>
      <c r="G785" s="10">
        <v>45679.309328703697</v>
      </c>
      <c r="H785" s="3" t="s">
        <v>2252</v>
      </c>
      <c r="I785" s="10">
        <v>45680.453194444453</v>
      </c>
      <c r="J785" s="10">
        <v>45680.47625</v>
      </c>
      <c r="K785" s="10">
        <v>45680.47625</v>
      </c>
      <c r="L785" s="10">
        <v>45680.47693287037</v>
      </c>
      <c r="M785" s="11">
        <f t="shared" si="36"/>
        <v>2.4814814809360541E-2</v>
      </c>
      <c r="N785" s="11">
        <f t="shared" si="37"/>
        <v>1.1676041666723904</v>
      </c>
      <c r="O785" s="10">
        <v>45679.311493055553</v>
      </c>
      <c r="P785" s="11">
        <f t="shared" si="38"/>
        <v>1.1417013889004011</v>
      </c>
      <c r="Q785" s="12" t="s">
        <v>2353</v>
      </c>
    </row>
    <row r="786" spans="1:17" ht="25.5" x14ac:dyDescent="0.25">
      <c r="A786" s="3" t="s">
        <v>2354</v>
      </c>
      <c r="B786" s="3" t="s">
        <v>352</v>
      </c>
      <c r="C786" s="9">
        <v>19.899999999999999</v>
      </c>
      <c r="D786" s="3" t="s">
        <v>523</v>
      </c>
      <c r="E786" s="10">
        <v>45679.284513888888</v>
      </c>
      <c r="F786" s="10">
        <v>45679.309328703697</v>
      </c>
      <c r="G786" s="10">
        <v>45679.311064814807</v>
      </c>
      <c r="H786" s="3" t="s">
        <v>2009</v>
      </c>
      <c r="I786" s="10">
        <v>45680.306504629632</v>
      </c>
      <c r="J786" s="10">
        <v>45680.325069444443</v>
      </c>
      <c r="K786" s="10">
        <v>45680.325706018521</v>
      </c>
      <c r="L786" s="10">
        <v>45680.326550925929</v>
      </c>
      <c r="M786" s="11">
        <f t="shared" si="36"/>
        <v>2.6550925918854773E-2</v>
      </c>
      <c r="N786" s="11">
        <f t="shared" si="37"/>
        <v>1.0154861111222999</v>
      </c>
      <c r="O786" s="10">
        <v>45679.314988425933</v>
      </c>
      <c r="P786" s="11">
        <f t="shared" si="38"/>
        <v>0.99151620369957527</v>
      </c>
      <c r="Q786" s="12" t="s">
        <v>2355</v>
      </c>
    </row>
    <row r="787" spans="1:17" ht="38.25" x14ac:dyDescent="0.25">
      <c r="A787" s="3" t="s">
        <v>2356</v>
      </c>
      <c r="B787" s="3" t="s">
        <v>352</v>
      </c>
      <c r="C787" s="9">
        <v>21</v>
      </c>
      <c r="D787" s="3" t="s">
        <v>488</v>
      </c>
      <c r="E787" s="10">
        <v>45679.284513888888</v>
      </c>
      <c r="F787" s="10">
        <v>45679.311064814807</v>
      </c>
      <c r="G787" s="10">
        <v>45679.313032407408</v>
      </c>
      <c r="H787" s="3" t="s">
        <v>2337</v>
      </c>
      <c r="I787" s="10">
        <v>45680.377384259264</v>
      </c>
      <c r="J787" s="10">
        <v>45680.397314814807</v>
      </c>
      <c r="K787" s="10">
        <v>45680.397314814807</v>
      </c>
      <c r="L787" s="10">
        <v>45680.398125</v>
      </c>
      <c r="M787" s="11">
        <f t="shared" si="36"/>
        <v>2.8518518520286307E-2</v>
      </c>
      <c r="N787" s="11">
        <f t="shared" si="37"/>
        <v>1.0850925925915362</v>
      </c>
      <c r="O787" s="10">
        <v>45679.316574074073</v>
      </c>
      <c r="P787" s="11">
        <f t="shared" si="38"/>
        <v>1.0608101851903484</v>
      </c>
      <c r="Q787" s="12" t="s">
        <v>2357</v>
      </c>
    </row>
    <row r="788" spans="1:17" ht="38.25" x14ac:dyDescent="0.25">
      <c r="A788" s="3" t="s">
        <v>2358</v>
      </c>
      <c r="B788" s="3" t="s">
        <v>352</v>
      </c>
      <c r="C788" s="9">
        <v>15.74</v>
      </c>
      <c r="D788" s="3" t="s">
        <v>533</v>
      </c>
      <c r="E788" s="10">
        <v>45679.284513888888</v>
      </c>
      <c r="F788" s="10">
        <v>45679.313032407408</v>
      </c>
      <c r="G788" s="10">
        <v>45679.315057870372</v>
      </c>
      <c r="H788" s="3" t="s">
        <v>2359</v>
      </c>
      <c r="I788" s="10">
        <v>45681.300937499997</v>
      </c>
      <c r="J788" s="10">
        <v>45681.326018518521</v>
      </c>
      <c r="K788" s="10">
        <v>45681.326018518521</v>
      </c>
      <c r="L788" s="10">
        <v>45681.326851851853</v>
      </c>
      <c r="M788" s="11">
        <f t="shared" si="36"/>
        <v>3.054398148378823E-2</v>
      </c>
      <c r="N788" s="11">
        <f t="shared" si="37"/>
        <v>2.0117939814808778</v>
      </c>
      <c r="O788" s="10">
        <v>45679.317418981482</v>
      </c>
      <c r="P788" s="11">
        <f t="shared" si="38"/>
        <v>1.9835185185147566</v>
      </c>
      <c r="Q788" s="12" t="s">
        <v>2360</v>
      </c>
    </row>
    <row r="789" spans="1:17" x14ac:dyDescent="0.25">
      <c r="A789" s="3" t="s">
        <v>2361</v>
      </c>
      <c r="B789" s="3" t="s">
        <v>352</v>
      </c>
      <c r="C789" s="9">
        <v>219.62</v>
      </c>
      <c r="D789" s="3" t="s">
        <v>506</v>
      </c>
      <c r="E789" s="10">
        <v>45679.284513888888</v>
      </c>
      <c r="F789" s="10"/>
      <c r="G789" s="10"/>
      <c r="H789" s="3"/>
      <c r="I789" s="10"/>
      <c r="J789" s="10"/>
      <c r="K789" s="10"/>
      <c r="L789" s="10"/>
      <c r="M789" s="11" t="str">
        <f t="shared" si="36"/>
        <v/>
      </c>
      <c r="N789" s="11" t="str">
        <f t="shared" si="37"/>
        <v/>
      </c>
      <c r="O789" s="10"/>
      <c r="P789" s="11" t="str">
        <f t="shared" si="38"/>
        <v/>
      </c>
      <c r="Q789" s="12"/>
    </row>
    <row r="790" spans="1:17" ht="38.25" x14ac:dyDescent="0.25">
      <c r="A790" s="3" t="s">
        <v>2362</v>
      </c>
      <c r="B790" s="3" t="s">
        <v>352</v>
      </c>
      <c r="C790" s="9">
        <v>23.24</v>
      </c>
      <c r="D790" s="3" t="s">
        <v>515</v>
      </c>
      <c r="E790" s="10">
        <v>45679.284513888888</v>
      </c>
      <c r="F790" s="10">
        <v>45679.315057870372</v>
      </c>
      <c r="G790" s="10">
        <v>45679.316990740743</v>
      </c>
      <c r="H790" s="3" t="s">
        <v>2252</v>
      </c>
      <c r="I790" s="10">
        <v>45680.453194444453</v>
      </c>
      <c r="J790" s="10">
        <v>45680.47625</v>
      </c>
      <c r="K790" s="10">
        <v>45680.47625</v>
      </c>
      <c r="L790" s="10">
        <v>45680.47693287037</v>
      </c>
      <c r="M790" s="11">
        <f t="shared" si="36"/>
        <v>3.2476851854880806E-2</v>
      </c>
      <c r="N790" s="11">
        <f t="shared" si="37"/>
        <v>1.1599421296268702</v>
      </c>
      <c r="O790" s="10">
        <v>45679.320914351847</v>
      </c>
      <c r="P790" s="11">
        <f t="shared" si="38"/>
        <v>1.1322800926063792</v>
      </c>
      <c r="Q790" s="12" t="s">
        <v>2363</v>
      </c>
    </row>
    <row r="791" spans="1:17" ht="38.25" x14ac:dyDescent="0.25">
      <c r="A791" s="3" t="s">
        <v>2364</v>
      </c>
      <c r="B791" s="3" t="s">
        <v>352</v>
      </c>
      <c r="C791" s="9">
        <v>15.74</v>
      </c>
      <c r="D791" s="3" t="s">
        <v>533</v>
      </c>
      <c r="E791" s="10">
        <v>45679.284513888888</v>
      </c>
      <c r="F791" s="10">
        <v>45679.316990740743</v>
      </c>
      <c r="G791" s="10">
        <v>45679.319016203714</v>
      </c>
      <c r="H791" s="3" t="s">
        <v>2359</v>
      </c>
      <c r="I791" s="10">
        <v>45681.300937499997</v>
      </c>
      <c r="J791" s="10">
        <v>45681.326018518521</v>
      </c>
      <c r="K791" s="10">
        <v>45681.326018518521</v>
      </c>
      <c r="L791" s="10">
        <v>45681.326851851853</v>
      </c>
      <c r="M791" s="11">
        <f t="shared" si="36"/>
        <v>3.4502314825658686E-2</v>
      </c>
      <c r="N791" s="11">
        <f t="shared" si="37"/>
        <v>2.0078356481390074</v>
      </c>
      <c r="O791" s="10">
        <v>45679.322557870371</v>
      </c>
      <c r="P791" s="11">
        <f t="shared" si="38"/>
        <v>1.9783796296251239</v>
      </c>
      <c r="Q791" s="12" t="s">
        <v>2365</v>
      </c>
    </row>
    <row r="792" spans="1:17" ht="38.25" x14ac:dyDescent="0.25">
      <c r="A792" s="3" t="s">
        <v>2366</v>
      </c>
      <c r="B792" s="3" t="s">
        <v>352</v>
      </c>
      <c r="C792" s="9">
        <v>15.74</v>
      </c>
      <c r="D792" s="3" t="s">
        <v>654</v>
      </c>
      <c r="E792" s="10">
        <v>45679.284513888888</v>
      </c>
      <c r="F792" s="10">
        <v>45679.319016203714</v>
      </c>
      <c r="G792" s="10">
        <v>45679.320763888893</v>
      </c>
      <c r="H792" s="3" t="s">
        <v>2367</v>
      </c>
      <c r="I792" s="10">
        <v>45680.8828587963</v>
      </c>
      <c r="J792" s="10">
        <v>45680.900706018518</v>
      </c>
      <c r="K792" s="10">
        <v>45680.900706018518</v>
      </c>
      <c r="L792" s="10">
        <v>45680.90148148148</v>
      </c>
      <c r="M792" s="11">
        <f t="shared" si="36"/>
        <v>3.6250000004656613E-2</v>
      </c>
      <c r="N792" s="11">
        <f t="shared" si="37"/>
        <v>1.5807175925874617</v>
      </c>
      <c r="O792" s="10">
        <v>45679.323159722233</v>
      </c>
      <c r="P792" s="11">
        <f t="shared" si="38"/>
        <v>1.5596990740668844</v>
      </c>
      <c r="Q792" s="12" t="s">
        <v>2368</v>
      </c>
    </row>
    <row r="793" spans="1:17" x14ac:dyDescent="0.25">
      <c r="A793" s="3" t="s">
        <v>2369</v>
      </c>
      <c r="B793" s="3" t="s">
        <v>353</v>
      </c>
      <c r="C793" s="9">
        <v>330.7</v>
      </c>
      <c r="D793" s="3" t="s">
        <v>500</v>
      </c>
      <c r="E793" s="10">
        <v>45679.313460648147</v>
      </c>
      <c r="F793" s="10"/>
      <c r="G793" s="10"/>
      <c r="H793" s="3"/>
      <c r="I793" s="10"/>
      <c r="J793" s="10"/>
      <c r="K793" s="10"/>
      <c r="L793" s="10"/>
      <c r="M793" s="11" t="str">
        <f t="shared" si="36"/>
        <v/>
      </c>
      <c r="N793" s="11" t="str">
        <f t="shared" si="37"/>
        <v/>
      </c>
      <c r="O793" s="10"/>
      <c r="P793" s="11" t="str">
        <f t="shared" si="38"/>
        <v/>
      </c>
      <c r="Q793" s="12"/>
    </row>
    <row r="794" spans="1:17" x14ac:dyDescent="0.25">
      <c r="A794" s="3" t="s">
        <v>2370</v>
      </c>
      <c r="B794" s="3" t="s">
        <v>354</v>
      </c>
      <c r="C794" s="9">
        <v>295.36000000000013</v>
      </c>
      <c r="D794" s="3" t="s">
        <v>500</v>
      </c>
      <c r="E794" s="10">
        <v>45679.333657407413</v>
      </c>
      <c r="F794" s="10"/>
      <c r="G794" s="10"/>
      <c r="H794" s="3"/>
      <c r="I794" s="10"/>
      <c r="J794" s="10"/>
      <c r="K794" s="10"/>
      <c r="L794" s="10"/>
      <c r="M794" s="11" t="str">
        <f t="shared" si="36"/>
        <v/>
      </c>
      <c r="N794" s="11" t="str">
        <f t="shared" si="37"/>
        <v/>
      </c>
      <c r="O794" s="10"/>
      <c r="P794" s="11" t="str">
        <f t="shared" si="38"/>
        <v/>
      </c>
      <c r="Q794" s="12"/>
    </row>
    <row r="795" spans="1:17" ht="25.5" x14ac:dyDescent="0.25">
      <c r="A795" s="3" t="s">
        <v>2371</v>
      </c>
      <c r="B795" s="3" t="s">
        <v>355</v>
      </c>
      <c r="C795" s="9">
        <v>114.8</v>
      </c>
      <c r="D795" s="3" t="s">
        <v>572</v>
      </c>
      <c r="E795" s="10">
        <v>45679.351134259261</v>
      </c>
      <c r="F795" s="10">
        <v>45679.358217592591</v>
      </c>
      <c r="G795" s="10">
        <v>45679.359606481477</v>
      </c>
      <c r="H795" s="3" t="s">
        <v>2372</v>
      </c>
      <c r="I795" s="10">
        <v>45680.31045138889</v>
      </c>
      <c r="J795" s="10">
        <v>45680.367951388893</v>
      </c>
      <c r="K795" s="10">
        <v>45680.367951388893</v>
      </c>
      <c r="L795" s="10">
        <v>45680.369189814817</v>
      </c>
      <c r="M795" s="11">
        <f t="shared" si="36"/>
        <v>8.4722222163691185E-3</v>
      </c>
      <c r="N795" s="11">
        <f t="shared" si="37"/>
        <v>1.0095833333398332</v>
      </c>
      <c r="O795" s="10">
        <v>45679.362002314818</v>
      </c>
      <c r="P795" s="11">
        <f t="shared" si="38"/>
        <v>0.94844907407241408</v>
      </c>
      <c r="Q795" s="12" t="s">
        <v>2373</v>
      </c>
    </row>
    <row r="796" spans="1:17" ht="25.5" x14ac:dyDescent="0.25">
      <c r="A796" s="3" t="s">
        <v>2374</v>
      </c>
      <c r="B796" s="3" t="s">
        <v>355</v>
      </c>
      <c r="C796" s="9">
        <v>216.4</v>
      </c>
      <c r="D796" s="3" t="s">
        <v>500</v>
      </c>
      <c r="E796" s="10">
        <v>45679.351134259261</v>
      </c>
      <c r="F796" s="10">
        <v>45679.359606481477</v>
      </c>
      <c r="G796" s="10">
        <v>45679.361226851863</v>
      </c>
      <c r="H796" s="3" t="s">
        <v>2372</v>
      </c>
      <c r="I796" s="10">
        <v>45680.31045138889</v>
      </c>
      <c r="J796" s="10">
        <v>45680.367951388893</v>
      </c>
      <c r="K796" s="10">
        <v>45680.367951388893</v>
      </c>
      <c r="L796" s="10">
        <v>45680.369189814817</v>
      </c>
      <c r="M796" s="11">
        <f t="shared" si="36"/>
        <v>1.0092592601722572E-2</v>
      </c>
      <c r="N796" s="11">
        <f t="shared" si="37"/>
        <v>1.0079629629544797</v>
      </c>
      <c r="O796" s="10">
        <v>45679.365127314813</v>
      </c>
      <c r="P796" s="11">
        <f t="shared" si="38"/>
        <v>0.94532407407677965</v>
      </c>
      <c r="Q796" s="12" t="s">
        <v>2375</v>
      </c>
    </row>
    <row r="797" spans="1:17" ht="25.5" x14ac:dyDescent="0.25">
      <c r="A797" s="3" t="s">
        <v>2376</v>
      </c>
      <c r="B797" s="3" t="s">
        <v>356</v>
      </c>
      <c r="C797" s="9">
        <v>15.74</v>
      </c>
      <c r="D797" s="3" t="s">
        <v>515</v>
      </c>
      <c r="E797" s="10">
        <v>45679.381874999999</v>
      </c>
      <c r="F797" s="10">
        <v>45679.400254629632</v>
      </c>
      <c r="G797" s="10">
        <v>45679.40216435185</v>
      </c>
      <c r="H797" s="3" t="s">
        <v>2252</v>
      </c>
      <c r="I797" s="10">
        <v>45680.453194444453</v>
      </c>
      <c r="J797" s="10">
        <v>45680.47625</v>
      </c>
      <c r="K797" s="10">
        <v>45680.47625</v>
      </c>
      <c r="L797" s="10">
        <v>45680.47693287037</v>
      </c>
      <c r="M797" s="11">
        <f t="shared" si="36"/>
        <v>2.028935185080627E-2</v>
      </c>
      <c r="N797" s="11">
        <f t="shared" si="37"/>
        <v>1.0747685185197042</v>
      </c>
      <c r="O797" s="10">
        <v>45679.406053240738</v>
      </c>
      <c r="P797" s="11">
        <f t="shared" si="38"/>
        <v>1.0471412037150003</v>
      </c>
      <c r="Q797" s="12" t="s">
        <v>2377</v>
      </c>
    </row>
    <row r="798" spans="1:17" x14ac:dyDescent="0.25">
      <c r="A798" s="3" t="s">
        <v>2378</v>
      </c>
      <c r="B798" s="3" t="s">
        <v>356</v>
      </c>
      <c r="C798" s="9">
        <v>179.16</v>
      </c>
      <c r="D798" s="3" t="s">
        <v>506</v>
      </c>
      <c r="E798" s="10">
        <v>45679.381874999999</v>
      </c>
      <c r="F798" s="10">
        <v>45679.40216435185</v>
      </c>
      <c r="G798" s="10">
        <v>45679.404456018521</v>
      </c>
      <c r="H798" s="3" t="s">
        <v>2334</v>
      </c>
      <c r="I798" s="10">
        <v>45680.33</v>
      </c>
      <c r="J798" s="10">
        <v>45680.361111111109</v>
      </c>
      <c r="K798" s="10">
        <v>45680.361111111109</v>
      </c>
      <c r="L798" s="10">
        <v>45680.361921296288</v>
      </c>
      <c r="M798" s="11">
        <f t="shared" si="36"/>
        <v>2.2581018522032537E-2</v>
      </c>
      <c r="N798" s="11">
        <f t="shared" si="37"/>
        <v>0.95746527776645962</v>
      </c>
      <c r="O798" s="10">
        <v>45679.406851851847</v>
      </c>
      <c r="P798" s="11">
        <f t="shared" si="38"/>
        <v>0.92314814815472346</v>
      </c>
      <c r="Q798" s="12" t="s">
        <v>2379</v>
      </c>
    </row>
    <row r="799" spans="1:17" ht="25.5" x14ac:dyDescent="0.25">
      <c r="A799" s="3" t="s">
        <v>2380</v>
      </c>
      <c r="B799" s="3" t="s">
        <v>356</v>
      </c>
      <c r="C799" s="9">
        <v>61.9</v>
      </c>
      <c r="D799" s="3" t="s">
        <v>488</v>
      </c>
      <c r="E799" s="10">
        <v>45679.381874999999</v>
      </c>
      <c r="F799" s="10">
        <v>45679.404456018521</v>
      </c>
      <c r="G799" s="10">
        <v>45679.4065162037</v>
      </c>
      <c r="H799" s="3" t="s">
        <v>2337</v>
      </c>
      <c r="I799" s="10">
        <v>45680.377384259264</v>
      </c>
      <c r="J799" s="10">
        <v>45680.397314814807</v>
      </c>
      <c r="K799" s="10">
        <v>45680.397314814807</v>
      </c>
      <c r="L799" s="10">
        <v>45680.398125</v>
      </c>
      <c r="M799" s="11">
        <f t="shared" si="36"/>
        <v>2.4641203701321501E-2</v>
      </c>
      <c r="N799" s="11">
        <f t="shared" si="37"/>
        <v>0.99160879629926058</v>
      </c>
      <c r="O799" s="10">
        <v>45679.410439814812</v>
      </c>
      <c r="P799" s="11">
        <f t="shared" si="38"/>
        <v>0.96694444445165573</v>
      </c>
      <c r="Q799" s="12" t="s">
        <v>2381</v>
      </c>
    </row>
    <row r="800" spans="1:17" ht="25.5" x14ac:dyDescent="0.25">
      <c r="A800" s="3" t="s">
        <v>2382</v>
      </c>
      <c r="B800" s="3" t="s">
        <v>356</v>
      </c>
      <c r="C800" s="9">
        <v>12.04</v>
      </c>
      <c r="D800" s="3" t="s">
        <v>492</v>
      </c>
      <c r="E800" s="10">
        <v>45679.381874999999</v>
      </c>
      <c r="F800" s="10">
        <v>45679.4065162037</v>
      </c>
      <c r="G800" s="10">
        <v>45679.408460648148</v>
      </c>
      <c r="H800" s="3" t="s">
        <v>2337</v>
      </c>
      <c r="I800" s="10">
        <v>45680.377384259264</v>
      </c>
      <c r="J800" s="10">
        <v>45680.397314814807</v>
      </c>
      <c r="K800" s="10">
        <v>45680.397314814807</v>
      </c>
      <c r="L800" s="10">
        <v>45680.398125</v>
      </c>
      <c r="M800" s="11">
        <f t="shared" si="36"/>
        <v>2.658564814919373E-2</v>
      </c>
      <c r="N800" s="11">
        <f t="shared" si="37"/>
        <v>0.98966435185138835</v>
      </c>
      <c r="O800" s="10">
        <v>45679.41238425926</v>
      </c>
      <c r="P800" s="11">
        <f t="shared" si="38"/>
        <v>0.9650000000037835</v>
      </c>
      <c r="Q800" s="12" t="s">
        <v>2383</v>
      </c>
    </row>
    <row r="801" spans="1:17" ht="25.5" x14ac:dyDescent="0.25">
      <c r="A801" s="3" t="s">
        <v>2384</v>
      </c>
      <c r="B801" s="3" t="s">
        <v>356</v>
      </c>
      <c r="C801" s="9">
        <v>27</v>
      </c>
      <c r="D801" s="3" t="s">
        <v>527</v>
      </c>
      <c r="E801" s="10">
        <v>45679.381874999999</v>
      </c>
      <c r="F801" s="10">
        <v>45679.408460648148</v>
      </c>
      <c r="G801" s="10">
        <v>45679.409872685188</v>
      </c>
      <c r="H801" s="3" t="s">
        <v>2345</v>
      </c>
      <c r="I801" s="10">
        <v>45680.418935185182</v>
      </c>
      <c r="J801" s="10">
        <v>45680.437685185178</v>
      </c>
      <c r="K801" s="10">
        <v>45680.437685185178</v>
      </c>
      <c r="L801" s="10">
        <v>45680.438414351847</v>
      </c>
      <c r="M801" s="11">
        <f t="shared" si="36"/>
        <v>2.7997685188893229E-2</v>
      </c>
      <c r="N801" s="11">
        <f t="shared" si="37"/>
        <v>1.0285416666592937</v>
      </c>
      <c r="O801" s="10">
        <v>45679.413761574076</v>
      </c>
      <c r="P801" s="11">
        <f t="shared" si="38"/>
        <v>1.0051736111054197</v>
      </c>
      <c r="Q801" s="12" t="s">
        <v>2385</v>
      </c>
    </row>
    <row r="802" spans="1:17" ht="63.75" x14ac:dyDescent="0.25">
      <c r="A802" s="3" t="s">
        <v>2386</v>
      </c>
      <c r="B802" s="3" t="s">
        <v>356</v>
      </c>
      <c r="C802" s="9">
        <v>15.74</v>
      </c>
      <c r="D802" s="3" t="s">
        <v>1033</v>
      </c>
      <c r="E802" s="10">
        <v>45679.381874999999</v>
      </c>
      <c r="F802" s="10">
        <v>45679.409872685188</v>
      </c>
      <c r="G802" s="10">
        <v>45679.411481481482</v>
      </c>
      <c r="H802" s="3" t="s">
        <v>2350</v>
      </c>
      <c r="I802" s="10">
        <v>45681.738668981481</v>
      </c>
      <c r="J802" s="10">
        <v>45681.757233796299</v>
      </c>
      <c r="K802" s="10">
        <v>45681.757233796299</v>
      </c>
      <c r="L802" s="10">
        <v>45681.7580787037</v>
      </c>
      <c r="M802" s="11">
        <f t="shared" si="36"/>
        <v>2.9606481482915115E-2</v>
      </c>
      <c r="N802" s="11">
        <f t="shared" si="37"/>
        <v>2.3465972222184064</v>
      </c>
      <c r="O802" s="10">
        <v>45679.415405092594</v>
      </c>
      <c r="P802" s="11">
        <f t="shared" si="38"/>
        <v>2.3232638888875954</v>
      </c>
      <c r="Q802" s="12" t="s">
        <v>2387</v>
      </c>
    </row>
    <row r="803" spans="1:17" ht="25.5" x14ac:dyDescent="0.25">
      <c r="A803" s="3" t="s">
        <v>2388</v>
      </c>
      <c r="B803" s="3" t="s">
        <v>356</v>
      </c>
      <c r="C803" s="9">
        <v>19.899999999999999</v>
      </c>
      <c r="D803" s="3" t="s">
        <v>563</v>
      </c>
      <c r="E803" s="10">
        <v>45679.381874999999</v>
      </c>
      <c r="F803" s="10">
        <v>45679.411481481482</v>
      </c>
      <c r="G803" s="10">
        <v>45679.412997685176</v>
      </c>
      <c r="H803" s="3" t="s">
        <v>2014</v>
      </c>
      <c r="I803" s="10">
        <v>45680.650775462957</v>
      </c>
      <c r="J803" s="10">
        <v>45680.67150462963</v>
      </c>
      <c r="K803" s="10">
        <v>45680.67150462963</v>
      </c>
      <c r="L803" s="10">
        <v>45680.672326388893</v>
      </c>
      <c r="M803" s="11">
        <f t="shared" si="36"/>
        <v>3.1122685177251697E-2</v>
      </c>
      <c r="N803" s="11">
        <f t="shared" si="37"/>
        <v>1.2593287037161645</v>
      </c>
      <c r="O803" s="10">
        <v>45679.416539351849</v>
      </c>
      <c r="P803" s="11">
        <f t="shared" si="38"/>
        <v>1.234236111107748</v>
      </c>
      <c r="Q803" s="12" t="s">
        <v>2389</v>
      </c>
    </row>
    <row r="804" spans="1:17" ht="25.5" x14ac:dyDescent="0.25">
      <c r="A804" s="3" t="s">
        <v>2390</v>
      </c>
      <c r="B804" s="3" t="s">
        <v>356</v>
      </c>
      <c r="C804" s="9">
        <v>73.900000000000006</v>
      </c>
      <c r="D804" s="3" t="s">
        <v>519</v>
      </c>
      <c r="E804" s="10">
        <v>45679.381874999999</v>
      </c>
      <c r="F804" s="10">
        <v>45679.412997685176</v>
      </c>
      <c r="G804" s="10">
        <v>45679.415046296293</v>
      </c>
      <c r="H804" s="3" t="s">
        <v>2252</v>
      </c>
      <c r="I804" s="10">
        <v>45680.453194444453</v>
      </c>
      <c r="J804" s="10">
        <v>45680.47625</v>
      </c>
      <c r="K804" s="10">
        <v>45680.47625</v>
      </c>
      <c r="L804" s="10">
        <v>45680.47693287037</v>
      </c>
      <c r="M804" s="11">
        <f t="shared" si="36"/>
        <v>3.3171296294312924E-2</v>
      </c>
      <c r="N804" s="11">
        <f t="shared" si="37"/>
        <v>1.0618865740761976</v>
      </c>
      <c r="O804" s="10">
        <v>45679.418935185182</v>
      </c>
      <c r="P804" s="11">
        <f t="shared" si="38"/>
        <v>1.0342592592714936</v>
      </c>
      <c r="Q804" s="12" t="s">
        <v>2391</v>
      </c>
    </row>
    <row r="805" spans="1:17" ht="25.5" x14ac:dyDescent="0.25">
      <c r="A805" s="3" t="s">
        <v>2392</v>
      </c>
      <c r="B805" s="3" t="s">
        <v>356</v>
      </c>
      <c r="C805" s="9">
        <v>56</v>
      </c>
      <c r="D805" s="3" t="s">
        <v>595</v>
      </c>
      <c r="E805" s="10">
        <v>45679.381874999999</v>
      </c>
      <c r="F805" s="10">
        <v>45679.415046296293</v>
      </c>
      <c r="G805" s="10">
        <v>45679.417083333326</v>
      </c>
      <c r="H805" s="3" t="s">
        <v>2393</v>
      </c>
      <c r="I805" s="10">
        <v>45680.750057870369</v>
      </c>
      <c r="J805" s="10">
        <v>45680.80133101852</v>
      </c>
      <c r="K805" s="10">
        <v>45680.80133101852</v>
      </c>
      <c r="L805" s="10">
        <v>45680.802557870367</v>
      </c>
      <c r="M805" s="11">
        <f t="shared" si="36"/>
        <v>3.5208333327318542E-2</v>
      </c>
      <c r="N805" s="11">
        <f t="shared" si="37"/>
        <v>1.3854745370408637</v>
      </c>
      <c r="O805" s="10">
        <v>45679.419479166667</v>
      </c>
      <c r="P805" s="11">
        <f t="shared" si="38"/>
        <v>1.3305787037024857</v>
      </c>
      <c r="Q805" s="12" t="s">
        <v>2394</v>
      </c>
    </row>
    <row r="806" spans="1:17" ht="25.5" x14ac:dyDescent="0.25">
      <c r="A806" s="3" t="s">
        <v>2395</v>
      </c>
      <c r="B806" s="3" t="s">
        <v>356</v>
      </c>
      <c r="C806" s="9">
        <v>53.8</v>
      </c>
      <c r="D806" s="3" t="s">
        <v>523</v>
      </c>
      <c r="E806" s="10">
        <v>45679.381874999999</v>
      </c>
      <c r="F806" s="10">
        <v>45679.417083333326</v>
      </c>
      <c r="G806" s="10">
        <v>45679.418900462973</v>
      </c>
      <c r="H806" s="3" t="s">
        <v>2396</v>
      </c>
      <c r="I806" s="10">
        <v>45681.132847222223</v>
      </c>
      <c r="J806" s="10">
        <v>45681.152511574073</v>
      </c>
      <c r="K806" s="10">
        <v>45681.152511574073</v>
      </c>
      <c r="L806" s="10">
        <v>45681.153275462973</v>
      </c>
      <c r="M806" s="11">
        <f t="shared" si="36"/>
        <v>3.702546297427034E-2</v>
      </c>
      <c r="N806" s="11">
        <f t="shared" si="37"/>
        <v>1.734375</v>
      </c>
      <c r="O806" s="10">
        <v>45679.421064814807</v>
      </c>
      <c r="P806" s="11">
        <f t="shared" si="38"/>
        <v>1.7117824074157397</v>
      </c>
      <c r="Q806" s="12" t="s">
        <v>2397</v>
      </c>
    </row>
    <row r="807" spans="1:17" x14ac:dyDescent="0.25">
      <c r="A807" s="3" t="s">
        <v>2398</v>
      </c>
      <c r="B807" s="3" t="s">
        <v>357</v>
      </c>
      <c r="C807" s="9">
        <v>446.24000000000012</v>
      </c>
      <c r="D807" s="3" t="s">
        <v>500</v>
      </c>
      <c r="E807" s="10">
        <v>45679.435011574067</v>
      </c>
      <c r="F807" s="10">
        <v>45679.441967592589</v>
      </c>
      <c r="G807" s="10">
        <v>45679.444131944438</v>
      </c>
      <c r="H807" s="3" t="s">
        <v>2399</v>
      </c>
      <c r="I807" s="10">
        <v>45680.614976851852</v>
      </c>
      <c r="J807" s="10">
        <v>45680.692442129628</v>
      </c>
      <c r="K807" s="10">
        <v>45680.692442129628</v>
      </c>
      <c r="L807" s="10">
        <v>45680.69394675926</v>
      </c>
      <c r="M807" s="11">
        <f t="shared" si="36"/>
        <v>9.1203703705104999E-3</v>
      </c>
      <c r="N807" s="11">
        <f t="shared" si="37"/>
        <v>1.2498148148224573</v>
      </c>
      <c r="O807" s="10">
        <v>45679.446504629632</v>
      </c>
      <c r="P807" s="11">
        <f t="shared" si="38"/>
        <v>1.1684722222198616</v>
      </c>
      <c r="Q807" s="12" t="s">
        <v>2400</v>
      </c>
    </row>
    <row r="808" spans="1:17" ht="25.5" x14ac:dyDescent="0.25">
      <c r="A808" s="3" t="s">
        <v>2401</v>
      </c>
      <c r="B808" s="3" t="s">
        <v>358</v>
      </c>
      <c r="C808" s="9">
        <v>33.9</v>
      </c>
      <c r="D808" s="3" t="s">
        <v>500</v>
      </c>
      <c r="E808" s="10">
        <v>45679.542800925927</v>
      </c>
      <c r="F808" s="10">
        <v>45679.546666666669</v>
      </c>
      <c r="G808" s="10">
        <v>45679.548217592594</v>
      </c>
      <c r="H808" s="3" t="s">
        <v>2402</v>
      </c>
      <c r="I808" s="10">
        <v>45680.640069444453</v>
      </c>
      <c r="J808" s="10">
        <v>45680.707488425927</v>
      </c>
      <c r="K808" s="10">
        <v>45680.707488425927</v>
      </c>
      <c r="L808" s="10">
        <v>45680.708854166667</v>
      </c>
      <c r="M808" s="11">
        <f t="shared" si="36"/>
        <v>5.4166666668606922E-3</v>
      </c>
      <c r="N808" s="11">
        <f t="shared" si="37"/>
        <v>1.1606365740735782</v>
      </c>
      <c r="O808" s="10">
        <v>45679.550613425927</v>
      </c>
      <c r="P808" s="11">
        <f t="shared" si="38"/>
        <v>1.0894560185261071</v>
      </c>
      <c r="Q808" s="12" t="s">
        <v>2403</v>
      </c>
    </row>
    <row r="809" spans="1:17" ht="25.5" x14ac:dyDescent="0.25">
      <c r="A809" s="3" t="s">
        <v>2404</v>
      </c>
      <c r="B809" s="3" t="s">
        <v>359</v>
      </c>
      <c r="C809" s="9">
        <v>62.96</v>
      </c>
      <c r="D809" s="3" t="s">
        <v>500</v>
      </c>
      <c r="E809" s="10">
        <v>45679.634652777779</v>
      </c>
      <c r="F809" s="10">
        <v>45679.638773148137</v>
      </c>
      <c r="G809" s="10">
        <v>45679.640393518523</v>
      </c>
      <c r="H809" s="3" t="s">
        <v>2402</v>
      </c>
      <c r="I809" s="10">
        <v>45680.640069444453</v>
      </c>
      <c r="J809" s="10">
        <v>45680.707488425927</v>
      </c>
      <c r="K809" s="10">
        <v>45680.707488425927</v>
      </c>
      <c r="L809" s="10">
        <v>45680.708854166667</v>
      </c>
      <c r="M809" s="11">
        <f t="shared" si="36"/>
        <v>5.7407407439313829E-3</v>
      </c>
      <c r="N809" s="11">
        <f t="shared" si="37"/>
        <v>1.0684606481445371</v>
      </c>
      <c r="O809" s="10">
        <v>45679.642581018517</v>
      </c>
      <c r="P809" s="11">
        <f t="shared" si="38"/>
        <v>0.99748842593544396</v>
      </c>
      <c r="Q809" s="12" t="s">
        <v>2405</v>
      </c>
    </row>
    <row r="810" spans="1:17" ht="25.5" x14ac:dyDescent="0.25">
      <c r="A810" s="3" t="s">
        <v>2406</v>
      </c>
      <c r="B810" s="3" t="s">
        <v>360</v>
      </c>
      <c r="C810" s="9">
        <v>29.74</v>
      </c>
      <c r="D810" s="3" t="s">
        <v>523</v>
      </c>
      <c r="E810" s="10">
        <v>45679.725335648152</v>
      </c>
      <c r="F810" s="10">
        <v>45679.744444444441</v>
      </c>
      <c r="G810" s="10">
        <v>45679.746180555558</v>
      </c>
      <c r="H810" s="3" t="s">
        <v>2396</v>
      </c>
      <c r="I810" s="10">
        <v>45681.132847222223</v>
      </c>
      <c r="J810" s="10">
        <v>45681.152511574073</v>
      </c>
      <c r="K810" s="10">
        <v>45681.152511574073</v>
      </c>
      <c r="L810" s="10">
        <v>45681.153275462973</v>
      </c>
      <c r="M810" s="11">
        <f t="shared" si="36"/>
        <v>2.0844907405262347E-2</v>
      </c>
      <c r="N810" s="11">
        <f t="shared" si="37"/>
        <v>1.4070949074157397</v>
      </c>
      <c r="O810" s="10">
        <v>45679.750069444453</v>
      </c>
      <c r="P810" s="11">
        <f t="shared" si="38"/>
        <v>1.382777777769661</v>
      </c>
      <c r="Q810" s="12" t="s">
        <v>2407</v>
      </c>
    </row>
    <row r="811" spans="1:17" ht="25.5" x14ac:dyDescent="0.25">
      <c r="A811" s="3" t="s">
        <v>2408</v>
      </c>
      <c r="B811" s="3" t="s">
        <v>360</v>
      </c>
      <c r="C811" s="9">
        <v>19.899999999999999</v>
      </c>
      <c r="D811" s="3" t="s">
        <v>563</v>
      </c>
      <c r="E811" s="10">
        <v>45679.725335648152</v>
      </c>
      <c r="F811" s="10">
        <v>45679.746180555558</v>
      </c>
      <c r="G811" s="10">
        <v>45679.747662037043</v>
      </c>
      <c r="H811" s="3" t="s">
        <v>2014</v>
      </c>
      <c r="I811" s="10">
        <v>45680.650775462957</v>
      </c>
      <c r="J811" s="10">
        <v>45680.67150462963</v>
      </c>
      <c r="K811" s="10">
        <v>45680.67150462963</v>
      </c>
      <c r="L811" s="10">
        <v>45680.672326388893</v>
      </c>
      <c r="M811" s="11">
        <f t="shared" si="36"/>
        <v>2.2326388891087845E-2</v>
      </c>
      <c r="N811" s="11">
        <f t="shared" si="37"/>
        <v>0.92466435184906004</v>
      </c>
      <c r="O811" s="10">
        <v>45679.751226851848</v>
      </c>
      <c r="P811" s="11">
        <f t="shared" si="38"/>
        <v>0.89954861110891216</v>
      </c>
      <c r="Q811" s="12" t="s">
        <v>2409</v>
      </c>
    </row>
    <row r="812" spans="1:17" ht="25.5" x14ac:dyDescent="0.25">
      <c r="A812" s="3" t="s">
        <v>2410</v>
      </c>
      <c r="B812" s="3" t="s">
        <v>360</v>
      </c>
      <c r="C812" s="9">
        <v>54.72</v>
      </c>
      <c r="D812" s="3" t="s">
        <v>484</v>
      </c>
      <c r="E812" s="10">
        <v>45679.725335648152</v>
      </c>
      <c r="F812" s="10">
        <v>45679.747662037043</v>
      </c>
      <c r="G812" s="10">
        <v>45679.748877314807</v>
      </c>
      <c r="H812" s="3" t="s">
        <v>2411</v>
      </c>
      <c r="I812" s="10">
        <v>45681.198912037027</v>
      </c>
      <c r="J812" s="10">
        <v>45681.220405092587</v>
      </c>
      <c r="K812" s="10">
        <v>45681.220405092587</v>
      </c>
      <c r="L812" s="10">
        <v>45681.22115740741</v>
      </c>
      <c r="M812" s="11">
        <f t="shared" si="36"/>
        <v>2.3541666654637083E-2</v>
      </c>
      <c r="N812" s="11">
        <f t="shared" si="37"/>
        <v>1.4722800926028867</v>
      </c>
      <c r="O812" s="10">
        <v>45679.751273148147</v>
      </c>
      <c r="P812" s="11">
        <f t="shared" si="38"/>
        <v>1.4476388888797374</v>
      </c>
      <c r="Q812" s="12" t="s">
        <v>2412</v>
      </c>
    </row>
    <row r="813" spans="1:17" ht="25.5" x14ac:dyDescent="0.25">
      <c r="A813" s="3" t="s">
        <v>2413</v>
      </c>
      <c r="B813" s="3" t="s">
        <v>360</v>
      </c>
      <c r="C813" s="9">
        <v>99.5</v>
      </c>
      <c r="D813" s="3" t="s">
        <v>539</v>
      </c>
      <c r="E813" s="10">
        <v>45679.725335648152</v>
      </c>
      <c r="F813" s="10">
        <v>45679.748877314807</v>
      </c>
      <c r="G813" s="10">
        <v>45679.750324074077</v>
      </c>
      <c r="H813" s="3" t="s">
        <v>2174</v>
      </c>
      <c r="I813" s="10">
        <v>45680.67324074074</v>
      </c>
      <c r="J813" s="10">
        <v>45680.700879629629</v>
      </c>
      <c r="K813" s="10">
        <v>45680.700879629629</v>
      </c>
      <c r="L813" s="10">
        <v>45680.701678240737</v>
      </c>
      <c r="M813" s="11">
        <f t="shared" si="36"/>
        <v>2.4988425924675539E-2</v>
      </c>
      <c r="N813" s="11">
        <f t="shared" si="37"/>
        <v>0.95135416666016681</v>
      </c>
      <c r="O813" s="10">
        <v>45679.754247685189</v>
      </c>
      <c r="P813" s="11">
        <f t="shared" si="38"/>
        <v>0.91899305555125466</v>
      </c>
      <c r="Q813" s="12" t="s">
        <v>2414</v>
      </c>
    </row>
    <row r="814" spans="1:17" ht="25.5" x14ac:dyDescent="0.25">
      <c r="A814" s="3" t="s">
        <v>2415</v>
      </c>
      <c r="B814" s="3" t="s">
        <v>360</v>
      </c>
      <c r="C814" s="9">
        <v>15.74</v>
      </c>
      <c r="D814" s="3" t="s">
        <v>533</v>
      </c>
      <c r="E814" s="10">
        <v>45679.725335648152</v>
      </c>
      <c r="F814" s="10">
        <v>45679.750324074077</v>
      </c>
      <c r="G814" s="10">
        <v>45679.752314814818</v>
      </c>
      <c r="H814" s="3" t="s">
        <v>2359</v>
      </c>
      <c r="I814" s="10">
        <v>45681.300937499997</v>
      </c>
      <c r="J814" s="10">
        <v>45681.326018518521</v>
      </c>
      <c r="K814" s="10">
        <v>45681.326018518521</v>
      </c>
      <c r="L814" s="10">
        <v>45681.326851851853</v>
      </c>
      <c r="M814" s="11">
        <f t="shared" si="36"/>
        <v>2.6979166665114462E-2</v>
      </c>
      <c r="N814" s="11">
        <f t="shared" si="37"/>
        <v>1.5745370370350429</v>
      </c>
      <c r="O814" s="10">
        <v>45679.756238425929</v>
      </c>
      <c r="P814" s="11">
        <f t="shared" si="38"/>
        <v>1.5446990740674664</v>
      </c>
      <c r="Q814" s="12" t="s">
        <v>2416</v>
      </c>
    </row>
    <row r="815" spans="1:17" ht="25.5" x14ac:dyDescent="0.25">
      <c r="A815" s="3" t="s">
        <v>2417</v>
      </c>
      <c r="B815" s="3" t="s">
        <v>360</v>
      </c>
      <c r="C815" s="9">
        <v>19.899999999999999</v>
      </c>
      <c r="D815" s="3" t="s">
        <v>488</v>
      </c>
      <c r="E815" s="10">
        <v>45679.725335648152</v>
      </c>
      <c r="F815" s="10">
        <v>45679.752314814818</v>
      </c>
      <c r="G815" s="10">
        <v>45679.754050925927</v>
      </c>
      <c r="H815" s="3" t="s">
        <v>2367</v>
      </c>
      <c r="I815" s="10">
        <v>45680.8828587963</v>
      </c>
      <c r="J815" s="10">
        <v>45680.900706018518</v>
      </c>
      <c r="K815" s="10">
        <v>45680.900706018518</v>
      </c>
      <c r="L815" s="10">
        <v>45680.90148148148</v>
      </c>
      <c r="M815" s="11">
        <f t="shared" si="36"/>
        <v>2.8715277774608694E-2</v>
      </c>
      <c r="N815" s="11">
        <f t="shared" si="37"/>
        <v>1.1474305555530009</v>
      </c>
      <c r="O815" s="10">
        <v>45679.756226851852</v>
      </c>
      <c r="P815" s="11">
        <f t="shared" si="38"/>
        <v>1.1266319444475812</v>
      </c>
      <c r="Q815" s="12" t="s">
        <v>2418</v>
      </c>
    </row>
    <row r="816" spans="1:17" ht="51" x14ac:dyDescent="0.25">
      <c r="A816" s="3" t="s">
        <v>2419</v>
      </c>
      <c r="B816" s="3" t="s">
        <v>360</v>
      </c>
      <c r="C816" s="9">
        <v>15.74</v>
      </c>
      <c r="D816" s="3" t="s">
        <v>1033</v>
      </c>
      <c r="E816" s="10">
        <v>45679.725335648152</v>
      </c>
      <c r="F816" s="10">
        <v>45679.754050925927</v>
      </c>
      <c r="G816" s="10">
        <v>45679.755636574067</v>
      </c>
      <c r="H816" s="3" t="s">
        <v>2350</v>
      </c>
      <c r="I816" s="10">
        <v>45681.738668981481</v>
      </c>
      <c r="J816" s="10">
        <v>45681.757233796299</v>
      </c>
      <c r="K816" s="10">
        <v>45681.757233796299</v>
      </c>
      <c r="L816" s="10">
        <v>45681.7580787037</v>
      </c>
      <c r="M816" s="11">
        <f t="shared" si="36"/>
        <v>3.0300925915071275E-2</v>
      </c>
      <c r="N816" s="11">
        <f t="shared" si="37"/>
        <v>2.002442129632982</v>
      </c>
      <c r="O816" s="10">
        <v>45679.759560185194</v>
      </c>
      <c r="P816" s="11">
        <f t="shared" si="38"/>
        <v>1.979108796287619</v>
      </c>
      <c r="Q816" s="12" t="s">
        <v>2420</v>
      </c>
    </row>
    <row r="817" spans="1:17" x14ac:dyDescent="0.25">
      <c r="A817" s="3" t="s">
        <v>2421</v>
      </c>
      <c r="B817" s="3" t="s">
        <v>360</v>
      </c>
      <c r="C817" s="9">
        <v>295.36000000000013</v>
      </c>
      <c r="D817" s="3" t="s">
        <v>506</v>
      </c>
      <c r="E817" s="10">
        <v>45679.725335648152</v>
      </c>
      <c r="F817" s="10">
        <v>45679.755636574067</v>
      </c>
      <c r="G817" s="10">
        <v>45679.758206018523</v>
      </c>
      <c r="H817" s="3" t="s">
        <v>2393</v>
      </c>
      <c r="I817" s="10">
        <v>45680.750057870369</v>
      </c>
      <c r="J817" s="10">
        <v>45680.80133101852</v>
      </c>
      <c r="K817" s="10">
        <v>45680.80133101852</v>
      </c>
      <c r="L817" s="10">
        <v>45680.802557870367</v>
      </c>
      <c r="M817" s="11">
        <f t="shared" si="36"/>
        <v>3.2870370370801538E-2</v>
      </c>
      <c r="N817" s="11">
        <f t="shared" si="37"/>
        <v>1.0443518518441124</v>
      </c>
      <c r="O817" s="10">
        <v>45679.760601851849</v>
      </c>
      <c r="P817" s="11">
        <f t="shared" si="38"/>
        <v>0.98945601852028631</v>
      </c>
      <c r="Q817" s="12" t="s">
        <v>2422</v>
      </c>
    </row>
    <row r="818" spans="1:17" ht="25.5" x14ac:dyDescent="0.25">
      <c r="A818" s="3" t="s">
        <v>2423</v>
      </c>
      <c r="B818" s="3" t="s">
        <v>360</v>
      </c>
      <c r="C818" s="9">
        <v>21</v>
      </c>
      <c r="D818" s="3" t="s">
        <v>488</v>
      </c>
      <c r="E818" s="10">
        <v>45679.725335648152</v>
      </c>
      <c r="F818" s="10">
        <v>45679.758206018523</v>
      </c>
      <c r="G818" s="10">
        <v>45679.759942129633</v>
      </c>
      <c r="H818" s="3" t="s">
        <v>2367</v>
      </c>
      <c r="I818" s="10">
        <v>45680.8828587963</v>
      </c>
      <c r="J818" s="10">
        <v>45680.900706018518</v>
      </c>
      <c r="K818" s="10">
        <v>45680.900706018518</v>
      </c>
      <c r="L818" s="10">
        <v>45680.90148148148</v>
      </c>
      <c r="M818" s="11">
        <f t="shared" si="36"/>
        <v>3.460648148029577E-2</v>
      </c>
      <c r="N818" s="11">
        <f t="shared" si="37"/>
        <v>1.1415393518473138</v>
      </c>
      <c r="O818" s="10">
        <v>45679.763518518521</v>
      </c>
      <c r="P818" s="11">
        <f t="shared" si="38"/>
        <v>1.1193402777789743</v>
      </c>
      <c r="Q818" s="12" t="s">
        <v>2424</v>
      </c>
    </row>
    <row r="819" spans="1:17" ht="38.25" x14ac:dyDescent="0.25">
      <c r="A819" s="3" t="s">
        <v>2425</v>
      </c>
      <c r="B819" s="3" t="s">
        <v>360</v>
      </c>
      <c r="C819" s="9">
        <v>19.899999999999999</v>
      </c>
      <c r="D819" s="3" t="s">
        <v>519</v>
      </c>
      <c r="E819" s="10">
        <v>45679.725335648152</v>
      </c>
      <c r="F819" s="10">
        <v>45679.759942129633</v>
      </c>
      <c r="G819" s="10">
        <v>45679.76121527778</v>
      </c>
      <c r="H819" s="3" t="s">
        <v>2426</v>
      </c>
      <c r="I819" s="10">
        <v>45681.400775462957</v>
      </c>
      <c r="J819" s="10">
        <v>45681.427210648151</v>
      </c>
      <c r="K819" s="10">
        <v>45681.427210648151</v>
      </c>
      <c r="L819" s="10">
        <v>45681.428113425929</v>
      </c>
      <c r="M819" s="11">
        <f t="shared" si="36"/>
        <v>3.587962962774327E-2</v>
      </c>
      <c r="N819" s="11">
        <f t="shared" si="37"/>
        <v>1.6668981481489027</v>
      </c>
      <c r="O819" s="10">
        <v>45679.763611111113</v>
      </c>
      <c r="P819" s="11">
        <f t="shared" si="38"/>
        <v>1.6371643518432393</v>
      </c>
      <c r="Q819" s="12" t="s">
        <v>2427</v>
      </c>
    </row>
    <row r="820" spans="1:17" ht="25.5" x14ac:dyDescent="0.25">
      <c r="A820" s="3" t="s">
        <v>2428</v>
      </c>
      <c r="B820" s="3" t="s">
        <v>361</v>
      </c>
      <c r="C820" s="9">
        <v>325.36000000000013</v>
      </c>
      <c r="D820" s="3" t="s">
        <v>500</v>
      </c>
      <c r="E820" s="10">
        <v>45679.733437499999</v>
      </c>
      <c r="F820" s="10">
        <v>45679.739502314813</v>
      </c>
      <c r="G820" s="10">
        <v>45679.741377314807</v>
      </c>
      <c r="H820" s="3" t="s">
        <v>2402</v>
      </c>
      <c r="I820" s="10">
        <v>45680.640069444453</v>
      </c>
      <c r="J820" s="10">
        <v>45680.707488425927</v>
      </c>
      <c r="K820" s="10">
        <v>45680.707488425927</v>
      </c>
      <c r="L820" s="10">
        <v>45680.708854166667</v>
      </c>
      <c r="M820" s="11">
        <f t="shared" si="36"/>
        <v>7.9398148081963882E-3</v>
      </c>
      <c r="N820" s="11">
        <f t="shared" si="37"/>
        <v>0.96747685185982846</v>
      </c>
      <c r="O820" s="10">
        <v>45679.745300925933</v>
      </c>
      <c r="P820" s="11">
        <f t="shared" si="38"/>
        <v>0.89476851851941319</v>
      </c>
      <c r="Q820" s="12" t="s">
        <v>2429</v>
      </c>
    </row>
    <row r="821" spans="1:17" x14ac:dyDescent="0.25">
      <c r="A821" s="3" t="s">
        <v>2430</v>
      </c>
      <c r="B821" s="3" t="s">
        <v>362</v>
      </c>
      <c r="C821" s="9">
        <v>74.62</v>
      </c>
      <c r="D821" s="3" t="s">
        <v>500</v>
      </c>
      <c r="E821" s="10">
        <v>45679.743692129632</v>
      </c>
      <c r="F821" s="10"/>
      <c r="G821" s="10"/>
      <c r="H821" s="3"/>
      <c r="I821" s="10"/>
      <c r="J821" s="10"/>
      <c r="K821" s="10"/>
      <c r="L821" s="10"/>
      <c r="M821" s="11" t="str">
        <f t="shared" si="36"/>
        <v/>
      </c>
      <c r="N821" s="11" t="str">
        <f t="shared" si="37"/>
        <v/>
      </c>
      <c r="O821" s="10"/>
      <c r="P821" s="11" t="str">
        <f t="shared" si="38"/>
        <v/>
      </c>
      <c r="Q821" s="12"/>
    </row>
    <row r="822" spans="1:17" ht="25.5" x14ac:dyDescent="0.25">
      <c r="A822" s="3" t="s">
        <v>2431</v>
      </c>
      <c r="B822" s="3" t="s">
        <v>363</v>
      </c>
      <c r="C822" s="9">
        <v>92.96</v>
      </c>
      <c r="D822" s="3" t="s">
        <v>506</v>
      </c>
      <c r="E822" s="10">
        <v>45679.83730324074</v>
      </c>
      <c r="F822" s="10">
        <v>45679.849988425929</v>
      </c>
      <c r="G822" s="10">
        <v>45679.852118055547</v>
      </c>
      <c r="H822" s="3" t="s">
        <v>2432</v>
      </c>
      <c r="I822" s="10">
        <v>45680.752858796302</v>
      </c>
      <c r="J822" s="10">
        <v>45680.771435185183</v>
      </c>
      <c r="K822" s="10">
        <v>45680.771435185183</v>
      </c>
      <c r="L822" s="10">
        <v>45680.772233796299</v>
      </c>
      <c r="M822" s="11">
        <f t="shared" si="36"/>
        <v>1.4814814807323273E-2</v>
      </c>
      <c r="N822" s="11">
        <f t="shared" si="37"/>
        <v>0.92011574075149838</v>
      </c>
      <c r="O822" s="10">
        <v>45679.854513888888</v>
      </c>
      <c r="P822" s="11">
        <f t="shared" si="38"/>
        <v>0.89834490741486661</v>
      </c>
      <c r="Q822" s="12" t="s">
        <v>2433</v>
      </c>
    </row>
    <row r="823" spans="1:17" ht="51" x14ac:dyDescent="0.25">
      <c r="A823" s="3" t="s">
        <v>2434</v>
      </c>
      <c r="B823" s="3" t="s">
        <v>363</v>
      </c>
      <c r="C823" s="9">
        <v>19.899999999999999</v>
      </c>
      <c r="D823" s="3" t="s">
        <v>539</v>
      </c>
      <c r="E823" s="10">
        <v>45679.83730324074</v>
      </c>
      <c r="F823" s="10">
        <v>45679.852118055547</v>
      </c>
      <c r="G823" s="10">
        <v>45679.853738425933</v>
      </c>
      <c r="H823" s="3" t="s">
        <v>2350</v>
      </c>
      <c r="I823" s="10">
        <v>45681.738668981481</v>
      </c>
      <c r="J823" s="10">
        <v>45681.757233796299</v>
      </c>
      <c r="K823" s="10">
        <v>45681.757233796299</v>
      </c>
      <c r="L823" s="10">
        <v>45681.7580787037</v>
      </c>
      <c r="M823" s="11">
        <f t="shared" si="36"/>
        <v>1.6435185192676727E-2</v>
      </c>
      <c r="N823" s="11">
        <f t="shared" si="37"/>
        <v>1.9043402777679148</v>
      </c>
      <c r="O823" s="10">
        <v>45679.855914351851</v>
      </c>
      <c r="P823" s="11">
        <f t="shared" si="38"/>
        <v>1.8827546296306537</v>
      </c>
      <c r="Q823" s="12" t="s">
        <v>2435</v>
      </c>
    </row>
    <row r="824" spans="1:17" ht="25.5" x14ac:dyDescent="0.25">
      <c r="A824" s="3" t="s">
        <v>2436</v>
      </c>
      <c r="B824" s="3" t="s">
        <v>363</v>
      </c>
      <c r="C824" s="9">
        <v>14</v>
      </c>
      <c r="D824" s="3" t="s">
        <v>595</v>
      </c>
      <c r="E824" s="10">
        <v>45679.83730324074</v>
      </c>
      <c r="F824" s="10">
        <v>45679.853738425933</v>
      </c>
      <c r="G824" s="10">
        <v>45679.855694444443</v>
      </c>
      <c r="H824" s="3" t="s">
        <v>2432</v>
      </c>
      <c r="I824" s="10">
        <v>45680.752858796302</v>
      </c>
      <c r="J824" s="10">
        <v>45680.771435185183</v>
      </c>
      <c r="K824" s="10">
        <v>45680.771435185183</v>
      </c>
      <c r="L824" s="10">
        <v>45680.772233796299</v>
      </c>
      <c r="M824" s="11">
        <f t="shared" si="36"/>
        <v>1.8391203702776693E-2</v>
      </c>
      <c r="N824" s="11">
        <f t="shared" si="37"/>
        <v>0.91653935185604496</v>
      </c>
      <c r="O824" s="10">
        <v>45679.859618055547</v>
      </c>
      <c r="P824" s="11">
        <f t="shared" si="38"/>
        <v>0.89324074075557292</v>
      </c>
      <c r="Q824" s="12" t="s">
        <v>2437</v>
      </c>
    </row>
    <row r="825" spans="1:17" ht="38.25" x14ac:dyDescent="0.25">
      <c r="A825" s="3" t="s">
        <v>2438</v>
      </c>
      <c r="B825" s="3" t="s">
        <v>363</v>
      </c>
      <c r="C825" s="9">
        <v>33</v>
      </c>
      <c r="D825" s="3" t="s">
        <v>519</v>
      </c>
      <c r="E825" s="10">
        <v>45679.83730324074</v>
      </c>
      <c r="F825" s="10">
        <v>45679.855694444443</v>
      </c>
      <c r="G825" s="10">
        <v>45679.85701388889</v>
      </c>
      <c r="H825" s="3" t="s">
        <v>2426</v>
      </c>
      <c r="I825" s="10">
        <v>45681.400775462957</v>
      </c>
      <c r="J825" s="10">
        <v>45681.427210648151</v>
      </c>
      <c r="K825" s="10">
        <v>45681.427210648151</v>
      </c>
      <c r="L825" s="10">
        <v>45681.428113425929</v>
      </c>
      <c r="M825" s="11">
        <f t="shared" si="36"/>
        <v>1.9710648150066845E-2</v>
      </c>
      <c r="N825" s="11">
        <f t="shared" si="37"/>
        <v>1.5710995370391174</v>
      </c>
      <c r="O825" s="10">
        <v>45679.860578703701</v>
      </c>
      <c r="P825" s="11">
        <f t="shared" si="38"/>
        <v>1.5401967592551955</v>
      </c>
      <c r="Q825" s="12" t="s">
        <v>2439</v>
      </c>
    </row>
    <row r="826" spans="1:17" ht="25.5" x14ac:dyDescent="0.25">
      <c r="A826" s="3" t="s">
        <v>2440</v>
      </c>
      <c r="B826" s="3" t="s">
        <v>363</v>
      </c>
      <c r="C826" s="9">
        <v>61.9</v>
      </c>
      <c r="D826" s="3" t="s">
        <v>488</v>
      </c>
      <c r="E826" s="10">
        <v>45679.83730324074</v>
      </c>
      <c r="F826" s="10">
        <v>45679.85701388889</v>
      </c>
      <c r="G826" s="10">
        <v>45679.858877314808</v>
      </c>
      <c r="H826" s="3" t="s">
        <v>2367</v>
      </c>
      <c r="I826" s="10">
        <v>45680.8828587963</v>
      </c>
      <c r="J826" s="10">
        <v>45680.900706018518</v>
      </c>
      <c r="K826" s="10">
        <v>45680.900706018518</v>
      </c>
      <c r="L826" s="10">
        <v>45680.90148148148</v>
      </c>
      <c r="M826" s="11">
        <f t="shared" si="36"/>
        <v>2.1574074067757465E-2</v>
      </c>
      <c r="N826" s="11">
        <f t="shared" si="37"/>
        <v>1.0426041666723904</v>
      </c>
      <c r="O826" s="10">
        <v>45679.862800925926</v>
      </c>
      <c r="P826" s="11">
        <f t="shared" si="38"/>
        <v>1.0200578703734209</v>
      </c>
      <c r="Q826" s="12" t="s">
        <v>2441</v>
      </c>
    </row>
    <row r="827" spans="1:17" ht="38.25" x14ac:dyDescent="0.25">
      <c r="A827" s="3" t="s">
        <v>2442</v>
      </c>
      <c r="B827" s="3" t="s">
        <v>363</v>
      </c>
      <c r="C827" s="9">
        <v>31.48</v>
      </c>
      <c r="D827" s="3" t="s">
        <v>506</v>
      </c>
      <c r="E827" s="10">
        <v>45679.83730324074</v>
      </c>
      <c r="F827" s="10">
        <v>45679.858877314808</v>
      </c>
      <c r="G827" s="10">
        <v>45679.860868055563</v>
      </c>
      <c r="H827" s="3" t="s">
        <v>2443</v>
      </c>
      <c r="I827" s="10">
        <v>45681.553194444437</v>
      </c>
      <c r="J827" s="10">
        <v>45681.583912037036</v>
      </c>
      <c r="K827" s="10">
        <v>45681.583912037036</v>
      </c>
      <c r="L827" s="10">
        <v>45681.584872685176</v>
      </c>
      <c r="M827" s="11">
        <f t="shared" si="36"/>
        <v>2.3564814822748303E-2</v>
      </c>
      <c r="N827" s="11">
        <f t="shared" si="37"/>
        <v>1.7240046296137734</v>
      </c>
      <c r="O827" s="10">
        <v>45679.863263888888</v>
      </c>
      <c r="P827" s="11">
        <f t="shared" si="38"/>
        <v>1.6899305555489263</v>
      </c>
      <c r="Q827" s="12" t="s">
        <v>2444</v>
      </c>
    </row>
    <row r="828" spans="1:17" ht="38.25" x14ac:dyDescent="0.25">
      <c r="A828" s="3" t="s">
        <v>2445</v>
      </c>
      <c r="B828" s="3" t="s">
        <v>363</v>
      </c>
      <c r="C828" s="9">
        <v>15.74</v>
      </c>
      <c r="D828" s="3" t="s">
        <v>1033</v>
      </c>
      <c r="E828" s="10">
        <v>45679.83730324074</v>
      </c>
      <c r="F828" s="10">
        <v>45679.860868055563</v>
      </c>
      <c r="G828" s="10">
        <v>45679.862476851849</v>
      </c>
      <c r="H828" s="3" t="s">
        <v>2350</v>
      </c>
      <c r="I828" s="10">
        <v>45681.738668981481</v>
      </c>
      <c r="J828" s="10">
        <v>45681.757233796299</v>
      </c>
      <c r="K828" s="10">
        <v>45681.757233796299</v>
      </c>
      <c r="L828" s="10">
        <v>45681.7580787037</v>
      </c>
      <c r="M828" s="11">
        <f t="shared" si="36"/>
        <v>2.5173611109494232E-2</v>
      </c>
      <c r="N828" s="11">
        <f t="shared" si="37"/>
        <v>1.8956018518510973</v>
      </c>
      <c r="O828" s="10">
        <v>45679.866041666668</v>
      </c>
      <c r="P828" s="11">
        <f t="shared" si="38"/>
        <v>1.872627314813144</v>
      </c>
      <c r="Q828" s="12" t="s">
        <v>2446</v>
      </c>
    </row>
    <row r="829" spans="1:17" ht="25.5" x14ac:dyDescent="0.25">
      <c r="A829" s="3" t="s">
        <v>2447</v>
      </c>
      <c r="B829" s="3" t="s">
        <v>363</v>
      </c>
      <c r="C829" s="9">
        <v>29.74</v>
      </c>
      <c r="D829" s="3" t="s">
        <v>523</v>
      </c>
      <c r="E829" s="10">
        <v>45679.83730324074</v>
      </c>
      <c r="F829" s="10">
        <v>45679.862476851849</v>
      </c>
      <c r="G829" s="10">
        <v>45679.864236111112</v>
      </c>
      <c r="H829" s="3" t="s">
        <v>2396</v>
      </c>
      <c r="I829" s="10">
        <v>45681.132847222223</v>
      </c>
      <c r="J829" s="10">
        <v>45681.152511574073</v>
      </c>
      <c r="K829" s="10">
        <v>45681.152511574073</v>
      </c>
      <c r="L829" s="10">
        <v>45681.153275462973</v>
      </c>
      <c r="M829" s="11">
        <f t="shared" si="36"/>
        <v>2.6932870372547768E-2</v>
      </c>
      <c r="N829" s="11">
        <f t="shared" si="37"/>
        <v>1.2890393518609926</v>
      </c>
      <c r="O829" s="10">
        <v>45679.868159722217</v>
      </c>
      <c r="P829" s="11">
        <f t="shared" si="38"/>
        <v>1.2646875000064028</v>
      </c>
      <c r="Q829" s="12" t="s">
        <v>2448</v>
      </c>
    </row>
    <row r="830" spans="1:17" x14ac:dyDescent="0.25">
      <c r="A830" s="3" t="s">
        <v>2449</v>
      </c>
      <c r="B830" s="3" t="s">
        <v>364</v>
      </c>
      <c r="C830" s="9">
        <v>123.8</v>
      </c>
      <c r="D830" s="3" t="s">
        <v>488</v>
      </c>
      <c r="E830" s="10">
        <v>45680.114490740743</v>
      </c>
      <c r="F830" s="10">
        <v>45680.123437499999</v>
      </c>
      <c r="G830" s="10">
        <v>45680.124849537038</v>
      </c>
      <c r="H830" s="3" t="s">
        <v>2411</v>
      </c>
      <c r="I830" s="10">
        <v>45681.198912037027</v>
      </c>
      <c r="J830" s="10">
        <v>45681.220405092587</v>
      </c>
      <c r="K830" s="10">
        <v>45681.220405092587</v>
      </c>
      <c r="L830" s="10">
        <v>45681.22115740741</v>
      </c>
      <c r="M830" s="11">
        <f t="shared" si="36"/>
        <v>1.0358796294895001E-2</v>
      </c>
      <c r="N830" s="11">
        <f t="shared" si="37"/>
        <v>1.0963078703716747</v>
      </c>
      <c r="O830" s="10">
        <v>45680.127245370371</v>
      </c>
      <c r="P830" s="11">
        <f t="shared" si="38"/>
        <v>1.0716666666558012</v>
      </c>
      <c r="Q830" s="12" t="s">
        <v>2450</v>
      </c>
    </row>
    <row r="831" spans="1:17" x14ac:dyDescent="0.25">
      <c r="A831" s="3" t="s">
        <v>2451</v>
      </c>
      <c r="B831" s="3" t="s">
        <v>364</v>
      </c>
      <c r="C831" s="9">
        <v>107.86</v>
      </c>
      <c r="D831" s="3" t="s">
        <v>492</v>
      </c>
      <c r="E831" s="10">
        <v>45680.114490740743</v>
      </c>
      <c r="F831" s="10">
        <v>45680.124849537038</v>
      </c>
      <c r="G831" s="10">
        <v>45680.127013888887</v>
      </c>
      <c r="H831" s="3" t="s">
        <v>2452</v>
      </c>
      <c r="I831" s="10">
        <v>45681.269328703696</v>
      </c>
      <c r="J831" s="10">
        <v>45681.288055555553</v>
      </c>
      <c r="K831" s="10">
        <v>45681.288055555553</v>
      </c>
      <c r="L831" s="10">
        <v>45681.288842592592</v>
      </c>
      <c r="M831" s="11">
        <f t="shared" si="36"/>
        <v>1.2523148143372964E-2</v>
      </c>
      <c r="N831" s="11">
        <f t="shared" si="37"/>
        <v>1.161828703705396</v>
      </c>
      <c r="O831" s="10">
        <v>45680.129201388889</v>
      </c>
      <c r="P831" s="11">
        <f t="shared" si="38"/>
        <v>1.1401273148076143</v>
      </c>
      <c r="Q831" s="12" t="s">
        <v>2453</v>
      </c>
    </row>
    <row r="832" spans="1:17" ht="25.5" x14ac:dyDescent="0.25">
      <c r="A832" s="3" t="s">
        <v>2454</v>
      </c>
      <c r="B832" s="3" t="s">
        <v>364</v>
      </c>
      <c r="C832" s="9">
        <v>15.74</v>
      </c>
      <c r="D832" s="3" t="s">
        <v>496</v>
      </c>
      <c r="E832" s="10">
        <v>45680.114490740743</v>
      </c>
      <c r="F832" s="10">
        <v>45680.127013888887</v>
      </c>
      <c r="G832" s="10">
        <v>45680.128935185188</v>
      </c>
      <c r="H832" s="3" t="s">
        <v>2455</v>
      </c>
      <c r="I832" s="10">
        <v>45681.332650462973</v>
      </c>
      <c r="J832" s="10">
        <v>45681.363518518519</v>
      </c>
      <c r="K832" s="10">
        <v>45681.363518518519</v>
      </c>
      <c r="L832" s="10">
        <v>45681.364328703698</v>
      </c>
      <c r="M832" s="11">
        <f t="shared" si="36"/>
        <v>1.4444444444961846E-2</v>
      </c>
      <c r="N832" s="11">
        <f t="shared" si="37"/>
        <v>1.2353935185092269</v>
      </c>
      <c r="O832" s="10">
        <v>45680.131331018521</v>
      </c>
      <c r="P832" s="11">
        <f t="shared" si="38"/>
        <v>1.2013194444516557</v>
      </c>
      <c r="Q832" s="12" t="s">
        <v>2456</v>
      </c>
    </row>
    <row r="833" spans="1:17" ht="25.5" x14ac:dyDescent="0.25">
      <c r="A833" s="3" t="s">
        <v>2457</v>
      </c>
      <c r="B833" s="3" t="s">
        <v>364</v>
      </c>
      <c r="C833" s="9">
        <v>63.039999999999992</v>
      </c>
      <c r="D833" s="3" t="s">
        <v>484</v>
      </c>
      <c r="E833" s="10">
        <v>45680.114490740743</v>
      </c>
      <c r="F833" s="10">
        <v>45680.128935185188</v>
      </c>
      <c r="G833" s="10">
        <v>45680.130208333343</v>
      </c>
      <c r="H833" s="3" t="s">
        <v>2458</v>
      </c>
      <c r="I833" s="10">
        <v>45681.31454861111</v>
      </c>
      <c r="J833" s="10">
        <v>45681.334999999999</v>
      </c>
      <c r="K833" s="10">
        <v>45681.334999999999</v>
      </c>
      <c r="L833" s="10">
        <v>45681.335729166669</v>
      </c>
      <c r="M833" s="11">
        <f t="shared" si="36"/>
        <v>1.5717592599685304E-2</v>
      </c>
      <c r="N833" s="11">
        <f t="shared" si="37"/>
        <v>1.2055208333258634</v>
      </c>
      <c r="O833" s="10">
        <v>45680.132384259261</v>
      </c>
      <c r="P833" s="11">
        <f t="shared" si="38"/>
        <v>1.182164351848769</v>
      </c>
      <c r="Q833" s="12" t="s">
        <v>2459</v>
      </c>
    </row>
    <row r="834" spans="1:17" x14ac:dyDescent="0.25">
      <c r="A834" s="3" t="s">
        <v>2460</v>
      </c>
      <c r="B834" s="3" t="s">
        <v>365</v>
      </c>
      <c r="C834" s="9">
        <v>144.44</v>
      </c>
      <c r="D834" s="3" t="s">
        <v>500</v>
      </c>
      <c r="E834" s="10">
        <v>45680.265127314808</v>
      </c>
      <c r="F834" s="10">
        <v>45680.269861111112</v>
      </c>
      <c r="G834" s="10">
        <v>45680.272175925929</v>
      </c>
      <c r="H834" s="3" t="s">
        <v>2359</v>
      </c>
      <c r="I834" s="10">
        <v>45681.300937499997</v>
      </c>
      <c r="J834" s="10">
        <v>45681.326018518521</v>
      </c>
      <c r="K834" s="10">
        <v>45681.326018518521</v>
      </c>
      <c r="L834" s="10">
        <v>45681.326851851853</v>
      </c>
      <c r="M834" s="11">
        <f t="shared" ref="M834:M897" si="39">IF(AND(ISNUMBER(E834),ISNUMBER(G834)),(G834-E834),"")</f>
        <v>7.0486111217178404E-3</v>
      </c>
      <c r="N834" s="11">
        <f t="shared" ref="N834:N897" si="40">IF(AND(ISNUMBER(G834),ISNUMBER(L834)),(L834-G834),"")</f>
        <v>1.0546759259232203</v>
      </c>
      <c r="O834" s="10">
        <v>45680.274560185193</v>
      </c>
      <c r="P834" s="11">
        <f t="shared" ref="P834:P897" si="41">IF(AND(ISNUMBER(I834),ISNUMBER(O834)),(I834-O834),"")</f>
        <v>1.0263773148035398</v>
      </c>
      <c r="Q834" s="12" t="s">
        <v>2461</v>
      </c>
    </row>
    <row r="835" spans="1:17" x14ac:dyDescent="0.25">
      <c r="A835" s="3" t="s">
        <v>2462</v>
      </c>
      <c r="B835" s="3" t="s">
        <v>366</v>
      </c>
      <c r="C835" s="9">
        <v>27</v>
      </c>
      <c r="D835" s="3" t="s">
        <v>527</v>
      </c>
      <c r="E835" s="10">
        <v>45680.283645833333</v>
      </c>
      <c r="F835" s="10"/>
      <c r="G835" s="10"/>
      <c r="H835" s="3"/>
      <c r="I835" s="10"/>
      <c r="J835" s="10"/>
      <c r="K835" s="10"/>
      <c r="L835" s="10"/>
      <c r="M835" s="11" t="str">
        <f t="shared" si="39"/>
        <v/>
      </c>
      <c r="N835" s="11" t="str">
        <f t="shared" si="40"/>
        <v/>
      </c>
      <c r="O835" s="10"/>
      <c r="P835" s="11" t="str">
        <f t="shared" si="41"/>
        <v/>
      </c>
      <c r="Q835" s="12"/>
    </row>
    <row r="836" spans="1:17" ht="25.5" x14ac:dyDescent="0.25">
      <c r="A836" s="3" t="s">
        <v>2463</v>
      </c>
      <c r="B836" s="3" t="s">
        <v>366</v>
      </c>
      <c r="C836" s="9">
        <v>12.04</v>
      </c>
      <c r="D836" s="3" t="s">
        <v>492</v>
      </c>
      <c r="E836" s="10">
        <v>45680.283645833333</v>
      </c>
      <c r="F836" s="10">
        <v>45680.296226851853</v>
      </c>
      <c r="G836" s="10">
        <v>45680.298171296286</v>
      </c>
      <c r="H836" s="3" t="s">
        <v>2464</v>
      </c>
      <c r="I836" s="10">
        <v>45681.615370370368</v>
      </c>
      <c r="J836" s="10">
        <v>45681.686168981483</v>
      </c>
      <c r="K836" s="10">
        <v>45681.686168981483</v>
      </c>
      <c r="L836" s="10">
        <v>45681.687650462962</v>
      </c>
      <c r="M836" s="11">
        <f t="shared" si="39"/>
        <v>1.4525462953315582E-2</v>
      </c>
      <c r="N836" s="11">
        <f t="shared" si="40"/>
        <v>1.3894791666753008</v>
      </c>
      <c r="O836" s="10">
        <v>45680.300543981481</v>
      </c>
      <c r="P836" s="11">
        <f t="shared" si="41"/>
        <v>1.3148263888870133</v>
      </c>
      <c r="Q836" s="12" t="s">
        <v>2465</v>
      </c>
    </row>
    <row r="837" spans="1:17" ht="25.5" x14ac:dyDescent="0.25">
      <c r="A837" s="3" t="s">
        <v>2466</v>
      </c>
      <c r="B837" s="3" t="s">
        <v>366</v>
      </c>
      <c r="C837" s="9">
        <v>54.72</v>
      </c>
      <c r="D837" s="3" t="s">
        <v>484</v>
      </c>
      <c r="E837" s="10">
        <v>45680.283645833333</v>
      </c>
      <c r="F837" s="10">
        <v>45680.298171296286</v>
      </c>
      <c r="G837" s="10">
        <v>45680.299421296288</v>
      </c>
      <c r="H837" s="3" t="s">
        <v>2458</v>
      </c>
      <c r="I837" s="10">
        <v>45681.31454861111</v>
      </c>
      <c r="J837" s="10">
        <v>45681.334999999999</v>
      </c>
      <c r="K837" s="10">
        <v>45681.334999999999</v>
      </c>
      <c r="L837" s="10">
        <v>45681.335729166669</v>
      </c>
      <c r="M837" s="11">
        <f t="shared" si="39"/>
        <v>1.5775462954479735E-2</v>
      </c>
      <c r="N837" s="11">
        <f t="shared" si="40"/>
        <v>1.0363078703812789</v>
      </c>
      <c r="O837" s="10">
        <v>45680.303344907406</v>
      </c>
      <c r="P837" s="11">
        <f t="shared" si="41"/>
        <v>1.0112037037033588</v>
      </c>
      <c r="Q837" s="12" t="s">
        <v>2467</v>
      </c>
    </row>
    <row r="838" spans="1:17" ht="25.5" x14ac:dyDescent="0.25">
      <c r="A838" s="3" t="s">
        <v>2468</v>
      </c>
      <c r="B838" s="3" t="s">
        <v>366</v>
      </c>
      <c r="C838" s="9">
        <v>62.96</v>
      </c>
      <c r="D838" s="3" t="s">
        <v>515</v>
      </c>
      <c r="E838" s="10">
        <v>45680.283645833333</v>
      </c>
      <c r="F838" s="10">
        <v>45680.299421296288</v>
      </c>
      <c r="G838" s="10">
        <v>45680.301446759258</v>
      </c>
      <c r="H838" s="3" t="s">
        <v>2469</v>
      </c>
      <c r="I838" s="10">
        <v>45681.424791666657</v>
      </c>
      <c r="J838" s="10">
        <v>45681.4534375</v>
      </c>
      <c r="K838" s="10">
        <v>45681.4534375</v>
      </c>
      <c r="L838" s="10">
        <v>45681.454201388893</v>
      </c>
      <c r="M838" s="11">
        <f t="shared" si="39"/>
        <v>1.7800925925257616E-2</v>
      </c>
      <c r="N838" s="11">
        <f t="shared" si="40"/>
        <v>1.1527546296347282</v>
      </c>
      <c r="O838" s="10">
        <v>45680.303819444453</v>
      </c>
      <c r="P838" s="11">
        <f t="shared" si="41"/>
        <v>1.1209722222047276</v>
      </c>
      <c r="Q838" s="12" t="s">
        <v>2470</v>
      </c>
    </row>
    <row r="839" spans="1:17" ht="25.5" x14ac:dyDescent="0.25">
      <c r="A839" s="3" t="s">
        <v>2471</v>
      </c>
      <c r="B839" s="3" t="s">
        <v>366</v>
      </c>
      <c r="C839" s="9">
        <v>42</v>
      </c>
      <c r="D839" s="3" t="s">
        <v>519</v>
      </c>
      <c r="E839" s="10">
        <v>45680.283645833333</v>
      </c>
      <c r="F839" s="10">
        <v>45680.301446759258</v>
      </c>
      <c r="G839" s="10">
        <v>45680.302789351852</v>
      </c>
      <c r="H839" s="3" t="s">
        <v>2426</v>
      </c>
      <c r="I839" s="10">
        <v>45681.400775462957</v>
      </c>
      <c r="J839" s="10">
        <v>45681.427210648151</v>
      </c>
      <c r="K839" s="10">
        <v>45681.427210648151</v>
      </c>
      <c r="L839" s="10">
        <v>45681.428113425929</v>
      </c>
      <c r="M839" s="11">
        <f t="shared" si="39"/>
        <v>1.9143518518831115E-2</v>
      </c>
      <c r="N839" s="11">
        <f t="shared" si="40"/>
        <v>1.1253240740770707</v>
      </c>
      <c r="O839" s="10">
        <v>45680.306712962964</v>
      </c>
      <c r="P839" s="11">
        <f t="shared" si="41"/>
        <v>1.0940624999930151</v>
      </c>
      <c r="Q839" s="12" t="s">
        <v>2472</v>
      </c>
    </row>
    <row r="840" spans="1:17" ht="38.25" x14ac:dyDescent="0.25">
      <c r="A840" s="3" t="s">
        <v>2473</v>
      </c>
      <c r="B840" s="3" t="s">
        <v>366</v>
      </c>
      <c r="C840" s="9">
        <v>23.24</v>
      </c>
      <c r="D840" s="3" t="s">
        <v>506</v>
      </c>
      <c r="E840" s="10">
        <v>45680.283645833333</v>
      </c>
      <c r="F840" s="10">
        <v>45680.302789351852</v>
      </c>
      <c r="G840" s="10">
        <v>45680.304791666669</v>
      </c>
      <c r="H840" s="3" t="s">
        <v>2443</v>
      </c>
      <c r="I840" s="10">
        <v>45681.553194444437</v>
      </c>
      <c r="J840" s="10">
        <v>45681.583912037036</v>
      </c>
      <c r="K840" s="10">
        <v>45681.583912037036</v>
      </c>
      <c r="L840" s="10">
        <v>45681.584872685176</v>
      </c>
      <c r="M840" s="11">
        <f t="shared" si="39"/>
        <v>2.1145833336049691E-2</v>
      </c>
      <c r="N840" s="11">
        <f t="shared" si="40"/>
        <v>1.2800810185071896</v>
      </c>
      <c r="O840" s="10">
        <v>45680.308715277781</v>
      </c>
      <c r="P840" s="11">
        <f t="shared" si="41"/>
        <v>1.2444791666566744</v>
      </c>
      <c r="Q840" s="12" t="s">
        <v>2474</v>
      </c>
    </row>
    <row r="841" spans="1:17" x14ac:dyDescent="0.25">
      <c r="A841" s="3" t="s">
        <v>2475</v>
      </c>
      <c r="B841" s="3" t="s">
        <v>366</v>
      </c>
      <c r="C841" s="9">
        <v>19.899999999999999</v>
      </c>
      <c r="D841" s="3" t="s">
        <v>488</v>
      </c>
      <c r="E841" s="10">
        <v>45680.283645833333</v>
      </c>
      <c r="F841" s="10"/>
      <c r="G841" s="10"/>
      <c r="H841" s="3"/>
      <c r="I841" s="10"/>
      <c r="J841" s="10"/>
      <c r="K841" s="10"/>
      <c r="L841" s="10"/>
      <c r="M841" s="11" t="str">
        <f t="shared" si="39"/>
        <v/>
      </c>
      <c r="N841" s="11" t="str">
        <f t="shared" si="40"/>
        <v/>
      </c>
      <c r="O841" s="10"/>
      <c r="P841" s="11" t="str">
        <f t="shared" si="41"/>
        <v/>
      </c>
      <c r="Q841" s="12"/>
    </row>
    <row r="842" spans="1:17" ht="38.25" x14ac:dyDescent="0.25">
      <c r="A842" s="3" t="s">
        <v>2476</v>
      </c>
      <c r="B842" s="3" t="s">
        <v>366</v>
      </c>
      <c r="C842" s="9">
        <v>15.74</v>
      </c>
      <c r="D842" s="3" t="s">
        <v>506</v>
      </c>
      <c r="E842" s="10">
        <v>45680.283645833333</v>
      </c>
      <c r="F842" s="10">
        <v>45680.302789351852</v>
      </c>
      <c r="G842" s="10">
        <v>45680.304791666669</v>
      </c>
      <c r="H842" s="3" t="s">
        <v>2443</v>
      </c>
      <c r="I842" s="10">
        <v>45681.553194444437</v>
      </c>
      <c r="J842" s="10">
        <v>45681.583912037036</v>
      </c>
      <c r="K842" s="10">
        <v>45681.583912037036</v>
      </c>
      <c r="L842" s="10">
        <v>45681.584872685176</v>
      </c>
      <c r="M842" s="11">
        <f t="shared" si="39"/>
        <v>2.1145833336049691E-2</v>
      </c>
      <c r="N842" s="11">
        <f t="shared" si="40"/>
        <v>1.2800810185071896</v>
      </c>
      <c r="O842" s="10">
        <v>45680.308715277781</v>
      </c>
      <c r="P842" s="11">
        <f t="shared" si="41"/>
        <v>1.2444791666566744</v>
      </c>
      <c r="Q842" s="12" t="s">
        <v>2477</v>
      </c>
    </row>
    <row r="843" spans="1:17" x14ac:dyDescent="0.25">
      <c r="A843" s="3" t="s">
        <v>2478</v>
      </c>
      <c r="B843" s="3" t="s">
        <v>367</v>
      </c>
      <c r="C843" s="9">
        <v>205.52</v>
      </c>
      <c r="D843" s="3" t="s">
        <v>500</v>
      </c>
      <c r="E843" s="10">
        <v>45680.296898148154</v>
      </c>
      <c r="F843" s="10"/>
      <c r="G843" s="10"/>
      <c r="H843" s="3"/>
      <c r="I843" s="10"/>
      <c r="J843" s="10"/>
      <c r="K843" s="10"/>
      <c r="L843" s="10"/>
      <c r="M843" s="11" t="str">
        <f t="shared" si="39"/>
        <v/>
      </c>
      <c r="N843" s="11" t="str">
        <f t="shared" si="40"/>
        <v/>
      </c>
      <c r="O843" s="10"/>
      <c r="P843" s="11" t="str">
        <f t="shared" si="41"/>
        <v/>
      </c>
      <c r="Q843" s="12"/>
    </row>
    <row r="844" spans="1:17" x14ac:dyDescent="0.25">
      <c r="A844" s="3" t="s">
        <v>2479</v>
      </c>
      <c r="B844" s="3" t="s">
        <v>368</v>
      </c>
      <c r="C844" s="9">
        <v>397.30000000000013</v>
      </c>
      <c r="D844" s="3" t="s">
        <v>500</v>
      </c>
      <c r="E844" s="10">
        <v>45680.321597222217</v>
      </c>
      <c r="F844" s="10"/>
      <c r="G844" s="10"/>
      <c r="H844" s="3"/>
      <c r="I844" s="10"/>
      <c r="J844" s="10"/>
      <c r="K844" s="10"/>
      <c r="L844" s="10"/>
      <c r="M844" s="11" t="str">
        <f t="shared" si="39"/>
        <v/>
      </c>
      <c r="N844" s="11" t="str">
        <f t="shared" si="40"/>
        <v/>
      </c>
      <c r="O844" s="10"/>
      <c r="P844" s="11" t="str">
        <f t="shared" si="41"/>
        <v/>
      </c>
      <c r="Q844" s="12"/>
    </row>
    <row r="845" spans="1:17" x14ac:dyDescent="0.25">
      <c r="A845" s="3" t="s">
        <v>2480</v>
      </c>
      <c r="B845" s="3" t="s">
        <v>369</v>
      </c>
      <c r="C845" s="9">
        <v>177.8</v>
      </c>
      <c r="D845" s="3" t="s">
        <v>500</v>
      </c>
      <c r="E845" s="10">
        <v>45680.363796296297</v>
      </c>
      <c r="F845" s="10">
        <v>45680.371157407397</v>
      </c>
      <c r="G845" s="10">
        <v>45680.373449074083</v>
      </c>
      <c r="H845" s="3" t="s">
        <v>2455</v>
      </c>
      <c r="I845" s="10">
        <v>45681.332650462973</v>
      </c>
      <c r="J845" s="10">
        <v>45681.363518518519</v>
      </c>
      <c r="K845" s="10">
        <v>45681.363518518519</v>
      </c>
      <c r="L845" s="10">
        <v>45681.364328703698</v>
      </c>
      <c r="M845" s="11">
        <f t="shared" si="39"/>
        <v>9.6527777859591879E-3</v>
      </c>
      <c r="N845" s="11">
        <f t="shared" si="40"/>
        <v>0.99087962961493758</v>
      </c>
      <c r="O845" s="10">
        <v>45680.375810185193</v>
      </c>
      <c r="P845" s="11">
        <f t="shared" si="41"/>
        <v>0.95684027778042946</v>
      </c>
      <c r="Q845" s="12" t="s">
        <v>2481</v>
      </c>
    </row>
    <row r="846" spans="1:17" x14ac:dyDescent="0.25">
      <c r="A846" s="3" t="s">
        <v>2482</v>
      </c>
      <c r="B846" s="3" t="s">
        <v>369</v>
      </c>
      <c r="C846" s="9">
        <v>218.7</v>
      </c>
      <c r="D846" s="3" t="s">
        <v>572</v>
      </c>
      <c r="E846" s="10">
        <v>45680.363796296297</v>
      </c>
      <c r="F846" s="10">
        <v>45680.373449074083</v>
      </c>
      <c r="G846" s="10">
        <v>45680.375648148147</v>
      </c>
      <c r="H846" s="3" t="s">
        <v>2483</v>
      </c>
      <c r="I846" s="10">
        <v>45681.377974537027</v>
      </c>
      <c r="J846" s="10">
        <v>45681.415949074071</v>
      </c>
      <c r="K846" s="10">
        <v>45681.415949074071</v>
      </c>
      <c r="L846" s="10">
        <v>45681.417048611111</v>
      </c>
      <c r="M846" s="11">
        <f t="shared" si="39"/>
        <v>1.1851851850224193E-2</v>
      </c>
      <c r="N846" s="11">
        <f t="shared" si="40"/>
        <v>1.041400462963793</v>
      </c>
      <c r="O846" s="10">
        <v>45680.37804398148</v>
      </c>
      <c r="P846" s="11">
        <f t="shared" si="41"/>
        <v>0.99993055554659804</v>
      </c>
      <c r="Q846" s="12" t="s">
        <v>2484</v>
      </c>
    </row>
    <row r="847" spans="1:17" ht="51" x14ac:dyDescent="0.25">
      <c r="A847" s="3" t="s">
        <v>2485</v>
      </c>
      <c r="B847" s="3" t="s">
        <v>370</v>
      </c>
      <c r="C847" s="9">
        <v>28</v>
      </c>
      <c r="D847" s="3" t="s">
        <v>595</v>
      </c>
      <c r="E847" s="10">
        <v>45680.378784722219</v>
      </c>
      <c r="F847" s="10">
        <v>45680.398518518523</v>
      </c>
      <c r="G847" s="10">
        <v>45680.399675925917</v>
      </c>
      <c r="H847" s="3" t="s">
        <v>2486</v>
      </c>
      <c r="I847" s="10">
        <v>45684.128483796303</v>
      </c>
      <c r="J847" s="10">
        <v>45684.153437499997</v>
      </c>
      <c r="K847" s="10">
        <v>45684.153437499997</v>
      </c>
      <c r="L847" s="10">
        <v>45684.154236111113</v>
      </c>
      <c r="M847" s="11">
        <f t="shared" si="39"/>
        <v>2.0891203697829042E-2</v>
      </c>
      <c r="N847" s="11">
        <f t="shared" si="40"/>
        <v>3.7545601851961692</v>
      </c>
      <c r="O847" s="10">
        <v>45680.402071759258</v>
      </c>
      <c r="P847" s="11">
        <f t="shared" si="41"/>
        <v>3.7264120370455203</v>
      </c>
      <c r="Q847" s="12" t="s">
        <v>2487</v>
      </c>
    </row>
    <row r="848" spans="1:17" ht="38.25" x14ac:dyDescent="0.25">
      <c r="A848" s="3" t="s">
        <v>2488</v>
      </c>
      <c r="B848" s="3" t="s">
        <v>370</v>
      </c>
      <c r="C848" s="9">
        <v>15.74</v>
      </c>
      <c r="D848" s="3" t="s">
        <v>654</v>
      </c>
      <c r="E848" s="10">
        <v>45680.378784722219</v>
      </c>
      <c r="F848" s="10">
        <v>45680.399675925917</v>
      </c>
      <c r="G848" s="10">
        <v>45680.401400462957</v>
      </c>
      <c r="H848" s="3" t="s">
        <v>2489</v>
      </c>
      <c r="I848" s="10">
        <v>45684.200370370367</v>
      </c>
      <c r="J848" s="10">
        <v>45684.220891203702</v>
      </c>
      <c r="K848" s="10">
        <v>45684.220891203702</v>
      </c>
      <c r="L848" s="10">
        <v>45684.221712962957</v>
      </c>
      <c r="M848" s="11">
        <f t="shared" si="39"/>
        <v>2.2615740737819578E-2</v>
      </c>
      <c r="N848" s="11">
        <f t="shared" si="40"/>
        <v>3.8203125</v>
      </c>
      <c r="O848" s="10">
        <v>45680.403761574067</v>
      </c>
      <c r="P848" s="11">
        <f t="shared" si="41"/>
        <v>3.7966087962995516</v>
      </c>
      <c r="Q848" s="12" t="s">
        <v>2490</v>
      </c>
    </row>
    <row r="849" spans="1:17" ht="51" x14ac:dyDescent="0.25">
      <c r="A849" s="3" t="s">
        <v>2491</v>
      </c>
      <c r="B849" s="3" t="s">
        <v>370</v>
      </c>
      <c r="C849" s="9">
        <v>31.48</v>
      </c>
      <c r="D849" s="3" t="s">
        <v>484</v>
      </c>
      <c r="E849" s="10">
        <v>45680.378784722219</v>
      </c>
      <c r="F849" s="10">
        <v>45680.401400462957</v>
      </c>
      <c r="G849" s="10">
        <v>45680.402569444443</v>
      </c>
      <c r="H849" s="3" t="s">
        <v>2486</v>
      </c>
      <c r="I849" s="10">
        <v>45684.128483796303</v>
      </c>
      <c r="J849" s="10">
        <v>45684.153437499997</v>
      </c>
      <c r="K849" s="10">
        <v>45684.153437499997</v>
      </c>
      <c r="L849" s="10">
        <v>45684.154236111113</v>
      </c>
      <c r="M849" s="11">
        <f t="shared" si="39"/>
        <v>2.3784722223354038E-2</v>
      </c>
      <c r="N849" s="11">
        <f t="shared" si="40"/>
        <v>3.7516666666706442</v>
      </c>
      <c r="O849" s="10">
        <v>45680.406122685177</v>
      </c>
      <c r="P849" s="11">
        <f t="shared" si="41"/>
        <v>3.7223611111257924</v>
      </c>
      <c r="Q849" s="12" t="s">
        <v>2492</v>
      </c>
    </row>
    <row r="850" spans="1:17" ht="38.25" x14ac:dyDescent="0.25">
      <c r="A850" s="3" t="s">
        <v>2493</v>
      </c>
      <c r="B850" s="3" t="s">
        <v>370</v>
      </c>
      <c r="C850" s="9">
        <v>19.899999999999999</v>
      </c>
      <c r="D850" s="3" t="s">
        <v>539</v>
      </c>
      <c r="E850" s="10">
        <v>45680.378784722219</v>
      </c>
      <c r="F850" s="10">
        <v>45680.402569444443</v>
      </c>
      <c r="G850" s="10">
        <v>45680.404166666667</v>
      </c>
      <c r="H850" s="3" t="s">
        <v>2350</v>
      </c>
      <c r="I850" s="10">
        <v>45681.738668981481</v>
      </c>
      <c r="J850" s="10">
        <v>45681.757233796299</v>
      </c>
      <c r="K850" s="10">
        <v>45681.757233796299</v>
      </c>
      <c r="L850" s="10">
        <v>45681.7580787037</v>
      </c>
      <c r="M850" s="11">
        <f t="shared" si="39"/>
        <v>2.5381944447872229E-2</v>
      </c>
      <c r="N850" s="11">
        <f t="shared" si="40"/>
        <v>1.3539120370332967</v>
      </c>
      <c r="O850" s="10">
        <v>45680.408090277779</v>
      </c>
      <c r="P850" s="11">
        <f t="shared" si="41"/>
        <v>1.3305787037024857</v>
      </c>
      <c r="Q850" s="12" t="s">
        <v>2494</v>
      </c>
    </row>
    <row r="851" spans="1:17" ht="38.25" x14ac:dyDescent="0.25">
      <c r="A851" s="3" t="s">
        <v>2495</v>
      </c>
      <c r="B851" s="3" t="s">
        <v>370</v>
      </c>
      <c r="C851" s="9">
        <v>15.74</v>
      </c>
      <c r="D851" s="3" t="s">
        <v>1033</v>
      </c>
      <c r="E851" s="10">
        <v>45680.378784722219</v>
      </c>
      <c r="F851" s="10">
        <v>45680.404166666667</v>
      </c>
      <c r="G851" s="10">
        <v>45680.405752314808</v>
      </c>
      <c r="H851" s="3" t="s">
        <v>2350</v>
      </c>
      <c r="I851" s="10">
        <v>45681.738668981481</v>
      </c>
      <c r="J851" s="10">
        <v>45681.757233796299</v>
      </c>
      <c r="K851" s="10">
        <v>45681.757233796299</v>
      </c>
      <c r="L851" s="10">
        <v>45681.7580787037</v>
      </c>
      <c r="M851" s="11">
        <f t="shared" si="39"/>
        <v>2.696759258833481E-2</v>
      </c>
      <c r="N851" s="11">
        <f t="shared" si="40"/>
        <v>1.3523263888928341</v>
      </c>
      <c r="O851" s="10">
        <v>45680.409641203703</v>
      </c>
      <c r="P851" s="11">
        <f t="shared" si="41"/>
        <v>1.3290277777778101</v>
      </c>
      <c r="Q851" s="12" t="s">
        <v>2496</v>
      </c>
    </row>
    <row r="852" spans="1:17" ht="25.5" x14ac:dyDescent="0.25">
      <c r="A852" s="3" t="s">
        <v>2497</v>
      </c>
      <c r="B852" s="3" t="s">
        <v>370</v>
      </c>
      <c r="C852" s="9">
        <v>82.11999999999999</v>
      </c>
      <c r="D852" s="3" t="s">
        <v>515</v>
      </c>
      <c r="E852" s="10">
        <v>45680.378784722219</v>
      </c>
      <c r="F852" s="10">
        <v>45680.405752314808</v>
      </c>
      <c r="G852" s="10">
        <v>45680.407789351862</v>
      </c>
      <c r="H852" s="3" t="s">
        <v>2469</v>
      </c>
      <c r="I852" s="10">
        <v>45681.424791666657</v>
      </c>
      <c r="J852" s="10">
        <v>45681.4534375</v>
      </c>
      <c r="K852" s="10">
        <v>45681.4534375</v>
      </c>
      <c r="L852" s="10">
        <v>45681.454201388893</v>
      </c>
      <c r="M852" s="11">
        <f t="shared" si="39"/>
        <v>2.90046296431683E-2</v>
      </c>
      <c r="N852" s="11">
        <f t="shared" si="40"/>
        <v>1.0464120370306773</v>
      </c>
      <c r="O852" s="10">
        <v>45680.41133101852</v>
      </c>
      <c r="P852" s="11">
        <f t="shared" si="41"/>
        <v>1.0134606481369701</v>
      </c>
      <c r="Q852" s="12" t="s">
        <v>2498</v>
      </c>
    </row>
    <row r="853" spans="1:17" ht="25.5" x14ac:dyDescent="0.25">
      <c r="A853" s="3" t="s">
        <v>2499</v>
      </c>
      <c r="B853" s="3" t="s">
        <v>370</v>
      </c>
      <c r="C853" s="9">
        <v>57.4</v>
      </c>
      <c r="D853" s="3" t="s">
        <v>519</v>
      </c>
      <c r="E853" s="10">
        <v>45680.378784722219</v>
      </c>
      <c r="F853" s="10">
        <v>45680.407789351862</v>
      </c>
      <c r="G853" s="10">
        <v>45680.409131944441</v>
      </c>
      <c r="H853" s="3" t="s">
        <v>2426</v>
      </c>
      <c r="I853" s="10">
        <v>45681.400775462957</v>
      </c>
      <c r="J853" s="10">
        <v>45681.427210648151</v>
      </c>
      <c r="K853" s="10">
        <v>45681.427210648151</v>
      </c>
      <c r="L853" s="10">
        <v>45681.428113425929</v>
      </c>
      <c r="M853" s="11">
        <f t="shared" si="39"/>
        <v>3.0347222222189885E-2</v>
      </c>
      <c r="N853" s="11">
        <f t="shared" si="40"/>
        <v>1.0189814814875717</v>
      </c>
      <c r="O853" s="10">
        <v>45680.413055555553</v>
      </c>
      <c r="P853" s="11">
        <f t="shared" si="41"/>
        <v>0.98771990740351612</v>
      </c>
      <c r="Q853" s="12" t="s">
        <v>2500</v>
      </c>
    </row>
    <row r="854" spans="1:17" ht="25.5" x14ac:dyDescent="0.25">
      <c r="A854" s="3" t="s">
        <v>2501</v>
      </c>
      <c r="B854" s="3" t="s">
        <v>370</v>
      </c>
      <c r="C854" s="9">
        <v>19.899999999999999</v>
      </c>
      <c r="D854" s="3" t="s">
        <v>515</v>
      </c>
      <c r="E854" s="10">
        <v>45680.378784722219</v>
      </c>
      <c r="F854" s="10">
        <v>45680.409131944441</v>
      </c>
      <c r="G854" s="10">
        <v>45680.411030092589</v>
      </c>
      <c r="H854" s="3" t="s">
        <v>2469</v>
      </c>
      <c r="I854" s="10">
        <v>45681.424791666657</v>
      </c>
      <c r="J854" s="10">
        <v>45681.4534375</v>
      </c>
      <c r="K854" s="10">
        <v>45681.4534375</v>
      </c>
      <c r="L854" s="10">
        <v>45681.454201388893</v>
      </c>
      <c r="M854" s="11">
        <f t="shared" si="39"/>
        <v>3.2245370370219462E-2</v>
      </c>
      <c r="N854" s="11">
        <f t="shared" si="40"/>
        <v>1.0431712963036261</v>
      </c>
      <c r="O854" s="10">
        <v>45680.414918981478</v>
      </c>
      <c r="P854" s="11">
        <f t="shared" si="41"/>
        <v>1.009872685179289</v>
      </c>
      <c r="Q854" s="12" t="s">
        <v>2502</v>
      </c>
    </row>
    <row r="855" spans="1:17" ht="25.5" x14ac:dyDescent="0.25">
      <c r="A855" s="3" t="s">
        <v>2503</v>
      </c>
      <c r="B855" s="3" t="s">
        <v>370</v>
      </c>
      <c r="C855" s="9">
        <v>15.74</v>
      </c>
      <c r="D855" s="3" t="s">
        <v>533</v>
      </c>
      <c r="E855" s="10">
        <v>45680.378784722219</v>
      </c>
      <c r="F855" s="10">
        <v>45680.411030092589</v>
      </c>
      <c r="G855" s="10">
        <v>45680.413032407407</v>
      </c>
      <c r="H855" s="3" t="s">
        <v>2504</v>
      </c>
      <c r="I855" s="10">
        <v>45684.33965277778</v>
      </c>
      <c r="J855" s="10">
        <v>45684.370625000003</v>
      </c>
      <c r="K855" s="10">
        <v>45684.370625000003</v>
      </c>
      <c r="L855" s="10">
        <v>45684.371539351851</v>
      </c>
      <c r="M855" s="11">
        <f t="shared" si="39"/>
        <v>3.4247685187438037E-2</v>
      </c>
      <c r="N855" s="11">
        <f t="shared" si="40"/>
        <v>3.9585069444437977</v>
      </c>
      <c r="O855" s="10">
        <v>45680.415185185193</v>
      </c>
      <c r="P855" s="11">
        <f t="shared" si="41"/>
        <v>3.9244675925874617</v>
      </c>
      <c r="Q855" s="12" t="s">
        <v>2505</v>
      </c>
    </row>
    <row r="856" spans="1:17" ht="25.5" x14ac:dyDescent="0.25">
      <c r="A856" s="3" t="s">
        <v>2506</v>
      </c>
      <c r="B856" s="3" t="s">
        <v>370</v>
      </c>
      <c r="C856" s="9">
        <v>155.91999999999999</v>
      </c>
      <c r="D856" s="3" t="s">
        <v>506</v>
      </c>
      <c r="E856" s="10">
        <v>45680.378784722219</v>
      </c>
      <c r="F856" s="10">
        <v>45680.413032407407</v>
      </c>
      <c r="G856" s="10">
        <v>45680.415277777778</v>
      </c>
      <c r="H856" s="3" t="s">
        <v>2443</v>
      </c>
      <c r="I856" s="10">
        <v>45681.553194444437</v>
      </c>
      <c r="J856" s="10">
        <v>45681.583912037036</v>
      </c>
      <c r="K856" s="10">
        <v>45681.583912037036</v>
      </c>
      <c r="L856" s="10">
        <v>45681.584872685176</v>
      </c>
      <c r="M856" s="11">
        <f t="shared" si="39"/>
        <v>3.6493055558821652E-2</v>
      </c>
      <c r="N856" s="11">
        <f t="shared" si="40"/>
        <v>1.1695949073982774</v>
      </c>
      <c r="O856" s="10">
        <v>45680.417673611111</v>
      </c>
      <c r="P856" s="11">
        <f t="shared" si="41"/>
        <v>1.1355208333261544</v>
      </c>
      <c r="Q856" s="12" t="s">
        <v>2507</v>
      </c>
    </row>
    <row r="857" spans="1:17" ht="25.5" x14ac:dyDescent="0.25">
      <c r="A857" s="3" t="s">
        <v>2508</v>
      </c>
      <c r="B857" s="3" t="s">
        <v>370</v>
      </c>
      <c r="C857" s="9">
        <v>21</v>
      </c>
      <c r="D857" s="3" t="s">
        <v>488</v>
      </c>
      <c r="E857" s="10">
        <v>45680.378784722219</v>
      </c>
      <c r="F857" s="10">
        <v>45680.415277777778</v>
      </c>
      <c r="G857" s="10">
        <v>45680.417210648149</v>
      </c>
      <c r="H857" s="3" t="s">
        <v>2443</v>
      </c>
      <c r="I857" s="10">
        <v>45681.553194444437</v>
      </c>
      <c r="J857" s="10">
        <v>45681.583912037036</v>
      </c>
      <c r="K857" s="10">
        <v>45681.583912037036</v>
      </c>
      <c r="L857" s="10">
        <v>45681.584872685176</v>
      </c>
      <c r="M857" s="11">
        <f t="shared" si="39"/>
        <v>3.8425925929914229E-2</v>
      </c>
      <c r="N857" s="11">
        <f t="shared" si="40"/>
        <v>1.1676620370271849</v>
      </c>
      <c r="O857" s="10">
        <v>45680.420763888891</v>
      </c>
      <c r="P857" s="11">
        <f t="shared" si="41"/>
        <v>1.132430555546307</v>
      </c>
      <c r="Q857" s="12" t="s">
        <v>2509</v>
      </c>
    </row>
    <row r="858" spans="1:17" x14ac:dyDescent="0.25">
      <c r="A858" s="3" t="s">
        <v>2510</v>
      </c>
      <c r="B858" s="3" t="s">
        <v>370</v>
      </c>
      <c r="C858" s="9">
        <v>81</v>
      </c>
      <c r="D858" s="3" t="s">
        <v>527</v>
      </c>
      <c r="E858" s="10">
        <v>45680.378784722219</v>
      </c>
      <c r="F858" s="10"/>
      <c r="G858" s="10"/>
      <c r="H858" s="3"/>
      <c r="I858" s="10"/>
      <c r="J858" s="10"/>
      <c r="K858" s="10"/>
      <c r="L858" s="10"/>
      <c r="M858" s="11" t="str">
        <f t="shared" si="39"/>
        <v/>
      </c>
      <c r="N858" s="11" t="str">
        <f t="shared" si="40"/>
        <v/>
      </c>
      <c r="O858" s="10"/>
      <c r="P858" s="11" t="str">
        <f t="shared" si="41"/>
        <v/>
      </c>
      <c r="Q858" s="12"/>
    </row>
    <row r="859" spans="1:17" ht="25.5" x14ac:dyDescent="0.25">
      <c r="A859" s="3" t="s">
        <v>2511</v>
      </c>
      <c r="B859" s="3" t="s">
        <v>371</v>
      </c>
      <c r="C859" s="9">
        <v>42</v>
      </c>
      <c r="D859" s="3" t="s">
        <v>500</v>
      </c>
      <c r="E859" s="10">
        <v>45680.437407407408</v>
      </c>
      <c r="F859" s="10">
        <v>45680.448634259257</v>
      </c>
      <c r="G859" s="10">
        <v>45680.451493055552</v>
      </c>
      <c r="H859" s="3" t="s">
        <v>2464</v>
      </c>
      <c r="I859" s="10">
        <v>45681.615370370368</v>
      </c>
      <c r="J859" s="10">
        <v>45681.686168981483</v>
      </c>
      <c r="K859" s="10">
        <v>45681.686168981483</v>
      </c>
      <c r="L859" s="10">
        <v>45681.687650462962</v>
      </c>
      <c r="M859" s="11">
        <f t="shared" si="39"/>
        <v>1.4085648144828156E-2</v>
      </c>
      <c r="N859" s="11">
        <f t="shared" si="40"/>
        <v>1.2361574074093369</v>
      </c>
      <c r="O859" s="10">
        <v>45680.453865740739</v>
      </c>
      <c r="P859" s="11">
        <f t="shared" si="41"/>
        <v>1.1615046296283253</v>
      </c>
      <c r="Q859" s="12" t="s">
        <v>2512</v>
      </c>
    </row>
    <row r="860" spans="1:17" x14ac:dyDescent="0.25">
      <c r="A860" s="3" t="s">
        <v>2513</v>
      </c>
      <c r="B860" s="3" t="s">
        <v>371</v>
      </c>
      <c r="C860" s="9">
        <v>21</v>
      </c>
      <c r="D860" s="3" t="s">
        <v>572</v>
      </c>
      <c r="E860" s="10">
        <v>45680.437407407408</v>
      </c>
      <c r="F860" s="10"/>
      <c r="G860" s="10"/>
      <c r="H860" s="3"/>
      <c r="I860" s="10"/>
      <c r="J860" s="10"/>
      <c r="K860" s="10"/>
      <c r="L860" s="10"/>
      <c r="M860" s="11" t="str">
        <f t="shared" si="39"/>
        <v/>
      </c>
      <c r="N860" s="11" t="str">
        <f t="shared" si="40"/>
        <v/>
      </c>
      <c r="O860" s="10"/>
      <c r="P860" s="11" t="str">
        <f t="shared" si="41"/>
        <v/>
      </c>
      <c r="Q860" s="12"/>
    </row>
    <row r="861" spans="1:17" ht="25.5" x14ac:dyDescent="0.25">
      <c r="A861" s="3" t="s">
        <v>2514</v>
      </c>
      <c r="B861" s="3" t="s">
        <v>371</v>
      </c>
      <c r="C861" s="9">
        <v>144.80000000000001</v>
      </c>
      <c r="D861" s="3" t="s">
        <v>500</v>
      </c>
      <c r="E861" s="10">
        <v>45680.437407407408</v>
      </c>
      <c r="F861" s="10">
        <v>45680.448634259257</v>
      </c>
      <c r="G861" s="10">
        <v>45680.451493055552</v>
      </c>
      <c r="H861" s="3" t="s">
        <v>2464</v>
      </c>
      <c r="I861" s="10">
        <v>45681.615370370368</v>
      </c>
      <c r="J861" s="10">
        <v>45681.686168981483</v>
      </c>
      <c r="K861" s="10">
        <v>45681.686168981483</v>
      </c>
      <c r="L861" s="10">
        <v>45681.687650462962</v>
      </c>
      <c r="M861" s="11">
        <f t="shared" si="39"/>
        <v>1.4085648144828156E-2</v>
      </c>
      <c r="N861" s="11">
        <f t="shared" si="40"/>
        <v>1.2361574074093369</v>
      </c>
      <c r="O861" s="10">
        <v>45680.453865740739</v>
      </c>
      <c r="P861" s="11">
        <f t="shared" si="41"/>
        <v>1.1615046296283253</v>
      </c>
      <c r="Q861" s="12" t="s">
        <v>2515</v>
      </c>
    </row>
    <row r="862" spans="1:17" x14ac:dyDescent="0.25">
      <c r="A862" s="3" t="s">
        <v>2516</v>
      </c>
      <c r="B862" s="3" t="s">
        <v>371</v>
      </c>
      <c r="C862" s="9">
        <v>19.899999999999999</v>
      </c>
      <c r="D862" s="3" t="s">
        <v>572</v>
      </c>
      <c r="E862" s="10">
        <v>45680.437407407408</v>
      </c>
      <c r="F862" s="10"/>
      <c r="G862" s="10"/>
      <c r="H862" s="3"/>
      <c r="I862" s="10"/>
      <c r="J862" s="10"/>
      <c r="K862" s="10"/>
      <c r="L862" s="10"/>
      <c r="M862" s="11" t="str">
        <f t="shared" si="39"/>
        <v/>
      </c>
      <c r="N862" s="11" t="str">
        <f t="shared" si="40"/>
        <v/>
      </c>
      <c r="O862" s="10"/>
      <c r="P862" s="11" t="str">
        <f t="shared" si="41"/>
        <v/>
      </c>
      <c r="Q862" s="12"/>
    </row>
    <row r="863" spans="1:17" ht="25.5" x14ac:dyDescent="0.25">
      <c r="A863" s="3" t="s">
        <v>2517</v>
      </c>
      <c r="B863" s="3" t="s">
        <v>371</v>
      </c>
      <c r="C863" s="9">
        <v>221</v>
      </c>
      <c r="D863" s="3" t="s">
        <v>500</v>
      </c>
      <c r="E863" s="10">
        <v>45680.437407407408</v>
      </c>
      <c r="F863" s="10">
        <v>45680.448634259257</v>
      </c>
      <c r="G863" s="10">
        <v>45680.451493055552</v>
      </c>
      <c r="H863" s="3" t="s">
        <v>2464</v>
      </c>
      <c r="I863" s="10">
        <v>45681.615370370368</v>
      </c>
      <c r="J863" s="10">
        <v>45681.686168981483</v>
      </c>
      <c r="K863" s="10">
        <v>45681.686168981483</v>
      </c>
      <c r="L863" s="10">
        <v>45681.687650462962</v>
      </c>
      <c r="M863" s="11">
        <f t="shared" si="39"/>
        <v>1.4085648144828156E-2</v>
      </c>
      <c r="N863" s="11">
        <f t="shared" si="40"/>
        <v>1.2361574074093369</v>
      </c>
      <c r="O863" s="10">
        <v>45680.453865740739</v>
      </c>
      <c r="P863" s="11">
        <f t="shared" si="41"/>
        <v>1.1615046296283253</v>
      </c>
      <c r="Q863" s="12" t="s">
        <v>2518</v>
      </c>
    </row>
    <row r="864" spans="1:17" x14ac:dyDescent="0.25">
      <c r="A864" s="3" t="s">
        <v>2519</v>
      </c>
      <c r="B864" s="3" t="s">
        <v>372</v>
      </c>
      <c r="C864" s="9">
        <v>396.56000000000012</v>
      </c>
      <c r="D864" s="3" t="s">
        <v>500</v>
      </c>
      <c r="E864" s="10">
        <v>45680.604456018518</v>
      </c>
      <c r="F864" s="10">
        <v>45680.610983796287</v>
      </c>
      <c r="G864" s="10">
        <v>45680.613252314812</v>
      </c>
      <c r="H864" s="3" t="s">
        <v>2520</v>
      </c>
      <c r="I864" s="10">
        <v>45681.650706018518</v>
      </c>
      <c r="J864" s="10">
        <v>45681.719548611109</v>
      </c>
      <c r="K864" s="10">
        <v>45681.719548611109</v>
      </c>
      <c r="L864" s="10">
        <v>45681.720949074072</v>
      </c>
      <c r="M864" s="11">
        <f t="shared" si="39"/>
        <v>8.7962962934398092E-3</v>
      </c>
      <c r="N864" s="11">
        <f t="shared" si="40"/>
        <v>1.1076967592598521</v>
      </c>
      <c r="O864" s="10">
        <v>45680.615624999999</v>
      </c>
      <c r="P864" s="11">
        <f t="shared" si="41"/>
        <v>1.0350810185191222</v>
      </c>
      <c r="Q864" s="12" t="s">
        <v>2521</v>
      </c>
    </row>
    <row r="865" spans="1:17" ht="38.25" x14ac:dyDescent="0.25">
      <c r="A865" s="3" t="s">
        <v>2522</v>
      </c>
      <c r="B865" s="3" t="s">
        <v>373</v>
      </c>
      <c r="C865" s="9">
        <v>35.64</v>
      </c>
      <c r="D865" s="3" t="s">
        <v>515</v>
      </c>
      <c r="E865" s="10">
        <v>45680.613437499997</v>
      </c>
      <c r="F865" s="10">
        <v>45680.626909722218</v>
      </c>
      <c r="G865" s="10">
        <v>45680.628842592603</v>
      </c>
      <c r="H865" s="3" t="s">
        <v>2523</v>
      </c>
      <c r="I865" s="10">
        <v>45681.654479166667</v>
      </c>
      <c r="J865" s="10">
        <v>45681.677071759259</v>
      </c>
      <c r="K865" s="10">
        <v>45681.677071759259</v>
      </c>
      <c r="L865" s="10">
        <v>45681.677754629629</v>
      </c>
      <c r="M865" s="11">
        <f t="shared" si="39"/>
        <v>1.5405092606670223E-2</v>
      </c>
      <c r="N865" s="11">
        <f t="shared" si="40"/>
        <v>1.0489120370257297</v>
      </c>
      <c r="O865" s="10">
        <v>45680.631203703713</v>
      </c>
      <c r="P865" s="11">
        <f t="shared" si="41"/>
        <v>1.0232754629541887</v>
      </c>
      <c r="Q865" s="12" t="s">
        <v>2524</v>
      </c>
    </row>
    <row r="866" spans="1:17" ht="51" x14ac:dyDescent="0.25">
      <c r="A866" s="3" t="s">
        <v>2525</v>
      </c>
      <c r="B866" s="3" t="s">
        <v>373</v>
      </c>
      <c r="C866" s="9">
        <v>31.94</v>
      </c>
      <c r="D866" s="3" t="s">
        <v>492</v>
      </c>
      <c r="E866" s="10">
        <v>45680.613437499997</v>
      </c>
      <c r="F866" s="10">
        <v>45680.628842592603</v>
      </c>
      <c r="G866" s="10">
        <v>45680.630798611113</v>
      </c>
      <c r="H866" s="3" t="s">
        <v>2526</v>
      </c>
      <c r="I866" s="10">
        <v>45684.651909722219</v>
      </c>
      <c r="J866" s="10">
        <v>45684.692256944443</v>
      </c>
      <c r="K866" s="10">
        <v>45684.692256944443</v>
      </c>
      <c r="L866" s="10">
        <v>45684.693333333344</v>
      </c>
      <c r="M866" s="11">
        <f t="shared" si="39"/>
        <v>1.7361111116770189E-2</v>
      </c>
      <c r="N866" s="11">
        <f t="shared" si="40"/>
        <v>4.062534722230339</v>
      </c>
      <c r="O866" s="10">
        <v>45680.633194444446</v>
      </c>
      <c r="P866" s="11">
        <f t="shared" si="41"/>
        <v>4.0187152777725714</v>
      </c>
      <c r="Q866" s="12" t="s">
        <v>2527</v>
      </c>
    </row>
    <row r="867" spans="1:17" ht="38.25" x14ac:dyDescent="0.25">
      <c r="A867" s="3" t="s">
        <v>2528</v>
      </c>
      <c r="B867" s="3" t="s">
        <v>373</v>
      </c>
      <c r="C867" s="9">
        <v>15.74</v>
      </c>
      <c r="D867" s="3" t="s">
        <v>523</v>
      </c>
      <c r="E867" s="10">
        <v>45680.613437499997</v>
      </c>
      <c r="F867" s="10">
        <v>45680.630798611113</v>
      </c>
      <c r="G867" s="10">
        <v>45680.632685185177</v>
      </c>
      <c r="H867" s="3" t="s">
        <v>2523</v>
      </c>
      <c r="I867" s="10">
        <v>45681.654479166667</v>
      </c>
      <c r="J867" s="10">
        <v>45681.677071759259</v>
      </c>
      <c r="K867" s="10">
        <v>45681.677071759259</v>
      </c>
      <c r="L867" s="10">
        <v>45681.677754629629</v>
      </c>
      <c r="M867" s="11">
        <f t="shared" si="39"/>
        <v>1.9247685180744156E-2</v>
      </c>
      <c r="N867" s="11">
        <f t="shared" si="40"/>
        <v>1.0450694444516557</v>
      </c>
      <c r="O867" s="10">
        <v>45680.636574074073</v>
      </c>
      <c r="P867" s="11">
        <f t="shared" si="41"/>
        <v>1.0179050925944466</v>
      </c>
      <c r="Q867" s="12" t="s">
        <v>2529</v>
      </c>
    </row>
    <row r="868" spans="1:17" ht="38.25" x14ac:dyDescent="0.25">
      <c r="A868" s="3" t="s">
        <v>2530</v>
      </c>
      <c r="B868" s="3" t="s">
        <v>373</v>
      </c>
      <c r="C868" s="9">
        <v>15.74</v>
      </c>
      <c r="D868" s="3" t="s">
        <v>654</v>
      </c>
      <c r="E868" s="10">
        <v>45680.613437499997</v>
      </c>
      <c r="F868" s="10">
        <v>45680.632685185177</v>
      </c>
      <c r="G868" s="10">
        <v>45680.634409722217</v>
      </c>
      <c r="H868" s="3" t="s">
        <v>2489</v>
      </c>
      <c r="I868" s="10">
        <v>45684.200370370367</v>
      </c>
      <c r="J868" s="10">
        <v>45684.220891203702</v>
      </c>
      <c r="K868" s="10">
        <v>45684.220891203702</v>
      </c>
      <c r="L868" s="10">
        <v>45684.221712962957</v>
      </c>
      <c r="M868" s="11">
        <f t="shared" si="39"/>
        <v>2.0972222220734693E-2</v>
      </c>
      <c r="N868" s="11">
        <f t="shared" si="40"/>
        <v>3.5873032407398568</v>
      </c>
      <c r="O868" s="10">
        <v>45680.638333333343</v>
      </c>
      <c r="P868" s="11">
        <f t="shared" si="41"/>
        <v>3.5620370370234014</v>
      </c>
      <c r="Q868" s="12" t="s">
        <v>2531</v>
      </c>
    </row>
    <row r="869" spans="1:17" ht="25.5" x14ac:dyDescent="0.25">
      <c r="A869" s="3" t="s">
        <v>2532</v>
      </c>
      <c r="B869" s="3" t="s">
        <v>373</v>
      </c>
      <c r="C869" s="9">
        <v>39.799999999999997</v>
      </c>
      <c r="D869" s="3" t="s">
        <v>515</v>
      </c>
      <c r="E869" s="10">
        <v>45680.613437499997</v>
      </c>
      <c r="F869" s="10">
        <v>45680.634409722217</v>
      </c>
      <c r="G869" s="10">
        <v>45680.636354166672</v>
      </c>
      <c r="H869" s="3" t="s">
        <v>2523</v>
      </c>
      <c r="I869" s="10">
        <v>45681.654479166667</v>
      </c>
      <c r="J869" s="10">
        <v>45681.677071759259</v>
      </c>
      <c r="K869" s="10">
        <v>45681.677071759259</v>
      </c>
      <c r="L869" s="10">
        <v>45681.677754629629</v>
      </c>
      <c r="M869" s="11">
        <f t="shared" si="39"/>
        <v>2.291666667588288E-2</v>
      </c>
      <c r="N869" s="11">
        <f t="shared" si="40"/>
        <v>1.041400462956517</v>
      </c>
      <c r="O869" s="10">
        <v>45680.640277777777</v>
      </c>
      <c r="P869" s="11">
        <f t="shared" si="41"/>
        <v>1.0142013888907968</v>
      </c>
      <c r="Q869" s="12" t="s">
        <v>2533</v>
      </c>
    </row>
    <row r="870" spans="1:17" ht="38.25" x14ac:dyDescent="0.25">
      <c r="A870" s="3" t="s">
        <v>2534</v>
      </c>
      <c r="B870" s="3" t="s">
        <v>373</v>
      </c>
      <c r="C870" s="9">
        <v>15.74</v>
      </c>
      <c r="D870" s="3" t="s">
        <v>496</v>
      </c>
      <c r="E870" s="10">
        <v>45680.613437499997</v>
      </c>
      <c r="F870" s="10">
        <v>45680.636354166672</v>
      </c>
      <c r="G870" s="10">
        <v>45680.638229166667</v>
      </c>
      <c r="H870" s="3" t="s">
        <v>2535</v>
      </c>
      <c r="I870" s="10">
        <v>45684.325509259259</v>
      </c>
      <c r="J870" s="10">
        <v>45684.344849537039</v>
      </c>
      <c r="K870" s="10">
        <v>45684.344849537039</v>
      </c>
      <c r="L870" s="10">
        <v>45684.345497685194</v>
      </c>
      <c r="M870" s="11">
        <f t="shared" si="39"/>
        <v>2.4791666670353152E-2</v>
      </c>
      <c r="N870" s="11">
        <f t="shared" si="40"/>
        <v>3.7072685185266891</v>
      </c>
      <c r="O870" s="10">
        <v>45680.640601851846</v>
      </c>
      <c r="P870" s="11">
        <f t="shared" si="41"/>
        <v>3.6849074074125383</v>
      </c>
      <c r="Q870" s="12" t="s">
        <v>2536</v>
      </c>
    </row>
    <row r="871" spans="1:17" x14ac:dyDescent="0.25">
      <c r="A871" s="3" t="s">
        <v>2537</v>
      </c>
      <c r="B871" s="3" t="s">
        <v>373</v>
      </c>
      <c r="C871" s="9">
        <v>116.94</v>
      </c>
      <c r="D871" s="3" t="s">
        <v>506</v>
      </c>
      <c r="E871" s="10">
        <v>45680.613437499997</v>
      </c>
      <c r="F871" s="10"/>
      <c r="G871" s="10"/>
      <c r="H871" s="3"/>
      <c r="I871" s="10"/>
      <c r="J871" s="10"/>
      <c r="K871" s="10"/>
      <c r="L871" s="10"/>
      <c r="M871" s="11" t="str">
        <f t="shared" si="39"/>
        <v/>
      </c>
      <c r="N871" s="11" t="str">
        <f t="shared" si="40"/>
        <v/>
      </c>
      <c r="O871" s="10"/>
      <c r="P871" s="11" t="str">
        <f t="shared" si="41"/>
        <v/>
      </c>
      <c r="Q871" s="12"/>
    </row>
    <row r="872" spans="1:17" x14ac:dyDescent="0.25">
      <c r="A872" s="3" t="s">
        <v>2538</v>
      </c>
      <c r="B872" s="3" t="s">
        <v>373</v>
      </c>
      <c r="C872" s="9">
        <v>27</v>
      </c>
      <c r="D872" s="3" t="s">
        <v>527</v>
      </c>
      <c r="E872" s="10">
        <v>45680.613437499997</v>
      </c>
      <c r="F872" s="10"/>
      <c r="G872" s="10"/>
      <c r="H872" s="3"/>
      <c r="I872" s="10"/>
      <c r="J872" s="10"/>
      <c r="K872" s="10"/>
      <c r="L872" s="10"/>
      <c r="M872" s="11" t="str">
        <f t="shared" si="39"/>
        <v/>
      </c>
      <c r="N872" s="11" t="str">
        <f t="shared" si="40"/>
        <v/>
      </c>
      <c r="O872" s="10"/>
      <c r="P872" s="11" t="str">
        <f t="shared" si="41"/>
        <v/>
      </c>
      <c r="Q872" s="12"/>
    </row>
    <row r="873" spans="1:17" x14ac:dyDescent="0.25">
      <c r="A873" s="3" t="s">
        <v>2539</v>
      </c>
      <c r="B873" s="3" t="s">
        <v>373</v>
      </c>
      <c r="C873" s="9">
        <v>19.899999999999999</v>
      </c>
      <c r="D873" s="3" t="s">
        <v>519</v>
      </c>
      <c r="E873" s="10">
        <v>45680.613437499997</v>
      </c>
      <c r="F873" s="10"/>
      <c r="G873" s="10"/>
      <c r="H873" s="3"/>
      <c r="I873" s="10"/>
      <c r="J873" s="10"/>
      <c r="K873" s="10"/>
      <c r="L873" s="10"/>
      <c r="M873" s="11" t="str">
        <f t="shared" si="39"/>
        <v/>
      </c>
      <c r="N873" s="11" t="str">
        <f t="shared" si="40"/>
        <v/>
      </c>
      <c r="O873" s="10"/>
      <c r="P873" s="11" t="str">
        <f t="shared" si="41"/>
        <v/>
      </c>
      <c r="Q873" s="12"/>
    </row>
    <row r="874" spans="1:17" x14ac:dyDescent="0.25">
      <c r="A874" s="3" t="s">
        <v>2540</v>
      </c>
      <c r="B874" s="3" t="s">
        <v>374</v>
      </c>
      <c r="C874" s="9">
        <v>94.44</v>
      </c>
      <c r="D874" s="3" t="s">
        <v>500</v>
      </c>
      <c r="E874" s="10">
        <v>45680.644733796304</v>
      </c>
      <c r="F874" s="10"/>
      <c r="G874" s="10"/>
      <c r="H874" s="3"/>
      <c r="I874" s="10"/>
      <c r="J874" s="10"/>
      <c r="K874" s="10"/>
      <c r="L874" s="10"/>
      <c r="M874" s="11" t="str">
        <f t="shared" si="39"/>
        <v/>
      </c>
      <c r="N874" s="11" t="str">
        <f t="shared" si="40"/>
        <v/>
      </c>
      <c r="O874" s="10"/>
      <c r="P874" s="11" t="str">
        <f t="shared" si="41"/>
        <v/>
      </c>
      <c r="Q874" s="12"/>
    </row>
    <row r="875" spans="1:17" x14ac:dyDescent="0.25">
      <c r="A875" s="3" t="s">
        <v>2541</v>
      </c>
      <c r="B875" s="3" t="s">
        <v>375</v>
      </c>
      <c r="C875" s="9">
        <v>75</v>
      </c>
      <c r="D875" s="3" t="s">
        <v>500</v>
      </c>
      <c r="E875" s="10">
        <v>45680.656863425917</v>
      </c>
      <c r="F875" s="10"/>
      <c r="G875" s="10"/>
      <c r="H875" s="3"/>
      <c r="I875" s="10"/>
      <c r="J875" s="10"/>
      <c r="K875" s="10"/>
      <c r="L875" s="10"/>
      <c r="M875" s="11" t="str">
        <f t="shared" si="39"/>
        <v/>
      </c>
      <c r="N875" s="11" t="str">
        <f t="shared" si="40"/>
        <v/>
      </c>
      <c r="O875" s="10"/>
      <c r="P875" s="11" t="str">
        <f t="shared" si="41"/>
        <v/>
      </c>
      <c r="Q875" s="12"/>
    </row>
    <row r="876" spans="1:17" x14ac:dyDescent="0.25">
      <c r="A876" s="3" t="s">
        <v>2542</v>
      </c>
      <c r="B876" s="3" t="s">
        <v>375</v>
      </c>
      <c r="C876" s="9">
        <v>69.400000000000006</v>
      </c>
      <c r="D876" s="3" t="s">
        <v>572</v>
      </c>
      <c r="E876" s="10">
        <v>45680.656863425917</v>
      </c>
      <c r="F876" s="10"/>
      <c r="G876" s="10"/>
      <c r="H876" s="3"/>
      <c r="I876" s="10"/>
      <c r="J876" s="10"/>
      <c r="K876" s="10"/>
      <c r="L876" s="10"/>
      <c r="M876" s="11" t="str">
        <f t="shared" si="39"/>
        <v/>
      </c>
      <c r="N876" s="11" t="str">
        <f t="shared" si="40"/>
        <v/>
      </c>
      <c r="O876" s="10"/>
      <c r="P876" s="11" t="str">
        <f t="shared" si="41"/>
        <v/>
      </c>
      <c r="Q876" s="12"/>
    </row>
    <row r="877" spans="1:17" ht="25.5" x14ac:dyDescent="0.25">
      <c r="A877" s="3" t="s">
        <v>2543</v>
      </c>
      <c r="B877" s="3" t="s">
        <v>376</v>
      </c>
      <c r="C877" s="9">
        <v>21</v>
      </c>
      <c r="D877" s="3" t="s">
        <v>488</v>
      </c>
      <c r="E877" s="10">
        <v>45680.710914351846</v>
      </c>
      <c r="F877" s="10">
        <v>45680.728530092587</v>
      </c>
      <c r="G877" s="10">
        <v>45680.730497685188</v>
      </c>
      <c r="H877" s="3" t="s">
        <v>2544</v>
      </c>
      <c r="I877" s="10">
        <v>45683.760601851849</v>
      </c>
      <c r="J877" s="10">
        <v>45683.789201388892</v>
      </c>
      <c r="K877" s="10">
        <v>45683.789201388892</v>
      </c>
      <c r="L877" s="10">
        <v>45683.790127314824</v>
      </c>
      <c r="M877" s="11">
        <f t="shared" si="39"/>
        <v>1.9583333341870457E-2</v>
      </c>
      <c r="N877" s="11">
        <f t="shared" si="40"/>
        <v>3.0596296296353103</v>
      </c>
      <c r="O877" s="10">
        <v>45680.732858796298</v>
      </c>
      <c r="P877" s="11">
        <f t="shared" si="41"/>
        <v>3.0277430555506726</v>
      </c>
      <c r="Q877" s="12" t="s">
        <v>2545</v>
      </c>
    </row>
    <row r="878" spans="1:17" ht="38.25" x14ac:dyDescent="0.25">
      <c r="A878" s="3" t="s">
        <v>2546</v>
      </c>
      <c r="B878" s="3" t="s">
        <v>376</v>
      </c>
      <c r="C878" s="9">
        <v>15.74</v>
      </c>
      <c r="D878" s="3" t="s">
        <v>496</v>
      </c>
      <c r="E878" s="10">
        <v>45680.710914351846</v>
      </c>
      <c r="F878" s="10">
        <v>45680.730497685188</v>
      </c>
      <c r="G878" s="10">
        <v>45680.732407407413</v>
      </c>
      <c r="H878" s="3" t="s">
        <v>2535</v>
      </c>
      <c r="I878" s="10">
        <v>45684.325509259259</v>
      </c>
      <c r="J878" s="10">
        <v>45684.344849537039</v>
      </c>
      <c r="K878" s="10">
        <v>45684.344849537039</v>
      </c>
      <c r="L878" s="10">
        <v>45684.345497685194</v>
      </c>
      <c r="M878" s="11">
        <f t="shared" si="39"/>
        <v>2.1493055566679686E-2</v>
      </c>
      <c r="N878" s="11">
        <f t="shared" si="40"/>
        <v>3.6130902777804295</v>
      </c>
      <c r="O878" s="10">
        <v>45680.736331018517</v>
      </c>
      <c r="P878" s="11">
        <f t="shared" si="41"/>
        <v>3.5891782407416031</v>
      </c>
      <c r="Q878" s="12" t="s">
        <v>2547</v>
      </c>
    </row>
    <row r="879" spans="1:17" ht="25.5" x14ac:dyDescent="0.25">
      <c r="A879" s="3" t="s">
        <v>2548</v>
      </c>
      <c r="B879" s="3" t="s">
        <v>376</v>
      </c>
      <c r="C879" s="9">
        <v>38.979999999999997</v>
      </c>
      <c r="D879" s="3" t="s">
        <v>515</v>
      </c>
      <c r="E879" s="10">
        <v>45680.710914351846</v>
      </c>
      <c r="F879" s="10">
        <v>45680.732407407413</v>
      </c>
      <c r="G879" s="10">
        <v>45680.734375</v>
      </c>
      <c r="H879" s="3" t="s">
        <v>2523</v>
      </c>
      <c r="I879" s="10">
        <v>45681.654479166667</v>
      </c>
      <c r="J879" s="10">
        <v>45681.677071759259</v>
      </c>
      <c r="K879" s="10">
        <v>45681.677071759259</v>
      </c>
      <c r="L879" s="10">
        <v>45681.677754629629</v>
      </c>
      <c r="M879" s="11">
        <f t="shared" si="39"/>
        <v>2.3460648153559305E-2</v>
      </c>
      <c r="N879" s="11">
        <f t="shared" si="40"/>
        <v>0.94337962962890742</v>
      </c>
      <c r="O879" s="10">
        <v>45680.738263888888</v>
      </c>
      <c r="P879" s="11">
        <f t="shared" si="41"/>
        <v>0.91621527777897427</v>
      </c>
      <c r="Q879" s="12" t="s">
        <v>2549</v>
      </c>
    </row>
    <row r="880" spans="1:17" ht="38.25" x14ac:dyDescent="0.25">
      <c r="A880" s="3" t="s">
        <v>2550</v>
      </c>
      <c r="B880" s="3" t="s">
        <v>376</v>
      </c>
      <c r="C880" s="9">
        <v>27</v>
      </c>
      <c r="D880" s="3" t="s">
        <v>527</v>
      </c>
      <c r="E880" s="10">
        <v>45680.710914351846</v>
      </c>
      <c r="F880" s="10">
        <v>45680.734375</v>
      </c>
      <c r="G880" s="10">
        <v>45680.735567129632</v>
      </c>
      <c r="H880" s="3" t="s">
        <v>2486</v>
      </c>
      <c r="I880" s="10">
        <v>45684.128483796303</v>
      </c>
      <c r="J880" s="10">
        <v>45684.153437499997</v>
      </c>
      <c r="K880" s="10">
        <v>45684.153437499997</v>
      </c>
      <c r="L880" s="10">
        <v>45684.154236111113</v>
      </c>
      <c r="M880" s="11">
        <f t="shared" si="39"/>
        <v>2.4652777785377111E-2</v>
      </c>
      <c r="N880" s="11">
        <f t="shared" si="40"/>
        <v>3.4186689814814599</v>
      </c>
      <c r="O880" s="10">
        <v>45680.737743055557</v>
      </c>
      <c r="P880" s="11">
        <f t="shared" si="41"/>
        <v>3.3907407407459687</v>
      </c>
      <c r="Q880" s="12" t="s">
        <v>2551</v>
      </c>
    </row>
    <row r="881" spans="1:17" ht="25.5" x14ac:dyDescent="0.25">
      <c r="A881" s="3" t="s">
        <v>2552</v>
      </c>
      <c r="B881" s="3" t="s">
        <v>376</v>
      </c>
      <c r="C881" s="9">
        <v>19.899999999999999</v>
      </c>
      <c r="D881" s="3" t="s">
        <v>539</v>
      </c>
      <c r="E881" s="10">
        <v>45680.710914351846</v>
      </c>
      <c r="F881" s="10">
        <v>45680.735567129632</v>
      </c>
      <c r="G881" s="10">
        <v>45680.737187500003</v>
      </c>
      <c r="H881" s="3" t="s">
        <v>2350</v>
      </c>
      <c r="I881" s="10">
        <v>45681.738668981481</v>
      </c>
      <c r="J881" s="10">
        <v>45681.757233796299</v>
      </c>
      <c r="K881" s="10">
        <v>45681.757233796299</v>
      </c>
      <c r="L881" s="10">
        <v>45681.7580787037</v>
      </c>
      <c r="M881" s="11">
        <f t="shared" si="39"/>
        <v>2.627314815617865E-2</v>
      </c>
      <c r="N881" s="11">
        <f t="shared" si="40"/>
        <v>1.020891203697829</v>
      </c>
      <c r="O881" s="10">
        <v>45680.741111111107</v>
      </c>
      <c r="P881" s="11">
        <f t="shared" si="41"/>
        <v>0.997557870374294</v>
      </c>
      <c r="Q881" s="12" t="s">
        <v>2553</v>
      </c>
    </row>
    <row r="882" spans="1:17" ht="25.5" x14ac:dyDescent="0.25">
      <c r="A882" s="3" t="s">
        <v>2554</v>
      </c>
      <c r="B882" s="3" t="s">
        <v>376</v>
      </c>
      <c r="C882" s="9">
        <v>15.74</v>
      </c>
      <c r="D882" s="3" t="s">
        <v>654</v>
      </c>
      <c r="E882" s="10">
        <v>45680.710914351846</v>
      </c>
      <c r="F882" s="10">
        <v>45680.737187500003</v>
      </c>
      <c r="G882" s="10">
        <v>45680.738935185182</v>
      </c>
      <c r="H882" s="3" t="s">
        <v>2489</v>
      </c>
      <c r="I882" s="10">
        <v>45684.200370370367</v>
      </c>
      <c r="J882" s="10">
        <v>45684.220891203702</v>
      </c>
      <c r="K882" s="10">
        <v>45684.220891203702</v>
      </c>
      <c r="L882" s="10">
        <v>45684.221712962957</v>
      </c>
      <c r="M882" s="11">
        <f t="shared" si="39"/>
        <v>2.8020833335176576E-2</v>
      </c>
      <c r="N882" s="11">
        <f t="shared" si="40"/>
        <v>3.4827777777754818</v>
      </c>
      <c r="O882" s="10">
        <v>45680.7425</v>
      </c>
      <c r="P882" s="11">
        <f t="shared" si="41"/>
        <v>3.457870370366436</v>
      </c>
      <c r="Q882" s="12" t="s">
        <v>2555</v>
      </c>
    </row>
    <row r="883" spans="1:17" ht="25.5" x14ac:dyDescent="0.25">
      <c r="A883" s="3" t="s">
        <v>2556</v>
      </c>
      <c r="B883" s="3" t="s">
        <v>376</v>
      </c>
      <c r="C883" s="9">
        <v>15.74</v>
      </c>
      <c r="D883" s="3" t="s">
        <v>533</v>
      </c>
      <c r="E883" s="10">
        <v>45680.710914351846</v>
      </c>
      <c r="F883" s="10">
        <v>45680.738935185182</v>
      </c>
      <c r="G883" s="10">
        <v>45680.740960648152</v>
      </c>
      <c r="H883" s="3" t="s">
        <v>2504</v>
      </c>
      <c r="I883" s="10">
        <v>45684.33965277778</v>
      </c>
      <c r="J883" s="10">
        <v>45684.370625000003</v>
      </c>
      <c r="K883" s="10">
        <v>45684.370625000003</v>
      </c>
      <c r="L883" s="10">
        <v>45684.371539351851</v>
      </c>
      <c r="M883" s="11">
        <f t="shared" si="39"/>
        <v>3.0046296305954456E-2</v>
      </c>
      <c r="N883" s="11">
        <f t="shared" si="40"/>
        <v>3.6305787036981201</v>
      </c>
      <c r="O883" s="10">
        <v>45680.74486111111</v>
      </c>
      <c r="P883" s="11">
        <f t="shared" si="41"/>
        <v>3.5947916666700621</v>
      </c>
      <c r="Q883" s="12" t="s">
        <v>2557</v>
      </c>
    </row>
    <row r="884" spans="1:17" ht="25.5" x14ac:dyDescent="0.25">
      <c r="A884" s="3" t="s">
        <v>2558</v>
      </c>
      <c r="B884" s="3" t="s">
        <v>376</v>
      </c>
      <c r="C884" s="9">
        <v>15.74</v>
      </c>
      <c r="D884" s="3" t="s">
        <v>1033</v>
      </c>
      <c r="E884" s="10">
        <v>45680.710914351846</v>
      </c>
      <c r="F884" s="10">
        <v>45680.740960648152</v>
      </c>
      <c r="G884" s="10">
        <v>45680.742581018523</v>
      </c>
      <c r="H884" s="3" t="s">
        <v>2350</v>
      </c>
      <c r="I884" s="10">
        <v>45681.738668981481</v>
      </c>
      <c r="J884" s="10">
        <v>45681.757233796299</v>
      </c>
      <c r="K884" s="10">
        <v>45681.757233796299</v>
      </c>
      <c r="L884" s="10">
        <v>45681.7580787037</v>
      </c>
      <c r="M884" s="11">
        <f t="shared" si="39"/>
        <v>3.1666666676755995E-2</v>
      </c>
      <c r="N884" s="11">
        <f t="shared" si="40"/>
        <v>1.0154976851772517</v>
      </c>
      <c r="O884" s="10">
        <v>45680.746504629627</v>
      </c>
      <c r="P884" s="11">
        <f t="shared" si="41"/>
        <v>0.99216435185371665</v>
      </c>
      <c r="Q884" s="12" t="s">
        <v>2559</v>
      </c>
    </row>
    <row r="885" spans="1:17" ht="38.25" x14ac:dyDescent="0.25">
      <c r="A885" s="3" t="s">
        <v>2560</v>
      </c>
      <c r="B885" s="3" t="s">
        <v>376</v>
      </c>
      <c r="C885" s="9">
        <v>15.74</v>
      </c>
      <c r="D885" s="3" t="s">
        <v>484</v>
      </c>
      <c r="E885" s="10">
        <v>45680.710914351846</v>
      </c>
      <c r="F885" s="10">
        <v>45680.742581018523</v>
      </c>
      <c r="G885" s="10">
        <v>45680.743738425917</v>
      </c>
      <c r="H885" s="3" t="s">
        <v>2486</v>
      </c>
      <c r="I885" s="10">
        <v>45684.128483796303</v>
      </c>
      <c r="J885" s="10">
        <v>45684.153437499997</v>
      </c>
      <c r="K885" s="10">
        <v>45684.153437499997</v>
      </c>
      <c r="L885" s="10">
        <v>45684.154236111113</v>
      </c>
      <c r="M885" s="11">
        <f t="shared" si="39"/>
        <v>3.2824074070958886E-2</v>
      </c>
      <c r="N885" s="11">
        <f t="shared" si="40"/>
        <v>3.4104976851958781</v>
      </c>
      <c r="O885" s="10">
        <v>45680.747303240743</v>
      </c>
      <c r="P885" s="11">
        <f t="shared" si="41"/>
        <v>3.3811805555596948</v>
      </c>
      <c r="Q885" s="12" t="s">
        <v>2561</v>
      </c>
    </row>
    <row r="886" spans="1:17" ht="25.5" x14ac:dyDescent="0.25">
      <c r="A886" s="3" t="s">
        <v>2562</v>
      </c>
      <c r="B886" s="3" t="s">
        <v>376</v>
      </c>
      <c r="C886" s="9">
        <v>14</v>
      </c>
      <c r="D886" s="3" t="s">
        <v>523</v>
      </c>
      <c r="E886" s="10">
        <v>45680.710914351846</v>
      </c>
      <c r="F886" s="10">
        <v>45680.743738425917</v>
      </c>
      <c r="G886" s="10">
        <v>45680.745648148149</v>
      </c>
      <c r="H886" s="3" t="s">
        <v>2563</v>
      </c>
      <c r="I886" s="10">
        <v>45684.539895833332</v>
      </c>
      <c r="J886" s="10">
        <v>45684.557592592602</v>
      </c>
      <c r="K886" s="10">
        <v>45684.557592592602</v>
      </c>
      <c r="L886" s="10">
        <v>45684.558217592603</v>
      </c>
      <c r="M886" s="11">
        <f t="shared" si="39"/>
        <v>3.4733796303044073E-2</v>
      </c>
      <c r="N886" s="11">
        <f t="shared" si="40"/>
        <v>3.812569444453402</v>
      </c>
      <c r="O886" s="10">
        <v>45680.748043981483</v>
      </c>
      <c r="P886" s="11">
        <f t="shared" si="41"/>
        <v>3.79185185184906</v>
      </c>
      <c r="Q886" s="12" t="s">
        <v>2564</v>
      </c>
    </row>
    <row r="887" spans="1:17" x14ac:dyDescent="0.25">
      <c r="A887" s="3" t="s">
        <v>2565</v>
      </c>
      <c r="B887" s="3" t="s">
        <v>376</v>
      </c>
      <c r="C887" s="9">
        <v>117.68</v>
      </c>
      <c r="D887" s="3" t="s">
        <v>506</v>
      </c>
      <c r="E887" s="10">
        <v>45680.710914351846</v>
      </c>
      <c r="F887" s="10">
        <v>45680.745648148149</v>
      </c>
      <c r="G887" s="10">
        <v>45680.747164351851</v>
      </c>
      <c r="H887" s="3" t="s">
        <v>2566</v>
      </c>
      <c r="I887" s="10">
        <v>45681.741979166669</v>
      </c>
      <c r="J887" s="10">
        <v>45681.762407407397</v>
      </c>
      <c r="K887" s="10">
        <v>45681.762407407397</v>
      </c>
      <c r="L887" s="10">
        <v>45681.763101851851</v>
      </c>
      <c r="M887" s="11">
        <f t="shared" si="39"/>
        <v>3.6250000004656613E-2</v>
      </c>
      <c r="N887" s="11">
        <f t="shared" si="40"/>
        <v>1.015937500000291</v>
      </c>
      <c r="O887" s="10">
        <v>45680.749525462961</v>
      </c>
      <c r="P887" s="11">
        <f t="shared" si="41"/>
        <v>0.99245370370772434</v>
      </c>
      <c r="Q887" s="12" t="s">
        <v>2567</v>
      </c>
    </row>
    <row r="888" spans="1:17" ht="38.25" x14ac:dyDescent="0.25">
      <c r="A888" s="3" t="s">
        <v>2568</v>
      </c>
      <c r="B888" s="3" t="s">
        <v>376</v>
      </c>
      <c r="C888" s="9">
        <v>14</v>
      </c>
      <c r="D888" s="3" t="s">
        <v>595</v>
      </c>
      <c r="E888" s="10">
        <v>45680.710914351846</v>
      </c>
      <c r="F888" s="10">
        <v>45680.747164351851</v>
      </c>
      <c r="G888" s="10">
        <v>45680.74832175926</v>
      </c>
      <c r="H888" s="3" t="s">
        <v>2486</v>
      </c>
      <c r="I888" s="10">
        <v>45684.128483796303</v>
      </c>
      <c r="J888" s="10">
        <v>45684.153437499997</v>
      </c>
      <c r="K888" s="10">
        <v>45684.153437499997</v>
      </c>
      <c r="L888" s="10">
        <v>45684.154236111113</v>
      </c>
      <c r="M888" s="11">
        <f t="shared" si="39"/>
        <v>3.740740741341142E-2</v>
      </c>
      <c r="N888" s="11">
        <f t="shared" si="40"/>
        <v>3.4059143518534256</v>
      </c>
      <c r="O888" s="10">
        <v>45680.751886574071</v>
      </c>
      <c r="P888" s="11">
        <f t="shared" si="41"/>
        <v>3.3765972222317941</v>
      </c>
      <c r="Q888" s="12" t="s">
        <v>2569</v>
      </c>
    </row>
    <row r="889" spans="1:17" ht="25.5" x14ac:dyDescent="0.25">
      <c r="A889" s="3" t="s">
        <v>2570</v>
      </c>
      <c r="B889" s="3" t="s">
        <v>377</v>
      </c>
      <c r="C889" s="9">
        <v>54.72</v>
      </c>
      <c r="D889" s="3" t="s">
        <v>500</v>
      </c>
      <c r="E889" s="10">
        <v>45680.734594907408</v>
      </c>
      <c r="F889" s="10">
        <v>45680.749189814807</v>
      </c>
      <c r="G889" s="10">
        <v>45680.751122685193</v>
      </c>
      <c r="H889" s="3" t="s">
        <v>2571</v>
      </c>
      <c r="I889" s="10">
        <v>45682.090439814812</v>
      </c>
      <c r="J889" s="10">
        <v>45682.11478009259</v>
      </c>
      <c r="K889" s="10">
        <v>45682.11478009259</v>
      </c>
      <c r="L889" s="10">
        <v>45682.115636574083</v>
      </c>
      <c r="M889" s="11">
        <f t="shared" si="39"/>
        <v>1.6527777785086073E-2</v>
      </c>
      <c r="N889" s="11">
        <f t="shared" si="40"/>
        <v>1.3645138888896327</v>
      </c>
      <c r="O889" s="10">
        <v>45680.753495370373</v>
      </c>
      <c r="P889" s="11">
        <f t="shared" si="41"/>
        <v>1.3369444444397232</v>
      </c>
      <c r="Q889" s="12" t="s">
        <v>2572</v>
      </c>
    </row>
    <row r="890" spans="1:17" ht="25.5" x14ac:dyDescent="0.25">
      <c r="A890" s="3" t="s">
        <v>2573</v>
      </c>
      <c r="B890" s="3" t="s">
        <v>378</v>
      </c>
      <c r="C890" s="9">
        <v>85.46</v>
      </c>
      <c r="D890" s="3" t="s">
        <v>500</v>
      </c>
      <c r="E890" s="10">
        <v>45680.875173611108</v>
      </c>
      <c r="F890" s="10">
        <v>45680.879467592589</v>
      </c>
      <c r="G890" s="10">
        <v>45680.881122685183</v>
      </c>
      <c r="H890" s="3" t="s">
        <v>2571</v>
      </c>
      <c r="I890" s="10">
        <v>45682.090439814812</v>
      </c>
      <c r="J890" s="10">
        <v>45682.11478009259</v>
      </c>
      <c r="K890" s="10">
        <v>45682.11478009259</v>
      </c>
      <c r="L890" s="10">
        <v>45682.115636574083</v>
      </c>
      <c r="M890" s="11">
        <f t="shared" si="39"/>
        <v>5.9490740750334226E-3</v>
      </c>
      <c r="N890" s="11">
        <f t="shared" si="40"/>
        <v>1.234513888899528</v>
      </c>
      <c r="O890" s="10">
        <v>45680.884675925918</v>
      </c>
      <c r="P890" s="11">
        <f t="shared" si="41"/>
        <v>1.2057638888945803</v>
      </c>
      <c r="Q890" s="12" t="s">
        <v>2574</v>
      </c>
    </row>
    <row r="891" spans="1:17" ht="25.5" x14ac:dyDescent="0.25">
      <c r="A891" s="3" t="s">
        <v>2575</v>
      </c>
      <c r="B891" s="3" t="s">
        <v>379</v>
      </c>
      <c r="C891" s="9">
        <v>31.48</v>
      </c>
      <c r="D891" s="3" t="s">
        <v>496</v>
      </c>
      <c r="E891" s="10">
        <v>45681.11278935185</v>
      </c>
      <c r="F891" s="10">
        <v>45681.122465277767</v>
      </c>
      <c r="G891" s="10">
        <v>45681.124409722222</v>
      </c>
      <c r="H891" s="3" t="s">
        <v>2535</v>
      </c>
      <c r="I891" s="10">
        <v>45684.325509259259</v>
      </c>
      <c r="J891" s="10">
        <v>45684.344849537039</v>
      </c>
      <c r="K891" s="10">
        <v>45684.344849537039</v>
      </c>
      <c r="L891" s="10">
        <v>45684.345497685194</v>
      </c>
      <c r="M891" s="11">
        <f t="shared" si="39"/>
        <v>1.1620370372838806E-2</v>
      </c>
      <c r="N891" s="11">
        <f t="shared" si="40"/>
        <v>3.2210879629710689</v>
      </c>
      <c r="O891" s="10">
        <v>45681.127962962957</v>
      </c>
      <c r="P891" s="11">
        <f t="shared" si="41"/>
        <v>3.1975462963018799</v>
      </c>
      <c r="Q891" s="12" t="s">
        <v>2576</v>
      </c>
    </row>
    <row r="892" spans="1:17" x14ac:dyDescent="0.25">
      <c r="A892" s="3" t="s">
        <v>2577</v>
      </c>
      <c r="B892" s="3" t="s">
        <v>379</v>
      </c>
      <c r="C892" s="9">
        <v>164.7</v>
      </c>
      <c r="D892" s="3" t="s">
        <v>488</v>
      </c>
      <c r="E892" s="10">
        <v>45681.11278935185</v>
      </c>
      <c r="F892" s="10">
        <v>45681.124409722222</v>
      </c>
      <c r="G892" s="10">
        <v>45681.126712962963</v>
      </c>
      <c r="H892" s="3" t="s">
        <v>2544</v>
      </c>
      <c r="I892" s="10">
        <v>45683.760601851849</v>
      </c>
      <c r="J892" s="10">
        <v>45683.789201388892</v>
      </c>
      <c r="K892" s="10">
        <v>45683.789201388892</v>
      </c>
      <c r="L892" s="10">
        <v>45683.790127314824</v>
      </c>
      <c r="M892" s="11">
        <f t="shared" si="39"/>
        <v>1.3923611113568768E-2</v>
      </c>
      <c r="N892" s="11">
        <f t="shared" si="40"/>
        <v>2.6634143518604105</v>
      </c>
      <c r="O892" s="10">
        <v>45681.129108796304</v>
      </c>
      <c r="P892" s="11">
        <f t="shared" si="41"/>
        <v>2.6314930555454339</v>
      </c>
      <c r="Q892" s="12" t="s">
        <v>2578</v>
      </c>
    </row>
    <row r="893" spans="1:17" ht="25.5" x14ac:dyDescent="0.25">
      <c r="A893" s="3" t="s">
        <v>2579</v>
      </c>
      <c r="B893" s="3" t="s">
        <v>379</v>
      </c>
      <c r="C893" s="9">
        <v>35.64</v>
      </c>
      <c r="D893" s="3" t="s">
        <v>484</v>
      </c>
      <c r="E893" s="10">
        <v>45681.11278935185</v>
      </c>
      <c r="F893" s="10">
        <v>45681.126712962963</v>
      </c>
      <c r="G893" s="10">
        <v>45681.127916666657</v>
      </c>
      <c r="H893" s="3" t="s">
        <v>2486</v>
      </c>
      <c r="I893" s="10">
        <v>45684.128483796303</v>
      </c>
      <c r="J893" s="10">
        <v>45684.153437499997</v>
      </c>
      <c r="K893" s="10">
        <v>45684.153437499997</v>
      </c>
      <c r="L893" s="10">
        <v>45684.154236111113</v>
      </c>
      <c r="M893" s="11">
        <f t="shared" si="39"/>
        <v>1.5127314807614312E-2</v>
      </c>
      <c r="N893" s="11">
        <f t="shared" si="40"/>
        <v>3.0263194444560213</v>
      </c>
      <c r="O893" s="10">
        <v>45681.131805555553</v>
      </c>
      <c r="P893" s="11">
        <f t="shared" si="41"/>
        <v>2.9966782407500432</v>
      </c>
      <c r="Q893" s="12" t="s">
        <v>2580</v>
      </c>
    </row>
    <row r="894" spans="1:17" ht="51" x14ac:dyDescent="0.25">
      <c r="A894" s="3" t="s">
        <v>2581</v>
      </c>
      <c r="B894" s="3" t="s">
        <v>379</v>
      </c>
      <c r="C894" s="9">
        <v>12.04</v>
      </c>
      <c r="D894" s="3" t="s">
        <v>492</v>
      </c>
      <c r="E894" s="10">
        <v>45681.11278935185</v>
      </c>
      <c r="F894" s="10">
        <v>45681.127916666657</v>
      </c>
      <c r="G894" s="10">
        <v>45681.129861111112</v>
      </c>
      <c r="H894" s="3" t="s">
        <v>2526</v>
      </c>
      <c r="I894" s="10">
        <v>45684.651909722219</v>
      </c>
      <c r="J894" s="10">
        <v>45684.692256944443</v>
      </c>
      <c r="K894" s="10">
        <v>45684.692256944443</v>
      </c>
      <c r="L894" s="10">
        <v>45684.693333333344</v>
      </c>
      <c r="M894" s="11">
        <f t="shared" si="39"/>
        <v>1.7071759262762498E-2</v>
      </c>
      <c r="N894" s="11">
        <f t="shared" si="40"/>
        <v>3.5634722222312121</v>
      </c>
      <c r="O894" s="10">
        <v>45681.133414351847</v>
      </c>
      <c r="P894" s="11">
        <f t="shared" si="41"/>
        <v>3.5184953703719657</v>
      </c>
      <c r="Q894" s="12" t="s">
        <v>2582</v>
      </c>
    </row>
    <row r="895" spans="1:17" ht="25.5" x14ac:dyDescent="0.25">
      <c r="A895" s="3" t="s">
        <v>2583</v>
      </c>
      <c r="B895" s="3" t="s">
        <v>379</v>
      </c>
      <c r="C895" s="9">
        <v>51.38</v>
      </c>
      <c r="D895" s="3" t="s">
        <v>484</v>
      </c>
      <c r="E895" s="10">
        <v>45681.11278935185</v>
      </c>
      <c r="F895" s="10">
        <v>45681.129861111112</v>
      </c>
      <c r="G895" s="10">
        <v>45681.131111111114</v>
      </c>
      <c r="H895" s="3" t="s">
        <v>2486</v>
      </c>
      <c r="I895" s="10">
        <v>45684.128483796303</v>
      </c>
      <c r="J895" s="10">
        <v>45684.153437499997</v>
      </c>
      <c r="K895" s="10">
        <v>45684.153437499997</v>
      </c>
      <c r="L895" s="10">
        <v>45684.154236111113</v>
      </c>
      <c r="M895" s="11">
        <f t="shared" si="39"/>
        <v>1.8321759263926651E-2</v>
      </c>
      <c r="N895" s="11">
        <f t="shared" si="40"/>
        <v>3.023124999999709</v>
      </c>
      <c r="O895" s="10">
        <v>45681.135034722232</v>
      </c>
      <c r="P895" s="11">
        <f t="shared" si="41"/>
        <v>2.9934490740706678</v>
      </c>
      <c r="Q895" s="12" t="s">
        <v>2584</v>
      </c>
    </row>
    <row r="896" spans="1:17" x14ac:dyDescent="0.25">
      <c r="A896" s="3" t="s">
        <v>2585</v>
      </c>
      <c r="B896" s="3" t="s">
        <v>380</v>
      </c>
      <c r="C896" s="9">
        <v>118.2</v>
      </c>
      <c r="D896" s="3" t="s">
        <v>519</v>
      </c>
      <c r="E896" s="10">
        <v>45681.190636574072</v>
      </c>
      <c r="F896" s="10">
        <v>45681.195185185177</v>
      </c>
      <c r="G896" s="10">
        <v>45681.197175925918</v>
      </c>
      <c r="H896" s="3" t="s">
        <v>2489</v>
      </c>
      <c r="I896" s="10">
        <v>45684.200370370367</v>
      </c>
      <c r="J896" s="10">
        <v>45684.220891203702</v>
      </c>
      <c r="K896" s="10">
        <v>45684.220891203702</v>
      </c>
      <c r="L896" s="10">
        <v>45684.221712962957</v>
      </c>
      <c r="M896" s="11">
        <f t="shared" si="39"/>
        <v>6.539351845276542E-3</v>
      </c>
      <c r="N896" s="11">
        <f t="shared" si="40"/>
        <v>3.0245370370394085</v>
      </c>
      <c r="O896" s="10">
        <v>45681.199571759258</v>
      </c>
      <c r="P896" s="11">
        <f t="shared" si="41"/>
        <v>3.0007986111086211</v>
      </c>
      <c r="Q896" s="12" t="s">
        <v>2586</v>
      </c>
    </row>
    <row r="897" spans="1:17" x14ac:dyDescent="0.25">
      <c r="A897" s="3" t="s">
        <v>2587</v>
      </c>
      <c r="B897" s="3" t="s">
        <v>381</v>
      </c>
      <c r="C897" s="9">
        <v>297</v>
      </c>
      <c r="D897" s="3" t="s">
        <v>500</v>
      </c>
      <c r="E897" s="10">
        <v>45681.259988425933</v>
      </c>
      <c r="F897" s="10">
        <v>45681.265775462962</v>
      </c>
      <c r="G897" s="10">
        <v>45681.267592592587</v>
      </c>
      <c r="H897" s="3" t="s">
        <v>2588</v>
      </c>
      <c r="I897" s="10">
        <v>45684.286192129628</v>
      </c>
      <c r="J897" s="10">
        <v>45684.337754629632</v>
      </c>
      <c r="K897" s="10">
        <v>45684.337754629632</v>
      </c>
      <c r="L897" s="10">
        <v>45684.338912037027</v>
      </c>
      <c r="M897" s="11">
        <f t="shared" si="39"/>
        <v>7.6041666543460451E-3</v>
      </c>
      <c r="N897" s="11">
        <f t="shared" si="40"/>
        <v>3.0713194444397232</v>
      </c>
      <c r="O897" s="10">
        <v>45681.269988425927</v>
      </c>
      <c r="P897" s="11">
        <f t="shared" si="41"/>
        <v>3.0162037037007394</v>
      </c>
      <c r="Q897" s="12" t="s">
        <v>2589</v>
      </c>
    </row>
    <row r="898" spans="1:17" x14ac:dyDescent="0.25">
      <c r="A898" s="3" t="s">
        <v>2590</v>
      </c>
      <c r="B898" s="3" t="s">
        <v>382</v>
      </c>
      <c r="C898" s="9">
        <v>240.42</v>
      </c>
      <c r="D898" s="3" t="s">
        <v>500</v>
      </c>
      <c r="E898" s="10">
        <v>45681.291493055563</v>
      </c>
      <c r="F898" s="10">
        <v>45681.296956018523</v>
      </c>
      <c r="G898" s="10">
        <v>45681.299201388887</v>
      </c>
      <c r="H898" s="3" t="s">
        <v>2591</v>
      </c>
      <c r="I898" s="10">
        <v>45684.323344907411</v>
      </c>
      <c r="J898" s="10">
        <v>45684.365081018521</v>
      </c>
      <c r="K898" s="10">
        <v>45684.365081018521</v>
      </c>
      <c r="L898" s="10">
        <v>45684.36614583333</v>
      </c>
      <c r="M898" s="11">
        <f t="shared" ref="M898:M961" si="42">IF(AND(ISNUMBER(E898),ISNUMBER(G898)),(G898-E898),"")</f>
        <v>7.7083333235350437E-3</v>
      </c>
      <c r="N898" s="11">
        <f t="shared" ref="N898:N961" si="43">IF(AND(ISNUMBER(G898),ISNUMBER(L898)),(L898-G898),"")</f>
        <v>3.0669444444429246</v>
      </c>
      <c r="O898" s="10">
        <v>45681.30159722222</v>
      </c>
      <c r="P898" s="11">
        <f t="shared" ref="P898:P961" si="44">IF(AND(ISNUMBER(I898),ISNUMBER(O898)),(I898-O898),"")</f>
        <v>3.0217476851903484</v>
      </c>
      <c r="Q898" s="12" t="s">
        <v>2592</v>
      </c>
    </row>
    <row r="899" spans="1:17" ht="51" x14ac:dyDescent="0.25">
      <c r="A899" s="3" t="s">
        <v>2593</v>
      </c>
      <c r="B899" s="3" t="s">
        <v>383</v>
      </c>
      <c r="C899" s="9">
        <v>42</v>
      </c>
      <c r="D899" s="3" t="s">
        <v>595</v>
      </c>
      <c r="E899" s="10">
        <v>45681.302418981482</v>
      </c>
      <c r="F899" s="10">
        <v>45681.320787037039</v>
      </c>
      <c r="G899" s="10">
        <v>45681.322002314817</v>
      </c>
      <c r="H899" s="3" t="s">
        <v>2594</v>
      </c>
      <c r="I899" s="10">
        <v>45684.365208333344</v>
      </c>
      <c r="J899" s="10">
        <v>45684.389398148152</v>
      </c>
      <c r="K899" s="10">
        <v>45684.389398148152</v>
      </c>
      <c r="L899" s="10">
        <v>45684.390185185177</v>
      </c>
      <c r="M899" s="11">
        <f t="shared" si="42"/>
        <v>1.9583333334594499E-2</v>
      </c>
      <c r="N899" s="11">
        <f t="shared" si="43"/>
        <v>3.0681828703600331</v>
      </c>
      <c r="O899" s="10">
        <v>45681.324363425927</v>
      </c>
      <c r="P899" s="11">
        <f t="shared" si="44"/>
        <v>3.0408449074166128</v>
      </c>
      <c r="Q899" s="12" t="s">
        <v>2595</v>
      </c>
    </row>
    <row r="900" spans="1:17" ht="38.25" x14ac:dyDescent="0.25">
      <c r="A900" s="3" t="s">
        <v>2596</v>
      </c>
      <c r="B900" s="3" t="s">
        <v>383</v>
      </c>
      <c r="C900" s="9">
        <v>15.74</v>
      </c>
      <c r="D900" s="3" t="s">
        <v>1033</v>
      </c>
      <c r="E900" s="10">
        <v>45681.302418981482</v>
      </c>
      <c r="F900" s="10">
        <v>45681.322002314817</v>
      </c>
      <c r="G900" s="10">
        <v>45681.323958333327</v>
      </c>
      <c r="H900" s="3" t="s">
        <v>2526</v>
      </c>
      <c r="I900" s="10">
        <v>45684.651909722219</v>
      </c>
      <c r="J900" s="10">
        <v>45684.692256944443</v>
      </c>
      <c r="K900" s="10">
        <v>45684.692256944443</v>
      </c>
      <c r="L900" s="10">
        <v>45684.693333333344</v>
      </c>
      <c r="M900" s="11">
        <f t="shared" si="42"/>
        <v>2.1539351844694465E-2</v>
      </c>
      <c r="N900" s="11">
        <f t="shared" si="43"/>
        <v>3.3693750000165892</v>
      </c>
      <c r="O900" s="10">
        <v>45681.32613425926</v>
      </c>
      <c r="P900" s="11">
        <f t="shared" si="44"/>
        <v>3.3257754629594274</v>
      </c>
      <c r="Q900" s="12" t="s">
        <v>2597</v>
      </c>
    </row>
    <row r="901" spans="1:17" x14ac:dyDescent="0.25">
      <c r="A901" s="3" t="s">
        <v>2598</v>
      </c>
      <c r="B901" s="3" t="s">
        <v>383</v>
      </c>
      <c r="C901" s="9">
        <v>37.5</v>
      </c>
      <c r="D901" s="3" t="s">
        <v>519</v>
      </c>
      <c r="E901" s="10">
        <v>45681.302418981482</v>
      </c>
      <c r="F901" s="10"/>
      <c r="G901" s="10"/>
      <c r="H901" s="3"/>
      <c r="I901" s="10"/>
      <c r="J901" s="10"/>
      <c r="K901" s="10"/>
      <c r="L901" s="10"/>
      <c r="M901" s="11" t="str">
        <f t="shared" si="42"/>
        <v/>
      </c>
      <c r="N901" s="11" t="str">
        <f t="shared" si="43"/>
        <v/>
      </c>
      <c r="O901" s="10"/>
      <c r="P901" s="11" t="str">
        <f t="shared" si="44"/>
        <v/>
      </c>
      <c r="Q901" s="12"/>
    </row>
    <row r="902" spans="1:17" x14ac:dyDescent="0.25">
      <c r="A902" s="3" t="s">
        <v>2599</v>
      </c>
      <c r="B902" s="3" t="s">
        <v>383</v>
      </c>
      <c r="C902" s="9">
        <v>19.899999999999999</v>
      </c>
      <c r="D902" s="3" t="s">
        <v>488</v>
      </c>
      <c r="E902" s="10">
        <v>45681.302418981482</v>
      </c>
      <c r="F902" s="10"/>
      <c r="G902" s="10"/>
      <c r="H902" s="3"/>
      <c r="I902" s="10"/>
      <c r="J902" s="10"/>
      <c r="K902" s="10"/>
      <c r="L902" s="10"/>
      <c r="M902" s="11" t="str">
        <f t="shared" si="42"/>
        <v/>
      </c>
      <c r="N902" s="11" t="str">
        <f t="shared" si="43"/>
        <v/>
      </c>
      <c r="O902" s="10"/>
      <c r="P902" s="11" t="str">
        <f t="shared" si="44"/>
        <v/>
      </c>
      <c r="Q902" s="12"/>
    </row>
    <row r="903" spans="1:17" x14ac:dyDescent="0.25">
      <c r="A903" s="3" t="s">
        <v>2600</v>
      </c>
      <c r="B903" s="3" t="s">
        <v>383</v>
      </c>
      <c r="C903" s="9">
        <v>19.899999999999999</v>
      </c>
      <c r="D903" s="3" t="s">
        <v>484</v>
      </c>
      <c r="E903" s="10">
        <v>45681.302418981482</v>
      </c>
      <c r="F903" s="10"/>
      <c r="G903" s="10"/>
      <c r="H903" s="3"/>
      <c r="I903" s="10"/>
      <c r="J903" s="10"/>
      <c r="K903" s="10"/>
      <c r="L903" s="10"/>
      <c r="M903" s="11" t="str">
        <f t="shared" si="42"/>
        <v/>
      </c>
      <c r="N903" s="11" t="str">
        <f t="shared" si="43"/>
        <v/>
      </c>
      <c r="O903" s="10"/>
      <c r="P903" s="11" t="str">
        <f t="shared" si="44"/>
        <v/>
      </c>
      <c r="Q903" s="12"/>
    </row>
    <row r="904" spans="1:17" ht="38.25" x14ac:dyDescent="0.25">
      <c r="A904" s="3" t="s">
        <v>2601</v>
      </c>
      <c r="B904" s="3" t="s">
        <v>383</v>
      </c>
      <c r="C904" s="9">
        <v>27</v>
      </c>
      <c r="D904" s="3" t="s">
        <v>527</v>
      </c>
      <c r="E904" s="10">
        <v>45681.302418981482</v>
      </c>
      <c r="F904" s="10">
        <v>45681.323958333327</v>
      </c>
      <c r="G904" s="10">
        <v>45681.325138888889</v>
      </c>
      <c r="H904" s="3" t="s">
        <v>2594</v>
      </c>
      <c r="I904" s="10">
        <v>45684.365208333344</v>
      </c>
      <c r="J904" s="10">
        <v>45684.389398148152</v>
      </c>
      <c r="K904" s="10">
        <v>45684.389398148152</v>
      </c>
      <c r="L904" s="10">
        <v>45684.390185185177</v>
      </c>
      <c r="M904" s="11">
        <f t="shared" si="42"/>
        <v>2.2719907407008577E-2</v>
      </c>
      <c r="N904" s="11">
        <f t="shared" si="43"/>
        <v>3.065046296287619</v>
      </c>
      <c r="O904" s="10">
        <v>45681.329097222217</v>
      </c>
      <c r="P904" s="11">
        <f t="shared" si="44"/>
        <v>3.0361111111269565</v>
      </c>
      <c r="Q904" s="12" t="s">
        <v>2602</v>
      </c>
    </row>
    <row r="905" spans="1:17" x14ac:dyDescent="0.25">
      <c r="A905" s="3" t="s">
        <v>2603</v>
      </c>
      <c r="B905" s="3" t="s">
        <v>383</v>
      </c>
      <c r="C905" s="9">
        <v>15.74</v>
      </c>
      <c r="D905" s="3" t="s">
        <v>515</v>
      </c>
      <c r="E905" s="10">
        <v>45681.302418981482</v>
      </c>
      <c r="F905" s="10"/>
      <c r="G905" s="10"/>
      <c r="H905" s="3"/>
      <c r="I905" s="10"/>
      <c r="J905" s="10"/>
      <c r="K905" s="10"/>
      <c r="L905" s="10"/>
      <c r="M905" s="11" t="str">
        <f t="shared" si="42"/>
        <v/>
      </c>
      <c r="N905" s="11" t="str">
        <f t="shared" si="43"/>
        <v/>
      </c>
      <c r="O905" s="10"/>
      <c r="P905" s="11" t="str">
        <f t="shared" si="44"/>
        <v/>
      </c>
      <c r="Q905" s="12"/>
    </row>
    <row r="906" spans="1:17" ht="38.25" x14ac:dyDescent="0.25">
      <c r="A906" s="3" t="s">
        <v>2604</v>
      </c>
      <c r="B906" s="3" t="s">
        <v>383</v>
      </c>
      <c r="C906" s="9">
        <v>12.04</v>
      </c>
      <c r="D906" s="3" t="s">
        <v>492</v>
      </c>
      <c r="E906" s="10">
        <v>45681.302418981482</v>
      </c>
      <c r="F906" s="10">
        <v>45681.325138888889</v>
      </c>
      <c r="G906" s="10">
        <v>45681.32708333333</v>
      </c>
      <c r="H906" s="3" t="s">
        <v>2526</v>
      </c>
      <c r="I906" s="10">
        <v>45684.651909722219</v>
      </c>
      <c r="J906" s="10">
        <v>45684.692256944443</v>
      </c>
      <c r="K906" s="10">
        <v>45684.692256944443</v>
      </c>
      <c r="L906" s="10">
        <v>45684.693333333344</v>
      </c>
      <c r="M906" s="11">
        <f t="shared" si="42"/>
        <v>2.4664351847604848E-2</v>
      </c>
      <c r="N906" s="11">
        <f t="shared" si="43"/>
        <v>3.3662500000136788</v>
      </c>
      <c r="O906" s="10">
        <v>45681.331006944441</v>
      </c>
      <c r="P906" s="11">
        <f t="shared" si="44"/>
        <v>3.3209027777775191</v>
      </c>
      <c r="Q906" s="12" t="s">
        <v>2605</v>
      </c>
    </row>
    <row r="907" spans="1:17" x14ac:dyDescent="0.25">
      <c r="A907" s="3" t="s">
        <v>2606</v>
      </c>
      <c r="B907" s="3" t="s">
        <v>383</v>
      </c>
      <c r="C907" s="9">
        <v>35.64</v>
      </c>
      <c r="D907" s="3" t="s">
        <v>484</v>
      </c>
      <c r="E907" s="10">
        <v>45681.302418981482</v>
      </c>
      <c r="F907" s="10"/>
      <c r="G907" s="10"/>
      <c r="H907" s="3"/>
      <c r="I907" s="10"/>
      <c r="J907" s="10"/>
      <c r="K907" s="10"/>
      <c r="L907" s="10"/>
      <c r="M907" s="11" t="str">
        <f t="shared" si="42"/>
        <v/>
      </c>
      <c r="N907" s="11" t="str">
        <f t="shared" si="43"/>
        <v/>
      </c>
      <c r="O907" s="10"/>
      <c r="P907" s="11" t="str">
        <f t="shared" si="44"/>
        <v/>
      </c>
      <c r="Q907" s="12"/>
    </row>
    <row r="908" spans="1:17" ht="38.25" x14ac:dyDescent="0.25">
      <c r="A908" s="3" t="s">
        <v>2607</v>
      </c>
      <c r="B908" s="3" t="s">
        <v>383</v>
      </c>
      <c r="C908" s="9">
        <v>15.74</v>
      </c>
      <c r="D908" s="3" t="s">
        <v>654</v>
      </c>
      <c r="E908" s="10">
        <v>45681.302418981482</v>
      </c>
      <c r="F908" s="10">
        <v>45681.32708333333</v>
      </c>
      <c r="G908" s="10">
        <v>45681.328842592593</v>
      </c>
      <c r="H908" s="3" t="s">
        <v>2608</v>
      </c>
      <c r="I908" s="10">
        <v>45685.325694444437</v>
      </c>
      <c r="J908" s="10">
        <v>45685.375138888892</v>
      </c>
      <c r="K908" s="10">
        <v>45685.375138888892</v>
      </c>
      <c r="L908" s="10">
        <v>45685.376342592594</v>
      </c>
      <c r="M908" s="11">
        <f t="shared" si="42"/>
        <v>2.6423611110658385E-2</v>
      </c>
      <c r="N908" s="11">
        <f t="shared" si="43"/>
        <v>4.0475000000005821</v>
      </c>
      <c r="O908" s="10">
        <v>45681.331018518518</v>
      </c>
      <c r="P908" s="11">
        <f t="shared" si="44"/>
        <v>3.9946759259182727</v>
      </c>
      <c r="Q908" s="12" t="s">
        <v>2609</v>
      </c>
    </row>
    <row r="909" spans="1:17" x14ac:dyDescent="0.25">
      <c r="A909" s="3" t="s">
        <v>2610</v>
      </c>
      <c r="B909" s="3" t="s">
        <v>383</v>
      </c>
      <c r="C909" s="9">
        <v>108.7</v>
      </c>
      <c r="D909" s="3" t="s">
        <v>506</v>
      </c>
      <c r="E909" s="10">
        <v>45681.302418981482</v>
      </c>
      <c r="F909" s="10"/>
      <c r="G909" s="10"/>
      <c r="H909" s="3"/>
      <c r="I909" s="10"/>
      <c r="J909" s="10"/>
      <c r="K909" s="10"/>
      <c r="L909" s="10"/>
      <c r="M909" s="11" t="str">
        <f t="shared" si="42"/>
        <v/>
      </c>
      <c r="N909" s="11" t="str">
        <f t="shared" si="43"/>
        <v/>
      </c>
      <c r="O909" s="10"/>
      <c r="P909" s="11" t="str">
        <f t="shared" si="44"/>
        <v/>
      </c>
      <c r="Q909" s="12"/>
    </row>
    <row r="910" spans="1:17" x14ac:dyDescent="0.25">
      <c r="A910" s="3" t="s">
        <v>2611</v>
      </c>
      <c r="B910" s="3" t="s">
        <v>383</v>
      </c>
      <c r="C910" s="9">
        <v>16.5</v>
      </c>
      <c r="D910" s="3" t="s">
        <v>519</v>
      </c>
      <c r="E910" s="10">
        <v>45681.302418981482</v>
      </c>
      <c r="F910" s="10"/>
      <c r="G910" s="10"/>
      <c r="H910" s="3"/>
      <c r="I910" s="10"/>
      <c r="J910" s="10"/>
      <c r="K910" s="10"/>
      <c r="L910" s="10"/>
      <c r="M910" s="11" t="str">
        <f t="shared" si="42"/>
        <v/>
      </c>
      <c r="N910" s="11" t="str">
        <f t="shared" si="43"/>
        <v/>
      </c>
      <c r="O910" s="10"/>
      <c r="P910" s="11" t="str">
        <f t="shared" si="44"/>
        <v/>
      </c>
      <c r="Q910" s="12"/>
    </row>
    <row r="911" spans="1:17" ht="38.25" x14ac:dyDescent="0.25">
      <c r="A911" s="3" t="s">
        <v>2612</v>
      </c>
      <c r="B911" s="3" t="s">
        <v>383</v>
      </c>
      <c r="C911" s="9">
        <v>39.799999999999997</v>
      </c>
      <c r="D911" s="3" t="s">
        <v>539</v>
      </c>
      <c r="E911" s="10">
        <v>45681.302418981482</v>
      </c>
      <c r="F911" s="10">
        <v>45681.328842592593</v>
      </c>
      <c r="G911" s="10">
        <v>45681.330509259264</v>
      </c>
      <c r="H911" s="3" t="s">
        <v>2613</v>
      </c>
      <c r="I911" s="10">
        <v>45684.887199074074</v>
      </c>
      <c r="J911" s="10">
        <v>45684.911157407398</v>
      </c>
      <c r="K911" s="10">
        <v>45684.911157407398</v>
      </c>
      <c r="L911" s="10">
        <v>45684.912083333344</v>
      </c>
      <c r="M911" s="11">
        <f t="shared" si="42"/>
        <v>2.8090277781302575E-2</v>
      </c>
      <c r="N911" s="11">
        <f t="shared" si="43"/>
        <v>3.5815740740799811</v>
      </c>
      <c r="O911" s="10">
        <v>45681.332870370366</v>
      </c>
      <c r="P911" s="11">
        <f t="shared" si="44"/>
        <v>3.5543287037071423</v>
      </c>
      <c r="Q911" s="12" t="s">
        <v>2614</v>
      </c>
    </row>
    <row r="912" spans="1:17" x14ac:dyDescent="0.25">
      <c r="A912" s="3" t="s">
        <v>2615</v>
      </c>
      <c r="B912" s="3" t="s">
        <v>384</v>
      </c>
      <c r="C912" s="9">
        <v>390.54000000000008</v>
      </c>
      <c r="D912" s="3" t="s">
        <v>500</v>
      </c>
      <c r="E912" s="10">
        <v>45681.306192129632</v>
      </c>
      <c r="F912" s="10"/>
      <c r="G912" s="10"/>
      <c r="H912" s="3"/>
      <c r="I912" s="10"/>
      <c r="J912" s="10"/>
      <c r="K912" s="10"/>
      <c r="L912" s="10"/>
      <c r="M912" s="11" t="str">
        <f t="shared" si="42"/>
        <v/>
      </c>
      <c r="N912" s="11" t="str">
        <f t="shared" si="43"/>
        <v/>
      </c>
      <c r="O912" s="10"/>
      <c r="P912" s="11" t="str">
        <f t="shared" si="44"/>
        <v/>
      </c>
      <c r="Q912" s="12"/>
    </row>
    <row r="913" spans="1:17" ht="38.25" x14ac:dyDescent="0.25">
      <c r="A913" s="3" t="s">
        <v>2616</v>
      </c>
      <c r="B913" s="3" t="s">
        <v>385</v>
      </c>
      <c r="C913" s="9">
        <v>36.4</v>
      </c>
      <c r="D913" s="3" t="s">
        <v>572</v>
      </c>
      <c r="E913" s="10">
        <v>45681.367048611108</v>
      </c>
      <c r="F913" s="10">
        <v>45681.372974537036</v>
      </c>
      <c r="G913" s="10">
        <v>45681.374189814807</v>
      </c>
      <c r="H913" s="3" t="s">
        <v>2594</v>
      </c>
      <c r="I913" s="10">
        <v>45684.365208333344</v>
      </c>
      <c r="J913" s="10">
        <v>45684.389398148152</v>
      </c>
      <c r="K913" s="10">
        <v>45684.389398148152</v>
      </c>
      <c r="L913" s="10">
        <v>45684.390185185177</v>
      </c>
      <c r="M913" s="11">
        <f t="shared" si="42"/>
        <v>7.1412036995752715E-3</v>
      </c>
      <c r="N913" s="11">
        <f t="shared" si="43"/>
        <v>3.0159953703696374</v>
      </c>
      <c r="O913" s="10">
        <v>45681.376342592594</v>
      </c>
      <c r="P913" s="11">
        <f t="shared" si="44"/>
        <v>2.9888657407500432</v>
      </c>
      <c r="Q913" s="12" t="s">
        <v>2617</v>
      </c>
    </row>
    <row r="914" spans="1:17" x14ac:dyDescent="0.25">
      <c r="A914" s="3" t="s">
        <v>2618</v>
      </c>
      <c r="B914" s="3" t="s">
        <v>385</v>
      </c>
      <c r="C914" s="9">
        <v>111.4</v>
      </c>
      <c r="D914" s="3" t="s">
        <v>500</v>
      </c>
      <c r="E914" s="10">
        <v>45681.367048611108</v>
      </c>
      <c r="F914" s="10">
        <v>45681.374189814807</v>
      </c>
      <c r="G914" s="10">
        <v>45681.376319444447</v>
      </c>
      <c r="H914" s="3" t="s">
        <v>2535</v>
      </c>
      <c r="I914" s="10">
        <v>45684.325509259259</v>
      </c>
      <c r="J914" s="10">
        <v>45684.344849537039</v>
      </c>
      <c r="K914" s="10">
        <v>45684.344849537039</v>
      </c>
      <c r="L914" s="10">
        <v>45684.345497685194</v>
      </c>
      <c r="M914" s="11">
        <f t="shared" si="42"/>
        <v>9.2708333395421505E-3</v>
      </c>
      <c r="N914" s="11">
        <f t="shared" si="43"/>
        <v>2.9691782407462597</v>
      </c>
      <c r="O914" s="10">
        <v>45681.378692129627</v>
      </c>
      <c r="P914" s="11">
        <f t="shared" si="44"/>
        <v>2.9468171296321088</v>
      </c>
      <c r="Q914" s="12" t="s">
        <v>2619</v>
      </c>
    </row>
    <row r="915" spans="1:17" ht="38.25" x14ac:dyDescent="0.25">
      <c r="A915" s="3" t="s">
        <v>2620</v>
      </c>
      <c r="B915" s="3" t="s">
        <v>386</v>
      </c>
      <c r="C915" s="9">
        <v>27</v>
      </c>
      <c r="D915" s="3" t="s">
        <v>527</v>
      </c>
      <c r="E915" s="10">
        <v>45681.377256944441</v>
      </c>
      <c r="F915" s="10">
        <v>45681.390763888892</v>
      </c>
      <c r="G915" s="10">
        <v>45681.391921296286</v>
      </c>
      <c r="H915" s="3" t="s">
        <v>2594</v>
      </c>
      <c r="I915" s="10">
        <v>45684.365208333344</v>
      </c>
      <c r="J915" s="10">
        <v>45684.389398148152</v>
      </c>
      <c r="K915" s="10">
        <v>45684.389398148152</v>
      </c>
      <c r="L915" s="10">
        <v>45684.390185185177</v>
      </c>
      <c r="M915" s="11">
        <f t="shared" si="42"/>
        <v>1.466435184556758E-2</v>
      </c>
      <c r="N915" s="11">
        <f t="shared" si="43"/>
        <v>2.9982638888905058</v>
      </c>
      <c r="O915" s="10">
        <v>45681.395821759259</v>
      </c>
      <c r="P915" s="11">
        <f t="shared" si="44"/>
        <v>2.9693865740846377</v>
      </c>
      <c r="Q915" s="12" t="s">
        <v>2621</v>
      </c>
    </row>
    <row r="916" spans="1:17" ht="38.25" x14ac:dyDescent="0.25">
      <c r="A916" s="3" t="s">
        <v>2622</v>
      </c>
      <c r="B916" s="3" t="s">
        <v>386</v>
      </c>
      <c r="C916" s="9">
        <v>15.74</v>
      </c>
      <c r="D916" s="3" t="s">
        <v>654</v>
      </c>
      <c r="E916" s="10">
        <v>45681.377256944441</v>
      </c>
      <c r="F916" s="10">
        <v>45681.391921296286</v>
      </c>
      <c r="G916" s="10">
        <v>45681.393645833326</v>
      </c>
      <c r="H916" s="3" t="s">
        <v>2608</v>
      </c>
      <c r="I916" s="10">
        <v>45685.325694444437</v>
      </c>
      <c r="J916" s="10">
        <v>45685.375138888892</v>
      </c>
      <c r="K916" s="10">
        <v>45685.375138888892</v>
      </c>
      <c r="L916" s="10">
        <v>45685.376342592594</v>
      </c>
      <c r="M916" s="11">
        <f t="shared" si="42"/>
        <v>1.6388888885558117E-2</v>
      </c>
      <c r="N916" s="11">
        <f t="shared" si="43"/>
        <v>3.9826967592671281</v>
      </c>
      <c r="O916" s="10">
        <v>45681.397534722222</v>
      </c>
      <c r="P916" s="11">
        <f t="shared" si="44"/>
        <v>3.9281597222143319</v>
      </c>
      <c r="Q916" s="12" t="s">
        <v>2623</v>
      </c>
    </row>
    <row r="917" spans="1:17" x14ac:dyDescent="0.25">
      <c r="A917" s="3" t="s">
        <v>2624</v>
      </c>
      <c r="B917" s="3" t="s">
        <v>386</v>
      </c>
      <c r="C917" s="9">
        <v>178.42</v>
      </c>
      <c r="D917" s="3" t="s">
        <v>506</v>
      </c>
      <c r="E917" s="10">
        <v>45681.377256944441</v>
      </c>
      <c r="F917" s="10">
        <v>45681.393645833326</v>
      </c>
      <c r="G917" s="10">
        <v>45681.396018518521</v>
      </c>
      <c r="H917" s="3" t="s">
        <v>2504</v>
      </c>
      <c r="I917" s="10">
        <v>45684.33965277778</v>
      </c>
      <c r="J917" s="10">
        <v>45684.370625000003</v>
      </c>
      <c r="K917" s="10">
        <v>45684.370625000003</v>
      </c>
      <c r="L917" s="10">
        <v>45684.371539351851</v>
      </c>
      <c r="M917" s="11">
        <f t="shared" si="42"/>
        <v>1.8761574079690035E-2</v>
      </c>
      <c r="N917" s="11">
        <f t="shared" si="43"/>
        <v>2.9755208333299379</v>
      </c>
      <c r="O917" s="10">
        <v>45681.398414351846</v>
      </c>
      <c r="P917" s="11">
        <f t="shared" si="44"/>
        <v>2.9412384259339888</v>
      </c>
      <c r="Q917" s="12" t="s">
        <v>2625</v>
      </c>
    </row>
    <row r="918" spans="1:17" x14ac:dyDescent="0.25">
      <c r="A918" s="3" t="s">
        <v>2626</v>
      </c>
      <c r="B918" s="3" t="s">
        <v>386</v>
      </c>
      <c r="C918" s="9">
        <v>15.74</v>
      </c>
      <c r="D918" s="3" t="s">
        <v>484</v>
      </c>
      <c r="E918" s="10">
        <v>45681.377256944441</v>
      </c>
      <c r="F918" s="10"/>
      <c r="G918" s="10"/>
      <c r="H918" s="3"/>
      <c r="I918" s="10"/>
      <c r="J918" s="10"/>
      <c r="K918" s="10"/>
      <c r="L918" s="10"/>
      <c r="M918" s="11" t="str">
        <f t="shared" si="42"/>
        <v/>
      </c>
      <c r="N918" s="11" t="str">
        <f t="shared" si="43"/>
        <v/>
      </c>
      <c r="O918" s="10"/>
      <c r="P918" s="11" t="str">
        <f t="shared" si="44"/>
        <v/>
      </c>
      <c r="Q918" s="12"/>
    </row>
    <row r="919" spans="1:17" ht="25.5" x14ac:dyDescent="0.25">
      <c r="A919" s="3" t="s">
        <v>2627</v>
      </c>
      <c r="B919" s="3" t="s">
        <v>386</v>
      </c>
      <c r="C919" s="9">
        <v>14</v>
      </c>
      <c r="D919" s="3" t="s">
        <v>595</v>
      </c>
      <c r="E919" s="10">
        <v>45681.377256944441</v>
      </c>
      <c r="F919" s="10">
        <v>45681.396018518521</v>
      </c>
      <c r="G919" s="10">
        <v>45681.397152777783</v>
      </c>
      <c r="H919" s="3" t="s">
        <v>2594</v>
      </c>
      <c r="I919" s="10">
        <v>45684.365208333344</v>
      </c>
      <c r="J919" s="10">
        <v>45684.389398148152</v>
      </c>
      <c r="K919" s="10">
        <v>45684.389398148152</v>
      </c>
      <c r="L919" s="10">
        <v>45684.390185185177</v>
      </c>
      <c r="M919" s="11">
        <f t="shared" si="42"/>
        <v>1.9895833342161495E-2</v>
      </c>
      <c r="N919" s="11">
        <f t="shared" si="43"/>
        <v>2.9930324073939119</v>
      </c>
      <c r="O919" s="10">
        <v>45681.401053240741</v>
      </c>
      <c r="P919" s="11">
        <f t="shared" si="44"/>
        <v>2.9641550926025957</v>
      </c>
      <c r="Q919" s="12" t="s">
        <v>2628</v>
      </c>
    </row>
    <row r="920" spans="1:17" x14ac:dyDescent="0.25">
      <c r="A920" s="3" t="s">
        <v>2629</v>
      </c>
      <c r="B920" s="3" t="s">
        <v>386</v>
      </c>
      <c r="C920" s="9">
        <v>35.64</v>
      </c>
      <c r="D920" s="3" t="s">
        <v>484</v>
      </c>
      <c r="E920" s="10">
        <v>45681.377256944441</v>
      </c>
      <c r="F920" s="10"/>
      <c r="G920" s="10"/>
      <c r="H920" s="3"/>
      <c r="I920" s="10"/>
      <c r="J920" s="10"/>
      <c r="K920" s="10"/>
      <c r="L920" s="10"/>
      <c r="M920" s="11" t="str">
        <f t="shared" si="42"/>
        <v/>
      </c>
      <c r="N920" s="11" t="str">
        <f t="shared" si="43"/>
        <v/>
      </c>
      <c r="O920" s="10"/>
      <c r="P920" s="11" t="str">
        <f t="shared" si="44"/>
        <v/>
      </c>
      <c r="Q920" s="12"/>
    </row>
    <row r="921" spans="1:17" ht="38.25" x14ac:dyDescent="0.25">
      <c r="A921" s="3" t="s">
        <v>2630</v>
      </c>
      <c r="B921" s="3" t="s">
        <v>386</v>
      </c>
      <c r="C921" s="9">
        <v>15.74</v>
      </c>
      <c r="D921" s="3" t="s">
        <v>496</v>
      </c>
      <c r="E921" s="10">
        <v>45681.377256944441</v>
      </c>
      <c r="F921" s="10">
        <v>45681.397152777783</v>
      </c>
      <c r="G921" s="10">
        <v>45681.399039351847</v>
      </c>
      <c r="H921" s="3" t="s">
        <v>2631</v>
      </c>
      <c r="I921" s="10">
        <v>45685.335995370369</v>
      </c>
      <c r="J921" s="10">
        <v>45685.369837962957</v>
      </c>
      <c r="K921" s="10">
        <v>45685.369837962957</v>
      </c>
      <c r="L921" s="10">
        <v>45685.370671296303</v>
      </c>
      <c r="M921" s="11">
        <f t="shared" si="42"/>
        <v>2.1782407406135462E-2</v>
      </c>
      <c r="N921" s="11">
        <f t="shared" si="43"/>
        <v>3.9716319444560213</v>
      </c>
      <c r="O921" s="10">
        <v>45681.401400462957</v>
      </c>
      <c r="P921" s="11">
        <f t="shared" si="44"/>
        <v>3.9345949074122473</v>
      </c>
      <c r="Q921" s="12" t="s">
        <v>2632</v>
      </c>
    </row>
    <row r="922" spans="1:17" x14ac:dyDescent="0.25">
      <c r="A922" s="3" t="s">
        <v>2633</v>
      </c>
      <c r="B922" s="3" t="s">
        <v>386</v>
      </c>
      <c r="C922" s="9">
        <v>16.5</v>
      </c>
      <c r="D922" s="3" t="s">
        <v>519</v>
      </c>
      <c r="E922" s="10">
        <v>45681.377256944441</v>
      </c>
      <c r="F922" s="10"/>
      <c r="G922" s="10"/>
      <c r="H922" s="3"/>
      <c r="I922" s="10"/>
      <c r="J922" s="10"/>
      <c r="K922" s="10"/>
      <c r="L922" s="10"/>
      <c r="M922" s="11" t="str">
        <f t="shared" si="42"/>
        <v/>
      </c>
      <c r="N922" s="11" t="str">
        <f t="shared" si="43"/>
        <v/>
      </c>
      <c r="O922" s="10"/>
      <c r="P922" s="11" t="str">
        <f t="shared" si="44"/>
        <v/>
      </c>
      <c r="Q922" s="12"/>
    </row>
    <row r="923" spans="1:17" ht="25.5" x14ac:dyDescent="0.25">
      <c r="A923" s="3" t="s">
        <v>2634</v>
      </c>
      <c r="B923" s="3" t="s">
        <v>387</v>
      </c>
      <c r="C923" s="9">
        <v>61.9</v>
      </c>
      <c r="D923" s="3" t="s">
        <v>572</v>
      </c>
      <c r="E923" s="10">
        <v>45681.413541666669</v>
      </c>
      <c r="F923" s="10">
        <v>45681.421805555547</v>
      </c>
      <c r="G923" s="10">
        <v>45681.423078703701</v>
      </c>
      <c r="H923" s="3" t="s">
        <v>2594</v>
      </c>
      <c r="I923" s="10">
        <v>45684.365208333344</v>
      </c>
      <c r="J923" s="10">
        <v>45684.389398148152</v>
      </c>
      <c r="K923" s="10">
        <v>45684.389398148152</v>
      </c>
      <c r="L923" s="10">
        <v>45684.390185185177</v>
      </c>
      <c r="M923" s="11">
        <f t="shared" si="42"/>
        <v>9.5370370327145793E-3</v>
      </c>
      <c r="N923" s="11">
        <f t="shared" si="43"/>
        <v>2.9671064814756392</v>
      </c>
      <c r="O923" s="10">
        <v>45681.42696759259</v>
      </c>
      <c r="P923" s="11">
        <f t="shared" si="44"/>
        <v>2.9382407407538267</v>
      </c>
      <c r="Q923" s="12" t="s">
        <v>2635</v>
      </c>
    </row>
    <row r="924" spans="1:17" x14ac:dyDescent="0.25">
      <c r="A924" s="3" t="s">
        <v>2636</v>
      </c>
      <c r="B924" s="3" t="s">
        <v>387</v>
      </c>
      <c r="C924" s="9">
        <v>375.58</v>
      </c>
      <c r="D924" s="3" t="s">
        <v>500</v>
      </c>
      <c r="E924" s="10">
        <v>45681.413541666669</v>
      </c>
      <c r="F924" s="10"/>
      <c r="G924" s="10"/>
      <c r="H924" s="3"/>
      <c r="I924" s="10"/>
      <c r="J924" s="10"/>
      <c r="K924" s="10"/>
      <c r="L924" s="10"/>
      <c r="M924" s="11" t="str">
        <f t="shared" si="42"/>
        <v/>
      </c>
      <c r="N924" s="11" t="str">
        <f t="shared" si="43"/>
        <v/>
      </c>
      <c r="O924" s="10"/>
      <c r="P924" s="11" t="str">
        <f t="shared" si="44"/>
        <v/>
      </c>
      <c r="Q924" s="12"/>
    </row>
    <row r="925" spans="1:17" x14ac:dyDescent="0.25">
      <c r="A925" s="3" t="s">
        <v>2637</v>
      </c>
      <c r="B925" s="3" t="s">
        <v>388</v>
      </c>
      <c r="C925" s="9">
        <v>177.54</v>
      </c>
      <c r="D925" s="3" t="s">
        <v>500</v>
      </c>
      <c r="E925" s="10">
        <v>45681.544305555559</v>
      </c>
      <c r="F925" s="10">
        <v>45681.549386574072</v>
      </c>
      <c r="G925" s="10">
        <v>45681.551481481481</v>
      </c>
      <c r="H925" s="3" t="s">
        <v>2638</v>
      </c>
      <c r="I925" s="10">
        <v>45684.392592592587</v>
      </c>
      <c r="J925" s="10">
        <v>45684.423414351862</v>
      </c>
      <c r="K925" s="10">
        <v>45684.423414351862</v>
      </c>
      <c r="L925" s="10">
        <v>45684.424421296288</v>
      </c>
      <c r="M925" s="11">
        <f t="shared" si="42"/>
        <v>7.175925922638271E-3</v>
      </c>
      <c r="N925" s="11">
        <f t="shared" si="43"/>
        <v>2.8729398148061591</v>
      </c>
      <c r="O925" s="10">
        <v>45681.553877314807</v>
      </c>
      <c r="P925" s="11">
        <f t="shared" si="44"/>
        <v>2.8387152777795563</v>
      </c>
      <c r="Q925" s="12" t="s">
        <v>2639</v>
      </c>
    </row>
    <row r="926" spans="1:17" x14ac:dyDescent="0.25">
      <c r="A926" s="3" t="s">
        <v>2640</v>
      </c>
      <c r="B926" s="3" t="s">
        <v>389</v>
      </c>
      <c r="C926" s="9">
        <v>296.10000000000002</v>
      </c>
      <c r="D926" s="3" t="s">
        <v>500</v>
      </c>
      <c r="E926" s="10">
        <v>45681.604988425926</v>
      </c>
      <c r="F926" s="10">
        <v>45681.611030092587</v>
      </c>
      <c r="G926" s="10">
        <v>45681.613634259258</v>
      </c>
      <c r="H926" s="3" t="s">
        <v>2641</v>
      </c>
      <c r="I926" s="10">
        <v>45684.453692129631</v>
      </c>
      <c r="J926" s="10">
        <v>45684.50509259259</v>
      </c>
      <c r="K926" s="10">
        <v>45684.50509259259</v>
      </c>
      <c r="L926" s="10">
        <v>45684.506331018521</v>
      </c>
      <c r="M926" s="11">
        <f t="shared" si="42"/>
        <v>8.6458333316841163E-3</v>
      </c>
      <c r="N926" s="11">
        <f t="shared" si="43"/>
        <v>2.8926967592633446</v>
      </c>
      <c r="O926" s="10">
        <v>45681.616006944438</v>
      </c>
      <c r="P926" s="11">
        <f t="shared" si="44"/>
        <v>2.8376851851935498</v>
      </c>
      <c r="Q926" s="12" t="s">
        <v>2642</v>
      </c>
    </row>
    <row r="927" spans="1:17" ht="25.5" x14ac:dyDescent="0.25">
      <c r="A927" s="3" t="s">
        <v>2643</v>
      </c>
      <c r="B927" s="3" t="s">
        <v>390</v>
      </c>
      <c r="C927" s="9">
        <v>42</v>
      </c>
      <c r="D927" s="3" t="s">
        <v>488</v>
      </c>
      <c r="E927" s="10">
        <v>45681.622118055559</v>
      </c>
      <c r="F927" s="10">
        <v>45681.63652777778</v>
      </c>
      <c r="G927" s="10">
        <v>45681.637870370367</v>
      </c>
      <c r="H927" s="3" t="s">
        <v>2644</v>
      </c>
      <c r="I927" s="10">
        <v>45685.135520833333</v>
      </c>
      <c r="J927" s="10">
        <v>45685.174675925933</v>
      </c>
      <c r="K927" s="10">
        <v>45685.174675925933</v>
      </c>
      <c r="L927" s="10">
        <v>45685.175740740742</v>
      </c>
      <c r="M927" s="11">
        <f t="shared" si="42"/>
        <v>1.5752314808196388E-2</v>
      </c>
      <c r="N927" s="11">
        <f t="shared" si="43"/>
        <v>3.5378703703754582</v>
      </c>
      <c r="O927" s="10">
        <v>45681.640243055554</v>
      </c>
      <c r="P927" s="11">
        <f t="shared" si="44"/>
        <v>3.4952777777798474</v>
      </c>
      <c r="Q927" s="12" t="s">
        <v>2645</v>
      </c>
    </row>
    <row r="928" spans="1:17" ht="25.5" x14ac:dyDescent="0.25">
      <c r="A928" s="3" t="s">
        <v>2646</v>
      </c>
      <c r="B928" s="3" t="s">
        <v>390</v>
      </c>
      <c r="C928" s="9">
        <v>54</v>
      </c>
      <c r="D928" s="3" t="s">
        <v>527</v>
      </c>
      <c r="E928" s="10">
        <v>45681.622118055559</v>
      </c>
      <c r="F928" s="10">
        <v>45681.637870370367</v>
      </c>
      <c r="G928" s="10">
        <v>45681.639120370368</v>
      </c>
      <c r="H928" s="3" t="s">
        <v>2647</v>
      </c>
      <c r="I928" s="10">
        <v>45685.282488425917</v>
      </c>
      <c r="J928" s="10">
        <v>45685.33425925926</v>
      </c>
      <c r="K928" s="10">
        <v>45685.33425925926</v>
      </c>
      <c r="L928" s="10">
        <v>45685.335416666669</v>
      </c>
      <c r="M928" s="11">
        <f t="shared" si="42"/>
        <v>1.7002314809360541E-2</v>
      </c>
      <c r="N928" s="11">
        <f t="shared" si="43"/>
        <v>3.6962962963007158</v>
      </c>
      <c r="O928" s="10">
        <v>45681.641296296293</v>
      </c>
      <c r="P928" s="11">
        <f t="shared" si="44"/>
        <v>3.6411921296239598</v>
      </c>
      <c r="Q928" s="12" t="s">
        <v>2648</v>
      </c>
    </row>
    <row r="929" spans="1:17" ht="38.25" x14ac:dyDescent="0.25">
      <c r="A929" s="3" t="s">
        <v>2649</v>
      </c>
      <c r="B929" s="3" t="s">
        <v>390</v>
      </c>
      <c r="C929" s="9">
        <v>19.899999999999999</v>
      </c>
      <c r="D929" s="3" t="s">
        <v>492</v>
      </c>
      <c r="E929" s="10">
        <v>45681.622118055559</v>
      </c>
      <c r="F929" s="10">
        <v>45681.639120370368</v>
      </c>
      <c r="G929" s="10">
        <v>45681.641087962962</v>
      </c>
      <c r="H929" s="3" t="s">
        <v>2526</v>
      </c>
      <c r="I929" s="10">
        <v>45684.651909722219</v>
      </c>
      <c r="J929" s="10">
        <v>45684.692256944443</v>
      </c>
      <c r="K929" s="10">
        <v>45684.692256944443</v>
      </c>
      <c r="L929" s="10">
        <v>45684.693333333344</v>
      </c>
      <c r="M929" s="11">
        <f t="shared" si="42"/>
        <v>1.8969907403516117E-2</v>
      </c>
      <c r="N929" s="11">
        <f t="shared" si="43"/>
        <v>3.05224537038157</v>
      </c>
      <c r="O929" s="10">
        <v>45681.645011574074</v>
      </c>
      <c r="P929" s="11">
        <f t="shared" si="44"/>
        <v>3.0068981481454102</v>
      </c>
      <c r="Q929" s="12" t="s">
        <v>2650</v>
      </c>
    </row>
    <row r="930" spans="1:17" x14ac:dyDescent="0.25">
      <c r="A930" s="3" t="s">
        <v>2651</v>
      </c>
      <c r="B930" s="3" t="s">
        <v>390</v>
      </c>
      <c r="C930" s="9">
        <v>101.94</v>
      </c>
      <c r="D930" s="3" t="s">
        <v>506</v>
      </c>
      <c r="E930" s="10">
        <v>45681.622118055559</v>
      </c>
      <c r="F930" s="10">
        <v>45681.641087962962</v>
      </c>
      <c r="G930" s="10">
        <v>45681.643194444441</v>
      </c>
      <c r="H930" s="3" t="s">
        <v>2563</v>
      </c>
      <c r="I930" s="10">
        <v>45684.539895833332</v>
      </c>
      <c r="J930" s="10">
        <v>45684.557592592602</v>
      </c>
      <c r="K930" s="10">
        <v>45684.557592592602</v>
      </c>
      <c r="L930" s="10">
        <v>45684.558217592603</v>
      </c>
      <c r="M930" s="11">
        <f t="shared" si="42"/>
        <v>2.1076388882647734E-2</v>
      </c>
      <c r="N930" s="11">
        <f t="shared" si="43"/>
        <v>2.9150231481617084</v>
      </c>
      <c r="O930" s="10">
        <v>45681.645370370366</v>
      </c>
      <c r="P930" s="11">
        <f t="shared" si="44"/>
        <v>2.8945254629652482</v>
      </c>
      <c r="Q930" s="12" t="s">
        <v>2652</v>
      </c>
    </row>
    <row r="931" spans="1:17" ht="38.25" x14ac:dyDescent="0.25">
      <c r="A931" s="3" t="s">
        <v>2653</v>
      </c>
      <c r="B931" s="3" t="s">
        <v>390</v>
      </c>
      <c r="C931" s="9">
        <v>15.74</v>
      </c>
      <c r="D931" s="3" t="s">
        <v>496</v>
      </c>
      <c r="E931" s="10">
        <v>45681.622118055559</v>
      </c>
      <c r="F931" s="10">
        <v>45681.643194444441</v>
      </c>
      <c r="G931" s="10">
        <v>45681.645104166673</v>
      </c>
      <c r="H931" s="3" t="s">
        <v>2631</v>
      </c>
      <c r="I931" s="10">
        <v>45685.335995370369</v>
      </c>
      <c r="J931" s="10">
        <v>45685.369837962957</v>
      </c>
      <c r="K931" s="10">
        <v>45685.369837962957</v>
      </c>
      <c r="L931" s="10">
        <v>45685.370671296303</v>
      </c>
      <c r="M931" s="11">
        <f t="shared" si="42"/>
        <v>2.2986111114732921E-2</v>
      </c>
      <c r="N931" s="11">
        <f t="shared" si="43"/>
        <v>3.7255671296297805</v>
      </c>
      <c r="O931" s="10">
        <v>45681.649016203701</v>
      </c>
      <c r="P931" s="11">
        <f t="shared" si="44"/>
        <v>3.6869791666686069</v>
      </c>
      <c r="Q931" s="12" t="s">
        <v>2654</v>
      </c>
    </row>
    <row r="932" spans="1:17" ht="25.5" x14ac:dyDescent="0.25">
      <c r="A932" s="3" t="s">
        <v>2655</v>
      </c>
      <c r="B932" s="3" t="s">
        <v>390</v>
      </c>
      <c r="C932" s="9">
        <v>15.74</v>
      </c>
      <c r="D932" s="3" t="s">
        <v>1033</v>
      </c>
      <c r="E932" s="10">
        <v>45681.622118055559</v>
      </c>
      <c r="F932" s="10">
        <v>45681.645104166673</v>
      </c>
      <c r="G932" s="10">
        <v>45681.647060185183</v>
      </c>
      <c r="H932" s="3" t="s">
        <v>2526</v>
      </c>
      <c r="I932" s="10">
        <v>45684.651909722219</v>
      </c>
      <c r="J932" s="10">
        <v>45684.692256944443</v>
      </c>
      <c r="K932" s="10">
        <v>45684.692256944443</v>
      </c>
      <c r="L932" s="10">
        <v>45684.693333333344</v>
      </c>
      <c r="M932" s="11">
        <f t="shared" si="42"/>
        <v>2.4942129624832887E-2</v>
      </c>
      <c r="N932" s="11">
        <f t="shared" si="43"/>
        <v>3.0462731481602532</v>
      </c>
      <c r="O932" s="10">
        <v>45681.650625000002</v>
      </c>
      <c r="P932" s="11">
        <f t="shared" si="44"/>
        <v>3.0012847222169512</v>
      </c>
      <c r="Q932" s="12" t="s">
        <v>2656</v>
      </c>
    </row>
    <row r="933" spans="1:17" x14ac:dyDescent="0.25">
      <c r="A933" s="3" t="s">
        <v>2657</v>
      </c>
      <c r="B933" s="3" t="s">
        <v>390</v>
      </c>
      <c r="C933" s="9">
        <v>31.48</v>
      </c>
      <c r="D933" s="3" t="s">
        <v>515</v>
      </c>
      <c r="E933" s="10">
        <v>45681.622118055559</v>
      </c>
      <c r="F933" s="10"/>
      <c r="G933" s="10"/>
      <c r="H933" s="3"/>
      <c r="I933" s="10"/>
      <c r="J933" s="10"/>
      <c r="K933" s="10"/>
      <c r="L933" s="10"/>
      <c r="M933" s="11" t="str">
        <f t="shared" si="42"/>
        <v/>
      </c>
      <c r="N933" s="11" t="str">
        <f t="shared" si="43"/>
        <v/>
      </c>
      <c r="O933" s="10"/>
      <c r="P933" s="11" t="str">
        <f t="shared" si="44"/>
        <v/>
      </c>
      <c r="Q933" s="12"/>
    </row>
    <row r="934" spans="1:17" ht="25.5" x14ac:dyDescent="0.25">
      <c r="A934" s="3" t="s">
        <v>2658</v>
      </c>
      <c r="B934" s="3" t="s">
        <v>390</v>
      </c>
      <c r="C934" s="9">
        <v>15.74</v>
      </c>
      <c r="D934" s="3" t="s">
        <v>654</v>
      </c>
      <c r="E934" s="10">
        <v>45681.622118055559</v>
      </c>
      <c r="F934" s="10">
        <v>45681.647060185183</v>
      </c>
      <c r="G934" s="10">
        <v>45681.648819444446</v>
      </c>
      <c r="H934" s="3" t="s">
        <v>2608</v>
      </c>
      <c r="I934" s="10">
        <v>45685.325694444437</v>
      </c>
      <c r="J934" s="10">
        <v>45685.375138888892</v>
      </c>
      <c r="K934" s="10">
        <v>45685.375138888892</v>
      </c>
      <c r="L934" s="10">
        <v>45685.376342592594</v>
      </c>
      <c r="M934" s="11">
        <f t="shared" si="42"/>
        <v>2.6701388887886424E-2</v>
      </c>
      <c r="N934" s="11">
        <f t="shared" si="43"/>
        <v>3.7275231481471565</v>
      </c>
      <c r="O934" s="10">
        <v>45681.652743055558</v>
      </c>
      <c r="P934" s="11">
        <f t="shared" si="44"/>
        <v>3.6729513888785732</v>
      </c>
      <c r="Q934" s="12" t="s">
        <v>2659</v>
      </c>
    </row>
    <row r="935" spans="1:17" x14ac:dyDescent="0.25">
      <c r="A935" s="3" t="s">
        <v>2660</v>
      </c>
      <c r="B935" s="3" t="s">
        <v>390</v>
      </c>
      <c r="C935" s="9">
        <v>16.5</v>
      </c>
      <c r="D935" s="3" t="s">
        <v>519</v>
      </c>
      <c r="E935" s="10">
        <v>45681.622118055559</v>
      </c>
      <c r="F935" s="10"/>
      <c r="G935" s="10"/>
      <c r="H935" s="3"/>
      <c r="I935" s="10"/>
      <c r="J935" s="10"/>
      <c r="K935" s="10"/>
      <c r="L935" s="10"/>
      <c r="M935" s="11" t="str">
        <f t="shared" si="42"/>
        <v/>
      </c>
      <c r="N935" s="11" t="str">
        <f t="shared" si="43"/>
        <v/>
      </c>
      <c r="O935" s="10"/>
      <c r="P935" s="11" t="str">
        <f t="shared" si="44"/>
        <v/>
      </c>
      <c r="Q935" s="12"/>
    </row>
    <row r="936" spans="1:17" x14ac:dyDescent="0.25">
      <c r="A936" s="3" t="s">
        <v>2661</v>
      </c>
      <c r="B936" s="3" t="s">
        <v>391</v>
      </c>
      <c r="C936" s="9">
        <v>15.74</v>
      </c>
      <c r="D936" s="3" t="s">
        <v>500</v>
      </c>
      <c r="E936" s="10">
        <v>45681.633969907409</v>
      </c>
      <c r="F936" s="10"/>
      <c r="G936" s="10"/>
      <c r="H936" s="3"/>
      <c r="I936" s="10"/>
      <c r="J936" s="10"/>
      <c r="K936" s="10"/>
      <c r="L936" s="10"/>
      <c r="M936" s="11" t="str">
        <f t="shared" si="42"/>
        <v/>
      </c>
      <c r="N936" s="11" t="str">
        <f t="shared" si="43"/>
        <v/>
      </c>
      <c r="O936" s="10"/>
      <c r="P936" s="11" t="str">
        <f t="shared" si="44"/>
        <v/>
      </c>
      <c r="Q936" s="12"/>
    </row>
    <row r="937" spans="1:17" x14ac:dyDescent="0.25">
      <c r="A937" s="3" t="s">
        <v>2662</v>
      </c>
      <c r="B937" s="3" t="s">
        <v>392</v>
      </c>
      <c r="C937" s="9">
        <v>232.4</v>
      </c>
      <c r="D937" s="3" t="s">
        <v>500</v>
      </c>
      <c r="E937" s="10">
        <v>45681.73060185185</v>
      </c>
      <c r="F937" s="10">
        <v>45681.737812500003</v>
      </c>
      <c r="G937" s="10">
        <v>45681.740266203713</v>
      </c>
      <c r="H937" s="3" t="s">
        <v>2526</v>
      </c>
      <c r="I937" s="10">
        <v>45684.651909722219</v>
      </c>
      <c r="J937" s="10">
        <v>45684.692256944443</v>
      </c>
      <c r="K937" s="10">
        <v>45684.692256944443</v>
      </c>
      <c r="L937" s="10">
        <v>45684.693333333344</v>
      </c>
      <c r="M937" s="11">
        <f t="shared" si="42"/>
        <v>9.6643518627388403E-3</v>
      </c>
      <c r="N937" s="11">
        <f t="shared" si="43"/>
        <v>2.9530671296306537</v>
      </c>
      <c r="O937" s="10">
        <v>45681.742638888893</v>
      </c>
      <c r="P937" s="11">
        <f t="shared" si="44"/>
        <v>2.9092708333264454</v>
      </c>
      <c r="Q937" s="12" t="s">
        <v>2663</v>
      </c>
    </row>
    <row r="938" spans="1:17" x14ac:dyDescent="0.25">
      <c r="A938" s="3" t="s">
        <v>2664</v>
      </c>
      <c r="B938" s="3" t="s">
        <v>393</v>
      </c>
      <c r="C938" s="9">
        <v>134.69999999999999</v>
      </c>
      <c r="D938" s="3" t="s">
        <v>500</v>
      </c>
      <c r="E938" s="10">
        <v>45681.730636574073</v>
      </c>
      <c r="F938" s="10">
        <v>45681.735300925917</v>
      </c>
      <c r="G938" s="10">
        <v>45681.736932870372</v>
      </c>
      <c r="H938" s="3" t="s">
        <v>2665</v>
      </c>
      <c r="I938" s="10">
        <v>45684.611238425918</v>
      </c>
      <c r="J938" s="10">
        <v>45684.634618055563</v>
      </c>
      <c r="K938" s="10">
        <v>45684.634618055563</v>
      </c>
      <c r="L938" s="10">
        <v>45684.635416666657</v>
      </c>
      <c r="M938" s="11">
        <f t="shared" si="42"/>
        <v>6.2962962983874604E-3</v>
      </c>
      <c r="N938" s="11">
        <f t="shared" si="43"/>
        <v>2.8984837962852907</v>
      </c>
      <c r="O938" s="10">
        <v>45681.739305555559</v>
      </c>
      <c r="P938" s="11">
        <f t="shared" si="44"/>
        <v>2.87193287035916</v>
      </c>
      <c r="Q938" s="12" t="s">
        <v>2666</v>
      </c>
    </row>
    <row r="939" spans="1:17" x14ac:dyDescent="0.25">
      <c r="A939" s="3" t="s">
        <v>2667</v>
      </c>
      <c r="B939" s="3" t="s">
        <v>394</v>
      </c>
      <c r="C939" s="9">
        <v>389.06000000000012</v>
      </c>
      <c r="D939" s="3" t="s">
        <v>506</v>
      </c>
      <c r="E939" s="10">
        <v>45682.072256944448</v>
      </c>
      <c r="F939" s="10">
        <v>45682.082777777781</v>
      </c>
      <c r="G939" s="10">
        <v>45682.08489583333</v>
      </c>
      <c r="H939" s="3" t="s">
        <v>2668</v>
      </c>
      <c r="I939" s="10">
        <v>45684.679386574076</v>
      </c>
      <c r="J939" s="10">
        <v>45684.746932870366</v>
      </c>
      <c r="K939" s="10">
        <v>45684.746932870366</v>
      </c>
      <c r="L939" s="10">
        <v>45684.748252314806</v>
      </c>
      <c r="M939" s="11">
        <f t="shared" si="42"/>
        <v>1.2638888882065658E-2</v>
      </c>
      <c r="N939" s="11">
        <f t="shared" si="43"/>
        <v>2.6633564814765123</v>
      </c>
      <c r="O939" s="10">
        <v>45682.087291666663</v>
      </c>
      <c r="P939" s="11">
        <f t="shared" si="44"/>
        <v>2.5920949074134114</v>
      </c>
      <c r="Q939" s="12" t="s">
        <v>2669</v>
      </c>
    </row>
    <row r="940" spans="1:17" ht="25.5" x14ac:dyDescent="0.25">
      <c r="A940" s="3" t="s">
        <v>2670</v>
      </c>
      <c r="B940" s="3" t="s">
        <v>394</v>
      </c>
      <c r="C940" s="9">
        <v>37.5</v>
      </c>
      <c r="D940" s="3" t="s">
        <v>519</v>
      </c>
      <c r="E940" s="10">
        <v>45682.072256944448</v>
      </c>
      <c r="F940" s="10">
        <v>45682.08489583333</v>
      </c>
      <c r="G940" s="10">
        <v>45682.086527777778</v>
      </c>
      <c r="H940" s="3" t="s">
        <v>2613</v>
      </c>
      <c r="I940" s="10">
        <v>45684.887199074074</v>
      </c>
      <c r="J940" s="10">
        <v>45684.911157407398</v>
      </c>
      <c r="K940" s="10">
        <v>45684.911157407398</v>
      </c>
      <c r="L940" s="10">
        <v>45684.912083333344</v>
      </c>
      <c r="M940" s="11">
        <f t="shared" si="42"/>
        <v>1.4270833329646848E-2</v>
      </c>
      <c r="N940" s="11">
        <f t="shared" si="43"/>
        <v>2.8255555555660976</v>
      </c>
      <c r="O940" s="10">
        <v>45682.088703703703</v>
      </c>
      <c r="P940" s="11">
        <f t="shared" si="44"/>
        <v>2.7984953703708015</v>
      </c>
      <c r="Q940" s="12" t="s">
        <v>2671</v>
      </c>
    </row>
    <row r="941" spans="1:17" x14ac:dyDescent="0.25">
      <c r="A941" s="3" t="s">
        <v>2672</v>
      </c>
      <c r="B941" s="3" t="s">
        <v>394</v>
      </c>
      <c r="C941" s="9">
        <v>155.91999999999999</v>
      </c>
      <c r="D941" s="3" t="s">
        <v>506</v>
      </c>
      <c r="E941" s="10">
        <v>45682.072256944448</v>
      </c>
      <c r="F941" s="10">
        <v>45682.086527777778</v>
      </c>
      <c r="G941" s="10">
        <v>45682.088738425933</v>
      </c>
      <c r="H941" s="3" t="s">
        <v>2673</v>
      </c>
      <c r="I941" s="10">
        <v>45684.741446759261</v>
      </c>
      <c r="J941" s="10">
        <v>45684.768518518518</v>
      </c>
      <c r="K941" s="10">
        <v>45684.768518518518</v>
      </c>
      <c r="L941" s="10">
        <v>45684.769259259258</v>
      </c>
      <c r="M941" s="11">
        <f t="shared" si="42"/>
        <v>1.6481481485243421E-2</v>
      </c>
      <c r="N941" s="11">
        <f t="shared" si="43"/>
        <v>2.6805208333244082</v>
      </c>
      <c r="O941" s="10">
        <v>45682.091134259259</v>
      </c>
      <c r="P941" s="11">
        <f t="shared" si="44"/>
        <v>2.6503125000017462</v>
      </c>
      <c r="Q941" s="12" t="s">
        <v>2674</v>
      </c>
    </row>
    <row r="942" spans="1:17" ht="25.5" x14ac:dyDescent="0.25">
      <c r="A942" s="3" t="s">
        <v>2675</v>
      </c>
      <c r="B942" s="3" t="s">
        <v>395</v>
      </c>
      <c r="C942" s="9">
        <v>58.5</v>
      </c>
      <c r="D942" s="3" t="s">
        <v>519</v>
      </c>
      <c r="E942" s="10">
        <v>45683.742812500001</v>
      </c>
      <c r="F942" s="10">
        <v>45683.75304398148</v>
      </c>
      <c r="G942" s="10">
        <v>45683.75472222222</v>
      </c>
      <c r="H942" s="3" t="s">
        <v>2613</v>
      </c>
      <c r="I942" s="10">
        <v>45684.887199074074</v>
      </c>
      <c r="J942" s="10">
        <v>45684.911157407398</v>
      </c>
      <c r="K942" s="10">
        <v>45684.911157407398</v>
      </c>
      <c r="L942" s="10">
        <v>45684.912083333344</v>
      </c>
      <c r="M942" s="11">
        <f t="shared" si="42"/>
        <v>1.190972221957054E-2</v>
      </c>
      <c r="N942" s="11">
        <f t="shared" si="43"/>
        <v>1.1573611111234641</v>
      </c>
      <c r="O942" s="10">
        <v>45683.758645833332</v>
      </c>
      <c r="P942" s="11">
        <f t="shared" si="44"/>
        <v>1.1285532407418941</v>
      </c>
      <c r="Q942" s="12" t="s">
        <v>2676</v>
      </c>
    </row>
    <row r="943" spans="1:17" x14ac:dyDescent="0.25">
      <c r="A943" s="3" t="s">
        <v>2677</v>
      </c>
      <c r="B943" s="3" t="s">
        <v>395</v>
      </c>
      <c r="C943" s="9">
        <v>459.5200000000001</v>
      </c>
      <c r="D943" s="3" t="s">
        <v>506</v>
      </c>
      <c r="E943" s="10">
        <v>45683.742812500001</v>
      </c>
      <c r="F943" s="10">
        <v>45683.75472222222</v>
      </c>
      <c r="G943" s="10">
        <v>45683.757222222222</v>
      </c>
      <c r="H943" s="3" t="s">
        <v>2678</v>
      </c>
      <c r="I943" s="10">
        <v>45684.755555555559</v>
      </c>
      <c r="J943" s="10">
        <v>45684.835335648153</v>
      </c>
      <c r="K943" s="10">
        <v>45684.835335648153</v>
      </c>
      <c r="L943" s="10">
        <v>45684.83693287037</v>
      </c>
      <c r="M943" s="11">
        <f t="shared" si="42"/>
        <v>1.4409722221898846E-2</v>
      </c>
      <c r="N943" s="11">
        <f t="shared" si="43"/>
        <v>1.0797106481477385</v>
      </c>
      <c r="O943" s="10">
        <v>45683.759583333333</v>
      </c>
      <c r="P943" s="11">
        <f t="shared" si="44"/>
        <v>0.99597222222655546</v>
      </c>
      <c r="Q943" s="12" t="s">
        <v>2679</v>
      </c>
    </row>
    <row r="944" spans="1:17" ht="25.5" x14ac:dyDescent="0.25">
      <c r="A944" s="3" t="s">
        <v>2680</v>
      </c>
      <c r="B944" s="3" t="s">
        <v>395</v>
      </c>
      <c r="C944" s="9">
        <v>42</v>
      </c>
      <c r="D944" s="3" t="s">
        <v>519</v>
      </c>
      <c r="E944" s="10">
        <v>45683.742812500001</v>
      </c>
      <c r="F944" s="10">
        <v>45683.757222222222</v>
      </c>
      <c r="G944" s="10">
        <v>45683.75886574074</v>
      </c>
      <c r="H944" s="3" t="s">
        <v>2613</v>
      </c>
      <c r="I944" s="10">
        <v>45684.887199074074</v>
      </c>
      <c r="J944" s="10">
        <v>45684.911157407398</v>
      </c>
      <c r="K944" s="10">
        <v>45684.911157407398</v>
      </c>
      <c r="L944" s="10">
        <v>45684.912083333344</v>
      </c>
      <c r="M944" s="11">
        <f t="shared" si="42"/>
        <v>1.6053240738983732E-2</v>
      </c>
      <c r="N944" s="11">
        <f t="shared" si="43"/>
        <v>1.1532175926040509</v>
      </c>
      <c r="O944" s="10">
        <v>45683.762430555558</v>
      </c>
      <c r="P944" s="11">
        <f t="shared" si="44"/>
        <v>1.1247685185153387</v>
      </c>
      <c r="Q944" s="12" t="s">
        <v>2681</v>
      </c>
    </row>
    <row r="945" spans="1:17" ht="38.25" x14ac:dyDescent="0.25">
      <c r="A945" s="3" t="s">
        <v>2682</v>
      </c>
      <c r="B945" s="3" t="s">
        <v>396</v>
      </c>
      <c r="C945" s="9">
        <v>31.48</v>
      </c>
      <c r="D945" s="3" t="s">
        <v>496</v>
      </c>
      <c r="E945" s="10">
        <v>45684.110243055547</v>
      </c>
      <c r="F945" s="10">
        <v>45684.11922453704</v>
      </c>
      <c r="G945" s="10">
        <v>45684.121168981481</v>
      </c>
      <c r="H945" s="3" t="s">
        <v>2631</v>
      </c>
      <c r="I945" s="10">
        <v>45685.335995370369</v>
      </c>
      <c r="J945" s="10">
        <v>45685.369837962957</v>
      </c>
      <c r="K945" s="10">
        <v>45685.369837962957</v>
      </c>
      <c r="L945" s="10">
        <v>45685.370671296303</v>
      </c>
      <c r="M945" s="11">
        <f t="shared" si="42"/>
        <v>1.0925925933406688E-2</v>
      </c>
      <c r="N945" s="11">
        <f t="shared" si="43"/>
        <v>1.2495023148221662</v>
      </c>
      <c r="O945" s="10">
        <v>45684.125057870369</v>
      </c>
      <c r="P945" s="11">
        <f t="shared" si="44"/>
        <v>1.2109375</v>
      </c>
      <c r="Q945" s="12" t="s">
        <v>2683</v>
      </c>
    </row>
    <row r="946" spans="1:17" ht="38.25" x14ac:dyDescent="0.25">
      <c r="A946" s="3" t="s">
        <v>2684</v>
      </c>
      <c r="B946" s="3" t="s">
        <v>396</v>
      </c>
      <c r="C946" s="9">
        <v>19.899999999999999</v>
      </c>
      <c r="D946" s="3" t="s">
        <v>484</v>
      </c>
      <c r="E946" s="10">
        <v>45684.110243055547</v>
      </c>
      <c r="F946" s="10">
        <v>45684.121168981481</v>
      </c>
      <c r="G946" s="10">
        <v>45684.123136574082</v>
      </c>
      <c r="H946" s="3" t="s">
        <v>2685</v>
      </c>
      <c r="I946" s="10">
        <v>45685.455405092587</v>
      </c>
      <c r="J946" s="10">
        <v>45685.521655092591</v>
      </c>
      <c r="K946" s="10">
        <v>45685.521655092591</v>
      </c>
      <c r="L946" s="10">
        <v>45685.523078703707</v>
      </c>
      <c r="M946" s="11">
        <f t="shared" si="42"/>
        <v>1.2893518534838222E-2</v>
      </c>
      <c r="N946" s="11">
        <f t="shared" si="43"/>
        <v>1.3999421296248329</v>
      </c>
      <c r="O946" s="10">
        <v>45684.125532407408</v>
      </c>
      <c r="P946" s="11">
        <f t="shared" si="44"/>
        <v>1.3298726851789979</v>
      </c>
      <c r="Q946" s="12" t="s">
        <v>2686</v>
      </c>
    </row>
    <row r="947" spans="1:17" ht="25.5" x14ac:dyDescent="0.25">
      <c r="A947" s="3" t="s">
        <v>2687</v>
      </c>
      <c r="B947" s="3" t="s">
        <v>396</v>
      </c>
      <c r="C947" s="9">
        <v>183.5</v>
      </c>
      <c r="D947" s="3" t="s">
        <v>488</v>
      </c>
      <c r="E947" s="10">
        <v>45684.110243055547</v>
      </c>
      <c r="F947" s="10">
        <v>45684.123136574082</v>
      </c>
      <c r="G947" s="10">
        <v>45684.124803240738</v>
      </c>
      <c r="H947" s="3" t="s">
        <v>2644</v>
      </c>
      <c r="I947" s="10">
        <v>45685.135520833333</v>
      </c>
      <c r="J947" s="10">
        <v>45685.174675925933</v>
      </c>
      <c r="K947" s="10">
        <v>45685.174675925933</v>
      </c>
      <c r="L947" s="10">
        <v>45685.175740740742</v>
      </c>
      <c r="M947" s="11">
        <f t="shared" si="42"/>
        <v>1.4560185190930497E-2</v>
      </c>
      <c r="N947" s="11">
        <f t="shared" si="43"/>
        <v>1.0509375000037835</v>
      </c>
      <c r="O947" s="10">
        <v>45684.12835648148</v>
      </c>
      <c r="P947" s="11">
        <f t="shared" si="44"/>
        <v>1.0071643518531346</v>
      </c>
      <c r="Q947" s="12" t="s">
        <v>2688</v>
      </c>
    </row>
    <row r="948" spans="1:17" ht="38.25" x14ac:dyDescent="0.25">
      <c r="A948" s="3" t="s">
        <v>2689</v>
      </c>
      <c r="B948" s="3" t="s">
        <v>396</v>
      </c>
      <c r="C948" s="9">
        <v>24.08</v>
      </c>
      <c r="D948" s="3" t="s">
        <v>492</v>
      </c>
      <c r="E948" s="10">
        <v>45684.110243055547</v>
      </c>
      <c r="F948" s="10">
        <v>45684.124803240738</v>
      </c>
      <c r="G948" s="10">
        <v>45684.126770833333</v>
      </c>
      <c r="H948" s="3" t="s">
        <v>2690</v>
      </c>
      <c r="I948" s="10">
        <v>45686.133518518523</v>
      </c>
      <c r="J948" s="10">
        <v>45686.152291666673</v>
      </c>
      <c r="K948" s="10">
        <v>45686.152291666673</v>
      </c>
      <c r="L948" s="10">
        <v>45686.153078703697</v>
      </c>
      <c r="M948" s="11">
        <f t="shared" si="42"/>
        <v>1.6527777785086073E-2</v>
      </c>
      <c r="N948" s="11">
        <f t="shared" si="43"/>
        <v>2.0263078703646897</v>
      </c>
      <c r="O948" s="10">
        <v>45684.129166666673</v>
      </c>
      <c r="P948" s="11">
        <f t="shared" si="44"/>
        <v>2.0043518518505152</v>
      </c>
      <c r="Q948" s="12" t="s">
        <v>2691</v>
      </c>
    </row>
    <row r="949" spans="1:17" x14ac:dyDescent="0.25">
      <c r="A949" s="3" t="s">
        <v>2692</v>
      </c>
      <c r="B949" s="3" t="s">
        <v>397</v>
      </c>
      <c r="C949" s="9">
        <v>298.2</v>
      </c>
      <c r="D949" s="3" t="s">
        <v>519</v>
      </c>
      <c r="E949" s="10">
        <v>45684.19085648148</v>
      </c>
      <c r="F949" s="10">
        <v>45684.196898148148</v>
      </c>
      <c r="G949" s="10">
        <v>45684.19871527778</v>
      </c>
      <c r="H949" s="3" t="s">
        <v>2647</v>
      </c>
      <c r="I949" s="10">
        <v>45685.282488425917</v>
      </c>
      <c r="J949" s="10">
        <v>45685.33425925926</v>
      </c>
      <c r="K949" s="10">
        <v>45685.33425925926</v>
      </c>
      <c r="L949" s="10">
        <v>45685.335416666669</v>
      </c>
      <c r="M949" s="11">
        <f t="shared" si="42"/>
        <v>7.8587962998426519E-3</v>
      </c>
      <c r="N949" s="11">
        <f t="shared" si="43"/>
        <v>1.1367013888884685</v>
      </c>
      <c r="O949" s="10">
        <v>45684.20108796296</v>
      </c>
      <c r="P949" s="11">
        <f t="shared" si="44"/>
        <v>1.0814004629573901</v>
      </c>
      <c r="Q949" s="12" t="s">
        <v>2693</v>
      </c>
    </row>
    <row r="950" spans="1:17" x14ac:dyDescent="0.25">
      <c r="A950" s="3" t="s">
        <v>2694</v>
      </c>
      <c r="B950" s="3" t="s">
        <v>398</v>
      </c>
      <c r="C950" s="9">
        <v>284.8</v>
      </c>
      <c r="D950" s="3" t="s">
        <v>500</v>
      </c>
      <c r="E950" s="10">
        <v>45684.27615740741</v>
      </c>
      <c r="F950" s="10">
        <v>45684.282118055547</v>
      </c>
      <c r="G950" s="10">
        <v>45684.284490740742</v>
      </c>
      <c r="H950" s="3" t="s">
        <v>2608</v>
      </c>
      <c r="I950" s="10">
        <v>45685.325694444437</v>
      </c>
      <c r="J950" s="10">
        <v>45685.375138888892</v>
      </c>
      <c r="K950" s="10">
        <v>45685.375138888892</v>
      </c>
      <c r="L950" s="10">
        <v>45685.376342592594</v>
      </c>
      <c r="M950" s="11">
        <f t="shared" si="42"/>
        <v>8.333333331393078E-3</v>
      </c>
      <c r="N950" s="11">
        <f t="shared" si="43"/>
        <v>1.0918518518519704</v>
      </c>
      <c r="O950" s="10">
        <v>45684.286666666667</v>
      </c>
      <c r="P950" s="11">
        <f t="shared" si="44"/>
        <v>1.039027777769661</v>
      </c>
      <c r="Q950" s="12" t="s">
        <v>2695</v>
      </c>
    </row>
    <row r="951" spans="1:17" ht="38.25" x14ac:dyDescent="0.25">
      <c r="A951" s="3" t="s">
        <v>2696</v>
      </c>
      <c r="B951" s="3" t="s">
        <v>399</v>
      </c>
      <c r="C951" s="9">
        <v>27</v>
      </c>
      <c r="D951" s="3" t="s">
        <v>527</v>
      </c>
      <c r="E951" s="10">
        <v>45684.298958333333</v>
      </c>
      <c r="F951" s="10">
        <v>45684.31454861111</v>
      </c>
      <c r="G951" s="10">
        <v>45684.315706018519</v>
      </c>
      <c r="H951" s="3" t="s">
        <v>2697</v>
      </c>
      <c r="I951" s="10">
        <v>45685.393449074072</v>
      </c>
      <c r="J951" s="10">
        <v>45685.461956018517</v>
      </c>
      <c r="K951" s="10">
        <v>45685.461956018517</v>
      </c>
      <c r="L951" s="10">
        <v>45685.463333333333</v>
      </c>
      <c r="M951" s="11">
        <f t="shared" si="42"/>
        <v>1.6747685185691807E-2</v>
      </c>
      <c r="N951" s="11">
        <f t="shared" si="43"/>
        <v>1.1476273148145992</v>
      </c>
      <c r="O951" s="10">
        <v>45684.317881944437</v>
      </c>
      <c r="P951" s="11">
        <f t="shared" si="44"/>
        <v>1.0755671296356013</v>
      </c>
      <c r="Q951" s="12" t="s">
        <v>2698</v>
      </c>
    </row>
    <row r="952" spans="1:17" ht="38.25" x14ac:dyDescent="0.25">
      <c r="A952" s="3" t="s">
        <v>2699</v>
      </c>
      <c r="B952" s="3" t="s">
        <v>399</v>
      </c>
      <c r="C952" s="9">
        <v>38.979999999999997</v>
      </c>
      <c r="D952" s="3" t="s">
        <v>484</v>
      </c>
      <c r="E952" s="10">
        <v>45684.298958333333</v>
      </c>
      <c r="F952" s="10">
        <v>45684.315706018519</v>
      </c>
      <c r="G952" s="10">
        <v>45684.317685185182</v>
      </c>
      <c r="H952" s="3" t="s">
        <v>2685</v>
      </c>
      <c r="I952" s="10">
        <v>45685.455405092587</v>
      </c>
      <c r="J952" s="10">
        <v>45685.521655092591</v>
      </c>
      <c r="K952" s="10">
        <v>45685.521655092591</v>
      </c>
      <c r="L952" s="10">
        <v>45685.523078703707</v>
      </c>
      <c r="M952" s="11">
        <f t="shared" si="42"/>
        <v>1.8726851849351078E-2</v>
      </c>
      <c r="N952" s="11">
        <f t="shared" si="43"/>
        <v>1.2053935185249429</v>
      </c>
      <c r="O952" s="10">
        <v>45684.321608796286</v>
      </c>
      <c r="P952" s="11">
        <f t="shared" si="44"/>
        <v>1.1337962963007158</v>
      </c>
      <c r="Q952" s="12" t="s">
        <v>2700</v>
      </c>
    </row>
    <row r="953" spans="1:17" x14ac:dyDescent="0.25">
      <c r="A953" s="3" t="s">
        <v>2701</v>
      </c>
      <c r="B953" s="3" t="s">
        <v>399</v>
      </c>
      <c r="C953" s="9">
        <v>163.19999999999999</v>
      </c>
      <c r="D953" s="3" t="s">
        <v>519</v>
      </c>
      <c r="E953" s="10">
        <v>45684.298958333333</v>
      </c>
      <c r="F953" s="10"/>
      <c r="G953" s="10"/>
      <c r="H953" s="3"/>
      <c r="I953" s="10"/>
      <c r="J953" s="10"/>
      <c r="K953" s="10"/>
      <c r="L953" s="10"/>
      <c r="M953" s="11" t="str">
        <f t="shared" si="42"/>
        <v/>
      </c>
      <c r="N953" s="11" t="str">
        <f t="shared" si="43"/>
        <v/>
      </c>
      <c r="O953" s="10"/>
      <c r="P953" s="11" t="str">
        <f t="shared" si="44"/>
        <v/>
      </c>
      <c r="Q953" s="12"/>
    </row>
    <row r="954" spans="1:17" x14ac:dyDescent="0.25">
      <c r="A954" s="3" t="s">
        <v>2702</v>
      </c>
      <c r="B954" s="3" t="s">
        <v>399</v>
      </c>
      <c r="C954" s="9">
        <v>21</v>
      </c>
      <c r="D954" s="3" t="s">
        <v>488</v>
      </c>
      <c r="E954" s="10">
        <v>45684.298958333333</v>
      </c>
      <c r="F954" s="10"/>
      <c r="G954" s="10"/>
      <c r="H954" s="3"/>
      <c r="I954" s="10"/>
      <c r="J954" s="10"/>
      <c r="K954" s="10"/>
      <c r="L954" s="10"/>
      <c r="M954" s="11" t="str">
        <f t="shared" si="42"/>
        <v/>
      </c>
      <c r="N954" s="11" t="str">
        <f t="shared" si="43"/>
        <v/>
      </c>
      <c r="O954" s="10"/>
      <c r="P954" s="11" t="str">
        <f t="shared" si="44"/>
        <v/>
      </c>
      <c r="Q954" s="12"/>
    </row>
    <row r="955" spans="1:17" x14ac:dyDescent="0.25">
      <c r="A955" s="3" t="s">
        <v>2703</v>
      </c>
      <c r="B955" s="3" t="s">
        <v>399</v>
      </c>
      <c r="C955" s="9">
        <v>106.92</v>
      </c>
      <c r="D955" s="3" t="s">
        <v>523</v>
      </c>
      <c r="E955" s="10">
        <v>45684.298958333333</v>
      </c>
      <c r="F955" s="10">
        <v>45684.317685185182</v>
      </c>
      <c r="G955" s="10">
        <v>45684.319780092592</v>
      </c>
      <c r="H955" s="3" t="s">
        <v>2704</v>
      </c>
      <c r="I955" s="10">
        <v>45685.329606481479</v>
      </c>
      <c r="J955" s="10">
        <v>45685.348171296297</v>
      </c>
      <c r="K955" s="10">
        <v>45685.348171296297</v>
      </c>
      <c r="L955" s="10">
        <v>45685.348796296297</v>
      </c>
      <c r="M955" s="11">
        <f t="shared" si="42"/>
        <v>2.0821759258979E-2</v>
      </c>
      <c r="N955" s="11">
        <f t="shared" si="43"/>
        <v>1.029016203705396</v>
      </c>
      <c r="O955" s="10">
        <v>45684.322175925918</v>
      </c>
      <c r="P955" s="11">
        <f t="shared" si="44"/>
        <v>1.0074305555608589</v>
      </c>
      <c r="Q955" s="12" t="s">
        <v>2705</v>
      </c>
    </row>
    <row r="956" spans="1:17" ht="25.5" x14ac:dyDescent="0.25">
      <c r="A956" s="3" t="s">
        <v>2706</v>
      </c>
      <c r="B956" s="3" t="s">
        <v>399</v>
      </c>
      <c r="C956" s="9">
        <v>39.799999999999997</v>
      </c>
      <c r="D956" s="3" t="s">
        <v>539</v>
      </c>
      <c r="E956" s="10">
        <v>45684.298958333333</v>
      </c>
      <c r="F956" s="10">
        <v>45684.319780092592</v>
      </c>
      <c r="G956" s="10">
        <v>45684.321412037039</v>
      </c>
      <c r="H956" s="3" t="s">
        <v>2707</v>
      </c>
      <c r="I956" s="10">
        <v>45686.189108796287</v>
      </c>
      <c r="J956" s="10">
        <v>45686.240671296298</v>
      </c>
      <c r="K956" s="10">
        <v>45686.240671296298</v>
      </c>
      <c r="L956" s="10">
        <v>45686.241944444453</v>
      </c>
      <c r="M956" s="11">
        <f t="shared" si="42"/>
        <v>2.2453703706560191E-2</v>
      </c>
      <c r="N956" s="11">
        <f t="shared" si="43"/>
        <v>1.9205324074137025</v>
      </c>
      <c r="O956" s="10">
        <v>45684.323796296303</v>
      </c>
      <c r="P956" s="11">
        <f t="shared" si="44"/>
        <v>1.8653124999837019</v>
      </c>
      <c r="Q956" s="12" t="s">
        <v>2708</v>
      </c>
    </row>
    <row r="957" spans="1:17" x14ac:dyDescent="0.25">
      <c r="A957" s="3" t="s">
        <v>2709</v>
      </c>
      <c r="B957" s="3" t="s">
        <v>399</v>
      </c>
      <c r="C957" s="9">
        <v>172.4</v>
      </c>
      <c r="D957" s="3" t="s">
        <v>506</v>
      </c>
      <c r="E957" s="10">
        <v>45684.298958333333</v>
      </c>
      <c r="F957" s="10"/>
      <c r="G957" s="10"/>
      <c r="H957" s="3"/>
      <c r="I957" s="10"/>
      <c r="J957" s="10"/>
      <c r="K957" s="10"/>
      <c r="L957" s="10"/>
      <c r="M957" s="11" t="str">
        <f t="shared" si="42"/>
        <v/>
      </c>
      <c r="N957" s="11" t="str">
        <f t="shared" si="43"/>
        <v/>
      </c>
      <c r="O957" s="10"/>
      <c r="P957" s="11" t="str">
        <f t="shared" si="44"/>
        <v/>
      </c>
      <c r="Q957" s="12"/>
    </row>
    <row r="958" spans="1:17" x14ac:dyDescent="0.25">
      <c r="A958" s="3" t="s">
        <v>2710</v>
      </c>
      <c r="B958" s="3" t="s">
        <v>399</v>
      </c>
      <c r="C958" s="9">
        <v>19.899999999999999</v>
      </c>
      <c r="D958" s="3" t="s">
        <v>563</v>
      </c>
      <c r="E958" s="10">
        <v>45684.298958333333</v>
      </c>
      <c r="F958" s="10"/>
      <c r="G958" s="10"/>
      <c r="H958" s="3"/>
      <c r="I958" s="10"/>
      <c r="J958" s="10"/>
      <c r="K958" s="10"/>
      <c r="L958" s="10"/>
      <c r="M958" s="11" t="str">
        <f t="shared" si="42"/>
        <v/>
      </c>
      <c r="N958" s="11" t="str">
        <f t="shared" si="43"/>
        <v/>
      </c>
      <c r="O958" s="10"/>
      <c r="P958" s="11" t="str">
        <f t="shared" si="44"/>
        <v/>
      </c>
      <c r="Q958" s="12"/>
    </row>
    <row r="959" spans="1:17" x14ac:dyDescent="0.25">
      <c r="A959" s="3" t="s">
        <v>2711</v>
      </c>
      <c r="B959" s="3" t="s">
        <v>400</v>
      </c>
      <c r="C959" s="9">
        <v>253.64</v>
      </c>
      <c r="D959" s="3" t="s">
        <v>500</v>
      </c>
      <c r="E959" s="10">
        <v>45684.312592592592</v>
      </c>
      <c r="F959" s="10"/>
      <c r="G959" s="10"/>
      <c r="H959" s="3"/>
      <c r="I959" s="10"/>
      <c r="J959" s="10"/>
      <c r="K959" s="10"/>
      <c r="L959" s="10"/>
      <c r="M959" s="11" t="str">
        <f t="shared" si="42"/>
        <v/>
      </c>
      <c r="N959" s="11" t="str">
        <f t="shared" si="43"/>
        <v/>
      </c>
      <c r="O959" s="10"/>
      <c r="P959" s="11" t="str">
        <f t="shared" si="44"/>
        <v/>
      </c>
      <c r="Q959" s="12"/>
    </row>
    <row r="960" spans="1:17" x14ac:dyDescent="0.25">
      <c r="A960" s="3" t="s">
        <v>2712</v>
      </c>
      <c r="B960" s="3" t="s">
        <v>401</v>
      </c>
      <c r="C960" s="9">
        <v>389.06000000000012</v>
      </c>
      <c r="D960" s="3" t="s">
        <v>500</v>
      </c>
      <c r="E960" s="10">
        <v>45684.331157407411</v>
      </c>
      <c r="F960" s="10"/>
      <c r="G960" s="10"/>
      <c r="H960" s="3"/>
      <c r="I960" s="10"/>
      <c r="J960" s="10"/>
      <c r="K960" s="10"/>
      <c r="L960" s="10"/>
      <c r="M960" s="11" t="str">
        <f t="shared" si="42"/>
        <v/>
      </c>
      <c r="N960" s="11" t="str">
        <f t="shared" si="43"/>
        <v/>
      </c>
      <c r="O960" s="10"/>
      <c r="P960" s="11" t="str">
        <f t="shared" si="44"/>
        <v/>
      </c>
      <c r="Q960" s="12"/>
    </row>
    <row r="961" spans="1:17" ht="38.25" x14ac:dyDescent="0.25">
      <c r="A961" s="3" t="s">
        <v>2713</v>
      </c>
      <c r="B961" s="3" t="s">
        <v>402</v>
      </c>
      <c r="C961" s="9">
        <v>40.9</v>
      </c>
      <c r="D961" s="3" t="s">
        <v>488</v>
      </c>
      <c r="E961" s="10">
        <v>45684.355555555558</v>
      </c>
      <c r="F961" s="10">
        <v>45684.375798611109</v>
      </c>
      <c r="G961" s="10">
        <v>45684.37699074074</v>
      </c>
      <c r="H961" s="3" t="s">
        <v>2697</v>
      </c>
      <c r="I961" s="10">
        <v>45685.393449074072</v>
      </c>
      <c r="J961" s="10">
        <v>45685.461956018517</v>
      </c>
      <c r="K961" s="10">
        <v>45685.461956018517</v>
      </c>
      <c r="L961" s="10">
        <v>45685.463333333333</v>
      </c>
      <c r="M961" s="11">
        <f t="shared" si="42"/>
        <v>2.1435185182781424E-2</v>
      </c>
      <c r="N961" s="11">
        <f t="shared" si="43"/>
        <v>1.0863425925927004</v>
      </c>
      <c r="O961" s="10">
        <v>45684.379166666673</v>
      </c>
      <c r="P961" s="11">
        <f t="shared" si="44"/>
        <v>1.0142824073991505</v>
      </c>
      <c r="Q961" s="12" t="s">
        <v>2714</v>
      </c>
    </row>
    <row r="962" spans="1:17" ht="25.5" x14ac:dyDescent="0.25">
      <c r="A962" s="3" t="s">
        <v>2715</v>
      </c>
      <c r="B962" s="3" t="s">
        <v>402</v>
      </c>
      <c r="C962" s="9">
        <v>33.9</v>
      </c>
      <c r="D962" s="3" t="s">
        <v>523</v>
      </c>
      <c r="E962" s="10">
        <v>45684.355555555558</v>
      </c>
      <c r="F962" s="10">
        <v>45684.37699074074</v>
      </c>
      <c r="G962" s="10">
        <v>45684.378912037027</v>
      </c>
      <c r="H962" s="3" t="s">
        <v>2716</v>
      </c>
      <c r="I962" s="10">
        <v>45685.653344907398</v>
      </c>
      <c r="J962" s="10">
        <v>45685.707268518519</v>
      </c>
      <c r="K962" s="10">
        <v>45685.707268518519</v>
      </c>
      <c r="L962" s="10">
        <v>45685.708368055559</v>
      </c>
      <c r="M962" s="11">
        <f t="shared" ref="M962:M1025" si="45">IF(AND(ISNUMBER(E962),ISNUMBER(G962)),(G962-E962),"")</f>
        <v>2.3356481469818391E-2</v>
      </c>
      <c r="N962" s="11">
        <f t="shared" ref="N962:N1025" si="46">IF(AND(ISNUMBER(G962),ISNUMBER(L962)),(L962-G962),"")</f>
        <v>1.3294560185313458</v>
      </c>
      <c r="O962" s="10">
        <v>45684.381273148138</v>
      </c>
      <c r="P962" s="11">
        <f t="shared" ref="P962:P1025" si="47">IF(AND(ISNUMBER(I962),ISNUMBER(O962)),(I962-O962),"")</f>
        <v>1.2720717592601432</v>
      </c>
      <c r="Q962" s="12" t="s">
        <v>2717</v>
      </c>
    </row>
    <row r="963" spans="1:17" ht="38.25" x14ac:dyDescent="0.25">
      <c r="A963" s="3" t="s">
        <v>2718</v>
      </c>
      <c r="B963" s="3" t="s">
        <v>402</v>
      </c>
      <c r="C963" s="9">
        <v>27</v>
      </c>
      <c r="D963" s="3" t="s">
        <v>527</v>
      </c>
      <c r="E963" s="10">
        <v>45684.355555555558</v>
      </c>
      <c r="F963" s="10">
        <v>45684.378912037027</v>
      </c>
      <c r="G963" s="10">
        <v>45684.380069444444</v>
      </c>
      <c r="H963" s="3" t="s">
        <v>2697</v>
      </c>
      <c r="I963" s="10">
        <v>45685.393449074072</v>
      </c>
      <c r="J963" s="10">
        <v>45685.461956018517</v>
      </c>
      <c r="K963" s="10">
        <v>45685.461956018517</v>
      </c>
      <c r="L963" s="10">
        <v>45685.463333333333</v>
      </c>
      <c r="M963" s="11">
        <f t="shared" si="45"/>
        <v>2.4513888885849155E-2</v>
      </c>
      <c r="N963" s="11">
        <f t="shared" si="46"/>
        <v>1.0832638888896327</v>
      </c>
      <c r="O963" s="10">
        <v>45684.383634259262</v>
      </c>
      <c r="P963" s="11">
        <f t="shared" si="47"/>
        <v>1.0098148148099426</v>
      </c>
      <c r="Q963" s="12" t="s">
        <v>2719</v>
      </c>
    </row>
    <row r="964" spans="1:17" ht="25.5" x14ac:dyDescent="0.25">
      <c r="A964" s="3" t="s">
        <v>2720</v>
      </c>
      <c r="B964" s="3" t="s">
        <v>402</v>
      </c>
      <c r="C964" s="9">
        <v>15.74</v>
      </c>
      <c r="D964" s="3" t="s">
        <v>484</v>
      </c>
      <c r="E964" s="10">
        <v>45684.355555555558</v>
      </c>
      <c r="F964" s="10">
        <v>45684.380069444444</v>
      </c>
      <c r="G964" s="10">
        <v>45684.382002314807</v>
      </c>
      <c r="H964" s="3" t="s">
        <v>2685</v>
      </c>
      <c r="I964" s="10">
        <v>45685.455405092587</v>
      </c>
      <c r="J964" s="10">
        <v>45685.521655092591</v>
      </c>
      <c r="K964" s="10">
        <v>45685.521655092591</v>
      </c>
      <c r="L964" s="10">
        <v>45685.523078703707</v>
      </c>
      <c r="M964" s="11">
        <f t="shared" si="45"/>
        <v>2.6446759249665774E-2</v>
      </c>
      <c r="N964" s="11">
        <f t="shared" si="46"/>
        <v>1.141076388899819</v>
      </c>
      <c r="O964" s="10">
        <v>45684.38554398148</v>
      </c>
      <c r="P964" s="11">
        <f t="shared" si="47"/>
        <v>1.069861111107457</v>
      </c>
      <c r="Q964" s="12" t="s">
        <v>2721</v>
      </c>
    </row>
    <row r="965" spans="1:17" ht="25.5" x14ac:dyDescent="0.25">
      <c r="A965" s="3" t="s">
        <v>2722</v>
      </c>
      <c r="B965" s="3" t="s">
        <v>402</v>
      </c>
      <c r="C965" s="9">
        <v>179.16</v>
      </c>
      <c r="D965" s="3" t="s">
        <v>506</v>
      </c>
      <c r="E965" s="10">
        <v>45684.355555555558</v>
      </c>
      <c r="F965" s="10">
        <v>45684.382002314807</v>
      </c>
      <c r="G965" s="10">
        <v>45684.384259259263</v>
      </c>
      <c r="H965" s="3" t="s">
        <v>2631</v>
      </c>
      <c r="I965" s="10">
        <v>45685.335995370369</v>
      </c>
      <c r="J965" s="10">
        <v>45685.369837962957</v>
      </c>
      <c r="K965" s="10">
        <v>45685.369837962957</v>
      </c>
      <c r="L965" s="10">
        <v>45685.370671296303</v>
      </c>
      <c r="M965" s="11">
        <f t="shared" si="45"/>
        <v>2.8703703705104999E-2</v>
      </c>
      <c r="N965" s="11">
        <f t="shared" si="46"/>
        <v>0.98641203704028158</v>
      </c>
      <c r="O965" s="10">
        <v>45684.386620370373</v>
      </c>
      <c r="P965" s="11">
        <f t="shared" si="47"/>
        <v>0.94937499999650754</v>
      </c>
      <c r="Q965" s="12" t="s">
        <v>2723</v>
      </c>
    </row>
    <row r="966" spans="1:17" x14ac:dyDescent="0.25">
      <c r="A966" s="3" t="s">
        <v>2724</v>
      </c>
      <c r="B966" s="3" t="s">
        <v>402</v>
      </c>
      <c r="C966" s="9">
        <v>39.799999999999997</v>
      </c>
      <c r="D966" s="3" t="s">
        <v>563</v>
      </c>
      <c r="E966" s="10">
        <v>45684.355555555558</v>
      </c>
      <c r="F966" s="10"/>
      <c r="G966" s="10"/>
      <c r="H966" s="3"/>
      <c r="I966" s="10"/>
      <c r="J966" s="10"/>
      <c r="K966" s="10"/>
      <c r="L966" s="10"/>
      <c r="M966" s="11" t="str">
        <f t="shared" si="45"/>
        <v/>
      </c>
      <c r="N966" s="11" t="str">
        <f t="shared" si="46"/>
        <v/>
      </c>
      <c r="O966" s="10"/>
      <c r="P966" s="11" t="str">
        <f t="shared" si="47"/>
        <v/>
      </c>
      <c r="Q966" s="12"/>
    </row>
    <row r="967" spans="1:17" x14ac:dyDescent="0.25">
      <c r="A967" s="3" t="s">
        <v>2725</v>
      </c>
      <c r="B967" s="3" t="s">
        <v>402</v>
      </c>
      <c r="C967" s="9">
        <v>90.4</v>
      </c>
      <c r="D967" s="3" t="s">
        <v>519</v>
      </c>
      <c r="E967" s="10">
        <v>45684.355555555558</v>
      </c>
      <c r="F967" s="10"/>
      <c r="G967" s="10"/>
      <c r="H967" s="3"/>
      <c r="I967" s="10"/>
      <c r="J967" s="10"/>
      <c r="K967" s="10"/>
      <c r="L967" s="10"/>
      <c r="M967" s="11" t="str">
        <f t="shared" si="45"/>
        <v/>
      </c>
      <c r="N967" s="11" t="str">
        <f t="shared" si="46"/>
        <v/>
      </c>
      <c r="O967" s="10"/>
      <c r="P967" s="11" t="str">
        <f t="shared" si="47"/>
        <v/>
      </c>
      <c r="Q967" s="12"/>
    </row>
    <row r="968" spans="1:17" ht="25.5" x14ac:dyDescent="0.25">
      <c r="A968" s="3" t="s">
        <v>2726</v>
      </c>
      <c r="B968" s="3" t="s">
        <v>402</v>
      </c>
      <c r="C968" s="9">
        <v>15.74</v>
      </c>
      <c r="D968" s="3" t="s">
        <v>496</v>
      </c>
      <c r="E968" s="10">
        <v>45684.355555555558</v>
      </c>
      <c r="F968" s="10">
        <v>45684.384259259263</v>
      </c>
      <c r="G968" s="10">
        <v>45684.386145833327</v>
      </c>
      <c r="H968" s="3" t="s">
        <v>2631</v>
      </c>
      <c r="I968" s="10">
        <v>45685.335995370369</v>
      </c>
      <c r="J968" s="10">
        <v>45685.369837962957</v>
      </c>
      <c r="K968" s="10">
        <v>45685.369837962957</v>
      </c>
      <c r="L968" s="10">
        <v>45685.370671296303</v>
      </c>
      <c r="M968" s="11">
        <f t="shared" si="45"/>
        <v>3.0590277769078966E-2</v>
      </c>
      <c r="N968" s="11">
        <f t="shared" si="46"/>
        <v>0.98452546297630761</v>
      </c>
      <c r="O968" s="10">
        <v>45684.389710648153</v>
      </c>
      <c r="P968" s="11">
        <f t="shared" si="47"/>
        <v>0.94628472221666016</v>
      </c>
      <c r="Q968" s="12" t="s">
        <v>2727</v>
      </c>
    </row>
    <row r="969" spans="1:17" ht="25.5" x14ac:dyDescent="0.25">
      <c r="A969" s="3" t="s">
        <v>2728</v>
      </c>
      <c r="B969" s="3" t="s">
        <v>402</v>
      </c>
      <c r="C969" s="9">
        <v>19.899999999999999</v>
      </c>
      <c r="D969" s="3" t="s">
        <v>539</v>
      </c>
      <c r="E969" s="10">
        <v>45684.355555555558</v>
      </c>
      <c r="F969" s="10">
        <v>45684.386145833327</v>
      </c>
      <c r="G969" s="10">
        <v>45684.387743055559</v>
      </c>
      <c r="H969" s="3" t="s">
        <v>2707</v>
      </c>
      <c r="I969" s="10">
        <v>45686.189108796287</v>
      </c>
      <c r="J969" s="10">
        <v>45686.240671296298</v>
      </c>
      <c r="K969" s="10">
        <v>45686.240671296298</v>
      </c>
      <c r="L969" s="10">
        <v>45686.241944444453</v>
      </c>
      <c r="M969" s="11">
        <f t="shared" si="45"/>
        <v>3.2187500000873115E-2</v>
      </c>
      <c r="N969" s="11">
        <f t="shared" si="46"/>
        <v>1.8542013888945803</v>
      </c>
      <c r="O969" s="10">
        <v>45684.391631944447</v>
      </c>
      <c r="P969" s="11">
        <f t="shared" si="47"/>
        <v>1.7974768518397468</v>
      </c>
      <c r="Q969" s="12" t="s">
        <v>2729</v>
      </c>
    </row>
    <row r="970" spans="1:17" ht="25.5" x14ac:dyDescent="0.25">
      <c r="A970" s="3" t="s">
        <v>2730</v>
      </c>
      <c r="B970" s="3" t="s">
        <v>402</v>
      </c>
      <c r="C970" s="9">
        <v>42</v>
      </c>
      <c r="D970" s="3" t="s">
        <v>595</v>
      </c>
      <c r="E970" s="10">
        <v>45684.355555555558</v>
      </c>
      <c r="F970" s="10">
        <v>45684.387743055559</v>
      </c>
      <c r="G970" s="10">
        <v>45684.388935185183</v>
      </c>
      <c r="H970" s="3" t="s">
        <v>2697</v>
      </c>
      <c r="I970" s="10">
        <v>45685.393449074072</v>
      </c>
      <c r="J970" s="10">
        <v>45685.461956018517</v>
      </c>
      <c r="K970" s="10">
        <v>45685.461956018517</v>
      </c>
      <c r="L970" s="10">
        <v>45685.463333333333</v>
      </c>
      <c r="M970" s="11">
        <f t="shared" si="45"/>
        <v>3.3379629625414964E-2</v>
      </c>
      <c r="N970" s="11">
        <f t="shared" si="46"/>
        <v>1.0743981481500668</v>
      </c>
      <c r="O970" s="10">
        <v>45684.392476851863</v>
      </c>
      <c r="P970" s="11">
        <f t="shared" si="47"/>
        <v>1.0009722222093842</v>
      </c>
      <c r="Q970" s="12" t="s">
        <v>2731</v>
      </c>
    </row>
    <row r="971" spans="1:17" x14ac:dyDescent="0.25">
      <c r="A971" s="3" t="s">
        <v>2732</v>
      </c>
      <c r="B971" s="3" t="s">
        <v>402</v>
      </c>
      <c r="C971" s="9">
        <v>66.38</v>
      </c>
      <c r="D971" s="3" t="s">
        <v>515</v>
      </c>
      <c r="E971" s="10">
        <v>45684.355555555558</v>
      </c>
      <c r="F971" s="10"/>
      <c r="G971" s="10"/>
      <c r="H971" s="3"/>
      <c r="I971" s="10"/>
      <c r="J971" s="10"/>
      <c r="K971" s="10"/>
      <c r="L971" s="10"/>
      <c r="M971" s="11" t="str">
        <f t="shared" si="45"/>
        <v/>
      </c>
      <c r="N971" s="11" t="str">
        <f t="shared" si="46"/>
        <v/>
      </c>
      <c r="O971" s="10"/>
      <c r="P971" s="11" t="str">
        <f t="shared" si="47"/>
        <v/>
      </c>
      <c r="Q971" s="12"/>
    </row>
    <row r="972" spans="1:17" ht="38.25" x14ac:dyDescent="0.25">
      <c r="A972" s="3" t="s">
        <v>2733</v>
      </c>
      <c r="B972" s="3" t="s">
        <v>402</v>
      </c>
      <c r="C972" s="9">
        <v>15.74</v>
      </c>
      <c r="D972" s="3" t="s">
        <v>1033</v>
      </c>
      <c r="E972" s="10">
        <v>45684.355555555558</v>
      </c>
      <c r="F972" s="10">
        <v>45684.388935185183</v>
      </c>
      <c r="G972" s="10">
        <v>45684.390856481477</v>
      </c>
      <c r="H972" s="3" t="s">
        <v>2690</v>
      </c>
      <c r="I972" s="10">
        <v>45686.133518518523</v>
      </c>
      <c r="J972" s="10">
        <v>45686.152291666673</v>
      </c>
      <c r="K972" s="10">
        <v>45686.152291666673</v>
      </c>
      <c r="L972" s="10">
        <v>45686.153078703697</v>
      </c>
      <c r="M972" s="11">
        <f t="shared" si="45"/>
        <v>3.5300925919727888E-2</v>
      </c>
      <c r="N972" s="11">
        <f t="shared" si="46"/>
        <v>1.7622222222198616</v>
      </c>
      <c r="O972" s="10">
        <v>45684.394421296303</v>
      </c>
      <c r="P972" s="11">
        <f t="shared" si="47"/>
        <v>1.7390972222201526</v>
      </c>
      <c r="Q972" s="12" t="s">
        <v>2734</v>
      </c>
    </row>
    <row r="973" spans="1:17" x14ac:dyDescent="0.25">
      <c r="A973" s="3" t="s">
        <v>2735</v>
      </c>
      <c r="B973" s="3" t="s">
        <v>403</v>
      </c>
      <c r="C973" s="9">
        <v>225.1</v>
      </c>
      <c r="D973" s="3" t="s">
        <v>500</v>
      </c>
      <c r="E973" s="10">
        <v>45684.355856481481</v>
      </c>
      <c r="F973" s="10"/>
      <c r="G973" s="10"/>
      <c r="H973" s="3"/>
      <c r="I973" s="10"/>
      <c r="J973" s="10"/>
      <c r="K973" s="10"/>
      <c r="L973" s="10"/>
      <c r="M973" s="11" t="str">
        <f t="shared" si="45"/>
        <v/>
      </c>
      <c r="N973" s="11" t="str">
        <f t="shared" si="46"/>
        <v/>
      </c>
      <c r="O973" s="10"/>
      <c r="P973" s="11" t="str">
        <f t="shared" si="47"/>
        <v/>
      </c>
      <c r="Q973" s="12"/>
    </row>
    <row r="974" spans="1:17" x14ac:dyDescent="0.25">
      <c r="A974" s="3" t="s">
        <v>2736</v>
      </c>
      <c r="B974" s="3" t="s">
        <v>403</v>
      </c>
      <c r="C974" s="9">
        <v>165.4</v>
      </c>
      <c r="D974" s="3" t="s">
        <v>572</v>
      </c>
      <c r="E974" s="10">
        <v>45684.355856481481</v>
      </c>
      <c r="F974" s="10"/>
      <c r="G974" s="10"/>
      <c r="H974" s="3"/>
      <c r="I974" s="10"/>
      <c r="J974" s="10"/>
      <c r="K974" s="10"/>
      <c r="L974" s="10"/>
      <c r="M974" s="11" t="str">
        <f t="shared" si="45"/>
        <v/>
      </c>
      <c r="N974" s="11" t="str">
        <f t="shared" si="46"/>
        <v/>
      </c>
      <c r="O974" s="10"/>
      <c r="P974" s="11" t="str">
        <f t="shared" si="47"/>
        <v/>
      </c>
      <c r="Q974" s="12"/>
    </row>
    <row r="975" spans="1:17" x14ac:dyDescent="0.25">
      <c r="A975" s="3" t="s">
        <v>2737</v>
      </c>
      <c r="B975" s="3" t="s">
        <v>404</v>
      </c>
      <c r="C975" s="9">
        <v>394.6</v>
      </c>
      <c r="D975" s="3" t="s">
        <v>500</v>
      </c>
      <c r="E975" s="10">
        <v>45684.439722222232</v>
      </c>
      <c r="F975" s="10">
        <v>45684.447905092587</v>
      </c>
      <c r="G975" s="10">
        <v>45684.449942129628</v>
      </c>
      <c r="H975" s="3" t="s">
        <v>2697</v>
      </c>
      <c r="I975" s="10">
        <v>45685.393449074072</v>
      </c>
      <c r="J975" s="10">
        <v>45685.461956018517</v>
      </c>
      <c r="K975" s="10">
        <v>45685.461956018517</v>
      </c>
      <c r="L975" s="10">
        <v>45685.463333333333</v>
      </c>
      <c r="M975" s="11">
        <f t="shared" si="45"/>
        <v>1.0219907395367045E-2</v>
      </c>
      <c r="N975" s="11">
        <f t="shared" si="46"/>
        <v>1.013391203705396</v>
      </c>
      <c r="O975" s="10">
        <v>45684.452337962961</v>
      </c>
      <c r="P975" s="11">
        <f t="shared" si="47"/>
        <v>0.94111111111124046</v>
      </c>
      <c r="Q975" s="12" t="s">
        <v>2738</v>
      </c>
    </row>
    <row r="976" spans="1:17" ht="25.5" x14ac:dyDescent="0.25">
      <c r="A976" s="3" t="s">
        <v>2739</v>
      </c>
      <c r="B976" s="3" t="s">
        <v>404</v>
      </c>
      <c r="C976" s="9">
        <v>40.9</v>
      </c>
      <c r="D976" s="3" t="s">
        <v>572</v>
      </c>
      <c r="E976" s="10">
        <v>45684.439722222232</v>
      </c>
      <c r="F976" s="10">
        <v>45684.449942129628</v>
      </c>
      <c r="G976" s="10">
        <v>45684.452025462961</v>
      </c>
      <c r="H976" s="3" t="s">
        <v>2740</v>
      </c>
      <c r="I976" s="10">
        <v>45685.55023148148</v>
      </c>
      <c r="J976" s="10">
        <v>45685.570752314823</v>
      </c>
      <c r="K976" s="10">
        <v>45685.570752314823</v>
      </c>
      <c r="L976" s="10">
        <v>45685.571527777778</v>
      </c>
      <c r="M976" s="11">
        <f t="shared" si="45"/>
        <v>1.2303240728215314E-2</v>
      </c>
      <c r="N976" s="11">
        <f t="shared" si="46"/>
        <v>1.1195023148175096</v>
      </c>
      <c r="O976" s="10">
        <v>45684.454409722217</v>
      </c>
      <c r="P976" s="11">
        <f t="shared" si="47"/>
        <v>1.0958217592633446</v>
      </c>
      <c r="Q976" s="12" t="s">
        <v>2741</v>
      </c>
    </row>
    <row r="977" spans="1:17" x14ac:dyDescent="0.25">
      <c r="A977" s="3" t="s">
        <v>2742</v>
      </c>
      <c r="B977" s="3" t="s">
        <v>405</v>
      </c>
      <c r="C977" s="9">
        <v>212.1</v>
      </c>
      <c r="D977" s="3" t="s">
        <v>500</v>
      </c>
      <c r="E977" s="10">
        <v>45684.530694444453</v>
      </c>
      <c r="F977" s="10">
        <v>45684.536064814813</v>
      </c>
      <c r="G977" s="10">
        <v>45684.538240740738</v>
      </c>
      <c r="H977" s="3" t="s">
        <v>2743</v>
      </c>
      <c r="I977" s="10">
        <v>45685.413715277777</v>
      </c>
      <c r="J977" s="10">
        <v>45685.450543981482</v>
      </c>
      <c r="K977" s="10">
        <v>45685.450543981482</v>
      </c>
      <c r="L977" s="10">
        <v>45685.451631944437</v>
      </c>
      <c r="M977" s="11">
        <f t="shared" si="45"/>
        <v>7.5462962849996984E-3</v>
      </c>
      <c r="N977" s="11">
        <f t="shared" si="46"/>
        <v>0.91339120369957527</v>
      </c>
      <c r="O977" s="10">
        <v>45684.540636574071</v>
      </c>
      <c r="P977" s="11">
        <f t="shared" si="47"/>
        <v>0.87307870370568708</v>
      </c>
      <c r="Q977" s="12" t="s">
        <v>2744</v>
      </c>
    </row>
    <row r="978" spans="1:17" x14ac:dyDescent="0.25">
      <c r="A978" s="3" t="s">
        <v>2745</v>
      </c>
      <c r="B978" s="3" t="s">
        <v>406</v>
      </c>
      <c r="C978" s="9">
        <v>381.56000000000012</v>
      </c>
      <c r="D978" s="3" t="s">
        <v>500</v>
      </c>
      <c r="E978" s="10">
        <v>45684.599988425929</v>
      </c>
      <c r="F978" s="10">
        <v>45684.60670138889</v>
      </c>
      <c r="G978" s="10">
        <v>45684.609502314823</v>
      </c>
      <c r="H978" s="3" t="s">
        <v>2685</v>
      </c>
      <c r="I978" s="10">
        <v>45685.455405092587</v>
      </c>
      <c r="J978" s="10">
        <v>45685.521655092591</v>
      </c>
      <c r="K978" s="10">
        <v>45685.521655092591</v>
      </c>
      <c r="L978" s="10">
        <v>45685.523078703707</v>
      </c>
      <c r="M978" s="11">
        <f t="shared" si="45"/>
        <v>9.5138888937071897E-3</v>
      </c>
      <c r="N978" s="11">
        <f t="shared" si="46"/>
        <v>0.91357638888439396</v>
      </c>
      <c r="O978" s="10">
        <v>45684.611678240741</v>
      </c>
      <c r="P978" s="11">
        <f t="shared" si="47"/>
        <v>0.8437268518464407</v>
      </c>
      <c r="Q978" s="12" t="s">
        <v>2746</v>
      </c>
    </row>
    <row r="979" spans="1:17" ht="25.5" x14ac:dyDescent="0.25">
      <c r="A979" s="3" t="s">
        <v>2747</v>
      </c>
      <c r="B979" s="3" t="s">
        <v>407</v>
      </c>
      <c r="C979" s="9">
        <v>15.74</v>
      </c>
      <c r="D979" s="3" t="s">
        <v>500</v>
      </c>
      <c r="E979" s="10">
        <v>45684.644305555557</v>
      </c>
      <c r="F979" s="10">
        <v>45684.648090277777</v>
      </c>
      <c r="G979" s="10">
        <v>45684.650173611109</v>
      </c>
      <c r="H979" s="3" t="s">
        <v>2748</v>
      </c>
      <c r="I979" s="10">
        <v>45685.607731481483</v>
      </c>
      <c r="J979" s="10">
        <v>45685.663553240738</v>
      </c>
      <c r="K979" s="10">
        <v>45685.663553240738</v>
      </c>
      <c r="L979" s="10">
        <v>45685.664814814823</v>
      </c>
      <c r="M979" s="11">
        <f t="shared" si="45"/>
        <v>5.8680555521277711E-3</v>
      </c>
      <c r="N979" s="11">
        <f t="shared" si="46"/>
        <v>1.0146412037138361</v>
      </c>
      <c r="O979" s="10">
        <v>45684.652349537027</v>
      </c>
      <c r="P979" s="11">
        <f t="shared" si="47"/>
        <v>0.95538194445543922</v>
      </c>
      <c r="Q979" s="12" t="s">
        <v>2749</v>
      </c>
    </row>
    <row r="980" spans="1:17" ht="25.5" x14ac:dyDescent="0.25">
      <c r="A980" s="3" t="s">
        <v>2750</v>
      </c>
      <c r="B980" s="3" t="s">
        <v>408</v>
      </c>
      <c r="C980" s="9">
        <v>77.3</v>
      </c>
      <c r="D980" s="3" t="s">
        <v>572</v>
      </c>
      <c r="E980" s="10">
        <v>45684.665312500001</v>
      </c>
      <c r="F980" s="10">
        <v>45684.673078703701</v>
      </c>
      <c r="G980" s="10">
        <v>45684.675254629627</v>
      </c>
      <c r="H980" s="3" t="s">
        <v>2740</v>
      </c>
      <c r="I980" s="10">
        <v>45685.55023148148</v>
      </c>
      <c r="J980" s="10">
        <v>45685.570752314823</v>
      </c>
      <c r="K980" s="10">
        <v>45685.570752314823</v>
      </c>
      <c r="L980" s="10">
        <v>45685.571527777778</v>
      </c>
      <c r="M980" s="11">
        <f t="shared" si="45"/>
        <v>9.9421296254149638E-3</v>
      </c>
      <c r="N980" s="11">
        <f t="shared" si="46"/>
        <v>0.89627314815152204</v>
      </c>
      <c r="O980" s="10">
        <v>45684.678819444453</v>
      </c>
      <c r="P980" s="11">
        <f t="shared" si="47"/>
        <v>0.87141203702776693</v>
      </c>
      <c r="Q980" s="12" t="s">
        <v>2751</v>
      </c>
    </row>
    <row r="981" spans="1:17" ht="25.5" x14ac:dyDescent="0.25">
      <c r="A981" s="3" t="s">
        <v>2752</v>
      </c>
      <c r="B981" s="3" t="s">
        <v>408</v>
      </c>
      <c r="C981" s="9">
        <v>305.8</v>
      </c>
      <c r="D981" s="3" t="s">
        <v>500</v>
      </c>
      <c r="E981" s="10">
        <v>45684.665312500001</v>
      </c>
      <c r="F981" s="10">
        <v>45684.675254629627</v>
      </c>
      <c r="G981" s="10">
        <v>45684.67765046296</v>
      </c>
      <c r="H981" s="3" t="s">
        <v>2748</v>
      </c>
      <c r="I981" s="10">
        <v>45685.607731481483</v>
      </c>
      <c r="J981" s="10">
        <v>45685.663553240738</v>
      </c>
      <c r="K981" s="10">
        <v>45685.663553240738</v>
      </c>
      <c r="L981" s="10">
        <v>45685.664814814823</v>
      </c>
      <c r="M981" s="11">
        <f t="shared" si="45"/>
        <v>1.2337962958554272E-2</v>
      </c>
      <c r="N981" s="11">
        <f t="shared" si="46"/>
        <v>0.98716435186361196</v>
      </c>
      <c r="O981" s="10">
        <v>45684.681550925918</v>
      </c>
      <c r="P981" s="11">
        <f t="shared" si="47"/>
        <v>0.92618055556522449</v>
      </c>
      <c r="Q981" s="12" t="s">
        <v>2753</v>
      </c>
    </row>
    <row r="982" spans="1:17" x14ac:dyDescent="0.25">
      <c r="A982" s="3" t="s">
        <v>2754</v>
      </c>
      <c r="B982" s="3" t="s">
        <v>409</v>
      </c>
      <c r="C982" s="9">
        <v>232.4</v>
      </c>
      <c r="D982" s="3" t="s">
        <v>500</v>
      </c>
      <c r="E982" s="10">
        <v>45684.732314814813</v>
      </c>
      <c r="F982" s="10">
        <v>45684.737847222219</v>
      </c>
      <c r="G982" s="10">
        <v>45684.739733796298</v>
      </c>
      <c r="H982" s="3" t="s">
        <v>2755</v>
      </c>
      <c r="I982" s="10">
        <v>45685.633969907409</v>
      </c>
      <c r="J982" s="10">
        <v>45685.674317129633</v>
      </c>
      <c r="K982" s="10">
        <v>45685.674317129633</v>
      </c>
      <c r="L982" s="10">
        <v>45685.675335648149</v>
      </c>
      <c r="M982" s="11">
        <f t="shared" si="45"/>
        <v>7.4189814840792678E-3</v>
      </c>
      <c r="N982" s="11">
        <f t="shared" si="46"/>
        <v>0.93560185185197042</v>
      </c>
      <c r="O982" s="10">
        <v>45684.742129629631</v>
      </c>
      <c r="P982" s="11">
        <f t="shared" si="47"/>
        <v>0.89184027777810115</v>
      </c>
      <c r="Q982" s="12" t="s">
        <v>2756</v>
      </c>
    </row>
    <row r="983" spans="1:17" x14ac:dyDescent="0.25">
      <c r="A983" s="3" t="s">
        <v>2757</v>
      </c>
      <c r="B983" s="3" t="s">
        <v>410</v>
      </c>
      <c r="C983" s="9">
        <v>310.60000000000002</v>
      </c>
      <c r="D983" s="3" t="s">
        <v>500</v>
      </c>
      <c r="E983" s="10">
        <v>45684.73846064815</v>
      </c>
      <c r="F983" s="10">
        <v>45684.747870370367</v>
      </c>
      <c r="G983" s="10">
        <v>45684.750439814823</v>
      </c>
      <c r="H983" s="3" t="s">
        <v>2716</v>
      </c>
      <c r="I983" s="10">
        <v>45685.653344907398</v>
      </c>
      <c r="J983" s="10">
        <v>45685.707268518519</v>
      </c>
      <c r="K983" s="10">
        <v>45685.707268518519</v>
      </c>
      <c r="L983" s="10">
        <v>45685.708368055559</v>
      </c>
      <c r="M983" s="11">
        <f t="shared" si="45"/>
        <v>1.1979166672972497E-2</v>
      </c>
      <c r="N983" s="11">
        <f t="shared" si="46"/>
        <v>0.95792824073578231</v>
      </c>
      <c r="O983" s="10">
        <v>45684.752835648149</v>
      </c>
      <c r="P983" s="11">
        <f t="shared" si="47"/>
        <v>0.90050925924879266</v>
      </c>
      <c r="Q983" s="12" t="s">
        <v>2758</v>
      </c>
    </row>
    <row r="984" spans="1:17" ht="25.5" x14ac:dyDescent="0.25">
      <c r="A984" s="3" t="s">
        <v>2759</v>
      </c>
      <c r="B984" s="3" t="s">
        <v>410</v>
      </c>
      <c r="C984" s="9">
        <v>84</v>
      </c>
      <c r="D984" s="3" t="s">
        <v>572</v>
      </c>
      <c r="E984" s="10">
        <v>45684.73846064815</v>
      </c>
      <c r="F984" s="10">
        <v>45684.750439814823</v>
      </c>
      <c r="G984" s="10">
        <v>45684.752523148149</v>
      </c>
      <c r="H984" s="3" t="s">
        <v>2690</v>
      </c>
      <c r="I984" s="10">
        <v>45686.133518518523</v>
      </c>
      <c r="J984" s="10">
        <v>45686.152291666673</v>
      </c>
      <c r="K984" s="10">
        <v>45686.152291666673</v>
      </c>
      <c r="L984" s="10">
        <v>45686.153078703697</v>
      </c>
      <c r="M984" s="11">
        <f t="shared" si="45"/>
        <v>1.4062499998544808E-2</v>
      </c>
      <c r="N984" s="11">
        <f t="shared" si="46"/>
        <v>1.4005555555486353</v>
      </c>
      <c r="O984" s="10">
        <v>45684.754918981482</v>
      </c>
      <c r="P984" s="11">
        <f t="shared" si="47"/>
        <v>1.3785995370417368</v>
      </c>
      <c r="Q984" s="12" t="s">
        <v>2760</v>
      </c>
    </row>
    <row r="985" spans="1:17" ht="25.5" x14ac:dyDescent="0.25">
      <c r="A985" s="3" t="s">
        <v>2761</v>
      </c>
      <c r="B985" s="3" t="s">
        <v>410</v>
      </c>
      <c r="C985" s="9">
        <v>51.38</v>
      </c>
      <c r="D985" s="3" t="s">
        <v>500</v>
      </c>
      <c r="E985" s="10">
        <v>45684.73846064815</v>
      </c>
      <c r="F985" s="10">
        <v>45684.752523148149</v>
      </c>
      <c r="G985" s="10">
        <v>45684.753854166673</v>
      </c>
      <c r="H985" s="3" t="s">
        <v>2762</v>
      </c>
      <c r="I985" s="10">
        <v>45685.823125000003</v>
      </c>
      <c r="J985" s="10">
        <v>45685.901018518518</v>
      </c>
      <c r="K985" s="10">
        <v>45685.901018518518</v>
      </c>
      <c r="L985" s="10">
        <v>45685.902488425927</v>
      </c>
      <c r="M985" s="11">
        <f t="shared" si="45"/>
        <v>1.5393518522614613E-2</v>
      </c>
      <c r="N985" s="11">
        <f t="shared" si="46"/>
        <v>1.1486342592543224</v>
      </c>
      <c r="O985" s="10">
        <v>45684.756249999999</v>
      </c>
      <c r="P985" s="11">
        <f t="shared" si="47"/>
        <v>1.0668750000040745</v>
      </c>
      <c r="Q985" s="12" t="s">
        <v>2763</v>
      </c>
    </row>
    <row r="986" spans="1:17" ht="25.5" x14ac:dyDescent="0.25">
      <c r="A986" s="3" t="s">
        <v>2764</v>
      </c>
      <c r="B986" s="3" t="s">
        <v>411</v>
      </c>
      <c r="C986" s="9">
        <v>397.30000000000013</v>
      </c>
      <c r="D986" s="3" t="s">
        <v>500</v>
      </c>
      <c r="E986" s="10">
        <v>45684.876469907409</v>
      </c>
      <c r="F986" s="10">
        <v>45684.883310185192</v>
      </c>
      <c r="G986" s="10">
        <v>45684.885462962957</v>
      </c>
      <c r="H986" s="3" t="s">
        <v>2762</v>
      </c>
      <c r="I986" s="10">
        <v>45685.823125000003</v>
      </c>
      <c r="J986" s="10">
        <v>45685.901018518518</v>
      </c>
      <c r="K986" s="10">
        <v>45685.901018518518</v>
      </c>
      <c r="L986" s="10">
        <v>45685.902488425927</v>
      </c>
      <c r="M986" s="11">
        <f t="shared" si="45"/>
        <v>8.9930555477621965E-3</v>
      </c>
      <c r="N986" s="11">
        <f t="shared" si="46"/>
        <v>1.0170254629701958</v>
      </c>
      <c r="O986" s="10">
        <v>45684.889363425929</v>
      </c>
      <c r="P986" s="11">
        <f t="shared" si="47"/>
        <v>0.93376157407328719</v>
      </c>
      <c r="Q986" s="12" t="s">
        <v>2765</v>
      </c>
    </row>
    <row r="987" spans="1:17" ht="25.5" x14ac:dyDescent="0.25">
      <c r="A987" s="3" t="s">
        <v>2766</v>
      </c>
      <c r="B987" s="3" t="s">
        <v>412</v>
      </c>
      <c r="C987" s="9">
        <v>24.08</v>
      </c>
      <c r="D987" s="3" t="s">
        <v>492</v>
      </c>
      <c r="E987" s="10">
        <v>45685.121550925927</v>
      </c>
      <c r="F987" s="10">
        <v>45685.128530092603</v>
      </c>
      <c r="G987" s="10">
        <v>45685.130497685182</v>
      </c>
      <c r="H987" s="3" t="s">
        <v>2690</v>
      </c>
      <c r="I987" s="10">
        <v>45686.133518518523</v>
      </c>
      <c r="J987" s="10">
        <v>45686.152291666673</v>
      </c>
      <c r="K987" s="10">
        <v>45686.152291666673</v>
      </c>
      <c r="L987" s="10">
        <v>45686.153078703697</v>
      </c>
      <c r="M987" s="11">
        <f t="shared" si="45"/>
        <v>8.9467592551955022E-3</v>
      </c>
      <c r="N987" s="11">
        <f t="shared" si="46"/>
        <v>1.0225810185147566</v>
      </c>
      <c r="O987" s="10">
        <v>45685.134421296287</v>
      </c>
      <c r="P987" s="11">
        <f t="shared" si="47"/>
        <v>0.9990972222367418</v>
      </c>
      <c r="Q987" s="12" t="s">
        <v>2767</v>
      </c>
    </row>
    <row r="988" spans="1:17" x14ac:dyDescent="0.25">
      <c r="A988" s="3" t="s">
        <v>2768</v>
      </c>
      <c r="B988" s="3" t="s">
        <v>412</v>
      </c>
      <c r="C988" s="9">
        <v>101.7</v>
      </c>
      <c r="D988" s="3" t="s">
        <v>488</v>
      </c>
      <c r="E988" s="10">
        <v>45685.121550925927</v>
      </c>
      <c r="F988" s="10">
        <v>45685.130497685182</v>
      </c>
      <c r="G988" s="10">
        <v>45685.131863425922</v>
      </c>
      <c r="H988" s="3" t="s">
        <v>2769</v>
      </c>
      <c r="I988" s="10">
        <v>45685.887349537043</v>
      </c>
      <c r="J988" s="10">
        <v>45685.904999999999</v>
      </c>
      <c r="K988" s="10">
        <v>45685.904999999999</v>
      </c>
      <c r="L988" s="10">
        <v>45685.905706018522</v>
      </c>
      <c r="M988" s="11">
        <f t="shared" si="45"/>
        <v>1.0312499995052349E-2</v>
      </c>
      <c r="N988" s="11">
        <f t="shared" si="46"/>
        <v>0.77384259259997634</v>
      </c>
      <c r="O988" s="10">
        <v>45685.134039351848</v>
      </c>
      <c r="P988" s="11">
        <f t="shared" si="47"/>
        <v>0.75331018519500503</v>
      </c>
      <c r="Q988" s="12" t="s">
        <v>2770</v>
      </c>
    </row>
    <row r="989" spans="1:17" ht="51" x14ac:dyDescent="0.25">
      <c r="A989" s="3" t="s">
        <v>2771</v>
      </c>
      <c r="B989" s="3" t="s">
        <v>412</v>
      </c>
      <c r="C989" s="9">
        <v>19.899999999999999</v>
      </c>
      <c r="D989" s="3" t="s">
        <v>484</v>
      </c>
      <c r="E989" s="10">
        <v>45685.121550925927</v>
      </c>
      <c r="F989" s="10">
        <v>45685.131863425922</v>
      </c>
      <c r="G989" s="10">
        <v>45685.133819444447</v>
      </c>
      <c r="H989" s="3" t="s">
        <v>2772</v>
      </c>
      <c r="I989" s="10">
        <v>45687.348414351851</v>
      </c>
      <c r="J989" s="10">
        <v>45687.36755787037</v>
      </c>
      <c r="K989" s="10">
        <v>45687.36755787037</v>
      </c>
      <c r="L989" s="10">
        <v>45687.368368055562</v>
      </c>
      <c r="M989" s="11">
        <f t="shared" si="45"/>
        <v>1.226851851970423E-2</v>
      </c>
      <c r="N989" s="11">
        <f t="shared" si="46"/>
        <v>2.234548611115315</v>
      </c>
      <c r="O989" s="10">
        <v>45685.136192129627</v>
      </c>
      <c r="P989" s="11">
        <f t="shared" si="47"/>
        <v>2.2122222222242272</v>
      </c>
      <c r="Q989" s="12" t="s">
        <v>2773</v>
      </c>
    </row>
    <row r="990" spans="1:17" x14ac:dyDescent="0.25">
      <c r="A990" s="3" t="s">
        <v>2774</v>
      </c>
      <c r="B990" s="3" t="s">
        <v>413</v>
      </c>
      <c r="C990" s="9">
        <v>297</v>
      </c>
      <c r="D990" s="3" t="s">
        <v>500</v>
      </c>
      <c r="E990" s="10">
        <v>45685.272453703707</v>
      </c>
      <c r="F990" s="10">
        <v>45685.278483796297</v>
      </c>
      <c r="G990" s="10">
        <v>45685.280752314808</v>
      </c>
      <c r="H990" s="3" t="s">
        <v>2707</v>
      </c>
      <c r="I990" s="10">
        <v>45686.189108796287</v>
      </c>
      <c r="J990" s="10">
        <v>45686.240671296298</v>
      </c>
      <c r="K990" s="10">
        <v>45686.240671296298</v>
      </c>
      <c r="L990" s="10">
        <v>45686.241944444453</v>
      </c>
      <c r="M990" s="11">
        <f t="shared" si="45"/>
        <v>8.2986111010541208E-3</v>
      </c>
      <c r="N990" s="11">
        <f t="shared" si="46"/>
        <v>0.96119212964549661</v>
      </c>
      <c r="O990" s="10">
        <v>45685.283113425918</v>
      </c>
      <c r="P990" s="11">
        <f t="shared" si="47"/>
        <v>0.90599537036905531</v>
      </c>
      <c r="Q990" s="12" t="s">
        <v>2775</v>
      </c>
    </row>
    <row r="991" spans="1:17" ht="51" x14ac:dyDescent="0.25">
      <c r="A991" s="3" t="s">
        <v>2776</v>
      </c>
      <c r="B991" s="3" t="s">
        <v>414</v>
      </c>
      <c r="C991" s="9">
        <v>21</v>
      </c>
      <c r="D991" s="3" t="s">
        <v>488</v>
      </c>
      <c r="E991" s="10">
        <v>45685.302199074067</v>
      </c>
      <c r="F991" s="10">
        <v>45685.314733796287</v>
      </c>
      <c r="G991" s="10">
        <v>45685.31591435185</v>
      </c>
      <c r="H991" s="3" t="s">
        <v>2777</v>
      </c>
      <c r="I991" s="10">
        <v>45686.322118055563</v>
      </c>
      <c r="J991" s="10">
        <v>45686.341319444437</v>
      </c>
      <c r="K991" s="10">
        <v>45686.341319444437</v>
      </c>
      <c r="L991" s="10">
        <v>45686.342037037037</v>
      </c>
      <c r="M991" s="11">
        <f t="shared" si="45"/>
        <v>1.3715277782466728E-2</v>
      </c>
      <c r="N991" s="11">
        <f t="shared" si="46"/>
        <v>1.026122685187147</v>
      </c>
      <c r="O991" s="10">
        <v>45685.318287037036</v>
      </c>
      <c r="P991" s="11">
        <f t="shared" si="47"/>
        <v>1.0038310185263981</v>
      </c>
      <c r="Q991" s="12" t="s">
        <v>2778</v>
      </c>
    </row>
    <row r="992" spans="1:17" ht="38.25" x14ac:dyDescent="0.25">
      <c r="A992" s="3" t="s">
        <v>2779</v>
      </c>
      <c r="B992" s="3" t="s">
        <v>414</v>
      </c>
      <c r="C992" s="9">
        <v>27</v>
      </c>
      <c r="D992" s="3" t="s">
        <v>527</v>
      </c>
      <c r="E992" s="10">
        <v>45685.302199074067</v>
      </c>
      <c r="F992" s="10">
        <v>45685.31591435185</v>
      </c>
      <c r="G992" s="10">
        <v>45685.317094907397</v>
      </c>
      <c r="H992" s="3" t="s">
        <v>2777</v>
      </c>
      <c r="I992" s="10">
        <v>45686.322118055563</v>
      </c>
      <c r="J992" s="10">
        <v>45686.341319444437</v>
      </c>
      <c r="K992" s="10">
        <v>45686.341319444437</v>
      </c>
      <c r="L992" s="10">
        <v>45686.342037037037</v>
      </c>
      <c r="M992" s="11">
        <f t="shared" si="45"/>
        <v>1.4895833330228925E-2</v>
      </c>
      <c r="N992" s="11">
        <f t="shared" si="46"/>
        <v>1.0249421296393848</v>
      </c>
      <c r="O992" s="10">
        <v>45685.320671296293</v>
      </c>
      <c r="P992" s="11">
        <f t="shared" si="47"/>
        <v>1.0014467592700385</v>
      </c>
      <c r="Q992" s="12" t="s">
        <v>2780</v>
      </c>
    </row>
    <row r="993" spans="1:17" ht="25.5" x14ac:dyDescent="0.25">
      <c r="A993" s="3" t="s">
        <v>2781</v>
      </c>
      <c r="B993" s="3" t="s">
        <v>414</v>
      </c>
      <c r="C993" s="9">
        <v>56.3</v>
      </c>
      <c r="D993" s="3" t="s">
        <v>519</v>
      </c>
      <c r="E993" s="10">
        <v>45685.302199074067</v>
      </c>
      <c r="F993" s="10">
        <v>45685.317094907397</v>
      </c>
      <c r="G993" s="10">
        <v>45685.318692129629</v>
      </c>
      <c r="H993" s="3" t="s">
        <v>2782</v>
      </c>
      <c r="I993" s="10">
        <v>45686.358263888891</v>
      </c>
      <c r="J993" s="10">
        <v>45686.378969907397</v>
      </c>
      <c r="K993" s="10">
        <v>45686.378969907397</v>
      </c>
      <c r="L993" s="10">
        <v>45686.379791666674</v>
      </c>
      <c r="M993" s="11">
        <f t="shared" si="45"/>
        <v>1.6493055562023073E-2</v>
      </c>
      <c r="N993" s="11">
        <f t="shared" si="46"/>
        <v>1.0610995370443561</v>
      </c>
      <c r="O993" s="10">
        <v>45685.321053240739</v>
      </c>
      <c r="P993" s="11">
        <f t="shared" si="47"/>
        <v>1.0372106481518131</v>
      </c>
      <c r="Q993" s="12" t="s">
        <v>2783</v>
      </c>
    </row>
    <row r="994" spans="1:17" ht="51" x14ac:dyDescent="0.25">
      <c r="A994" s="3" t="s">
        <v>2784</v>
      </c>
      <c r="B994" s="3" t="s">
        <v>414</v>
      </c>
      <c r="C994" s="9">
        <v>14</v>
      </c>
      <c r="D994" s="3" t="s">
        <v>595</v>
      </c>
      <c r="E994" s="10">
        <v>45685.302199074067</v>
      </c>
      <c r="F994" s="10">
        <v>45685.318692129629</v>
      </c>
      <c r="G994" s="10">
        <v>45685.319965277777</v>
      </c>
      <c r="H994" s="3" t="s">
        <v>2785</v>
      </c>
      <c r="I994" s="10">
        <v>45688.30097222222</v>
      </c>
      <c r="J994" s="10">
        <v>45688.325277777767</v>
      </c>
      <c r="K994" s="10">
        <v>45688.325277777767</v>
      </c>
      <c r="L994" s="10">
        <v>45688.326157407413</v>
      </c>
      <c r="M994" s="11">
        <f t="shared" si="45"/>
        <v>1.7766203709470574E-2</v>
      </c>
      <c r="N994" s="11">
        <f t="shared" si="46"/>
        <v>3.0061921296364744</v>
      </c>
      <c r="O994" s="10">
        <v>45685.32234953704</v>
      </c>
      <c r="P994" s="11">
        <f t="shared" si="47"/>
        <v>2.978622685179289</v>
      </c>
      <c r="Q994" s="12" t="s">
        <v>2786</v>
      </c>
    </row>
    <row r="995" spans="1:17" ht="25.5" x14ac:dyDescent="0.25">
      <c r="A995" s="3" t="s">
        <v>2787</v>
      </c>
      <c r="B995" s="3" t="s">
        <v>414</v>
      </c>
      <c r="C995" s="9">
        <v>101.2</v>
      </c>
      <c r="D995" s="3" t="s">
        <v>506</v>
      </c>
      <c r="E995" s="10">
        <v>45685.302199074067</v>
      </c>
      <c r="F995" s="10">
        <v>45685.319965277777</v>
      </c>
      <c r="G995" s="10">
        <v>45685.322083333333</v>
      </c>
      <c r="H995" s="3" t="s">
        <v>2788</v>
      </c>
      <c r="I995" s="10">
        <v>45686.272326388891</v>
      </c>
      <c r="J995" s="10">
        <v>45686.292326388888</v>
      </c>
      <c r="K995" s="10">
        <v>45686.292326388888</v>
      </c>
      <c r="L995" s="10">
        <v>45686.292974537027</v>
      </c>
      <c r="M995" s="11">
        <f t="shared" si="45"/>
        <v>1.9884259265381843E-2</v>
      </c>
      <c r="N995" s="11">
        <f t="shared" si="46"/>
        <v>0.97089120369491866</v>
      </c>
      <c r="O995" s="10">
        <v>45685.324479166673</v>
      </c>
      <c r="P995" s="11">
        <f t="shared" si="47"/>
        <v>0.94784722221811535</v>
      </c>
      <c r="Q995" s="12" t="s">
        <v>2789</v>
      </c>
    </row>
    <row r="996" spans="1:17" x14ac:dyDescent="0.25">
      <c r="A996" s="3" t="s">
        <v>2790</v>
      </c>
      <c r="B996" s="3" t="s">
        <v>414</v>
      </c>
      <c r="C996" s="9">
        <v>66.38</v>
      </c>
      <c r="D996" s="3" t="s">
        <v>515</v>
      </c>
      <c r="E996" s="10">
        <v>45685.302199074067</v>
      </c>
      <c r="F996" s="10"/>
      <c r="G996" s="10"/>
      <c r="H996" s="3"/>
      <c r="I996" s="10"/>
      <c r="J996" s="10"/>
      <c r="K996" s="10"/>
      <c r="L996" s="10"/>
      <c r="M996" s="11" t="str">
        <f t="shared" si="45"/>
        <v/>
      </c>
      <c r="N996" s="11" t="str">
        <f t="shared" si="46"/>
        <v/>
      </c>
      <c r="O996" s="10"/>
      <c r="P996" s="11" t="str">
        <f t="shared" si="47"/>
        <v/>
      </c>
      <c r="Q996" s="12"/>
    </row>
    <row r="997" spans="1:17" ht="25.5" x14ac:dyDescent="0.25">
      <c r="A997" s="3" t="s">
        <v>2791</v>
      </c>
      <c r="B997" s="3" t="s">
        <v>414</v>
      </c>
      <c r="C997" s="9">
        <v>14</v>
      </c>
      <c r="D997" s="3" t="s">
        <v>523</v>
      </c>
      <c r="E997" s="10">
        <v>45685.302199074067</v>
      </c>
      <c r="F997" s="10">
        <v>45685.322083333333</v>
      </c>
      <c r="G997" s="10">
        <v>45685.323993055557</v>
      </c>
      <c r="H997" s="3" t="s">
        <v>2788</v>
      </c>
      <c r="I997" s="10">
        <v>45686.272326388891</v>
      </c>
      <c r="J997" s="10">
        <v>45686.292326388888</v>
      </c>
      <c r="K997" s="10">
        <v>45686.292326388888</v>
      </c>
      <c r="L997" s="10">
        <v>45686.292974537027</v>
      </c>
      <c r="M997" s="11">
        <f t="shared" si="45"/>
        <v>2.1793981490191072E-2</v>
      </c>
      <c r="N997" s="11">
        <f t="shared" si="46"/>
        <v>0.96898148147010943</v>
      </c>
      <c r="O997" s="10">
        <v>45685.327893518523</v>
      </c>
      <c r="P997" s="11">
        <f t="shared" si="47"/>
        <v>0.94443287036847323</v>
      </c>
      <c r="Q997" s="12" t="s">
        <v>2792</v>
      </c>
    </row>
    <row r="998" spans="1:17" x14ac:dyDescent="0.25">
      <c r="A998" s="3" t="s">
        <v>2793</v>
      </c>
      <c r="B998" s="3" t="s">
        <v>415</v>
      </c>
      <c r="C998" s="9">
        <v>157.47999999999999</v>
      </c>
      <c r="D998" s="3" t="s">
        <v>500</v>
      </c>
      <c r="E998" s="10">
        <v>45685.315057870372</v>
      </c>
      <c r="F998" s="10"/>
      <c r="G998" s="10"/>
      <c r="H998" s="3"/>
      <c r="I998" s="10"/>
      <c r="J998" s="10"/>
      <c r="K998" s="10"/>
      <c r="L998" s="10"/>
      <c r="M998" s="11" t="str">
        <f t="shared" si="45"/>
        <v/>
      </c>
      <c r="N998" s="11" t="str">
        <f t="shared" si="46"/>
        <v/>
      </c>
      <c r="O998" s="10"/>
      <c r="P998" s="11" t="str">
        <f t="shared" si="47"/>
        <v/>
      </c>
      <c r="Q998" s="12"/>
    </row>
    <row r="999" spans="1:17" x14ac:dyDescent="0.25">
      <c r="A999" s="3" t="s">
        <v>2794</v>
      </c>
      <c r="B999" s="3" t="s">
        <v>416</v>
      </c>
      <c r="C999" s="9">
        <v>398.04000000000008</v>
      </c>
      <c r="D999" s="3" t="s">
        <v>500</v>
      </c>
      <c r="E999" s="10">
        <v>45685.322592592587</v>
      </c>
      <c r="F999" s="10"/>
      <c r="G999" s="10"/>
      <c r="H999" s="3"/>
      <c r="I999" s="10"/>
      <c r="J999" s="10"/>
      <c r="K999" s="10"/>
      <c r="L999" s="10"/>
      <c r="M999" s="11" t="str">
        <f t="shared" si="45"/>
        <v/>
      </c>
      <c r="N999" s="11" t="str">
        <f t="shared" si="46"/>
        <v/>
      </c>
      <c r="O999" s="10"/>
      <c r="P999" s="11" t="str">
        <f t="shared" si="47"/>
        <v/>
      </c>
      <c r="Q999" s="12"/>
    </row>
    <row r="1000" spans="1:17" ht="38.25" x14ac:dyDescent="0.25">
      <c r="A1000" s="3" t="s">
        <v>2795</v>
      </c>
      <c r="B1000" s="3" t="s">
        <v>417</v>
      </c>
      <c r="C1000" s="9">
        <v>54</v>
      </c>
      <c r="D1000" s="3" t="s">
        <v>527</v>
      </c>
      <c r="E1000" s="10">
        <v>45685.367395833331</v>
      </c>
      <c r="F1000" s="10">
        <v>45685.392592592587</v>
      </c>
      <c r="G1000" s="10">
        <v>45685.393807870372</v>
      </c>
      <c r="H1000" s="3" t="s">
        <v>2777</v>
      </c>
      <c r="I1000" s="10">
        <v>45686.322118055563</v>
      </c>
      <c r="J1000" s="10">
        <v>45686.341319444437</v>
      </c>
      <c r="K1000" s="10">
        <v>45686.341319444437</v>
      </c>
      <c r="L1000" s="10">
        <v>45686.342037037037</v>
      </c>
      <c r="M1000" s="11">
        <f t="shared" si="45"/>
        <v>2.641203704115469E-2</v>
      </c>
      <c r="N1000" s="11">
        <f t="shared" si="46"/>
        <v>0.94822916666453239</v>
      </c>
      <c r="O1000" s="10">
        <v>45685.396168981482</v>
      </c>
      <c r="P1000" s="11">
        <f t="shared" si="47"/>
        <v>0.92594907408056315</v>
      </c>
      <c r="Q1000" s="12" t="s">
        <v>2796</v>
      </c>
    </row>
    <row r="1001" spans="1:17" ht="25.5" x14ac:dyDescent="0.25">
      <c r="A1001" s="3" t="s">
        <v>2797</v>
      </c>
      <c r="B1001" s="3" t="s">
        <v>417</v>
      </c>
      <c r="C1001" s="9">
        <v>15.74</v>
      </c>
      <c r="D1001" s="3" t="s">
        <v>496</v>
      </c>
      <c r="E1001" s="10">
        <v>45685.367395833331</v>
      </c>
      <c r="F1001" s="10">
        <v>45685.393807870372</v>
      </c>
      <c r="G1001" s="10">
        <v>45685.395694444444</v>
      </c>
      <c r="H1001" s="3" t="s">
        <v>2798</v>
      </c>
      <c r="I1001" s="10">
        <v>45686.409085648149</v>
      </c>
      <c r="J1001" s="10">
        <v>45686.442870370367</v>
      </c>
      <c r="K1001" s="10">
        <v>45686.442870370367</v>
      </c>
      <c r="L1001" s="10">
        <v>45686.443715277783</v>
      </c>
      <c r="M1001" s="11">
        <f t="shared" si="45"/>
        <v>2.8298611112404615E-2</v>
      </c>
      <c r="N1001" s="11">
        <f t="shared" si="46"/>
        <v>1.0480208333392511</v>
      </c>
      <c r="O1001" s="10">
        <v>45685.399618055562</v>
      </c>
      <c r="P1001" s="11">
        <f t="shared" si="47"/>
        <v>1.0094675925865886</v>
      </c>
      <c r="Q1001" s="12" t="s">
        <v>2799</v>
      </c>
    </row>
    <row r="1002" spans="1:17" ht="38.25" x14ac:dyDescent="0.25">
      <c r="A1002" s="3" t="s">
        <v>2800</v>
      </c>
      <c r="B1002" s="3" t="s">
        <v>417</v>
      </c>
      <c r="C1002" s="9">
        <v>15.74</v>
      </c>
      <c r="D1002" s="3" t="s">
        <v>515</v>
      </c>
      <c r="E1002" s="10">
        <v>45685.367395833331</v>
      </c>
      <c r="F1002" s="10">
        <v>45685.395694444444</v>
      </c>
      <c r="G1002" s="10">
        <v>45685.396828703713</v>
      </c>
      <c r="H1002" s="3" t="s">
        <v>2777</v>
      </c>
      <c r="I1002" s="10">
        <v>45686.322118055563</v>
      </c>
      <c r="J1002" s="10">
        <v>45686.341319444437</v>
      </c>
      <c r="K1002" s="10">
        <v>45686.341319444437</v>
      </c>
      <c r="L1002" s="10">
        <v>45686.342037037037</v>
      </c>
      <c r="M1002" s="11">
        <f t="shared" si="45"/>
        <v>2.9432870382152032E-2</v>
      </c>
      <c r="N1002" s="11">
        <f t="shared" si="46"/>
        <v>0.94520833332353504</v>
      </c>
      <c r="O1002" s="10">
        <v>45685.400381944448</v>
      </c>
      <c r="P1002" s="11">
        <f t="shared" si="47"/>
        <v>0.92173611111502396</v>
      </c>
      <c r="Q1002" s="12" t="s">
        <v>2801</v>
      </c>
    </row>
    <row r="1003" spans="1:17" ht="25.5" x14ac:dyDescent="0.25">
      <c r="A1003" s="3" t="s">
        <v>2802</v>
      </c>
      <c r="B1003" s="3" t="s">
        <v>417</v>
      </c>
      <c r="C1003" s="9">
        <v>15.74</v>
      </c>
      <c r="D1003" s="3" t="s">
        <v>1033</v>
      </c>
      <c r="E1003" s="10">
        <v>45685.367395833331</v>
      </c>
      <c r="F1003" s="10">
        <v>45685.396828703713</v>
      </c>
      <c r="G1003" s="10">
        <v>45685.39875</v>
      </c>
      <c r="H1003" s="3" t="s">
        <v>2803</v>
      </c>
      <c r="I1003" s="10">
        <v>45687.299085648148</v>
      </c>
      <c r="J1003" s="10">
        <v>45687.368055555547</v>
      </c>
      <c r="K1003" s="10">
        <v>45687.368368055562</v>
      </c>
      <c r="L1003" s="10">
        <v>45687.369826388887</v>
      </c>
      <c r="M1003" s="11">
        <f t="shared" si="45"/>
        <v>3.1354166669188999E-2</v>
      </c>
      <c r="N1003" s="11">
        <f t="shared" si="46"/>
        <v>1.9710763888870133</v>
      </c>
      <c r="O1003" s="10">
        <v>45685.40111111111</v>
      </c>
      <c r="P1003" s="11">
        <f t="shared" si="47"/>
        <v>1.8979745370379533</v>
      </c>
      <c r="Q1003" s="12" t="s">
        <v>2804</v>
      </c>
    </row>
    <row r="1004" spans="1:17" ht="38.25" x14ac:dyDescent="0.25">
      <c r="A1004" s="3" t="s">
        <v>2805</v>
      </c>
      <c r="B1004" s="3" t="s">
        <v>417</v>
      </c>
      <c r="C1004" s="9">
        <v>28</v>
      </c>
      <c r="D1004" s="3" t="s">
        <v>595</v>
      </c>
      <c r="E1004" s="10">
        <v>45685.367395833331</v>
      </c>
      <c r="F1004" s="10">
        <v>45685.39875</v>
      </c>
      <c r="G1004" s="10">
        <v>45685.400034722217</v>
      </c>
      <c r="H1004" s="3" t="s">
        <v>2785</v>
      </c>
      <c r="I1004" s="10">
        <v>45688.30097222222</v>
      </c>
      <c r="J1004" s="10">
        <v>45688.325277777767</v>
      </c>
      <c r="K1004" s="10">
        <v>45688.325277777767</v>
      </c>
      <c r="L1004" s="10">
        <v>45688.326157407413</v>
      </c>
      <c r="M1004" s="11">
        <f t="shared" si="45"/>
        <v>3.2638888886140194E-2</v>
      </c>
      <c r="N1004" s="11">
        <f t="shared" si="46"/>
        <v>2.9261226851958781</v>
      </c>
      <c r="O1004" s="10">
        <v>45685.403935185182</v>
      </c>
      <c r="P1004" s="11">
        <f t="shared" si="47"/>
        <v>2.8970370370370802</v>
      </c>
      <c r="Q1004" s="12" t="s">
        <v>2806</v>
      </c>
    </row>
    <row r="1005" spans="1:17" ht="51" x14ac:dyDescent="0.25">
      <c r="A1005" s="3" t="s">
        <v>2807</v>
      </c>
      <c r="B1005" s="3" t="s">
        <v>417</v>
      </c>
      <c r="C1005" s="9">
        <v>19.899999999999999</v>
      </c>
      <c r="D1005" s="3" t="s">
        <v>484</v>
      </c>
      <c r="E1005" s="10">
        <v>45685.367395833331</v>
      </c>
      <c r="F1005" s="10">
        <v>45685.400034722217</v>
      </c>
      <c r="G1005" s="10">
        <v>45685.401967592603</v>
      </c>
      <c r="H1005" s="3" t="s">
        <v>2772</v>
      </c>
      <c r="I1005" s="10">
        <v>45687.348414351851</v>
      </c>
      <c r="J1005" s="10">
        <v>45687.36755787037</v>
      </c>
      <c r="K1005" s="10">
        <v>45687.36755787037</v>
      </c>
      <c r="L1005" s="10">
        <v>45687.368368055562</v>
      </c>
      <c r="M1005" s="11">
        <f t="shared" si="45"/>
        <v>3.4571759271784686E-2</v>
      </c>
      <c r="N1005" s="11">
        <f t="shared" si="46"/>
        <v>1.9664004629594274</v>
      </c>
      <c r="O1005" s="10">
        <v>45685.405856481477</v>
      </c>
      <c r="P1005" s="11">
        <f t="shared" si="47"/>
        <v>1.942557870374003</v>
      </c>
      <c r="Q1005" s="12" t="s">
        <v>2808</v>
      </c>
    </row>
    <row r="1006" spans="1:17" ht="25.5" x14ac:dyDescent="0.25">
      <c r="A1006" s="3" t="s">
        <v>2809</v>
      </c>
      <c r="B1006" s="3" t="s">
        <v>417</v>
      </c>
      <c r="C1006" s="9">
        <v>61.22</v>
      </c>
      <c r="D1006" s="3" t="s">
        <v>523</v>
      </c>
      <c r="E1006" s="10">
        <v>45685.367395833331</v>
      </c>
      <c r="F1006" s="10">
        <v>45685.401967592603</v>
      </c>
      <c r="G1006" s="10">
        <v>45685.403958333343</v>
      </c>
      <c r="H1006" s="3" t="s">
        <v>2810</v>
      </c>
      <c r="I1006" s="10">
        <v>45686.656863425917</v>
      </c>
      <c r="J1006" s="10">
        <v>45686.678206018521</v>
      </c>
      <c r="K1006" s="10">
        <v>45686.678206018521</v>
      </c>
      <c r="L1006" s="10">
        <v>45686.678865740738</v>
      </c>
      <c r="M1006" s="11">
        <f t="shared" si="45"/>
        <v>3.6562500012223609E-2</v>
      </c>
      <c r="N1006" s="11">
        <f t="shared" si="46"/>
        <v>1.2749074073944939</v>
      </c>
      <c r="O1006" s="10">
        <v>45685.406122685177</v>
      </c>
      <c r="P1006" s="11">
        <f t="shared" si="47"/>
        <v>1.2507407407392748</v>
      </c>
      <c r="Q1006" s="12" t="s">
        <v>2811</v>
      </c>
    </row>
    <row r="1007" spans="1:17" ht="25.5" x14ac:dyDescent="0.25">
      <c r="A1007" s="3" t="s">
        <v>2812</v>
      </c>
      <c r="B1007" s="3" t="s">
        <v>417</v>
      </c>
      <c r="C1007" s="9">
        <v>21</v>
      </c>
      <c r="D1007" s="3" t="s">
        <v>488</v>
      </c>
      <c r="E1007" s="10">
        <v>45685.367395833331</v>
      </c>
      <c r="F1007" s="10">
        <v>45685.403958333343</v>
      </c>
      <c r="G1007" s="10">
        <v>45685.405104166668</v>
      </c>
      <c r="H1007" s="3" t="s">
        <v>2777</v>
      </c>
      <c r="I1007" s="10">
        <v>45686.322118055563</v>
      </c>
      <c r="J1007" s="10">
        <v>45686.341319444437</v>
      </c>
      <c r="K1007" s="10">
        <v>45686.341319444437</v>
      </c>
      <c r="L1007" s="10">
        <v>45686.342037037037</v>
      </c>
      <c r="M1007" s="11">
        <f t="shared" si="45"/>
        <v>3.7708333336922806E-2</v>
      </c>
      <c r="N1007" s="11">
        <f t="shared" si="46"/>
        <v>0.93693287036876427</v>
      </c>
      <c r="O1007" s="10">
        <v>45685.409004629633</v>
      </c>
      <c r="P1007" s="11">
        <f t="shared" si="47"/>
        <v>0.91311342592962319</v>
      </c>
      <c r="Q1007" s="12" t="s">
        <v>2813</v>
      </c>
    </row>
    <row r="1008" spans="1:17" ht="25.5" x14ac:dyDescent="0.25">
      <c r="A1008" s="3" t="s">
        <v>2814</v>
      </c>
      <c r="B1008" s="3" t="s">
        <v>417</v>
      </c>
      <c r="C1008" s="9">
        <v>12.04</v>
      </c>
      <c r="D1008" s="3" t="s">
        <v>492</v>
      </c>
      <c r="E1008" s="10">
        <v>45685.367395833331</v>
      </c>
      <c r="F1008" s="10">
        <v>45685.405104166668</v>
      </c>
      <c r="G1008" s="10">
        <v>45685.40697916667</v>
      </c>
      <c r="H1008" s="3" t="s">
        <v>2810</v>
      </c>
      <c r="I1008" s="10">
        <v>45686.656863425917</v>
      </c>
      <c r="J1008" s="10">
        <v>45686.678206018521</v>
      </c>
      <c r="K1008" s="10">
        <v>45686.678206018521</v>
      </c>
      <c r="L1008" s="10">
        <v>45686.678865740738</v>
      </c>
      <c r="M1008" s="11">
        <f t="shared" si="45"/>
        <v>3.9583333338669036E-2</v>
      </c>
      <c r="N1008" s="11">
        <f t="shared" si="46"/>
        <v>1.2718865740680485</v>
      </c>
      <c r="O1008" s="10">
        <v>45685.410532407397</v>
      </c>
      <c r="P1008" s="11">
        <f t="shared" si="47"/>
        <v>1.2463310185194132</v>
      </c>
      <c r="Q1008" s="12" t="s">
        <v>2815</v>
      </c>
    </row>
    <row r="1009" spans="1:17" x14ac:dyDescent="0.25">
      <c r="A1009" s="3" t="s">
        <v>2816</v>
      </c>
      <c r="B1009" s="3" t="s">
        <v>417</v>
      </c>
      <c r="C1009" s="9">
        <v>218.14</v>
      </c>
      <c r="D1009" s="3" t="s">
        <v>506</v>
      </c>
      <c r="E1009" s="10">
        <v>45685.367395833331</v>
      </c>
      <c r="F1009" s="10"/>
      <c r="G1009" s="10"/>
      <c r="H1009" s="3"/>
      <c r="I1009" s="10"/>
      <c r="J1009" s="10"/>
      <c r="K1009" s="10"/>
      <c r="L1009" s="10"/>
      <c r="M1009" s="11" t="str">
        <f t="shared" si="45"/>
        <v/>
      </c>
      <c r="N1009" s="11" t="str">
        <f t="shared" si="46"/>
        <v/>
      </c>
      <c r="O1009" s="10"/>
      <c r="P1009" s="11" t="str">
        <f t="shared" si="47"/>
        <v/>
      </c>
      <c r="Q1009" s="12"/>
    </row>
    <row r="1010" spans="1:17" ht="25.5" x14ac:dyDescent="0.25">
      <c r="A1010" s="3" t="s">
        <v>2817</v>
      </c>
      <c r="B1010" s="3" t="s">
        <v>417</v>
      </c>
      <c r="C1010" s="9">
        <v>19.899999999999999</v>
      </c>
      <c r="D1010" s="3" t="s">
        <v>515</v>
      </c>
      <c r="E1010" s="10">
        <v>45685.367395833331</v>
      </c>
      <c r="F1010" s="10">
        <v>45685.40697916667</v>
      </c>
      <c r="G1010" s="10">
        <v>45685.408125000002</v>
      </c>
      <c r="H1010" s="3" t="s">
        <v>2777</v>
      </c>
      <c r="I1010" s="10">
        <v>45686.322118055563</v>
      </c>
      <c r="J1010" s="10">
        <v>45686.341319444437</v>
      </c>
      <c r="K1010" s="10">
        <v>45686.341319444437</v>
      </c>
      <c r="L1010" s="10">
        <v>45686.342037037037</v>
      </c>
      <c r="M1010" s="11">
        <f t="shared" si="45"/>
        <v>4.072916667064419E-2</v>
      </c>
      <c r="N1010" s="11">
        <f t="shared" si="46"/>
        <v>0.93391203703504289</v>
      </c>
      <c r="O1010" s="10">
        <v>45685.41201388889</v>
      </c>
      <c r="P1010" s="11">
        <f t="shared" si="47"/>
        <v>0.91010416667268146</v>
      </c>
      <c r="Q1010" s="12" t="s">
        <v>2818</v>
      </c>
    </row>
    <row r="1011" spans="1:17" ht="38.25" x14ac:dyDescent="0.25">
      <c r="A1011" s="3" t="s">
        <v>2819</v>
      </c>
      <c r="B1011" s="3" t="s">
        <v>417</v>
      </c>
      <c r="C1011" s="9">
        <v>19.899999999999999</v>
      </c>
      <c r="D1011" s="3" t="s">
        <v>484</v>
      </c>
      <c r="E1011" s="10">
        <v>45685.367395833331</v>
      </c>
      <c r="F1011" s="10">
        <v>45685.408125000002</v>
      </c>
      <c r="G1011" s="10">
        <v>45685.410057870373</v>
      </c>
      <c r="H1011" s="3" t="s">
        <v>2772</v>
      </c>
      <c r="I1011" s="10">
        <v>45687.348414351851</v>
      </c>
      <c r="J1011" s="10">
        <v>45687.36755787037</v>
      </c>
      <c r="K1011" s="10">
        <v>45687.36755787037</v>
      </c>
      <c r="L1011" s="10">
        <v>45687.368368055562</v>
      </c>
      <c r="M1011" s="11">
        <f t="shared" si="45"/>
        <v>4.2662037041736767E-2</v>
      </c>
      <c r="N1011" s="11">
        <f t="shared" si="46"/>
        <v>1.9583101851894753</v>
      </c>
      <c r="O1011" s="10">
        <v>45685.413958333331</v>
      </c>
      <c r="P1011" s="11">
        <f t="shared" si="47"/>
        <v>1.9344560185199953</v>
      </c>
      <c r="Q1011" s="12" t="s">
        <v>2820</v>
      </c>
    </row>
    <row r="1012" spans="1:17" x14ac:dyDescent="0.25">
      <c r="A1012" s="3" t="s">
        <v>2821</v>
      </c>
      <c r="B1012" s="3" t="s">
        <v>417</v>
      </c>
      <c r="C1012" s="9">
        <v>19.899999999999999</v>
      </c>
      <c r="D1012" s="3" t="s">
        <v>563</v>
      </c>
      <c r="E1012" s="10">
        <v>45685.367395833331</v>
      </c>
      <c r="F1012" s="10"/>
      <c r="G1012" s="10"/>
      <c r="H1012" s="3"/>
      <c r="I1012" s="10"/>
      <c r="J1012" s="10"/>
      <c r="K1012" s="10"/>
      <c r="L1012" s="10"/>
      <c r="M1012" s="11" t="str">
        <f t="shared" si="45"/>
        <v/>
      </c>
      <c r="N1012" s="11" t="str">
        <f t="shared" si="46"/>
        <v/>
      </c>
      <c r="O1012" s="10"/>
      <c r="P1012" s="11" t="str">
        <f t="shared" si="47"/>
        <v/>
      </c>
      <c r="Q1012" s="12"/>
    </row>
    <row r="1013" spans="1:17" ht="25.5" x14ac:dyDescent="0.25">
      <c r="A1013" s="3" t="s">
        <v>2822</v>
      </c>
      <c r="B1013" s="3" t="s">
        <v>417</v>
      </c>
      <c r="C1013" s="9">
        <v>63</v>
      </c>
      <c r="D1013" s="3" t="s">
        <v>519</v>
      </c>
      <c r="E1013" s="10">
        <v>45685.367395833331</v>
      </c>
      <c r="F1013" s="10">
        <v>45685.410057870373</v>
      </c>
      <c r="G1013" s="10">
        <v>45685.411631944437</v>
      </c>
      <c r="H1013" s="3" t="s">
        <v>2782</v>
      </c>
      <c r="I1013" s="10">
        <v>45686.358263888891</v>
      </c>
      <c r="J1013" s="10">
        <v>45686.378969907397</v>
      </c>
      <c r="K1013" s="10">
        <v>45686.378969907397</v>
      </c>
      <c r="L1013" s="10">
        <v>45686.379791666674</v>
      </c>
      <c r="M1013" s="11">
        <f t="shared" si="45"/>
        <v>4.4236111105419695E-2</v>
      </c>
      <c r="N1013" s="11">
        <f t="shared" si="46"/>
        <v>0.96815972223703284</v>
      </c>
      <c r="O1013" s="10">
        <v>45685.415185185193</v>
      </c>
      <c r="P1013" s="11">
        <f t="shared" si="47"/>
        <v>0.94307870369812008</v>
      </c>
      <c r="Q1013" s="12" t="s">
        <v>2823</v>
      </c>
    </row>
    <row r="1014" spans="1:17" ht="25.5" x14ac:dyDescent="0.25">
      <c r="A1014" s="3" t="s">
        <v>2824</v>
      </c>
      <c r="B1014" s="3" t="s">
        <v>418</v>
      </c>
      <c r="C1014" s="9">
        <v>73.900000000000006</v>
      </c>
      <c r="D1014" s="3" t="s">
        <v>500</v>
      </c>
      <c r="E1014" s="10">
        <v>45685.380879629629</v>
      </c>
      <c r="F1014" s="10">
        <v>45685.387395833342</v>
      </c>
      <c r="G1014" s="10">
        <v>45685.389444444438</v>
      </c>
      <c r="H1014" s="3" t="s">
        <v>2798</v>
      </c>
      <c r="I1014" s="10">
        <v>45686.409085648149</v>
      </c>
      <c r="J1014" s="10">
        <v>45686.442870370367</v>
      </c>
      <c r="K1014" s="10">
        <v>45686.442870370367</v>
      </c>
      <c r="L1014" s="10">
        <v>45686.443715277783</v>
      </c>
      <c r="M1014" s="11">
        <f t="shared" si="45"/>
        <v>8.5648148087784648E-3</v>
      </c>
      <c r="N1014" s="11">
        <f t="shared" si="46"/>
        <v>1.0542708333450719</v>
      </c>
      <c r="O1014" s="10">
        <v>45685.391817129632</v>
      </c>
      <c r="P1014" s="11">
        <f t="shared" si="47"/>
        <v>1.0172685185170849</v>
      </c>
      <c r="Q1014" s="12" t="s">
        <v>2825</v>
      </c>
    </row>
    <row r="1015" spans="1:17" x14ac:dyDescent="0.25">
      <c r="A1015" s="3" t="s">
        <v>2826</v>
      </c>
      <c r="B1015" s="3" t="s">
        <v>418</v>
      </c>
      <c r="C1015" s="9">
        <v>148.9</v>
      </c>
      <c r="D1015" s="3" t="s">
        <v>572</v>
      </c>
      <c r="E1015" s="10">
        <v>45685.380879629629</v>
      </c>
      <c r="F1015" s="10">
        <v>45685.389444444438</v>
      </c>
      <c r="G1015" s="10">
        <v>45685.391712962963</v>
      </c>
      <c r="H1015" s="3" t="s">
        <v>2827</v>
      </c>
      <c r="I1015" s="10">
        <v>45686.316840277781</v>
      </c>
      <c r="J1015" s="10">
        <v>45686.342685185176</v>
      </c>
      <c r="K1015" s="10">
        <v>45686.342685185176</v>
      </c>
      <c r="L1015" s="10">
        <v>45686.343576388892</v>
      </c>
      <c r="M1015" s="11">
        <f t="shared" si="45"/>
        <v>1.0833333333721384E-2</v>
      </c>
      <c r="N1015" s="11">
        <f t="shared" si="46"/>
        <v>0.95186342592933215</v>
      </c>
      <c r="O1015" s="10">
        <v>45685.394108796303</v>
      </c>
      <c r="P1015" s="11">
        <f t="shared" si="47"/>
        <v>0.92273148147796746</v>
      </c>
      <c r="Q1015" s="12" t="s">
        <v>2828</v>
      </c>
    </row>
    <row r="1016" spans="1:17" ht="25.5" x14ac:dyDescent="0.25">
      <c r="A1016" s="3" t="s">
        <v>2829</v>
      </c>
      <c r="B1016" s="3" t="s">
        <v>419</v>
      </c>
      <c r="C1016" s="9">
        <v>105</v>
      </c>
      <c r="D1016" s="3" t="s">
        <v>500</v>
      </c>
      <c r="E1016" s="10">
        <v>45685.439513888887</v>
      </c>
      <c r="F1016" s="10">
        <v>45685.447581018518</v>
      </c>
      <c r="G1016" s="10">
        <v>45685.449699074074</v>
      </c>
      <c r="H1016" s="3" t="s">
        <v>2798</v>
      </c>
      <c r="I1016" s="10">
        <v>45686.409085648149</v>
      </c>
      <c r="J1016" s="10">
        <v>45686.442870370367</v>
      </c>
      <c r="K1016" s="10">
        <v>45686.442870370367</v>
      </c>
      <c r="L1016" s="10">
        <v>45686.443715277783</v>
      </c>
      <c r="M1016" s="11">
        <f t="shared" si="45"/>
        <v>1.0185185186855961E-2</v>
      </c>
      <c r="N1016" s="11">
        <f t="shared" si="46"/>
        <v>0.99401620370917954</v>
      </c>
      <c r="O1016" s="10">
        <v>45685.453252314823</v>
      </c>
      <c r="P1016" s="11">
        <f t="shared" si="47"/>
        <v>0.95583333332615439</v>
      </c>
      <c r="Q1016" s="12" t="s">
        <v>2830</v>
      </c>
    </row>
    <row r="1017" spans="1:17" ht="25.5" x14ac:dyDescent="0.25">
      <c r="A1017" s="3" t="s">
        <v>2831</v>
      </c>
      <c r="B1017" s="3" t="s">
        <v>419</v>
      </c>
      <c r="C1017" s="9">
        <v>21</v>
      </c>
      <c r="D1017" s="3" t="s">
        <v>572</v>
      </c>
      <c r="E1017" s="10">
        <v>45685.439513888887</v>
      </c>
      <c r="F1017" s="10">
        <v>45685.449699074074</v>
      </c>
      <c r="G1017" s="10">
        <v>45685.451666666668</v>
      </c>
      <c r="H1017" s="3" t="s">
        <v>2803</v>
      </c>
      <c r="I1017" s="10">
        <v>45687.299085648148</v>
      </c>
      <c r="J1017" s="10">
        <v>45687.368055555547</v>
      </c>
      <c r="K1017" s="10">
        <v>45687.368368055562</v>
      </c>
      <c r="L1017" s="10">
        <v>45687.369826388887</v>
      </c>
      <c r="M1017" s="11">
        <f t="shared" si="45"/>
        <v>1.2152777781011537E-2</v>
      </c>
      <c r="N1017" s="11">
        <f t="shared" si="46"/>
        <v>1.9181597222195705</v>
      </c>
      <c r="O1017" s="10">
        <v>45685.455555555563</v>
      </c>
      <c r="P1017" s="11">
        <f t="shared" si="47"/>
        <v>1.8435300925848424</v>
      </c>
      <c r="Q1017" s="12" t="s">
        <v>2832</v>
      </c>
    </row>
    <row r="1018" spans="1:17" x14ac:dyDescent="0.25">
      <c r="A1018" s="3" t="s">
        <v>2833</v>
      </c>
      <c r="B1018" s="3" t="s">
        <v>419</v>
      </c>
      <c r="C1018" s="9">
        <v>147.02000000000001</v>
      </c>
      <c r="D1018" s="3" t="s">
        <v>500</v>
      </c>
      <c r="E1018" s="10">
        <v>45685.439513888887</v>
      </c>
      <c r="F1018" s="10">
        <v>45685.451666666668</v>
      </c>
      <c r="G1018" s="10">
        <v>45685.453692129631</v>
      </c>
      <c r="H1018" s="3" t="s">
        <v>2834</v>
      </c>
      <c r="I1018" s="10">
        <v>45686.451365740737</v>
      </c>
      <c r="J1018" s="10">
        <v>45686.476886574077</v>
      </c>
      <c r="K1018" s="10">
        <v>45686.476886574077</v>
      </c>
      <c r="L1018" s="10">
        <v>45686.477824074071</v>
      </c>
      <c r="M1018" s="11">
        <f t="shared" si="45"/>
        <v>1.417824074451346E-2</v>
      </c>
      <c r="N1018" s="11">
        <f t="shared" si="46"/>
        <v>1.0241319444394321</v>
      </c>
      <c r="O1018" s="10">
        <v>45685.456087962957</v>
      </c>
      <c r="P1018" s="11">
        <f t="shared" si="47"/>
        <v>0.99527777777984738</v>
      </c>
      <c r="Q1018" s="12" t="s">
        <v>2835</v>
      </c>
    </row>
    <row r="1019" spans="1:17" x14ac:dyDescent="0.25">
      <c r="A1019" s="3" t="s">
        <v>2836</v>
      </c>
      <c r="B1019" s="3" t="s">
        <v>420</v>
      </c>
      <c r="C1019" s="9">
        <v>291.89999999999998</v>
      </c>
      <c r="D1019" s="3" t="s">
        <v>500</v>
      </c>
      <c r="E1019" s="10">
        <v>45685.540937500002</v>
      </c>
      <c r="F1019" s="10">
        <v>45685.546712962961</v>
      </c>
      <c r="G1019" s="10">
        <v>45685.548518518517</v>
      </c>
      <c r="H1019" s="3" t="s">
        <v>2837</v>
      </c>
      <c r="I1019" s="10">
        <v>45686.556018518517</v>
      </c>
      <c r="J1019" s="10">
        <v>45686.606689814813</v>
      </c>
      <c r="K1019" s="10">
        <v>45686.606689814813</v>
      </c>
      <c r="L1019" s="10">
        <v>45686.607835648138</v>
      </c>
      <c r="M1019" s="11">
        <f t="shared" si="45"/>
        <v>7.5810185153386556E-3</v>
      </c>
      <c r="N1019" s="11">
        <f t="shared" si="46"/>
        <v>1.0593171296204673</v>
      </c>
      <c r="O1019" s="10">
        <v>45685.55091435185</v>
      </c>
      <c r="P1019" s="11">
        <f t="shared" si="47"/>
        <v>1.0051041666665697</v>
      </c>
      <c r="Q1019" s="12" t="s">
        <v>2838</v>
      </c>
    </row>
    <row r="1020" spans="1:17" x14ac:dyDescent="0.25">
      <c r="A1020" s="3" t="s">
        <v>2839</v>
      </c>
      <c r="B1020" s="3" t="s">
        <v>421</v>
      </c>
      <c r="C1020" s="9">
        <v>389.80000000000013</v>
      </c>
      <c r="D1020" s="3" t="s">
        <v>500</v>
      </c>
      <c r="E1020" s="10">
        <v>45685.596273148149</v>
      </c>
      <c r="F1020" s="10">
        <v>45685.603101851862</v>
      </c>
      <c r="G1020" s="10">
        <v>45685.605995370373</v>
      </c>
      <c r="H1020" s="3" t="s">
        <v>2840</v>
      </c>
      <c r="I1020" s="10">
        <v>45686.616365740738</v>
      </c>
      <c r="J1020" s="10">
        <v>45686.684039351851</v>
      </c>
      <c r="K1020" s="10">
        <v>45686.684039351851</v>
      </c>
      <c r="L1020" s="10">
        <v>45686.685439814813</v>
      </c>
      <c r="M1020" s="11">
        <f t="shared" si="45"/>
        <v>9.7222222248092294E-3</v>
      </c>
      <c r="N1020" s="11">
        <f t="shared" si="46"/>
        <v>1.0794444444400142</v>
      </c>
      <c r="O1020" s="10">
        <v>45685.60837962963</v>
      </c>
      <c r="P1020" s="11">
        <f t="shared" si="47"/>
        <v>1.007986111108039</v>
      </c>
      <c r="Q1020" s="12" t="s">
        <v>2841</v>
      </c>
    </row>
    <row r="1021" spans="1:17" ht="25.5" x14ac:dyDescent="0.25">
      <c r="A1021" s="3" t="s">
        <v>2842</v>
      </c>
      <c r="B1021" s="3" t="s">
        <v>422</v>
      </c>
      <c r="C1021" s="9">
        <v>39.799999999999997</v>
      </c>
      <c r="D1021" s="3" t="s">
        <v>515</v>
      </c>
      <c r="E1021" s="10">
        <v>45685.603344907409</v>
      </c>
      <c r="F1021" s="10">
        <v>45685.620486111111</v>
      </c>
      <c r="G1021" s="10">
        <v>45685.62226851852</v>
      </c>
      <c r="H1021" s="3" t="s">
        <v>2843</v>
      </c>
      <c r="I1021" s="10">
        <v>45687.614641203712</v>
      </c>
      <c r="J1021" s="10">
        <v>45687.633773148147</v>
      </c>
      <c r="K1021" s="10">
        <v>45687.633773148147</v>
      </c>
      <c r="L1021" s="10">
        <v>45687.634571759263</v>
      </c>
      <c r="M1021" s="11">
        <f t="shared" si="45"/>
        <v>1.8923611110949423E-2</v>
      </c>
      <c r="N1021" s="11">
        <f t="shared" si="46"/>
        <v>2.0123032407427672</v>
      </c>
      <c r="O1021" s="10">
        <v>45685.624641203707</v>
      </c>
      <c r="P1021" s="11">
        <f t="shared" si="47"/>
        <v>1.9900000000052387</v>
      </c>
      <c r="Q1021" s="12" t="s">
        <v>2844</v>
      </c>
    </row>
    <row r="1022" spans="1:17" ht="38.25" x14ac:dyDescent="0.25">
      <c r="A1022" s="3" t="s">
        <v>2845</v>
      </c>
      <c r="B1022" s="3" t="s">
        <v>422</v>
      </c>
      <c r="C1022" s="9">
        <v>15.74</v>
      </c>
      <c r="D1022" s="3" t="s">
        <v>484</v>
      </c>
      <c r="E1022" s="10">
        <v>45685.603344907409</v>
      </c>
      <c r="F1022" s="10">
        <v>45685.62226851852</v>
      </c>
      <c r="G1022" s="10">
        <v>45685.624189814807</v>
      </c>
      <c r="H1022" s="3" t="s">
        <v>2772</v>
      </c>
      <c r="I1022" s="10">
        <v>45687.348414351851</v>
      </c>
      <c r="J1022" s="10">
        <v>45687.36755787037</v>
      </c>
      <c r="K1022" s="10">
        <v>45687.36755787037</v>
      </c>
      <c r="L1022" s="10">
        <v>45687.368368055562</v>
      </c>
      <c r="M1022" s="11">
        <f t="shared" si="45"/>
        <v>2.084490739798639E-2</v>
      </c>
      <c r="N1022" s="11">
        <f t="shared" si="46"/>
        <v>1.7441782407549908</v>
      </c>
      <c r="O1022" s="10">
        <v>45685.626585648148</v>
      </c>
      <c r="P1022" s="11">
        <f t="shared" si="47"/>
        <v>1.7218287037030677</v>
      </c>
      <c r="Q1022" s="12" t="s">
        <v>2846</v>
      </c>
    </row>
    <row r="1023" spans="1:17" ht="38.25" x14ac:dyDescent="0.25">
      <c r="A1023" s="3" t="s">
        <v>2847</v>
      </c>
      <c r="B1023" s="3" t="s">
        <v>422</v>
      </c>
      <c r="C1023" s="9">
        <v>19.899999999999999</v>
      </c>
      <c r="D1023" s="3" t="s">
        <v>563</v>
      </c>
      <c r="E1023" s="10">
        <v>45685.603344907409</v>
      </c>
      <c r="F1023" s="10">
        <v>45685.624189814807</v>
      </c>
      <c r="G1023" s="10">
        <v>45685.626122685193</v>
      </c>
      <c r="H1023" s="3" t="s">
        <v>2772</v>
      </c>
      <c r="I1023" s="10">
        <v>45687.348414351851</v>
      </c>
      <c r="J1023" s="10">
        <v>45687.36755787037</v>
      </c>
      <c r="K1023" s="10">
        <v>45687.36755787037</v>
      </c>
      <c r="L1023" s="10">
        <v>45687.368368055562</v>
      </c>
      <c r="M1023" s="11">
        <f t="shared" si="45"/>
        <v>2.2777777783630881E-2</v>
      </c>
      <c r="N1023" s="11">
        <f t="shared" si="46"/>
        <v>1.7422453703693463</v>
      </c>
      <c r="O1023" s="10">
        <v>45685.630023148151</v>
      </c>
      <c r="P1023" s="11">
        <f t="shared" si="47"/>
        <v>1.7183912036998663</v>
      </c>
      <c r="Q1023" s="12" t="s">
        <v>2848</v>
      </c>
    </row>
    <row r="1024" spans="1:17" ht="25.5" x14ac:dyDescent="0.25">
      <c r="A1024" s="3" t="s">
        <v>2849</v>
      </c>
      <c r="B1024" s="3" t="s">
        <v>422</v>
      </c>
      <c r="C1024" s="9">
        <v>49.64</v>
      </c>
      <c r="D1024" s="3" t="s">
        <v>523</v>
      </c>
      <c r="E1024" s="10">
        <v>45685.603344907409</v>
      </c>
      <c r="F1024" s="10">
        <v>45685.626122685193</v>
      </c>
      <c r="G1024" s="10">
        <v>45685.62809027778</v>
      </c>
      <c r="H1024" s="3" t="s">
        <v>2810</v>
      </c>
      <c r="I1024" s="10">
        <v>45686.656863425917</v>
      </c>
      <c r="J1024" s="10">
        <v>45686.678206018521</v>
      </c>
      <c r="K1024" s="10">
        <v>45686.678206018521</v>
      </c>
      <c r="L1024" s="10">
        <v>45686.678865740738</v>
      </c>
      <c r="M1024" s="11">
        <f t="shared" si="45"/>
        <v>2.47453703705105E-2</v>
      </c>
      <c r="N1024" s="11">
        <f t="shared" si="46"/>
        <v>1.0507754629579722</v>
      </c>
      <c r="O1024" s="10">
        <v>45685.632013888891</v>
      </c>
      <c r="P1024" s="11">
        <f t="shared" si="47"/>
        <v>1.0248495370251476</v>
      </c>
      <c r="Q1024" s="12" t="s">
        <v>2850</v>
      </c>
    </row>
    <row r="1025" spans="1:17" x14ac:dyDescent="0.25">
      <c r="A1025" s="3" t="s">
        <v>2851</v>
      </c>
      <c r="B1025" s="3" t="s">
        <v>422</v>
      </c>
      <c r="C1025" s="9">
        <v>240.64</v>
      </c>
      <c r="D1025" s="3" t="s">
        <v>506</v>
      </c>
      <c r="E1025" s="10">
        <v>45685.603344907409</v>
      </c>
      <c r="F1025" s="10"/>
      <c r="G1025" s="10"/>
      <c r="H1025" s="3"/>
      <c r="I1025" s="10"/>
      <c r="J1025" s="10"/>
      <c r="K1025" s="10"/>
      <c r="L1025" s="10"/>
      <c r="M1025" s="11" t="str">
        <f t="shared" si="45"/>
        <v/>
      </c>
      <c r="N1025" s="11" t="str">
        <f t="shared" si="46"/>
        <v/>
      </c>
      <c r="O1025" s="10"/>
      <c r="P1025" s="11" t="str">
        <f t="shared" si="47"/>
        <v/>
      </c>
      <c r="Q1025" s="12"/>
    </row>
    <row r="1026" spans="1:17" ht="25.5" x14ac:dyDescent="0.25">
      <c r="A1026" s="3" t="s">
        <v>2852</v>
      </c>
      <c r="B1026" s="3" t="s">
        <v>422</v>
      </c>
      <c r="C1026" s="9">
        <v>19.899999999999999</v>
      </c>
      <c r="D1026" s="3" t="s">
        <v>539</v>
      </c>
      <c r="E1026" s="10">
        <v>45685.603344907409</v>
      </c>
      <c r="F1026" s="10">
        <v>45685.62809027778</v>
      </c>
      <c r="G1026" s="10">
        <v>45685.629675925928</v>
      </c>
      <c r="H1026" s="3" t="s">
        <v>2853</v>
      </c>
      <c r="I1026" s="10">
        <v>45687.274016203701</v>
      </c>
      <c r="J1026" s="10">
        <v>45687.325578703712</v>
      </c>
      <c r="K1026" s="10">
        <v>45687.325578703712</v>
      </c>
      <c r="L1026" s="10">
        <v>45687.326863425929</v>
      </c>
      <c r="M1026" s="11">
        <f t="shared" ref="M1026:M1089" si="48">IF(AND(ISNUMBER(E1026),ISNUMBER(G1026)),(G1026-E1026),"")</f>
        <v>2.6331018518249039E-2</v>
      </c>
      <c r="N1026" s="11">
        <f t="shared" ref="N1026:N1089" si="49">IF(AND(ISNUMBER(G1026),ISNUMBER(L1026)),(L1026-G1026),"")</f>
        <v>1.6971875000017462</v>
      </c>
      <c r="O1026" s="10">
        <v>45685.631863425922</v>
      </c>
      <c r="P1026" s="11">
        <f t="shared" ref="P1026:P1089" si="50">IF(AND(ISNUMBER(I1026),ISNUMBER(O1026)),(I1026-O1026),"")</f>
        <v>1.6421527777783922</v>
      </c>
      <c r="Q1026" s="12" t="s">
        <v>2854</v>
      </c>
    </row>
    <row r="1027" spans="1:17" ht="25.5" x14ac:dyDescent="0.25">
      <c r="A1027" s="3" t="s">
        <v>2855</v>
      </c>
      <c r="B1027" s="3" t="s">
        <v>422</v>
      </c>
      <c r="C1027" s="9">
        <v>21</v>
      </c>
      <c r="D1027" s="3" t="s">
        <v>488</v>
      </c>
      <c r="E1027" s="10">
        <v>45685.603344907409</v>
      </c>
      <c r="F1027" s="10">
        <v>45685.629675925928</v>
      </c>
      <c r="G1027" s="10">
        <v>45685.63082175926</v>
      </c>
      <c r="H1027" s="3" t="s">
        <v>2856</v>
      </c>
      <c r="I1027" s="10">
        <v>45686.665185185193</v>
      </c>
      <c r="J1027" s="10">
        <v>45686.69226851852</v>
      </c>
      <c r="K1027" s="10">
        <v>45686.69226851852</v>
      </c>
      <c r="L1027" s="10">
        <v>45686.693101851852</v>
      </c>
      <c r="M1027" s="11">
        <f t="shared" si="48"/>
        <v>2.7476851850224193E-2</v>
      </c>
      <c r="N1027" s="11">
        <f t="shared" si="49"/>
        <v>1.0622800925921183</v>
      </c>
      <c r="O1027" s="10">
        <v>45685.633194444446</v>
      </c>
      <c r="P1027" s="11">
        <f t="shared" si="50"/>
        <v>1.0319907407465507</v>
      </c>
      <c r="Q1027" s="12" t="s">
        <v>2857</v>
      </c>
    </row>
    <row r="1028" spans="1:17" ht="25.5" x14ac:dyDescent="0.25">
      <c r="A1028" s="3" t="s">
        <v>2858</v>
      </c>
      <c r="B1028" s="3" t="s">
        <v>422</v>
      </c>
      <c r="C1028" s="9">
        <v>135</v>
      </c>
      <c r="D1028" s="3" t="s">
        <v>527</v>
      </c>
      <c r="E1028" s="10">
        <v>45685.603344907409</v>
      </c>
      <c r="F1028" s="10">
        <v>45685.63082175926</v>
      </c>
      <c r="G1028" s="10">
        <v>45685.632233796299</v>
      </c>
      <c r="H1028" s="3" t="s">
        <v>2856</v>
      </c>
      <c r="I1028" s="10">
        <v>45686.665185185193</v>
      </c>
      <c r="J1028" s="10">
        <v>45686.69226851852</v>
      </c>
      <c r="K1028" s="10">
        <v>45686.69226851852</v>
      </c>
      <c r="L1028" s="10">
        <v>45686.693101851852</v>
      </c>
      <c r="M1028" s="11">
        <f t="shared" si="48"/>
        <v>2.8888888889923692E-2</v>
      </c>
      <c r="N1028" s="11">
        <f t="shared" si="49"/>
        <v>1.0608680555524188</v>
      </c>
      <c r="O1028" s="10">
        <v>45685.636134259257</v>
      </c>
      <c r="P1028" s="11">
        <f t="shared" si="50"/>
        <v>1.029050925935735</v>
      </c>
      <c r="Q1028" s="12" t="s">
        <v>2859</v>
      </c>
    </row>
    <row r="1029" spans="1:17" x14ac:dyDescent="0.25">
      <c r="A1029" s="3" t="s">
        <v>2860</v>
      </c>
      <c r="B1029" s="3" t="s">
        <v>422</v>
      </c>
      <c r="C1029" s="9">
        <v>16.5</v>
      </c>
      <c r="D1029" s="3" t="s">
        <v>519</v>
      </c>
      <c r="E1029" s="10">
        <v>45685.603344907409</v>
      </c>
      <c r="F1029" s="10"/>
      <c r="G1029" s="10"/>
      <c r="H1029" s="3"/>
      <c r="I1029" s="10"/>
      <c r="J1029" s="10"/>
      <c r="K1029" s="10"/>
      <c r="L1029" s="10"/>
      <c r="M1029" s="11" t="str">
        <f t="shared" si="48"/>
        <v/>
      </c>
      <c r="N1029" s="11" t="str">
        <f t="shared" si="49"/>
        <v/>
      </c>
      <c r="O1029" s="10"/>
      <c r="P1029" s="11" t="str">
        <f t="shared" si="50"/>
        <v/>
      </c>
      <c r="Q1029" s="12"/>
    </row>
    <row r="1030" spans="1:17" x14ac:dyDescent="0.25">
      <c r="A1030" s="3" t="s">
        <v>2861</v>
      </c>
      <c r="B1030" s="3" t="s">
        <v>423</v>
      </c>
      <c r="C1030" s="9">
        <v>31.48</v>
      </c>
      <c r="D1030" s="3" t="s">
        <v>500</v>
      </c>
      <c r="E1030" s="10">
        <v>45685.647731481477</v>
      </c>
      <c r="F1030" s="10"/>
      <c r="G1030" s="10"/>
      <c r="H1030" s="3"/>
      <c r="I1030" s="10"/>
      <c r="J1030" s="10"/>
      <c r="K1030" s="10"/>
      <c r="L1030" s="10"/>
      <c r="M1030" s="11" t="str">
        <f t="shared" si="48"/>
        <v/>
      </c>
      <c r="N1030" s="11" t="str">
        <f t="shared" si="49"/>
        <v/>
      </c>
      <c r="O1030" s="10"/>
      <c r="P1030" s="11" t="str">
        <f t="shared" si="50"/>
        <v/>
      </c>
      <c r="Q1030" s="12"/>
    </row>
    <row r="1031" spans="1:17" x14ac:dyDescent="0.25">
      <c r="A1031" s="3" t="s">
        <v>2862</v>
      </c>
      <c r="B1031" s="3" t="s">
        <v>424</v>
      </c>
      <c r="C1031" s="9">
        <v>232.68</v>
      </c>
      <c r="D1031" s="3" t="s">
        <v>500</v>
      </c>
      <c r="E1031" s="10">
        <v>45685.813703703701</v>
      </c>
      <c r="F1031" s="10">
        <v>45685.819166666668</v>
      </c>
      <c r="G1031" s="10">
        <v>45685.821388888893</v>
      </c>
      <c r="H1031" s="3" t="s">
        <v>2863</v>
      </c>
      <c r="I1031" s="10">
        <v>45686.740231481483</v>
      </c>
      <c r="J1031" s="10">
        <v>45686.780624999999</v>
      </c>
      <c r="K1031" s="10">
        <v>45686.780624999999</v>
      </c>
      <c r="L1031" s="10">
        <v>45686.781666666669</v>
      </c>
      <c r="M1031" s="11">
        <f t="shared" si="48"/>
        <v>7.6851851918036118E-3</v>
      </c>
      <c r="N1031" s="11">
        <f t="shared" si="49"/>
        <v>0.96027777777635492</v>
      </c>
      <c r="O1031" s="10">
        <v>45685.823761574073</v>
      </c>
      <c r="P1031" s="11">
        <f t="shared" si="50"/>
        <v>0.91646990740991896</v>
      </c>
      <c r="Q1031" s="12" t="s">
        <v>2864</v>
      </c>
    </row>
    <row r="1032" spans="1:17" x14ac:dyDescent="0.25">
      <c r="A1032" s="3" t="s">
        <v>2865</v>
      </c>
      <c r="B1032" s="3" t="s">
        <v>425</v>
      </c>
      <c r="C1032" s="9">
        <v>397.30000000000013</v>
      </c>
      <c r="D1032" s="3" t="s">
        <v>500</v>
      </c>
      <c r="E1032" s="10">
        <v>45685.876574074071</v>
      </c>
      <c r="F1032" s="10">
        <v>45685.883344907408</v>
      </c>
      <c r="G1032" s="10">
        <v>45685.885613425933</v>
      </c>
      <c r="H1032" s="3" t="s">
        <v>2866</v>
      </c>
      <c r="I1032" s="10">
        <v>45686.773125</v>
      </c>
      <c r="J1032" s="10">
        <v>45686.842106481483</v>
      </c>
      <c r="K1032" s="10">
        <v>45686.842106481483</v>
      </c>
      <c r="L1032" s="10">
        <v>45686.843506944453</v>
      </c>
      <c r="M1032" s="11">
        <f t="shared" si="48"/>
        <v>9.0393518621567637E-3</v>
      </c>
      <c r="N1032" s="11">
        <f t="shared" si="49"/>
        <v>0.95789351851999527</v>
      </c>
      <c r="O1032" s="10">
        <v>45685.887986111113</v>
      </c>
      <c r="P1032" s="11">
        <f t="shared" si="50"/>
        <v>0.88513888888701331</v>
      </c>
      <c r="Q1032" s="12" t="s">
        <v>2867</v>
      </c>
    </row>
    <row r="1033" spans="1:17" ht="25.5" x14ac:dyDescent="0.25">
      <c r="A1033" s="3" t="s">
        <v>2868</v>
      </c>
      <c r="B1033" s="3" t="s">
        <v>426</v>
      </c>
      <c r="C1033" s="9">
        <v>19.899999999999999</v>
      </c>
      <c r="D1033" s="3" t="s">
        <v>492</v>
      </c>
      <c r="E1033" s="10">
        <v>45686.115717592591</v>
      </c>
      <c r="F1033" s="10">
        <v>45686.124421296299</v>
      </c>
      <c r="G1033" s="10">
        <v>45686.126342592594</v>
      </c>
      <c r="H1033" s="3" t="s">
        <v>2869</v>
      </c>
      <c r="I1033" s="10">
        <v>45687.342002314806</v>
      </c>
      <c r="J1033" s="10">
        <v>45687.36445601852</v>
      </c>
      <c r="K1033" s="10">
        <v>45687.36445601852</v>
      </c>
      <c r="L1033" s="10">
        <v>45687.365127314813</v>
      </c>
      <c r="M1033" s="11">
        <f t="shared" si="48"/>
        <v>1.0625000002619345E-2</v>
      </c>
      <c r="N1033" s="11">
        <f t="shared" si="49"/>
        <v>1.2387847222198616</v>
      </c>
      <c r="O1033" s="10">
        <v>45686.128738425927</v>
      </c>
      <c r="P1033" s="11">
        <f t="shared" si="50"/>
        <v>1.2132638888797374</v>
      </c>
      <c r="Q1033" s="12" t="s">
        <v>2870</v>
      </c>
    </row>
    <row r="1034" spans="1:17" x14ac:dyDescent="0.25">
      <c r="A1034" s="3" t="s">
        <v>2871</v>
      </c>
      <c r="B1034" s="3" t="s">
        <v>426</v>
      </c>
      <c r="C1034" s="9">
        <v>165.8</v>
      </c>
      <c r="D1034" s="3" t="s">
        <v>488</v>
      </c>
      <c r="E1034" s="10">
        <v>45686.115717592591</v>
      </c>
      <c r="F1034" s="10">
        <v>45686.126342592594</v>
      </c>
      <c r="G1034" s="10">
        <v>45686.127847222233</v>
      </c>
      <c r="H1034" s="3" t="s">
        <v>2872</v>
      </c>
      <c r="I1034" s="10">
        <v>45686.878819444442</v>
      </c>
      <c r="J1034" s="10">
        <v>45686.907604166663</v>
      </c>
      <c r="K1034" s="10">
        <v>45686.907604166663</v>
      </c>
      <c r="L1034" s="10">
        <v>45686.908460648148</v>
      </c>
      <c r="M1034" s="11">
        <f t="shared" si="48"/>
        <v>1.2129629642004147E-2</v>
      </c>
      <c r="N1034" s="11">
        <f t="shared" si="49"/>
        <v>0.78061342591536231</v>
      </c>
      <c r="O1034" s="10">
        <v>45686.130243055559</v>
      </c>
      <c r="P1034" s="11">
        <f t="shared" si="50"/>
        <v>0.74857638888352085</v>
      </c>
      <c r="Q1034" s="12" t="s">
        <v>2873</v>
      </c>
    </row>
    <row r="1035" spans="1:17" ht="25.5" x14ac:dyDescent="0.25">
      <c r="A1035" s="3" t="s">
        <v>2874</v>
      </c>
      <c r="B1035" s="3" t="s">
        <v>426</v>
      </c>
      <c r="C1035" s="9">
        <v>54.72</v>
      </c>
      <c r="D1035" s="3" t="s">
        <v>484</v>
      </c>
      <c r="E1035" s="10">
        <v>45686.115717592591</v>
      </c>
      <c r="F1035" s="10">
        <v>45686.127847222233</v>
      </c>
      <c r="G1035" s="10">
        <v>45686.129895833343</v>
      </c>
      <c r="H1035" s="3" t="s">
        <v>2772</v>
      </c>
      <c r="I1035" s="10">
        <v>45687.348414351851</v>
      </c>
      <c r="J1035" s="10">
        <v>45687.36755787037</v>
      </c>
      <c r="K1035" s="10">
        <v>45687.36755787037</v>
      </c>
      <c r="L1035" s="10">
        <v>45687.368368055562</v>
      </c>
      <c r="M1035" s="11">
        <f t="shared" si="48"/>
        <v>1.4178240751789417E-2</v>
      </c>
      <c r="N1035" s="11">
        <f t="shared" si="49"/>
        <v>1.2384722222195705</v>
      </c>
      <c r="O1035" s="10">
        <v>45686.133819444447</v>
      </c>
      <c r="P1035" s="11">
        <f t="shared" si="50"/>
        <v>1.2145949074038072</v>
      </c>
      <c r="Q1035" s="12" t="s">
        <v>2875</v>
      </c>
    </row>
    <row r="1036" spans="1:17" ht="25.5" x14ac:dyDescent="0.25">
      <c r="A1036" s="3" t="s">
        <v>2876</v>
      </c>
      <c r="B1036" s="3" t="s">
        <v>426</v>
      </c>
      <c r="C1036" s="9">
        <v>19.899999999999999</v>
      </c>
      <c r="D1036" s="3" t="s">
        <v>492</v>
      </c>
      <c r="E1036" s="10">
        <v>45686.115717592591</v>
      </c>
      <c r="F1036" s="10">
        <v>45686.129895833343</v>
      </c>
      <c r="G1036" s="10">
        <v>45686.13181712963</v>
      </c>
      <c r="H1036" s="3" t="s">
        <v>2869</v>
      </c>
      <c r="I1036" s="10">
        <v>45687.342002314806</v>
      </c>
      <c r="J1036" s="10">
        <v>45687.36445601852</v>
      </c>
      <c r="K1036" s="10">
        <v>45687.36445601852</v>
      </c>
      <c r="L1036" s="10">
        <v>45687.365127314813</v>
      </c>
      <c r="M1036" s="11">
        <f t="shared" si="48"/>
        <v>1.6099537038826384E-2</v>
      </c>
      <c r="N1036" s="11">
        <f t="shared" si="49"/>
        <v>1.2333101851836545</v>
      </c>
      <c r="O1036" s="10">
        <v>45686.135740740741</v>
      </c>
      <c r="P1036" s="11">
        <f t="shared" si="50"/>
        <v>1.2062615740651381</v>
      </c>
      <c r="Q1036" s="12" t="s">
        <v>2877</v>
      </c>
    </row>
    <row r="1037" spans="1:17" x14ac:dyDescent="0.25">
      <c r="A1037" s="3" t="s">
        <v>2878</v>
      </c>
      <c r="B1037" s="3" t="s">
        <v>427</v>
      </c>
      <c r="C1037" s="9">
        <v>106.9</v>
      </c>
      <c r="D1037" s="3" t="s">
        <v>519</v>
      </c>
      <c r="E1037" s="10">
        <v>45686.181388888886</v>
      </c>
      <c r="F1037" s="10">
        <v>45686.185879629629</v>
      </c>
      <c r="G1037" s="10">
        <v>45686.187372685177</v>
      </c>
      <c r="H1037" s="3" t="s">
        <v>2879</v>
      </c>
      <c r="I1037" s="10">
        <v>45687.133136574077</v>
      </c>
      <c r="J1037" s="10">
        <v>45687.151701388888</v>
      </c>
      <c r="K1037" s="10">
        <v>45687.151701388888</v>
      </c>
      <c r="L1037" s="10">
        <v>45687.152372685188</v>
      </c>
      <c r="M1037" s="11">
        <f t="shared" si="48"/>
        <v>5.9837962908204645E-3</v>
      </c>
      <c r="N1037" s="11">
        <f t="shared" si="49"/>
        <v>0.96500000001105946</v>
      </c>
      <c r="O1037" s="10">
        <v>45686.189733796287</v>
      </c>
      <c r="P1037" s="11">
        <f t="shared" si="50"/>
        <v>0.94340277778974269</v>
      </c>
      <c r="Q1037" s="12" t="s">
        <v>2880</v>
      </c>
    </row>
    <row r="1038" spans="1:17" x14ac:dyDescent="0.25">
      <c r="A1038" s="3" t="s">
        <v>2881</v>
      </c>
      <c r="B1038" s="3" t="s">
        <v>428</v>
      </c>
      <c r="C1038" s="9">
        <v>297</v>
      </c>
      <c r="D1038" s="3" t="s">
        <v>500</v>
      </c>
      <c r="E1038" s="10">
        <v>45686.262384259258</v>
      </c>
      <c r="F1038" s="10">
        <v>45686.26834490741</v>
      </c>
      <c r="G1038" s="10">
        <v>45686.270613425928</v>
      </c>
      <c r="H1038" s="3" t="s">
        <v>2853</v>
      </c>
      <c r="I1038" s="10">
        <v>45687.274016203701</v>
      </c>
      <c r="J1038" s="10">
        <v>45687.325578703712</v>
      </c>
      <c r="K1038" s="10">
        <v>45687.325578703712</v>
      </c>
      <c r="L1038" s="10">
        <v>45687.326863425929</v>
      </c>
      <c r="M1038" s="11">
        <f t="shared" si="48"/>
        <v>8.2291666694800369E-3</v>
      </c>
      <c r="N1038" s="11">
        <f t="shared" si="49"/>
        <v>1.0562500000014552</v>
      </c>
      <c r="O1038" s="10">
        <v>45686.273009259261</v>
      </c>
      <c r="P1038" s="11">
        <f t="shared" si="50"/>
        <v>1.0010069444397232</v>
      </c>
      <c r="Q1038" s="12" t="s">
        <v>2882</v>
      </c>
    </row>
    <row r="1039" spans="1:17" x14ac:dyDescent="0.25">
      <c r="A1039" s="3" t="s">
        <v>2883</v>
      </c>
      <c r="B1039" s="3" t="s">
        <v>429</v>
      </c>
      <c r="C1039" s="9">
        <v>397.30000000000013</v>
      </c>
      <c r="D1039" s="3" t="s">
        <v>500</v>
      </c>
      <c r="E1039" s="10">
        <v>45686.305497685193</v>
      </c>
      <c r="F1039" s="10">
        <v>45686.312268518523</v>
      </c>
      <c r="G1039" s="10">
        <v>45686.315104166657</v>
      </c>
      <c r="H1039" s="3" t="s">
        <v>2803</v>
      </c>
      <c r="I1039" s="10">
        <v>45687.299085648148</v>
      </c>
      <c r="J1039" s="10">
        <v>45687.368055555547</v>
      </c>
      <c r="K1039" s="10">
        <v>45687.368368055562</v>
      </c>
      <c r="L1039" s="10">
        <v>45687.369826388887</v>
      </c>
      <c r="M1039" s="11">
        <f t="shared" si="48"/>
        <v>9.6064814642886631E-3</v>
      </c>
      <c r="N1039" s="11">
        <f t="shared" si="49"/>
        <v>1.054722222230339</v>
      </c>
      <c r="O1039" s="10">
        <v>45686.317476851851</v>
      </c>
      <c r="P1039" s="11">
        <f t="shared" si="50"/>
        <v>0.98160879629722331</v>
      </c>
      <c r="Q1039" s="12" t="s">
        <v>2884</v>
      </c>
    </row>
    <row r="1040" spans="1:17" x14ac:dyDescent="0.25">
      <c r="A1040" s="3" t="s">
        <v>2885</v>
      </c>
      <c r="B1040" s="3" t="s">
        <v>430</v>
      </c>
      <c r="C1040" s="9">
        <v>129.34</v>
      </c>
      <c r="D1040" s="3" t="s">
        <v>500</v>
      </c>
      <c r="E1040" s="10">
        <v>45686.31355324074</v>
      </c>
      <c r="F1040" s="10">
        <v>45686.318229166667</v>
      </c>
      <c r="G1040" s="10">
        <v>45686.320381944453</v>
      </c>
      <c r="H1040" s="3" t="s">
        <v>2869</v>
      </c>
      <c r="I1040" s="10">
        <v>45687.342002314806</v>
      </c>
      <c r="J1040" s="10">
        <v>45687.36445601852</v>
      </c>
      <c r="K1040" s="10">
        <v>45687.36445601852</v>
      </c>
      <c r="L1040" s="10">
        <v>45687.365127314813</v>
      </c>
      <c r="M1040" s="11">
        <f t="shared" si="48"/>
        <v>6.8287037138361484E-3</v>
      </c>
      <c r="N1040" s="11">
        <f t="shared" si="49"/>
        <v>1.0447453703600331</v>
      </c>
      <c r="O1040" s="10">
        <v>45686.322754629633</v>
      </c>
      <c r="P1040" s="11">
        <f t="shared" si="50"/>
        <v>1.0192476851734682</v>
      </c>
      <c r="Q1040" s="12" t="s">
        <v>2886</v>
      </c>
    </row>
    <row r="1041" spans="1:17" ht="38.25" x14ac:dyDescent="0.25">
      <c r="A1041" s="3" t="s">
        <v>2887</v>
      </c>
      <c r="B1041" s="3" t="s">
        <v>431</v>
      </c>
      <c r="C1041" s="9">
        <v>16.5</v>
      </c>
      <c r="D1041" s="3" t="s">
        <v>572</v>
      </c>
      <c r="E1041" s="10">
        <v>45686.348020833328</v>
      </c>
      <c r="F1041" s="10">
        <v>45686.353298611109</v>
      </c>
      <c r="G1041" s="10">
        <v>45686.355254629627</v>
      </c>
      <c r="H1041" s="3" t="s">
        <v>2888</v>
      </c>
      <c r="I1041" s="10">
        <v>45688.347222222219</v>
      </c>
      <c r="J1041" s="10">
        <v>45688.369166666656</v>
      </c>
      <c r="K1041" s="10">
        <v>45688.369166666656</v>
      </c>
      <c r="L1041" s="10">
        <v>45688.369988425933</v>
      </c>
      <c r="M1041" s="11">
        <f t="shared" si="48"/>
        <v>7.2337962992605753E-3</v>
      </c>
      <c r="N1041" s="11">
        <f t="shared" si="49"/>
        <v>2.0147337963062455</v>
      </c>
      <c r="O1041" s="10">
        <v>45686.35765046296</v>
      </c>
      <c r="P1041" s="11">
        <f t="shared" si="50"/>
        <v>1.989571759258979</v>
      </c>
      <c r="Q1041" s="12" t="s">
        <v>2889</v>
      </c>
    </row>
    <row r="1042" spans="1:17" ht="25.5" x14ac:dyDescent="0.25">
      <c r="A1042" s="3" t="s">
        <v>2890</v>
      </c>
      <c r="B1042" s="3" t="s">
        <v>431</v>
      </c>
      <c r="C1042" s="9">
        <v>63</v>
      </c>
      <c r="D1042" s="3" t="s">
        <v>500</v>
      </c>
      <c r="E1042" s="10">
        <v>45686.348020833328</v>
      </c>
      <c r="F1042" s="10">
        <v>45686.355254629627</v>
      </c>
      <c r="G1042" s="10">
        <v>45686.356527777767</v>
      </c>
      <c r="H1042" s="3" t="s">
        <v>2891</v>
      </c>
      <c r="I1042" s="10">
        <v>45687.369189814817</v>
      </c>
      <c r="J1042" s="10">
        <v>45687.412939814807</v>
      </c>
      <c r="K1042" s="10">
        <v>45687.412939814807</v>
      </c>
      <c r="L1042" s="10">
        <v>45687.413981481477</v>
      </c>
      <c r="M1042" s="11">
        <f t="shared" si="48"/>
        <v>8.5069444394321181E-3</v>
      </c>
      <c r="N1042" s="11">
        <f t="shared" si="49"/>
        <v>1.0574537037100527</v>
      </c>
      <c r="O1042" s="10">
        <v>45686.358888888892</v>
      </c>
      <c r="P1042" s="11">
        <f t="shared" si="50"/>
        <v>1.0103009259255487</v>
      </c>
      <c r="Q1042" s="12" t="s">
        <v>2892</v>
      </c>
    </row>
    <row r="1043" spans="1:17" ht="25.5" x14ac:dyDescent="0.25">
      <c r="A1043" s="3" t="s">
        <v>2893</v>
      </c>
      <c r="B1043" s="3" t="s">
        <v>432</v>
      </c>
      <c r="C1043" s="9">
        <v>19.899999999999999</v>
      </c>
      <c r="D1043" s="3" t="s">
        <v>484</v>
      </c>
      <c r="E1043" s="10">
        <v>45686.378657407397</v>
      </c>
      <c r="F1043" s="10">
        <v>45686.395138888889</v>
      </c>
      <c r="G1043" s="10">
        <v>45686.397106481483</v>
      </c>
      <c r="H1043" s="3" t="s">
        <v>2772</v>
      </c>
      <c r="I1043" s="10">
        <v>45687.348414351851</v>
      </c>
      <c r="J1043" s="10">
        <v>45687.36755787037</v>
      </c>
      <c r="K1043" s="10">
        <v>45687.36755787037</v>
      </c>
      <c r="L1043" s="10">
        <v>45687.368368055562</v>
      </c>
      <c r="M1043" s="11">
        <f t="shared" si="48"/>
        <v>1.8449074086674955E-2</v>
      </c>
      <c r="N1043" s="11">
        <f t="shared" si="49"/>
        <v>0.97126157407910796</v>
      </c>
      <c r="O1043" s="10">
        <v>45686.401030092587</v>
      </c>
      <c r="P1043" s="11">
        <f t="shared" si="50"/>
        <v>0.94738425926334457</v>
      </c>
      <c r="Q1043" s="12" t="s">
        <v>2894</v>
      </c>
    </row>
    <row r="1044" spans="1:17" ht="38.25" x14ac:dyDescent="0.25">
      <c r="A1044" s="3" t="s">
        <v>2895</v>
      </c>
      <c r="B1044" s="3" t="s">
        <v>432</v>
      </c>
      <c r="C1044" s="9">
        <v>14</v>
      </c>
      <c r="D1044" s="3" t="s">
        <v>595</v>
      </c>
      <c r="E1044" s="10">
        <v>45686.378657407397</v>
      </c>
      <c r="F1044" s="10">
        <v>45686.397106481483</v>
      </c>
      <c r="G1044" s="10">
        <v>45686.398379629631</v>
      </c>
      <c r="H1044" s="3" t="s">
        <v>2785</v>
      </c>
      <c r="I1044" s="10">
        <v>45688.30097222222</v>
      </c>
      <c r="J1044" s="10">
        <v>45688.325277777767</v>
      </c>
      <c r="K1044" s="10">
        <v>45688.325277777767</v>
      </c>
      <c r="L1044" s="10">
        <v>45688.326157407413</v>
      </c>
      <c r="M1044" s="11">
        <f t="shared" si="48"/>
        <v>1.9722222234122455E-2</v>
      </c>
      <c r="N1044" s="11">
        <f t="shared" si="49"/>
        <v>1.9277777777824667</v>
      </c>
      <c r="O1044" s="10">
        <v>45686.402268518519</v>
      </c>
      <c r="P1044" s="11">
        <f t="shared" si="50"/>
        <v>1.8987037037004484</v>
      </c>
      <c r="Q1044" s="12" t="s">
        <v>2896</v>
      </c>
    </row>
    <row r="1045" spans="1:17" x14ac:dyDescent="0.25">
      <c r="A1045" s="3" t="s">
        <v>2897</v>
      </c>
      <c r="B1045" s="3" t="s">
        <v>432</v>
      </c>
      <c r="C1045" s="9">
        <v>19.899999999999999</v>
      </c>
      <c r="D1045" s="3" t="s">
        <v>523</v>
      </c>
      <c r="E1045" s="10">
        <v>45686.378657407397</v>
      </c>
      <c r="F1045" s="10"/>
      <c r="G1045" s="10"/>
      <c r="H1045" s="3"/>
      <c r="I1045" s="10"/>
      <c r="J1045" s="10"/>
      <c r="K1045" s="10"/>
      <c r="L1045" s="10"/>
      <c r="M1045" s="11" t="str">
        <f t="shared" si="48"/>
        <v/>
      </c>
      <c r="N1045" s="11" t="str">
        <f t="shared" si="49"/>
        <v/>
      </c>
      <c r="O1045" s="10"/>
      <c r="P1045" s="11" t="str">
        <f t="shared" si="50"/>
        <v/>
      </c>
      <c r="Q1045" s="12"/>
    </row>
    <row r="1046" spans="1:17" ht="25.5" x14ac:dyDescent="0.25">
      <c r="A1046" s="3" t="s">
        <v>2898</v>
      </c>
      <c r="B1046" s="3" t="s">
        <v>432</v>
      </c>
      <c r="C1046" s="9">
        <v>189</v>
      </c>
      <c r="D1046" s="3" t="s">
        <v>527</v>
      </c>
      <c r="E1046" s="10">
        <v>45686.378657407397</v>
      </c>
      <c r="F1046" s="10">
        <v>45686.398379629631</v>
      </c>
      <c r="G1046" s="10">
        <v>45686.399942129632</v>
      </c>
      <c r="H1046" s="3" t="s">
        <v>2891</v>
      </c>
      <c r="I1046" s="10">
        <v>45687.369189814817</v>
      </c>
      <c r="J1046" s="10">
        <v>45687.412939814807</v>
      </c>
      <c r="K1046" s="10">
        <v>45687.412939814807</v>
      </c>
      <c r="L1046" s="10">
        <v>45687.413981481477</v>
      </c>
      <c r="M1046" s="11">
        <f t="shared" si="48"/>
        <v>2.1284722235577647E-2</v>
      </c>
      <c r="N1046" s="11">
        <f t="shared" si="49"/>
        <v>1.0140393518449855</v>
      </c>
      <c r="O1046" s="10">
        <v>45686.403865740736</v>
      </c>
      <c r="P1046" s="11">
        <f t="shared" si="50"/>
        <v>0.96532407408085419</v>
      </c>
      <c r="Q1046" s="12" t="s">
        <v>2899</v>
      </c>
    </row>
    <row r="1047" spans="1:17" x14ac:dyDescent="0.25">
      <c r="A1047" s="3" t="s">
        <v>2900</v>
      </c>
      <c r="B1047" s="3" t="s">
        <v>432</v>
      </c>
      <c r="C1047" s="9">
        <v>19.899999999999999</v>
      </c>
      <c r="D1047" s="3" t="s">
        <v>488</v>
      </c>
      <c r="E1047" s="10">
        <v>45686.378657407397</v>
      </c>
      <c r="F1047" s="10"/>
      <c r="G1047" s="10"/>
      <c r="H1047" s="3"/>
      <c r="I1047" s="10"/>
      <c r="J1047" s="10"/>
      <c r="K1047" s="10"/>
      <c r="L1047" s="10"/>
      <c r="M1047" s="11" t="str">
        <f t="shared" si="48"/>
        <v/>
      </c>
      <c r="N1047" s="11" t="str">
        <f t="shared" si="49"/>
        <v/>
      </c>
      <c r="O1047" s="10"/>
      <c r="P1047" s="11" t="str">
        <f t="shared" si="50"/>
        <v/>
      </c>
      <c r="Q1047" s="12"/>
    </row>
    <row r="1048" spans="1:17" ht="38.25" x14ac:dyDescent="0.25">
      <c r="A1048" s="3" t="s">
        <v>2901</v>
      </c>
      <c r="B1048" s="3" t="s">
        <v>432</v>
      </c>
      <c r="C1048" s="9">
        <v>59.7</v>
      </c>
      <c r="D1048" s="3" t="s">
        <v>539</v>
      </c>
      <c r="E1048" s="10">
        <v>45686.378657407397</v>
      </c>
      <c r="F1048" s="10">
        <v>45686.399942129632</v>
      </c>
      <c r="G1048" s="10">
        <v>45686.401655092603</v>
      </c>
      <c r="H1048" s="3" t="s">
        <v>2902</v>
      </c>
      <c r="I1048" s="10">
        <v>45688.332349537042</v>
      </c>
      <c r="J1048" s="10">
        <v>45688.405370370368</v>
      </c>
      <c r="K1048" s="10">
        <v>45688.405370370368</v>
      </c>
      <c r="L1048" s="10">
        <v>45688.406944444447</v>
      </c>
      <c r="M1048" s="11">
        <f t="shared" si="48"/>
        <v>2.2997685206064489E-2</v>
      </c>
      <c r="N1048" s="11">
        <f t="shared" si="49"/>
        <v>2.0052893518441124</v>
      </c>
      <c r="O1048" s="10">
        <v>45686.404039351852</v>
      </c>
      <c r="P1048" s="11">
        <f t="shared" si="50"/>
        <v>1.9283101851906395</v>
      </c>
      <c r="Q1048" s="12" t="s">
        <v>2903</v>
      </c>
    </row>
    <row r="1049" spans="1:17" ht="38.25" x14ac:dyDescent="0.25">
      <c r="A1049" s="3" t="s">
        <v>2904</v>
      </c>
      <c r="B1049" s="3" t="s">
        <v>432</v>
      </c>
      <c r="C1049" s="9">
        <v>15.74</v>
      </c>
      <c r="D1049" s="3" t="s">
        <v>1033</v>
      </c>
      <c r="E1049" s="10">
        <v>45686.378657407397</v>
      </c>
      <c r="F1049" s="10">
        <v>45686.401655092603</v>
      </c>
      <c r="G1049" s="10">
        <v>45686.403611111113</v>
      </c>
      <c r="H1049" s="3" t="s">
        <v>2888</v>
      </c>
      <c r="I1049" s="10">
        <v>45688.347222222219</v>
      </c>
      <c r="J1049" s="10">
        <v>45688.369166666656</v>
      </c>
      <c r="K1049" s="10">
        <v>45688.369166666656</v>
      </c>
      <c r="L1049" s="10">
        <v>45688.369988425933</v>
      </c>
      <c r="M1049" s="11">
        <f t="shared" si="48"/>
        <v>2.4953703716164455E-2</v>
      </c>
      <c r="N1049" s="11">
        <f t="shared" si="49"/>
        <v>1.96637731482042</v>
      </c>
      <c r="O1049" s="10">
        <v>45686.407500000001</v>
      </c>
      <c r="P1049" s="11">
        <f t="shared" si="50"/>
        <v>1.9397222222178243</v>
      </c>
      <c r="Q1049" s="12" t="s">
        <v>2905</v>
      </c>
    </row>
    <row r="1050" spans="1:17" x14ac:dyDescent="0.25">
      <c r="A1050" s="3" t="s">
        <v>2906</v>
      </c>
      <c r="B1050" s="3" t="s">
        <v>432</v>
      </c>
      <c r="C1050" s="9">
        <v>54.72</v>
      </c>
      <c r="D1050" s="3" t="s">
        <v>506</v>
      </c>
      <c r="E1050" s="10">
        <v>45686.378657407397</v>
      </c>
      <c r="F1050" s="10"/>
      <c r="G1050" s="10"/>
      <c r="H1050" s="3"/>
      <c r="I1050" s="10"/>
      <c r="J1050" s="10"/>
      <c r="K1050" s="10"/>
      <c r="L1050" s="10"/>
      <c r="M1050" s="11" t="str">
        <f t="shared" si="48"/>
        <v/>
      </c>
      <c r="N1050" s="11" t="str">
        <f t="shared" si="49"/>
        <v/>
      </c>
      <c r="O1050" s="10"/>
      <c r="P1050" s="11" t="str">
        <f t="shared" si="50"/>
        <v/>
      </c>
      <c r="Q1050" s="12"/>
    </row>
    <row r="1051" spans="1:17" ht="51" x14ac:dyDescent="0.25">
      <c r="A1051" s="3" t="s">
        <v>2907</v>
      </c>
      <c r="B1051" s="3" t="s">
        <v>432</v>
      </c>
      <c r="C1051" s="9">
        <v>19.899999999999999</v>
      </c>
      <c r="D1051" s="3" t="s">
        <v>563</v>
      </c>
      <c r="E1051" s="10">
        <v>45686.378657407397</v>
      </c>
      <c r="F1051" s="10">
        <v>45686.403611111113</v>
      </c>
      <c r="G1051" s="10">
        <v>45686.405578703707</v>
      </c>
      <c r="H1051" s="3" t="s">
        <v>2908</v>
      </c>
      <c r="I1051" s="10">
        <v>45688.864212962973</v>
      </c>
      <c r="J1051" s="10">
        <v>45688.884293981479</v>
      </c>
      <c r="K1051" s="10">
        <v>45688.884293981479</v>
      </c>
      <c r="L1051" s="10">
        <v>45688.885115740741</v>
      </c>
      <c r="M1051" s="11">
        <f t="shared" si="48"/>
        <v>2.6921296310320031E-2</v>
      </c>
      <c r="N1051" s="11">
        <f t="shared" si="49"/>
        <v>2.4795370370338787</v>
      </c>
      <c r="O1051" s="10">
        <v>45686.407951388886</v>
      </c>
      <c r="P1051" s="11">
        <f t="shared" si="50"/>
        <v>2.456261574086966</v>
      </c>
      <c r="Q1051" s="12" t="s">
        <v>2909</v>
      </c>
    </row>
    <row r="1052" spans="1:17" ht="25.5" x14ac:dyDescent="0.25">
      <c r="A1052" s="3" t="s">
        <v>2910</v>
      </c>
      <c r="B1052" s="3" t="s">
        <v>432</v>
      </c>
      <c r="C1052" s="9">
        <v>23.24</v>
      </c>
      <c r="D1052" s="3" t="s">
        <v>515</v>
      </c>
      <c r="E1052" s="10">
        <v>45686.378657407397</v>
      </c>
      <c r="F1052" s="10">
        <v>45686.405578703707</v>
      </c>
      <c r="G1052" s="10">
        <v>45686.407349537039</v>
      </c>
      <c r="H1052" s="3" t="s">
        <v>2843</v>
      </c>
      <c r="I1052" s="10">
        <v>45687.614641203712</v>
      </c>
      <c r="J1052" s="10">
        <v>45687.633773148147</v>
      </c>
      <c r="K1052" s="10">
        <v>45687.633773148147</v>
      </c>
      <c r="L1052" s="10">
        <v>45687.634571759263</v>
      </c>
      <c r="M1052" s="11">
        <f t="shared" si="48"/>
        <v>2.8692129642877262E-2</v>
      </c>
      <c r="N1052" s="11">
        <f t="shared" si="49"/>
        <v>1.2272222222236451</v>
      </c>
      <c r="O1052" s="10">
        <v>45686.411273148151</v>
      </c>
      <c r="P1052" s="11">
        <f t="shared" si="50"/>
        <v>1.203368055561441</v>
      </c>
      <c r="Q1052" s="12" t="s">
        <v>2911</v>
      </c>
    </row>
    <row r="1053" spans="1:17" ht="38.25" x14ac:dyDescent="0.25">
      <c r="A1053" s="3" t="s">
        <v>2912</v>
      </c>
      <c r="B1053" s="3" t="s">
        <v>433</v>
      </c>
      <c r="C1053" s="9">
        <v>21</v>
      </c>
      <c r="D1053" s="3" t="s">
        <v>572</v>
      </c>
      <c r="E1053" s="10">
        <v>45686.43953703704</v>
      </c>
      <c r="F1053" s="10">
        <v>45686.446053240739</v>
      </c>
      <c r="G1053" s="10">
        <v>45686.448020833333</v>
      </c>
      <c r="H1053" s="3" t="s">
        <v>2888</v>
      </c>
      <c r="I1053" s="10">
        <v>45688.347222222219</v>
      </c>
      <c r="J1053" s="10">
        <v>45688.369166666656</v>
      </c>
      <c r="K1053" s="10">
        <v>45688.369166666656</v>
      </c>
      <c r="L1053" s="10">
        <v>45688.369988425933</v>
      </c>
      <c r="M1053" s="11">
        <f t="shared" si="48"/>
        <v>8.4837962931487709E-3</v>
      </c>
      <c r="N1053" s="11">
        <f t="shared" si="49"/>
        <v>1.9219675925996853</v>
      </c>
      <c r="O1053" s="10">
        <v>45686.451944444438</v>
      </c>
      <c r="P1053" s="11">
        <f t="shared" si="50"/>
        <v>1.8952777777813026</v>
      </c>
      <c r="Q1053" s="12" t="s">
        <v>2913</v>
      </c>
    </row>
    <row r="1054" spans="1:17" x14ac:dyDescent="0.25">
      <c r="A1054" s="3" t="s">
        <v>2914</v>
      </c>
      <c r="B1054" s="3" t="s">
        <v>433</v>
      </c>
      <c r="C1054" s="9">
        <v>220.3</v>
      </c>
      <c r="D1054" s="3" t="s">
        <v>500</v>
      </c>
      <c r="E1054" s="10">
        <v>45686.43953703704</v>
      </c>
      <c r="F1054" s="10">
        <v>45686.448020833333</v>
      </c>
      <c r="G1054" s="10">
        <v>45686.449652777781</v>
      </c>
      <c r="H1054" s="3" t="s">
        <v>2915</v>
      </c>
      <c r="I1054" s="10">
        <v>45687.406331018523</v>
      </c>
      <c r="J1054" s="10">
        <v>45687.444571759261</v>
      </c>
      <c r="K1054" s="10">
        <v>45687.444571759261</v>
      </c>
      <c r="L1054" s="10">
        <v>45687.445543981477</v>
      </c>
      <c r="M1054" s="11">
        <f t="shared" si="48"/>
        <v>1.0115740740729962E-2</v>
      </c>
      <c r="N1054" s="11">
        <f t="shared" si="49"/>
        <v>0.99589120369637385</v>
      </c>
      <c r="O1054" s="10">
        <v>45686.452048611107</v>
      </c>
      <c r="P1054" s="11">
        <f t="shared" si="50"/>
        <v>0.95428240741603076</v>
      </c>
      <c r="Q1054" s="12" t="s">
        <v>2916</v>
      </c>
    </row>
    <row r="1055" spans="1:17" x14ac:dyDescent="0.25">
      <c r="A1055" s="3" t="s">
        <v>2917</v>
      </c>
      <c r="B1055" s="3" t="s">
        <v>434</v>
      </c>
      <c r="C1055" s="9">
        <v>259.66000000000003</v>
      </c>
      <c r="D1055" s="3" t="s">
        <v>500</v>
      </c>
      <c r="E1055" s="10">
        <v>45686.546840277777</v>
      </c>
      <c r="F1055" s="10">
        <v>45686.552557870367</v>
      </c>
      <c r="G1055" s="10">
        <v>45686.554282407407</v>
      </c>
      <c r="H1055" s="3" t="s">
        <v>2918</v>
      </c>
      <c r="I1055" s="10">
        <v>45687.425208333327</v>
      </c>
      <c r="J1055" s="10">
        <v>45687.470289351862</v>
      </c>
      <c r="K1055" s="10">
        <v>45687.470289351862</v>
      </c>
      <c r="L1055" s="10">
        <v>45687.471354166657</v>
      </c>
      <c r="M1055" s="11">
        <f t="shared" si="48"/>
        <v>7.442129630362615E-3</v>
      </c>
      <c r="N1055" s="11">
        <f t="shared" si="49"/>
        <v>0.91707175924966577</v>
      </c>
      <c r="O1055" s="10">
        <v>45686.556655092587</v>
      </c>
      <c r="P1055" s="11">
        <f t="shared" si="50"/>
        <v>0.86855324073985685</v>
      </c>
      <c r="Q1055" s="12" t="s">
        <v>2919</v>
      </c>
    </row>
    <row r="1056" spans="1:17" x14ac:dyDescent="0.25">
      <c r="A1056" s="3" t="s">
        <v>2920</v>
      </c>
      <c r="B1056" s="3" t="s">
        <v>435</v>
      </c>
      <c r="C1056" s="9">
        <v>398.04000000000008</v>
      </c>
      <c r="D1056" s="3" t="s">
        <v>500</v>
      </c>
      <c r="E1056" s="10">
        <v>45686.605868055558</v>
      </c>
      <c r="F1056" s="10">
        <v>45686.612581018519</v>
      </c>
      <c r="G1056" s="10">
        <v>45686.614629629628</v>
      </c>
      <c r="H1056" s="3" t="s">
        <v>2921</v>
      </c>
      <c r="I1056" s="10">
        <v>45687.550983796304</v>
      </c>
      <c r="J1056" s="10">
        <v>45687.620081018518</v>
      </c>
      <c r="K1056" s="10">
        <v>45687.620081018518</v>
      </c>
      <c r="L1056" s="10">
        <v>45687.621469907397</v>
      </c>
      <c r="M1056" s="11">
        <f t="shared" si="48"/>
        <v>8.7615740703768097E-3</v>
      </c>
      <c r="N1056" s="11">
        <f t="shared" si="49"/>
        <v>1.0068402777687879</v>
      </c>
      <c r="O1056" s="10">
        <v>45686.617002314822</v>
      </c>
      <c r="P1056" s="11">
        <f t="shared" si="50"/>
        <v>0.93398148148116888</v>
      </c>
      <c r="Q1056" s="12" t="s">
        <v>2922</v>
      </c>
    </row>
    <row r="1057" spans="1:17" ht="25.5" x14ac:dyDescent="0.25">
      <c r="A1057" s="3" t="s">
        <v>2923</v>
      </c>
      <c r="B1057" s="3" t="s">
        <v>436</v>
      </c>
      <c r="C1057" s="9">
        <v>47.22</v>
      </c>
      <c r="D1057" s="3" t="s">
        <v>515</v>
      </c>
      <c r="E1057" s="10">
        <v>45686.620682870373</v>
      </c>
      <c r="F1057" s="10">
        <v>45686.638761574082</v>
      </c>
      <c r="G1057" s="10">
        <v>45686.6405787037</v>
      </c>
      <c r="H1057" s="3" t="s">
        <v>2843</v>
      </c>
      <c r="I1057" s="10">
        <v>45687.614641203712</v>
      </c>
      <c r="J1057" s="10">
        <v>45687.633773148147</v>
      </c>
      <c r="K1057" s="10">
        <v>45687.633773148147</v>
      </c>
      <c r="L1057" s="10">
        <v>45687.634571759263</v>
      </c>
      <c r="M1057" s="11">
        <f t="shared" si="48"/>
        <v>1.989583332760958E-2</v>
      </c>
      <c r="N1057" s="11">
        <f t="shared" si="49"/>
        <v>0.99399305556289619</v>
      </c>
      <c r="O1057" s="10">
        <v>45686.644490740742</v>
      </c>
      <c r="P1057" s="11">
        <f t="shared" si="50"/>
        <v>0.9701504629701958</v>
      </c>
      <c r="Q1057" s="12" t="s">
        <v>2924</v>
      </c>
    </row>
    <row r="1058" spans="1:17" ht="25.5" x14ac:dyDescent="0.25">
      <c r="A1058" s="3" t="s">
        <v>2925</v>
      </c>
      <c r="B1058" s="3" t="s">
        <v>436</v>
      </c>
      <c r="C1058" s="9">
        <v>81</v>
      </c>
      <c r="D1058" s="3" t="s">
        <v>527</v>
      </c>
      <c r="E1058" s="10">
        <v>45686.620682870373</v>
      </c>
      <c r="F1058" s="10">
        <v>45686.6405787037</v>
      </c>
      <c r="G1058" s="10">
        <v>45686.642650462964</v>
      </c>
      <c r="H1058" s="3" t="s">
        <v>2926</v>
      </c>
      <c r="I1058" s="10">
        <v>45687.649409722217</v>
      </c>
      <c r="J1058" s="10">
        <v>45687.668935185182</v>
      </c>
      <c r="K1058" s="10">
        <v>45687.668935185182</v>
      </c>
      <c r="L1058" s="10">
        <v>45687.669594907413</v>
      </c>
      <c r="M1058" s="11">
        <f t="shared" si="48"/>
        <v>2.1967592590954155E-2</v>
      </c>
      <c r="N1058" s="11">
        <f t="shared" si="49"/>
        <v>1.0269444444493274</v>
      </c>
      <c r="O1058" s="10">
        <v>45686.644803240742</v>
      </c>
      <c r="P1058" s="11">
        <f t="shared" si="50"/>
        <v>1.004606481474184</v>
      </c>
      <c r="Q1058" s="12" t="s">
        <v>2927</v>
      </c>
    </row>
    <row r="1059" spans="1:17" ht="38.25" x14ac:dyDescent="0.25">
      <c r="A1059" s="3" t="s">
        <v>2928</v>
      </c>
      <c r="B1059" s="3" t="s">
        <v>436</v>
      </c>
      <c r="C1059" s="9">
        <v>14</v>
      </c>
      <c r="D1059" s="3" t="s">
        <v>595</v>
      </c>
      <c r="E1059" s="10">
        <v>45686.620682870373</v>
      </c>
      <c r="F1059" s="10">
        <v>45686.642650462964</v>
      </c>
      <c r="G1059" s="10">
        <v>45686.643923611111</v>
      </c>
      <c r="H1059" s="3" t="s">
        <v>2785</v>
      </c>
      <c r="I1059" s="10">
        <v>45688.30097222222</v>
      </c>
      <c r="J1059" s="10">
        <v>45688.325277777767</v>
      </c>
      <c r="K1059" s="10">
        <v>45688.325277777767</v>
      </c>
      <c r="L1059" s="10">
        <v>45688.326157407413</v>
      </c>
      <c r="M1059" s="11">
        <f t="shared" si="48"/>
        <v>2.3240740738401655E-2</v>
      </c>
      <c r="N1059" s="11">
        <f t="shared" si="49"/>
        <v>1.682233796302171</v>
      </c>
      <c r="O1059" s="10">
        <v>45686.647824074083</v>
      </c>
      <c r="P1059" s="11">
        <f t="shared" si="50"/>
        <v>1.653148148136097</v>
      </c>
      <c r="Q1059" s="12" t="s">
        <v>2929</v>
      </c>
    </row>
    <row r="1060" spans="1:17" ht="38.25" x14ac:dyDescent="0.25">
      <c r="A1060" s="3" t="s">
        <v>2930</v>
      </c>
      <c r="B1060" s="3" t="s">
        <v>436</v>
      </c>
      <c r="C1060" s="9">
        <v>15.74</v>
      </c>
      <c r="D1060" s="3" t="s">
        <v>484</v>
      </c>
      <c r="E1060" s="10">
        <v>45686.620682870373</v>
      </c>
      <c r="F1060" s="10">
        <v>45686.643923611111</v>
      </c>
      <c r="G1060" s="10">
        <v>45686.645648148151</v>
      </c>
      <c r="H1060" s="3" t="s">
        <v>2931</v>
      </c>
      <c r="I1060" s="10">
        <v>45688.530150462961</v>
      </c>
      <c r="J1060" s="10">
        <v>45688.554756944453</v>
      </c>
      <c r="K1060" s="10">
        <v>45688.554756944453</v>
      </c>
      <c r="L1060" s="10">
        <v>45688.55568287037</v>
      </c>
      <c r="M1060" s="11">
        <f t="shared" si="48"/>
        <v>2.4965277778392192E-2</v>
      </c>
      <c r="N1060" s="11">
        <f t="shared" si="49"/>
        <v>1.9100347222192795</v>
      </c>
      <c r="O1060" s="10">
        <v>45686.647812499999</v>
      </c>
      <c r="P1060" s="11">
        <f t="shared" si="50"/>
        <v>1.8823379629611736</v>
      </c>
      <c r="Q1060" s="12" t="s">
        <v>2932</v>
      </c>
    </row>
    <row r="1061" spans="1:17" ht="38.25" x14ac:dyDescent="0.25">
      <c r="A1061" s="3" t="s">
        <v>2933</v>
      </c>
      <c r="B1061" s="3" t="s">
        <v>436</v>
      </c>
      <c r="C1061" s="9">
        <v>19.899999999999999</v>
      </c>
      <c r="D1061" s="3" t="s">
        <v>492</v>
      </c>
      <c r="E1061" s="10">
        <v>45686.620682870373</v>
      </c>
      <c r="F1061" s="10">
        <v>45686.645648148151</v>
      </c>
      <c r="G1061" s="10">
        <v>45686.647569444453</v>
      </c>
      <c r="H1061" s="3" t="s">
        <v>2934</v>
      </c>
      <c r="I1061" s="10">
        <v>45687.864571759259</v>
      </c>
      <c r="J1061" s="10">
        <v>45687.882418981477</v>
      </c>
      <c r="K1061" s="10">
        <v>45687.882418981477</v>
      </c>
      <c r="L1061" s="10">
        <v>45687.883032407408</v>
      </c>
      <c r="M1061" s="11">
        <f t="shared" si="48"/>
        <v>2.6886574079981074E-2</v>
      </c>
      <c r="N1061" s="11">
        <f t="shared" si="49"/>
        <v>1.2354629629553529</v>
      </c>
      <c r="O1061" s="10">
        <v>45686.649953703702</v>
      </c>
      <c r="P1061" s="11">
        <f t="shared" si="50"/>
        <v>1.2146180555573665</v>
      </c>
      <c r="Q1061" s="12" t="s">
        <v>2935</v>
      </c>
    </row>
    <row r="1062" spans="1:17" ht="25.5" x14ac:dyDescent="0.25">
      <c r="A1062" s="3" t="s">
        <v>2936</v>
      </c>
      <c r="B1062" s="3" t="s">
        <v>436</v>
      </c>
      <c r="C1062" s="9">
        <v>77.959999999999994</v>
      </c>
      <c r="D1062" s="3" t="s">
        <v>506</v>
      </c>
      <c r="E1062" s="10">
        <v>45686.620682870373</v>
      </c>
      <c r="F1062" s="10">
        <v>45686.647569444453</v>
      </c>
      <c r="G1062" s="10">
        <v>45686.649212962962</v>
      </c>
      <c r="H1062" s="3" t="s">
        <v>2937</v>
      </c>
      <c r="I1062" s="10">
        <v>45687.732361111113</v>
      </c>
      <c r="J1062" s="10">
        <v>45687.76489583333</v>
      </c>
      <c r="K1062" s="10">
        <v>45687.76489583333</v>
      </c>
      <c r="L1062" s="10">
        <v>45687.765868055547</v>
      </c>
      <c r="M1062" s="11">
        <f t="shared" si="48"/>
        <v>2.8530092589790002E-2</v>
      </c>
      <c r="N1062" s="11">
        <f t="shared" si="49"/>
        <v>1.1166550925845513</v>
      </c>
      <c r="O1062" s="10">
        <v>45686.651585648149</v>
      </c>
      <c r="P1062" s="11">
        <f t="shared" si="50"/>
        <v>1.080775462964084</v>
      </c>
      <c r="Q1062" s="12" t="s">
        <v>2938</v>
      </c>
    </row>
    <row r="1063" spans="1:17" ht="38.25" x14ac:dyDescent="0.25">
      <c r="A1063" s="3" t="s">
        <v>2939</v>
      </c>
      <c r="B1063" s="3" t="s">
        <v>436</v>
      </c>
      <c r="C1063" s="9">
        <v>59.7</v>
      </c>
      <c r="D1063" s="3" t="s">
        <v>563</v>
      </c>
      <c r="E1063" s="10">
        <v>45686.620682870373</v>
      </c>
      <c r="F1063" s="10">
        <v>45686.649212962962</v>
      </c>
      <c r="G1063" s="10">
        <v>45686.651273148149</v>
      </c>
      <c r="H1063" s="3" t="s">
        <v>2908</v>
      </c>
      <c r="I1063" s="10">
        <v>45688.864212962973</v>
      </c>
      <c r="J1063" s="10">
        <v>45688.884293981479</v>
      </c>
      <c r="K1063" s="10">
        <v>45688.884293981479</v>
      </c>
      <c r="L1063" s="10">
        <v>45688.885115740741</v>
      </c>
      <c r="M1063" s="11">
        <f t="shared" si="48"/>
        <v>3.0590277776354924E-2</v>
      </c>
      <c r="N1063" s="11">
        <f t="shared" si="49"/>
        <v>2.2338425925918273</v>
      </c>
      <c r="O1063" s="10">
        <v>45686.655173611107</v>
      </c>
      <c r="P1063" s="11">
        <f t="shared" si="50"/>
        <v>2.2090393518665223</v>
      </c>
      <c r="Q1063" s="12" t="s">
        <v>2940</v>
      </c>
    </row>
    <row r="1064" spans="1:17" ht="25.5" x14ac:dyDescent="0.25">
      <c r="A1064" s="3" t="s">
        <v>2941</v>
      </c>
      <c r="B1064" s="3" t="s">
        <v>436</v>
      </c>
      <c r="C1064" s="9">
        <v>15.74</v>
      </c>
      <c r="D1064" s="3" t="s">
        <v>506</v>
      </c>
      <c r="E1064" s="10">
        <v>45686.620682870373</v>
      </c>
      <c r="F1064" s="10">
        <v>45686.651273148149</v>
      </c>
      <c r="G1064" s="10">
        <v>45686.652766203697</v>
      </c>
      <c r="H1064" s="3" t="s">
        <v>2937</v>
      </c>
      <c r="I1064" s="10">
        <v>45687.732361111113</v>
      </c>
      <c r="J1064" s="10">
        <v>45687.76489583333</v>
      </c>
      <c r="K1064" s="10">
        <v>45687.76489583333</v>
      </c>
      <c r="L1064" s="10">
        <v>45687.765868055547</v>
      </c>
      <c r="M1064" s="11">
        <f t="shared" si="48"/>
        <v>3.2083333324408159E-2</v>
      </c>
      <c r="N1064" s="11">
        <f t="shared" si="49"/>
        <v>1.1131018518499332</v>
      </c>
      <c r="O1064" s="10">
        <v>45686.656666666669</v>
      </c>
      <c r="P1064" s="11">
        <f t="shared" si="50"/>
        <v>1.0756944444437977</v>
      </c>
      <c r="Q1064" s="12" t="s">
        <v>2942</v>
      </c>
    </row>
    <row r="1065" spans="1:17" x14ac:dyDescent="0.25">
      <c r="A1065" s="3" t="s">
        <v>2943</v>
      </c>
      <c r="B1065" s="3" t="s">
        <v>436</v>
      </c>
      <c r="C1065" s="9">
        <v>84</v>
      </c>
      <c r="D1065" s="3" t="s">
        <v>488</v>
      </c>
      <c r="E1065" s="10">
        <v>45686.620682870373</v>
      </c>
      <c r="F1065" s="10"/>
      <c r="G1065" s="10"/>
      <c r="H1065" s="3"/>
      <c r="I1065" s="10"/>
      <c r="J1065" s="10"/>
      <c r="K1065" s="10"/>
      <c r="L1065" s="10"/>
      <c r="M1065" s="11" t="str">
        <f t="shared" si="48"/>
        <v/>
      </c>
      <c r="N1065" s="11" t="str">
        <f t="shared" si="49"/>
        <v/>
      </c>
      <c r="O1065" s="10"/>
      <c r="P1065" s="11" t="str">
        <f t="shared" si="50"/>
        <v/>
      </c>
      <c r="Q1065" s="12"/>
    </row>
    <row r="1066" spans="1:17" x14ac:dyDescent="0.25">
      <c r="A1066" s="3" t="s">
        <v>2944</v>
      </c>
      <c r="B1066" s="3" t="s">
        <v>436</v>
      </c>
      <c r="C1066" s="9">
        <v>57.4</v>
      </c>
      <c r="D1066" s="3" t="s">
        <v>519</v>
      </c>
      <c r="E1066" s="10">
        <v>45686.620682870373</v>
      </c>
      <c r="F1066" s="10"/>
      <c r="G1066" s="10"/>
      <c r="H1066" s="3"/>
      <c r="I1066" s="10"/>
      <c r="J1066" s="10"/>
      <c r="K1066" s="10"/>
      <c r="L1066" s="10"/>
      <c r="M1066" s="11" t="str">
        <f t="shared" si="48"/>
        <v/>
      </c>
      <c r="N1066" s="11" t="str">
        <f t="shared" si="49"/>
        <v/>
      </c>
      <c r="O1066" s="10"/>
      <c r="P1066" s="11" t="str">
        <f t="shared" si="50"/>
        <v/>
      </c>
      <c r="Q1066" s="12"/>
    </row>
    <row r="1067" spans="1:17" ht="25.5" x14ac:dyDescent="0.25">
      <c r="A1067" s="3" t="s">
        <v>2945</v>
      </c>
      <c r="B1067" s="3" t="s">
        <v>436</v>
      </c>
      <c r="C1067" s="9">
        <v>31.48</v>
      </c>
      <c r="D1067" s="3" t="s">
        <v>496</v>
      </c>
      <c r="E1067" s="10">
        <v>45686.620682870373</v>
      </c>
      <c r="F1067" s="10">
        <v>45686.652766203697</v>
      </c>
      <c r="G1067" s="10">
        <v>45686.654722222222</v>
      </c>
      <c r="H1067" s="3" t="s">
        <v>2926</v>
      </c>
      <c r="I1067" s="10">
        <v>45687.649409722217</v>
      </c>
      <c r="J1067" s="10">
        <v>45687.668935185182</v>
      </c>
      <c r="K1067" s="10">
        <v>45687.668935185182</v>
      </c>
      <c r="L1067" s="10">
        <v>45687.669594907413</v>
      </c>
      <c r="M1067" s="11">
        <f t="shared" si="48"/>
        <v>3.403935184906004E-2</v>
      </c>
      <c r="N1067" s="11">
        <f t="shared" si="49"/>
        <v>1.0148726851912215</v>
      </c>
      <c r="O1067" s="10">
        <v>45686.658263888887</v>
      </c>
      <c r="P1067" s="11">
        <f t="shared" si="50"/>
        <v>0.99114583332993789</v>
      </c>
      <c r="Q1067" s="12" t="s">
        <v>2946</v>
      </c>
    </row>
    <row r="1068" spans="1:17" x14ac:dyDescent="0.25">
      <c r="A1068" s="3" t="s">
        <v>2947</v>
      </c>
      <c r="B1068" s="3" t="s">
        <v>437</v>
      </c>
      <c r="C1068" s="9">
        <v>15.74</v>
      </c>
      <c r="D1068" s="3" t="s">
        <v>500</v>
      </c>
      <c r="E1068" s="10">
        <v>45686.659780092603</v>
      </c>
      <c r="F1068" s="10"/>
      <c r="G1068" s="10"/>
      <c r="H1068" s="3"/>
      <c r="I1068" s="10"/>
      <c r="J1068" s="10"/>
      <c r="K1068" s="10"/>
      <c r="L1068" s="10"/>
      <c r="M1068" s="11" t="str">
        <f t="shared" si="48"/>
        <v/>
      </c>
      <c r="N1068" s="11" t="str">
        <f t="shared" si="49"/>
        <v/>
      </c>
      <c r="O1068" s="10"/>
      <c r="P1068" s="11" t="str">
        <f t="shared" si="50"/>
        <v/>
      </c>
      <c r="Q1068" s="12"/>
    </row>
    <row r="1069" spans="1:17" x14ac:dyDescent="0.25">
      <c r="A1069" s="3" t="s">
        <v>2948</v>
      </c>
      <c r="B1069" s="3" t="s">
        <v>438</v>
      </c>
      <c r="C1069" s="9">
        <v>302.12000000000012</v>
      </c>
      <c r="D1069" s="3" t="s">
        <v>500</v>
      </c>
      <c r="E1069" s="10">
        <v>45686.730798611112</v>
      </c>
      <c r="F1069" s="10">
        <v>45686.736666666657</v>
      </c>
      <c r="G1069" s="10">
        <v>45686.738495370373</v>
      </c>
      <c r="H1069" s="3" t="s">
        <v>2949</v>
      </c>
      <c r="I1069" s="10">
        <v>45687.656041666669</v>
      </c>
      <c r="J1069" s="10">
        <v>45687.708495370367</v>
      </c>
      <c r="K1069" s="10">
        <v>45687.708495370367</v>
      </c>
      <c r="L1069" s="10">
        <v>45687.709664351853</v>
      </c>
      <c r="M1069" s="11">
        <f t="shared" si="48"/>
        <v>7.6967592613073066E-3</v>
      </c>
      <c r="N1069" s="11">
        <f t="shared" si="49"/>
        <v>0.97116898147942265</v>
      </c>
      <c r="O1069" s="10">
        <v>45686.740856481483</v>
      </c>
      <c r="P1069" s="11">
        <f t="shared" si="50"/>
        <v>0.91518518518569181</v>
      </c>
      <c r="Q1069" s="12" t="s">
        <v>2950</v>
      </c>
    </row>
    <row r="1070" spans="1:17" x14ac:dyDescent="0.25">
      <c r="A1070" s="3" t="s">
        <v>2951</v>
      </c>
      <c r="B1070" s="3" t="s">
        <v>439</v>
      </c>
      <c r="C1070" s="9">
        <v>15.74</v>
      </c>
      <c r="D1070" s="3" t="s">
        <v>523</v>
      </c>
      <c r="E1070" s="10">
        <v>45686.735335648147</v>
      </c>
      <c r="F1070" s="10">
        <v>45686.753240740742</v>
      </c>
      <c r="G1070" s="10">
        <v>45686.755243055559</v>
      </c>
      <c r="H1070" s="3"/>
      <c r="I1070" s="10"/>
      <c r="J1070" s="10"/>
      <c r="K1070" s="10"/>
      <c r="L1070" s="10"/>
      <c r="M1070" s="11">
        <f t="shared" si="48"/>
        <v>1.990740741166519E-2</v>
      </c>
      <c r="N1070" s="11" t="str">
        <f t="shared" si="49"/>
        <v/>
      </c>
      <c r="O1070" s="10">
        <v>45686.757604166669</v>
      </c>
      <c r="P1070" s="11" t="str">
        <f t="shared" si="50"/>
        <v/>
      </c>
      <c r="Q1070" s="12"/>
    </row>
    <row r="1071" spans="1:17" ht="25.5" x14ac:dyDescent="0.25">
      <c r="A1071" s="3" t="s">
        <v>2952</v>
      </c>
      <c r="B1071" s="3" t="s">
        <v>439</v>
      </c>
      <c r="C1071" s="9">
        <v>14</v>
      </c>
      <c r="D1071" s="3" t="s">
        <v>595</v>
      </c>
      <c r="E1071" s="10">
        <v>45686.735335648147</v>
      </c>
      <c r="F1071" s="10">
        <v>45686.755243055559</v>
      </c>
      <c r="G1071" s="10">
        <v>45686.756493055553</v>
      </c>
      <c r="H1071" s="3" t="s">
        <v>2785</v>
      </c>
      <c r="I1071" s="10">
        <v>45688.30097222222</v>
      </c>
      <c r="J1071" s="10">
        <v>45688.325277777767</v>
      </c>
      <c r="K1071" s="10">
        <v>45688.325277777767</v>
      </c>
      <c r="L1071" s="10">
        <v>45688.326157407413</v>
      </c>
      <c r="M1071" s="11">
        <f t="shared" si="48"/>
        <v>2.1157407405553386E-2</v>
      </c>
      <c r="N1071" s="11">
        <f t="shared" si="49"/>
        <v>1.5696643518604105</v>
      </c>
      <c r="O1071" s="10">
        <v>45686.760034722232</v>
      </c>
      <c r="P1071" s="11">
        <f t="shared" si="50"/>
        <v>1.5409374999871943</v>
      </c>
      <c r="Q1071" s="12" t="s">
        <v>2953</v>
      </c>
    </row>
    <row r="1072" spans="1:17" ht="25.5" x14ac:dyDescent="0.25">
      <c r="A1072" s="3" t="s">
        <v>2954</v>
      </c>
      <c r="B1072" s="3" t="s">
        <v>439</v>
      </c>
      <c r="C1072" s="9">
        <v>27</v>
      </c>
      <c r="D1072" s="3" t="s">
        <v>527</v>
      </c>
      <c r="E1072" s="10">
        <v>45686.735335648147</v>
      </c>
      <c r="F1072" s="10">
        <v>45686.756493055553</v>
      </c>
      <c r="G1072" s="10">
        <v>45686.758402777778</v>
      </c>
      <c r="H1072" s="3" t="s">
        <v>2955</v>
      </c>
      <c r="I1072" s="10">
        <v>45688.194351851853</v>
      </c>
      <c r="J1072" s="10">
        <v>45688.24591435185</v>
      </c>
      <c r="K1072" s="10">
        <v>45688.24591435185</v>
      </c>
      <c r="L1072" s="10">
        <v>45688.246990740743</v>
      </c>
      <c r="M1072" s="11">
        <f t="shared" si="48"/>
        <v>2.3067129630362615E-2</v>
      </c>
      <c r="N1072" s="11">
        <f t="shared" si="49"/>
        <v>1.4885879629655392</v>
      </c>
      <c r="O1072" s="10">
        <v>45686.760775462957</v>
      </c>
      <c r="P1072" s="11">
        <f t="shared" si="50"/>
        <v>1.4335763888957445</v>
      </c>
      <c r="Q1072" s="12" t="s">
        <v>2956</v>
      </c>
    </row>
    <row r="1073" spans="1:17" ht="25.5" x14ac:dyDescent="0.25">
      <c r="A1073" s="3" t="s">
        <v>2957</v>
      </c>
      <c r="B1073" s="3" t="s">
        <v>439</v>
      </c>
      <c r="C1073" s="9">
        <v>15.74</v>
      </c>
      <c r="D1073" s="3" t="s">
        <v>1033</v>
      </c>
      <c r="E1073" s="10">
        <v>45686.735335648147</v>
      </c>
      <c r="F1073" s="10">
        <v>45686.758402777778</v>
      </c>
      <c r="G1073" s="10">
        <v>45686.760324074072</v>
      </c>
      <c r="H1073" s="3" t="s">
        <v>2888</v>
      </c>
      <c r="I1073" s="10">
        <v>45688.347222222219</v>
      </c>
      <c r="J1073" s="10">
        <v>45688.369166666656</v>
      </c>
      <c r="K1073" s="10">
        <v>45688.369166666656</v>
      </c>
      <c r="L1073" s="10">
        <v>45688.369988425933</v>
      </c>
      <c r="M1073" s="11">
        <f t="shared" si="48"/>
        <v>2.4988425924675539E-2</v>
      </c>
      <c r="N1073" s="11">
        <f t="shared" si="49"/>
        <v>1.6096643518612836</v>
      </c>
      <c r="O1073" s="10">
        <v>45686.76421296296</v>
      </c>
      <c r="P1073" s="11">
        <f t="shared" si="50"/>
        <v>1.583009259258688</v>
      </c>
      <c r="Q1073" s="12" t="s">
        <v>2958</v>
      </c>
    </row>
    <row r="1074" spans="1:17" ht="25.5" x14ac:dyDescent="0.25">
      <c r="A1074" s="3" t="s">
        <v>2959</v>
      </c>
      <c r="B1074" s="3" t="s">
        <v>439</v>
      </c>
      <c r="C1074" s="9">
        <v>93.699999999999989</v>
      </c>
      <c r="D1074" s="3" t="s">
        <v>506</v>
      </c>
      <c r="E1074" s="10">
        <v>45686.735335648147</v>
      </c>
      <c r="F1074" s="10">
        <v>45686.760324074072</v>
      </c>
      <c r="G1074" s="10">
        <v>45686.761967592603</v>
      </c>
      <c r="H1074" s="3" t="s">
        <v>2937</v>
      </c>
      <c r="I1074" s="10">
        <v>45687.732361111113</v>
      </c>
      <c r="J1074" s="10">
        <v>45687.76489583333</v>
      </c>
      <c r="K1074" s="10">
        <v>45687.76489583333</v>
      </c>
      <c r="L1074" s="10">
        <v>45687.765868055547</v>
      </c>
      <c r="M1074" s="11">
        <f t="shared" si="48"/>
        <v>2.663194445631234E-2</v>
      </c>
      <c r="N1074" s="11">
        <f t="shared" si="49"/>
        <v>1.0039004629434203</v>
      </c>
      <c r="O1074" s="10">
        <v>45686.765879629631</v>
      </c>
      <c r="P1074" s="11">
        <f t="shared" si="50"/>
        <v>0.96648148148233304</v>
      </c>
      <c r="Q1074" s="12" t="s">
        <v>2960</v>
      </c>
    </row>
    <row r="1075" spans="1:17" ht="25.5" x14ac:dyDescent="0.25">
      <c r="A1075" s="3" t="s">
        <v>2961</v>
      </c>
      <c r="B1075" s="3" t="s">
        <v>439</v>
      </c>
      <c r="C1075" s="9">
        <v>54</v>
      </c>
      <c r="D1075" s="3" t="s">
        <v>527</v>
      </c>
      <c r="E1075" s="10">
        <v>45686.735335648147</v>
      </c>
      <c r="F1075" s="10">
        <v>45686.761967592603</v>
      </c>
      <c r="G1075" s="10">
        <v>45686.76394675926</v>
      </c>
      <c r="H1075" s="3" t="s">
        <v>2955</v>
      </c>
      <c r="I1075" s="10">
        <v>45688.194351851853</v>
      </c>
      <c r="J1075" s="10">
        <v>45688.24591435185</v>
      </c>
      <c r="K1075" s="10">
        <v>45688.24591435185</v>
      </c>
      <c r="L1075" s="10">
        <v>45688.246990740743</v>
      </c>
      <c r="M1075" s="11">
        <f t="shared" si="48"/>
        <v>2.8611111112695653E-2</v>
      </c>
      <c r="N1075" s="11">
        <f t="shared" si="49"/>
        <v>1.4830439814832062</v>
      </c>
      <c r="O1075" s="10">
        <v>45686.767500000002</v>
      </c>
      <c r="P1075" s="11">
        <f t="shared" si="50"/>
        <v>1.4268518518510973</v>
      </c>
      <c r="Q1075" s="12" t="s">
        <v>2962</v>
      </c>
    </row>
    <row r="1076" spans="1:17" ht="25.5" x14ac:dyDescent="0.25">
      <c r="A1076" s="3" t="s">
        <v>2963</v>
      </c>
      <c r="B1076" s="3" t="s">
        <v>439</v>
      </c>
      <c r="C1076" s="9">
        <v>42</v>
      </c>
      <c r="D1076" s="3" t="s">
        <v>488</v>
      </c>
      <c r="E1076" s="10">
        <v>45686.735335648147</v>
      </c>
      <c r="F1076" s="10">
        <v>45686.76394675926</v>
      </c>
      <c r="G1076" s="10">
        <v>45686.7658912037</v>
      </c>
      <c r="H1076" s="3" t="s">
        <v>2934</v>
      </c>
      <c r="I1076" s="10">
        <v>45687.864571759259</v>
      </c>
      <c r="J1076" s="10">
        <v>45687.882418981477</v>
      </c>
      <c r="K1076" s="10">
        <v>45687.882418981477</v>
      </c>
      <c r="L1076" s="10">
        <v>45687.883032407408</v>
      </c>
      <c r="M1076" s="11">
        <f t="shared" si="48"/>
        <v>3.0555555553291924E-2</v>
      </c>
      <c r="N1076" s="11">
        <f t="shared" si="49"/>
        <v>1.1171412037074333</v>
      </c>
      <c r="O1076" s="10">
        <v>45686.768252314818</v>
      </c>
      <c r="P1076" s="11">
        <f t="shared" si="50"/>
        <v>1.0963194444411783</v>
      </c>
      <c r="Q1076" s="12" t="s">
        <v>2964</v>
      </c>
    </row>
    <row r="1077" spans="1:17" ht="38.25" x14ac:dyDescent="0.25">
      <c r="A1077" s="3" t="s">
        <v>2965</v>
      </c>
      <c r="B1077" s="3" t="s">
        <v>439</v>
      </c>
      <c r="C1077" s="9">
        <v>39.799999999999997</v>
      </c>
      <c r="D1077" s="3" t="s">
        <v>539</v>
      </c>
      <c r="E1077" s="10">
        <v>45686.735335648147</v>
      </c>
      <c r="F1077" s="10">
        <v>45686.7658912037</v>
      </c>
      <c r="G1077" s="10">
        <v>45686.767534722218</v>
      </c>
      <c r="H1077" s="3" t="s">
        <v>2902</v>
      </c>
      <c r="I1077" s="10">
        <v>45688.332349537042</v>
      </c>
      <c r="J1077" s="10">
        <v>45688.405370370368</v>
      </c>
      <c r="K1077" s="10">
        <v>45688.405370370368</v>
      </c>
      <c r="L1077" s="10">
        <v>45688.406944444447</v>
      </c>
      <c r="M1077" s="11">
        <f t="shared" si="48"/>
        <v>3.219907407037681E-2</v>
      </c>
      <c r="N1077" s="11">
        <f t="shared" si="49"/>
        <v>1.6394097222291748</v>
      </c>
      <c r="O1077" s="10">
        <v>45686.771435185183</v>
      </c>
      <c r="P1077" s="11">
        <f t="shared" si="50"/>
        <v>1.5609143518595374</v>
      </c>
      <c r="Q1077" s="12" t="s">
        <v>2966</v>
      </c>
    </row>
    <row r="1078" spans="1:17" ht="25.5" x14ac:dyDescent="0.25">
      <c r="A1078" s="3" t="s">
        <v>2967</v>
      </c>
      <c r="B1078" s="3" t="s">
        <v>439</v>
      </c>
      <c r="C1078" s="9">
        <v>39.799999999999997</v>
      </c>
      <c r="D1078" s="3" t="s">
        <v>488</v>
      </c>
      <c r="E1078" s="10">
        <v>45686.735335648147</v>
      </c>
      <c r="F1078" s="10">
        <v>45686.767534722218</v>
      </c>
      <c r="G1078" s="10">
        <v>45686.769467592603</v>
      </c>
      <c r="H1078" s="3" t="s">
        <v>2934</v>
      </c>
      <c r="I1078" s="10">
        <v>45687.864571759259</v>
      </c>
      <c r="J1078" s="10">
        <v>45687.882418981477</v>
      </c>
      <c r="K1078" s="10">
        <v>45687.882418981477</v>
      </c>
      <c r="L1078" s="10">
        <v>45687.883032407408</v>
      </c>
      <c r="M1078" s="11">
        <f t="shared" si="48"/>
        <v>3.4131944456021301E-2</v>
      </c>
      <c r="N1078" s="11">
        <f t="shared" si="49"/>
        <v>1.1135648148047039</v>
      </c>
      <c r="O1078" s="10">
        <v>45686.773368055547</v>
      </c>
      <c r="P1078" s="11">
        <f t="shared" si="50"/>
        <v>1.091203703712381</v>
      </c>
      <c r="Q1078" s="12" t="s">
        <v>2968</v>
      </c>
    </row>
    <row r="1079" spans="1:17" ht="38.25" x14ac:dyDescent="0.25">
      <c r="A1079" s="3" t="s">
        <v>2969</v>
      </c>
      <c r="B1079" s="3" t="s">
        <v>439</v>
      </c>
      <c r="C1079" s="9">
        <v>15.74</v>
      </c>
      <c r="D1079" s="3" t="s">
        <v>484</v>
      </c>
      <c r="E1079" s="10">
        <v>45686.735335648147</v>
      </c>
      <c r="F1079" s="10">
        <v>45686.769467592603</v>
      </c>
      <c r="G1079" s="10">
        <v>45686.771168981482</v>
      </c>
      <c r="H1079" s="3" t="s">
        <v>2931</v>
      </c>
      <c r="I1079" s="10">
        <v>45688.530150462961</v>
      </c>
      <c r="J1079" s="10">
        <v>45688.554756944453</v>
      </c>
      <c r="K1079" s="10">
        <v>45688.554756944453</v>
      </c>
      <c r="L1079" s="10">
        <v>45688.55568287037</v>
      </c>
      <c r="M1079" s="11">
        <f t="shared" si="48"/>
        <v>3.5833333335176576E-2</v>
      </c>
      <c r="N1079" s="11">
        <f t="shared" si="49"/>
        <v>1.7845138888878864</v>
      </c>
      <c r="O1079" s="10">
        <v>45686.774722222217</v>
      </c>
      <c r="P1079" s="11">
        <f t="shared" si="50"/>
        <v>1.7554282407436403</v>
      </c>
      <c r="Q1079" s="12" t="s">
        <v>2970</v>
      </c>
    </row>
    <row r="1080" spans="1:17" x14ac:dyDescent="0.25">
      <c r="A1080" s="3" t="s">
        <v>2971</v>
      </c>
      <c r="B1080" s="3" t="s">
        <v>439</v>
      </c>
      <c r="C1080" s="9">
        <v>19.899999999999999</v>
      </c>
      <c r="D1080" s="3" t="s">
        <v>515</v>
      </c>
      <c r="E1080" s="10">
        <v>45686.735335648147</v>
      </c>
      <c r="F1080" s="10"/>
      <c r="G1080" s="10"/>
      <c r="H1080" s="3"/>
      <c r="I1080" s="10"/>
      <c r="J1080" s="10"/>
      <c r="K1080" s="10"/>
      <c r="L1080" s="10"/>
      <c r="M1080" s="11" t="str">
        <f t="shared" si="48"/>
        <v/>
      </c>
      <c r="N1080" s="11" t="str">
        <f t="shared" si="49"/>
        <v/>
      </c>
      <c r="O1080" s="10"/>
      <c r="P1080" s="11" t="str">
        <f t="shared" si="50"/>
        <v/>
      </c>
      <c r="Q1080" s="12"/>
    </row>
    <row r="1081" spans="1:17" x14ac:dyDescent="0.25">
      <c r="A1081" s="3" t="s">
        <v>2972</v>
      </c>
      <c r="B1081" s="3" t="s">
        <v>440</v>
      </c>
      <c r="C1081" s="9">
        <v>380.82000000000011</v>
      </c>
      <c r="D1081" s="3" t="s">
        <v>500</v>
      </c>
      <c r="E1081" s="10">
        <v>45686.86755787037</v>
      </c>
      <c r="F1081" s="10">
        <v>45686.874513888892</v>
      </c>
      <c r="G1081" s="10">
        <v>45686.877083333333</v>
      </c>
      <c r="H1081" s="3" t="s">
        <v>2973</v>
      </c>
      <c r="I1081" s="10">
        <v>45687.831203703703</v>
      </c>
      <c r="J1081" s="10">
        <v>45687.897326388891</v>
      </c>
      <c r="K1081" s="10">
        <v>45687.897326388891</v>
      </c>
      <c r="L1081" s="10">
        <v>45687.898715277777</v>
      </c>
      <c r="M1081" s="11">
        <f t="shared" si="48"/>
        <v>9.5254629632108845E-3</v>
      </c>
      <c r="N1081" s="11">
        <f t="shared" si="49"/>
        <v>1.0216319444443798</v>
      </c>
      <c r="O1081" s="10">
        <v>45686.879467592589</v>
      </c>
      <c r="P1081" s="11">
        <f t="shared" si="50"/>
        <v>0.95173611111385981</v>
      </c>
      <c r="Q1081" s="12" t="s">
        <v>2974</v>
      </c>
    </row>
    <row r="1082" spans="1:17" ht="25.5" x14ac:dyDescent="0.25">
      <c r="A1082" s="3" t="s">
        <v>2975</v>
      </c>
      <c r="B1082" s="3" t="s">
        <v>441</v>
      </c>
      <c r="C1082" s="9">
        <v>21</v>
      </c>
      <c r="D1082" s="3" t="s">
        <v>488</v>
      </c>
      <c r="E1082" s="10">
        <v>45687.114293981482</v>
      </c>
      <c r="F1082" s="10">
        <v>45687.123171296298</v>
      </c>
      <c r="G1082" s="10">
        <v>45687.125092592592</v>
      </c>
      <c r="H1082" s="3" t="s">
        <v>2934</v>
      </c>
      <c r="I1082" s="10">
        <v>45687.864571759259</v>
      </c>
      <c r="J1082" s="10">
        <v>45687.882418981477</v>
      </c>
      <c r="K1082" s="10">
        <v>45687.882418981477</v>
      </c>
      <c r="L1082" s="10">
        <v>45687.883032407408</v>
      </c>
      <c r="M1082" s="11">
        <f t="shared" si="48"/>
        <v>1.0798611110658385E-2</v>
      </c>
      <c r="N1082" s="11">
        <f t="shared" si="49"/>
        <v>0.75793981481547235</v>
      </c>
      <c r="O1082" s="10">
        <v>45687.129016203697</v>
      </c>
      <c r="P1082" s="11">
        <f t="shared" si="50"/>
        <v>0.73555555556231411</v>
      </c>
      <c r="Q1082" s="12" t="s">
        <v>2976</v>
      </c>
    </row>
    <row r="1083" spans="1:17" ht="38.25" x14ac:dyDescent="0.25">
      <c r="A1083" s="3" t="s">
        <v>2977</v>
      </c>
      <c r="B1083" s="3" t="s">
        <v>441</v>
      </c>
      <c r="C1083" s="9">
        <v>51.38</v>
      </c>
      <c r="D1083" s="3" t="s">
        <v>484</v>
      </c>
      <c r="E1083" s="10">
        <v>45687.114293981482</v>
      </c>
      <c r="F1083" s="10">
        <v>45687.125092592592</v>
      </c>
      <c r="G1083" s="10">
        <v>45687.126898148148</v>
      </c>
      <c r="H1083" s="3" t="s">
        <v>2931</v>
      </c>
      <c r="I1083" s="10">
        <v>45688.530150462961</v>
      </c>
      <c r="J1083" s="10">
        <v>45688.554756944453</v>
      </c>
      <c r="K1083" s="10">
        <v>45688.554756944453</v>
      </c>
      <c r="L1083" s="10">
        <v>45688.55568287037</v>
      </c>
      <c r="M1083" s="11">
        <f t="shared" si="48"/>
        <v>1.2604166666278616E-2</v>
      </c>
      <c r="N1083" s="11">
        <f t="shared" si="49"/>
        <v>1.4287847222221899</v>
      </c>
      <c r="O1083" s="10">
        <v>45687.130474537043</v>
      </c>
      <c r="P1083" s="11">
        <f t="shared" si="50"/>
        <v>1.3996759259171085</v>
      </c>
      <c r="Q1083" s="12" t="s">
        <v>2978</v>
      </c>
    </row>
    <row r="1084" spans="1:17" ht="25.5" x14ac:dyDescent="0.25">
      <c r="A1084" s="3" t="s">
        <v>2979</v>
      </c>
      <c r="B1084" s="3" t="s">
        <v>441</v>
      </c>
      <c r="C1084" s="9">
        <v>31.48</v>
      </c>
      <c r="D1084" s="3" t="s">
        <v>496</v>
      </c>
      <c r="E1084" s="10">
        <v>45687.114293981482</v>
      </c>
      <c r="F1084" s="10">
        <v>45687.126898148148</v>
      </c>
      <c r="G1084" s="10">
        <v>45687.128101851849</v>
      </c>
      <c r="H1084" s="3" t="s">
        <v>2980</v>
      </c>
      <c r="I1084" s="10">
        <v>45688.407013888893</v>
      </c>
      <c r="J1084" s="10">
        <v>45688.457662037043</v>
      </c>
      <c r="K1084" s="10">
        <v>45688.457662037043</v>
      </c>
      <c r="L1084" s="10">
        <v>45688.458796296298</v>
      </c>
      <c r="M1084" s="11">
        <f t="shared" si="48"/>
        <v>1.3807870367600117E-2</v>
      </c>
      <c r="N1084" s="11">
        <f t="shared" si="49"/>
        <v>1.3306944444484543</v>
      </c>
      <c r="O1084" s="10">
        <v>45687.130474537043</v>
      </c>
      <c r="P1084" s="11">
        <f t="shared" si="50"/>
        <v>1.2765393518493511</v>
      </c>
      <c r="Q1084" s="12" t="s">
        <v>2981</v>
      </c>
    </row>
    <row r="1085" spans="1:17" ht="51" x14ac:dyDescent="0.25">
      <c r="A1085" s="3" t="s">
        <v>2982</v>
      </c>
      <c r="B1085" s="3" t="s">
        <v>441</v>
      </c>
      <c r="C1085" s="9">
        <v>12.04</v>
      </c>
      <c r="D1085" s="3" t="s">
        <v>492</v>
      </c>
      <c r="E1085" s="10">
        <v>45687.114293981482</v>
      </c>
      <c r="F1085" s="10">
        <v>45687.128101851849</v>
      </c>
      <c r="G1085" s="10">
        <v>45687.13</v>
      </c>
      <c r="H1085" s="3" t="s">
        <v>2983</v>
      </c>
      <c r="I1085" s="10">
        <v>45688.750717592593</v>
      </c>
      <c r="J1085" s="10">
        <v>45688.771377314813</v>
      </c>
      <c r="K1085" s="10">
        <v>45688.771377314813</v>
      </c>
      <c r="L1085" s="10">
        <v>45688.77202546296</v>
      </c>
      <c r="M1085" s="11">
        <f t="shared" si="48"/>
        <v>1.5706018515629694E-2</v>
      </c>
      <c r="N1085" s="11">
        <f t="shared" si="49"/>
        <v>1.6420254629629198</v>
      </c>
      <c r="O1085" s="10">
        <v>45687.132395833331</v>
      </c>
      <c r="P1085" s="11">
        <f t="shared" si="50"/>
        <v>1.6183217592624715</v>
      </c>
      <c r="Q1085" s="12" t="s">
        <v>2984</v>
      </c>
    </row>
    <row r="1086" spans="1:17" ht="25.5" x14ac:dyDescent="0.25">
      <c r="A1086" s="3" t="s">
        <v>2985</v>
      </c>
      <c r="B1086" s="3" t="s">
        <v>441</v>
      </c>
      <c r="C1086" s="9">
        <v>21</v>
      </c>
      <c r="D1086" s="3" t="s">
        <v>488</v>
      </c>
      <c r="E1086" s="10">
        <v>45687.114293981482</v>
      </c>
      <c r="F1086" s="10">
        <v>45687.13</v>
      </c>
      <c r="G1086" s="10">
        <v>45687.13140046296</v>
      </c>
      <c r="H1086" s="3" t="s">
        <v>2986</v>
      </c>
      <c r="I1086" s="10">
        <v>45688.259710648148</v>
      </c>
      <c r="J1086" s="10">
        <v>45688.277361111112</v>
      </c>
      <c r="K1086" s="10">
        <v>45688.277361111112</v>
      </c>
      <c r="L1086" s="10">
        <v>45688.278090277781</v>
      </c>
      <c r="M1086" s="11">
        <f t="shared" si="48"/>
        <v>1.710648147854954E-2</v>
      </c>
      <c r="N1086" s="11">
        <f t="shared" si="49"/>
        <v>1.1466898148210021</v>
      </c>
      <c r="O1086" s="10">
        <v>45687.133773148147</v>
      </c>
      <c r="P1086" s="11">
        <f t="shared" si="50"/>
        <v>1.1259375000008731</v>
      </c>
      <c r="Q1086" s="12" t="s">
        <v>2987</v>
      </c>
    </row>
    <row r="1087" spans="1:17" x14ac:dyDescent="0.25">
      <c r="A1087" s="3" t="s">
        <v>2988</v>
      </c>
      <c r="B1087" s="3" t="s">
        <v>442</v>
      </c>
      <c r="C1087" s="9">
        <v>297</v>
      </c>
      <c r="D1087" s="3" t="s">
        <v>500</v>
      </c>
      <c r="E1087" s="10">
        <v>45687.264120370368</v>
      </c>
      <c r="F1087" s="10">
        <v>45687.270358796297</v>
      </c>
      <c r="G1087" s="10">
        <v>45687.272280092591</v>
      </c>
      <c r="H1087" s="3" t="s">
        <v>2989</v>
      </c>
      <c r="I1087" s="10">
        <v>45688.137141203697</v>
      </c>
      <c r="J1087" s="10">
        <v>45688.188703703701</v>
      </c>
      <c r="K1087" s="10">
        <v>45688.188703703701</v>
      </c>
      <c r="L1087" s="10">
        <v>45688.189814814818</v>
      </c>
      <c r="M1087" s="11">
        <f t="shared" si="48"/>
        <v>8.1597222233540379E-3</v>
      </c>
      <c r="N1087" s="11">
        <f t="shared" si="49"/>
        <v>0.91753472222626442</v>
      </c>
      <c r="O1087" s="10">
        <v>45687.274675925917</v>
      </c>
      <c r="P1087" s="11">
        <f t="shared" si="50"/>
        <v>0.86246527777984738</v>
      </c>
      <c r="Q1087" s="12" t="s">
        <v>2990</v>
      </c>
    </row>
    <row r="1088" spans="1:17" x14ac:dyDescent="0.25">
      <c r="A1088" s="3" t="s">
        <v>2991</v>
      </c>
      <c r="B1088" s="3" t="s">
        <v>443</v>
      </c>
      <c r="C1088" s="9">
        <v>336.5</v>
      </c>
      <c r="D1088" s="3" t="s">
        <v>500</v>
      </c>
      <c r="E1088" s="10">
        <v>45687.291087962964</v>
      </c>
      <c r="F1088" s="10"/>
      <c r="G1088" s="10"/>
      <c r="H1088" s="3"/>
      <c r="I1088" s="10"/>
      <c r="J1088" s="10"/>
      <c r="K1088" s="10"/>
      <c r="L1088" s="10"/>
      <c r="M1088" s="11" t="str">
        <f t="shared" si="48"/>
        <v/>
      </c>
      <c r="N1088" s="11" t="str">
        <f t="shared" si="49"/>
        <v/>
      </c>
      <c r="O1088" s="10"/>
      <c r="P1088" s="11" t="str">
        <f t="shared" si="50"/>
        <v/>
      </c>
      <c r="Q1088" s="12"/>
    </row>
    <row r="1089" spans="1:17" ht="51" x14ac:dyDescent="0.25">
      <c r="A1089" s="3" t="s">
        <v>2992</v>
      </c>
      <c r="B1089" s="3" t="s">
        <v>444</v>
      </c>
      <c r="C1089" s="9">
        <v>24.08</v>
      </c>
      <c r="D1089" s="3" t="s">
        <v>492</v>
      </c>
      <c r="E1089" s="10">
        <v>45687.302418981482</v>
      </c>
      <c r="F1089" s="10">
        <v>45687.323888888888</v>
      </c>
      <c r="G1089" s="10">
        <v>45687.325682870367</v>
      </c>
      <c r="H1089" s="3" t="s">
        <v>2983</v>
      </c>
      <c r="I1089" s="10">
        <v>45688.750717592593</v>
      </c>
      <c r="J1089" s="10">
        <v>45688.771377314813</v>
      </c>
      <c r="K1089" s="10">
        <v>45688.771377314813</v>
      </c>
      <c r="L1089" s="10">
        <v>45688.77202546296</v>
      </c>
      <c r="M1089" s="11">
        <f t="shared" si="48"/>
        <v>2.3263888884685002E-2</v>
      </c>
      <c r="N1089" s="11">
        <f t="shared" si="49"/>
        <v>1.4463425925932825</v>
      </c>
      <c r="O1089" s="10">
        <v>45687.329224537039</v>
      </c>
      <c r="P1089" s="11">
        <f t="shared" si="50"/>
        <v>1.421493055553583</v>
      </c>
      <c r="Q1089" s="12" t="s">
        <v>2993</v>
      </c>
    </row>
    <row r="1090" spans="1:17" ht="25.5" x14ac:dyDescent="0.25">
      <c r="A1090" s="3" t="s">
        <v>2994</v>
      </c>
      <c r="B1090" s="3" t="s">
        <v>444</v>
      </c>
      <c r="C1090" s="9">
        <v>216</v>
      </c>
      <c r="D1090" s="3" t="s">
        <v>527</v>
      </c>
      <c r="E1090" s="10">
        <v>45687.302418981482</v>
      </c>
      <c r="F1090" s="10">
        <v>45687.325682870367</v>
      </c>
      <c r="G1090" s="10">
        <v>45687.327916666669</v>
      </c>
      <c r="H1090" s="3" t="s">
        <v>2955</v>
      </c>
      <c r="I1090" s="10">
        <v>45688.194351851853</v>
      </c>
      <c r="J1090" s="10">
        <v>45688.24591435185</v>
      </c>
      <c r="K1090" s="10">
        <v>45688.24591435185</v>
      </c>
      <c r="L1090" s="10">
        <v>45688.246990740743</v>
      </c>
      <c r="M1090" s="11">
        <f t="shared" ref="M1090:M1153" si="51">IF(AND(ISNUMBER(E1090),ISNUMBER(G1090)),(G1090-E1090),"")</f>
        <v>2.5497685186564922E-2</v>
      </c>
      <c r="N1090" s="11">
        <f t="shared" ref="N1090:N1153" si="52">IF(AND(ISNUMBER(G1090),ISNUMBER(L1090)),(L1090-G1090),"")</f>
        <v>0.91907407407416031</v>
      </c>
      <c r="O1090" s="10">
        <v>45687.33184027778</v>
      </c>
      <c r="P1090" s="11">
        <f t="shared" ref="P1090:P1153" si="53">IF(AND(ISNUMBER(I1090),ISNUMBER(O1090)),(I1090-O1090),"")</f>
        <v>0.86251157407241408</v>
      </c>
      <c r="Q1090" s="12" t="s">
        <v>2995</v>
      </c>
    </row>
    <row r="1091" spans="1:17" ht="25.5" x14ac:dyDescent="0.25">
      <c r="A1091" s="3" t="s">
        <v>2996</v>
      </c>
      <c r="B1091" s="3" t="s">
        <v>444</v>
      </c>
      <c r="C1091" s="9">
        <v>19.899999999999999</v>
      </c>
      <c r="D1091" s="3" t="s">
        <v>488</v>
      </c>
      <c r="E1091" s="10">
        <v>45687.302418981482</v>
      </c>
      <c r="F1091" s="10">
        <v>45687.327916666669</v>
      </c>
      <c r="G1091" s="10">
        <v>45687.32916666667</v>
      </c>
      <c r="H1091" s="3" t="s">
        <v>2986</v>
      </c>
      <c r="I1091" s="10">
        <v>45688.259710648148</v>
      </c>
      <c r="J1091" s="10">
        <v>45688.277361111112</v>
      </c>
      <c r="K1091" s="10">
        <v>45688.277361111112</v>
      </c>
      <c r="L1091" s="10">
        <v>45688.278090277781</v>
      </c>
      <c r="M1091" s="11">
        <f t="shared" si="51"/>
        <v>2.6747685187729076E-2</v>
      </c>
      <c r="N1091" s="11">
        <f t="shared" si="52"/>
        <v>0.94892361111124046</v>
      </c>
      <c r="O1091" s="10">
        <v>45687.332731481481</v>
      </c>
      <c r="P1091" s="11">
        <f t="shared" si="53"/>
        <v>0.92697916666656965</v>
      </c>
      <c r="Q1091" s="12" t="s">
        <v>2997</v>
      </c>
    </row>
    <row r="1092" spans="1:17" x14ac:dyDescent="0.25">
      <c r="A1092" s="3" t="s">
        <v>2998</v>
      </c>
      <c r="B1092" s="3" t="s">
        <v>444</v>
      </c>
      <c r="C1092" s="9">
        <v>23.24</v>
      </c>
      <c r="D1092" s="3" t="s">
        <v>506</v>
      </c>
      <c r="E1092" s="10">
        <v>45687.302418981482</v>
      </c>
      <c r="F1092" s="10"/>
      <c r="G1092" s="10"/>
      <c r="H1092" s="3"/>
      <c r="I1092" s="10"/>
      <c r="J1092" s="10"/>
      <c r="K1092" s="10"/>
      <c r="L1092" s="10"/>
      <c r="M1092" s="11" t="str">
        <f t="shared" si="51"/>
        <v/>
      </c>
      <c r="N1092" s="11" t="str">
        <f t="shared" si="52"/>
        <v/>
      </c>
      <c r="O1092" s="10"/>
      <c r="P1092" s="11" t="str">
        <f t="shared" si="53"/>
        <v/>
      </c>
      <c r="Q1092" s="12"/>
    </row>
    <row r="1093" spans="1:17" ht="51" x14ac:dyDescent="0.25">
      <c r="A1093" s="3" t="s">
        <v>2999</v>
      </c>
      <c r="B1093" s="3" t="s">
        <v>444</v>
      </c>
      <c r="C1093" s="9">
        <v>15.74</v>
      </c>
      <c r="D1093" s="3" t="s">
        <v>654</v>
      </c>
      <c r="E1093" s="10">
        <v>45687.302418981482</v>
      </c>
      <c r="F1093" s="10">
        <v>45687.32916666667</v>
      </c>
      <c r="G1093" s="10">
        <v>45687.330775462957</v>
      </c>
      <c r="H1093" s="3" t="s">
        <v>3000</v>
      </c>
      <c r="I1093" s="10"/>
      <c r="J1093" s="10"/>
      <c r="K1093" s="10"/>
      <c r="L1093" s="10"/>
      <c r="M1093" s="11">
        <f t="shared" si="51"/>
        <v>2.8356481474475004E-2</v>
      </c>
      <c r="N1093" s="11" t="str">
        <f t="shared" si="52"/>
        <v/>
      </c>
      <c r="O1093" s="10">
        <v>45687.333148148151</v>
      </c>
      <c r="P1093" s="11" t="str">
        <f t="shared" si="53"/>
        <v/>
      </c>
      <c r="Q1093" s="12" t="s">
        <v>3001</v>
      </c>
    </row>
    <row r="1094" spans="1:17" ht="25.5" x14ac:dyDescent="0.25">
      <c r="A1094" s="3" t="s">
        <v>3002</v>
      </c>
      <c r="B1094" s="3" t="s">
        <v>444</v>
      </c>
      <c r="C1094" s="9">
        <v>15.74</v>
      </c>
      <c r="D1094" s="3" t="s">
        <v>484</v>
      </c>
      <c r="E1094" s="10">
        <v>45687.302418981482</v>
      </c>
      <c r="F1094" s="10">
        <v>45687.330775462957</v>
      </c>
      <c r="G1094" s="10">
        <v>45687.332361111112</v>
      </c>
      <c r="H1094" s="3" t="s">
        <v>2931</v>
      </c>
      <c r="I1094" s="10">
        <v>45688.530150462961</v>
      </c>
      <c r="J1094" s="10">
        <v>45688.554756944453</v>
      </c>
      <c r="K1094" s="10">
        <v>45688.554756944453</v>
      </c>
      <c r="L1094" s="10">
        <v>45688.55568287037</v>
      </c>
      <c r="M1094" s="11">
        <f t="shared" si="51"/>
        <v>2.99421296294895E-2</v>
      </c>
      <c r="N1094" s="11">
        <f t="shared" si="52"/>
        <v>1.2233217592583969</v>
      </c>
      <c r="O1094" s="10">
        <v>45687.335914351846</v>
      </c>
      <c r="P1094" s="11">
        <f t="shared" si="53"/>
        <v>1.1942361111141508</v>
      </c>
      <c r="Q1094" s="12" t="s">
        <v>3003</v>
      </c>
    </row>
    <row r="1095" spans="1:17" ht="25.5" x14ac:dyDescent="0.25">
      <c r="A1095" s="3" t="s">
        <v>3004</v>
      </c>
      <c r="B1095" s="3" t="s">
        <v>444</v>
      </c>
      <c r="C1095" s="9">
        <v>60.8</v>
      </c>
      <c r="D1095" s="3" t="s">
        <v>488</v>
      </c>
      <c r="E1095" s="10">
        <v>45687.302418981482</v>
      </c>
      <c r="F1095" s="10">
        <v>45687.332361111112</v>
      </c>
      <c r="G1095" s="10">
        <v>45687.333715277768</v>
      </c>
      <c r="H1095" s="3" t="s">
        <v>2986</v>
      </c>
      <c r="I1095" s="10">
        <v>45688.259710648148</v>
      </c>
      <c r="J1095" s="10">
        <v>45688.277361111112</v>
      </c>
      <c r="K1095" s="10">
        <v>45688.277361111112</v>
      </c>
      <c r="L1095" s="10">
        <v>45688.278090277781</v>
      </c>
      <c r="M1095" s="11">
        <f t="shared" si="51"/>
        <v>3.1296296285290737E-2</v>
      </c>
      <c r="N1095" s="11">
        <f t="shared" si="52"/>
        <v>0.9443750000136788</v>
      </c>
      <c r="O1095" s="10">
        <v>45687.337280092594</v>
      </c>
      <c r="P1095" s="11">
        <f t="shared" si="53"/>
        <v>0.92243055555445608</v>
      </c>
      <c r="Q1095" s="12" t="s">
        <v>3005</v>
      </c>
    </row>
    <row r="1096" spans="1:17" x14ac:dyDescent="0.25">
      <c r="A1096" s="3" t="s">
        <v>3006</v>
      </c>
      <c r="B1096" s="3" t="s">
        <v>444</v>
      </c>
      <c r="C1096" s="9">
        <v>76.199999999999989</v>
      </c>
      <c r="D1096" s="3" t="s">
        <v>519</v>
      </c>
      <c r="E1096" s="10">
        <v>45687.302418981482</v>
      </c>
      <c r="F1096" s="10"/>
      <c r="G1096" s="10"/>
      <c r="H1096" s="3"/>
      <c r="I1096" s="10"/>
      <c r="J1096" s="10"/>
      <c r="K1096" s="10"/>
      <c r="L1096" s="10"/>
      <c r="M1096" s="11" t="str">
        <f t="shared" si="51"/>
        <v/>
      </c>
      <c r="N1096" s="11" t="str">
        <f t="shared" si="52"/>
        <v/>
      </c>
      <c r="O1096" s="10"/>
      <c r="P1096" s="11" t="str">
        <f t="shared" si="53"/>
        <v/>
      </c>
      <c r="Q1096" s="12"/>
    </row>
    <row r="1097" spans="1:17" x14ac:dyDescent="0.25">
      <c r="A1097" s="3" t="s">
        <v>3007</v>
      </c>
      <c r="B1097" s="3" t="s">
        <v>444</v>
      </c>
      <c r="C1097" s="9">
        <v>19.899999999999999</v>
      </c>
      <c r="D1097" s="3" t="s">
        <v>523</v>
      </c>
      <c r="E1097" s="10">
        <v>45687.302418981482</v>
      </c>
      <c r="F1097" s="10">
        <v>45687.333715277768</v>
      </c>
      <c r="G1097" s="10">
        <v>45687.335601851853</v>
      </c>
      <c r="H1097" s="3"/>
      <c r="I1097" s="10"/>
      <c r="J1097" s="10"/>
      <c r="K1097" s="10"/>
      <c r="L1097" s="10"/>
      <c r="M1097" s="11">
        <f t="shared" si="51"/>
        <v>3.3182870371092577E-2</v>
      </c>
      <c r="N1097" s="11" t="str">
        <f t="shared" si="52"/>
        <v/>
      </c>
      <c r="O1097" s="10">
        <v>45687.339502314811</v>
      </c>
      <c r="P1097" s="11" t="str">
        <f t="shared" si="53"/>
        <v/>
      </c>
      <c r="Q1097" s="12"/>
    </row>
    <row r="1098" spans="1:17" ht="25.5" x14ac:dyDescent="0.25">
      <c r="A1098" s="3" t="s">
        <v>3008</v>
      </c>
      <c r="B1098" s="3" t="s">
        <v>444</v>
      </c>
      <c r="C1098" s="9">
        <v>56</v>
      </c>
      <c r="D1098" s="3" t="s">
        <v>595</v>
      </c>
      <c r="E1098" s="10">
        <v>45687.302418981482</v>
      </c>
      <c r="F1098" s="10">
        <v>45687.335601851853</v>
      </c>
      <c r="G1098" s="10">
        <v>45687.336840277778</v>
      </c>
      <c r="H1098" s="3" t="s">
        <v>2785</v>
      </c>
      <c r="I1098" s="10">
        <v>45688.30097222222</v>
      </c>
      <c r="J1098" s="10">
        <v>45688.325277777767</v>
      </c>
      <c r="K1098" s="10">
        <v>45688.325277777767</v>
      </c>
      <c r="L1098" s="10">
        <v>45688.326157407413</v>
      </c>
      <c r="M1098" s="11">
        <f t="shared" si="51"/>
        <v>3.4421296295477077E-2</v>
      </c>
      <c r="N1098" s="11">
        <f t="shared" si="52"/>
        <v>0.98931712963531027</v>
      </c>
      <c r="O1098" s="10">
        <v>45687.34039351852</v>
      </c>
      <c r="P1098" s="11">
        <f t="shared" si="53"/>
        <v>0.96057870369986631</v>
      </c>
      <c r="Q1098" s="12" t="s">
        <v>3009</v>
      </c>
    </row>
    <row r="1099" spans="1:17" ht="25.5" x14ac:dyDescent="0.25">
      <c r="A1099" s="3" t="s">
        <v>3010</v>
      </c>
      <c r="B1099" s="3" t="s">
        <v>444</v>
      </c>
      <c r="C1099" s="9">
        <v>31.48</v>
      </c>
      <c r="D1099" s="3" t="s">
        <v>496</v>
      </c>
      <c r="E1099" s="10">
        <v>45687.302418981482</v>
      </c>
      <c r="F1099" s="10">
        <v>45687.336840277778</v>
      </c>
      <c r="G1099" s="10">
        <v>45687.337893518517</v>
      </c>
      <c r="H1099" s="3" t="s">
        <v>2980</v>
      </c>
      <c r="I1099" s="10">
        <v>45688.407013888893</v>
      </c>
      <c r="J1099" s="10">
        <v>45688.457662037043</v>
      </c>
      <c r="K1099" s="10">
        <v>45688.457662037043</v>
      </c>
      <c r="L1099" s="10">
        <v>45688.458796296298</v>
      </c>
      <c r="M1099" s="11">
        <f t="shared" si="51"/>
        <v>3.5474537035042886E-2</v>
      </c>
      <c r="N1099" s="11">
        <f t="shared" si="52"/>
        <v>1.1209027777804295</v>
      </c>
      <c r="O1099" s="10">
        <v>45687.341817129629</v>
      </c>
      <c r="P1099" s="11">
        <f t="shared" si="53"/>
        <v>1.0651967592639267</v>
      </c>
      <c r="Q1099" s="12" t="s">
        <v>3011</v>
      </c>
    </row>
    <row r="1100" spans="1:17" ht="25.5" x14ac:dyDescent="0.25">
      <c r="A1100" s="3" t="s">
        <v>3012</v>
      </c>
      <c r="B1100" s="3" t="s">
        <v>444</v>
      </c>
      <c r="C1100" s="9">
        <v>39.799999999999997</v>
      </c>
      <c r="D1100" s="3" t="s">
        <v>539</v>
      </c>
      <c r="E1100" s="10">
        <v>45687.302418981482</v>
      </c>
      <c r="F1100" s="10">
        <v>45687.337893518517</v>
      </c>
      <c r="G1100" s="10">
        <v>45687.339421296303</v>
      </c>
      <c r="H1100" s="3" t="s">
        <v>2902</v>
      </c>
      <c r="I1100" s="10">
        <v>45688.332349537042</v>
      </c>
      <c r="J1100" s="10">
        <v>45688.405370370368</v>
      </c>
      <c r="K1100" s="10">
        <v>45688.405370370368</v>
      </c>
      <c r="L1100" s="10">
        <v>45688.406944444447</v>
      </c>
      <c r="M1100" s="11">
        <f t="shared" si="51"/>
        <v>3.7002314820711035E-2</v>
      </c>
      <c r="N1100" s="11">
        <f t="shared" si="52"/>
        <v>1.067523148143664</v>
      </c>
      <c r="O1100" s="10">
        <v>45687.341597222221</v>
      </c>
      <c r="P1100" s="11">
        <f t="shared" si="53"/>
        <v>0.99075231482129311</v>
      </c>
      <c r="Q1100" s="12" t="s">
        <v>3013</v>
      </c>
    </row>
    <row r="1101" spans="1:17" ht="25.5" x14ac:dyDescent="0.25">
      <c r="A1101" s="3" t="s">
        <v>3014</v>
      </c>
      <c r="B1101" s="3" t="s">
        <v>445</v>
      </c>
      <c r="C1101" s="9">
        <v>380.82000000000011</v>
      </c>
      <c r="D1101" s="3" t="s">
        <v>500</v>
      </c>
      <c r="E1101" s="10">
        <v>45687.329965277779</v>
      </c>
      <c r="F1101" s="10">
        <v>45687.340300925927</v>
      </c>
      <c r="G1101" s="10">
        <v>45687.34275462963</v>
      </c>
      <c r="H1101" s="3" t="s">
        <v>2902</v>
      </c>
      <c r="I1101" s="10">
        <v>45688.332349537042</v>
      </c>
      <c r="J1101" s="10">
        <v>45688.405370370368</v>
      </c>
      <c r="K1101" s="10">
        <v>45688.405370370368</v>
      </c>
      <c r="L1101" s="10">
        <v>45688.406944444447</v>
      </c>
      <c r="M1101" s="11">
        <f t="shared" si="51"/>
        <v>1.2789351851097308E-2</v>
      </c>
      <c r="N1101" s="11">
        <f t="shared" si="52"/>
        <v>1.0641898148169275</v>
      </c>
      <c r="O1101" s="10">
        <v>45687.346678240741</v>
      </c>
      <c r="P1101" s="11">
        <f t="shared" si="53"/>
        <v>0.98567129630100681</v>
      </c>
      <c r="Q1101" s="12" t="s">
        <v>3015</v>
      </c>
    </row>
    <row r="1102" spans="1:17" ht="25.5" x14ac:dyDescent="0.25">
      <c r="A1102" s="3" t="s">
        <v>3016</v>
      </c>
      <c r="B1102" s="3" t="s">
        <v>446</v>
      </c>
      <c r="C1102" s="9">
        <v>37.5</v>
      </c>
      <c r="D1102" s="3" t="s">
        <v>572</v>
      </c>
      <c r="E1102" s="10">
        <v>45687.350474537037</v>
      </c>
      <c r="F1102" s="10">
        <v>45687.358275462961</v>
      </c>
      <c r="G1102" s="10">
        <v>45687.360324074078</v>
      </c>
      <c r="H1102" s="3" t="s">
        <v>2888</v>
      </c>
      <c r="I1102" s="10">
        <v>45688.347222222219</v>
      </c>
      <c r="J1102" s="10">
        <v>45688.369166666656</v>
      </c>
      <c r="K1102" s="10">
        <v>45688.369166666656</v>
      </c>
      <c r="L1102" s="10">
        <v>45688.369988425933</v>
      </c>
      <c r="M1102" s="11">
        <f t="shared" si="51"/>
        <v>9.8495370402815752E-3</v>
      </c>
      <c r="N1102" s="11">
        <f t="shared" si="52"/>
        <v>1.0096643518554629</v>
      </c>
      <c r="O1102" s="10">
        <v>45687.368773148148</v>
      </c>
      <c r="P1102" s="11">
        <f t="shared" si="53"/>
        <v>0.97844907407124992</v>
      </c>
      <c r="Q1102" s="12" t="s">
        <v>3017</v>
      </c>
    </row>
    <row r="1103" spans="1:17" x14ac:dyDescent="0.25">
      <c r="A1103" s="3" t="s">
        <v>3018</v>
      </c>
      <c r="B1103" s="3" t="s">
        <v>446</v>
      </c>
      <c r="C1103" s="9">
        <v>155.69999999999999</v>
      </c>
      <c r="D1103" s="3" t="s">
        <v>500</v>
      </c>
      <c r="E1103" s="10">
        <v>45687.350474537037</v>
      </c>
      <c r="F1103" s="10"/>
      <c r="G1103" s="10"/>
      <c r="H1103" s="3"/>
      <c r="I1103" s="10"/>
      <c r="J1103" s="10"/>
      <c r="K1103" s="10"/>
      <c r="L1103" s="10"/>
      <c r="M1103" s="11" t="str">
        <f t="shared" si="51"/>
        <v/>
      </c>
      <c r="N1103" s="11" t="str">
        <f t="shared" si="52"/>
        <v/>
      </c>
      <c r="O1103" s="10"/>
      <c r="P1103" s="11" t="str">
        <f t="shared" si="53"/>
        <v/>
      </c>
      <c r="Q1103" s="12"/>
    </row>
    <row r="1104" spans="1:17" ht="25.5" x14ac:dyDescent="0.25">
      <c r="A1104" s="3" t="s">
        <v>3019</v>
      </c>
      <c r="B1104" s="3" t="s">
        <v>446</v>
      </c>
      <c r="C1104" s="9">
        <v>19.899999999999999</v>
      </c>
      <c r="D1104" s="3" t="s">
        <v>572</v>
      </c>
      <c r="E1104" s="10">
        <v>45687.350474537037</v>
      </c>
      <c r="F1104" s="10">
        <v>45687.358275462961</v>
      </c>
      <c r="G1104" s="10">
        <v>45687.360324074078</v>
      </c>
      <c r="H1104" s="3" t="s">
        <v>2888</v>
      </c>
      <c r="I1104" s="10">
        <v>45688.347222222219</v>
      </c>
      <c r="J1104" s="10">
        <v>45688.369166666656</v>
      </c>
      <c r="K1104" s="10">
        <v>45688.369166666656</v>
      </c>
      <c r="L1104" s="10">
        <v>45688.369988425933</v>
      </c>
      <c r="M1104" s="11">
        <f t="shared" si="51"/>
        <v>9.8495370402815752E-3</v>
      </c>
      <c r="N1104" s="11">
        <f t="shared" si="52"/>
        <v>1.0096643518554629</v>
      </c>
      <c r="O1104" s="10">
        <v>45687.368773148148</v>
      </c>
      <c r="P1104" s="11">
        <f t="shared" si="53"/>
        <v>0.97844907407124992</v>
      </c>
      <c r="Q1104" s="12" t="s">
        <v>3020</v>
      </c>
    </row>
    <row r="1105" spans="1:17" x14ac:dyDescent="0.25">
      <c r="A1105" s="3" t="s">
        <v>3021</v>
      </c>
      <c r="B1105" s="3" t="s">
        <v>447</v>
      </c>
      <c r="C1105" s="9">
        <v>135</v>
      </c>
      <c r="D1105" s="3" t="s">
        <v>527</v>
      </c>
      <c r="E1105" s="10">
        <v>45687.382719907408</v>
      </c>
      <c r="F1105" s="10">
        <v>45687.39434027778</v>
      </c>
      <c r="G1105" s="10">
        <v>45687.396527777782</v>
      </c>
      <c r="H1105" s="3" t="s">
        <v>3022</v>
      </c>
      <c r="I1105" s="10">
        <v>45688.383449074077</v>
      </c>
      <c r="J1105" s="10">
        <v>45688.406886574077</v>
      </c>
      <c r="K1105" s="10">
        <v>45688.406944444447</v>
      </c>
      <c r="L1105" s="10">
        <v>45688.407650462963</v>
      </c>
      <c r="M1105" s="11">
        <f t="shared" si="51"/>
        <v>1.3807870374876074E-2</v>
      </c>
      <c r="N1105" s="11">
        <f t="shared" si="52"/>
        <v>1.0111226851804531</v>
      </c>
      <c r="O1105" s="10">
        <v>45687.398680555547</v>
      </c>
      <c r="P1105" s="11">
        <f t="shared" si="53"/>
        <v>0.98476851853047265</v>
      </c>
      <c r="Q1105" s="12" t="s">
        <v>3023</v>
      </c>
    </row>
    <row r="1106" spans="1:17" ht="38.25" x14ac:dyDescent="0.25">
      <c r="A1106" s="3" t="s">
        <v>3024</v>
      </c>
      <c r="B1106" s="3" t="s">
        <v>447</v>
      </c>
      <c r="C1106" s="9">
        <v>28</v>
      </c>
      <c r="D1106" s="3" t="s">
        <v>595</v>
      </c>
      <c r="E1106" s="10">
        <v>45687.382719907408</v>
      </c>
      <c r="F1106" s="10">
        <v>45687.396527777782</v>
      </c>
      <c r="G1106" s="10">
        <v>45687.398506944453</v>
      </c>
      <c r="H1106" s="3" t="s">
        <v>2908</v>
      </c>
      <c r="I1106" s="10">
        <v>45688.864212962973</v>
      </c>
      <c r="J1106" s="10">
        <v>45688.884293981479</v>
      </c>
      <c r="K1106" s="10">
        <v>45688.884293981479</v>
      </c>
      <c r="L1106" s="10">
        <v>45688.885115740741</v>
      </c>
      <c r="M1106" s="11">
        <f t="shared" si="51"/>
        <v>1.5787037045811303E-2</v>
      </c>
      <c r="N1106" s="11">
        <f t="shared" si="52"/>
        <v>1.486608796287328</v>
      </c>
      <c r="O1106" s="10">
        <v>45687.400879629633</v>
      </c>
      <c r="P1106" s="11">
        <f t="shared" si="53"/>
        <v>1.4633333333404153</v>
      </c>
      <c r="Q1106" s="12" t="s">
        <v>3025</v>
      </c>
    </row>
    <row r="1107" spans="1:17" x14ac:dyDescent="0.25">
      <c r="A1107" s="3" t="s">
        <v>3026</v>
      </c>
      <c r="B1107" s="3" t="s">
        <v>447</v>
      </c>
      <c r="C1107" s="9">
        <v>15.74</v>
      </c>
      <c r="D1107" s="3" t="s">
        <v>523</v>
      </c>
      <c r="E1107" s="10">
        <v>45687.382719907408</v>
      </c>
      <c r="F1107" s="10">
        <v>45687.398506944453</v>
      </c>
      <c r="G1107" s="10">
        <v>45687.40053240741</v>
      </c>
      <c r="H1107" s="3"/>
      <c r="I1107" s="10"/>
      <c r="J1107" s="10"/>
      <c r="K1107" s="10"/>
      <c r="L1107" s="10"/>
      <c r="M1107" s="11">
        <f t="shared" si="51"/>
        <v>1.7812500002037268E-2</v>
      </c>
      <c r="N1107" s="11" t="str">
        <f t="shared" si="52"/>
        <v/>
      </c>
      <c r="O1107" s="10">
        <v>45687.404085648152</v>
      </c>
      <c r="P1107" s="11" t="str">
        <f t="shared" si="53"/>
        <v/>
      </c>
      <c r="Q1107" s="12"/>
    </row>
    <row r="1108" spans="1:17" ht="25.5" x14ac:dyDescent="0.25">
      <c r="A1108" s="3" t="s">
        <v>3027</v>
      </c>
      <c r="B1108" s="3" t="s">
        <v>447</v>
      </c>
      <c r="C1108" s="9">
        <v>78.400000000000006</v>
      </c>
      <c r="D1108" s="3" t="s">
        <v>519</v>
      </c>
      <c r="E1108" s="10">
        <v>45687.382719907408</v>
      </c>
      <c r="F1108" s="10">
        <v>45687.40053240741</v>
      </c>
      <c r="G1108" s="10">
        <v>45687.402627314812</v>
      </c>
      <c r="H1108" s="3" t="s">
        <v>3028</v>
      </c>
      <c r="I1108" s="10">
        <v>45688.458749999998</v>
      </c>
      <c r="J1108" s="10">
        <v>45688.484467592592</v>
      </c>
      <c r="K1108" s="10">
        <v>45688.484467592592</v>
      </c>
      <c r="L1108" s="10">
        <v>45688.485358796293</v>
      </c>
      <c r="M1108" s="11">
        <f t="shared" si="51"/>
        <v>1.9907407404389232E-2</v>
      </c>
      <c r="N1108" s="11">
        <f t="shared" si="52"/>
        <v>1.0827314814814599</v>
      </c>
      <c r="O1108" s="10">
        <v>45687.404999999999</v>
      </c>
      <c r="P1108" s="11">
        <f t="shared" si="53"/>
        <v>1.0537499999991269</v>
      </c>
      <c r="Q1108" s="12" t="s">
        <v>3029</v>
      </c>
    </row>
    <row r="1109" spans="1:17" ht="38.25" x14ac:dyDescent="0.25">
      <c r="A1109" s="3" t="s">
        <v>3030</v>
      </c>
      <c r="B1109" s="3" t="s">
        <v>447</v>
      </c>
      <c r="C1109" s="9">
        <v>35.64</v>
      </c>
      <c r="D1109" s="3" t="s">
        <v>515</v>
      </c>
      <c r="E1109" s="10">
        <v>45687.382719907408</v>
      </c>
      <c r="F1109" s="10">
        <v>45687.402627314812</v>
      </c>
      <c r="G1109" s="10">
        <v>45687.404594907413</v>
      </c>
      <c r="H1109" s="3" t="s">
        <v>2983</v>
      </c>
      <c r="I1109" s="10">
        <v>45688.750717592593</v>
      </c>
      <c r="J1109" s="10">
        <v>45688.771377314813</v>
      </c>
      <c r="K1109" s="10">
        <v>45688.771377314813</v>
      </c>
      <c r="L1109" s="10">
        <v>45688.77202546296</v>
      </c>
      <c r="M1109" s="11">
        <f t="shared" si="51"/>
        <v>2.1875000005820766E-2</v>
      </c>
      <c r="N1109" s="11">
        <f t="shared" si="52"/>
        <v>1.3674305555468891</v>
      </c>
      <c r="O1109" s="10">
        <v>45687.406990740739</v>
      </c>
      <c r="P1109" s="11">
        <f t="shared" si="53"/>
        <v>1.3437268518537167</v>
      </c>
      <c r="Q1109" s="12" t="s">
        <v>3031</v>
      </c>
    </row>
    <row r="1110" spans="1:17" x14ac:dyDescent="0.25">
      <c r="A1110" s="3" t="s">
        <v>3032</v>
      </c>
      <c r="B1110" s="3" t="s">
        <v>447</v>
      </c>
      <c r="C1110" s="9">
        <v>63</v>
      </c>
      <c r="D1110" s="3" t="s">
        <v>488</v>
      </c>
      <c r="E1110" s="10">
        <v>45687.382719907408</v>
      </c>
      <c r="F1110" s="10"/>
      <c r="G1110" s="10"/>
      <c r="H1110" s="3"/>
      <c r="I1110" s="10"/>
      <c r="J1110" s="10"/>
      <c r="K1110" s="10"/>
      <c r="L1110" s="10"/>
      <c r="M1110" s="11" t="str">
        <f t="shared" si="51"/>
        <v/>
      </c>
      <c r="N1110" s="11" t="str">
        <f t="shared" si="52"/>
        <v/>
      </c>
      <c r="O1110" s="10"/>
      <c r="P1110" s="11" t="str">
        <f t="shared" si="53"/>
        <v/>
      </c>
      <c r="Q1110" s="12"/>
    </row>
    <row r="1111" spans="1:17" x14ac:dyDescent="0.25">
      <c r="A1111" s="3" t="s">
        <v>3033</v>
      </c>
      <c r="B1111" s="3" t="s">
        <v>448</v>
      </c>
      <c r="C1111" s="9">
        <v>269.7</v>
      </c>
      <c r="D1111" s="3" t="s">
        <v>500</v>
      </c>
      <c r="E1111" s="10">
        <v>45687.413761574076</v>
      </c>
      <c r="F1111" s="10"/>
      <c r="G1111" s="10"/>
      <c r="H1111" s="3"/>
      <c r="I1111" s="10"/>
      <c r="J1111" s="10"/>
      <c r="K1111" s="10"/>
      <c r="L1111" s="10"/>
      <c r="M1111" s="11" t="str">
        <f t="shared" si="51"/>
        <v/>
      </c>
      <c r="N1111" s="11" t="str">
        <f t="shared" si="52"/>
        <v/>
      </c>
      <c r="O1111" s="10"/>
      <c r="P1111" s="11" t="str">
        <f t="shared" si="53"/>
        <v/>
      </c>
      <c r="Q1111" s="12"/>
    </row>
    <row r="1112" spans="1:17" x14ac:dyDescent="0.25">
      <c r="A1112" s="3" t="s">
        <v>3034</v>
      </c>
      <c r="B1112" s="3" t="s">
        <v>448</v>
      </c>
      <c r="C1112" s="9">
        <v>19.899999999999999</v>
      </c>
      <c r="D1112" s="3" t="s">
        <v>572</v>
      </c>
      <c r="E1112" s="10">
        <v>45687.413761574076</v>
      </c>
      <c r="F1112" s="10"/>
      <c r="G1112" s="10"/>
      <c r="H1112" s="3"/>
      <c r="I1112" s="10"/>
      <c r="J1112" s="10"/>
      <c r="K1112" s="10"/>
      <c r="L1112" s="10"/>
      <c r="M1112" s="11" t="str">
        <f t="shared" si="51"/>
        <v/>
      </c>
      <c r="N1112" s="11" t="str">
        <f t="shared" si="52"/>
        <v/>
      </c>
      <c r="O1112" s="10"/>
      <c r="P1112" s="11" t="str">
        <f t="shared" si="53"/>
        <v/>
      </c>
      <c r="Q1112" s="12"/>
    </row>
    <row r="1113" spans="1:17" x14ac:dyDescent="0.25">
      <c r="A1113" s="3" t="s">
        <v>3035</v>
      </c>
      <c r="B1113" s="3" t="s">
        <v>448</v>
      </c>
      <c r="C1113" s="9">
        <v>145.54</v>
      </c>
      <c r="D1113" s="3" t="s">
        <v>500</v>
      </c>
      <c r="E1113" s="10">
        <v>45687.413761574076</v>
      </c>
      <c r="F1113" s="10"/>
      <c r="G1113" s="10"/>
      <c r="H1113" s="3"/>
      <c r="I1113" s="10"/>
      <c r="J1113" s="10"/>
      <c r="K1113" s="10"/>
      <c r="L1113" s="10"/>
      <c r="M1113" s="11" t="str">
        <f t="shared" si="51"/>
        <v/>
      </c>
      <c r="N1113" s="11" t="str">
        <f t="shared" si="52"/>
        <v/>
      </c>
      <c r="O1113" s="10"/>
      <c r="P1113" s="11" t="str">
        <f t="shared" si="53"/>
        <v/>
      </c>
      <c r="Q1113" s="12"/>
    </row>
    <row r="1114" spans="1:17" x14ac:dyDescent="0.25">
      <c r="A1114" s="3" t="s">
        <v>3036</v>
      </c>
      <c r="B1114" s="3" t="s">
        <v>449</v>
      </c>
      <c r="C1114" s="9">
        <v>291.7</v>
      </c>
      <c r="D1114" s="3" t="s">
        <v>500</v>
      </c>
      <c r="E1114" s="10">
        <v>45687.541550925933</v>
      </c>
      <c r="F1114" s="10">
        <v>45687.547465277778</v>
      </c>
      <c r="G1114" s="10">
        <v>45687.549259259264</v>
      </c>
      <c r="H1114" s="3" t="s">
        <v>2980</v>
      </c>
      <c r="I1114" s="10">
        <v>45688.407013888893</v>
      </c>
      <c r="J1114" s="10">
        <v>45688.457662037043</v>
      </c>
      <c r="K1114" s="10">
        <v>45688.457662037043</v>
      </c>
      <c r="L1114" s="10">
        <v>45688.458796296298</v>
      </c>
      <c r="M1114" s="11">
        <f t="shared" si="51"/>
        <v>7.7083333308110014E-3</v>
      </c>
      <c r="N1114" s="11">
        <f t="shared" si="52"/>
        <v>0.90953703703416977</v>
      </c>
      <c r="O1114" s="10">
        <v>45687.551423611112</v>
      </c>
      <c r="P1114" s="11">
        <f t="shared" si="53"/>
        <v>0.8555902777807205</v>
      </c>
      <c r="Q1114" s="12" t="s">
        <v>3037</v>
      </c>
    </row>
    <row r="1115" spans="1:17" x14ac:dyDescent="0.25">
      <c r="A1115" s="3" t="s">
        <v>3038</v>
      </c>
      <c r="B1115" s="3" t="s">
        <v>450</v>
      </c>
      <c r="C1115" s="9">
        <v>388.32000000000011</v>
      </c>
      <c r="D1115" s="3" t="s">
        <v>500</v>
      </c>
      <c r="E1115" s="10">
        <v>45687.605868055558</v>
      </c>
      <c r="F1115" s="10"/>
      <c r="G1115" s="10"/>
      <c r="H1115" s="3"/>
      <c r="I1115" s="10"/>
      <c r="J1115" s="10"/>
      <c r="K1115" s="10"/>
      <c r="L1115" s="10"/>
      <c r="M1115" s="11" t="str">
        <f t="shared" si="51"/>
        <v/>
      </c>
      <c r="N1115" s="11" t="str">
        <f t="shared" si="52"/>
        <v/>
      </c>
      <c r="O1115" s="10"/>
      <c r="P1115" s="11" t="str">
        <f t="shared" si="53"/>
        <v/>
      </c>
      <c r="Q1115" s="12"/>
    </row>
    <row r="1116" spans="1:17" ht="38.25" x14ac:dyDescent="0.25">
      <c r="A1116" s="3" t="s">
        <v>3039</v>
      </c>
      <c r="B1116" s="3" t="s">
        <v>451</v>
      </c>
      <c r="C1116" s="9">
        <v>31.94</v>
      </c>
      <c r="D1116" s="3" t="s">
        <v>492</v>
      </c>
      <c r="E1116" s="10">
        <v>45687.621180555558</v>
      </c>
      <c r="F1116" s="10">
        <v>45687.634201388893</v>
      </c>
      <c r="G1116" s="10">
        <v>45687.636145833327</v>
      </c>
      <c r="H1116" s="3" t="s">
        <v>2983</v>
      </c>
      <c r="I1116" s="10">
        <v>45688.750717592593</v>
      </c>
      <c r="J1116" s="10">
        <v>45688.771377314813</v>
      </c>
      <c r="K1116" s="10">
        <v>45688.771377314813</v>
      </c>
      <c r="L1116" s="10">
        <v>45688.77202546296</v>
      </c>
      <c r="M1116" s="11">
        <f t="shared" si="51"/>
        <v>1.4965277769078966E-2</v>
      </c>
      <c r="N1116" s="11">
        <f t="shared" si="52"/>
        <v>1.135879629633564</v>
      </c>
      <c r="O1116" s="10">
        <v>45687.640057870369</v>
      </c>
      <c r="P1116" s="11">
        <f t="shared" si="53"/>
        <v>1.1106597222242272</v>
      </c>
      <c r="Q1116" s="12" t="s">
        <v>3040</v>
      </c>
    </row>
    <row r="1117" spans="1:17" ht="38.25" x14ac:dyDescent="0.25">
      <c r="A1117" s="3" t="s">
        <v>3041</v>
      </c>
      <c r="B1117" s="3" t="s">
        <v>451</v>
      </c>
      <c r="C1117" s="9">
        <v>31.48</v>
      </c>
      <c r="D1117" s="3" t="s">
        <v>654</v>
      </c>
      <c r="E1117" s="10">
        <v>45687.621180555558</v>
      </c>
      <c r="F1117" s="10">
        <v>45687.636145833327</v>
      </c>
      <c r="G1117" s="10">
        <v>45687.637939814813</v>
      </c>
      <c r="H1117" s="3" t="s">
        <v>3000</v>
      </c>
      <c r="I1117" s="10"/>
      <c r="J1117" s="10"/>
      <c r="K1117" s="10"/>
      <c r="L1117" s="10"/>
      <c r="M1117" s="11">
        <f t="shared" si="51"/>
        <v>1.6759259255195502E-2</v>
      </c>
      <c r="N1117" s="11" t="str">
        <f t="shared" si="52"/>
        <v/>
      </c>
      <c r="O1117" s="10">
        <v>45687.640335648153</v>
      </c>
      <c r="P1117" s="11" t="str">
        <f t="shared" si="53"/>
        <v/>
      </c>
      <c r="Q1117" s="12" t="s">
        <v>3042</v>
      </c>
    </row>
    <row r="1118" spans="1:17" ht="38.25" x14ac:dyDescent="0.25">
      <c r="A1118" s="3" t="s">
        <v>3043</v>
      </c>
      <c r="B1118" s="3" t="s">
        <v>451</v>
      </c>
      <c r="C1118" s="9">
        <v>14</v>
      </c>
      <c r="D1118" s="3" t="s">
        <v>595</v>
      </c>
      <c r="E1118" s="10">
        <v>45687.621180555558</v>
      </c>
      <c r="F1118" s="10">
        <v>45687.637939814813</v>
      </c>
      <c r="G1118" s="10">
        <v>45687.639884259261</v>
      </c>
      <c r="H1118" s="3" t="s">
        <v>2908</v>
      </c>
      <c r="I1118" s="10">
        <v>45688.864212962973</v>
      </c>
      <c r="J1118" s="10">
        <v>45688.884293981479</v>
      </c>
      <c r="K1118" s="10">
        <v>45688.884293981479</v>
      </c>
      <c r="L1118" s="10">
        <v>45688.885115740741</v>
      </c>
      <c r="M1118" s="11">
        <f t="shared" si="51"/>
        <v>1.8703703703067731E-2</v>
      </c>
      <c r="N1118" s="11">
        <f t="shared" si="52"/>
        <v>1.2452314814800047</v>
      </c>
      <c r="O1118" s="10">
        <v>45687.643460648149</v>
      </c>
      <c r="P1118" s="11">
        <f t="shared" si="53"/>
        <v>1.2207523148244945</v>
      </c>
      <c r="Q1118" s="12" t="s">
        <v>3044</v>
      </c>
    </row>
    <row r="1119" spans="1:17" ht="25.5" x14ac:dyDescent="0.25">
      <c r="A1119" s="3" t="s">
        <v>3045</v>
      </c>
      <c r="B1119" s="3" t="s">
        <v>451</v>
      </c>
      <c r="C1119" s="9">
        <v>15.74</v>
      </c>
      <c r="D1119" s="3" t="s">
        <v>1033</v>
      </c>
      <c r="E1119" s="10">
        <v>45687.621180555558</v>
      </c>
      <c r="F1119" s="10">
        <v>45687.639884259261</v>
      </c>
      <c r="G1119" s="10">
        <v>45687.641840277778</v>
      </c>
      <c r="H1119" s="3" t="s">
        <v>3028</v>
      </c>
      <c r="I1119" s="10">
        <v>45688.458749999998</v>
      </c>
      <c r="J1119" s="10">
        <v>45688.484467592592</v>
      </c>
      <c r="K1119" s="10">
        <v>45688.484467592592</v>
      </c>
      <c r="L1119" s="10">
        <v>45688.485358796293</v>
      </c>
      <c r="M1119" s="11">
        <f t="shared" si="51"/>
        <v>2.0659722220443655E-2</v>
      </c>
      <c r="N1119" s="11">
        <f t="shared" si="52"/>
        <v>0.84351851851533866</v>
      </c>
      <c r="O1119" s="10">
        <v>45687.64576388889</v>
      </c>
      <c r="P1119" s="11">
        <f t="shared" si="53"/>
        <v>0.81298611110833008</v>
      </c>
      <c r="Q1119" s="12" t="s">
        <v>3046</v>
      </c>
    </row>
    <row r="1120" spans="1:17" ht="25.5" x14ac:dyDescent="0.25">
      <c r="A1120" s="3" t="s">
        <v>3047</v>
      </c>
      <c r="B1120" s="3" t="s">
        <v>451</v>
      </c>
      <c r="C1120" s="9">
        <v>54</v>
      </c>
      <c r="D1120" s="3" t="s">
        <v>519</v>
      </c>
      <c r="E1120" s="10">
        <v>45687.621180555558</v>
      </c>
      <c r="F1120" s="10">
        <v>45687.641840277778</v>
      </c>
      <c r="G1120" s="10">
        <v>45687.643888888888</v>
      </c>
      <c r="H1120" s="3" t="s">
        <v>3028</v>
      </c>
      <c r="I1120" s="10">
        <v>45688.458749999998</v>
      </c>
      <c r="J1120" s="10">
        <v>45688.484467592592</v>
      </c>
      <c r="K1120" s="10">
        <v>45688.484467592592</v>
      </c>
      <c r="L1120" s="10">
        <v>45688.485358796293</v>
      </c>
      <c r="M1120" s="11">
        <f t="shared" si="51"/>
        <v>2.2708333330228925E-2</v>
      </c>
      <c r="N1120" s="11">
        <f t="shared" si="52"/>
        <v>0.84146990740555339</v>
      </c>
      <c r="O1120" s="10">
        <v>45687.647789351853</v>
      </c>
      <c r="P1120" s="11">
        <f t="shared" si="53"/>
        <v>0.81096064814482816</v>
      </c>
      <c r="Q1120" s="12" t="s">
        <v>3048</v>
      </c>
    </row>
    <row r="1121" spans="1:17" x14ac:dyDescent="0.25">
      <c r="A1121" s="3" t="s">
        <v>3049</v>
      </c>
      <c r="B1121" s="3" t="s">
        <v>451</v>
      </c>
      <c r="C1121" s="9">
        <v>23.24</v>
      </c>
      <c r="D1121" s="3" t="s">
        <v>506</v>
      </c>
      <c r="E1121" s="10">
        <v>45687.621180555558</v>
      </c>
      <c r="F1121" s="10"/>
      <c r="G1121" s="10"/>
      <c r="H1121" s="3"/>
      <c r="I1121" s="10"/>
      <c r="J1121" s="10"/>
      <c r="K1121" s="10"/>
      <c r="L1121" s="10"/>
      <c r="M1121" s="11" t="str">
        <f t="shared" si="51"/>
        <v/>
      </c>
      <c r="N1121" s="11" t="str">
        <f t="shared" si="52"/>
        <v/>
      </c>
      <c r="O1121" s="10"/>
      <c r="P1121" s="11" t="str">
        <f t="shared" si="53"/>
        <v/>
      </c>
      <c r="Q1121" s="12"/>
    </row>
    <row r="1122" spans="1:17" ht="25.5" x14ac:dyDescent="0.25">
      <c r="A1122" s="3" t="s">
        <v>3050</v>
      </c>
      <c r="B1122" s="3" t="s">
        <v>451</v>
      </c>
      <c r="C1122" s="9">
        <v>43.14</v>
      </c>
      <c r="D1122" s="3" t="s">
        <v>484</v>
      </c>
      <c r="E1122" s="10">
        <v>45687.621180555558</v>
      </c>
      <c r="F1122" s="10">
        <v>45687.643888888888</v>
      </c>
      <c r="G1122" s="10">
        <v>45687.645671296297</v>
      </c>
      <c r="H1122" s="3" t="s">
        <v>2931</v>
      </c>
      <c r="I1122" s="10">
        <v>45688.530150462961</v>
      </c>
      <c r="J1122" s="10">
        <v>45688.554756944453</v>
      </c>
      <c r="K1122" s="10">
        <v>45688.554756944453</v>
      </c>
      <c r="L1122" s="10">
        <v>45688.55568287037</v>
      </c>
      <c r="M1122" s="11">
        <f t="shared" si="51"/>
        <v>2.4490740739565808E-2</v>
      </c>
      <c r="N1122" s="11">
        <f t="shared" si="52"/>
        <v>0.91001157407299615</v>
      </c>
      <c r="O1122" s="10">
        <v>45687.649236111109</v>
      </c>
      <c r="P1122" s="11">
        <f t="shared" si="53"/>
        <v>0.88091435185197042</v>
      </c>
      <c r="Q1122" s="12" t="s">
        <v>3051</v>
      </c>
    </row>
    <row r="1123" spans="1:17" ht="25.5" x14ac:dyDescent="0.25">
      <c r="A1123" s="3" t="s">
        <v>3052</v>
      </c>
      <c r="B1123" s="3" t="s">
        <v>451</v>
      </c>
      <c r="C1123" s="9">
        <v>54</v>
      </c>
      <c r="D1123" s="3" t="s">
        <v>527</v>
      </c>
      <c r="E1123" s="10">
        <v>45687.621180555558</v>
      </c>
      <c r="F1123" s="10">
        <v>45687.645671296297</v>
      </c>
      <c r="G1123" s="10">
        <v>45687.647673611107</v>
      </c>
      <c r="H1123" s="3" t="s">
        <v>3053</v>
      </c>
      <c r="I1123" s="10">
        <v>45688.655844907407</v>
      </c>
      <c r="J1123" s="10">
        <v>45688.723391203697</v>
      </c>
      <c r="K1123" s="10">
        <v>45688.723391203697</v>
      </c>
      <c r="L1123" s="10">
        <v>45688.724687499998</v>
      </c>
      <c r="M1123" s="11">
        <f t="shared" si="51"/>
        <v>2.6493055549508426E-2</v>
      </c>
      <c r="N1123" s="11">
        <f t="shared" si="52"/>
        <v>1.0770138888910878</v>
      </c>
      <c r="O1123" s="10">
        <v>45687.650069444448</v>
      </c>
      <c r="P1123" s="11">
        <f t="shared" si="53"/>
        <v>1.0057754629597184</v>
      </c>
      <c r="Q1123" s="12" t="s">
        <v>3054</v>
      </c>
    </row>
    <row r="1124" spans="1:17" ht="25.5" x14ac:dyDescent="0.25">
      <c r="A1124" s="3" t="s">
        <v>3055</v>
      </c>
      <c r="B1124" s="3" t="s">
        <v>452</v>
      </c>
      <c r="C1124" s="9">
        <v>15.74</v>
      </c>
      <c r="D1124" s="3" t="s">
        <v>500</v>
      </c>
      <c r="E1124" s="10">
        <v>45687.649004629631</v>
      </c>
      <c r="F1124" s="10">
        <v>45687.652789351851</v>
      </c>
      <c r="G1124" s="10">
        <v>45687.654305555552</v>
      </c>
      <c r="H1124" s="3" t="s">
        <v>3056</v>
      </c>
      <c r="I1124" s="10">
        <v>45688.601990740739</v>
      </c>
      <c r="J1124" s="10">
        <v>45688.633645833332</v>
      </c>
      <c r="K1124" s="10">
        <v>45688.633645833332</v>
      </c>
      <c r="L1124" s="10">
        <v>45688.63453703704</v>
      </c>
      <c r="M1124" s="11">
        <f t="shared" si="51"/>
        <v>5.3009259208920412E-3</v>
      </c>
      <c r="N1124" s="11">
        <f t="shared" si="52"/>
        <v>0.98023148148786277</v>
      </c>
      <c r="O1124" s="10">
        <v>45687.656678240739</v>
      </c>
      <c r="P1124" s="11">
        <f t="shared" si="53"/>
        <v>0.9453125</v>
      </c>
      <c r="Q1124" s="12" t="s">
        <v>3057</v>
      </c>
    </row>
    <row r="1125" spans="1:17" ht="25.5" x14ac:dyDescent="0.25">
      <c r="A1125" s="3" t="s">
        <v>3058</v>
      </c>
      <c r="B1125" s="3" t="s">
        <v>453</v>
      </c>
      <c r="C1125" s="9">
        <v>47.22</v>
      </c>
      <c r="D1125" s="3" t="s">
        <v>500</v>
      </c>
      <c r="E1125" s="10">
        <v>45687.725023148138</v>
      </c>
      <c r="F1125" s="10">
        <v>45687.729039351849</v>
      </c>
      <c r="G1125" s="10">
        <v>45687.730624999997</v>
      </c>
      <c r="H1125" s="3" t="s">
        <v>3056</v>
      </c>
      <c r="I1125" s="10">
        <v>45688.601990740739</v>
      </c>
      <c r="J1125" s="10">
        <v>45688.633645833332</v>
      </c>
      <c r="K1125" s="10">
        <v>45688.633645833332</v>
      </c>
      <c r="L1125" s="10">
        <v>45688.63453703704</v>
      </c>
      <c r="M1125" s="11">
        <f t="shared" si="51"/>
        <v>5.6018518589553423E-3</v>
      </c>
      <c r="N1125" s="11">
        <f t="shared" si="52"/>
        <v>0.903912037043483</v>
      </c>
      <c r="O1125" s="10">
        <v>45687.732789351852</v>
      </c>
      <c r="P1125" s="11">
        <f t="shared" si="53"/>
        <v>0.86920138888672227</v>
      </c>
      <c r="Q1125" s="12" t="s">
        <v>3059</v>
      </c>
    </row>
    <row r="1126" spans="1:17" ht="25.5" x14ac:dyDescent="0.25">
      <c r="A1126" s="3" t="s">
        <v>3060</v>
      </c>
      <c r="B1126" s="3" t="s">
        <v>454</v>
      </c>
      <c r="C1126" s="9">
        <v>135.13999999999999</v>
      </c>
      <c r="D1126" s="3" t="s">
        <v>500</v>
      </c>
      <c r="E1126" s="10">
        <v>45687.823206018518</v>
      </c>
      <c r="F1126" s="10">
        <v>45687.828032407408</v>
      </c>
      <c r="G1126" s="10">
        <v>45687.829467592594</v>
      </c>
      <c r="H1126" s="3" t="s">
        <v>3056</v>
      </c>
      <c r="I1126" s="10">
        <v>45688.601990740739</v>
      </c>
      <c r="J1126" s="10">
        <v>45688.633645833332</v>
      </c>
      <c r="K1126" s="10">
        <v>45688.633645833332</v>
      </c>
      <c r="L1126" s="10">
        <v>45688.63453703704</v>
      </c>
      <c r="M1126" s="11">
        <f t="shared" si="51"/>
        <v>6.2615740753244609E-3</v>
      </c>
      <c r="N1126" s="11">
        <f t="shared" si="52"/>
        <v>0.80506944444641704</v>
      </c>
      <c r="O1126" s="10">
        <v>45687.833391203712</v>
      </c>
      <c r="P1126" s="11">
        <f t="shared" si="53"/>
        <v>0.76859953702660277</v>
      </c>
      <c r="Q1126" s="12" t="s">
        <v>3061</v>
      </c>
    </row>
    <row r="1127" spans="1:17" x14ac:dyDescent="0.25">
      <c r="A1127" s="3" t="s">
        <v>3062</v>
      </c>
      <c r="B1127" s="3" t="s">
        <v>455</v>
      </c>
      <c r="C1127" s="9">
        <v>389.06000000000012</v>
      </c>
      <c r="D1127" s="3" t="s">
        <v>500</v>
      </c>
      <c r="E1127" s="10">
        <v>45687.853402777779</v>
      </c>
      <c r="F1127" s="10">
        <v>45687.860081018523</v>
      </c>
      <c r="G1127" s="10">
        <v>45687.862847222219</v>
      </c>
      <c r="H1127" s="3" t="s">
        <v>3053</v>
      </c>
      <c r="I1127" s="10">
        <v>45688.655844907407</v>
      </c>
      <c r="J1127" s="10">
        <v>45688.723391203697</v>
      </c>
      <c r="K1127" s="10">
        <v>45688.723391203697</v>
      </c>
      <c r="L1127" s="10">
        <v>45688.724687499998</v>
      </c>
      <c r="M1127" s="11">
        <f t="shared" si="51"/>
        <v>9.444444440305233E-3</v>
      </c>
      <c r="N1127" s="11">
        <f t="shared" si="52"/>
        <v>0.86184027777926531</v>
      </c>
      <c r="O1127" s="10">
        <v>45687.865243055552</v>
      </c>
      <c r="P1127" s="11">
        <f t="shared" si="53"/>
        <v>0.79060185185517184</v>
      </c>
      <c r="Q1127" s="12" t="s">
        <v>3063</v>
      </c>
    </row>
    <row r="1128" spans="1:17" ht="25.5" x14ac:dyDescent="0.25">
      <c r="A1128" s="3" t="s">
        <v>3064</v>
      </c>
      <c r="B1128" s="3" t="s">
        <v>456</v>
      </c>
      <c r="C1128" s="9">
        <v>15.74</v>
      </c>
      <c r="D1128" s="3" t="s">
        <v>496</v>
      </c>
      <c r="E1128" s="10">
        <v>45688.117685185192</v>
      </c>
      <c r="F1128" s="10">
        <v>45688.127662037034</v>
      </c>
      <c r="G1128" s="10">
        <v>45688.128819444442</v>
      </c>
      <c r="H1128" s="3" t="s">
        <v>3065</v>
      </c>
      <c r="I1128" s="10"/>
      <c r="J1128" s="10"/>
      <c r="K1128" s="10"/>
      <c r="L1128" s="10"/>
      <c r="M1128" s="11">
        <f t="shared" si="51"/>
        <v>1.1134259249956813E-2</v>
      </c>
      <c r="N1128" s="11" t="str">
        <f t="shared" si="52"/>
        <v/>
      </c>
      <c r="O1128" s="10">
        <v>45688.131215277783</v>
      </c>
      <c r="P1128" s="11" t="str">
        <f t="shared" si="53"/>
        <v/>
      </c>
      <c r="Q1128" s="12" t="s">
        <v>3066</v>
      </c>
    </row>
    <row r="1129" spans="1:17" ht="25.5" x14ac:dyDescent="0.25">
      <c r="A1129" s="3" t="s">
        <v>3067</v>
      </c>
      <c r="B1129" s="3" t="s">
        <v>456</v>
      </c>
      <c r="C1129" s="9">
        <v>81.8</v>
      </c>
      <c r="D1129" s="3" t="s">
        <v>488</v>
      </c>
      <c r="E1129" s="10">
        <v>45688.117685185192</v>
      </c>
      <c r="F1129" s="10">
        <v>45688.128819444442</v>
      </c>
      <c r="G1129" s="10">
        <v>45688.130694444437</v>
      </c>
      <c r="H1129" s="3" t="s">
        <v>3068</v>
      </c>
      <c r="I1129" s="10">
        <v>45688.741898148153</v>
      </c>
      <c r="J1129" s="10">
        <v>45688.780856481477</v>
      </c>
      <c r="K1129" s="10">
        <v>45688.780856481477</v>
      </c>
      <c r="L1129" s="10">
        <v>45688.781886574077</v>
      </c>
      <c r="M1129" s="11">
        <f t="shared" si="51"/>
        <v>1.3009259244427085E-2</v>
      </c>
      <c r="N1129" s="11">
        <f t="shared" si="52"/>
        <v>0.65119212964054896</v>
      </c>
      <c r="O1129" s="10">
        <v>45688.132881944453</v>
      </c>
      <c r="P1129" s="11">
        <f t="shared" si="53"/>
        <v>0.60901620369986631</v>
      </c>
      <c r="Q1129" s="12" t="s">
        <v>3069</v>
      </c>
    </row>
    <row r="1130" spans="1:17" ht="25.5" x14ac:dyDescent="0.25">
      <c r="A1130" s="3" t="s">
        <v>3070</v>
      </c>
      <c r="B1130" s="3" t="s">
        <v>456</v>
      </c>
      <c r="C1130" s="9">
        <v>54.72</v>
      </c>
      <c r="D1130" s="3" t="s">
        <v>484</v>
      </c>
      <c r="E1130" s="10">
        <v>45688.117685185192</v>
      </c>
      <c r="F1130" s="10">
        <v>45688.130694444437</v>
      </c>
      <c r="G1130" s="10">
        <v>45688.132291666669</v>
      </c>
      <c r="H1130" s="3" t="s">
        <v>3071</v>
      </c>
      <c r="I1130" s="10"/>
      <c r="J1130" s="10"/>
      <c r="K1130" s="10"/>
      <c r="L1130" s="10"/>
      <c r="M1130" s="11">
        <f t="shared" si="51"/>
        <v>1.4606481476221234E-2</v>
      </c>
      <c r="N1130" s="11" t="str">
        <f t="shared" si="52"/>
        <v/>
      </c>
      <c r="O1130" s="10">
        <v>45688.134687500002</v>
      </c>
      <c r="P1130" s="11" t="str">
        <f t="shared" si="53"/>
        <v/>
      </c>
      <c r="Q1130" s="12" t="s">
        <v>3072</v>
      </c>
    </row>
    <row r="1131" spans="1:17" ht="25.5" x14ac:dyDescent="0.25">
      <c r="A1131" s="3" t="s">
        <v>3073</v>
      </c>
      <c r="B1131" s="3" t="s">
        <v>456</v>
      </c>
      <c r="C1131" s="9">
        <v>15.74</v>
      </c>
      <c r="D1131" s="3" t="s">
        <v>496</v>
      </c>
      <c r="E1131" s="10">
        <v>45688.117685185192</v>
      </c>
      <c r="F1131" s="10">
        <v>45688.132291666669</v>
      </c>
      <c r="G1131" s="10">
        <v>45688.133449074077</v>
      </c>
      <c r="H1131" s="3" t="s">
        <v>3065</v>
      </c>
      <c r="I1131" s="10"/>
      <c r="J1131" s="10"/>
      <c r="K1131" s="10"/>
      <c r="L1131" s="10"/>
      <c r="M1131" s="11">
        <f t="shared" si="51"/>
        <v>1.5763888884976041E-2</v>
      </c>
      <c r="N1131" s="11" t="str">
        <f t="shared" si="52"/>
        <v/>
      </c>
      <c r="O1131" s="10">
        <v>45688.137349537043</v>
      </c>
      <c r="P1131" s="11" t="str">
        <f t="shared" si="53"/>
        <v/>
      </c>
      <c r="Q1131" s="12" t="s">
        <v>3074</v>
      </c>
    </row>
    <row r="1132" spans="1:17" ht="25.5" x14ac:dyDescent="0.25">
      <c r="A1132" s="3" t="s">
        <v>3075</v>
      </c>
      <c r="B1132" s="3" t="s">
        <v>456</v>
      </c>
      <c r="C1132" s="9">
        <v>31.94</v>
      </c>
      <c r="D1132" s="3" t="s">
        <v>492</v>
      </c>
      <c r="E1132" s="10">
        <v>45688.117685185192</v>
      </c>
      <c r="F1132" s="10">
        <v>45688.133449074077</v>
      </c>
      <c r="G1132" s="10">
        <v>45688.135405092587</v>
      </c>
      <c r="H1132" s="3" t="s">
        <v>2983</v>
      </c>
      <c r="I1132" s="10">
        <v>45688.750717592593</v>
      </c>
      <c r="J1132" s="10">
        <v>45688.771377314813</v>
      </c>
      <c r="K1132" s="10">
        <v>45688.771377314813</v>
      </c>
      <c r="L1132" s="10">
        <v>45688.77202546296</v>
      </c>
      <c r="M1132" s="11">
        <f t="shared" si="51"/>
        <v>1.7719907395076007E-2</v>
      </c>
      <c r="N1132" s="11">
        <f t="shared" si="52"/>
        <v>0.63662037037283881</v>
      </c>
      <c r="O1132" s="10">
        <v>45688.13758101852</v>
      </c>
      <c r="P1132" s="11">
        <f t="shared" si="53"/>
        <v>0.61313657407299615</v>
      </c>
      <c r="Q1132" s="12" t="s">
        <v>3076</v>
      </c>
    </row>
    <row r="1133" spans="1:17" x14ac:dyDescent="0.25">
      <c r="A1133" s="3" t="s">
        <v>3077</v>
      </c>
      <c r="B1133" s="3" t="s">
        <v>457</v>
      </c>
      <c r="C1133" s="9">
        <v>238.6</v>
      </c>
      <c r="D1133" s="3" t="s">
        <v>519</v>
      </c>
      <c r="E1133" s="10">
        <v>45688.187106481477</v>
      </c>
      <c r="F1133" s="10"/>
      <c r="G1133" s="10"/>
      <c r="H1133" s="3"/>
      <c r="I1133" s="10"/>
      <c r="J1133" s="10"/>
      <c r="K1133" s="10"/>
      <c r="L1133" s="10"/>
      <c r="M1133" s="11" t="str">
        <f t="shared" si="51"/>
        <v/>
      </c>
      <c r="N1133" s="11" t="str">
        <f t="shared" si="52"/>
        <v/>
      </c>
      <c r="O1133" s="10"/>
      <c r="P1133" s="11" t="str">
        <f t="shared" si="53"/>
        <v/>
      </c>
      <c r="Q1133" s="12"/>
    </row>
    <row r="1134" spans="1:17" x14ac:dyDescent="0.25">
      <c r="A1134" s="3" t="s">
        <v>3078</v>
      </c>
      <c r="B1134" s="3" t="s">
        <v>458</v>
      </c>
      <c r="C1134" s="9">
        <v>297</v>
      </c>
      <c r="D1134" s="3" t="s">
        <v>500</v>
      </c>
      <c r="E1134" s="10">
        <v>45688.249814814822</v>
      </c>
      <c r="F1134" s="10">
        <v>45688.256053240737</v>
      </c>
      <c r="G1134" s="10">
        <v>45688.257974537039</v>
      </c>
      <c r="H1134" s="3" t="s">
        <v>3079</v>
      </c>
      <c r="I1134" s="10">
        <v>45688.656678240739</v>
      </c>
      <c r="J1134" s="10">
        <v>45688.708240740743</v>
      </c>
      <c r="K1134" s="10">
        <v>45688.708240740743</v>
      </c>
      <c r="L1134" s="10">
        <v>45688.709363425929</v>
      </c>
      <c r="M1134" s="11">
        <f t="shared" si="51"/>
        <v>8.1597222160780802E-3</v>
      </c>
      <c r="N1134" s="11">
        <f t="shared" si="52"/>
        <v>0.45138888889050577</v>
      </c>
      <c r="O1134" s="10">
        <v>45688.260138888887</v>
      </c>
      <c r="P1134" s="11">
        <f t="shared" si="53"/>
        <v>0.39653935185197042</v>
      </c>
      <c r="Q1134" s="12" t="s">
        <v>3080</v>
      </c>
    </row>
    <row r="1135" spans="1:17" ht="25.5" x14ac:dyDescent="0.25">
      <c r="A1135" s="3" t="s">
        <v>3081</v>
      </c>
      <c r="B1135" s="3" t="s">
        <v>459</v>
      </c>
      <c r="C1135" s="9">
        <v>74.62</v>
      </c>
      <c r="D1135" s="3" t="s">
        <v>500</v>
      </c>
      <c r="E1135" s="10">
        <v>45688.292951388888</v>
      </c>
      <c r="F1135" s="10">
        <v>45688.2971875</v>
      </c>
      <c r="G1135" s="10">
        <v>45688.29923611111</v>
      </c>
      <c r="H1135" s="3" t="s">
        <v>3082</v>
      </c>
      <c r="I1135" s="10">
        <v>45688.685023148151</v>
      </c>
      <c r="J1135" s="10">
        <v>45688.716724537036</v>
      </c>
      <c r="K1135" s="10">
        <v>45688.716724537036</v>
      </c>
      <c r="L1135" s="10">
        <v>45688.717546296299</v>
      </c>
      <c r="M1135" s="11">
        <f t="shared" si="51"/>
        <v>6.284722221607808E-3</v>
      </c>
      <c r="N1135" s="11">
        <f t="shared" si="52"/>
        <v>0.41831018518860219</v>
      </c>
      <c r="O1135" s="10">
        <v>45688.301631944443</v>
      </c>
      <c r="P1135" s="11">
        <f t="shared" si="53"/>
        <v>0.38339120370801538</v>
      </c>
      <c r="Q1135" s="12" t="s">
        <v>3083</v>
      </c>
    </row>
    <row r="1136" spans="1:17" ht="25.5" x14ac:dyDescent="0.25">
      <c r="A1136" s="3" t="s">
        <v>3084</v>
      </c>
      <c r="B1136" s="3" t="s">
        <v>460</v>
      </c>
      <c r="C1136" s="9">
        <v>37.5</v>
      </c>
      <c r="D1136" s="3" t="s">
        <v>519</v>
      </c>
      <c r="E1136" s="10">
        <v>45688.296585648153</v>
      </c>
      <c r="F1136" s="10">
        <v>45688.313923611109</v>
      </c>
      <c r="G1136" s="10">
        <v>45688.315335648149</v>
      </c>
      <c r="H1136" s="3" t="s">
        <v>3085</v>
      </c>
      <c r="I1136" s="10"/>
      <c r="J1136" s="10"/>
      <c r="K1136" s="10"/>
      <c r="L1136" s="10"/>
      <c r="M1136" s="11">
        <f t="shared" si="51"/>
        <v>1.8749999995634425E-2</v>
      </c>
      <c r="N1136" s="11" t="str">
        <f t="shared" si="52"/>
        <v/>
      </c>
      <c r="O1136" s="10">
        <v>45688.317708333343</v>
      </c>
      <c r="P1136" s="11" t="str">
        <f t="shared" si="53"/>
        <v/>
      </c>
      <c r="Q1136" s="12" t="s">
        <v>3086</v>
      </c>
    </row>
    <row r="1137" spans="1:17" ht="25.5" x14ac:dyDescent="0.25">
      <c r="A1137" s="3" t="s">
        <v>3087</v>
      </c>
      <c r="B1137" s="3" t="s">
        <v>460</v>
      </c>
      <c r="C1137" s="9">
        <v>108</v>
      </c>
      <c r="D1137" s="3" t="s">
        <v>527</v>
      </c>
      <c r="E1137" s="10">
        <v>45688.296585648153</v>
      </c>
      <c r="F1137" s="10">
        <v>45688.315335648149</v>
      </c>
      <c r="G1137" s="10">
        <v>45688.317430555559</v>
      </c>
      <c r="H1137" s="3" t="s">
        <v>3082</v>
      </c>
      <c r="I1137" s="10">
        <v>45688.685023148151</v>
      </c>
      <c r="J1137" s="10">
        <v>45688.716724537036</v>
      </c>
      <c r="K1137" s="10">
        <v>45688.716724537036</v>
      </c>
      <c r="L1137" s="10">
        <v>45688.717546296299</v>
      </c>
      <c r="M1137" s="11">
        <f t="shared" si="51"/>
        <v>2.0844907405262347E-2</v>
      </c>
      <c r="N1137" s="11">
        <f t="shared" si="52"/>
        <v>0.40011574074014788</v>
      </c>
      <c r="O1137" s="10">
        <v>45688.32099537037</v>
      </c>
      <c r="P1137" s="11">
        <f t="shared" si="53"/>
        <v>0.36402777778130258</v>
      </c>
      <c r="Q1137" s="12" t="s">
        <v>3088</v>
      </c>
    </row>
    <row r="1138" spans="1:17" ht="25.5" x14ac:dyDescent="0.25">
      <c r="A1138" s="3" t="s">
        <v>3089</v>
      </c>
      <c r="B1138" s="3" t="s">
        <v>460</v>
      </c>
      <c r="C1138" s="9">
        <v>58.5</v>
      </c>
      <c r="D1138" s="3" t="s">
        <v>519</v>
      </c>
      <c r="E1138" s="10">
        <v>45688.296585648153</v>
      </c>
      <c r="F1138" s="10">
        <v>45688.317430555559</v>
      </c>
      <c r="G1138" s="10">
        <v>45688.318888888891</v>
      </c>
      <c r="H1138" s="3" t="s">
        <v>3085</v>
      </c>
      <c r="I1138" s="10"/>
      <c r="J1138" s="10"/>
      <c r="K1138" s="10"/>
      <c r="L1138" s="10"/>
      <c r="M1138" s="11">
        <f t="shared" si="51"/>
        <v>2.230324073752854E-2</v>
      </c>
      <c r="N1138" s="11" t="str">
        <f t="shared" si="52"/>
        <v/>
      </c>
      <c r="O1138" s="10">
        <v>45688.322789351849</v>
      </c>
      <c r="P1138" s="11" t="str">
        <f t="shared" si="53"/>
        <v/>
      </c>
      <c r="Q1138" s="12" t="s">
        <v>3090</v>
      </c>
    </row>
    <row r="1139" spans="1:17" ht="25.5" x14ac:dyDescent="0.25">
      <c r="A1139" s="3" t="s">
        <v>3091</v>
      </c>
      <c r="B1139" s="3" t="s">
        <v>460</v>
      </c>
      <c r="C1139" s="9">
        <v>67.12</v>
      </c>
      <c r="D1139" s="3" t="s">
        <v>515</v>
      </c>
      <c r="E1139" s="10">
        <v>45688.296585648153</v>
      </c>
      <c r="F1139" s="10">
        <v>45688.318888888891</v>
      </c>
      <c r="G1139" s="10">
        <v>45688.320891203701</v>
      </c>
      <c r="H1139" s="3" t="s">
        <v>2983</v>
      </c>
      <c r="I1139" s="10">
        <v>45688.750717592593</v>
      </c>
      <c r="J1139" s="10">
        <v>45688.771377314813</v>
      </c>
      <c r="K1139" s="10">
        <v>45688.771377314813</v>
      </c>
      <c r="L1139" s="10">
        <v>45688.77202546296</v>
      </c>
      <c r="M1139" s="11">
        <f t="shared" si="51"/>
        <v>2.4305555547471158E-2</v>
      </c>
      <c r="N1139" s="11">
        <f t="shared" si="52"/>
        <v>0.45113425925956108</v>
      </c>
      <c r="O1139" s="10">
        <v>45688.324780092589</v>
      </c>
      <c r="P1139" s="11">
        <f t="shared" si="53"/>
        <v>0.4259375000037835</v>
      </c>
      <c r="Q1139" s="12" t="s">
        <v>3092</v>
      </c>
    </row>
    <row r="1140" spans="1:17" ht="51" x14ac:dyDescent="0.25">
      <c r="A1140" s="3" t="s">
        <v>3093</v>
      </c>
      <c r="B1140" s="3" t="s">
        <v>460</v>
      </c>
      <c r="C1140" s="9">
        <v>15.74</v>
      </c>
      <c r="D1140" s="3" t="s">
        <v>1033</v>
      </c>
      <c r="E1140" s="10">
        <v>45688.296585648153</v>
      </c>
      <c r="F1140" s="10">
        <v>45688.320891203701</v>
      </c>
      <c r="G1140" s="10">
        <v>45688.322812500002</v>
      </c>
      <c r="H1140" s="3" t="s">
        <v>3094</v>
      </c>
      <c r="I1140" s="10"/>
      <c r="J1140" s="10"/>
      <c r="K1140" s="10"/>
      <c r="L1140" s="10"/>
      <c r="M1140" s="11">
        <f t="shared" si="51"/>
        <v>2.622685184906004E-2</v>
      </c>
      <c r="N1140" s="11" t="str">
        <f t="shared" si="52"/>
        <v/>
      </c>
      <c r="O1140" s="10">
        <v>45688.324999999997</v>
      </c>
      <c r="P1140" s="11" t="str">
        <f t="shared" si="53"/>
        <v/>
      </c>
      <c r="Q1140" s="12" t="s">
        <v>3095</v>
      </c>
    </row>
    <row r="1141" spans="1:17" x14ac:dyDescent="0.25">
      <c r="A1141" s="3" t="s">
        <v>3096</v>
      </c>
      <c r="B1141" s="3" t="s">
        <v>460</v>
      </c>
      <c r="C1141" s="9">
        <v>15.74</v>
      </c>
      <c r="D1141" s="3" t="s">
        <v>506</v>
      </c>
      <c r="E1141" s="10">
        <v>45688.296585648153</v>
      </c>
      <c r="F1141" s="10"/>
      <c r="G1141" s="10"/>
      <c r="H1141" s="3"/>
      <c r="I1141" s="10"/>
      <c r="J1141" s="10"/>
      <c r="K1141" s="10"/>
      <c r="L1141" s="10"/>
      <c r="M1141" s="11" t="str">
        <f t="shared" si="51"/>
        <v/>
      </c>
      <c r="N1141" s="11" t="str">
        <f t="shared" si="52"/>
        <v/>
      </c>
      <c r="O1141" s="10"/>
      <c r="P1141" s="11" t="str">
        <f t="shared" si="53"/>
        <v/>
      </c>
      <c r="Q1141" s="12"/>
    </row>
    <row r="1142" spans="1:17" ht="25.5" x14ac:dyDescent="0.25">
      <c r="A1142" s="3" t="s">
        <v>3097</v>
      </c>
      <c r="B1142" s="3" t="s">
        <v>460</v>
      </c>
      <c r="C1142" s="9">
        <v>14</v>
      </c>
      <c r="D1142" s="3" t="s">
        <v>595</v>
      </c>
      <c r="E1142" s="10">
        <v>45688.296585648153</v>
      </c>
      <c r="F1142" s="10">
        <v>45688.322812500002</v>
      </c>
      <c r="G1142" s="10">
        <v>45688.324733796297</v>
      </c>
      <c r="H1142" s="3" t="s">
        <v>2908</v>
      </c>
      <c r="I1142" s="10">
        <v>45688.864212962973</v>
      </c>
      <c r="J1142" s="10">
        <v>45688.884293981479</v>
      </c>
      <c r="K1142" s="10">
        <v>45688.884293981479</v>
      </c>
      <c r="L1142" s="10">
        <v>45688.885115740741</v>
      </c>
      <c r="M1142" s="11">
        <f t="shared" si="51"/>
        <v>2.8148148143372964E-2</v>
      </c>
      <c r="N1142" s="11">
        <f t="shared" si="52"/>
        <v>0.56038194444408873</v>
      </c>
      <c r="O1142" s="10">
        <v>45688.328634259262</v>
      </c>
      <c r="P1142" s="11">
        <f t="shared" si="53"/>
        <v>0.53557870371150784</v>
      </c>
      <c r="Q1142" s="12" t="s">
        <v>3098</v>
      </c>
    </row>
    <row r="1143" spans="1:17" ht="25.5" x14ac:dyDescent="0.25">
      <c r="A1143" s="3" t="s">
        <v>3099</v>
      </c>
      <c r="B1143" s="3" t="s">
        <v>460</v>
      </c>
      <c r="C1143" s="9">
        <v>142.6</v>
      </c>
      <c r="D1143" s="3" t="s">
        <v>488</v>
      </c>
      <c r="E1143" s="10">
        <v>45688.296585648153</v>
      </c>
      <c r="F1143" s="10">
        <v>45688.324733796297</v>
      </c>
      <c r="G1143" s="10">
        <v>45688.326724537037</v>
      </c>
      <c r="H1143" s="3" t="s">
        <v>3068</v>
      </c>
      <c r="I1143" s="10">
        <v>45688.741898148153</v>
      </c>
      <c r="J1143" s="10">
        <v>45688.780856481477</v>
      </c>
      <c r="K1143" s="10">
        <v>45688.780856481477</v>
      </c>
      <c r="L1143" s="10">
        <v>45688.781886574077</v>
      </c>
      <c r="M1143" s="11">
        <f t="shared" si="51"/>
        <v>3.0138888883811887E-2</v>
      </c>
      <c r="N1143" s="11">
        <f t="shared" si="52"/>
        <v>0.45516203704028158</v>
      </c>
      <c r="O1143" s="10">
        <v>45688.330277777779</v>
      </c>
      <c r="P1143" s="11">
        <f t="shared" si="53"/>
        <v>0.411620370374294</v>
      </c>
      <c r="Q1143" s="12" t="s">
        <v>3100</v>
      </c>
    </row>
    <row r="1144" spans="1:17" x14ac:dyDescent="0.25">
      <c r="A1144" s="3" t="s">
        <v>3101</v>
      </c>
      <c r="B1144" s="3" t="s">
        <v>460</v>
      </c>
      <c r="C1144" s="9">
        <v>46.48</v>
      </c>
      <c r="D1144" s="3" t="s">
        <v>506</v>
      </c>
      <c r="E1144" s="10">
        <v>45688.296585648153</v>
      </c>
      <c r="F1144" s="10"/>
      <c r="G1144" s="10"/>
      <c r="H1144" s="3"/>
      <c r="I1144" s="10"/>
      <c r="J1144" s="10"/>
      <c r="K1144" s="10"/>
      <c r="L1144" s="10"/>
      <c r="M1144" s="11" t="str">
        <f t="shared" si="51"/>
        <v/>
      </c>
      <c r="N1144" s="11" t="str">
        <f t="shared" si="52"/>
        <v/>
      </c>
      <c r="O1144" s="10"/>
      <c r="P1144" s="11" t="str">
        <f t="shared" si="53"/>
        <v/>
      </c>
      <c r="Q1144" s="12"/>
    </row>
    <row r="1145" spans="1:17" ht="25.5" x14ac:dyDescent="0.25">
      <c r="A1145" s="3" t="s">
        <v>3102</v>
      </c>
      <c r="B1145" s="3" t="s">
        <v>460</v>
      </c>
      <c r="C1145" s="9">
        <v>19.899999999999999</v>
      </c>
      <c r="D1145" s="3" t="s">
        <v>492</v>
      </c>
      <c r="E1145" s="10">
        <v>45688.296585648153</v>
      </c>
      <c r="F1145" s="10">
        <v>45688.326724537037</v>
      </c>
      <c r="G1145" s="10">
        <v>45688.328622685192</v>
      </c>
      <c r="H1145" s="3" t="s">
        <v>2983</v>
      </c>
      <c r="I1145" s="10">
        <v>45688.750717592593</v>
      </c>
      <c r="J1145" s="10">
        <v>45688.771377314813</v>
      </c>
      <c r="K1145" s="10">
        <v>45688.771377314813</v>
      </c>
      <c r="L1145" s="10">
        <v>45688.77202546296</v>
      </c>
      <c r="M1145" s="11">
        <f t="shared" si="51"/>
        <v>3.2037037039117422E-2</v>
      </c>
      <c r="N1145" s="11">
        <f t="shared" si="52"/>
        <v>0.44340277776791481</v>
      </c>
      <c r="O1145" s="10">
        <v>45688.332187499997</v>
      </c>
      <c r="P1145" s="11">
        <f t="shared" si="53"/>
        <v>0.41853009259648388</v>
      </c>
      <c r="Q1145" s="12" t="s">
        <v>3103</v>
      </c>
    </row>
    <row r="1146" spans="1:17" ht="25.5" x14ac:dyDescent="0.25">
      <c r="A1146" s="3" t="s">
        <v>3104</v>
      </c>
      <c r="B1146" s="3" t="s">
        <v>460</v>
      </c>
      <c r="C1146" s="9">
        <v>59.7</v>
      </c>
      <c r="D1146" s="3" t="s">
        <v>563</v>
      </c>
      <c r="E1146" s="10">
        <v>45688.296585648153</v>
      </c>
      <c r="F1146" s="10">
        <v>45688.328622685192</v>
      </c>
      <c r="G1146" s="10">
        <v>45688.330648148149</v>
      </c>
      <c r="H1146" s="3" t="s">
        <v>2908</v>
      </c>
      <c r="I1146" s="10">
        <v>45688.864212962973</v>
      </c>
      <c r="J1146" s="10">
        <v>45688.884293981479</v>
      </c>
      <c r="K1146" s="10">
        <v>45688.884293981479</v>
      </c>
      <c r="L1146" s="10">
        <v>45688.885115740741</v>
      </c>
      <c r="M1146" s="11">
        <f t="shared" si="51"/>
        <v>3.4062499995343387E-2</v>
      </c>
      <c r="N1146" s="11">
        <f t="shared" si="52"/>
        <v>0.55446759259211831</v>
      </c>
      <c r="O1146" s="10">
        <v>45688.334548611107</v>
      </c>
      <c r="P1146" s="11">
        <f t="shared" si="53"/>
        <v>0.52966435186681338</v>
      </c>
      <c r="Q1146" s="12" t="s">
        <v>3105</v>
      </c>
    </row>
    <row r="1147" spans="1:17" x14ac:dyDescent="0.25">
      <c r="A1147" s="3" t="s">
        <v>3106</v>
      </c>
      <c r="B1147" s="3" t="s">
        <v>461</v>
      </c>
      <c r="C1147" s="9">
        <v>381.56000000000012</v>
      </c>
      <c r="D1147" s="3" t="s">
        <v>500</v>
      </c>
      <c r="E1147" s="10">
        <v>45688.336261574077</v>
      </c>
      <c r="F1147" s="10">
        <v>45688.342719907407</v>
      </c>
      <c r="G1147" s="10">
        <v>45688.345486111109</v>
      </c>
      <c r="H1147" s="3" t="s">
        <v>3107</v>
      </c>
      <c r="I1147" s="10"/>
      <c r="J1147" s="10"/>
      <c r="K1147" s="10"/>
      <c r="L1147" s="10"/>
      <c r="M1147" s="11">
        <f t="shared" si="51"/>
        <v>9.2245370324235409E-3</v>
      </c>
      <c r="N1147" s="11" t="str">
        <f t="shared" si="52"/>
        <v/>
      </c>
      <c r="O1147" s="10">
        <v>45688.347858796304</v>
      </c>
      <c r="P1147" s="11" t="str">
        <f t="shared" si="53"/>
        <v/>
      </c>
      <c r="Q1147" s="12" t="s">
        <v>3108</v>
      </c>
    </row>
    <row r="1148" spans="1:17" x14ac:dyDescent="0.25">
      <c r="A1148" s="3" t="s">
        <v>3109</v>
      </c>
      <c r="B1148" s="3" t="s">
        <v>462</v>
      </c>
      <c r="C1148" s="9">
        <v>164.3</v>
      </c>
      <c r="D1148" s="3" t="s">
        <v>500</v>
      </c>
      <c r="E1148" s="10">
        <v>45688.371481481481</v>
      </c>
      <c r="F1148" s="10">
        <v>45688.37804398148</v>
      </c>
      <c r="G1148" s="10">
        <v>45688.380300925928</v>
      </c>
      <c r="H1148" s="3" t="s">
        <v>3110</v>
      </c>
      <c r="I1148" s="10"/>
      <c r="J1148" s="10"/>
      <c r="K1148" s="10"/>
      <c r="L1148" s="10"/>
      <c r="M1148" s="11">
        <f t="shared" si="51"/>
        <v>8.819444446999114E-3</v>
      </c>
      <c r="N1148" s="11" t="str">
        <f t="shared" si="52"/>
        <v/>
      </c>
      <c r="O1148" s="10">
        <v>45688.382696759261</v>
      </c>
      <c r="P1148" s="11" t="str">
        <f t="shared" si="53"/>
        <v/>
      </c>
      <c r="Q1148" s="12" t="s">
        <v>3111</v>
      </c>
    </row>
    <row r="1149" spans="1:17" ht="25.5" x14ac:dyDescent="0.25">
      <c r="A1149" s="3" t="s">
        <v>3112</v>
      </c>
      <c r="B1149" s="3" t="s">
        <v>462</v>
      </c>
      <c r="C1149" s="9">
        <v>72.8</v>
      </c>
      <c r="D1149" s="3" t="s">
        <v>572</v>
      </c>
      <c r="E1149" s="10">
        <v>45688.371481481481</v>
      </c>
      <c r="F1149" s="10">
        <v>45688.380300925928</v>
      </c>
      <c r="G1149" s="10">
        <v>45688.381712962961</v>
      </c>
      <c r="H1149" s="3" t="s">
        <v>3113</v>
      </c>
      <c r="I1149" s="10"/>
      <c r="J1149" s="10"/>
      <c r="K1149" s="10"/>
      <c r="L1149" s="10"/>
      <c r="M1149" s="11">
        <f t="shared" si="51"/>
        <v>1.0231481479422655E-2</v>
      </c>
      <c r="N1149" s="11" t="str">
        <f t="shared" si="52"/>
        <v/>
      </c>
      <c r="O1149" s="10">
        <v>45688.383900462963</v>
      </c>
      <c r="P1149" s="11" t="str">
        <f t="shared" si="53"/>
        <v/>
      </c>
      <c r="Q1149" s="12" t="s">
        <v>3114</v>
      </c>
    </row>
    <row r="1150" spans="1:17" ht="38.25" x14ac:dyDescent="0.25">
      <c r="A1150" s="3" t="s">
        <v>3115</v>
      </c>
      <c r="B1150" s="3" t="s">
        <v>463</v>
      </c>
      <c r="C1150" s="9">
        <v>46.48</v>
      </c>
      <c r="D1150" s="3" t="s">
        <v>506</v>
      </c>
      <c r="E1150" s="10">
        <v>45688.376666666663</v>
      </c>
      <c r="F1150" s="10">
        <v>45688.390636574077</v>
      </c>
      <c r="G1150" s="10">
        <v>45688.392627314817</v>
      </c>
      <c r="H1150" s="3" t="s">
        <v>3094</v>
      </c>
      <c r="I1150" s="10"/>
      <c r="J1150" s="10"/>
      <c r="K1150" s="10"/>
      <c r="L1150" s="10"/>
      <c r="M1150" s="11">
        <f t="shared" si="51"/>
        <v>1.5960648153850343E-2</v>
      </c>
      <c r="N1150" s="11" t="str">
        <f t="shared" si="52"/>
        <v/>
      </c>
      <c r="O1150" s="10">
        <v>45688.39502314815</v>
      </c>
      <c r="P1150" s="11" t="str">
        <f t="shared" si="53"/>
        <v/>
      </c>
      <c r="Q1150" s="12" t="s">
        <v>3116</v>
      </c>
    </row>
    <row r="1151" spans="1:17" x14ac:dyDescent="0.25">
      <c r="A1151" s="3" t="s">
        <v>3117</v>
      </c>
      <c r="B1151" s="3" t="s">
        <v>463</v>
      </c>
      <c r="C1151" s="9">
        <v>39.799999999999997</v>
      </c>
      <c r="D1151" s="3" t="s">
        <v>488</v>
      </c>
      <c r="E1151" s="10">
        <v>45688.376666666663</v>
      </c>
      <c r="F1151" s="10"/>
      <c r="G1151" s="10"/>
      <c r="H1151" s="3"/>
      <c r="I1151" s="10"/>
      <c r="J1151" s="10"/>
      <c r="K1151" s="10"/>
      <c r="L1151" s="10"/>
      <c r="M1151" s="11" t="str">
        <f t="shared" si="51"/>
        <v/>
      </c>
      <c r="N1151" s="11" t="str">
        <f t="shared" si="52"/>
        <v/>
      </c>
      <c r="O1151" s="10"/>
      <c r="P1151" s="11" t="str">
        <f t="shared" si="53"/>
        <v/>
      </c>
      <c r="Q1151" s="12"/>
    </row>
    <row r="1152" spans="1:17" ht="38.25" x14ac:dyDescent="0.25">
      <c r="A1152" s="3" t="s">
        <v>3118</v>
      </c>
      <c r="B1152" s="3" t="s">
        <v>463</v>
      </c>
      <c r="C1152" s="9">
        <v>31.48</v>
      </c>
      <c r="D1152" s="3" t="s">
        <v>654</v>
      </c>
      <c r="E1152" s="10">
        <v>45688.376666666663</v>
      </c>
      <c r="F1152" s="10">
        <v>45688.392627314817</v>
      </c>
      <c r="G1152" s="10">
        <v>45688.394386574073</v>
      </c>
      <c r="H1152" s="3" t="s">
        <v>3000</v>
      </c>
      <c r="I1152" s="10"/>
      <c r="J1152" s="10"/>
      <c r="K1152" s="10"/>
      <c r="L1152" s="10"/>
      <c r="M1152" s="11">
        <f t="shared" si="51"/>
        <v>1.7719907409627922E-2</v>
      </c>
      <c r="N1152" s="11" t="str">
        <f t="shared" si="52"/>
        <v/>
      </c>
      <c r="O1152" s="10">
        <v>45688.397951388892</v>
      </c>
      <c r="P1152" s="11" t="str">
        <f t="shared" si="53"/>
        <v/>
      </c>
      <c r="Q1152" s="12" t="s">
        <v>3119</v>
      </c>
    </row>
    <row r="1153" spans="1:17" x14ac:dyDescent="0.25">
      <c r="A1153" s="3" t="s">
        <v>3120</v>
      </c>
      <c r="B1153" s="3" t="s">
        <v>463</v>
      </c>
      <c r="C1153" s="9">
        <v>33.9</v>
      </c>
      <c r="D1153" s="3" t="s">
        <v>523</v>
      </c>
      <c r="E1153" s="10">
        <v>45688.376666666663</v>
      </c>
      <c r="F1153" s="10">
        <v>45688.394386574073</v>
      </c>
      <c r="G1153" s="10">
        <v>45688.396435185183</v>
      </c>
      <c r="H1153" s="3"/>
      <c r="I1153" s="10"/>
      <c r="J1153" s="10"/>
      <c r="K1153" s="10"/>
      <c r="L1153" s="10"/>
      <c r="M1153" s="11">
        <f t="shared" si="51"/>
        <v>1.9768518519413192E-2</v>
      </c>
      <c r="N1153" s="11" t="str">
        <f t="shared" si="52"/>
        <v/>
      </c>
      <c r="O1153" s="10">
        <v>45688.400358796287</v>
      </c>
      <c r="P1153" s="11" t="str">
        <f t="shared" si="53"/>
        <v/>
      </c>
      <c r="Q1153" s="12"/>
    </row>
    <row r="1154" spans="1:17" ht="25.5" x14ac:dyDescent="0.25">
      <c r="A1154" s="3" t="s">
        <v>3121</v>
      </c>
      <c r="B1154" s="3" t="s">
        <v>463</v>
      </c>
      <c r="C1154" s="9">
        <v>15.74</v>
      </c>
      <c r="D1154" s="3" t="s">
        <v>654</v>
      </c>
      <c r="E1154" s="10">
        <v>45688.376666666663</v>
      </c>
      <c r="F1154" s="10">
        <v>45688.396435185183</v>
      </c>
      <c r="G1154" s="10">
        <v>45688.398159722223</v>
      </c>
      <c r="H1154" s="3" t="s">
        <v>3000</v>
      </c>
      <c r="I1154" s="10"/>
      <c r="J1154" s="10"/>
      <c r="K1154" s="10"/>
      <c r="L1154" s="10"/>
      <c r="M1154" s="11">
        <f t="shared" ref="M1154:M1190" si="54">IF(AND(ISNUMBER(E1154),ISNUMBER(G1154)),(G1154-E1154),"")</f>
        <v>2.1493055559403729E-2</v>
      </c>
      <c r="N1154" s="11" t="str">
        <f t="shared" ref="N1154:N1190" si="55">IF(AND(ISNUMBER(G1154),ISNUMBER(L1154)),(L1154-G1154),"")</f>
        <v/>
      </c>
      <c r="O1154" s="10">
        <v>45688.402314814812</v>
      </c>
      <c r="P1154" s="11" t="str">
        <f t="shared" ref="P1154:P1217" si="56">IF(AND(ISNUMBER(I1154),ISNUMBER(O1154)),(I1154-O1154),"")</f>
        <v/>
      </c>
      <c r="Q1154" s="12" t="s">
        <v>3122</v>
      </c>
    </row>
    <row r="1155" spans="1:17" ht="25.5" x14ac:dyDescent="0.25">
      <c r="A1155" s="3" t="s">
        <v>3123</v>
      </c>
      <c r="B1155" s="3" t="s">
        <v>463</v>
      </c>
      <c r="C1155" s="9">
        <v>15.74</v>
      </c>
      <c r="D1155" s="3" t="s">
        <v>484</v>
      </c>
      <c r="E1155" s="10">
        <v>45688.376666666663</v>
      </c>
      <c r="F1155" s="10">
        <v>45688.398159722223</v>
      </c>
      <c r="G1155" s="10">
        <v>45688.399629629632</v>
      </c>
      <c r="H1155" s="3" t="s">
        <v>3071</v>
      </c>
      <c r="I1155" s="10"/>
      <c r="J1155" s="10"/>
      <c r="K1155" s="10"/>
      <c r="L1155" s="10"/>
      <c r="M1155" s="11">
        <f t="shared" si="54"/>
        <v>2.2962962968449574E-2</v>
      </c>
      <c r="N1155" s="11" t="str">
        <f t="shared" si="55"/>
        <v/>
      </c>
      <c r="O1155" s="10">
        <v>45688.405150462961</v>
      </c>
      <c r="P1155" s="11" t="str">
        <f t="shared" si="56"/>
        <v/>
      </c>
      <c r="Q1155" s="12" t="s">
        <v>3124</v>
      </c>
    </row>
    <row r="1156" spans="1:17" x14ac:dyDescent="0.25">
      <c r="A1156" s="3" t="s">
        <v>3125</v>
      </c>
      <c r="B1156" s="3" t="s">
        <v>463</v>
      </c>
      <c r="C1156" s="9">
        <v>162</v>
      </c>
      <c r="D1156" s="3" t="s">
        <v>527</v>
      </c>
      <c r="E1156" s="10">
        <v>45688.376666666663</v>
      </c>
      <c r="F1156" s="10"/>
      <c r="G1156" s="10"/>
      <c r="H1156" s="3"/>
      <c r="I1156" s="10"/>
      <c r="J1156" s="10"/>
      <c r="K1156" s="10"/>
      <c r="L1156" s="10"/>
      <c r="M1156" s="11" t="str">
        <f t="shared" si="54"/>
        <v/>
      </c>
      <c r="N1156" s="11" t="str">
        <f t="shared" si="55"/>
        <v/>
      </c>
      <c r="O1156" s="10"/>
      <c r="P1156" s="11" t="str">
        <f t="shared" si="56"/>
        <v/>
      </c>
      <c r="Q1156" s="12"/>
    </row>
    <row r="1157" spans="1:17" ht="38.25" x14ac:dyDescent="0.25">
      <c r="A1157" s="3" t="s">
        <v>3126</v>
      </c>
      <c r="B1157" s="3" t="s">
        <v>463</v>
      </c>
      <c r="C1157" s="9">
        <v>31.48</v>
      </c>
      <c r="D1157" s="3" t="s">
        <v>1033</v>
      </c>
      <c r="E1157" s="10">
        <v>45688.376666666663</v>
      </c>
      <c r="F1157" s="10">
        <v>45688.399629629632</v>
      </c>
      <c r="G1157" s="10">
        <v>45688.401585648149</v>
      </c>
      <c r="H1157" s="3" t="s">
        <v>3094</v>
      </c>
      <c r="I1157" s="10"/>
      <c r="J1157" s="10"/>
      <c r="K1157" s="10"/>
      <c r="L1157" s="10"/>
      <c r="M1157" s="11">
        <f t="shared" si="54"/>
        <v>2.4918981485825498E-2</v>
      </c>
      <c r="N1157" s="11" t="str">
        <f t="shared" si="55"/>
        <v/>
      </c>
      <c r="O1157" s="10">
        <v>45688.406666666669</v>
      </c>
      <c r="P1157" s="11" t="str">
        <f t="shared" si="56"/>
        <v/>
      </c>
      <c r="Q1157" s="12" t="s">
        <v>3127</v>
      </c>
    </row>
    <row r="1158" spans="1:17" x14ac:dyDescent="0.25">
      <c r="A1158" s="3" t="s">
        <v>3128</v>
      </c>
      <c r="B1158" s="3" t="s">
        <v>464</v>
      </c>
      <c r="C1158" s="9">
        <v>270.8</v>
      </c>
      <c r="D1158" s="3" t="s">
        <v>500</v>
      </c>
      <c r="E1158" s="10">
        <v>45688.441701388889</v>
      </c>
      <c r="F1158" s="10">
        <v>45688.451284722221</v>
      </c>
      <c r="G1158" s="10">
        <v>45688.453784722216</v>
      </c>
      <c r="H1158" s="3" t="s">
        <v>3129</v>
      </c>
      <c r="I1158" s="10"/>
      <c r="J1158" s="10"/>
      <c r="K1158" s="10"/>
      <c r="L1158" s="10"/>
      <c r="M1158" s="11">
        <f t="shared" si="54"/>
        <v>1.208333332760958E-2</v>
      </c>
      <c r="N1158" s="11" t="str">
        <f t="shared" si="55"/>
        <v/>
      </c>
      <c r="O1158" s="10">
        <v>45688.456180555557</v>
      </c>
      <c r="P1158" s="11" t="str">
        <f t="shared" si="56"/>
        <v/>
      </c>
      <c r="Q1158" s="12" t="s">
        <v>3130</v>
      </c>
    </row>
    <row r="1159" spans="1:17" x14ac:dyDescent="0.25">
      <c r="A1159" s="3" t="s">
        <v>3131</v>
      </c>
      <c r="B1159" s="3" t="s">
        <v>464</v>
      </c>
      <c r="C1159" s="9">
        <v>82.9</v>
      </c>
      <c r="D1159" s="3" t="s">
        <v>572</v>
      </c>
      <c r="E1159" s="10">
        <v>45688.441701388889</v>
      </c>
      <c r="F1159" s="10">
        <v>45688.453784722216</v>
      </c>
      <c r="G1159" s="10">
        <v>45688.455231481479</v>
      </c>
      <c r="H1159" s="3" t="s">
        <v>3113</v>
      </c>
      <c r="I1159" s="10"/>
      <c r="J1159" s="10"/>
      <c r="K1159" s="10"/>
      <c r="L1159" s="10"/>
      <c r="M1159" s="11">
        <f t="shared" si="54"/>
        <v>1.3530092590372078E-2</v>
      </c>
      <c r="N1159" s="11" t="str">
        <f t="shared" si="55"/>
        <v/>
      </c>
      <c r="O1159" s="10">
        <v>45688.459131944437</v>
      </c>
      <c r="P1159" s="11" t="str">
        <f t="shared" si="56"/>
        <v/>
      </c>
      <c r="Q1159" s="12" t="s">
        <v>3132</v>
      </c>
    </row>
    <row r="1160" spans="1:17" ht="25.5" x14ac:dyDescent="0.25">
      <c r="A1160" s="3" t="s">
        <v>3133</v>
      </c>
      <c r="B1160" s="3" t="s">
        <v>464</v>
      </c>
      <c r="C1160" s="9">
        <v>91.659999999999982</v>
      </c>
      <c r="D1160" s="3" t="s">
        <v>500</v>
      </c>
      <c r="E1160" s="10">
        <v>45688.441701388889</v>
      </c>
      <c r="F1160" s="10">
        <v>45688.455231481479</v>
      </c>
      <c r="G1160" s="10">
        <v>45688.457013888888</v>
      </c>
      <c r="H1160" s="3" t="s">
        <v>3134</v>
      </c>
      <c r="I1160" s="10"/>
      <c r="J1160" s="10"/>
      <c r="K1160" s="10"/>
      <c r="L1160" s="10"/>
      <c r="M1160" s="11">
        <f t="shared" si="54"/>
        <v>1.5312499999708962E-2</v>
      </c>
      <c r="N1160" s="11" t="str">
        <f t="shared" si="55"/>
        <v/>
      </c>
      <c r="O1160" s="10">
        <v>45688.459189814806</v>
      </c>
      <c r="P1160" s="11" t="str">
        <f t="shared" si="56"/>
        <v/>
      </c>
      <c r="Q1160" s="12" t="s">
        <v>3135</v>
      </c>
    </row>
    <row r="1161" spans="1:17" x14ac:dyDescent="0.25">
      <c r="A1161" s="3" t="s">
        <v>3136</v>
      </c>
      <c r="B1161" s="3" t="s">
        <v>465</v>
      </c>
      <c r="C1161" s="9">
        <v>247.34</v>
      </c>
      <c r="D1161" s="3" t="s">
        <v>500</v>
      </c>
      <c r="E1161" s="10">
        <v>45688.520752314813</v>
      </c>
      <c r="F1161" s="10">
        <v>45688.526261574072</v>
      </c>
      <c r="G1161" s="10">
        <v>45688.528414351851</v>
      </c>
      <c r="H1161" s="3" t="s">
        <v>3134</v>
      </c>
      <c r="I1161" s="10"/>
      <c r="J1161" s="10"/>
      <c r="K1161" s="10"/>
      <c r="L1161" s="10"/>
      <c r="M1161" s="11">
        <f t="shared" si="54"/>
        <v>7.662037038244307E-3</v>
      </c>
      <c r="N1161" s="11" t="str">
        <f t="shared" si="55"/>
        <v/>
      </c>
      <c r="O1161" s="10">
        <v>45688.53197916667</v>
      </c>
      <c r="P1161" s="11" t="str">
        <f t="shared" si="56"/>
        <v/>
      </c>
      <c r="Q1161" s="12" t="s">
        <v>3137</v>
      </c>
    </row>
    <row r="1162" spans="1:17" x14ac:dyDescent="0.25">
      <c r="A1162" s="3" t="s">
        <v>3138</v>
      </c>
      <c r="B1162" s="3" t="s">
        <v>466</v>
      </c>
      <c r="C1162" s="9">
        <v>186.66</v>
      </c>
      <c r="D1162" s="3" t="s">
        <v>500</v>
      </c>
      <c r="E1162" s="10">
        <v>45688.593495370369</v>
      </c>
      <c r="F1162" s="10">
        <v>45688.598692129628</v>
      </c>
      <c r="G1162" s="10">
        <v>45688.600254629629</v>
      </c>
      <c r="H1162" s="3" t="s">
        <v>3065</v>
      </c>
      <c r="I1162" s="10"/>
      <c r="J1162" s="10"/>
      <c r="K1162" s="10"/>
      <c r="L1162" s="10"/>
      <c r="M1162" s="11">
        <f t="shared" si="54"/>
        <v>6.7592592604341917E-3</v>
      </c>
      <c r="N1162" s="11" t="str">
        <f t="shared" si="55"/>
        <v/>
      </c>
      <c r="O1162" s="10">
        <v>45688.602430555547</v>
      </c>
      <c r="P1162" s="11" t="str">
        <f t="shared" si="56"/>
        <v/>
      </c>
      <c r="Q1162" s="12" t="s">
        <v>3139</v>
      </c>
    </row>
    <row r="1163" spans="1:17" ht="25.5" x14ac:dyDescent="0.25">
      <c r="A1163" s="3" t="s">
        <v>3140</v>
      </c>
      <c r="B1163" s="3" t="s">
        <v>467</v>
      </c>
      <c r="C1163" s="9">
        <v>31.48</v>
      </c>
      <c r="D1163" s="3" t="s">
        <v>515</v>
      </c>
      <c r="E1163" s="10">
        <v>45688.628101851849</v>
      </c>
      <c r="F1163" s="10">
        <v>45688.641041666669</v>
      </c>
      <c r="G1163" s="10">
        <v>45688.642997685187</v>
      </c>
      <c r="H1163" s="3" t="s">
        <v>3141</v>
      </c>
      <c r="I1163" s="10"/>
      <c r="J1163" s="10"/>
      <c r="K1163" s="10"/>
      <c r="L1163" s="10"/>
      <c r="M1163" s="11">
        <f t="shared" si="54"/>
        <v>1.4895833337504882E-2</v>
      </c>
      <c r="N1163" s="11" t="str">
        <f t="shared" si="55"/>
        <v/>
      </c>
      <c r="O1163" s="10">
        <v>45688.64539351852</v>
      </c>
      <c r="P1163" s="11" t="str">
        <f t="shared" si="56"/>
        <v/>
      </c>
      <c r="Q1163" s="12" t="s">
        <v>3142</v>
      </c>
    </row>
    <row r="1164" spans="1:17" x14ac:dyDescent="0.25">
      <c r="A1164" s="3" t="s">
        <v>3143</v>
      </c>
      <c r="B1164" s="3" t="s">
        <v>467</v>
      </c>
      <c r="C1164" s="9">
        <v>14</v>
      </c>
      <c r="D1164" s="3" t="s">
        <v>595</v>
      </c>
      <c r="E1164" s="10">
        <v>45688.628101851849</v>
      </c>
      <c r="F1164" s="10">
        <v>45688.642997685187</v>
      </c>
      <c r="G1164" s="10">
        <v>45688.644942129627</v>
      </c>
      <c r="H1164" s="3"/>
      <c r="I1164" s="10"/>
      <c r="J1164" s="10"/>
      <c r="K1164" s="10"/>
      <c r="L1164" s="10"/>
      <c r="M1164" s="11">
        <f t="shared" si="54"/>
        <v>1.6840277778101154E-2</v>
      </c>
      <c r="N1164" s="11" t="str">
        <f t="shared" si="55"/>
        <v/>
      </c>
      <c r="O1164" s="10">
        <v>45688.647118055553</v>
      </c>
      <c r="P1164" s="11" t="str">
        <f t="shared" si="56"/>
        <v/>
      </c>
      <c r="Q1164" s="12"/>
    </row>
    <row r="1165" spans="1:17" ht="25.5" x14ac:dyDescent="0.25">
      <c r="A1165" s="3" t="s">
        <v>3144</v>
      </c>
      <c r="B1165" s="3" t="s">
        <v>467</v>
      </c>
      <c r="C1165" s="9">
        <v>15.74</v>
      </c>
      <c r="D1165" s="3" t="s">
        <v>506</v>
      </c>
      <c r="E1165" s="10">
        <v>45688.628101851849</v>
      </c>
      <c r="F1165" s="10">
        <v>45688.644942129627</v>
      </c>
      <c r="G1165" s="10">
        <v>45688.646898148138</v>
      </c>
      <c r="H1165" s="3" t="s">
        <v>3094</v>
      </c>
      <c r="I1165" s="10"/>
      <c r="J1165" s="10"/>
      <c r="K1165" s="10"/>
      <c r="L1165" s="10"/>
      <c r="M1165" s="11">
        <f t="shared" si="54"/>
        <v>1.879629628820112E-2</v>
      </c>
      <c r="N1165" s="11" t="str">
        <f t="shared" si="55"/>
        <v/>
      </c>
      <c r="O1165" s="10">
        <v>45688.649293981478</v>
      </c>
      <c r="P1165" s="11" t="str">
        <f t="shared" si="56"/>
        <v/>
      </c>
      <c r="Q1165" s="12" t="s">
        <v>3145</v>
      </c>
    </row>
    <row r="1166" spans="1:17" ht="25.5" x14ac:dyDescent="0.25">
      <c r="A1166" s="3" t="s">
        <v>3146</v>
      </c>
      <c r="B1166" s="3" t="s">
        <v>467</v>
      </c>
      <c r="C1166" s="9">
        <v>15.74</v>
      </c>
      <c r="D1166" s="3" t="s">
        <v>654</v>
      </c>
      <c r="E1166" s="10">
        <v>45688.628101851849</v>
      </c>
      <c r="F1166" s="10">
        <v>45688.646898148138</v>
      </c>
      <c r="G1166" s="10">
        <v>45688.648645833331</v>
      </c>
      <c r="H1166" s="3" t="s">
        <v>3000</v>
      </c>
      <c r="I1166" s="10"/>
      <c r="J1166" s="10"/>
      <c r="K1166" s="10"/>
      <c r="L1166" s="10"/>
      <c r="M1166" s="11">
        <f t="shared" si="54"/>
        <v>2.0543981481750961E-2</v>
      </c>
      <c r="N1166" s="11" t="str">
        <f t="shared" si="55"/>
        <v/>
      </c>
      <c r="O1166" s="10">
        <v>45688.65221064815</v>
      </c>
      <c r="P1166" s="11" t="str">
        <f t="shared" si="56"/>
        <v/>
      </c>
      <c r="Q1166" s="12" t="s">
        <v>3147</v>
      </c>
    </row>
    <row r="1167" spans="1:17" x14ac:dyDescent="0.25">
      <c r="A1167" s="3" t="s">
        <v>3148</v>
      </c>
      <c r="B1167" s="3" t="s">
        <v>467</v>
      </c>
      <c r="C1167" s="9">
        <v>19.899999999999999</v>
      </c>
      <c r="D1167" s="3" t="s">
        <v>539</v>
      </c>
      <c r="E1167" s="10">
        <v>45688.628101851849</v>
      </c>
      <c r="F1167" s="10">
        <v>45688.648645833331</v>
      </c>
      <c r="G1167" s="10">
        <v>45688.650266203702</v>
      </c>
      <c r="H1167" s="3"/>
      <c r="I1167" s="10"/>
      <c r="J1167" s="10"/>
      <c r="K1167" s="10"/>
      <c r="L1167" s="10"/>
      <c r="M1167" s="11">
        <f t="shared" si="54"/>
        <v>2.21643518525525E-2</v>
      </c>
      <c r="N1167" s="11" t="str">
        <f t="shared" si="55"/>
        <v/>
      </c>
      <c r="O1167" s="10">
        <v>45688.652650462973</v>
      </c>
      <c r="P1167" s="11" t="str">
        <f t="shared" si="56"/>
        <v/>
      </c>
      <c r="Q1167" s="12"/>
    </row>
    <row r="1168" spans="1:17" x14ac:dyDescent="0.25">
      <c r="A1168" s="3" t="s">
        <v>3149</v>
      </c>
      <c r="B1168" s="3" t="s">
        <v>467</v>
      </c>
      <c r="C1168" s="9">
        <v>19.899999999999999</v>
      </c>
      <c r="D1168" s="3" t="s">
        <v>563</v>
      </c>
      <c r="E1168" s="10">
        <v>45688.628101851849</v>
      </c>
      <c r="F1168" s="10">
        <v>45688.650266203702</v>
      </c>
      <c r="G1168" s="10">
        <v>45688.652002314811</v>
      </c>
      <c r="H1168" s="3"/>
      <c r="I1168" s="10"/>
      <c r="J1168" s="10"/>
      <c r="K1168" s="10"/>
      <c r="L1168" s="10"/>
      <c r="M1168" s="11">
        <f t="shared" si="54"/>
        <v>2.3900462962046731E-2</v>
      </c>
      <c r="N1168" s="11" t="str">
        <f t="shared" si="55"/>
        <v/>
      </c>
      <c r="O1168" s="10">
        <v>45688.654374999998</v>
      </c>
      <c r="P1168" s="11" t="str">
        <f t="shared" si="56"/>
        <v/>
      </c>
      <c r="Q1168" s="12"/>
    </row>
    <row r="1169" spans="1:17" ht="25.5" x14ac:dyDescent="0.25">
      <c r="A1169" s="3" t="s">
        <v>3150</v>
      </c>
      <c r="B1169" s="3" t="s">
        <v>467</v>
      </c>
      <c r="C1169" s="9">
        <v>80.699999999999989</v>
      </c>
      <c r="D1169" s="3" t="s">
        <v>488</v>
      </c>
      <c r="E1169" s="10">
        <v>45688.628101851849</v>
      </c>
      <c r="F1169" s="10">
        <v>45688.652002314811</v>
      </c>
      <c r="G1169" s="10">
        <v>45688.654108796298</v>
      </c>
      <c r="H1169" s="3" t="s">
        <v>3094</v>
      </c>
      <c r="I1169" s="10"/>
      <c r="J1169" s="10"/>
      <c r="K1169" s="10"/>
      <c r="L1169" s="10"/>
      <c r="M1169" s="11">
        <f t="shared" si="54"/>
        <v>2.6006944448454306E-2</v>
      </c>
      <c r="N1169" s="11" t="str">
        <f t="shared" si="55"/>
        <v/>
      </c>
      <c r="O1169" s="10">
        <v>45688.658009259263</v>
      </c>
      <c r="P1169" s="11" t="str">
        <f t="shared" si="56"/>
        <v/>
      </c>
      <c r="Q1169" s="12" t="s">
        <v>3151</v>
      </c>
    </row>
    <row r="1170" spans="1:17" x14ac:dyDescent="0.25">
      <c r="A1170" s="3" t="s">
        <v>3152</v>
      </c>
      <c r="B1170" s="3" t="s">
        <v>467</v>
      </c>
      <c r="C1170" s="9">
        <v>135</v>
      </c>
      <c r="D1170" s="3" t="s">
        <v>527</v>
      </c>
      <c r="E1170" s="10">
        <v>45688.628101851849</v>
      </c>
      <c r="F1170" s="10"/>
      <c r="G1170" s="10"/>
      <c r="H1170" s="3"/>
      <c r="I1170" s="10"/>
      <c r="J1170" s="10"/>
      <c r="K1170" s="10"/>
      <c r="L1170" s="10"/>
      <c r="M1170" s="11" t="str">
        <f t="shared" si="54"/>
        <v/>
      </c>
      <c r="N1170" s="11" t="str">
        <f t="shared" si="55"/>
        <v/>
      </c>
      <c r="O1170" s="10"/>
      <c r="P1170" s="11" t="str">
        <f t="shared" si="56"/>
        <v/>
      </c>
      <c r="Q1170" s="12"/>
    </row>
    <row r="1171" spans="1:17" x14ac:dyDescent="0.25">
      <c r="A1171" s="3" t="s">
        <v>3153</v>
      </c>
      <c r="B1171" s="3" t="s">
        <v>468</v>
      </c>
      <c r="C1171" s="9">
        <v>60.8</v>
      </c>
      <c r="D1171" s="3" t="s">
        <v>488</v>
      </c>
      <c r="E1171" s="10">
        <v>45688.640069444453</v>
      </c>
      <c r="F1171" s="10">
        <v>45688.658333333333</v>
      </c>
      <c r="G1171" s="10">
        <v>45688.660358796304</v>
      </c>
      <c r="H1171" s="3" t="s">
        <v>3094</v>
      </c>
      <c r="I1171" s="10"/>
      <c r="J1171" s="10"/>
      <c r="K1171" s="10"/>
      <c r="L1171" s="10"/>
      <c r="M1171" s="11">
        <f t="shared" si="54"/>
        <v>2.028935185080627E-2</v>
      </c>
      <c r="N1171" s="11" t="str">
        <f t="shared" si="55"/>
        <v/>
      </c>
      <c r="O1171" s="10">
        <v>45688.664259259262</v>
      </c>
      <c r="P1171" s="11" t="str">
        <f t="shared" si="56"/>
        <v/>
      </c>
      <c r="Q1171" s="12" t="s">
        <v>3154</v>
      </c>
    </row>
    <row r="1172" spans="1:17" x14ac:dyDescent="0.25">
      <c r="A1172" s="3" t="s">
        <v>3155</v>
      </c>
      <c r="B1172" s="3" t="s">
        <v>468</v>
      </c>
      <c r="C1172" s="9">
        <v>19.899999999999999</v>
      </c>
      <c r="D1172" s="3" t="s">
        <v>519</v>
      </c>
      <c r="E1172" s="10">
        <v>45688.640069444453</v>
      </c>
      <c r="F1172" s="10">
        <v>45688.660358796304</v>
      </c>
      <c r="G1172" s="10">
        <v>45688.661724537043</v>
      </c>
      <c r="H1172" s="3" t="s">
        <v>3085</v>
      </c>
      <c r="I1172" s="10"/>
      <c r="J1172" s="10"/>
      <c r="K1172" s="10"/>
      <c r="L1172" s="10"/>
      <c r="M1172" s="11">
        <f t="shared" si="54"/>
        <v>2.1655092590663116E-2</v>
      </c>
      <c r="N1172" s="11" t="str">
        <f t="shared" si="55"/>
        <v/>
      </c>
      <c r="O1172" s="10">
        <v>45688.665648148148</v>
      </c>
      <c r="P1172" s="11" t="str">
        <f t="shared" si="56"/>
        <v/>
      </c>
      <c r="Q1172" s="12" t="s">
        <v>3156</v>
      </c>
    </row>
    <row r="1173" spans="1:17" x14ac:dyDescent="0.25">
      <c r="A1173" s="3" t="s">
        <v>3157</v>
      </c>
      <c r="B1173" s="3" t="s">
        <v>468</v>
      </c>
      <c r="C1173" s="9">
        <v>12.04</v>
      </c>
      <c r="D1173" s="3" t="s">
        <v>492</v>
      </c>
      <c r="E1173" s="10">
        <v>45688.640069444453</v>
      </c>
      <c r="F1173" s="10">
        <v>45688.661724537043</v>
      </c>
      <c r="G1173" s="10">
        <v>45688.662847222222</v>
      </c>
      <c r="H1173" s="3"/>
      <c r="I1173" s="10"/>
      <c r="J1173" s="10"/>
      <c r="K1173" s="10"/>
      <c r="L1173" s="10"/>
      <c r="M1173" s="11">
        <f t="shared" si="54"/>
        <v>2.2777777769078966E-2</v>
      </c>
      <c r="N1173" s="11" t="str">
        <f t="shared" si="55"/>
        <v/>
      </c>
      <c r="O1173" s="10">
        <v>45688.66747685185</v>
      </c>
      <c r="P1173" s="11" t="str">
        <f t="shared" si="56"/>
        <v/>
      </c>
      <c r="Q1173" s="12"/>
    </row>
    <row r="1174" spans="1:17" x14ac:dyDescent="0.25">
      <c r="A1174" s="3" t="s">
        <v>3158</v>
      </c>
      <c r="B1174" s="3" t="s">
        <v>468</v>
      </c>
      <c r="C1174" s="9">
        <v>19.899999999999999</v>
      </c>
      <c r="D1174" s="3" t="s">
        <v>539</v>
      </c>
      <c r="E1174" s="10">
        <v>45688.640069444453</v>
      </c>
      <c r="F1174" s="10">
        <v>45688.662847222222</v>
      </c>
      <c r="G1174" s="10">
        <v>45688.664444444446</v>
      </c>
      <c r="H1174" s="3"/>
      <c r="I1174" s="10"/>
      <c r="J1174" s="10"/>
      <c r="K1174" s="10"/>
      <c r="L1174" s="10"/>
      <c r="M1174" s="11">
        <f t="shared" si="54"/>
        <v>2.4374999993597157E-2</v>
      </c>
      <c r="N1174" s="11" t="str">
        <f t="shared" si="55"/>
        <v/>
      </c>
      <c r="O1174" s="10">
        <v>45688.670439814807</v>
      </c>
      <c r="P1174" s="11" t="str">
        <f t="shared" si="56"/>
        <v/>
      </c>
      <c r="Q1174" s="12"/>
    </row>
    <row r="1175" spans="1:17" x14ac:dyDescent="0.25">
      <c r="A1175" s="3" t="s">
        <v>3159</v>
      </c>
      <c r="B1175" s="3" t="s">
        <v>468</v>
      </c>
      <c r="C1175" s="9">
        <v>121.84</v>
      </c>
      <c r="D1175" s="3" t="s">
        <v>515</v>
      </c>
      <c r="E1175" s="10">
        <v>45688.640069444453</v>
      </c>
      <c r="F1175" s="10">
        <v>45688.664444444446</v>
      </c>
      <c r="G1175" s="10">
        <v>45688.666574074072</v>
      </c>
      <c r="H1175" s="3" t="s">
        <v>3141</v>
      </c>
      <c r="I1175" s="10"/>
      <c r="J1175" s="10"/>
      <c r="K1175" s="10"/>
      <c r="L1175" s="10"/>
      <c r="M1175" s="11">
        <f t="shared" si="54"/>
        <v>2.6504629619012121E-2</v>
      </c>
      <c r="N1175" s="11" t="str">
        <f t="shared" si="55"/>
        <v/>
      </c>
      <c r="O1175" s="10">
        <v>45688.672233796293</v>
      </c>
      <c r="P1175" s="11" t="str">
        <f t="shared" si="56"/>
        <v/>
      </c>
      <c r="Q1175" s="12" t="s">
        <v>3160</v>
      </c>
    </row>
    <row r="1176" spans="1:17" ht="25.5" x14ac:dyDescent="0.25">
      <c r="A1176" s="3" t="s">
        <v>3161</v>
      </c>
      <c r="B1176" s="3" t="s">
        <v>468</v>
      </c>
      <c r="C1176" s="9">
        <v>46.48</v>
      </c>
      <c r="D1176" s="3" t="s">
        <v>506</v>
      </c>
      <c r="E1176" s="10">
        <v>45688.640069444453</v>
      </c>
      <c r="F1176" s="10">
        <v>45688.666574074072</v>
      </c>
      <c r="G1176" s="10">
        <v>45688.668564814812</v>
      </c>
      <c r="H1176" s="3" t="s">
        <v>3162</v>
      </c>
      <c r="I1176" s="10"/>
      <c r="J1176" s="10"/>
      <c r="K1176" s="10"/>
      <c r="L1176" s="10"/>
      <c r="M1176" s="11">
        <f t="shared" si="54"/>
        <v>2.8495370359451044E-2</v>
      </c>
      <c r="N1176" s="11" t="str">
        <f t="shared" si="55"/>
        <v/>
      </c>
      <c r="O1176" s="10">
        <v>45688.673703703702</v>
      </c>
      <c r="P1176" s="11" t="str">
        <f t="shared" si="56"/>
        <v/>
      </c>
      <c r="Q1176" s="12" t="s">
        <v>3163</v>
      </c>
    </row>
    <row r="1177" spans="1:17" x14ac:dyDescent="0.25">
      <c r="A1177" s="3" t="s">
        <v>3164</v>
      </c>
      <c r="B1177" s="3" t="s">
        <v>468</v>
      </c>
      <c r="C1177" s="9">
        <v>15.74</v>
      </c>
      <c r="D1177" s="3" t="s">
        <v>654</v>
      </c>
      <c r="E1177" s="10">
        <v>45688.640069444453</v>
      </c>
      <c r="F1177" s="10">
        <v>45688.668564814812</v>
      </c>
      <c r="G1177" s="10">
        <v>45688.670289351852</v>
      </c>
      <c r="H1177" s="3" t="s">
        <v>3000</v>
      </c>
      <c r="I1177" s="10"/>
      <c r="J1177" s="10"/>
      <c r="K1177" s="10"/>
      <c r="L1177" s="10"/>
      <c r="M1177" s="11">
        <f t="shared" si="54"/>
        <v>3.0219907399441581E-2</v>
      </c>
      <c r="N1177" s="11" t="str">
        <f t="shared" si="55"/>
        <v/>
      </c>
      <c r="O1177" s="10">
        <v>45688.676979166667</v>
      </c>
      <c r="P1177" s="11" t="str">
        <f t="shared" si="56"/>
        <v/>
      </c>
      <c r="Q1177" s="12" t="s">
        <v>3165</v>
      </c>
    </row>
    <row r="1178" spans="1:17" x14ac:dyDescent="0.25">
      <c r="A1178" s="3" t="s">
        <v>3166</v>
      </c>
      <c r="B1178" s="3" t="s">
        <v>468</v>
      </c>
      <c r="C1178" s="9">
        <v>27</v>
      </c>
      <c r="D1178" s="3" t="s">
        <v>527</v>
      </c>
      <c r="E1178" s="10">
        <v>45688.640069444453</v>
      </c>
      <c r="F1178" s="10"/>
      <c r="G1178" s="10"/>
      <c r="H1178" s="3"/>
      <c r="I1178" s="10"/>
      <c r="J1178" s="10"/>
      <c r="K1178" s="10"/>
      <c r="L1178" s="10"/>
      <c r="M1178" s="11" t="str">
        <f t="shared" si="54"/>
        <v/>
      </c>
      <c r="N1178" s="11" t="str">
        <f t="shared" si="55"/>
        <v/>
      </c>
      <c r="O1178" s="10"/>
      <c r="P1178" s="11" t="str">
        <f t="shared" si="56"/>
        <v/>
      </c>
      <c r="Q1178" s="12"/>
    </row>
    <row r="1179" spans="1:17" ht="25.5" x14ac:dyDescent="0.25">
      <c r="A1179" s="3" t="s">
        <v>3167</v>
      </c>
      <c r="B1179" s="3" t="s">
        <v>468</v>
      </c>
      <c r="C1179" s="9">
        <v>47.22</v>
      </c>
      <c r="D1179" s="3" t="s">
        <v>506</v>
      </c>
      <c r="E1179" s="10">
        <v>45688.640069444453</v>
      </c>
      <c r="F1179" s="10">
        <v>45688.670289351852</v>
      </c>
      <c r="G1179" s="10">
        <v>45688.672291666669</v>
      </c>
      <c r="H1179" s="3" t="s">
        <v>3162</v>
      </c>
      <c r="I1179" s="10"/>
      <c r="J1179" s="10"/>
      <c r="K1179" s="10"/>
      <c r="L1179" s="10"/>
      <c r="M1179" s="11">
        <f t="shared" si="54"/>
        <v>3.2222222216660157E-2</v>
      </c>
      <c r="N1179" s="11" t="str">
        <f t="shared" si="55"/>
        <v/>
      </c>
      <c r="O1179" s="10">
        <v>45688.678495370368</v>
      </c>
      <c r="P1179" s="11" t="str">
        <f t="shared" si="56"/>
        <v/>
      </c>
      <c r="Q1179" s="12" t="s">
        <v>3168</v>
      </c>
    </row>
    <row r="1180" spans="1:17" x14ac:dyDescent="0.25">
      <c r="A1180" s="3" t="s">
        <v>3169</v>
      </c>
      <c r="B1180" s="3" t="s">
        <v>468</v>
      </c>
      <c r="C1180" s="9">
        <v>14</v>
      </c>
      <c r="D1180" s="3" t="s">
        <v>523</v>
      </c>
      <c r="E1180" s="10">
        <v>45688.640069444453</v>
      </c>
      <c r="F1180" s="10">
        <v>45688.672291666669</v>
      </c>
      <c r="G1180" s="10">
        <v>45688.67428240741</v>
      </c>
      <c r="H1180" s="3"/>
      <c r="I1180" s="10"/>
      <c r="J1180" s="10"/>
      <c r="K1180" s="10"/>
      <c r="L1180" s="10"/>
      <c r="M1180" s="11">
        <f t="shared" si="54"/>
        <v>3.421296295709908E-2</v>
      </c>
      <c r="N1180" s="11" t="str">
        <f t="shared" si="55"/>
        <v/>
      </c>
      <c r="O1180" s="10">
        <v>45688.68172453704</v>
      </c>
      <c r="P1180" s="11" t="str">
        <f t="shared" si="56"/>
        <v/>
      </c>
      <c r="Q1180" s="12"/>
    </row>
    <row r="1181" spans="1:17" x14ac:dyDescent="0.25">
      <c r="A1181" s="3" t="s">
        <v>3170</v>
      </c>
      <c r="B1181" s="3" t="s">
        <v>468</v>
      </c>
      <c r="C1181" s="9">
        <v>35.64</v>
      </c>
      <c r="D1181" s="3" t="s">
        <v>484</v>
      </c>
      <c r="E1181" s="10">
        <v>45688.640069444453</v>
      </c>
      <c r="F1181" s="10">
        <v>45688.67428240741</v>
      </c>
      <c r="G1181" s="10">
        <v>45688.675798611112</v>
      </c>
      <c r="H1181" s="3" t="s">
        <v>3071</v>
      </c>
      <c r="I1181" s="10"/>
      <c r="J1181" s="10"/>
      <c r="K1181" s="10"/>
      <c r="L1181" s="10"/>
      <c r="M1181" s="11">
        <f t="shared" si="54"/>
        <v>3.572916665871162E-2</v>
      </c>
      <c r="N1181" s="11" t="str">
        <f t="shared" si="55"/>
        <v/>
      </c>
      <c r="O1181" s="10">
        <v>45688.683287037027</v>
      </c>
      <c r="P1181" s="11" t="str">
        <f t="shared" si="56"/>
        <v/>
      </c>
      <c r="Q1181" s="12" t="s">
        <v>3171</v>
      </c>
    </row>
    <row r="1182" spans="1:17" x14ac:dyDescent="0.25">
      <c r="A1182" s="3" t="s">
        <v>3172</v>
      </c>
      <c r="B1182" s="3" t="s">
        <v>469</v>
      </c>
      <c r="C1182" s="9">
        <v>47.22</v>
      </c>
      <c r="D1182" s="3" t="s">
        <v>500</v>
      </c>
      <c r="E1182" s="10">
        <v>45688.64875</v>
      </c>
      <c r="F1182" s="10"/>
      <c r="G1182" s="10"/>
      <c r="H1182" s="3"/>
      <c r="I1182" s="10"/>
      <c r="J1182" s="10"/>
      <c r="K1182" s="10"/>
      <c r="L1182" s="10"/>
      <c r="M1182" s="11" t="str">
        <f t="shared" si="54"/>
        <v/>
      </c>
      <c r="N1182" s="11" t="str">
        <f t="shared" si="55"/>
        <v/>
      </c>
      <c r="O1182" s="10"/>
      <c r="P1182" s="11" t="str">
        <f t="shared" si="56"/>
        <v/>
      </c>
      <c r="Q1182" s="12"/>
    </row>
    <row r="1183" spans="1:17" x14ac:dyDescent="0.25">
      <c r="A1183" s="3" t="s">
        <v>3173</v>
      </c>
      <c r="B1183" s="3" t="s">
        <v>470</v>
      </c>
      <c r="C1183" s="9">
        <v>302.12000000000012</v>
      </c>
      <c r="D1183" s="3" t="s">
        <v>500</v>
      </c>
      <c r="E1183" s="10">
        <v>45688.732060185182</v>
      </c>
      <c r="F1183" s="10">
        <v>45688.738217592603</v>
      </c>
      <c r="G1183" s="10">
        <v>45688.740162037036</v>
      </c>
      <c r="H1183" s="3" t="s">
        <v>3174</v>
      </c>
      <c r="I1183" s="10"/>
      <c r="J1183" s="10"/>
      <c r="K1183" s="10"/>
      <c r="L1183" s="10"/>
      <c r="M1183" s="11">
        <f t="shared" si="54"/>
        <v>8.1018518540076911E-3</v>
      </c>
      <c r="N1183" s="11" t="str">
        <f t="shared" si="55"/>
        <v/>
      </c>
      <c r="O1183" s="10">
        <v>45688.74255787037</v>
      </c>
      <c r="P1183" s="11" t="str">
        <f t="shared" si="56"/>
        <v/>
      </c>
      <c r="Q1183" s="12" t="s">
        <v>3175</v>
      </c>
    </row>
    <row r="1184" spans="1:17" x14ac:dyDescent="0.25">
      <c r="A1184" s="3" t="s">
        <v>3176</v>
      </c>
      <c r="B1184" s="3" t="s">
        <v>471</v>
      </c>
      <c r="C1184" s="9">
        <v>193.12</v>
      </c>
      <c r="D1184" s="3" t="s">
        <v>500</v>
      </c>
      <c r="E1184" s="10">
        <v>45688.741550925923</v>
      </c>
      <c r="F1184" s="10">
        <v>45688.746712962973</v>
      </c>
      <c r="G1184" s="10">
        <v>45688.74900462963</v>
      </c>
      <c r="H1184" s="3" t="s">
        <v>3177</v>
      </c>
      <c r="I1184" s="10"/>
      <c r="J1184" s="10"/>
      <c r="K1184" s="10"/>
      <c r="L1184" s="10"/>
      <c r="M1184" s="11">
        <f t="shared" si="54"/>
        <v>7.4537037071422674E-3</v>
      </c>
      <c r="N1184" s="11" t="str">
        <f t="shared" si="55"/>
        <v/>
      </c>
      <c r="O1184" s="10">
        <v>45688.751400462963</v>
      </c>
      <c r="P1184" s="11" t="str">
        <f t="shared" si="56"/>
        <v/>
      </c>
      <c r="Q1184" s="12" t="s">
        <v>3178</v>
      </c>
    </row>
    <row r="1185" spans="1:17" x14ac:dyDescent="0.25">
      <c r="A1185" s="3" t="s">
        <v>3179</v>
      </c>
      <c r="B1185" s="3" t="s">
        <v>472</v>
      </c>
      <c r="C1185" s="9">
        <v>162</v>
      </c>
      <c r="D1185" s="3" t="s">
        <v>527</v>
      </c>
      <c r="E1185" s="10">
        <v>45688.838935185187</v>
      </c>
      <c r="F1185" s="10">
        <v>45688.851053240738</v>
      </c>
      <c r="G1185" s="10">
        <v>45688.853125000001</v>
      </c>
      <c r="H1185" s="3" t="s">
        <v>3180</v>
      </c>
      <c r="I1185" s="10"/>
      <c r="J1185" s="10"/>
      <c r="K1185" s="10"/>
      <c r="L1185" s="10"/>
      <c r="M1185" s="11">
        <f t="shared" si="54"/>
        <v>1.4189814814017154E-2</v>
      </c>
      <c r="N1185" s="11" t="str">
        <f t="shared" si="55"/>
        <v/>
      </c>
      <c r="O1185" s="10">
        <v>45688.855486111112</v>
      </c>
      <c r="P1185" s="11" t="str">
        <f t="shared" si="56"/>
        <v/>
      </c>
      <c r="Q1185" s="12" t="s">
        <v>3181</v>
      </c>
    </row>
    <row r="1186" spans="1:17" x14ac:dyDescent="0.25">
      <c r="A1186" s="3" t="s">
        <v>3182</v>
      </c>
      <c r="B1186" s="3" t="s">
        <v>472</v>
      </c>
      <c r="C1186" s="9">
        <v>23.24</v>
      </c>
      <c r="D1186" s="3" t="s">
        <v>506</v>
      </c>
      <c r="E1186" s="10">
        <v>45688.838935185187</v>
      </c>
      <c r="F1186" s="10">
        <v>45688.853125000001</v>
      </c>
      <c r="G1186" s="10">
        <v>45688.855092592603</v>
      </c>
      <c r="H1186" s="3" t="s">
        <v>3162</v>
      </c>
      <c r="I1186" s="10"/>
      <c r="J1186" s="10"/>
      <c r="K1186" s="10"/>
      <c r="L1186" s="10"/>
      <c r="M1186" s="11">
        <f t="shared" si="54"/>
        <v>1.6157407415448688E-2</v>
      </c>
      <c r="N1186" s="11" t="str">
        <f t="shared" si="55"/>
        <v/>
      </c>
      <c r="O1186" s="10">
        <v>45688.858634259261</v>
      </c>
      <c r="P1186" s="11" t="str">
        <f t="shared" si="56"/>
        <v/>
      </c>
      <c r="Q1186" s="12" t="s">
        <v>3183</v>
      </c>
    </row>
    <row r="1187" spans="1:17" x14ac:dyDescent="0.25">
      <c r="A1187" s="3" t="s">
        <v>3184</v>
      </c>
      <c r="B1187" s="3" t="s">
        <v>472</v>
      </c>
      <c r="C1187" s="9">
        <v>19.899999999999999</v>
      </c>
      <c r="D1187" s="3" t="s">
        <v>539</v>
      </c>
      <c r="E1187" s="10">
        <v>45688.838935185187</v>
      </c>
      <c r="F1187" s="10">
        <v>45688.855092592603</v>
      </c>
      <c r="G1187" s="10">
        <v>45688.856712962966</v>
      </c>
      <c r="H1187" s="3"/>
      <c r="I1187" s="10"/>
      <c r="J1187" s="10"/>
      <c r="K1187" s="10"/>
      <c r="L1187" s="10"/>
      <c r="M1187" s="11">
        <f t="shared" si="54"/>
        <v>1.7777777778974269E-2</v>
      </c>
      <c r="N1187" s="11" t="str">
        <f t="shared" si="55"/>
        <v/>
      </c>
      <c r="O1187" s="10">
        <v>45688.860601851848</v>
      </c>
      <c r="P1187" s="11" t="str">
        <f t="shared" si="56"/>
        <v/>
      </c>
      <c r="Q1187" s="12"/>
    </row>
    <row r="1188" spans="1:17" ht="25.5" x14ac:dyDescent="0.25">
      <c r="A1188" s="3" t="s">
        <v>3185</v>
      </c>
      <c r="B1188" s="3" t="s">
        <v>472</v>
      </c>
      <c r="C1188" s="9">
        <v>15.74</v>
      </c>
      <c r="D1188" s="3" t="s">
        <v>484</v>
      </c>
      <c r="E1188" s="10">
        <v>45688.838935185187</v>
      </c>
      <c r="F1188" s="10">
        <v>45688.856712962966</v>
      </c>
      <c r="G1188" s="10">
        <v>45688.858622685177</v>
      </c>
      <c r="H1188" s="3" t="s">
        <v>3186</v>
      </c>
      <c r="I1188" s="10"/>
      <c r="J1188" s="10"/>
      <c r="K1188" s="10"/>
      <c r="L1188" s="10"/>
      <c r="M1188" s="11">
        <f t="shared" si="54"/>
        <v>1.9687499989231583E-2</v>
      </c>
      <c r="N1188" s="11" t="str">
        <f t="shared" si="55"/>
        <v/>
      </c>
      <c r="O1188" s="10">
        <v>45688.861018518517</v>
      </c>
      <c r="P1188" s="11" t="str">
        <f t="shared" si="56"/>
        <v/>
      </c>
      <c r="Q1188" s="12" t="s">
        <v>3187</v>
      </c>
    </row>
    <row r="1189" spans="1:17" x14ac:dyDescent="0.25">
      <c r="A1189" s="3" t="s">
        <v>3188</v>
      </c>
      <c r="B1189" s="3" t="s">
        <v>472</v>
      </c>
      <c r="C1189" s="9">
        <v>110.26</v>
      </c>
      <c r="D1189" s="3" t="s">
        <v>515</v>
      </c>
      <c r="E1189" s="10">
        <v>45688.838935185187</v>
      </c>
      <c r="F1189" s="10">
        <v>45688.858622685177</v>
      </c>
      <c r="G1189" s="10">
        <v>45688.860752314817</v>
      </c>
      <c r="H1189" s="3" t="s">
        <v>3186</v>
      </c>
      <c r="I1189" s="10"/>
      <c r="J1189" s="10"/>
      <c r="K1189" s="10"/>
      <c r="L1189" s="10"/>
      <c r="M1189" s="11">
        <f t="shared" si="54"/>
        <v>2.1817129629198462E-2</v>
      </c>
      <c r="N1189" s="11" t="str">
        <f t="shared" si="55"/>
        <v/>
      </c>
      <c r="O1189" s="10">
        <v>45688.864305555559</v>
      </c>
      <c r="P1189" s="11" t="str">
        <f t="shared" si="56"/>
        <v/>
      </c>
      <c r="Q1189" s="12" t="s">
        <v>3189</v>
      </c>
    </row>
    <row r="1190" spans="1:17" x14ac:dyDescent="0.25">
      <c r="A1190" s="3" t="s">
        <v>3190</v>
      </c>
      <c r="B1190" s="3" t="s">
        <v>472</v>
      </c>
      <c r="C1190" s="9">
        <v>19.899999999999999</v>
      </c>
      <c r="D1190" s="3" t="s">
        <v>563</v>
      </c>
      <c r="E1190" s="10">
        <v>45688.838935185187</v>
      </c>
      <c r="F1190" s="10">
        <v>45688.860752314817</v>
      </c>
      <c r="G1190" s="10">
        <v>45688.862488425933</v>
      </c>
      <c r="H1190" s="3"/>
      <c r="I1190" s="10"/>
      <c r="J1190" s="10"/>
      <c r="K1190" s="10"/>
      <c r="L1190" s="10"/>
      <c r="M1190" s="11">
        <f t="shared" si="54"/>
        <v>2.3553240745968651E-2</v>
      </c>
      <c r="N1190" s="11" t="str">
        <f t="shared" si="55"/>
        <v/>
      </c>
      <c r="O1190" s="10">
        <v>45688.866412037038</v>
      </c>
      <c r="P1190" s="11" t="str">
        <f t="shared" si="56"/>
        <v/>
      </c>
      <c r="Q1190" s="12"/>
    </row>
  </sheetData>
  <autoFilter ref="A1:Q1190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27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10" width="19" customWidth="1"/>
    <col min="11" max="15" width="8.140625" customWidth="1"/>
  </cols>
  <sheetData>
    <row r="1" spans="1:15" ht="45" customHeight="1" x14ac:dyDescent="0.25">
      <c r="A1" s="1" t="s">
        <v>125</v>
      </c>
      <c r="B1" s="1" t="s">
        <v>474</v>
      </c>
      <c r="C1" s="1" t="s">
        <v>126</v>
      </c>
      <c r="D1" s="1" t="s">
        <v>127</v>
      </c>
      <c r="E1" s="1" t="s">
        <v>3191</v>
      </c>
      <c r="F1" s="1" t="s">
        <v>478</v>
      </c>
      <c r="G1" s="1" t="s">
        <v>479</v>
      </c>
      <c r="H1" s="1" t="s">
        <v>3192</v>
      </c>
      <c r="I1" s="1" t="s">
        <v>480</v>
      </c>
      <c r="J1" s="1" t="s">
        <v>481</v>
      </c>
      <c r="K1" s="1" t="s">
        <v>61</v>
      </c>
      <c r="L1" s="1" t="s">
        <v>64</v>
      </c>
      <c r="M1" s="1" t="s">
        <v>67</v>
      </c>
      <c r="N1" s="1" t="s">
        <v>70</v>
      </c>
      <c r="O1" s="1" t="s">
        <v>73</v>
      </c>
    </row>
    <row r="2" spans="1:15" x14ac:dyDescent="0.25">
      <c r="A2" s="3" t="s">
        <v>489</v>
      </c>
      <c r="B2" s="3" t="s">
        <v>488</v>
      </c>
      <c r="C2" s="9">
        <v>103.9</v>
      </c>
      <c r="D2" s="3" t="s">
        <v>3193</v>
      </c>
      <c r="E2" s="10">
        <v>45659.125833333332</v>
      </c>
      <c r="F2" s="10">
        <v>45659.126701388886</v>
      </c>
      <c r="G2" s="10">
        <v>45659.144733796304</v>
      </c>
      <c r="H2" s="10">
        <v>45659.144733796304</v>
      </c>
      <c r="I2" s="10">
        <v>45659.144733796304</v>
      </c>
      <c r="J2" s="10">
        <v>45659.145405092589</v>
      </c>
      <c r="K2" s="11">
        <f t="shared" ref="K2:K65" si="0">IF(AND(ISNUMBER(E2),ISNUMBER(F2)),(F2-E2),"")</f>
        <v>8.6805555474711582E-4</v>
      </c>
      <c r="L2" s="11">
        <f t="shared" ref="L2:L65" si="1">IF(AND(ISNUMBER(F2),ISNUMBER(G2)),(G2-F2),"")</f>
        <v>1.8032407417194918E-2</v>
      </c>
      <c r="M2" s="11">
        <f t="shared" ref="M2:M65" si="2">IF(AND(ISNUMBER(H2),ISNUMBER(I2)),(I2-H2),"")</f>
        <v>0</v>
      </c>
      <c r="N2" s="11">
        <f t="shared" ref="N2:N65" si="3">IF(AND(ISNUMBER(I2),ISNUMBER(J2)),(J2-I2),"")</f>
        <v>6.7129628587281331E-4</v>
      </c>
      <c r="O2" s="11">
        <f t="shared" ref="O2:O65" si="4">IF(AND(ISNUMBER(E2),ISNUMBER(J2)),(J2-E2),"")</f>
        <v>1.9571759257814847E-2</v>
      </c>
    </row>
    <row r="3" spans="1:15" x14ac:dyDescent="0.25">
      <c r="A3" s="3" t="s">
        <v>501</v>
      </c>
      <c r="B3" s="3" t="s">
        <v>500</v>
      </c>
      <c r="C3" s="9">
        <v>182.7</v>
      </c>
      <c r="D3" s="3" t="s">
        <v>3193</v>
      </c>
      <c r="E3" s="10">
        <v>45659.28025462963</v>
      </c>
      <c r="F3" s="10">
        <v>45659.281099537038</v>
      </c>
      <c r="G3" s="10">
        <v>45659.3128125</v>
      </c>
      <c r="H3" s="10">
        <v>45659.3128125</v>
      </c>
      <c r="I3" s="10">
        <v>45659.3128125</v>
      </c>
      <c r="J3" s="10">
        <v>45659.313668981478</v>
      </c>
      <c r="K3" s="11">
        <f t="shared" si="0"/>
        <v>8.4490740846376866E-4</v>
      </c>
      <c r="L3" s="11">
        <f t="shared" si="1"/>
        <v>3.1712962962046731E-2</v>
      </c>
      <c r="M3" s="11">
        <f t="shared" si="2"/>
        <v>0</v>
      </c>
      <c r="N3" s="11">
        <f t="shared" si="3"/>
        <v>8.5648147796746343E-4</v>
      </c>
      <c r="O3" s="11">
        <f t="shared" si="4"/>
        <v>3.3414351848477963E-2</v>
      </c>
    </row>
    <row r="4" spans="1:15" x14ac:dyDescent="0.25">
      <c r="A4" s="3" t="s">
        <v>543</v>
      </c>
      <c r="B4" s="3" t="s">
        <v>500</v>
      </c>
      <c r="C4" s="9">
        <v>188.96</v>
      </c>
      <c r="D4" s="3" t="s">
        <v>3194</v>
      </c>
      <c r="E4" s="10">
        <v>45659.318715277783</v>
      </c>
      <c r="F4" s="10">
        <v>45659.319548611107</v>
      </c>
      <c r="G4" s="10">
        <v>45659.352349537039</v>
      </c>
      <c r="H4" s="10">
        <v>45659.352349537039</v>
      </c>
      <c r="I4" s="10">
        <v>45659.352349537039</v>
      </c>
      <c r="J4" s="10">
        <v>45659.353333333333</v>
      </c>
      <c r="K4" s="11">
        <f t="shared" si="0"/>
        <v>8.3333332440815866E-4</v>
      </c>
      <c r="L4" s="11">
        <f t="shared" si="1"/>
        <v>3.2800925931951497E-2</v>
      </c>
      <c r="M4" s="11">
        <f t="shared" si="2"/>
        <v>0</v>
      </c>
      <c r="N4" s="11">
        <f t="shared" si="3"/>
        <v>9.8379629343980923E-4</v>
      </c>
      <c r="O4" s="11">
        <f t="shared" si="4"/>
        <v>3.4618055549799465E-2</v>
      </c>
    </row>
    <row r="5" spans="1:15" x14ac:dyDescent="0.25">
      <c r="A5" s="3" t="s">
        <v>507</v>
      </c>
      <c r="B5" s="3" t="s">
        <v>506</v>
      </c>
      <c r="C5" s="9">
        <v>264.62</v>
      </c>
      <c r="D5" s="3" t="s">
        <v>3195</v>
      </c>
      <c r="E5" s="10">
        <v>45659.324884259258</v>
      </c>
      <c r="F5" s="10">
        <v>45659.325868055559</v>
      </c>
      <c r="G5" s="10">
        <v>45659.371805555558</v>
      </c>
      <c r="H5" s="10">
        <v>45659.371805555558</v>
      </c>
      <c r="I5" s="10">
        <v>45659.371805555558</v>
      </c>
      <c r="J5" s="10">
        <v>45659.373020833344</v>
      </c>
      <c r="K5" s="11">
        <f t="shared" si="0"/>
        <v>9.8379630071576685E-4</v>
      </c>
      <c r="L5" s="11">
        <f t="shared" si="1"/>
        <v>4.5937499999126885E-2</v>
      </c>
      <c r="M5" s="11">
        <f t="shared" si="2"/>
        <v>0</v>
      </c>
      <c r="N5" s="11">
        <f t="shared" si="3"/>
        <v>1.2152777853771113E-3</v>
      </c>
      <c r="O5" s="11">
        <f t="shared" si="4"/>
        <v>4.8136574085219763E-2</v>
      </c>
    </row>
    <row r="6" spans="1:15" x14ac:dyDescent="0.25">
      <c r="A6" s="3" t="s">
        <v>546</v>
      </c>
      <c r="B6" s="3" t="s">
        <v>500</v>
      </c>
      <c r="C6" s="9">
        <v>396.56000000000012</v>
      </c>
      <c r="D6" s="3" t="s">
        <v>3193</v>
      </c>
      <c r="E6" s="10">
        <v>45659.347731481481</v>
      </c>
      <c r="F6" s="10">
        <v>45659.349444444437</v>
      </c>
      <c r="G6" s="10">
        <v>45659.418298611112</v>
      </c>
      <c r="H6" s="10">
        <v>45659.418298611112</v>
      </c>
      <c r="I6" s="10">
        <v>45659.418298611112</v>
      </c>
      <c r="J6" s="10">
        <v>45659.419641203713</v>
      </c>
      <c r="K6" s="11">
        <f t="shared" si="0"/>
        <v>1.7129629559349269E-3</v>
      </c>
      <c r="L6" s="11">
        <f t="shared" si="1"/>
        <v>6.8854166675009765E-2</v>
      </c>
      <c r="M6" s="11">
        <f t="shared" si="2"/>
        <v>0</v>
      </c>
      <c r="N6" s="11">
        <f t="shared" si="3"/>
        <v>1.3425926008494571E-3</v>
      </c>
      <c r="O6" s="11">
        <f t="shared" si="4"/>
        <v>7.1909722231794149E-2</v>
      </c>
    </row>
    <row r="7" spans="1:15" x14ac:dyDescent="0.25">
      <c r="A7" s="3" t="s">
        <v>576</v>
      </c>
      <c r="B7" s="3" t="s">
        <v>500</v>
      </c>
      <c r="C7" s="9">
        <v>142.19999999999999</v>
      </c>
      <c r="D7" s="3" t="s">
        <v>3196</v>
      </c>
      <c r="E7" s="10">
        <v>45659.389293981483</v>
      </c>
      <c r="F7" s="10">
        <v>45659.390127314808</v>
      </c>
      <c r="G7" s="10">
        <v>45659.414814814823</v>
      </c>
      <c r="H7" s="10">
        <v>45659.414814814823</v>
      </c>
      <c r="I7" s="10">
        <v>45659.414814814823</v>
      </c>
      <c r="J7" s="10">
        <v>45659.415520833332</v>
      </c>
      <c r="K7" s="11">
        <f t="shared" si="0"/>
        <v>8.3333332440815866E-4</v>
      </c>
      <c r="L7" s="11">
        <f t="shared" si="1"/>
        <v>2.4687500015716068E-2</v>
      </c>
      <c r="M7" s="11">
        <f t="shared" si="2"/>
        <v>0</v>
      </c>
      <c r="N7" s="11">
        <f t="shared" si="3"/>
        <v>7.0601850893581286E-4</v>
      </c>
      <c r="O7" s="11">
        <f t="shared" si="4"/>
        <v>2.622685184906004E-2</v>
      </c>
    </row>
    <row r="8" spans="1:15" x14ac:dyDescent="0.25">
      <c r="A8" s="3" t="s">
        <v>516</v>
      </c>
      <c r="B8" s="3" t="s">
        <v>515</v>
      </c>
      <c r="C8" s="9">
        <v>134.24</v>
      </c>
      <c r="D8" s="3" t="s">
        <v>3197</v>
      </c>
      <c r="E8" s="10">
        <v>45659.397314814807</v>
      </c>
      <c r="F8" s="10">
        <v>45659.414317129631</v>
      </c>
      <c r="G8" s="10">
        <v>45659.437615740739</v>
      </c>
      <c r="H8" s="10">
        <v>45659.437615740739</v>
      </c>
      <c r="I8" s="10">
        <v>45659.437615740739</v>
      </c>
      <c r="J8" s="10">
        <v>45659.438483796293</v>
      </c>
      <c r="K8" s="11">
        <f t="shared" si="0"/>
        <v>1.7002314823912457E-2</v>
      </c>
      <c r="L8" s="11">
        <f t="shared" si="1"/>
        <v>2.3298611107748002E-2</v>
      </c>
      <c r="M8" s="11">
        <f t="shared" si="2"/>
        <v>0</v>
      </c>
      <c r="N8" s="11">
        <f t="shared" si="3"/>
        <v>8.6805555474711582E-4</v>
      </c>
      <c r="O8" s="11">
        <f t="shared" si="4"/>
        <v>4.1168981486407574E-2</v>
      </c>
    </row>
    <row r="9" spans="1:15" x14ac:dyDescent="0.25">
      <c r="A9" s="3" t="s">
        <v>528</v>
      </c>
      <c r="B9" s="3" t="s">
        <v>527</v>
      </c>
      <c r="C9" s="9">
        <v>108</v>
      </c>
      <c r="D9" s="3" t="s">
        <v>3198</v>
      </c>
      <c r="E9" s="10">
        <v>45659.401678240742</v>
      </c>
      <c r="F9" s="10">
        <v>45659.416493055563</v>
      </c>
      <c r="G9" s="10">
        <v>45659.435243055559</v>
      </c>
      <c r="H9" s="10">
        <v>45659.435243055559</v>
      </c>
      <c r="I9" s="10">
        <v>45659.435243055559</v>
      </c>
      <c r="J9" s="10">
        <v>45659.436030092591</v>
      </c>
      <c r="K9" s="11">
        <f t="shared" si="0"/>
        <v>1.4814814821875188E-2</v>
      </c>
      <c r="L9" s="11">
        <f t="shared" si="1"/>
        <v>1.8749999995634425E-2</v>
      </c>
      <c r="M9" s="11">
        <f t="shared" si="2"/>
        <v>0</v>
      </c>
      <c r="N9" s="11">
        <f t="shared" si="3"/>
        <v>7.8703703184146434E-4</v>
      </c>
      <c r="O9" s="11">
        <f t="shared" si="4"/>
        <v>3.4351851849351078E-2</v>
      </c>
    </row>
    <row r="10" spans="1:15" x14ac:dyDescent="0.25">
      <c r="A10" s="3" t="s">
        <v>567</v>
      </c>
      <c r="B10" s="3" t="s">
        <v>506</v>
      </c>
      <c r="C10" s="9">
        <v>194.16</v>
      </c>
      <c r="D10" s="3" t="s">
        <v>3196</v>
      </c>
      <c r="E10" s="10">
        <v>45659.408993055556</v>
      </c>
      <c r="F10" s="10">
        <v>45659.420034722221</v>
      </c>
      <c r="G10" s="10">
        <v>45659.453738425917</v>
      </c>
      <c r="H10" s="10">
        <v>45659.453738425917</v>
      </c>
      <c r="I10" s="10">
        <v>45659.453738425917</v>
      </c>
      <c r="J10" s="10">
        <v>45659.454571759263</v>
      </c>
      <c r="K10" s="11">
        <f t="shared" si="0"/>
        <v>1.1041666664823424E-2</v>
      </c>
      <c r="L10" s="11">
        <f t="shared" si="1"/>
        <v>3.3703703695209697E-2</v>
      </c>
      <c r="M10" s="11">
        <f t="shared" si="2"/>
        <v>0</v>
      </c>
      <c r="N10" s="11">
        <f t="shared" si="3"/>
        <v>8.333333462360315E-4</v>
      </c>
      <c r="O10" s="11">
        <f t="shared" si="4"/>
        <v>4.5578703706269152E-2</v>
      </c>
    </row>
    <row r="11" spans="1:15" x14ac:dyDescent="0.25">
      <c r="A11" s="3" t="s">
        <v>579</v>
      </c>
      <c r="B11" s="3" t="s">
        <v>500</v>
      </c>
      <c r="C11" s="9">
        <v>367.16000000000008</v>
      </c>
      <c r="D11" s="3" t="s">
        <v>3193</v>
      </c>
      <c r="E11" s="10">
        <v>45659.457048611112</v>
      </c>
      <c r="F11" s="10">
        <v>45659.457916666674</v>
      </c>
      <c r="G11" s="10">
        <v>45659.521666666667</v>
      </c>
      <c r="H11" s="10">
        <v>45659.521666666667</v>
      </c>
      <c r="I11" s="10">
        <v>45659.521666666667</v>
      </c>
      <c r="J11" s="10">
        <v>45659.522939814808</v>
      </c>
      <c r="K11" s="11">
        <f t="shared" si="0"/>
        <v>8.6805556202307343E-4</v>
      </c>
      <c r="L11" s="11">
        <f t="shared" si="1"/>
        <v>6.3749999993888196E-2</v>
      </c>
      <c r="M11" s="11">
        <f t="shared" si="2"/>
        <v>0</v>
      </c>
      <c r="N11" s="11">
        <f t="shared" si="3"/>
        <v>1.2731481401715428E-3</v>
      </c>
      <c r="O11" s="11">
        <f t="shared" si="4"/>
        <v>6.5891203696082812E-2</v>
      </c>
    </row>
    <row r="12" spans="1:15" x14ac:dyDescent="0.25">
      <c r="A12" s="3" t="s">
        <v>586</v>
      </c>
      <c r="B12" s="3" t="s">
        <v>500</v>
      </c>
      <c r="C12" s="9">
        <v>287.12000000000012</v>
      </c>
      <c r="D12" s="3" t="s">
        <v>3193</v>
      </c>
      <c r="E12" s="10">
        <v>45659.619513888887</v>
      </c>
      <c r="F12" s="10">
        <v>45659.620381944442</v>
      </c>
      <c r="G12" s="10">
        <v>45659.670231481483</v>
      </c>
      <c r="H12" s="10">
        <v>45659.670231481483</v>
      </c>
      <c r="I12" s="10">
        <v>45659.670231481483</v>
      </c>
      <c r="J12" s="10">
        <v>45659.671319444453</v>
      </c>
      <c r="K12" s="11">
        <f t="shared" si="0"/>
        <v>8.6805555474711582E-4</v>
      </c>
      <c r="L12" s="11">
        <f t="shared" si="1"/>
        <v>4.984953704115469E-2</v>
      </c>
      <c r="M12" s="11">
        <f t="shared" si="2"/>
        <v>0</v>
      </c>
      <c r="N12" s="11">
        <f t="shared" si="3"/>
        <v>1.0879629699047655E-3</v>
      </c>
      <c r="O12" s="11">
        <f t="shared" si="4"/>
        <v>5.1805555565806571E-2</v>
      </c>
    </row>
    <row r="13" spans="1:15" x14ac:dyDescent="0.25">
      <c r="A13" s="3" t="s">
        <v>493</v>
      </c>
      <c r="B13" s="3" t="s">
        <v>492</v>
      </c>
      <c r="C13" s="9">
        <v>363.4</v>
      </c>
      <c r="D13" s="3" t="s">
        <v>3199</v>
      </c>
      <c r="E13" s="10">
        <v>45659.640532407408</v>
      </c>
      <c r="F13" s="10">
        <v>45659.641388888893</v>
      </c>
      <c r="G13" s="10">
        <v>45659.704479166663</v>
      </c>
      <c r="H13" s="10">
        <v>45659.704479166663</v>
      </c>
      <c r="I13" s="10">
        <v>45659.704606481479</v>
      </c>
      <c r="J13" s="10">
        <v>45659.705833333333</v>
      </c>
      <c r="K13" s="11">
        <f t="shared" si="0"/>
        <v>8.5648148524342105E-4</v>
      </c>
      <c r="L13" s="11">
        <f t="shared" si="1"/>
        <v>6.3090277770243119E-2</v>
      </c>
      <c r="M13" s="11">
        <f t="shared" si="2"/>
        <v>1.273148154723458E-4</v>
      </c>
      <c r="N13" s="11">
        <f t="shared" si="3"/>
        <v>1.2268518548808061E-3</v>
      </c>
      <c r="O13" s="11">
        <f t="shared" si="4"/>
        <v>6.5300925925839692E-2</v>
      </c>
    </row>
    <row r="14" spans="1:15" x14ac:dyDescent="0.25">
      <c r="A14" s="3" t="s">
        <v>520</v>
      </c>
      <c r="B14" s="3" t="s">
        <v>519</v>
      </c>
      <c r="C14" s="9">
        <v>114.8</v>
      </c>
      <c r="D14" s="3" t="s">
        <v>3200</v>
      </c>
      <c r="E14" s="10">
        <v>45659.653182870366</v>
      </c>
      <c r="F14" s="10">
        <v>45659.662002314813</v>
      </c>
      <c r="G14" s="10">
        <v>45659.681932870371</v>
      </c>
      <c r="H14" s="10">
        <v>45659.681932870371</v>
      </c>
      <c r="I14" s="10">
        <v>45659.681932870371</v>
      </c>
      <c r="J14" s="10">
        <v>45659.682708333326</v>
      </c>
      <c r="K14" s="11">
        <f t="shared" si="0"/>
        <v>8.819444446999114E-3</v>
      </c>
      <c r="L14" s="11">
        <f t="shared" si="1"/>
        <v>1.9930555557948537E-2</v>
      </c>
      <c r="M14" s="11">
        <f t="shared" si="2"/>
        <v>0</v>
      </c>
      <c r="N14" s="11">
        <f t="shared" si="3"/>
        <v>7.7546295506181195E-4</v>
      </c>
      <c r="O14" s="11">
        <f t="shared" si="4"/>
        <v>2.9525462960009463E-2</v>
      </c>
    </row>
    <row r="15" spans="1:15" x14ac:dyDescent="0.25">
      <c r="A15" s="3" t="s">
        <v>601</v>
      </c>
      <c r="B15" s="3" t="s">
        <v>506</v>
      </c>
      <c r="C15" s="9">
        <v>257.12000000000012</v>
      </c>
      <c r="D15" s="3" t="s">
        <v>3196</v>
      </c>
      <c r="E15" s="10">
        <v>45659.65425925926</v>
      </c>
      <c r="F15" s="10">
        <v>45659.671967592592</v>
      </c>
      <c r="G15" s="10">
        <v>45659.716608796298</v>
      </c>
      <c r="H15" s="10">
        <v>45659.716608796298</v>
      </c>
      <c r="I15" s="10">
        <v>45659.716608796298</v>
      </c>
      <c r="J15" s="10">
        <v>45659.717581018522</v>
      </c>
      <c r="K15" s="11">
        <f t="shared" si="0"/>
        <v>1.7708333332848269E-2</v>
      </c>
      <c r="L15" s="11">
        <f t="shared" si="1"/>
        <v>4.4641203705396038E-2</v>
      </c>
      <c r="M15" s="11">
        <f t="shared" si="2"/>
        <v>0</v>
      </c>
      <c r="N15" s="11">
        <f t="shared" si="3"/>
        <v>9.7222222393611446E-4</v>
      </c>
      <c r="O15" s="11">
        <f t="shared" si="4"/>
        <v>6.3321759262180422E-2</v>
      </c>
    </row>
    <row r="16" spans="1:15" x14ac:dyDescent="0.25">
      <c r="A16" s="3" t="s">
        <v>608</v>
      </c>
      <c r="B16" s="3" t="s">
        <v>515</v>
      </c>
      <c r="C16" s="9">
        <v>117.76</v>
      </c>
      <c r="D16" s="3" t="s">
        <v>3196</v>
      </c>
      <c r="E16" s="10">
        <v>45659.660439814812</v>
      </c>
      <c r="F16" s="10">
        <v>45659.683506944442</v>
      </c>
      <c r="G16" s="10">
        <v>45659.703946759262</v>
      </c>
      <c r="H16" s="10">
        <v>45659.703946759262</v>
      </c>
      <c r="I16" s="10">
        <v>45659.703946759262</v>
      </c>
      <c r="J16" s="10">
        <v>45659.704606481479</v>
      </c>
      <c r="K16" s="11">
        <f t="shared" si="0"/>
        <v>2.3067129630362615E-2</v>
      </c>
      <c r="L16" s="11">
        <f t="shared" si="1"/>
        <v>2.043981481983792E-2</v>
      </c>
      <c r="M16" s="11">
        <f t="shared" si="2"/>
        <v>0</v>
      </c>
      <c r="N16" s="11">
        <f t="shared" si="3"/>
        <v>6.5972221636911854E-4</v>
      </c>
      <c r="O16" s="11">
        <f t="shared" si="4"/>
        <v>4.4166666666569654E-2</v>
      </c>
    </row>
    <row r="17" spans="1:15" x14ac:dyDescent="0.25">
      <c r="A17" s="3" t="s">
        <v>589</v>
      </c>
      <c r="B17" s="3" t="s">
        <v>527</v>
      </c>
      <c r="C17" s="9">
        <v>216</v>
      </c>
      <c r="D17" s="3" t="s">
        <v>3197</v>
      </c>
      <c r="E17" s="10">
        <v>45659.771319444437</v>
      </c>
      <c r="F17" s="10">
        <v>45659.772152777783</v>
      </c>
      <c r="G17" s="10">
        <v>45659.809652777767</v>
      </c>
      <c r="H17" s="10">
        <v>45659.809652777767</v>
      </c>
      <c r="I17" s="10">
        <v>45659.809652777767</v>
      </c>
      <c r="J17" s="10">
        <v>45659.810694444437</v>
      </c>
      <c r="K17" s="11">
        <f t="shared" si="0"/>
        <v>8.333333462360315E-4</v>
      </c>
      <c r="L17" s="11">
        <f t="shared" si="1"/>
        <v>3.7499999983992893E-2</v>
      </c>
      <c r="M17" s="11">
        <f t="shared" si="2"/>
        <v>0</v>
      </c>
      <c r="N17" s="11">
        <f t="shared" si="3"/>
        <v>1.0416666700621136E-3</v>
      </c>
      <c r="O17" s="11">
        <f t="shared" si="4"/>
        <v>3.9375000000291038E-2</v>
      </c>
    </row>
    <row r="18" spans="1:15" x14ac:dyDescent="0.25">
      <c r="A18" s="3" t="s">
        <v>592</v>
      </c>
      <c r="B18" s="3" t="s">
        <v>506</v>
      </c>
      <c r="C18" s="9">
        <v>194.16</v>
      </c>
      <c r="D18" s="3" t="s">
        <v>3199</v>
      </c>
      <c r="E18" s="10">
        <v>45659.775520833333</v>
      </c>
      <c r="F18" s="10">
        <v>45659.776388888888</v>
      </c>
      <c r="G18" s="10">
        <v>45659.81009259259</v>
      </c>
      <c r="H18" s="10">
        <v>45659.81009259259</v>
      </c>
      <c r="I18" s="10">
        <v>45659.810694444437</v>
      </c>
      <c r="J18" s="10">
        <v>45659.811539351853</v>
      </c>
      <c r="K18" s="11">
        <f t="shared" si="0"/>
        <v>8.6805555474711582E-4</v>
      </c>
      <c r="L18" s="11">
        <f t="shared" si="1"/>
        <v>3.3703703702485655E-2</v>
      </c>
      <c r="M18" s="11">
        <f t="shared" si="2"/>
        <v>6.0185184702277184E-4</v>
      </c>
      <c r="N18" s="11">
        <f t="shared" si="3"/>
        <v>8.4490741573972628E-4</v>
      </c>
      <c r="O18" s="11">
        <f t="shared" si="4"/>
        <v>3.6018518519995268E-2</v>
      </c>
    </row>
    <row r="19" spans="1:15" x14ac:dyDescent="0.25">
      <c r="A19" s="3" t="s">
        <v>510</v>
      </c>
      <c r="B19" s="3" t="s">
        <v>488</v>
      </c>
      <c r="C19" s="9">
        <v>102.8</v>
      </c>
      <c r="D19" s="3" t="s">
        <v>3201</v>
      </c>
      <c r="E19" s="10">
        <v>45659.780763888892</v>
      </c>
      <c r="F19" s="10">
        <v>45659.784050925933</v>
      </c>
      <c r="G19" s="10">
        <v>45659.801898148151</v>
      </c>
      <c r="H19" s="10">
        <v>45659.801898148151</v>
      </c>
      <c r="I19" s="10">
        <v>45659.801898148151</v>
      </c>
      <c r="J19" s="10">
        <v>45659.802673611113</v>
      </c>
      <c r="K19" s="11">
        <f t="shared" si="0"/>
        <v>3.2870370414457284E-3</v>
      </c>
      <c r="L19" s="11">
        <f t="shared" si="1"/>
        <v>1.784722221782431E-2</v>
      </c>
      <c r="M19" s="11">
        <f t="shared" si="2"/>
        <v>0</v>
      </c>
      <c r="N19" s="11">
        <f t="shared" si="3"/>
        <v>7.7546296233776957E-4</v>
      </c>
      <c r="O19" s="11">
        <f t="shared" si="4"/>
        <v>2.1909722221607808E-2</v>
      </c>
    </row>
    <row r="20" spans="1:15" x14ac:dyDescent="0.25">
      <c r="A20" s="3" t="s">
        <v>534</v>
      </c>
      <c r="B20" s="3" t="s">
        <v>533</v>
      </c>
      <c r="C20" s="9">
        <v>157.4</v>
      </c>
      <c r="D20" s="3" t="s">
        <v>3202</v>
      </c>
      <c r="E20" s="10">
        <v>45659.869930555556</v>
      </c>
      <c r="F20" s="10">
        <v>45659.870798611111</v>
      </c>
      <c r="G20" s="10">
        <v>45659.898125</v>
      </c>
      <c r="H20" s="10">
        <v>45659.898125</v>
      </c>
      <c r="I20" s="10">
        <v>45659.898125</v>
      </c>
      <c r="J20" s="10">
        <v>45659.898969907408</v>
      </c>
      <c r="K20" s="11">
        <f t="shared" si="0"/>
        <v>8.6805555474711582E-4</v>
      </c>
      <c r="L20" s="11">
        <f t="shared" si="1"/>
        <v>2.73263888884685E-2</v>
      </c>
      <c r="M20" s="11">
        <f t="shared" si="2"/>
        <v>0</v>
      </c>
      <c r="N20" s="11">
        <f t="shared" si="3"/>
        <v>8.4490740846376866E-4</v>
      </c>
      <c r="O20" s="11">
        <f t="shared" si="4"/>
        <v>2.9039351851679385E-2</v>
      </c>
    </row>
    <row r="21" spans="1:15" x14ac:dyDescent="0.25">
      <c r="A21" s="3" t="s">
        <v>626</v>
      </c>
      <c r="B21" s="3" t="s">
        <v>515</v>
      </c>
      <c r="C21" s="9">
        <v>117.76</v>
      </c>
      <c r="D21" s="3" t="s">
        <v>3196</v>
      </c>
      <c r="E21" s="10">
        <v>45659.87736111111</v>
      </c>
      <c r="F21" s="10">
        <v>45659.879062499997</v>
      </c>
      <c r="G21" s="10">
        <v>45659.899502314824</v>
      </c>
      <c r="H21" s="10">
        <v>45659.899502314824</v>
      </c>
      <c r="I21" s="10">
        <v>45659.900023148148</v>
      </c>
      <c r="J21" s="10">
        <v>45659.900671296287</v>
      </c>
      <c r="K21" s="11">
        <f t="shared" si="0"/>
        <v>1.7013888864312321E-3</v>
      </c>
      <c r="L21" s="11">
        <f t="shared" si="1"/>
        <v>2.0439814827113878E-2</v>
      </c>
      <c r="M21" s="11">
        <f t="shared" si="2"/>
        <v>5.2083332411712036E-4</v>
      </c>
      <c r="N21" s="11">
        <f t="shared" si="3"/>
        <v>6.4814813958946615E-4</v>
      </c>
      <c r="O21" s="11">
        <f t="shared" si="4"/>
        <v>2.3310185177251697E-2</v>
      </c>
    </row>
    <row r="22" spans="1:15" x14ac:dyDescent="0.25">
      <c r="A22" s="3" t="s">
        <v>617</v>
      </c>
      <c r="B22" s="3" t="s">
        <v>519</v>
      </c>
      <c r="C22" s="9">
        <v>101.7</v>
      </c>
      <c r="D22" s="3" t="s">
        <v>3193</v>
      </c>
      <c r="E22" s="10">
        <v>45659.879965277767</v>
      </c>
      <c r="F22" s="10">
        <v>45659.881701388891</v>
      </c>
      <c r="G22" s="10">
        <v>45659.899351851847</v>
      </c>
      <c r="H22" s="10">
        <v>45659.899351851847</v>
      </c>
      <c r="I22" s="10">
        <v>45659.899351851847</v>
      </c>
      <c r="J22" s="10">
        <v>45659.900023148148</v>
      </c>
      <c r="K22" s="11">
        <f t="shared" si="0"/>
        <v>1.7361111240461469E-3</v>
      </c>
      <c r="L22" s="11">
        <f t="shared" si="1"/>
        <v>1.7650462956225965E-2</v>
      </c>
      <c r="M22" s="11">
        <f t="shared" si="2"/>
        <v>0</v>
      </c>
      <c r="N22" s="11">
        <f t="shared" si="3"/>
        <v>6.7129630042472854E-4</v>
      </c>
      <c r="O22" s="11">
        <f t="shared" si="4"/>
        <v>2.0057870380696841E-2</v>
      </c>
    </row>
    <row r="23" spans="1:15" x14ac:dyDescent="0.25">
      <c r="A23" s="3" t="s">
        <v>635</v>
      </c>
      <c r="B23" s="3" t="s">
        <v>506</v>
      </c>
      <c r="C23" s="9">
        <v>134.44</v>
      </c>
      <c r="D23" s="3" t="s">
        <v>3199</v>
      </c>
      <c r="E23" s="10">
        <v>45660.125925925917</v>
      </c>
      <c r="F23" s="10">
        <v>45660.126759259263</v>
      </c>
      <c r="G23" s="10">
        <v>45660.150104166663</v>
      </c>
      <c r="H23" s="10">
        <v>45660.150104166663</v>
      </c>
      <c r="I23" s="10">
        <v>45660.150104166663</v>
      </c>
      <c r="J23" s="10">
        <v>45660.15079861111</v>
      </c>
      <c r="K23" s="11">
        <f t="shared" si="0"/>
        <v>8.333333462360315E-4</v>
      </c>
      <c r="L23" s="11">
        <f t="shared" si="1"/>
        <v>2.3344907400314696E-2</v>
      </c>
      <c r="M23" s="11">
        <f t="shared" si="2"/>
        <v>0</v>
      </c>
      <c r="N23" s="11">
        <f t="shared" si="3"/>
        <v>6.944444467080757E-4</v>
      </c>
      <c r="O23" s="11">
        <f t="shared" si="4"/>
        <v>2.4872685193258803E-2</v>
      </c>
    </row>
    <row r="24" spans="1:15" x14ac:dyDescent="0.25">
      <c r="A24" s="3" t="s">
        <v>672</v>
      </c>
      <c r="B24" s="3" t="s">
        <v>519</v>
      </c>
      <c r="C24" s="9">
        <v>497</v>
      </c>
      <c r="D24" s="3" t="s">
        <v>3193</v>
      </c>
      <c r="E24" s="10">
        <v>45660.205196759263</v>
      </c>
      <c r="F24" s="10">
        <v>45660.206064814818</v>
      </c>
      <c r="G24" s="10">
        <v>45660.292349537027</v>
      </c>
      <c r="H24" s="10">
        <v>45660.292349537027</v>
      </c>
      <c r="I24" s="10">
        <v>45660.292349537027</v>
      </c>
      <c r="J24" s="10">
        <v>45660.293923611112</v>
      </c>
      <c r="K24" s="11">
        <f t="shared" si="0"/>
        <v>8.6805555474711582E-4</v>
      </c>
      <c r="L24" s="11">
        <f t="shared" si="1"/>
        <v>8.6284722208802123E-2</v>
      </c>
      <c r="M24" s="11">
        <f t="shared" si="2"/>
        <v>0</v>
      </c>
      <c r="N24" s="11">
        <f t="shared" si="3"/>
        <v>1.5740740855108015E-3</v>
      </c>
      <c r="O24" s="11">
        <f t="shared" si="4"/>
        <v>8.872685184906004E-2</v>
      </c>
    </row>
    <row r="25" spans="1:15" x14ac:dyDescent="0.25">
      <c r="A25" s="3" t="s">
        <v>485</v>
      </c>
      <c r="B25" s="3" t="s">
        <v>484</v>
      </c>
      <c r="C25" s="9">
        <v>102.76</v>
      </c>
      <c r="D25" s="3" t="s">
        <v>3203</v>
      </c>
      <c r="E25" s="10">
        <v>45660.261053240742</v>
      </c>
      <c r="F25" s="10">
        <v>45660.262696759259</v>
      </c>
      <c r="G25" s="10">
        <v>45660.280532407407</v>
      </c>
      <c r="H25" s="10">
        <v>45660.280532407407</v>
      </c>
      <c r="I25" s="10">
        <v>45660.280532407407</v>
      </c>
      <c r="J25" s="10">
        <v>45660.281238425923</v>
      </c>
      <c r="K25" s="11">
        <f t="shared" si="0"/>
        <v>1.6435185170848854E-3</v>
      </c>
      <c r="L25" s="11">
        <f t="shared" si="1"/>
        <v>1.7835648148320615E-2</v>
      </c>
      <c r="M25" s="11">
        <f t="shared" si="2"/>
        <v>0</v>
      </c>
      <c r="N25" s="11">
        <f t="shared" si="3"/>
        <v>7.0601851621177047E-4</v>
      </c>
      <c r="O25" s="11">
        <f t="shared" si="4"/>
        <v>2.0185185181617271E-2</v>
      </c>
    </row>
    <row r="26" spans="1:15" x14ac:dyDescent="0.25">
      <c r="A26" s="3" t="s">
        <v>497</v>
      </c>
      <c r="B26" s="3" t="s">
        <v>496</v>
      </c>
      <c r="C26" s="9">
        <v>204.62</v>
      </c>
      <c r="D26" s="3" t="s">
        <v>3204</v>
      </c>
      <c r="E26" s="10">
        <v>45660.270891203712</v>
      </c>
      <c r="F26" s="10">
        <v>45660.277326388888</v>
      </c>
      <c r="G26" s="10">
        <v>45660.312858796293</v>
      </c>
      <c r="H26" s="10">
        <v>45660.312858796293</v>
      </c>
      <c r="I26" s="10">
        <v>45660.312858796293</v>
      </c>
      <c r="J26" s="10">
        <v>45660.313831018517</v>
      </c>
      <c r="K26" s="11">
        <f t="shared" si="0"/>
        <v>6.4351851760875434E-3</v>
      </c>
      <c r="L26" s="11">
        <f t="shared" si="1"/>
        <v>3.5532407404389232E-2</v>
      </c>
      <c r="M26" s="11">
        <f t="shared" si="2"/>
        <v>0</v>
      </c>
      <c r="N26" s="11">
        <f t="shared" si="3"/>
        <v>9.7222222393611446E-4</v>
      </c>
      <c r="O26" s="11">
        <f t="shared" si="4"/>
        <v>4.293981480441289E-2</v>
      </c>
    </row>
    <row r="27" spans="1:15" x14ac:dyDescent="0.25">
      <c r="A27" s="3" t="s">
        <v>677</v>
      </c>
      <c r="B27" s="3" t="s">
        <v>492</v>
      </c>
      <c r="C27" s="9">
        <v>144.34</v>
      </c>
      <c r="D27" s="3" t="s">
        <v>3199</v>
      </c>
      <c r="E27" s="10">
        <v>45660.273148148153</v>
      </c>
      <c r="F27" s="10">
        <v>45660.282268518517</v>
      </c>
      <c r="G27" s="10">
        <v>45660.307326388887</v>
      </c>
      <c r="H27" s="10">
        <v>45660.307326388887</v>
      </c>
      <c r="I27" s="10">
        <v>45660.307326388887</v>
      </c>
      <c r="J27" s="10">
        <v>45660.308055555557</v>
      </c>
      <c r="K27" s="11">
        <f t="shared" si="0"/>
        <v>9.1203703632345423E-3</v>
      </c>
      <c r="L27" s="11">
        <f t="shared" si="1"/>
        <v>2.5057870370801538E-2</v>
      </c>
      <c r="M27" s="11">
        <f t="shared" si="2"/>
        <v>0</v>
      </c>
      <c r="N27" s="11">
        <f t="shared" si="3"/>
        <v>7.2916666977107525E-4</v>
      </c>
      <c r="O27" s="11">
        <f t="shared" si="4"/>
        <v>3.4907407403807156E-2</v>
      </c>
    </row>
    <row r="28" spans="1:15" x14ac:dyDescent="0.25">
      <c r="A28" s="3" t="s">
        <v>651</v>
      </c>
      <c r="B28" s="3" t="s">
        <v>527</v>
      </c>
      <c r="C28" s="9">
        <v>108</v>
      </c>
      <c r="D28" s="3" t="s">
        <v>3197</v>
      </c>
      <c r="E28" s="10">
        <v>45660.275636574072</v>
      </c>
      <c r="F28" s="10">
        <v>45660.298784722218</v>
      </c>
      <c r="G28" s="10">
        <v>45660.31753472222</v>
      </c>
      <c r="H28" s="10">
        <v>45660.31753472222</v>
      </c>
      <c r="I28" s="10">
        <v>45660.31753472222</v>
      </c>
      <c r="J28" s="10">
        <v>45660.318333333344</v>
      </c>
      <c r="K28" s="11">
        <f t="shared" si="0"/>
        <v>2.3148148145992309E-2</v>
      </c>
      <c r="L28" s="11">
        <f t="shared" si="1"/>
        <v>1.8750000002910383E-2</v>
      </c>
      <c r="M28" s="11">
        <f t="shared" si="2"/>
        <v>0</v>
      </c>
      <c r="N28" s="11">
        <f t="shared" si="3"/>
        <v>7.9861112317303196E-4</v>
      </c>
      <c r="O28" s="11">
        <f t="shared" si="4"/>
        <v>4.2696759272075724E-2</v>
      </c>
    </row>
    <row r="29" spans="1:15" x14ac:dyDescent="0.25">
      <c r="A29" s="3" t="s">
        <v>648</v>
      </c>
      <c r="B29" s="3" t="s">
        <v>488</v>
      </c>
      <c r="C29" s="9">
        <v>358.9</v>
      </c>
      <c r="D29" s="3" t="s">
        <v>3201</v>
      </c>
      <c r="E29" s="10">
        <v>45660.297083333331</v>
      </c>
      <c r="F29" s="10">
        <v>45660.309062499997</v>
      </c>
      <c r="G29" s="10">
        <v>45660.371377314812</v>
      </c>
      <c r="H29" s="10">
        <v>45660.371377314812</v>
      </c>
      <c r="I29" s="10">
        <v>45660.371377314812</v>
      </c>
      <c r="J29" s="10">
        <v>45660.372743055559</v>
      </c>
      <c r="K29" s="11">
        <f t="shared" si="0"/>
        <v>1.1979166665696539E-2</v>
      </c>
      <c r="L29" s="11">
        <f t="shared" si="1"/>
        <v>6.2314814815181307E-2</v>
      </c>
      <c r="M29" s="11">
        <f t="shared" si="2"/>
        <v>0</v>
      </c>
      <c r="N29" s="11">
        <f t="shared" si="3"/>
        <v>1.3657407471328042E-3</v>
      </c>
      <c r="O29" s="11">
        <f t="shared" si="4"/>
        <v>7.5659722228010651E-2</v>
      </c>
    </row>
    <row r="30" spans="1:15" x14ac:dyDescent="0.25">
      <c r="A30" s="3" t="s">
        <v>564</v>
      </c>
      <c r="B30" s="3" t="s">
        <v>563</v>
      </c>
      <c r="C30" s="9">
        <v>184.14</v>
      </c>
      <c r="D30" s="3" t="s">
        <v>3194</v>
      </c>
      <c r="E30" s="10">
        <v>45660.328599537039</v>
      </c>
      <c r="F30" s="10">
        <v>45660.330300925933</v>
      </c>
      <c r="G30" s="10">
        <v>45660.362268518518</v>
      </c>
      <c r="H30" s="10">
        <v>45660.362268518518</v>
      </c>
      <c r="I30" s="10">
        <v>45660.362268518518</v>
      </c>
      <c r="J30" s="10">
        <v>45660.363240740742</v>
      </c>
      <c r="K30" s="11">
        <f t="shared" si="0"/>
        <v>1.7013888937071897E-3</v>
      </c>
      <c r="L30" s="11">
        <f t="shared" si="1"/>
        <v>3.1967592585715465E-2</v>
      </c>
      <c r="M30" s="11">
        <f t="shared" si="2"/>
        <v>0</v>
      </c>
      <c r="N30" s="11">
        <f t="shared" si="3"/>
        <v>9.7222222393611446E-4</v>
      </c>
      <c r="O30" s="11">
        <f t="shared" si="4"/>
        <v>3.4641203703358769E-2</v>
      </c>
    </row>
    <row r="31" spans="1:15" x14ac:dyDescent="0.25">
      <c r="A31" s="3" t="s">
        <v>720</v>
      </c>
      <c r="B31" s="3" t="s">
        <v>500</v>
      </c>
      <c r="C31" s="9">
        <v>256.89999999999998</v>
      </c>
      <c r="D31" s="3" t="s">
        <v>3199</v>
      </c>
      <c r="E31" s="10">
        <v>45660.333865740737</v>
      </c>
      <c r="F31" s="10">
        <v>45660.335509259261</v>
      </c>
      <c r="G31" s="10">
        <v>45660.380104166667</v>
      </c>
      <c r="H31" s="10">
        <v>45660.380104166667</v>
      </c>
      <c r="I31" s="10">
        <v>45660.380104166667</v>
      </c>
      <c r="J31" s="10">
        <v>45660.381099537037</v>
      </c>
      <c r="K31" s="11">
        <f t="shared" si="0"/>
        <v>1.643518524360843E-3</v>
      </c>
      <c r="L31" s="11">
        <f t="shared" si="1"/>
        <v>4.4594907405553386E-2</v>
      </c>
      <c r="M31" s="11">
        <f t="shared" si="2"/>
        <v>0</v>
      </c>
      <c r="N31" s="11">
        <f t="shared" si="3"/>
        <v>9.9537037021946162E-4</v>
      </c>
      <c r="O31" s="11">
        <f t="shared" si="4"/>
        <v>4.723379630013369E-2</v>
      </c>
    </row>
    <row r="32" spans="1:15" x14ac:dyDescent="0.25">
      <c r="A32" s="3" t="s">
        <v>723</v>
      </c>
      <c r="B32" s="3" t="s">
        <v>500</v>
      </c>
      <c r="C32" s="9">
        <v>396.56000000000012</v>
      </c>
      <c r="D32" s="3" t="s">
        <v>3204</v>
      </c>
      <c r="E32" s="10">
        <v>45660.365474537037</v>
      </c>
      <c r="F32" s="10">
        <v>45660.367175925923</v>
      </c>
      <c r="G32" s="10">
        <v>45660.436030092591</v>
      </c>
      <c r="H32" s="10">
        <v>45660.436030092591</v>
      </c>
      <c r="I32" s="10">
        <v>45660.436030092591</v>
      </c>
      <c r="J32" s="10">
        <v>45660.437442129631</v>
      </c>
      <c r="K32" s="11">
        <f t="shared" si="0"/>
        <v>1.7013888864312321E-3</v>
      </c>
      <c r="L32" s="11">
        <f t="shared" si="1"/>
        <v>6.8854166667733807E-2</v>
      </c>
      <c r="M32" s="11">
        <f t="shared" si="2"/>
        <v>0</v>
      </c>
      <c r="N32" s="11">
        <f t="shared" si="3"/>
        <v>1.4120370396994986E-3</v>
      </c>
      <c r="O32" s="11">
        <f t="shared" si="4"/>
        <v>7.1967592593864538E-2</v>
      </c>
    </row>
    <row r="33" spans="1:15" x14ac:dyDescent="0.25">
      <c r="A33" s="3" t="s">
        <v>573</v>
      </c>
      <c r="B33" s="3" t="s">
        <v>572</v>
      </c>
      <c r="C33" s="9">
        <v>221.7</v>
      </c>
      <c r="D33" s="3" t="s">
        <v>3195</v>
      </c>
      <c r="E33" s="10">
        <v>45660.38003472222</v>
      </c>
      <c r="F33" s="10">
        <v>45660.38177083333</v>
      </c>
      <c r="G33" s="10">
        <v>45660.420266203713</v>
      </c>
      <c r="H33" s="10">
        <v>45660.420266203713</v>
      </c>
      <c r="I33" s="10">
        <v>45660.421168981477</v>
      </c>
      <c r="J33" s="10">
        <v>45660.422280092593</v>
      </c>
      <c r="K33" s="11">
        <f t="shared" si="0"/>
        <v>1.7361111094942316E-3</v>
      </c>
      <c r="L33" s="11">
        <f t="shared" si="1"/>
        <v>3.8495370383316185E-2</v>
      </c>
      <c r="M33" s="11">
        <f t="shared" si="2"/>
        <v>9.0277776325820014E-4</v>
      </c>
      <c r="N33" s="11">
        <f t="shared" si="3"/>
        <v>1.1111111161881126E-3</v>
      </c>
      <c r="O33" s="11">
        <f t="shared" si="4"/>
        <v>4.224537037225673E-2</v>
      </c>
    </row>
    <row r="34" spans="1:15" x14ac:dyDescent="0.25">
      <c r="A34" s="3" t="s">
        <v>715</v>
      </c>
      <c r="B34" s="3" t="s">
        <v>533</v>
      </c>
      <c r="C34" s="9">
        <v>210.76</v>
      </c>
      <c r="D34" s="3" t="s">
        <v>3197</v>
      </c>
      <c r="E34" s="10">
        <v>45660.381921296299</v>
      </c>
      <c r="F34" s="10">
        <v>45660.38354166667</v>
      </c>
      <c r="G34" s="10">
        <v>45660.420127314806</v>
      </c>
      <c r="H34" s="10">
        <v>45660.420127314806</v>
      </c>
      <c r="I34" s="10">
        <v>45660.420127314806</v>
      </c>
      <c r="J34" s="10">
        <v>45660.421168981477</v>
      </c>
      <c r="K34" s="11">
        <f t="shared" si="0"/>
        <v>1.6203703708015382E-3</v>
      </c>
      <c r="L34" s="11">
        <f t="shared" si="1"/>
        <v>3.6585648136679083E-2</v>
      </c>
      <c r="M34" s="11">
        <f t="shared" si="2"/>
        <v>0</v>
      </c>
      <c r="N34" s="11">
        <f t="shared" si="3"/>
        <v>1.0416666700621136E-3</v>
      </c>
      <c r="O34" s="11">
        <f t="shared" si="4"/>
        <v>3.9247685177542735E-2</v>
      </c>
    </row>
    <row r="35" spans="1:15" x14ac:dyDescent="0.25">
      <c r="A35" s="3" t="s">
        <v>730</v>
      </c>
      <c r="B35" s="3" t="s">
        <v>500</v>
      </c>
      <c r="C35" s="9">
        <v>266.39999999999998</v>
      </c>
      <c r="D35" s="3" t="s">
        <v>3199</v>
      </c>
      <c r="E35" s="10">
        <v>45660.454398148147</v>
      </c>
      <c r="F35" s="10">
        <v>45660.455243055563</v>
      </c>
      <c r="G35" s="10">
        <v>45660.501493055563</v>
      </c>
      <c r="H35" s="10">
        <v>45660.501493055563</v>
      </c>
      <c r="I35" s="10">
        <v>45660.501493055563</v>
      </c>
      <c r="J35" s="10">
        <v>45660.502511574072</v>
      </c>
      <c r="K35" s="11">
        <f t="shared" si="0"/>
        <v>8.4490741573972628E-4</v>
      </c>
      <c r="L35" s="11">
        <f t="shared" si="1"/>
        <v>4.6249999999417923E-2</v>
      </c>
      <c r="M35" s="11">
        <f t="shared" si="2"/>
        <v>0</v>
      </c>
      <c r="N35" s="11">
        <f t="shared" si="3"/>
        <v>1.0185185092268512E-3</v>
      </c>
      <c r="O35" s="11">
        <f t="shared" si="4"/>
        <v>4.8113425924384501E-2</v>
      </c>
    </row>
    <row r="36" spans="1:15" x14ac:dyDescent="0.25">
      <c r="A36" s="3" t="s">
        <v>736</v>
      </c>
      <c r="B36" s="3" t="s">
        <v>500</v>
      </c>
      <c r="C36" s="9">
        <v>146.30000000000001</v>
      </c>
      <c r="D36" s="3" t="s">
        <v>3195</v>
      </c>
      <c r="E36" s="10">
        <v>45660.458472222221</v>
      </c>
      <c r="F36" s="10">
        <v>45660.459340277783</v>
      </c>
      <c r="G36" s="10">
        <v>45660.484733796293</v>
      </c>
      <c r="H36" s="10">
        <v>45660.484733796293</v>
      </c>
      <c r="I36" s="10">
        <v>45660.484733796293</v>
      </c>
      <c r="J36" s="10">
        <v>45660.485671296286</v>
      </c>
      <c r="K36" s="11">
        <f t="shared" si="0"/>
        <v>8.6805556202307343E-4</v>
      </c>
      <c r="L36" s="11">
        <f t="shared" si="1"/>
        <v>2.5393518510099966E-2</v>
      </c>
      <c r="M36" s="11">
        <f t="shared" si="2"/>
        <v>0</v>
      </c>
      <c r="N36" s="11">
        <f t="shared" si="3"/>
        <v>9.374999935971573E-4</v>
      </c>
      <c r="O36" s="11">
        <f t="shared" si="4"/>
        <v>2.7199074065720197E-2</v>
      </c>
    </row>
    <row r="37" spans="1:15" x14ac:dyDescent="0.25">
      <c r="A37" s="3" t="s">
        <v>739</v>
      </c>
      <c r="B37" s="3" t="s">
        <v>500</v>
      </c>
      <c r="C37" s="9">
        <v>278.02</v>
      </c>
      <c r="D37" s="3" t="s">
        <v>3199</v>
      </c>
      <c r="E37" s="10">
        <v>45660.553784722222</v>
      </c>
      <c r="F37" s="10">
        <v>45660.554652777777</v>
      </c>
      <c r="G37" s="10">
        <v>45660.60292824074</v>
      </c>
      <c r="H37" s="10">
        <v>45660.60292824074</v>
      </c>
      <c r="I37" s="10">
        <v>45660.60292824074</v>
      </c>
      <c r="J37" s="10">
        <v>45660.603958333333</v>
      </c>
      <c r="K37" s="11">
        <f t="shared" si="0"/>
        <v>8.6805555474711582E-4</v>
      </c>
      <c r="L37" s="11">
        <f t="shared" si="1"/>
        <v>4.8275462962919846E-2</v>
      </c>
      <c r="M37" s="11">
        <f t="shared" si="2"/>
        <v>0</v>
      </c>
      <c r="N37" s="11">
        <f t="shared" si="3"/>
        <v>1.0300925932824612E-3</v>
      </c>
      <c r="O37" s="11">
        <f t="shared" si="4"/>
        <v>5.0173611110949423E-2</v>
      </c>
    </row>
    <row r="38" spans="1:15" x14ac:dyDescent="0.25">
      <c r="A38" s="3" t="s">
        <v>748</v>
      </c>
      <c r="B38" s="3" t="s">
        <v>506</v>
      </c>
      <c r="C38" s="9">
        <v>164.16</v>
      </c>
      <c r="D38" s="3" t="s">
        <v>3199</v>
      </c>
      <c r="E38" s="10">
        <v>45660.652939814812</v>
      </c>
      <c r="F38" s="10">
        <v>45660.653773148151</v>
      </c>
      <c r="G38" s="10">
        <v>45660.682268518518</v>
      </c>
      <c r="H38" s="10">
        <v>45660.682268518518</v>
      </c>
      <c r="I38" s="10">
        <v>45660.682268518518</v>
      </c>
      <c r="J38" s="10">
        <v>45660.68304398148</v>
      </c>
      <c r="K38" s="11">
        <f t="shared" si="0"/>
        <v>8.3333333896007389E-4</v>
      </c>
      <c r="L38" s="11">
        <f t="shared" si="1"/>
        <v>2.8495370366727002E-2</v>
      </c>
      <c r="M38" s="11">
        <f t="shared" si="2"/>
        <v>0</v>
      </c>
      <c r="N38" s="11">
        <f t="shared" si="3"/>
        <v>7.7546296233776957E-4</v>
      </c>
      <c r="O38" s="11">
        <f t="shared" si="4"/>
        <v>3.0104166668024845E-2</v>
      </c>
    </row>
    <row r="39" spans="1:15" x14ac:dyDescent="0.25">
      <c r="A39" s="3" t="s">
        <v>540</v>
      </c>
      <c r="B39" s="3" t="s">
        <v>539</v>
      </c>
      <c r="C39" s="9">
        <v>119.4</v>
      </c>
      <c r="D39" s="3" t="s">
        <v>3205</v>
      </c>
      <c r="E39" s="10">
        <v>45660.667731481481</v>
      </c>
      <c r="F39" s="10">
        <v>45660.668599537043</v>
      </c>
      <c r="G39" s="10">
        <v>45660.689328703702</v>
      </c>
      <c r="H39" s="10">
        <v>45660.689328703702</v>
      </c>
      <c r="I39" s="10">
        <v>45660.689328703702</v>
      </c>
      <c r="J39" s="10">
        <v>45660.690150462957</v>
      </c>
      <c r="K39" s="11">
        <f t="shared" si="0"/>
        <v>8.6805556202307343E-4</v>
      </c>
      <c r="L39" s="11">
        <f t="shared" si="1"/>
        <v>2.0729166659293696E-2</v>
      </c>
      <c r="M39" s="11">
        <f t="shared" si="2"/>
        <v>0</v>
      </c>
      <c r="N39" s="11">
        <f t="shared" si="3"/>
        <v>8.2175925490446389E-4</v>
      </c>
      <c r="O39" s="11">
        <f t="shared" si="4"/>
        <v>2.2418981476221234E-2</v>
      </c>
    </row>
    <row r="40" spans="1:15" x14ac:dyDescent="0.25">
      <c r="A40" s="3" t="s">
        <v>742</v>
      </c>
      <c r="B40" s="3" t="s">
        <v>500</v>
      </c>
      <c r="C40" s="9">
        <v>125.92</v>
      </c>
      <c r="D40" s="3" t="s">
        <v>3195</v>
      </c>
      <c r="E40" s="10">
        <v>45660.672071759262</v>
      </c>
      <c r="F40" s="10">
        <v>45660.673715277779</v>
      </c>
      <c r="G40" s="10">
        <v>45660.695567129631</v>
      </c>
      <c r="H40" s="10">
        <v>45660.695567129631</v>
      </c>
      <c r="I40" s="10">
        <v>45660.695567129631</v>
      </c>
      <c r="J40" s="10">
        <v>45660.696458333332</v>
      </c>
      <c r="K40" s="11">
        <f t="shared" si="0"/>
        <v>1.6435185170848854E-3</v>
      </c>
      <c r="L40" s="11">
        <f t="shared" si="1"/>
        <v>2.1851851852261461E-2</v>
      </c>
      <c r="M40" s="11">
        <f t="shared" si="2"/>
        <v>0</v>
      </c>
      <c r="N40" s="11">
        <f t="shared" si="3"/>
        <v>8.9120370103046298E-4</v>
      </c>
      <c r="O40" s="11">
        <f t="shared" si="4"/>
        <v>2.438657407037681E-2</v>
      </c>
    </row>
    <row r="41" spans="1:15" x14ac:dyDescent="0.25">
      <c r="A41" s="3" t="s">
        <v>772</v>
      </c>
      <c r="B41" s="3" t="s">
        <v>500</v>
      </c>
      <c r="C41" s="9">
        <v>278.88000000000011</v>
      </c>
      <c r="D41" s="3" t="s">
        <v>3199</v>
      </c>
      <c r="E41" s="10">
        <v>45660.729305555556</v>
      </c>
      <c r="F41" s="10">
        <v>45660.730150462958</v>
      </c>
      <c r="G41" s="10">
        <v>45660.778564814813</v>
      </c>
      <c r="H41" s="10">
        <v>45660.778564814813</v>
      </c>
      <c r="I41" s="10">
        <v>45660.778564814813</v>
      </c>
      <c r="J41" s="10">
        <v>45660.779606481483</v>
      </c>
      <c r="K41" s="11">
        <f t="shared" si="0"/>
        <v>8.4490740118781105E-4</v>
      </c>
      <c r="L41" s="11">
        <f t="shared" si="1"/>
        <v>4.8414351855171844E-2</v>
      </c>
      <c r="M41" s="11">
        <f t="shared" si="2"/>
        <v>0</v>
      </c>
      <c r="N41" s="11">
        <f t="shared" si="3"/>
        <v>1.0416666700621136E-3</v>
      </c>
      <c r="O41" s="11">
        <f t="shared" si="4"/>
        <v>5.0300925926421769E-2</v>
      </c>
    </row>
    <row r="42" spans="1:15" x14ac:dyDescent="0.25">
      <c r="A42" s="3" t="s">
        <v>689</v>
      </c>
      <c r="B42" s="3" t="s">
        <v>515</v>
      </c>
      <c r="C42" s="9">
        <v>110.26</v>
      </c>
      <c r="D42" s="3" t="s">
        <v>3196</v>
      </c>
      <c r="E42" s="10">
        <v>45660.855752314812</v>
      </c>
      <c r="F42" s="10">
        <v>45660.856620370367</v>
      </c>
      <c r="G42" s="10">
        <v>45660.875763888893</v>
      </c>
      <c r="H42" s="10">
        <v>45660.875763888893</v>
      </c>
      <c r="I42" s="10">
        <v>45660.875763888893</v>
      </c>
      <c r="J42" s="10">
        <v>45660.876400462963</v>
      </c>
      <c r="K42" s="11">
        <f t="shared" si="0"/>
        <v>8.6805555474711582E-4</v>
      </c>
      <c r="L42" s="11">
        <f t="shared" si="1"/>
        <v>1.9143518526107073E-2</v>
      </c>
      <c r="M42" s="11">
        <f t="shared" si="2"/>
        <v>0</v>
      </c>
      <c r="N42" s="11">
        <f t="shared" si="3"/>
        <v>6.3657407008577138E-4</v>
      </c>
      <c r="O42" s="11">
        <f t="shared" si="4"/>
        <v>2.064814815093996E-2</v>
      </c>
    </row>
    <row r="43" spans="1:15" x14ac:dyDescent="0.25">
      <c r="A43" s="3" t="s">
        <v>710</v>
      </c>
      <c r="B43" s="3" t="s">
        <v>527</v>
      </c>
      <c r="C43" s="9">
        <v>189</v>
      </c>
      <c r="D43" s="3" t="s">
        <v>3193</v>
      </c>
      <c r="E43" s="10">
        <v>45660.859340277777</v>
      </c>
      <c r="F43" s="10">
        <v>45660.860208333332</v>
      </c>
      <c r="G43" s="10">
        <v>45660.893020833333</v>
      </c>
      <c r="H43" s="10">
        <v>45660.893020833333</v>
      </c>
      <c r="I43" s="10">
        <v>45660.893020833333</v>
      </c>
      <c r="J43" s="10">
        <v>45660.893888888888</v>
      </c>
      <c r="K43" s="11">
        <f t="shared" si="0"/>
        <v>8.6805555474711582E-4</v>
      </c>
      <c r="L43" s="11">
        <f t="shared" si="1"/>
        <v>3.2812500001455192E-2</v>
      </c>
      <c r="M43" s="11">
        <f t="shared" si="2"/>
        <v>0</v>
      </c>
      <c r="N43" s="11">
        <f t="shared" si="3"/>
        <v>8.6805555474711582E-4</v>
      </c>
      <c r="O43" s="11">
        <f t="shared" si="4"/>
        <v>3.4548611110949423E-2</v>
      </c>
    </row>
    <row r="44" spans="1:15" x14ac:dyDescent="0.25">
      <c r="A44" s="3" t="s">
        <v>745</v>
      </c>
      <c r="B44" s="3" t="s">
        <v>533</v>
      </c>
      <c r="C44" s="9">
        <v>173.14</v>
      </c>
      <c r="D44" s="3" t="s">
        <v>3197</v>
      </c>
      <c r="E44" s="10">
        <v>45660.864085648151</v>
      </c>
      <c r="F44" s="10">
        <v>45660.870925925927</v>
      </c>
      <c r="G44" s="10">
        <v>45660.900983796288</v>
      </c>
      <c r="H44" s="10">
        <v>45660.900983796288</v>
      </c>
      <c r="I44" s="10">
        <v>45660.900983796288</v>
      </c>
      <c r="J44" s="10">
        <v>45660.901932870373</v>
      </c>
      <c r="K44" s="11">
        <f t="shared" si="0"/>
        <v>6.8402777760638855E-3</v>
      </c>
      <c r="L44" s="11">
        <f t="shared" si="1"/>
        <v>3.0057870360906236E-2</v>
      </c>
      <c r="M44" s="11">
        <f t="shared" si="2"/>
        <v>0</v>
      </c>
      <c r="N44" s="11">
        <f t="shared" si="3"/>
        <v>9.4907408492872491E-4</v>
      </c>
      <c r="O44" s="11">
        <f t="shared" si="4"/>
        <v>3.7847222221898846E-2</v>
      </c>
    </row>
    <row r="45" spans="1:15" x14ac:dyDescent="0.25">
      <c r="A45" s="3" t="s">
        <v>781</v>
      </c>
      <c r="B45" s="3" t="s">
        <v>506</v>
      </c>
      <c r="C45" s="9">
        <v>186.66</v>
      </c>
      <c r="D45" s="3" t="s">
        <v>3199</v>
      </c>
      <c r="E45" s="10">
        <v>45660.864988425928</v>
      </c>
      <c r="F45" s="10">
        <v>45660.877500000002</v>
      </c>
      <c r="G45" s="10">
        <v>45660.909907407397</v>
      </c>
      <c r="H45" s="10">
        <v>45660.909907407397</v>
      </c>
      <c r="I45" s="10">
        <v>45660.909907407397</v>
      </c>
      <c r="J45" s="10">
        <v>45660.910729166673</v>
      </c>
      <c r="K45" s="11">
        <f t="shared" si="0"/>
        <v>1.2511574073869269E-2</v>
      </c>
      <c r="L45" s="11">
        <f t="shared" si="1"/>
        <v>3.2407407394202892E-2</v>
      </c>
      <c r="M45" s="11">
        <f t="shared" si="2"/>
        <v>0</v>
      </c>
      <c r="N45" s="11">
        <f t="shared" si="3"/>
        <v>8.2175927673233673E-4</v>
      </c>
      <c r="O45" s="11">
        <f t="shared" si="4"/>
        <v>4.5740740744804498E-2</v>
      </c>
    </row>
    <row r="46" spans="1:15" x14ac:dyDescent="0.25">
      <c r="A46" s="3" t="s">
        <v>524</v>
      </c>
      <c r="B46" s="3" t="s">
        <v>523</v>
      </c>
      <c r="C46" s="9">
        <v>115.02</v>
      </c>
      <c r="D46" s="3" t="s">
        <v>3206</v>
      </c>
      <c r="E46" s="10">
        <v>45660.868831018517</v>
      </c>
      <c r="F46" s="10">
        <v>45660.894756944443</v>
      </c>
      <c r="G46" s="10">
        <v>45660.914722222216</v>
      </c>
      <c r="H46" s="10">
        <v>45660.914722222216</v>
      </c>
      <c r="I46" s="10">
        <v>45660.914722222216</v>
      </c>
      <c r="J46" s="10">
        <v>45660.915590277778</v>
      </c>
      <c r="K46" s="11">
        <f t="shared" si="0"/>
        <v>2.5925925925548654E-2</v>
      </c>
      <c r="L46" s="11">
        <f t="shared" si="1"/>
        <v>1.9965277773735579E-2</v>
      </c>
      <c r="M46" s="11">
        <f t="shared" si="2"/>
        <v>0</v>
      </c>
      <c r="N46" s="11">
        <f t="shared" si="3"/>
        <v>8.6805556202307343E-4</v>
      </c>
      <c r="O46" s="11">
        <f t="shared" si="4"/>
        <v>4.6759259261307307E-2</v>
      </c>
    </row>
    <row r="47" spans="1:15" x14ac:dyDescent="0.25">
      <c r="A47" s="3" t="s">
        <v>684</v>
      </c>
      <c r="B47" s="3" t="s">
        <v>519</v>
      </c>
      <c r="C47" s="9">
        <v>110.3</v>
      </c>
      <c r="D47" s="3" t="s">
        <v>3202</v>
      </c>
      <c r="E47" s="10">
        <v>45660.918425925927</v>
      </c>
      <c r="F47" s="10">
        <v>45660.919293981482</v>
      </c>
      <c r="G47" s="10">
        <v>45660.938437500001</v>
      </c>
      <c r="H47" s="10">
        <v>45660.938437500001</v>
      </c>
      <c r="I47" s="10">
        <v>45660.938437500001</v>
      </c>
      <c r="J47" s="10">
        <v>45660.93917824074</v>
      </c>
      <c r="K47" s="11">
        <f t="shared" si="0"/>
        <v>8.6805555474711582E-4</v>
      </c>
      <c r="L47" s="11">
        <f t="shared" si="1"/>
        <v>1.9143518518831115E-2</v>
      </c>
      <c r="M47" s="11">
        <f t="shared" si="2"/>
        <v>0</v>
      </c>
      <c r="N47" s="11">
        <f t="shared" si="3"/>
        <v>7.4074073927477002E-4</v>
      </c>
      <c r="O47" s="11">
        <f t="shared" si="4"/>
        <v>2.0752314812853001E-2</v>
      </c>
    </row>
    <row r="48" spans="1:15" x14ac:dyDescent="0.25">
      <c r="A48" s="3" t="s">
        <v>704</v>
      </c>
      <c r="B48" s="3" t="s">
        <v>484</v>
      </c>
      <c r="C48" s="9">
        <v>149.97999999999999</v>
      </c>
      <c r="D48" s="3" t="s">
        <v>3203</v>
      </c>
      <c r="E48" s="10">
        <v>45660.919363425928</v>
      </c>
      <c r="F48" s="10">
        <v>45660.920208333337</v>
      </c>
      <c r="G48" s="10">
        <v>45660.946250000001</v>
      </c>
      <c r="H48" s="10">
        <v>45660.946250000001</v>
      </c>
      <c r="I48" s="10">
        <v>45660.946250000001</v>
      </c>
      <c r="J48" s="10">
        <v>45660.947060185194</v>
      </c>
      <c r="K48" s="11">
        <f t="shared" si="0"/>
        <v>8.4490740846376866E-4</v>
      </c>
      <c r="L48" s="11">
        <f t="shared" si="1"/>
        <v>2.6041666664241347E-2</v>
      </c>
      <c r="M48" s="11">
        <f t="shared" si="2"/>
        <v>0</v>
      </c>
      <c r="N48" s="11">
        <f t="shared" si="3"/>
        <v>8.1018519267672673E-4</v>
      </c>
      <c r="O48" s="11">
        <f t="shared" si="4"/>
        <v>2.7696759265381843E-2</v>
      </c>
    </row>
    <row r="49" spans="1:15" x14ac:dyDescent="0.25">
      <c r="A49" s="3" t="s">
        <v>820</v>
      </c>
      <c r="B49" s="3" t="s">
        <v>533</v>
      </c>
      <c r="C49" s="9">
        <v>220.36</v>
      </c>
      <c r="D49" s="3" t="s">
        <v>3203</v>
      </c>
      <c r="E49" s="10">
        <v>45661.249398148153</v>
      </c>
      <c r="F49" s="10">
        <v>45661.250243055547</v>
      </c>
      <c r="G49" s="10">
        <v>45661.288495370369</v>
      </c>
      <c r="H49" s="10">
        <v>45661.288495370369</v>
      </c>
      <c r="I49" s="10">
        <v>45661.288495370369</v>
      </c>
      <c r="J49" s="10">
        <v>45661.289467592593</v>
      </c>
      <c r="K49" s="11">
        <f t="shared" si="0"/>
        <v>8.4490739391185343E-4</v>
      </c>
      <c r="L49" s="11">
        <f t="shared" si="1"/>
        <v>3.8252314821875188E-2</v>
      </c>
      <c r="M49" s="11">
        <f t="shared" si="2"/>
        <v>0</v>
      </c>
      <c r="N49" s="11">
        <f t="shared" si="3"/>
        <v>9.7222222393611446E-4</v>
      </c>
      <c r="O49" s="11">
        <f t="shared" si="4"/>
        <v>4.0069444439723156E-2</v>
      </c>
    </row>
    <row r="50" spans="1:15" x14ac:dyDescent="0.25">
      <c r="A50" s="3" t="s">
        <v>795</v>
      </c>
      <c r="B50" s="3" t="s">
        <v>506</v>
      </c>
      <c r="C50" s="9">
        <v>397.30000000000013</v>
      </c>
      <c r="D50" s="3" t="s">
        <v>3197</v>
      </c>
      <c r="E50" s="10">
        <v>45662.751192129632</v>
      </c>
      <c r="F50" s="10">
        <v>45662.752060185187</v>
      </c>
      <c r="G50" s="10">
        <v>45662.821030092593</v>
      </c>
      <c r="H50" s="10">
        <v>45662.821030092593</v>
      </c>
      <c r="I50" s="10">
        <v>45662.821030092593</v>
      </c>
      <c r="J50" s="10">
        <v>45662.822500000002</v>
      </c>
      <c r="K50" s="11">
        <f t="shared" si="0"/>
        <v>8.6805555474711582E-4</v>
      </c>
      <c r="L50" s="11">
        <f t="shared" si="1"/>
        <v>6.8969907406426501E-2</v>
      </c>
      <c r="M50" s="11">
        <f t="shared" si="2"/>
        <v>0</v>
      </c>
      <c r="N50" s="11">
        <f t="shared" si="3"/>
        <v>1.4699074090458453E-3</v>
      </c>
      <c r="O50" s="11">
        <f t="shared" si="4"/>
        <v>7.1307870370219462E-2</v>
      </c>
    </row>
    <row r="51" spans="1:15" x14ac:dyDescent="0.25">
      <c r="A51" s="3" t="s">
        <v>823</v>
      </c>
      <c r="B51" s="3" t="s">
        <v>519</v>
      </c>
      <c r="C51" s="9">
        <v>118.2</v>
      </c>
      <c r="D51" s="3" t="s">
        <v>3193</v>
      </c>
      <c r="E51" s="10">
        <v>45662.752662037034</v>
      </c>
      <c r="F51" s="10">
        <v>45662.753495370373</v>
      </c>
      <c r="G51" s="10">
        <v>45662.774016203701</v>
      </c>
      <c r="H51" s="10">
        <v>45662.774016203701</v>
      </c>
      <c r="I51" s="10">
        <v>45662.774016203701</v>
      </c>
      <c r="J51" s="10">
        <v>45662.774722222217</v>
      </c>
      <c r="K51" s="11">
        <f t="shared" si="0"/>
        <v>8.3333333896007389E-4</v>
      </c>
      <c r="L51" s="11">
        <f t="shared" si="1"/>
        <v>2.0520833328191657E-2</v>
      </c>
      <c r="M51" s="11">
        <f t="shared" si="2"/>
        <v>0</v>
      </c>
      <c r="N51" s="11">
        <f t="shared" si="3"/>
        <v>7.0601851621177047E-4</v>
      </c>
      <c r="O51" s="11">
        <f t="shared" si="4"/>
        <v>2.2060185183363501E-2</v>
      </c>
    </row>
    <row r="52" spans="1:15" x14ac:dyDescent="0.25">
      <c r="A52" s="3" t="s">
        <v>835</v>
      </c>
      <c r="B52" s="3" t="s">
        <v>506</v>
      </c>
      <c r="C52" s="9">
        <v>428.78000000000009</v>
      </c>
      <c r="D52" s="3" t="s">
        <v>3193</v>
      </c>
      <c r="E52" s="10">
        <v>45662.855011574073</v>
      </c>
      <c r="F52" s="10">
        <v>45662.855844907397</v>
      </c>
      <c r="G52" s="10">
        <v>45662.930289351847</v>
      </c>
      <c r="H52" s="10">
        <v>45662.930289351847</v>
      </c>
      <c r="I52" s="10">
        <v>45662.930289351847</v>
      </c>
      <c r="J52" s="10">
        <v>45662.931701388887</v>
      </c>
      <c r="K52" s="11">
        <f t="shared" si="0"/>
        <v>8.3333332440815866E-4</v>
      </c>
      <c r="L52" s="11">
        <f t="shared" si="1"/>
        <v>7.4444444449909497E-2</v>
      </c>
      <c r="M52" s="11">
        <f t="shared" si="2"/>
        <v>0</v>
      </c>
      <c r="N52" s="11">
        <f t="shared" si="3"/>
        <v>1.4120370396994986E-3</v>
      </c>
      <c r="O52" s="11">
        <f t="shared" si="4"/>
        <v>7.6689814814017154E-2</v>
      </c>
    </row>
    <row r="53" spans="1:15" x14ac:dyDescent="0.25">
      <c r="A53" s="3" t="s">
        <v>840</v>
      </c>
      <c r="B53" s="3" t="s">
        <v>506</v>
      </c>
      <c r="C53" s="9">
        <v>101.2</v>
      </c>
      <c r="D53" s="3" t="s">
        <v>3197</v>
      </c>
      <c r="E53" s="10">
        <v>45662.859120370369</v>
      </c>
      <c r="F53" s="10">
        <v>45662.859988425917</v>
      </c>
      <c r="G53" s="10">
        <v>45662.877557870372</v>
      </c>
      <c r="H53" s="10">
        <v>45662.877557870372</v>
      </c>
      <c r="I53" s="10">
        <v>45662.877557870372</v>
      </c>
      <c r="J53" s="10">
        <v>45662.878333333327</v>
      </c>
      <c r="K53" s="11">
        <f t="shared" si="0"/>
        <v>8.6805554747115821E-4</v>
      </c>
      <c r="L53" s="11">
        <f t="shared" si="1"/>
        <v>1.7569444455148187E-2</v>
      </c>
      <c r="M53" s="11">
        <f t="shared" si="2"/>
        <v>0</v>
      </c>
      <c r="N53" s="11">
        <f t="shared" si="3"/>
        <v>7.7546295506181195E-4</v>
      </c>
      <c r="O53" s="11">
        <f t="shared" si="4"/>
        <v>1.9212962957681157E-2</v>
      </c>
    </row>
    <row r="54" spans="1:15" x14ac:dyDescent="0.25">
      <c r="A54" s="3" t="s">
        <v>843</v>
      </c>
      <c r="B54" s="3" t="s">
        <v>506</v>
      </c>
      <c r="C54" s="9">
        <v>241.38</v>
      </c>
      <c r="D54" s="3" t="s">
        <v>3193</v>
      </c>
      <c r="E54" s="10">
        <v>45663.747361111113</v>
      </c>
      <c r="F54" s="10">
        <v>45663.748229166667</v>
      </c>
      <c r="G54" s="10">
        <v>45663.790138888893</v>
      </c>
      <c r="H54" s="10">
        <v>45663.790138888893</v>
      </c>
      <c r="I54" s="10">
        <v>45663.790138888893</v>
      </c>
      <c r="J54" s="10">
        <v>45663.791122685187</v>
      </c>
      <c r="K54" s="11">
        <f t="shared" si="0"/>
        <v>8.6805555474711582E-4</v>
      </c>
      <c r="L54" s="11">
        <f t="shared" si="1"/>
        <v>4.1909722225682344E-2</v>
      </c>
      <c r="M54" s="11">
        <f t="shared" si="2"/>
        <v>0</v>
      </c>
      <c r="N54" s="11">
        <f t="shared" si="3"/>
        <v>9.8379629343980923E-4</v>
      </c>
      <c r="O54" s="11">
        <f t="shared" si="4"/>
        <v>4.3761574073869269E-2</v>
      </c>
    </row>
    <row r="55" spans="1:15" x14ac:dyDescent="0.25">
      <c r="A55" s="3" t="s">
        <v>707</v>
      </c>
      <c r="B55" s="3" t="s">
        <v>488</v>
      </c>
      <c r="C55" s="9">
        <v>267.5</v>
      </c>
      <c r="D55" s="3" t="s">
        <v>3201</v>
      </c>
      <c r="E55" s="10">
        <v>45664.13721064815</v>
      </c>
      <c r="F55" s="10">
        <v>45664.138043981482</v>
      </c>
      <c r="G55" s="10">
        <v>45664.184490740743</v>
      </c>
      <c r="H55" s="10">
        <v>45664.184490740743</v>
      </c>
      <c r="I55" s="10">
        <v>45664.184490740743</v>
      </c>
      <c r="J55" s="10">
        <v>45664.185648148137</v>
      </c>
      <c r="K55" s="11">
        <f t="shared" si="0"/>
        <v>8.3333333168411627E-4</v>
      </c>
      <c r="L55" s="11">
        <f t="shared" si="1"/>
        <v>4.6446759261016268E-2</v>
      </c>
      <c r="M55" s="11">
        <f t="shared" si="2"/>
        <v>0</v>
      </c>
      <c r="N55" s="11">
        <f t="shared" si="3"/>
        <v>1.1574073942028917E-3</v>
      </c>
      <c r="O55" s="11">
        <f t="shared" si="4"/>
        <v>4.8437499986903276E-2</v>
      </c>
    </row>
    <row r="56" spans="1:15" x14ac:dyDescent="0.25">
      <c r="A56" s="3" t="s">
        <v>828</v>
      </c>
      <c r="B56" s="3" t="s">
        <v>533</v>
      </c>
      <c r="C56" s="9">
        <v>137.58000000000001</v>
      </c>
      <c r="D56" s="3" t="s">
        <v>3203</v>
      </c>
      <c r="E56" s="10">
        <v>45664.138078703712</v>
      </c>
      <c r="F56" s="10">
        <v>45664.13894675926</v>
      </c>
      <c r="G56" s="10">
        <v>45664.162824074083</v>
      </c>
      <c r="H56" s="10">
        <v>45664.162824074083</v>
      </c>
      <c r="I56" s="10">
        <v>45664.162824074083</v>
      </c>
      <c r="J56" s="10">
        <v>45664.163611111107</v>
      </c>
      <c r="K56" s="11">
        <f t="shared" si="0"/>
        <v>8.6805554747115821E-4</v>
      </c>
      <c r="L56" s="11">
        <f t="shared" si="1"/>
        <v>2.3877314823039342E-2</v>
      </c>
      <c r="M56" s="11">
        <f t="shared" si="2"/>
        <v>0</v>
      </c>
      <c r="N56" s="11">
        <f t="shared" si="3"/>
        <v>7.8703702456550673E-4</v>
      </c>
      <c r="O56" s="11">
        <f t="shared" si="4"/>
        <v>2.5532407395076007E-2</v>
      </c>
    </row>
    <row r="57" spans="1:15" x14ac:dyDescent="0.25">
      <c r="A57" s="3" t="s">
        <v>856</v>
      </c>
      <c r="B57" s="3" t="s">
        <v>500</v>
      </c>
      <c r="C57" s="9">
        <v>297</v>
      </c>
      <c r="D57" s="3" t="s">
        <v>3203</v>
      </c>
      <c r="E57" s="10">
        <v>45664.283564814818</v>
      </c>
      <c r="F57" s="10">
        <v>45664.284432870372</v>
      </c>
      <c r="G57" s="10">
        <v>45664.335995370369</v>
      </c>
      <c r="H57" s="10">
        <v>45664.335995370369</v>
      </c>
      <c r="I57" s="10">
        <v>45664.335995370369</v>
      </c>
      <c r="J57" s="10">
        <v>45664.337141203701</v>
      </c>
      <c r="K57" s="11">
        <f t="shared" si="0"/>
        <v>8.6805555474711582E-4</v>
      </c>
      <c r="L57" s="11">
        <f t="shared" si="1"/>
        <v>5.1562499997089617E-2</v>
      </c>
      <c r="M57" s="11">
        <f t="shared" si="2"/>
        <v>0</v>
      </c>
      <c r="N57" s="11">
        <f t="shared" si="3"/>
        <v>1.1458333319751546E-3</v>
      </c>
      <c r="O57" s="11">
        <f t="shared" si="4"/>
        <v>5.3576388883811887E-2</v>
      </c>
    </row>
    <row r="58" spans="1:15" x14ac:dyDescent="0.25">
      <c r="A58" s="3" t="s">
        <v>876</v>
      </c>
      <c r="B58" s="3" t="s">
        <v>500</v>
      </c>
      <c r="C58" s="9">
        <v>396.56000000000012</v>
      </c>
      <c r="D58" s="3" t="s">
        <v>3197</v>
      </c>
      <c r="E58" s="10">
        <v>45664.321122685193</v>
      </c>
      <c r="F58" s="10">
        <v>45664.321967592587</v>
      </c>
      <c r="G58" s="10">
        <v>45664.390821759262</v>
      </c>
      <c r="H58" s="10">
        <v>45664.390821759262</v>
      </c>
      <c r="I58" s="10">
        <v>45664.390821759262</v>
      </c>
      <c r="J58" s="10">
        <v>45664.392280092587</v>
      </c>
      <c r="K58" s="11">
        <f t="shared" si="0"/>
        <v>8.4490739391185343E-4</v>
      </c>
      <c r="L58" s="11">
        <f t="shared" si="1"/>
        <v>6.8854166675009765E-2</v>
      </c>
      <c r="M58" s="11">
        <f t="shared" si="2"/>
        <v>0</v>
      </c>
      <c r="N58" s="11">
        <f t="shared" si="3"/>
        <v>1.4583333249902353E-3</v>
      </c>
      <c r="O58" s="11">
        <f t="shared" si="4"/>
        <v>7.1157407393911853E-2</v>
      </c>
    </row>
    <row r="59" spans="1:15" x14ac:dyDescent="0.25">
      <c r="A59" s="3" t="s">
        <v>879</v>
      </c>
      <c r="B59" s="3" t="s">
        <v>500</v>
      </c>
      <c r="C59" s="9">
        <v>189.86</v>
      </c>
      <c r="D59" s="3" t="s">
        <v>3206</v>
      </c>
      <c r="E59" s="10">
        <v>45664.323900462958</v>
      </c>
      <c r="F59" s="10">
        <v>45664.337824074071</v>
      </c>
      <c r="G59" s="10">
        <v>45664.370787037027</v>
      </c>
      <c r="H59" s="10">
        <v>45664.370787037027</v>
      </c>
      <c r="I59" s="10">
        <v>45664.370787037027</v>
      </c>
      <c r="J59" s="10">
        <v>45664.371817129628</v>
      </c>
      <c r="K59" s="11">
        <f t="shared" si="0"/>
        <v>1.3923611113568768E-2</v>
      </c>
      <c r="L59" s="11">
        <f t="shared" si="1"/>
        <v>3.2962962955934927E-2</v>
      </c>
      <c r="M59" s="11">
        <f t="shared" si="2"/>
        <v>0</v>
      </c>
      <c r="N59" s="11">
        <f t="shared" si="3"/>
        <v>1.0300926005584188E-3</v>
      </c>
      <c r="O59" s="11">
        <f t="shared" si="4"/>
        <v>4.7916666670062114E-2</v>
      </c>
    </row>
    <row r="60" spans="1:15" x14ac:dyDescent="0.25">
      <c r="A60" s="3" t="s">
        <v>798</v>
      </c>
      <c r="B60" s="3" t="s">
        <v>519</v>
      </c>
      <c r="C60" s="9">
        <v>113.74</v>
      </c>
      <c r="D60" s="3" t="s">
        <v>3199</v>
      </c>
      <c r="E60" s="10">
        <v>45664.328182870369</v>
      </c>
      <c r="F60" s="10">
        <v>45664.340567129628</v>
      </c>
      <c r="G60" s="10">
        <v>45664.360312500001</v>
      </c>
      <c r="H60" s="10">
        <v>45664.360312500001</v>
      </c>
      <c r="I60" s="10">
        <v>45664.360312500001</v>
      </c>
      <c r="J60" s="10">
        <v>45664.360960648148</v>
      </c>
      <c r="K60" s="11">
        <f t="shared" si="0"/>
        <v>1.2384259258396924E-2</v>
      </c>
      <c r="L60" s="11">
        <f t="shared" si="1"/>
        <v>1.9745370373129845E-2</v>
      </c>
      <c r="M60" s="11">
        <f t="shared" si="2"/>
        <v>0</v>
      </c>
      <c r="N60" s="11">
        <f t="shared" si="3"/>
        <v>6.4814814686542377E-4</v>
      </c>
      <c r="O60" s="11">
        <f t="shared" si="4"/>
        <v>3.2777777778392192E-2</v>
      </c>
    </row>
    <row r="61" spans="1:15" x14ac:dyDescent="0.25">
      <c r="A61" s="3" t="s">
        <v>803</v>
      </c>
      <c r="B61" s="3" t="s">
        <v>515</v>
      </c>
      <c r="C61" s="9">
        <v>214.1</v>
      </c>
      <c r="D61" s="3" t="s">
        <v>3205</v>
      </c>
      <c r="E61" s="10">
        <v>45664.334791666668</v>
      </c>
      <c r="F61" s="10">
        <v>45664.366840277777</v>
      </c>
      <c r="G61" s="10">
        <v>45664.404004629629</v>
      </c>
      <c r="H61" s="10">
        <v>45664.404004629629</v>
      </c>
      <c r="I61" s="10">
        <v>45664.404004629629</v>
      </c>
      <c r="J61" s="10">
        <v>45664.405046296299</v>
      </c>
      <c r="K61" s="11">
        <f t="shared" si="0"/>
        <v>3.2048611108621117E-2</v>
      </c>
      <c r="L61" s="11">
        <f t="shared" si="1"/>
        <v>3.7164351851970423E-2</v>
      </c>
      <c r="M61" s="11">
        <f t="shared" si="2"/>
        <v>0</v>
      </c>
      <c r="N61" s="11">
        <f t="shared" si="3"/>
        <v>1.0416666700621136E-3</v>
      </c>
      <c r="O61" s="11">
        <f t="shared" si="4"/>
        <v>7.0254629630653653E-2</v>
      </c>
    </row>
    <row r="62" spans="1:15" x14ac:dyDescent="0.25">
      <c r="A62" s="3" t="s">
        <v>870</v>
      </c>
      <c r="B62" s="3" t="s">
        <v>500</v>
      </c>
      <c r="C62" s="9">
        <v>281.39999999999998</v>
      </c>
      <c r="D62" s="3" t="s">
        <v>3203</v>
      </c>
      <c r="E62" s="10">
        <v>45664.363240740742</v>
      </c>
      <c r="F62" s="10">
        <v>45664.372523148151</v>
      </c>
      <c r="G62" s="10">
        <v>45664.421377314808</v>
      </c>
      <c r="H62" s="10">
        <v>45664.421377314808</v>
      </c>
      <c r="I62" s="10">
        <v>45664.421377314808</v>
      </c>
      <c r="J62" s="10">
        <v>45664.422488425917</v>
      </c>
      <c r="K62" s="11">
        <f t="shared" si="0"/>
        <v>9.2824074090458453E-3</v>
      </c>
      <c r="L62" s="11">
        <f t="shared" si="1"/>
        <v>4.8854166656383313E-2</v>
      </c>
      <c r="M62" s="11">
        <f t="shared" si="2"/>
        <v>0</v>
      </c>
      <c r="N62" s="11">
        <f t="shared" si="3"/>
        <v>1.111111108912155E-3</v>
      </c>
      <c r="O62" s="11">
        <f t="shared" si="4"/>
        <v>5.9247685174341314E-2</v>
      </c>
    </row>
    <row r="63" spans="1:15" x14ac:dyDescent="0.25">
      <c r="A63" s="3" t="s">
        <v>733</v>
      </c>
      <c r="B63" s="3" t="s">
        <v>572</v>
      </c>
      <c r="C63" s="9">
        <v>180.72</v>
      </c>
      <c r="D63" s="3" t="s">
        <v>3204</v>
      </c>
      <c r="E63" s="10">
        <v>45664.365104166667</v>
      </c>
      <c r="F63" s="10">
        <v>45664.405659722222</v>
      </c>
      <c r="G63" s="10">
        <v>45664.437025462961</v>
      </c>
      <c r="H63" s="10">
        <v>45664.437025462961</v>
      </c>
      <c r="I63" s="10">
        <v>45664.437025462961</v>
      </c>
      <c r="J63" s="10">
        <v>45664.437951388893</v>
      </c>
      <c r="K63" s="11">
        <f t="shared" si="0"/>
        <v>4.0555555555329192E-2</v>
      </c>
      <c r="L63" s="11">
        <f t="shared" si="1"/>
        <v>3.1365740738692693E-2</v>
      </c>
      <c r="M63" s="11">
        <f t="shared" si="2"/>
        <v>0</v>
      </c>
      <c r="N63" s="11">
        <f t="shared" si="3"/>
        <v>9.2592593136942014E-4</v>
      </c>
      <c r="O63" s="11">
        <f t="shared" si="4"/>
        <v>7.2847222225391306E-2</v>
      </c>
    </row>
    <row r="64" spans="1:15" x14ac:dyDescent="0.25">
      <c r="A64" s="3" t="s">
        <v>891</v>
      </c>
      <c r="B64" s="3" t="s">
        <v>500</v>
      </c>
      <c r="C64" s="9">
        <v>292.89999999999998</v>
      </c>
      <c r="D64" s="3" t="s">
        <v>3203</v>
      </c>
      <c r="E64" s="10">
        <v>45664.455335648148</v>
      </c>
      <c r="F64" s="10">
        <v>45664.456180555557</v>
      </c>
      <c r="G64" s="10">
        <v>45664.507025462961</v>
      </c>
      <c r="H64" s="10">
        <v>45664.507025462961</v>
      </c>
      <c r="I64" s="10">
        <v>45664.507025462961</v>
      </c>
      <c r="J64" s="10">
        <v>45664.508171296293</v>
      </c>
      <c r="K64" s="11">
        <f t="shared" si="0"/>
        <v>8.4490740846376866E-4</v>
      </c>
      <c r="L64" s="11">
        <f t="shared" si="1"/>
        <v>5.0844907404098194E-2</v>
      </c>
      <c r="M64" s="11">
        <f t="shared" si="2"/>
        <v>0</v>
      </c>
      <c r="N64" s="11">
        <f t="shared" si="3"/>
        <v>1.1458333319751546E-3</v>
      </c>
      <c r="O64" s="11">
        <f t="shared" si="4"/>
        <v>5.2835648144537117E-2</v>
      </c>
    </row>
    <row r="65" spans="1:15" x14ac:dyDescent="0.25">
      <c r="A65" s="3" t="s">
        <v>911</v>
      </c>
      <c r="B65" s="3" t="s">
        <v>500</v>
      </c>
      <c r="C65" s="9">
        <v>264.27999999999997</v>
      </c>
      <c r="D65" s="3" t="s">
        <v>3204</v>
      </c>
      <c r="E65" s="10">
        <v>45664.554456018523</v>
      </c>
      <c r="F65" s="10">
        <v>45664.555324074077</v>
      </c>
      <c r="G65" s="10">
        <v>45664.601203703707</v>
      </c>
      <c r="H65" s="10">
        <v>45664.601203703707</v>
      </c>
      <c r="I65" s="10">
        <v>45664.601203703707</v>
      </c>
      <c r="J65" s="10">
        <v>45664.602314814823</v>
      </c>
      <c r="K65" s="11">
        <f t="shared" si="0"/>
        <v>8.6805555474711582E-4</v>
      </c>
      <c r="L65" s="11">
        <f t="shared" si="1"/>
        <v>4.5879629629780538E-2</v>
      </c>
      <c r="M65" s="11">
        <f t="shared" si="2"/>
        <v>0</v>
      </c>
      <c r="N65" s="11">
        <f t="shared" si="3"/>
        <v>1.1111111161881126E-3</v>
      </c>
      <c r="O65" s="11">
        <f t="shared" si="4"/>
        <v>4.7858796300715767E-2</v>
      </c>
    </row>
    <row r="66" spans="1:15" x14ac:dyDescent="0.25">
      <c r="A66" s="3" t="s">
        <v>916</v>
      </c>
      <c r="B66" s="3" t="s">
        <v>500</v>
      </c>
      <c r="C66" s="9">
        <v>398.04000000000008</v>
      </c>
      <c r="D66" s="3" t="s">
        <v>3203</v>
      </c>
      <c r="E66" s="10">
        <v>45664.606782407413</v>
      </c>
      <c r="F66" s="10">
        <v>45664.607627314806</v>
      </c>
      <c r="G66" s="10">
        <v>45664.676724537043</v>
      </c>
      <c r="H66" s="10">
        <v>45664.676724537043</v>
      </c>
      <c r="I66" s="10">
        <v>45664.676724537043</v>
      </c>
      <c r="J66" s="10">
        <v>45664.678113425929</v>
      </c>
      <c r="K66" s="11">
        <f t="shared" ref="K66:K129" si="5">IF(AND(ISNUMBER(E66),ISNUMBER(F66)),(F66-E66),"")</f>
        <v>8.4490739391185343E-4</v>
      </c>
      <c r="L66" s="11">
        <f t="shared" ref="L66:L129" si="6">IF(AND(ISNUMBER(F66),ISNUMBER(G66)),(G66-F66),"")</f>
        <v>6.9097222236450762E-2</v>
      </c>
      <c r="M66" s="11">
        <f t="shared" ref="M66:M129" si="7">IF(AND(ISNUMBER(H66),ISNUMBER(I66)),(I66-H66),"")</f>
        <v>0</v>
      </c>
      <c r="N66" s="11">
        <f t="shared" ref="N66:N129" si="8">IF(AND(ISNUMBER(I66),ISNUMBER(J66)),(J66-I66),"")</f>
        <v>1.3888888861401938E-3</v>
      </c>
      <c r="O66" s="11">
        <f t="shared" ref="O66:O129" si="9">IF(AND(ISNUMBER(E66),ISNUMBER(J66)),(J66-E66),"")</f>
        <v>7.1331018516502809E-2</v>
      </c>
    </row>
    <row r="67" spans="1:15" x14ac:dyDescent="0.25">
      <c r="A67" s="3" t="s">
        <v>901</v>
      </c>
      <c r="B67" s="3" t="s">
        <v>527</v>
      </c>
      <c r="C67" s="9">
        <v>135</v>
      </c>
      <c r="D67" s="3" t="s">
        <v>3196</v>
      </c>
      <c r="E67" s="10">
        <v>45664.65388888889</v>
      </c>
      <c r="F67" s="10">
        <v>45664.658761574072</v>
      </c>
      <c r="G67" s="10">
        <v>45664.682199074072</v>
      </c>
      <c r="H67" s="10">
        <v>45664.682199074072</v>
      </c>
      <c r="I67" s="10">
        <v>45664.682199074072</v>
      </c>
      <c r="J67" s="10">
        <v>45664.682893518519</v>
      </c>
      <c r="K67" s="11">
        <f t="shared" si="5"/>
        <v>4.8726851819083095E-3</v>
      </c>
      <c r="L67" s="11">
        <f t="shared" si="6"/>
        <v>2.34375E-2</v>
      </c>
      <c r="M67" s="11">
        <f t="shared" si="7"/>
        <v>0</v>
      </c>
      <c r="N67" s="11">
        <f t="shared" si="8"/>
        <v>6.944444467080757E-4</v>
      </c>
      <c r="O67" s="11">
        <f t="shared" si="9"/>
        <v>2.9004629628616385E-2</v>
      </c>
    </row>
    <row r="68" spans="1:15" x14ac:dyDescent="0.25">
      <c r="A68" s="3" t="s">
        <v>898</v>
      </c>
      <c r="B68" s="3" t="s">
        <v>515</v>
      </c>
      <c r="C68" s="9">
        <v>101.94</v>
      </c>
      <c r="D68" s="3" t="s">
        <v>3205</v>
      </c>
      <c r="E68" s="10">
        <v>45664.656956018523</v>
      </c>
      <c r="F68" s="10">
        <v>45664.668530092589</v>
      </c>
      <c r="G68" s="10">
        <v>45664.686226851853</v>
      </c>
      <c r="H68" s="10">
        <v>45664.686226851853</v>
      </c>
      <c r="I68" s="10">
        <v>45664.686226851853</v>
      </c>
      <c r="J68" s="10">
        <v>45664.687013888892</v>
      </c>
      <c r="K68" s="11">
        <f t="shared" si="5"/>
        <v>1.1574074065720197E-2</v>
      </c>
      <c r="L68" s="11">
        <f t="shared" si="6"/>
        <v>1.7696759263344575E-2</v>
      </c>
      <c r="M68" s="11">
        <f t="shared" si="7"/>
        <v>0</v>
      </c>
      <c r="N68" s="11">
        <f t="shared" si="8"/>
        <v>7.8703703911742195E-4</v>
      </c>
      <c r="O68" s="11">
        <f t="shared" si="9"/>
        <v>3.0057870368182193E-2</v>
      </c>
    </row>
    <row r="69" spans="1:15" x14ac:dyDescent="0.25">
      <c r="A69" s="3" t="s">
        <v>867</v>
      </c>
      <c r="B69" s="3" t="s">
        <v>506</v>
      </c>
      <c r="C69" s="9">
        <v>119.96</v>
      </c>
      <c r="D69" s="3" t="s">
        <v>3193</v>
      </c>
      <c r="E69" s="10">
        <v>45664.661192129628</v>
      </c>
      <c r="F69" s="10">
        <v>45664.683819444443</v>
      </c>
      <c r="G69" s="10">
        <v>45664.704641203702</v>
      </c>
      <c r="H69" s="10">
        <v>45664.704641203702</v>
      </c>
      <c r="I69" s="10">
        <v>45664.704641203702</v>
      </c>
      <c r="J69" s="10">
        <v>45664.705347222232</v>
      </c>
      <c r="K69" s="11">
        <f t="shared" si="5"/>
        <v>2.2627314814599231E-2</v>
      </c>
      <c r="L69" s="11">
        <f t="shared" si="6"/>
        <v>2.0821759258979E-2</v>
      </c>
      <c r="M69" s="11">
        <f t="shared" si="7"/>
        <v>0</v>
      </c>
      <c r="N69" s="11">
        <f t="shared" si="8"/>
        <v>7.060185307636857E-4</v>
      </c>
      <c r="O69" s="11">
        <f t="shared" si="9"/>
        <v>4.4155092604341917E-2</v>
      </c>
    </row>
    <row r="70" spans="1:15" x14ac:dyDescent="0.25">
      <c r="A70" s="3" t="s">
        <v>943</v>
      </c>
      <c r="B70" s="3" t="s">
        <v>500</v>
      </c>
      <c r="C70" s="9">
        <v>393.50000000000011</v>
      </c>
      <c r="D70" s="3" t="s">
        <v>3197</v>
      </c>
      <c r="E70" s="10">
        <v>45664.666875000003</v>
      </c>
      <c r="F70" s="10">
        <v>45664.683935185189</v>
      </c>
      <c r="G70" s="10">
        <v>45664.752245370371</v>
      </c>
      <c r="H70" s="10">
        <v>45664.752245370371</v>
      </c>
      <c r="I70" s="10">
        <v>45664.752245370371</v>
      </c>
      <c r="J70" s="10">
        <v>45664.753703703696</v>
      </c>
      <c r="K70" s="11">
        <f t="shared" si="5"/>
        <v>1.7060185185982846E-2</v>
      </c>
      <c r="L70" s="11">
        <f t="shared" si="6"/>
        <v>6.8310185182781424E-2</v>
      </c>
      <c r="M70" s="11">
        <f t="shared" si="7"/>
        <v>0</v>
      </c>
      <c r="N70" s="11">
        <f t="shared" si="8"/>
        <v>1.4583333249902353E-3</v>
      </c>
      <c r="O70" s="11">
        <f t="shared" si="9"/>
        <v>8.6828703693754505E-2</v>
      </c>
    </row>
    <row r="71" spans="1:15" x14ac:dyDescent="0.25">
      <c r="A71" s="3" t="s">
        <v>908</v>
      </c>
      <c r="B71" s="3" t="s">
        <v>572</v>
      </c>
      <c r="C71" s="9">
        <v>100.5</v>
      </c>
      <c r="D71" s="3" t="s">
        <v>3199</v>
      </c>
      <c r="E71" s="10">
        <v>45664.682141203702</v>
      </c>
      <c r="F71" s="10">
        <v>45664.687962962962</v>
      </c>
      <c r="G71" s="10">
        <v>45664.705405092587</v>
      </c>
      <c r="H71" s="10">
        <v>45664.705405092587</v>
      </c>
      <c r="I71" s="10">
        <v>45664.705405092587</v>
      </c>
      <c r="J71" s="10">
        <v>45664.706030092602</v>
      </c>
      <c r="K71" s="11">
        <f t="shared" si="5"/>
        <v>5.8217592595610768E-3</v>
      </c>
      <c r="L71" s="11">
        <f t="shared" si="6"/>
        <v>1.7442129625123926E-2</v>
      </c>
      <c r="M71" s="11">
        <f t="shared" si="7"/>
        <v>0</v>
      </c>
      <c r="N71" s="11">
        <f t="shared" si="8"/>
        <v>6.2500001513399184E-4</v>
      </c>
      <c r="O71" s="11">
        <f t="shared" si="9"/>
        <v>2.3888888899818994E-2</v>
      </c>
    </row>
    <row r="72" spans="1:15" x14ac:dyDescent="0.25">
      <c r="A72" s="3" t="s">
        <v>792</v>
      </c>
      <c r="B72" s="3" t="s">
        <v>539</v>
      </c>
      <c r="C72" s="9">
        <v>139.30000000000001</v>
      </c>
      <c r="D72" s="3" t="s">
        <v>3195</v>
      </c>
      <c r="E72" s="10">
        <v>45664.754826388889</v>
      </c>
      <c r="F72" s="10">
        <v>45664.755682870367</v>
      </c>
      <c r="G72" s="10">
        <v>45664.779861111107</v>
      </c>
      <c r="H72" s="10">
        <v>45664.779861111107</v>
      </c>
      <c r="I72" s="10">
        <v>45664.779861111107</v>
      </c>
      <c r="J72" s="10">
        <v>45664.780775462961</v>
      </c>
      <c r="K72" s="11">
        <f t="shared" si="5"/>
        <v>8.5648147796746343E-4</v>
      </c>
      <c r="L72" s="11">
        <f t="shared" si="6"/>
        <v>2.417824073927477E-2</v>
      </c>
      <c r="M72" s="11">
        <f t="shared" si="7"/>
        <v>0</v>
      </c>
      <c r="N72" s="11">
        <f t="shared" si="8"/>
        <v>9.1435185458976775E-4</v>
      </c>
      <c r="O72" s="11">
        <f t="shared" si="9"/>
        <v>2.5949074071832001E-2</v>
      </c>
    </row>
    <row r="73" spans="1:15" x14ac:dyDescent="0.25">
      <c r="A73" s="3" t="s">
        <v>961</v>
      </c>
      <c r="B73" s="3" t="s">
        <v>527</v>
      </c>
      <c r="C73" s="9">
        <v>108</v>
      </c>
      <c r="D73" s="3" t="s">
        <v>3193</v>
      </c>
      <c r="E73" s="10">
        <v>45664.755150462966</v>
      </c>
      <c r="F73" s="10">
        <v>45664.756412037037</v>
      </c>
      <c r="G73" s="10">
        <v>45664.77516203704</v>
      </c>
      <c r="H73" s="10">
        <v>45664.77516203704</v>
      </c>
      <c r="I73" s="10">
        <v>45664.77516203704</v>
      </c>
      <c r="J73" s="10">
        <v>45664.775833333333</v>
      </c>
      <c r="K73" s="11">
        <f t="shared" si="5"/>
        <v>1.261574070667848E-3</v>
      </c>
      <c r="L73" s="11">
        <f t="shared" si="6"/>
        <v>1.8750000002910383E-2</v>
      </c>
      <c r="M73" s="11">
        <f t="shared" si="7"/>
        <v>0</v>
      </c>
      <c r="N73" s="11">
        <f t="shared" si="8"/>
        <v>6.7129629314877093E-4</v>
      </c>
      <c r="O73" s="11">
        <f t="shared" si="9"/>
        <v>2.0682870366727002E-2</v>
      </c>
    </row>
    <row r="74" spans="1:15" x14ac:dyDescent="0.25">
      <c r="A74" s="3" t="s">
        <v>946</v>
      </c>
      <c r="B74" s="3" t="s">
        <v>500</v>
      </c>
      <c r="C74" s="9">
        <v>305.77999999999997</v>
      </c>
      <c r="D74" s="3" t="s">
        <v>3206</v>
      </c>
      <c r="E74" s="10">
        <v>45664.773981481478</v>
      </c>
      <c r="F74" s="10">
        <v>45664.775717592587</v>
      </c>
      <c r="G74" s="10">
        <v>45664.828796296293</v>
      </c>
      <c r="H74" s="10">
        <v>45664.828796296293</v>
      </c>
      <c r="I74" s="10">
        <v>45664.828796296293</v>
      </c>
      <c r="J74" s="10">
        <v>45664.830104166656</v>
      </c>
      <c r="K74" s="11">
        <f t="shared" si="5"/>
        <v>1.7361111094942316E-3</v>
      </c>
      <c r="L74" s="11">
        <f t="shared" si="6"/>
        <v>5.3078703705978114E-2</v>
      </c>
      <c r="M74" s="11">
        <f t="shared" si="7"/>
        <v>0</v>
      </c>
      <c r="N74" s="11">
        <f t="shared" si="8"/>
        <v>1.3078703632345423E-3</v>
      </c>
      <c r="O74" s="11">
        <f t="shared" si="9"/>
        <v>5.6122685178706888E-2</v>
      </c>
    </row>
    <row r="75" spans="1:15" x14ac:dyDescent="0.25">
      <c r="A75" s="3" t="s">
        <v>981</v>
      </c>
      <c r="B75" s="3" t="s">
        <v>500</v>
      </c>
      <c r="C75" s="9">
        <v>389.06000000000012</v>
      </c>
      <c r="D75" s="3" t="s">
        <v>3193</v>
      </c>
      <c r="E75" s="10">
        <v>45664.888969907413</v>
      </c>
      <c r="F75" s="10">
        <v>45664.889837962961</v>
      </c>
      <c r="G75" s="10">
        <v>45664.957384259258</v>
      </c>
      <c r="H75" s="10">
        <v>45664.957384259258</v>
      </c>
      <c r="I75" s="10">
        <v>45664.957384259258</v>
      </c>
      <c r="J75" s="10">
        <v>45664.958703703713</v>
      </c>
      <c r="K75" s="11">
        <f t="shared" si="5"/>
        <v>8.6805554747115821E-4</v>
      </c>
      <c r="L75" s="11">
        <f t="shared" si="6"/>
        <v>6.7546296297223307E-2</v>
      </c>
      <c r="M75" s="11">
        <f t="shared" si="7"/>
        <v>0</v>
      </c>
      <c r="N75" s="11">
        <f t="shared" si="8"/>
        <v>1.3194444545661099E-3</v>
      </c>
      <c r="O75" s="11">
        <f t="shared" si="9"/>
        <v>6.9733796299260575E-2</v>
      </c>
    </row>
    <row r="76" spans="1:15" x14ac:dyDescent="0.25">
      <c r="A76" s="3" t="s">
        <v>966</v>
      </c>
      <c r="B76" s="3" t="s">
        <v>506</v>
      </c>
      <c r="C76" s="9">
        <v>102.86</v>
      </c>
      <c r="D76" s="3" t="s">
        <v>3199</v>
      </c>
      <c r="E76" s="10">
        <v>45665.134930555563</v>
      </c>
      <c r="F76" s="10">
        <v>45665.135763888888</v>
      </c>
      <c r="G76" s="10">
        <v>45665.153622685182</v>
      </c>
      <c r="H76" s="10">
        <v>45665.153622685182</v>
      </c>
      <c r="I76" s="10">
        <v>45665.153622685182</v>
      </c>
      <c r="J76" s="10">
        <v>45665.154247685183</v>
      </c>
      <c r="K76" s="11">
        <f t="shared" si="5"/>
        <v>8.3333332440815866E-4</v>
      </c>
      <c r="L76" s="11">
        <f t="shared" si="6"/>
        <v>1.7858796294603962E-2</v>
      </c>
      <c r="M76" s="11">
        <f t="shared" si="7"/>
        <v>0</v>
      </c>
      <c r="N76" s="11">
        <f t="shared" si="8"/>
        <v>6.2500000058207661E-4</v>
      </c>
      <c r="O76" s="11">
        <f t="shared" si="9"/>
        <v>1.9317129619594198E-2</v>
      </c>
    </row>
    <row r="77" spans="1:15" x14ac:dyDescent="0.25">
      <c r="A77" s="3" t="s">
        <v>919</v>
      </c>
      <c r="B77" s="3" t="s">
        <v>523</v>
      </c>
      <c r="C77" s="9">
        <v>114.34</v>
      </c>
      <c r="D77" s="3" t="s">
        <v>3204</v>
      </c>
      <c r="E77" s="10">
        <v>45665.137013888889</v>
      </c>
      <c r="F77" s="10">
        <v>45665.138842592591</v>
      </c>
      <c r="G77" s="10">
        <v>45665.158692129633</v>
      </c>
      <c r="H77" s="10">
        <v>45665.158692129633</v>
      </c>
      <c r="I77" s="10">
        <v>45665.158692129633</v>
      </c>
      <c r="J77" s="10">
        <v>45665.159467592603</v>
      </c>
      <c r="K77" s="11">
        <f t="shared" si="5"/>
        <v>1.8287037019035779E-3</v>
      </c>
      <c r="L77" s="11">
        <f t="shared" si="6"/>
        <v>1.9849537042318843E-2</v>
      </c>
      <c r="M77" s="11">
        <f t="shared" si="7"/>
        <v>0</v>
      </c>
      <c r="N77" s="11">
        <f t="shared" si="8"/>
        <v>7.7546296961372718E-4</v>
      </c>
      <c r="O77" s="11">
        <f t="shared" si="9"/>
        <v>2.2453703713836148E-2</v>
      </c>
    </row>
    <row r="78" spans="1:15" x14ac:dyDescent="0.25">
      <c r="A78" s="3" t="s">
        <v>990</v>
      </c>
      <c r="B78" s="3" t="s">
        <v>488</v>
      </c>
      <c r="C78" s="9">
        <v>166.9</v>
      </c>
      <c r="D78" s="3" t="s">
        <v>3193</v>
      </c>
      <c r="E78" s="10">
        <v>45665.137106481481</v>
      </c>
      <c r="F78" s="10">
        <v>45665.142141203702</v>
      </c>
      <c r="G78" s="10">
        <v>45665.171122685177</v>
      </c>
      <c r="H78" s="10">
        <v>45665.171122685177</v>
      </c>
      <c r="I78" s="10">
        <v>45665.171122685177</v>
      </c>
      <c r="J78" s="10">
        <v>45665.171932870369</v>
      </c>
      <c r="K78" s="11">
        <f t="shared" si="5"/>
        <v>5.0347222204436548E-3</v>
      </c>
      <c r="L78" s="11">
        <f t="shared" si="6"/>
        <v>2.898148147505708E-2</v>
      </c>
      <c r="M78" s="11">
        <f t="shared" si="7"/>
        <v>0</v>
      </c>
      <c r="N78" s="11">
        <f t="shared" si="8"/>
        <v>8.1018519267672673E-4</v>
      </c>
      <c r="O78" s="11">
        <f t="shared" si="9"/>
        <v>3.4826388888177462E-2</v>
      </c>
    </row>
    <row r="79" spans="1:15" x14ac:dyDescent="0.25">
      <c r="A79" s="3" t="s">
        <v>873</v>
      </c>
      <c r="B79" s="3" t="s">
        <v>484</v>
      </c>
      <c r="C79" s="9">
        <v>141.74</v>
      </c>
      <c r="D79" s="3" t="s">
        <v>3201</v>
      </c>
      <c r="E79" s="10">
        <v>45665.140451388892</v>
      </c>
      <c r="F79" s="10">
        <v>45665.155300925922</v>
      </c>
      <c r="G79" s="10">
        <v>45665.179907407408</v>
      </c>
      <c r="H79" s="10">
        <v>45665.179907407408</v>
      </c>
      <c r="I79" s="10">
        <v>45665.179907407408</v>
      </c>
      <c r="J79" s="10">
        <v>45665.180775462963</v>
      </c>
      <c r="K79" s="11">
        <f t="shared" si="5"/>
        <v>1.4849537030386273E-2</v>
      </c>
      <c r="L79" s="11">
        <f t="shared" si="6"/>
        <v>2.4606481485534459E-2</v>
      </c>
      <c r="M79" s="11">
        <f t="shared" si="7"/>
        <v>0</v>
      </c>
      <c r="N79" s="11">
        <f t="shared" si="8"/>
        <v>8.6805555474711582E-4</v>
      </c>
      <c r="O79" s="11">
        <f t="shared" si="9"/>
        <v>4.0324074070667848E-2</v>
      </c>
    </row>
    <row r="80" spans="1:15" x14ac:dyDescent="0.25">
      <c r="A80" s="3" t="s">
        <v>886</v>
      </c>
      <c r="B80" s="3" t="s">
        <v>519</v>
      </c>
      <c r="C80" s="9">
        <v>592.69999999999993</v>
      </c>
      <c r="D80" s="3" t="s">
        <v>3202</v>
      </c>
      <c r="E80" s="10">
        <v>45665.173888888887</v>
      </c>
      <c r="F80" s="10">
        <v>45665.174733796302</v>
      </c>
      <c r="G80" s="10">
        <v>45665.277638888889</v>
      </c>
      <c r="H80" s="10">
        <v>45665.277638888889</v>
      </c>
      <c r="I80" s="10">
        <v>45665.277638888889</v>
      </c>
      <c r="J80" s="10">
        <v>45665.279490740737</v>
      </c>
      <c r="K80" s="11">
        <f t="shared" si="5"/>
        <v>8.4490741573972628E-4</v>
      </c>
      <c r="L80" s="11">
        <f t="shared" si="6"/>
        <v>0.10290509258629754</v>
      </c>
      <c r="M80" s="11">
        <f t="shared" si="7"/>
        <v>0</v>
      </c>
      <c r="N80" s="11">
        <f t="shared" si="8"/>
        <v>1.8518518481869251E-3</v>
      </c>
      <c r="O80" s="11">
        <f t="shared" si="9"/>
        <v>0.10560185185022419</v>
      </c>
    </row>
    <row r="81" spans="1:15" x14ac:dyDescent="0.25">
      <c r="A81" s="3" t="s">
        <v>995</v>
      </c>
      <c r="B81" s="3" t="s">
        <v>500</v>
      </c>
      <c r="C81" s="9">
        <v>297</v>
      </c>
      <c r="D81" s="3" t="s">
        <v>3193</v>
      </c>
      <c r="E81" s="10">
        <v>45665.263020833343</v>
      </c>
      <c r="F81" s="10">
        <v>45665.263888888891</v>
      </c>
      <c r="G81" s="10">
        <v>45665.315451388888</v>
      </c>
      <c r="H81" s="10">
        <v>45665.315451388888</v>
      </c>
      <c r="I81" s="10">
        <v>45665.315451388888</v>
      </c>
      <c r="J81" s="10">
        <v>45665.316574074073</v>
      </c>
      <c r="K81" s="11">
        <f t="shared" si="5"/>
        <v>8.6805554747115821E-4</v>
      </c>
      <c r="L81" s="11">
        <f t="shared" si="6"/>
        <v>5.1562499997089617E-2</v>
      </c>
      <c r="M81" s="11">
        <f t="shared" si="7"/>
        <v>0</v>
      </c>
      <c r="N81" s="11">
        <f t="shared" si="8"/>
        <v>1.1226851856918074E-3</v>
      </c>
      <c r="O81" s="11">
        <f t="shared" si="9"/>
        <v>5.3553240730252583E-2</v>
      </c>
    </row>
    <row r="82" spans="1:15" x14ac:dyDescent="0.25">
      <c r="A82" s="3" t="s">
        <v>1041</v>
      </c>
      <c r="B82" s="3" t="s">
        <v>500</v>
      </c>
      <c r="C82" s="9">
        <v>156.74</v>
      </c>
      <c r="D82" s="3" t="s">
        <v>3202</v>
      </c>
      <c r="E82" s="10">
        <v>45665.316284722219</v>
      </c>
      <c r="F82" s="10">
        <v>45665.317129629628</v>
      </c>
      <c r="G82" s="10">
        <v>45665.344340277778</v>
      </c>
      <c r="H82" s="10">
        <v>45665.344340277778</v>
      </c>
      <c r="I82" s="10">
        <v>45665.344340277778</v>
      </c>
      <c r="J82" s="10">
        <v>45665.345196759263</v>
      </c>
      <c r="K82" s="11">
        <f t="shared" si="5"/>
        <v>8.4490740846376866E-4</v>
      </c>
      <c r="L82" s="11">
        <f t="shared" si="6"/>
        <v>2.7210648149775807E-2</v>
      </c>
      <c r="M82" s="11">
        <f t="shared" si="7"/>
        <v>0</v>
      </c>
      <c r="N82" s="11">
        <f t="shared" si="8"/>
        <v>8.5648148524342105E-4</v>
      </c>
      <c r="O82" s="11">
        <f t="shared" si="9"/>
        <v>2.8912037043482997E-2</v>
      </c>
    </row>
    <row r="83" spans="1:15" x14ac:dyDescent="0.25">
      <c r="A83" s="3" t="s">
        <v>924</v>
      </c>
      <c r="B83" s="3" t="s">
        <v>515</v>
      </c>
      <c r="C83" s="9">
        <v>130.08000000000001</v>
      </c>
      <c r="D83" s="3" t="s">
        <v>3203</v>
      </c>
      <c r="E83" s="10">
        <v>45665.345416666663</v>
      </c>
      <c r="F83" s="10">
        <v>45665.346284722233</v>
      </c>
      <c r="G83" s="10">
        <v>45665.36886574074</v>
      </c>
      <c r="H83" s="10">
        <v>45665.36886574074</v>
      </c>
      <c r="I83" s="10">
        <v>45665.36886574074</v>
      </c>
      <c r="J83" s="10">
        <v>45665.369629629633</v>
      </c>
      <c r="K83" s="11">
        <f t="shared" si="5"/>
        <v>8.6805556929903105E-4</v>
      </c>
      <c r="L83" s="11">
        <f t="shared" si="6"/>
        <v>2.2581018507480621E-2</v>
      </c>
      <c r="M83" s="11">
        <f t="shared" si="7"/>
        <v>0</v>
      </c>
      <c r="N83" s="11">
        <f t="shared" si="8"/>
        <v>7.638888928340748E-4</v>
      </c>
      <c r="O83" s="11">
        <f t="shared" si="9"/>
        <v>2.4212962969613727E-2</v>
      </c>
    </row>
    <row r="84" spans="1:15" x14ac:dyDescent="0.25">
      <c r="A84" s="3" t="s">
        <v>1023</v>
      </c>
      <c r="B84" s="3" t="s">
        <v>527</v>
      </c>
      <c r="C84" s="9">
        <v>108</v>
      </c>
      <c r="D84" s="3" t="s">
        <v>3197</v>
      </c>
      <c r="E84" s="10">
        <v>45665.347731481481</v>
      </c>
      <c r="F84" s="10">
        <v>45665.348599537043</v>
      </c>
      <c r="G84" s="10">
        <v>45665.367349537039</v>
      </c>
      <c r="H84" s="10">
        <v>45665.367349537039</v>
      </c>
      <c r="I84" s="10">
        <v>45665.367349537039</v>
      </c>
      <c r="J84" s="10">
        <v>45665.368136574078</v>
      </c>
      <c r="K84" s="11">
        <f t="shared" si="5"/>
        <v>8.6805556202307343E-4</v>
      </c>
      <c r="L84" s="11">
        <f t="shared" si="6"/>
        <v>1.8749999995634425E-2</v>
      </c>
      <c r="M84" s="11">
        <f t="shared" si="7"/>
        <v>0</v>
      </c>
      <c r="N84" s="11">
        <f t="shared" si="8"/>
        <v>7.8703703911742195E-4</v>
      </c>
      <c r="O84" s="11">
        <f t="shared" si="9"/>
        <v>2.0405092596774921E-2</v>
      </c>
    </row>
    <row r="85" spans="1:15" x14ac:dyDescent="0.25">
      <c r="A85" s="3" t="s">
        <v>1002</v>
      </c>
      <c r="B85" s="3" t="s">
        <v>506</v>
      </c>
      <c r="C85" s="9">
        <v>124.44</v>
      </c>
      <c r="D85" s="3" t="s">
        <v>3199</v>
      </c>
      <c r="E85" s="10">
        <v>45665.355787037042</v>
      </c>
      <c r="F85" s="10">
        <v>45665.365798611107</v>
      </c>
      <c r="G85" s="10">
        <v>45665.387407407397</v>
      </c>
      <c r="H85" s="10">
        <v>45665.387407407397</v>
      </c>
      <c r="I85" s="10">
        <v>45665.387407407397</v>
      </c>
      <c r="J85" s="10">
        <v>45665.388090277767</v>
      </c>
      <c r="K85" s="11">
        <f t="shared" si="5"/>
        <v>1.0011574064265005E-2</v>
      </c>
      <c r="L85" s="11">
        <f t="shared" si="6"/>
        <v>2.1608796290820464E-2</v>
      </c>
      <c r="M85" s="11">
        <f t="shared" si="7"/>
        <v>0</v>
      </c>
      <c r="N85" s="11">
        <f t="shared" si="8"/>
        <v>6.8287036992842332E-4</v>
      </c>
      <c r="O85" s="11">
        <f t="shared" si="9"/>
        <v>3.2303240725013893E-2</v>
      </c>
    </row>
    <row r="86" spans="1:15" x14ac:dyDescent="0.25">
      <c r="A86" s="3" t="s">
        <v>1015</v>
      </c>
      <c r="B86" s="3" t="s">
        <v>492</v>
      </c>
      <c r="C86" s="9">
        <v>401.84000000000009</v>
      </c>
      <c r="D86" s="3" t="s">
        <v>3193</v>
      </c>
      <c r="E86" s="10">
        <v>45665.364120370366</v>
      </c>
      <c r="F86" s="10">
        <v>45665.369085648148</v>
      </c>
      <c r="G86" s="10">
        <v>45665.438842592594</v>
      </c>
      <c r="H86" s="10">
        <v>45665.438842592594</v>
      </c>
      <c r="I86" s="10">
        <v>45665.438842592594</v>
      </c>
      <c r="J86" s="10">
        <v>45665.440208333333</v>
      </c>
      <c r="K86" s="11">
        <f t="shared" si="5"/>
        <v>4.9652777815936133E-3</v>
      </c>
      <c r="L86" s="11">
        <f t="shared" si="6"/>
        <v>6.9756944445543922E-2</v>
      </c>
      <c r="M86" s="11">
        <f t="shared" si="7"/>
        <v>0</v>
      </c>
      <c r="N86" s="11">
        <f t="shared" si="8"/>
        <v>1.3657407398568466E-3</v>
      </c>
      <c r="O86" s="11">
        <f t="shared" si="9"/>
        <v>7.6087962966994382E-2</v>
      </c>
    </row>
    <row r="87" spans="1:15" x14ac:dyDescent="0.25">
      <c r="A87" s="3" t="s">
        <v>1028</v>
      </c>
      <c r="B87" s="3" t="s">
        <v>500</v>
      </c>
      <c r="C87" s="9">
        <v>114.8</v>
      </c>
      <c r="D87" s="3" t="s">
        <v>3203</v>
      </c>
      <c r="E87" s="10">
        <v>45665.38690972222</v>
      </c>
      <c r="F87" s="10">
        <v>45665.389108796298</v>
      </c>
      <c r="G87" s="10">
        <v>45665.409039351849</v>
      </c>
      <c r="H87" s="10">
        <v>45665.409039351849</v>
      </c>
      <c r="I87" s="10">
        <v>45665.409039351849</v>
      </c>
      <c r="J87" s="10">
        <v>45665.409768518519</v>
      </c>
      <c r="K87" s="11">
        <f t="shared" si="5"/>
        <v>2.1990740788169205E-3</v>
      </c>
      <c r="L87" s="11">
        <f t="shared" si="6"/>
        <v>1.993055555067258E-2</v>
      </c>
      <c r="M87" s="11">
        <f t="shared" si="7"/>
        <v>0</v>
      </c>
      <c r="N87" s="11">
        <f t="shared" si="8"/>
        <v>7.2916666977107525E-4</v>
      </c>
      <c r="O87" s="11">
        <f t="shared" si="9"/>
        <v>2.2858796299260575E-2</v>
      </c>
    </row>
    <row r="88" spans="1:15" x14ac:dyDescent="0.25">
      <c r="A88" s="3" t="s">
        <v>1048</v>
      </c>
      <c r="B88" s="3" t="s">
        <v>572</v>
      </c>
      <c r="C88" s="9">
        <v>120.4</v>
      </c>
      <c r="D88" s="3" t="s">
        <v>3197</v>
      </c>
      <c r="E88" s="10">
        <v>45665.388888888891</v>
      </c>
      <c r="F88" s="10">
        <v>45665.390520833331</v>
      </c>
      <c r="G88" s="10">
        <v>45665.411423611113</v>
      </c>
      <c r="H88" s="10">
        <v>45665.411423611113</v>
      </c>
      <c r="I88" s="10">
        <v>45665.411423611113</v>
      </c>
      <c r="J88" s="10">
        <v>45665.412256944437</v>
      </c>
      <c r="K88" s="11">
        <f t="shared" si="5"/>
        <v>1.631944440305233E-3</v>
      </c>
      <c r="L88" s="11">
        <f t="shared" si="6"/>
        <v>2.0902777781884652E-2</v>
      </c>
      <c r="M88" s="11">
        <f t="shared" si="7"/>
        <v>0</v>
      </c>
      <c r="N88" s="11">
        <f t="shared" si="8"/>
        <v>8.3333332440815866E-4</v>
      </c>
      <c r="O88" s="11">
        <f t="shared" si="9"/>
        <v>2.3368055546598043E-2</v>
      </c>
    </row>
    <row r="89" spans="1:15" x14ac:dyDescent="0.25">
      <c r="A89" s="3" t="s">
        <v>1051</v>
      </c>
      <c r="B89" s="3" t="s">
        <v>500</v>
      </c>
      <c r="C89" s="9">
        <v>124.9</v>
      </c>
      <c r="D89" s="3" t="s">
        <v>3203</v>
      </c>
      <c r="E89" s="10">
        <v>45665.441655092603</v>
      </c>
      <c r="F89" s="10">
        <v>45665.442523148151</v>
      </c>
      <c r="G89" s="10">
        <v>45665.464201388888</v>
      </c>
      <c r="H89" s="10">
        <v>45665.464201388888</v>
      </c>
      <c r="I89" s="10">
        <v>45665.464201388888</v>
      </c>
      <c r="J89" s="10">
        <v>45665.464953703697</v>
      </c>
      <c r="K89" s="11">
        <f t="shared" si="5"/>
        <v>8.6805554747115821E-4</v>
      </c>
      <c r="L89" s="11">
        <f t="shared" si="6"/>
        <v>2.1678240736946464E-2</v>
      </c>
      <c r="M89" s="11">
        <f t="shared" si="7"/>
        <v>0</v>
      </c>
      <c r="N89" s="11">
        <f t="shared" si="8"/>
        <v>7.5231480877846479E-4</v>
      </c>
      <c r="O89" s="11">
        <f t="shared" si="9"/>
        <v>2.3298611093196087E-2</v>
      </c>
    </row>
    <row r="90" spans="1:15" x14ac:dyDescent="0.25">
      <c r="A90" s="3" t="s">
        <v>1057</v>
      </c>
      <c r="B90" s="3" t="s">
        <v>500</v>
      </c>
      <c r="C90" s="9">
        <v>297.26</v>
      </c>
      <c r="D90" s="3" t="s">
        <v>3193</v>
      </c>
      <c r="E90" s="10">
        <v>45665.445509259262</v>
      </c>
      <c r="F90" s="10">
        <v>45665.446296296293</v>
      </c>
      <c r="G90" s="10">
        <v>45665.49790509259</v>
      </c>
      <c r="H90" s="10">
        <v>45665.49790509259</v>
      </c>
      <c r="I90" s="10">
        <v>45665.49790509259</v>
      </c>
      <c r="J90" s="10">
        <v>45665.499016203707</v>
      </c>
      <c r="K90" s="11">
        <f t="shared" si="5"/>
        <v>7.8703703184146434E-4</v>
      </c>
      <c r="L90" s="11">
        <f t="shared" si="6"/>
        <v>5.1608796296932269E-2</v>
      </c>
      <c r="M90" s="11">
        <f t="shared" si="7"/>
        <v>0</v>
      </c>
      <c r="N90" s="11">
        <f t="shared" si="8"/>
        <v>1.1111111161881126E-3</v>
      </c>
      <c r="O90" s="11">
        <f t="shared" si="9"/>
        <v>5.3506944444961846E-2</v>
      </c>
    </row>
    <row r="91" spans="1:15" x14ac:dyDescent="0.25">
      <c r="A91" s="3" t="s">
        <v>1060</v>
      </c>
      <c r="B91" s="3" t="s">
        <v>500</v>
      </c>
      <c r="C91" s="9">
        <v>296.8</v>
      </c>
      <c r="D91" s="3" t="s">
        <v>3203</v>
      </c>
      <c r="E91" s="10">
        <v>45665.544675925928</v>
      </c>
      <c r="F91" s="10">
        <v>45665.545543981483</v>
      </c>
      <c r="G91" s="10">
        <v>45665.597071759257</v>
      </c>
      <c r="H91" s="10">
        <v>45665.597071759257</v>
      </c>
      <c r="I91" s="10">
        <v>45665.597071759257</v>
      </c>
      <c r="J91" s="10">
        <v>45665.598229166673</v>
      </c>
      <c r="K91" s="11">
        <f t="shared" si="5"/>
        <v>8.6805555474711582E-4</v>
      </c>
      <c r="L91" s="11">
        <f t="shared" si="6"/>
        <v>5.1527777774026617E-2</v>
      </c>
      <c r="M91" s="11">
        <f t="shared" si="7"/>
        <v>0</v>
      </c>
      <c r="N91" s="11">
        <f t="shared" si="8"/>
        <v>1.1574074160307646E-3</v>
      </c>
      <c r="O91" s="11">
        <f t="shared" si="9"/>
        <v>5.3553240744804498E-2</v>
      </c>
    </row>
    <row r="92" spans="1:15" x14ac:dyDescent="0.25">
      <c r="A92" s="3" t="s">
        <v>1063</v>
      </c>
      <c r="B92" s="3" t="s">
        <v>500</v>
      </c>
      <c r="C92" s="9">
        <v>365.82000000000011</v>
      </c>
      <c r="D92" s="3" t="s">
        <v>3203</v>
      </c>
      <c r="E92" s="10">
        <v>45665.615034722221</v>
      </c>
      <c r="F92" s="10">
        <v>45665.61582175926</v>
      </c>
      <c r="G92" s="10">
        <v>45665.679340277777</v>
      </c>
      <c r="H92" s="10">
        <v>45665.679340277777</v>
      </c>
      <c r="I92" s="10">
        <v>45665.679340277777</v>
      </c>
      <c r="J92" s="10">
        <v>45665.680648148147</v>
      </c>
      <c r="K92" s="11">
        <f t="shared" si="5"/>
        <v>7.8703703911742195E-4</v>
      </c>
      <c r="L92" s="11">
        <f t="shared" si="6"/>
        <v>6.3518518516502809E-2</v>
      </c>
      <c r="M92" s="11">
        <f t="shared" si="7"/>
        <v>0</v>
      </c>
      <c r="N92" s="11">
        <f t="shared" si="8"/>
        <v>1.3078703705104999E-3</v>
      </c>
      <c r="O92" s="11">
        <f t="shared" si="9"/>
        <v>6.5613425926130731E-2</v>
      </c>
    </row>
    <row r="93" spans="1:15" x14ac:dyDescent="0.25">
      <c r="A93" s="3" t="s">
        <v>757</v>
      </c>
      <c r="B93" s="3" t="s">
        <v>563</v>
      </c>
      <c r="C93" s="9">
        <v>139.30000000000001</v>
      </c>
      <c r="D93" s="3" t="s">
        <v>3194</v>
      </c>
      <c r="E93" s="10">
        <v>45665.646631944437</v>
      </c>
      <c r="F93" s="10">
        <v>45665.648368055547</v>
      </c>
      <c r="G93" s="10">
        <v>45665.672546296293</v>
      </c>
      <c r="H93" s="10">
        <v>45665.672546296293</v>
      </c>
      <c r="I93" s="10">
        <v>45665.672546296293</v>
      </c>
      <c r="J93" s="10">
        <v>45665.673414351862</v>
      </c>
      <c r="K93" s="11">
        <f t="shared" si="5"/>
        <v>1.7361111094942316E-3</v>
      </c>
      <c r="L93" s="11">
        <f t="shared" si="6"/>
        <v>2.4178240746550728E-2</v>
      </c>
      <c r="M93" s="11">
        <f t="shared" si="7"/>
        <v>0</v>
      </c>
      <c r="N93" s="11">
        <f t="shared" si="8"/>
        <v>8.6805556929903105E-4</v>
      </c>
      <c r="O93" s="11">
        <f t="shared" si="9"/>
        <v>2.678240742534399E-2</v>
      </c>
    </row>
    <row r="94" spans="1:15" x14ac:dyDescent="0.25">
      <c r="A94" s="3" t="s">
        <v>1092</v>
      </c>
      <c r="B94" s="3" t="s">
        <v>500</v>
      </c>
      <c r="C94" s="9">
        <v>362.0200000000001</v>
      </c>
      <c r="D94" s="3" t="s">
        <v>3205</v>
      </c>
      <c r="E94" s="10">
        <v>45665.66715277778</v>
      </c>
      <c r="F94" s="10">
        <v>45665.668854166674</v>
      </c>
      <c r="G94" s="10">
        <v>45665.73170138889</v>
      </c>
      <c r="H94" s="10">
        <v>45665.73170138889</v>
      </c>
      <c r="I94" s="10">
        <v>45665.73170138889</v>
      </c>
      <c r="J94" s="10">
        <v>45665.733090277783</v>
      </c>
      <c r="K94" s="11">
        <f t="shared" si="5"/>
        <v>1.7013888937071897E-3</v>
      </c>
      <c r="L94" s="11">
        <f t="shared" si="6"/>
        <v>6.284722221607808E-2</v>
      </c>
      <c r="M94" s="11">
        <f t="shared" si="7"/>
        <v>0</v>
      </c>
      <c r="N94" s="11">
        <f t="shared" si="8"/>
        <v>1.3888888934161514E-3</v>
      </c>
      <c r="O94" s="11">
        <f t="shared" si="9"/>
        <v>6.5937500003201421E-2</v>
      </c>
    </row>
    <row r="95" spans="1:15" x14ac:dyDescent="0.25">
      <c r="A95" s="3" t="s">
        <v>1078</v>
      </c>
      <c r="B95" s="3" t="s">
        <v>500</v>
      </c>
      <c r="C95" s="9">
        <v>209.16</v>
      </c>
      <c r="D95" s="3" t="s">
        <v>3203</v>
      </c>
      <c r="E95" s="10">
        <v>45665.734178240738</v>
      </c>
      <c r="F95" s="10">
        <v>45665.735011574077</v>
      </c>
      <c r="G95" s="10">
        <v>45665.771319444437</v>
      </c>
      <c r="H95" s="10">
        <v>45665.771319444437</v>
      </c>
      <c r="I95" s="10">
        <v>45665.771319444437</v>
      </c>
      <c r="J95" s="10">
        <v>45665.772268518522</v>
      </c>
      <c r="K95" s="11">
        <f t="shared" si="5"/>
        <v>8.3333333896007389E-4</v>
      </c>
      <c r="L95" s="11">
        <f t="shared" si="6"/>
        <v>3.6307870359451044E-2</v>
      </c>
      <c r="M95" s="11">
        <f t="shared" si="7"/>
        <v>0</v>
      </c>
      <c r="N95" s="11">
        <f t="shared" si="8"/>
        <v>9.4907408492872491E-4</v>
      </c>
      <c r="O95" s="11">
        <f t="shared" si="9"/>
        <v>3.8090277783339843E-2</v>
      </c>
    </row>
    <row r="96" spans="1:15" x14ac:dyDescent="0.25">
      <c r="A96" s="3" t="s">
        <v>1097</v>
      </c>
      <c r="B96" s="3" t="s">
        <v>500</v>
      </c>
      <c r="C96" s="9">
        <v>115.24</v>
      </c>
      <c r="D96" s="3" t="s">
        <v>3205</v>
      </c>
      <c r="E96" s="10">
        <v>45665.856273148151</v>
      </c>
      <c r="F96" s="10">
        <v>45665.857141203713</v>
      </c>
      <c r="G96" s="10">
        <v>45665.877141203702</v>
      </c>
      <c r="H96" s="10">
        <v>45665.877141203702</v>
      </c>
      <c r="I96" s="10">
        <v>45665.877141203702</v>
      </c>
      <c r="J96" s="10">
        <v>45665.877962962957</v>
      </c>
      <c r="K96" s="11">
        <f t="shared" si="5"/>
        <v>8.6805556202307343E-4</v>
      </c>
      <c r="L96" s="11">
        <f t="shared" si="6"/>
        <v>1.9999999989522621E-2</v>
      </c>
      <c r="M96" s="11">
        <f t="shared" si="7"/>
        <v>0</v>
      </c>
      <c r="N96" s="11">
        <f t="shared" si="8"/>
        <v>8.2175925490446389E-4</v>
      </c>
      <c r="O96" s="11">
        <f t="shared" si="9"/>
        <v>2.1689814806450158E-2</v>
      </c>
    </row>
    <row r="97" spans="1:15" x14ac:dyDescent="0.25">
      <c r="A97" s="3" t="s">
        <v>1070</v>
      </c>
      <c r="B97" s="3" t="s">
        <v>527</v>
      </c>
      <c r="C97" s="9">
        <v>110.02</v>
      </c>
      <c r="D97" s="3" t="s">
        <v>3193</v>
      </c>
      <c r="E97" s="10">
        <v>45666.129837962973</v>
      </c>
      <c r="F97" s="10">
        <v>45666.130624999998</v>
      </c>
      <c r="G97" s="10">
        <v>45666.149733796286</v>
      </c>
      <c r="H97" s="10">
        <v>45666.149733796286</v>
      </c>
      <c r="I97" s="10">
        <v>45666.149733796286</v>
      </c>
      <c r="J97" s="10">
        <v>45666.150416666656</v>
      </c>
      <c r="K97" s="11">
        <f t="shared" si="5"/>
        <v>7.8703702456550673E-4</v>
      </c>
      <c r="L97" s="11">
        <f t="shared" si="6"/>
        <v>1.9108796288492158E-2</v>
      </c>
      <c r="M97" s="11">
        <f t="shared" si="7"/>
        <v>0</v>
      </c>
      <c r="N97" s="11">
        <f t="shared" si="8"/>
        <v>6.8287036992842332E-4</v>
      </c>
      <c r="O97" s="11">
        <f t="shared" si="9"/>
        <v>2.0578703682986088E-2</v>
      </c>
    </row>
    <row r="98" spans="1:15" x14ac:dyDescent="0.25">
      <c r="A98" s="3" t="s">
        <v>1009</v>
      </c>
      <c r="B98" s="3" t="s">
        <v>488</v>
      </c>
      <c r="C98" s="9">
        <v>197.04</v>
      </c>
      <c r="D98" s="3" t="s">
        <v>3204</v>
      </c>
      <c r="E98" s="10">
        <v>45666.13380787037</v>
      </c>
      <c r="F98" s="10">
        <v>45666.134675925918</v>
      </c>
      <c r="G98" s="10">
        <v>45666.168877314813</v>
      </c>
      <c r="H98" s="10">
        <v>45666.168877314813</v>
      </c>
      <c r="I98" s="10">
        <v>45666.168877314813</v>
      </c>
      <c r="J98" s="10">
        <v>45666.16983796296</v>
      </c>
      <c r="K98" s="11">
        <f t="shared" si="5"/>
        <v>8.6805554747115821E-4</v>
      </c>
      <c r="L98" s="11">
        <f t="shared" si="6"/>
        <v>3.4201388894871343E-2</v>
      </c>
      <c r="M98" s="11">
        <f t="shared" si="7"/>
        <v>0</v>
      </c>
      <c r="N98" s="11">
        <f t="shared" si="8"/>
        <v>9.6064814715646207E-4</v>
      </c>
      <c r="O98" s="11">
        <f t="shared" si="9"/>
        <v>3.6030092589498963E-2</v>
      </c>
    </row>
    <row r="99" spans="1:15" x14ac:dyDescent="0.25">
      <c r="A99" s="3" t="s">
        <v>1108</v>
      </c>
      <c r="B99" s="3" t="s">
        <v>533</v>
      </c>
      <c r="C99" s="9">
        <v>141.66</v>
      </c>
      <c r="D99" s="3" t="s">
        <v>3203</v>
      </c>
      <c r="E99" s="10">
        <v>45666.276620370372</v>
      </c>
      <c r="F99" s="10">
        <v>45666.277465277781</v>
      </c>
      <c r="G99" s="10">
        <v>45666.302060185182</v>
      </c>
      <c r="H99" s="10">
        <v>45666.302060185182</v>
      </c>
      <c r="I99" s="10">
        <v>45666.302060185182</v>
      </c>
      <c r="J99" s="10">
        <v>45666.302847222221</v>
      </c>
      <c r="K99" s="11">
        <f t="shared" si="5"/>
        <v>8.4490740846376866E-4</v>
      </c>
      <c r="L99" s="11">
        <f t="shared" si="6"/>
        <v>2.4594907401478849E-2</v>
      </c>
      <c r="M99" s="11">
        <f t="shared" si="7"/>
        <v>0</v>
      </c>
      <c r="N99" s="11">
        <f t="shared" si="8"/>
        <v>7.8703703911742195E-4</v>
      </c>
      <c r="O99" s="11">
        <f t="shared" si="9"/>
        <v>2.622685184906004E-2</v>
      </c>
    </row>
    <row r="100" spans="1:15" x14ac:dyDescent="0.25">
      <c r="A100" s="3" t="s">
        <v>1073</v>
      </c>
      <c r="B100" s="3" t="s">
        <v>515</v>
      </c>
      <c r="C100" s="9">
        <v>175.82</v>
      </c>
      <c r="D100" s="3" t="s">
        <v>3197</v>
      </c>
      <c r="E100" s="10">
        <v>45666.279189814813</v>
      </c>
      <c r="F100" s="10">
        <v>45666.280682870369</v>
      </c>
      <c r="G100" s="10">
        <v>45666.311203703714</v>
      </c>
      <c r="H100" s="10">
        <v>45666.311203703714</v>
      </c>
      <c r="I100" s="10">
        <v>45666.311203703714</v>
      </c>
      <c r="J100" s="10">
        <v>45666.312164351853</v>
      </c>
      <c r="K100" s="11">
        <f t="shared" si="5"/>
        <v>1.4930555553291924E-3</v>
      </c>
      <c r="L100" s="11">
        <f t="shared" si="6"/>
        <v>3.052083334478084E-2</v>
      </c>
      <c r="M100" s="11">
        <f t="shared" si="7"/>
        <v>0</v>
      </c>
      <c r="N100" s="11">
        <f t="shared" si="8"/>
        <v>9.6064813988050446E-4</v>
      </c>
      <c r="O100" s="11">
        <f t="shared" si="9"/>
        <v>3.2974537039990537E-2</v>
      </c>
    </row>
    <row r="101" spans="1:15" x14ac:dyDescent="0.25">
      <c r="A101" s="3" t="s">
        <v>1149</v>
      </c>
      <c r="B101" s="3" t="s">
        <v>500</v>
      </c>
      <c r="C101" s="9">
        <v>185.9</v>
      </c>
      <c r="D101" s="3" t="s">
        <v>3196</v>
      </c>
      <c r="E101" s="10">
        <v>45666.291712962957</v>
      </c>
      <c r="F101" s="10">
        <v>45666.293773148151</v>
      </c>
      <c r="G101" s="10">
        <v>45666.326041666667</v>
      </c>
      <c r="H101" s="10">
        <v>45666.326041666667</v>
      </c>
      <c r="I101" s="10">
        <v>45666.326041666667</v>
      </c>
      <c r="J101" s="10">
        <v>45666.326851851853</v>
      </c>
      <c r="K101" s="11">
        <f t="shared" si="5"/>
        <v>2.0601851938408799E-3</v>
      </c>
      <c r="L101" s="11">
        <f t="shared" si="6"/>
        <v>3.2268518516502809E-2</v>
      </c>
      <c r="M101" s="11">
        <f t="shared" si="7"/>
        <v>0</v>
      </c>
      <c r="N101" s="11">
        <f t="shared" si="8"/>
        <v>8.1018518540076911E-4</v>
      </c>
      <c r="O101" s="11">
        <f t="shared" si="9"/>
        <v>3.5138888895744458E-2</v>
      </c>
    </row>
    <row r="102" spans="1:15" x14ac:dyDescent="0.25">
      <c r="A102" s="3" t="s">
        <v>596</v>
      </c>
      <c r="B102" s="3" t="s">
        <v>595</v>
      </c>
      <c r="C102" s="9">
        <v>408.98000000000008</v>
      </c>
      <c r="D102" s="3" t="s">
        <v>3198</v>
      </c>
      <c r="E102" s="10">
        <v>45666.323449074072</v>
      </c>
      <c r="F102" s="10">
        <v>45666.32508101852</v>
      </c>
      <c r="G102" s="10">
        <v>45666.39607638889</v>
      </c>
      <c r="H102" s="10">
        <v>45666.39607638889</v>
      </c>
      <c r="I102" s="10">
        <v>45666.39607638889</v>
      </c>
      <c r="J102" s="10">
        <v>45666.397569444453</v>
      </c>
      <c r="K102" s="11">
        <f t="shared" si="5"/>
        <v>1.6319444475811906E-3</v>
      </c>
      <c r="L102" s="11">
        <f t="shared" si="6"/>
        <v>7.0995370369928423E-2</v>
      </c>
      <c r="M102" s="11">
        <f t="shared" si="7"/>
        <v>0</v>
      </c>
      <c r="N102" s="11">
        <f t="shared" si="8"/>
        <v>1.49305556260515E-3</v>
      </c>
      <c r="O102" s="11">
        <f t="shared" si="9"/>
        <v>7.4120370380114764E-2</v>
      </c>
    </row>
    <row r="103" spans="1:15" x14ac:dyDescent="0.25">
      <c r="A103" s="3" t="s">
        <v>1085</v>
      </c>
      <c r="B103" s="3" t="s">
        <v>506</v>
      </c>
      <c r="C103" s="9">
        <v>133.41999999999999</v>
      </c>
      <c r="D103" s="3" t="s">
        <v>3202</v>
      </c>
      <c r="E103" s="10">
        <v>45666.327210648153</v>
      </c>
      <c r="F103" s="10">
        <v>45666.331979166673</v>
      </c>
      <c r="G103" s="10">
        <v>45666.355150462958</v>
      </c>
      <c r="H103" s="10">
        <v>45666.355150462958</v>
      </c>
      <c r="I103" s="10">
        <v>45666.355150462958</v>
      </c>
      <c r="J103" s="10">
        <v>45666.355937499997</v>
      </c>
      <c r="K103" s="11">
        <f t="shared" si="5"/>
        <v>4.7685185199952684E-3</v>
      </c>
      <c r="L103" s="11">
        <f t="shared" si="6"/>
        <v>2.3171296284999698E-2</v>
      </c>
      <c r="M103" s="11">
        <f t="shared" si="7"/>
        <v>0</v>
      </c>
      <c r="N103" s="11">
        <f t="shared" si="8"/>
        <v>7.8703703911742195E-4</v>
      </c>
      <c r="O103" s="11">
        <f t="shared" si="9"/>
        <v>2.8726851844112389E-2</v>
      </c>
    </row>
    <row r="104" spans="1:15" x14ac:dyDescent="0.25">
      <c r="A104" s="3" t="s">
        <v>1012</v>
      </c>
      <c r="B104" s="3" t="s">
        <v>539</v>
      </c>
      <c r="C104" s="9">
        <v>119.4</v>
      </c>
      <c r="D104" s="3" t="s">
        <v>3195</v>
      </c>
      <c r="E104" s="10">
        <v>45666.330567129633</v>
      </c>
      <c r="F104" s="10">
        <v>45666.332303240742</v>
      </c>
      <c r="G104" s="10">
        <v>45666.353032407409</v>
      </c>
      <c r="H104" s="10">
        <v>45666.353032407409</v>
      </c>
      <c r="I104" s="10">
        <v>45666.353032407409</v>
      </c>
      <c r="J104" s="10">
        <v>45666.353900462957</v>
      </c>
      <c r="K104" s="11">
        <f t="shared" si="5"/>
        <v>1.7361111094942316E-3</v>
      </c>
      <c r="L104" s="11">
        <f t="shared" si="6"/>
        <v>2.0729166666569654E-2</v>
      </c>
      <c r="M104" s="11">
        <f t="shared" si="7"/>
        <v>0</v>
      </c>
      <c r="N104" s="11">
        <f t="shared" si="8"/>
        <v>8.6805554747115821E-4</v>
      </c>
      <c r="O104" s="11">
        <f t="shared" si="9"/>
        <v>2.3333333323535044E-2</v>
      </c>
    </row>
    <row r="105" spans="1:15" x14ac:dyDescent="0.25">
      <c r="A105" s="3" t="s">
        <v>1170</v>
      </c>
      <c r="B105" s="3" t="s">
        <v>500</v>
      </c>
      <c r="C105" s="9">
        <v>381.56000000000012</v>
      </c>
      <c r="D105" s="3" t="s">
        <v>3197</v>
      </c>
      <c r="E105" s="10">
        <v>45666.356296296297</v>
      </c>
      <c r="F105" s="10">
        <v>45666.357141203713</v>
      </c>
      <c r="G105" s="10">
        <v>45666.423379629632</v>
      </c>
      <c r="H105" s="10">
        <v>45666.423379629632</v>
      </c>
      <c r="I105" s="10">
        <v>45666.423379629632</v>
      </c>
      <c r="J105" s="10">
        <v>45666.424814814818</v>
      </c>
      <c r="K105" s="11">
        <f t="shared" si="5"/>
        <v>8.4490741573972628E-4</v>
      </c>
      <c r="L105" s="11">
        <f t="shared" si="6"/>
        <v>6.623842591943685E-2</v>
      </c>
      <c r="M105" s="11">
        <f t="shared" si="7"/>
        <v>0</v>
      </c>
      <c r="N105" s="11">
        <f t="shared" si="8"/>
        <v>1.4351851859828457E-3</v>
      </c>
      <c r="O105" s="11">
        <f t="shared" si="9"/>
        <v>6.8518518521159422E-2</v>
      </c>
    </row>
    <row r="106" spans="1:15" x14ac:dyDescent="0.25">
      <c r="A106" s="3" t="s">
        <v>1173</v>
      </c>
      <c r="B106" s="3" t="s">
        <v>500</v>
      </c>
      <c r="C106" s="9">
        <v>118.2</v>
      </c>
      <c r="D106" s="3" t="s">
        <v>3195</v>
      </c>
      <c r="E106" s="10">
        <v>45666.379131944443</v>
      </c>
      <c r="F106" s="10">
        <v>45666.384837962964</v>
      </c>
      <c r="G106" s="10">
        <v>45666.405358796299</v>
      </c>
      <c r="H106" s="10">
        <v>45666.405358796299</v>
      </c>
      <c r="I106" s="10">
        <v>45666.405358796299</v>
      </c>
      <c r="J106" s="10">
        <v>45666.406226851846</v>
      </c>
      <c r="K106" s="11">
        <f t="shared" si="5"/>
        <v>5.7060185208683833E-3</v>
      </c>
      <c r="L106" s="11">
        <f t="shared" si="6"/>
        <v>2.0520833335467614E-2</v>
      </c>
      <c r="M106" s="11">
        <f t="shared" si="7"/>
        <v>0</v>
      </c>
      <c r="N106" s="11">
        <f t="shared" si="8"/>
        <v>8.6805554747115821E-4</v>
      </c>
      <c r="O106" s="11">
        <f t="shared" si="9"/>
        <v>2.7094907403807156E-2</v>
      </c>
    </row>
    <row r="107" spans="1:15" x14ac:dyDescent="0.25">
      <c r="A107" s="3" t="s">
        <v>1054</v>
      </c>
      <c r="B107" s="3" t="s">
        <v>572</v>
      </c>
      <c r="C107" s="9">
        <v>264.8</v>
      </c>
      <c r="D107" s="3" t="s">
        <v>3199</v>
      </c>
      <c r="E107" s="10">
        <v>45666.383101851847</v>
      </c>
      <c r="F107" s="10">
        <v>45666.39775462963</v>
      </c>
      <c r="G107" s="10">
        <v>45666.443726851852</v>
      </c>
      <c r="H107" s="10">
        <v>45666.443726851852</v>
      </c>
      <c r="I107" s="10">
        <v>45666.443726851852</v>
      </c>
      <c r="J107" s="10">
        <v>45666.444733796299</v>
      </c>
      <c r="K107" s="11">
        <f t="shared" si="5"/>
        <v>1.4652777783339843E-2</v>
      </c>
      <c r="L107" s="11">
        <f t="shared" si="6"/>
        <v>4.5972222222189885E-2</v>
      </c>
      <c r="M107" s="11">
        <f t="shared" si="7"/>
        <v>0</v>
      </c>
      <c r="N107" s="11">
        <f t="shared" si="8"/>
        <v>1.006944446999114E-3</v>
      </c>
      <c r="O107" s="11">
        <f t="shared" si="9"/>
        <v>6.1631944452528842E-2</v>
      </c>
    </row>
    <row r="108" spans="1:15" x14ac:dyDescent="0.25">
      <c r="A108" s="3" t="s">
        <v>1181</v>
      </c>
      <c r="B108" s="3" t="s">
        <v>500</v>
      </c>
      <c r="C108" s="9">
        <v>414.67999999999989</v>
      </c>
      <c r="D108" s="3" t="s">
        <v>3195</v>
      </c>
      <c r="E108" s="10">
        <v>45666.46947916667</v>
      </c>
      <c r="F108" s="10">
        <v>45666.470324074071</v>
      </c>
      <c r="G108" s="10">
        <v>45666.542314814818</v>
      </c>
      <c r="H108" s="10">
        <v>45666.542314814818</v>
      </c>
      <c r="I108" s="10">
        <v>45666.542314814818</v>
      </c>
      <c r="J108" s="10">
        <v>45666.543865740743</v>
      </c>
      <c r="K108" s="11">
        <f t="shared" si="5"/>
        <v>8.4490740118781105E-4</v>
      </c>
      <c r="L108" s="11">
        <f t="shared" si="6"/>
        <v>7.1990740747423843E-2</v>
      </c>
      <c r="M108" s="11">
        <f t="shared" si="7"/>
        <v>0</v>
      </c>
      <c r="N108" s="11">
        <f t="shared" si="8"/>
        <v>1.5509259246755391E-3</v>
      </c>
      <c r="O108" s="11">
        <f t="shared" si="9"/>
        <v>7.4386574073287193E-2</v>
      </c>
    </row>
    <row r="109" spans="1:15" x14ac:dyDescent="0.25">
      <c r="A109" s="3" t="s">
        <v>1184</v>
      </c>
      <c r="B109" s="3" t="s">
        <v>500</v>
      </c>
      <c r="C109" s="9">
        <v>241.38</v>
      </c>
      <c r="D109" s="3" t="s">
        <v>3195</v>
      </c>
      <c r="E109" s="10">
        <v>45666.618923611109</v>
      </c>
      <c r="F109" s="10">
        <v>45666.619791666657</v>
      </c>
      <c r="G109" s="10">
        <v>45666.66170138889</v>
      </c>
      <c r="H109" s="10">
        <v>45666.66170138889</v>
      </c>
      <c r="I109" s="10">
        <v>45666.66170138889</v>
      </c>
      <c r="J109" s="10">
        <v>45666.662858796299</v>
      </c>
      <c r="K109" s="11">
        <f t="shared" si="5"/>
        <v>8.6805554747115821E-4</v>
      </c>
      <c r="L109" s="11">
        <f t="shared" si="6"/>
        <v>4.1909722232958302E-2</v>
      </c>
      <c r="M109" s="11">
        <f t="shared" si="7"/>
        <v>0</v>
      </c>
      <c r="N109" s="11">
        <f t="shared" si="8"/>
        <v>1.157407408754807E-3</v>
      </c>
      <c r="O109" s="11">
        <f t="shared" si="9"/>
        <v>4.3935185189184267E-2</v>
      </c>
    </row>
    <row r="110" spans="1:15" x14ac:dyDescent="0.25">
      <c r="A110" s="3" t="s">
        <v>1144</v>
      </c>
      <c r="B110" s="3" t="s">
        <v>519</v>
      </c>
      <c r="C110" s="9">
        <v>117</v>
      </c>
      <c r="D110" s="3" t="s">
        <v>3194</v>
      </c>
      <c r="E110" s="10">
        <v>45666.644768518519</v>
      </c>
      <c r="F110" s="10">
        <v>45666.645613425928</v>
      </c>
      <c r="G110" s="10">
        <v>45666.665925925918</v>
      </c>
      <c r="H110" s="10">
        <v>45666.665925925918</v>
      </c>
      <c r="I110" s="10">
        <v>45666.665925925918</v>
      </c>
      <c r="J110" s="10">
        <v>45666.66673611111</v>
      </c>
      <c r="K110" s="11">
        <f t="shared" si="5"/>
        <v>8.4490740846376866E-4</v>
      </c>
      <c r="L110" s="11">
        <f t="shared" si="6"/>
        <v>2.0312499989813659E-2</v>
      </c>
      <c r="M110" s="11">
        <f t="shared" si="7"/>
        <v>0</v>
      </c>
      <c r="N110" s="11">
        <f t="shared" si="8"/>
        <v>8.1018519267672673E-4</v>
      </c>
      <c r="O110" s="11">
        <f t="shared" si="9"/>
        <v>2.1967592590954155E-2</v>
      </c>
    </row>
    <row r="111" spans="1:15" x14ac:dyDescent="0.25">
      <c r="A111" s="3" t="s">
        <v>1165</v>
      </c>
      <c r="B111" s="3" t="s">
        <v>506</v>
      </c>
      <c r="C111" s="9">
        <v>131.94</v>
      </c>
      <c r="D111" s="3" t="s">
        <v>3202</v>
      </c>
      <c r="E111" s="10">
        <v>45666.647696759261</v>
      </c>
      <c r="F111" s="10">
        <v>45666.653657407413</v>
      </c>
      <c r="G111" s="10">
        <v>45666.676562499997</v>
      </c>
      <c r="H111" s="10">
        <v>45666.676562499997</v>
      </c>
      <c r="I111" s="10">
        <v>45666.676562499997</v>
      </c>
      <c r="J111" s="10">
        <v>45666.677349537043</v>
      </c>
      <c r="K111" s="11">
        <f t="shared" si="5"/>
        <v>5.9606481518130749E-3</v>
      </c>
      <c r="L111" s="11">
        <f t="shared" si="6"/>
        <v>2.2905092584551312E-2</v>
      </c>
      <c r="M111" s="11">
        <f t="shared" si="7"/>
        <v>0</v>
      </c>
      <c r="N111" s="11">
        <f t="shared" si="8"/>
        <v>7.8703704639337957E-4</v>
      </c>
      <c r="O111" s="11">
        <f t="shared" si="9"/>
        <v>2.9652777782757767E-2</v>
      </c>
    </row>
    <row r="112" spans="1:15" x14ac:dyDescent="0.25">
      <c r="A112" s="3" t="s">
        <v>1152</v>
      </c>
      <c r="B112" s="3" t="s">
        <v>533</v>
      </c>
      <c r="C112" s="9">
        <v>173.14</v>
      </c>
      <c r="D112" s="3" t="s">
        <v>3203</v>
      </c>
      <c r="E112" s="10">
        <v>45666.65053240741</v>
      </c>
      <c r="F112" s="10">
        <v>45666.666608796288</v>
      </c>
      <c r="G112" s="10">
        <v>45666.696666666663</v>
      </c>
      <c r="H112" s="10">
        <v>45666.696666666663</v>
      </c>
      <c r="I112" s="10">
        <v>45666.696666666663</v>
      </c>
      <c r="J112" s="10">
        <v>45666.697534722232</v>
      </c>
      <c r="K112" s="11">
        <f t="shared" si="5"/>
        <v>1.6076388877991121E-2</v>
      </c>
      <c r="L112" s="11">
        <f t="shared" si="6"/>
        <v>3.0057870375458151E-2</v>
      </c>
      <c r="M112" s="11">
        <f t="shared" si="7"/>
        <v>0</v>
      </c>
      <c r="N112" s="11">
        <f t="shared" si="8"/>
        <v>8.6805556929903105E-4</v>
      </c>
      <c r="O112" s="11">
        <f t="shared" si="9"/>
        <v>4.7002314822748303E-2</v>
      </c>
    </row>
    <row r="113" spans="1:15" x14ac:dyDescent="0.25">
      <c r="A113" s="3" t="s">
        <v>1198</v>
      </c>
      <c r="B113" s="3" t="s">
        <v>500</v>
      </c>
      <c r="C113" s="9">
        <v>314.80000000000013</v>
      </c>
      <c r="D113" s="3" t="s">
        <v>3198</v>
      </c>
      <c r="E113" s="10">
        <v>45666.664907407408</v>
      </c>
      <c r="F113" s="10">
        <v>45666.667615740742</v>
      </c>
      <c r="G113" s="10">
        <v>45666.722268518519</v>
      </c>
      <c r="H113" s="10">
        <v>45666.722268518519</v>
      </c>
      <c r="I113" s="10">
        <v>45666.722268518519</v>
      </c>
      <c r="J113" s="10">
        <v>45666.723541666674</v>
      </c>
      <c r="K113" s="11">
        <f t="shared" si="5"/>
        <v>2.7083333334303461E-3</v>
      </c>
      <c r="L113" s="11">
        <f t="shared" si="6"/>
        <v>5.4652777776937E-2</v>
      </c>
      <c r="M113" s="11">
        <f t="shared" si="7"/>
        <v>0</v>
      </c>
      <c r="N113" s="11">
        <f t="shared" si="8"/>
        <v>1.273148154723458E-3</v>
      </c>
      <c r="O113" s="11">
        <f t="shared" si="9"/>
        <v>5.8634259265090805E-2</v>
      </c>
    </row>
    <row r="114" spans="1:15" x14ac:dyDescent="0.25">
      <c r="A114" s="3" t="s">
        <v>1207</v>
      </c>
      <c r="B114" s="3" t="s">
        <v>506</v>
      </c>
      <c r="C114" s="9">
        <v>116.94</v>
      </c>
      <c r="D114" s="3" t="s">
        <v>3203</v>
      </c>
      <c r="E114" s="10">
        <v>45666.764826388891</v>
      </c>
      <c r="F114" s="10">
        <v>45666.7656712963</v>
      </c>
      <c r="G114" s="10">
        <v>45666.78597222222</v>
      </c>
      <c r="H114" s="10">
        <v>45666.78597222222</v>
      </c>
      <c r="I114" s="10">
        <v>45666.78597222222</v>
      </c>
      <c r="J114" s="10">
        <v>45666.78670138889</v>
      </c>
      <c r="K114" s="11">
        <f t="shared" si="5"/>
        <v>8.4490740846376866E-4</v>
      </c>
      <c r="L114" s="11">
        <f t="shared" si="6"/>
        <v>2.0300925920309965E-2</v>
      </c>
      <c r="M114" s="11">
        <f t="shared" si="7"/>
        <v>0</v>
      </c>
      <c r="N114" s="11">
        <f t="shared" si="8"/>
        <v>7.2916666977107525E-4</v>
      </c>
      <c r="O114" s="11">
        <f t="shared" si="9"/>
        <v>2.1874999998544808E-2</v>
      </c>
    </row>
    <row r="115" spans="1:15" x14ac:dyDescent="0.25">
      <c r="A115" s="3" t="s">
        <v>1189</v>
      </c>
      <c r="B115" s="3" t="s">
        <v>515</v>
      </c>
      <c r="C115" s="9">
        <v>154.13999999999999</v>
      </c>
      <c r="D115" s="3" t="s">
        <v>3197</v>
      </c>
      <c r="E115" s="10">
        <v>45666.768067129633</v>
      </c>
      <c r="F115" s="10">
        <v>45666.769699074073</v>
      </c>
      <c r="G115" s="10">
        <v>45666.796458333331</v>
      </c>
      <c r="H115" s="10">
        <v>45666.796458333331</v>
      </c>
      <c r="I115" s="10">
        <v>45666.796458333331</v>
      </c>
      <c r="J115" s="10">
        <v>45666.797361111108</v>
      </c>
      <c r="K115" s="11">
        <f t="shared" si="5"/>
        <v>1.631944440305233E-3</v>
      </c>
      <c r="L115" s="11">
        <f t="shared" si="6"/>
        <v>2.675925925723277E-2</v>
      </c>
      <c r="M115" s="11">
        <f t="shared" si="7"/>
        <v>0</v>
      </c>
      <c r="N115" s="11">
        <f t="shared" si="8"/>
        <v>9.0277777781011537E-4</v>
      </c>
      <c r="O115" s="11">
        <f t="shared" si="9"/>
        <v>2.9293981475348119E-2</v>
      </c>
    </row>
    <row r="116" spans="1:15" x14ac:dyDescent="0.25">
      <c r="A116" s="3" t="s">
        <v>1131</v>
      </c>
      <c r="B116" s="3" t="s">
        <v>488</v>
      </c>
      <c r="C116" s="9">
        <v>107.7</v>
      </c>
      <c r="D116" s="3" t="s">
        <v>3193</v>
      </c>
      <c r="E116" s="10">
        <v>45666.769699074073</v>
      </c>
      <c r="F116" s="10">
        <v>45666.790810185194</v>
      </c>
      <c r="G116" s="10">
        <v>45666.809513888889</v>
      </c>
      <c r="H116" s="10">
        <v>45666.809513888889</v>
      </c>
      <c r="I116" s="10">
        <v>45666.809513888889</v>
      </c>
      <c r="J116" s="10">
        <v>45666.810185185182</v>
      </c>
      <c r="K116" s="11">
        <f t="shared" si="5"/>
        <v>2.1111111120262649E-2</v>
      </c>
      <c r="L116" s="11">
        <f t="shared" si="6"/>
        <v>1.8703703695791773E-2</v>
      </c>
      <c r="M116" s="11">
        <f t="shared" si="7"/>
        <v>0</v>
      </c>
      <c r="N116" s="11">
        <f t="shared" si="8"/>
        <v>6.7129629314877093E-4</v>
      </c>
      <c r="O116" s="11">
        <f t="shared" si="9"/>
        <v>4.0486111109203193E-2</v>
      </c>
    </row>
    <row r="117" spans="1:15" x14ac:dyDescent="0.25">
      <c r="A117" s="3" t="s">
        <v>655</v>
      </c>
      <c r="B117" s="3" t="s">
        <v>654</v>
      </c>
      <c r="C117" s="9">
        <v>110.18</v>
      </c>
      <c r="D117" s="3" t="s">
        <v>3200</v>
      </c>
      <c r="E117" s="10">
        <v>45666.779282407413</v>
      </c>
      <c r="F117" s="10">
        <v>45666.797094907408</v>
      </c>
      <c r="G117" s="10">
        <v>45666.81622685185</v>
      </c>
      <c r="H117" s="10">
        <v>45666.81622685185</v>
      </c>
      <c r="I117" s="10">
        <v>45666.816678240742</v>
      </c>
      <c r="J117" s="10">
        <v>45666.817453703698</v>
      </c>
      <c r="K117" s="11">
        <f t="shared" si="5"/>
        <v>1.7812499994761311E-2</v>
      </c>
      <c r="L117" s="11">
        <f t="shared" si="6"/>
        <v>1.9131944442051463E-2</v>
      </c>
      <c r="M117" s="11">
        <f t="shared" si="7"/>
        <v>4.5138889254303649E-4</v>
      </c>
      <c r="N117" s="11">
        <f t="shared" si="8"/>
        <v>7.7546295506181195E-4</v>
      </c>
      <c r="O117" s="11">
        <f t="shared" si="9"/>
        <v>3.8171296284417622E-2</v>
      </c>
    </row>
    <row r="118" spans="1:15" x14ac:dyDescent="0.25">
      <c r="A118" s="3" t="s">
        <v>1034</v>
      </c>
      <c r="B118" s="3" t="s">
        <v>1033</v>
      </c>
      <c r="C118" s="9">
        <v>101.94</v>
      </c>
      <c r="D118" s="3" t="s">
        <v>3206</v>
      </c>
      <c r="E118" s="10">
        <v>45666.784074074072</v>
      </c>
      <c r="F118" s="10">
        <v>45666.798148148147</v>
      </c>
      <c r="G118" s="10">
        <v>45666.815844907411</v>
      </c>
      <c r="H118" s="10">
        <v>45666.815844907411</v>
      </c>
      <c r="I118" s="10">
        <v>45666.815844907411</v>
      </c>
      <c r="J118" s="10">
        <v>45666.816678240742</v>
      </c>
      <c r="K118" s="11">
        <f t="shared" si="5"/>
        <v>1.4074074075324461E-2</v>
      </c>
      <c r="L118" s="11">
        <f t="shared" si="6"/>
        <v>1.7696759263344575E-2</v>
      </c>
      <c r="M118" s="11">
        <f t="shared" si="7"/>
        <v>0</v>
      </c>
      <c r="N118" s="11">
        <f t="shared" si="8"/>
        <v>8.3333333168411627E-4</v>
      </c>
      <c r="O118" s="11">
        <f t="shared" si="9"/>
        <v>3.2604166670353152E-2</v>
      </c>
    </row>
    <row r="119" spans="1:15" x14ac:dyDescent="0.25">
      <c r="A119" s="3" t="s">
        <v>1214</v>
      </c>
      <c r="B119" s="3" t="s">
        <v>595</v>
      </c>
      <c r="C119" s="9">
        <v>120.7</v>
      </c>
      <c r="D119" s="3" t="s">
        <v>3198</v>
      </c>
      <c r="E119" s="10">
        <v>45666.790694444448</v>
      </c>
      <c r="F119" s="10">
        <v>45666.811249999999</v>
      </c>
      <c r="G119" s="10">
        <v>45666.832199074073</v>
      </c>
      <c r="H119" s="10">
        <v>45666.832199074073</v>
      </c>
      <c r="I119" s="10">
        <v>45666.832199074073</v>
      </c>
      <c r="J119" s="10">
        <v>45666.833020833343</v>
      </c>
      <c r="K119" s="11">
        <f t="shared" si="5"/>
        <v>2.0555555551254656E-2</v>
      </c>
      <c r="L119" s="11">
        <f t="shared" si="6"/>
        <v>2.0949074074451346E-2</v>
      </c>
      <c r="M119" s="11">
        <f t="shared" si="7"/>
        <v>0</v>
      </c>
      <c r="N119" s="11">
        <f t="shared" si="8"/>
        <v>8.2175926945637912E-4</v>
      </c>
      <c r="O119" s="11">
        <f t="shared" si="9"/>
        <v>4.2326388895162381E-2</v>
      </c>
    </row>
    <row r="120" spans="1:15" x14ac:dyDescent="0.25">
      <c r="A120" s="3" t="s">
        <v>1217</v>
      </c>
      <c r="B120" s="3" t="s">
        <v>519</v>
      </c>
      <c r="C120" s="9">
        <v>137.34</v>
      </c>
      <c r="D120" s="3" t="s">
        <v>3195</v>
      </c>
      <c r="E120" s="10">
        <v>45666.795428240737</v>
      </c>
      <c r="F120" s="10">
        <v>45666.817546296297</v>
      </c>
      <c r="G120" s="10">
        <v>45666.84138888889</v>
      </c>
      <c r="H120" s="10">
        <v>45666.84138888889</v>
      </c>
      <c r="I120" s="10">
        <v>45666.84138888889</v>
      </c>
      <c r="J120" s="10">
        <v>45666.842303240737</v>
      </c>
      <c r="K120" s="11">
        <f t="shared" si="5"/>
        <v>2.2118055559985805E-2</v>
      </c>
      <c r="L120" s="11">
        <f t="shared" si="6"/>
        <v>2.3842592592700385E-2</v>
      </c>
      <c r="M120" s="11">
        <f t="shared" si="7"/>
        <v>0</v>
      </c>
      <c r="N120" s="11">
        <f t="shared" si="8"/>
        <v>9.1435184731381014E-4</v>
      </c>
      <c r="O120" s="11">
        <f t="shared" si="9"/>
        <v>4.6875E-2</v>
      </c>
    </row>
    <row r="121" spans="1:15" x14ac:dyDescent="0.25">
      <c r="A121" s="3" t="s">
        <v>1134</v>
      </c>
      <c r="B121" s="3" t="s">
        <v>563</v>
      </c>
      <c r="C121" s="9">
        <v>122.66</v>
      </c>
      <c r="D121" s="3" t="s">
        <v>3204</v>
      </c>
      <c r="E121" s="10">
        <v>45666.863680555558</v>
      </c>
      <c r="F121" s="10">
        <v>45666.864548611113</v>
      </c>
      <c r="G121" s="10">
        <v>45666.885844907411</v>
      </c>
      <c r="H121" s="10">
        <v>45666.885844907411</v>
      </c>
      <c r="I121" s="10">
        <v>45666.885844907411</v>
      </c>
      <c r="J121" s="10">
        <v>45666.886631944442</v>
      </c>
      <c r="K121" s="11">
        <f t="shared" si="5"/>
        <v>8.6805555474711582E-4</v>
      </c>
      <c r="L121" s="11">
        <f t="shared" si="6"/>
        <v>2.1296296297805384E-2</v>
      </c>
      <c r="M121" s="11">
        <f t="shared" si="7"/>
        <v>0</v>
      </c>
      <c r="N121" s="11">
        <f t="shared" si="8"/>
        <v>7.8703703184146434E-4</v>
      </c>
      <c r="O121" s="11">
        <f t="shared" si="9"/>
        <v>2.2951388884393964E-2</v>
      </c>
    </row>
    <row r="122" spans="1:15" x14ac:dyDescent="0.25">
      <c r="A122" s="3" t="s">
        <v>1230</v>
      </c>
      <c r="B122" s="3" t="s">
        <v>515</v>
      </c>
      <c r="C122" s="9">
        <v>126</v>
      </c>
      <c r="D122" s="3" t="s">
        <v>3196</v>
      </c>
      <c r="E122" s="10">
        <v>45666.867650462962</v>
      </c>
      <c r="F122" s="10">
        <v>45666.868483796286</v>
      </c>
      <c r="G122" s="10">
        <v>45666.8903587963</v>
      </c>
      <c r="H122" s="10">
        <v>45666.8903587963</v>
      </c>
      <c r="I122" s="10">
        <v>45666.8903587963</v>
      </c>
      <c r="J122" s="10">
        <v>45666.891030092593</v>
      </c>
      <c r="K122" s="11">
        <f t="shared" si="5"/>
        <v>8.3333332440815866E-4</v>
      </c>
      <c r="L122" s="11">
        <f t="shared" si="6"/>
        <v>2.1875000013096724E-2</v>
      </c>
      <c r="M122" s="11">
        <f t="shared" si="7"/>
        <v>0</v>
      </c>
      <c r="N122" s="11">
        <f t="shared" si="8"/>
        <v>6.7129629314877093E-4</v>
      </c>
      <c r="O122" s="11">
        <f t="shared" si="9"/>
        <v>2.3379629630653653E-2</v>
      </c>
    </row>
    <row r="123" spans="1:15" x14ac:dyDescent="0.25">
      <c r="A123" s="3" t="s">
        <v>1225</v>
      </c>
      <c r="B123" s="3" t="s">
        <v>488</v>
      </c>
      <c r="C123" s="9">
        <v>222.2</v>
      </c>
      <c r="D123" s="3" t="s">
        <v>3194</v>
      </c>
      <c r="E123" s="10">
        <v>45667.133842592593</v>
      </c>
      <c r="F123" s="10">
        <v>45667.134687500002</v>
      </c>
      <c r="G123" s="10">
        <v>45667.173263888893</v>
      </c>
      <c r="H123" s="10">
        <v>45667.173263888893</v>
      </c>
      <c r="I123" s="10">
        <v>45667.173263888893</v>
      </c>
      <c r="J123" s="10">
        <v>45667.174317129633</v>
      </c>
      <c r="K123" s="11">
        <f t="shared" si="5"/>
        <v>8.4490740846376866E-4</v>
      </c>
      <c r="L123" s="11">
        <f t="shared" si="6"/>
        <v>3.8576388891669922E-2</v>
      </c>
      <c r="M123" s="11">
        <f t="shared" si="7"/>
        <v>0</v>
      </c>
      <c r="N123" s="11">
        <f t="shared" si="8"/>
        <v>1.0532407395658083E-3</v>
      </c>
      <c r="O123" s="11">
        <f t="shared" si="9"/>
        <v>4.0474537039699499E-2</v>
      </c>
    </row>
    <row r="124" spans="1:15" x14ac:dyDescent="0.25">
      <c r="A124" s="3" t="s">
        <v>1020</v>
      </c>
      <c r="B124" s="3" t="s">
        <v>484</v>
      </c>
      <c r="C124" s="9">
        <v>130.16</v>
      </c>
      <c r="D124" s="3" t="s">
        <v>3201</v>
      </c>
      <c r="E124" s="10">
        <v>45667.135671296302</v>
      </c>
      <c r="F124" s="10">
        <v>45667.13653935185</v>
      </c>
      <c r="G124" s="10">
        <v>45667.159131944441</v>
      </c>
      <c r="H124" s="10">
        <v>45667.159131944441</v>
      </c>
      <c r="I124" s="10">
        <v>45667.159131944441</v>
      </c>
      <c r="J124" s="10">
        <v>45667.15997685185</v>
      </c>
      <c r="K124" s="11">
        <f t="shared" si="5"/>
        <v>8.6805554747115821E-4</v>
      </c>
      <c r="L124" s="11">
        <f t="shared" si="6"/>
        <v>2.2592592591536231E-2</v>
      </c>
      <c r="M124" s="11">
        <f t="shared" si="7"/>
        <v>0</v>
      </c>
      <c r="N124" s="11">
        <f t="shared" si="8"/>
        <v>8.4490740846376866E-4</v>
      </c>
      <c r="O124" s="11">
        <f t="shared" si="9"/>
        <v>2.4305555547471158E-2</v>
      </c>
    </row>
    <row r="125" spans="1:15" x14ac:dyDescent="0.25">
      <c r="A125" s="3" t="s">
        <v>1252</v>
      </c>
      <c r="B125" s="3" t="s">
        <v>519</v>
      </c>
      <c r="C125" s="9">
        <v>240.5</v>
      </c>
      <c r="D125" s="3" t="s">
        <v>3203</v>
      </c>
      <c r="E125" s="10">
        <v>45667.201990740738</v>
      </c>
      <c r="F125" s="10">
        <v>45667.2028587963</v>
      </c>
      <c r="G125" s="10">
        <v>45667.244606481479</v>
      </c>
      <c r="H125" s="10">
        <v>45667.244606481479</v>
      </c>
      <c r="I125" s="10">
        <v>45667.244606481479</v>
      </c>
      <c r="J125" s="10">
        <v>45667.245625000003</v>
      </c>
      <c r="K125" s="11">
        <f t="shared" si="5"/>
        <v>8.6805556202307343E-4</v>
      </c>
      <c r="L125" s="11">
        <f t="shared" si="6"/>
        <v>4.1747685179871041E-2</v>
      </c>
      <c r="M125" s="11">
        <f t="shared" si="7"/>
        <v>0</v>
      </c>
      <c r="N125" s="11">
        <f t="shared" si="8"/>
        <v>1.0185185237787664E-3</v>
      </c>
      <c r="O125" s="11">
        <f t="shared" si="9"/>
        <v>4.3634259265672881E-2</v>
      </c>
    </row>
    <row r="126" spans="1:15" x14ac:dyDescent="0.25">
      <c r="A126" s="3" t="s">
        <v>1222</v>
      </c>
      <c r="B126" s="3" t="s">
        <v>500</v>
      </c>
      <c r="C126" s="9">
        <v>345.22</v>
      </c>
      <c r="D126" s="3" t="s">
        <v>3202</v>
      </c>
      <c r="E126" s="10">
        <v>45667.254652777781</v>
      </c>
      <c r="F126" s="10">
        <v>45667.255497685182</v>
      </c>
      <c r="G126" s="10">
        <v>45667.315428240741</v>
      </c>
      <c r="H126" s="10">
        <v>45667.315428240741</v>
      </c>
      <c r="I126" s="10">
        <v>45667.315428240741</v>
      </c>
      <c r="J126" s="10">
        <v>45667.316712962973</v>
      </c>
      <c r="K126" s="11">
        <f t="shared" si="5"/>
        <v>8.4490740118781105E-4</v>
      </c>
      <c r="L126" s="11">
        <f t="shared" si="6"/>
        <v>5.9930555558821652E-2</v>
      </c>
      <c r="M126" s="11">
        <f t="shared" si="7"/>
        <v>0</v>
      </c>
      <c r="N126" s="11">
        <f t="shared" si="8"/>
        <v>1.2847222315031104E-3</v>
      </c>
      <c r="O126" s="11">
        <f t="shared" si="9"/>
        <v>6.2060185191512574E-2</v>
      </c>
    </row>
    <row r="127" spans="1:15" x14ac:dyDescent="0.25">
      <c r="A127" s="3" t="s">
        <v>1241</v>
      </c>
      <c r="B127" s="3" t="s">
        <v>527</v>
      </c>
      <c r="C127" s="9">
        <v>152.91999999999999</v>
      </c>
      <c r="D127" s="3" t="s">
        <v>3193</v>
      </c>
      <c r="E127" s="10">
        <v>45667.303541666668</v>
      </c>
      <c r="F127" s="10">
        <v>45667.305277777778</v>
      </c>
      <c r="G127" s="10">
        <v>45667.331817129627</v>
      </c>
      <c r="H127" s="10">
        <v>45667.331817129627</v>
      </c>
      <c r="I127" s="10">
        <v>45667.331817129627</v>
      </c>
      <c r="J127" s="10">
        <v>45667.332604166673</v>
      </c>
      <c r="K127" s="11">
        <f t="shared" si="5"/>
        <v>1.7361111094942316E-3</v>
      </c>
      <c r="L127" s="11">
        <f t="shared" si="6"/>
        <v>2.6539351849351078E-2</v>
      </c>
      <c r="M127" s="11">
        <f t="shared" si="7"/>
        <v>0</v>
      </c>
      <c r="N127" s="11">
        <f t="shared" si="8"/>
        <v>7.8703704639337957E-4</v>
      </c>
      <c r="O127" s="11">
        <f t="shared" si="9"/>
        <v>2.9062500005238689E-2</v>
      </c>
    </row>
    <row r="128" spans="1:15" x14ac:dyDescent="0.25">
      <c r="A128" s="3" t="s">
        <v>1257</v>
      </c>
      <c r="B128" s="3" t="s">
        <v>506</v>
      </c>
      <c r="C128" s="9">
        <v>186.66</v>
      </c>
      <c r="D128" s="3" t="s">
        <v>3195</v>
      </c>
      <c r="E128" s="10">
        <v>45667.305520833332</v>
      </c>
      <c r="F128" s="10">
        <v>45667.315300925933</v>
      </c>
      <c r="G128" s="10">
        <v>45667.347696759258</v>
      </c>
      <c r="H128" s="10">
        <v>45667.347696759258</v>
      </c>
      <c r="I128" s="10">
        <v>45667.347696759258</v>
      </c>
      <c r="J128" s="10">
        <v>45667.348726851851</v>
      </c>
      <c r="K128" s="11">
        <f t="shared" si="5"/>
        <v>9.7800926014315337E-3</v>
      </c>
      <c r="L128" s="11">
        <f t="shared" si="6"/>
        <v>3.2395833324699197E-2</v>
      </c>
      <c r="M128" s="11">
        <f t="shared" si="7"/>
        <v>0</v>
      </c>
      <c r="N128" s="11">
        <f t="shared" si="8"/>
        <v>1.0300925932824612E-3</v>
      </c>
      <c r="O128" s="11">
        <f t="shared" si="9"/>
        <v>4.3206018519413192E-2</v>
      </c>
    </row>
    <row r="129" spans="1:15" x14ac:dyDescent="0.25">
      <c r="A129" s="3" t="s">
        <v>1303</v>
      </c>
      <c r="B129" s="3" t="s">
        <v>500</v>
      </c>
      <c r="C129" s="9">
        <v>193.12</v>
      </c>
      <c r="D129" s="3" t="s">
        <v>3197</v>
      </c>
      <c r="E129" s="10">
        <v>45667.322187500002</v>
      </c>
      <c r="F129" s="10">
        <v>45667.323888888888</v>
      </c>
      <c r="G129" s="10">
        <v>45667.357418981483</v>
      </c>
      <c r="H129" s="10">
        <v>45667.357418981483</v>
      </c>
      <c r="I129" s="10">
        <v>45667.357418981483</v>
      </c>
      <c r="J129" s="10">
        <v>45667.358414351853</v>
      </c>
      <c r="K129" s="11">
        <f t="shared" si="5"/>
        <v>1.7013888864312321E-3</v>
      </c>
      <c r="L129" s="11">
        <f t="shared" si="6"/>
        <v>3.3530092594446614E-2</v>
      </c>
      <c r="M129" s="11">
        <f t="shared" si="7"/>
        <v>0</v>
      </c>
      <c r="N129" s="11">
        <f t="shared" si="8"/>
        <v>9.9537037021946162E-4</v>
      </c>
      <c r="O129" s="11">
        <f t="shared" si="9"/>
        <v>3.6226851851097308E-2</v>
      </c>
    </row>
    <row r="130" spans="1:15" x14ac:dyDescent="0.25">
      <c r="A130" s="3" t="s">
        <v>1306</v>
      </c>
      <c r="B130" s="3" t="s">
        <v>500</v>
      </c>
      <c r="C130" s="9">
        <v>380.82000000000011</v>
      </c>
      <c r="D130" s="3" t="s">
        <v>3200</v>
      </c>
      <c r="E130" s="10">
        <v>45667.344108796293</v>
      </c>
      <c r="F130" s="10">
        <v>45667.34584490741</v>
      </c>
      <c r="G130" s="10">
        <v>45667.411956018521</v>
      </c>
      <c r="H130" s="10">
        <v>45667.411956018521</v>
      </c>
      <c r="I130" s="10">
        <v>45667.411956018521</v>
      </c>
      <c r="J130" s="10">
        <v>45667.413344907407</v>
      </c>
      <c r="K130" s="11">
        <f t="shared" ref="K130:K193" si="10">IF(AND(ISNUMBER(E130),ISNUMBER(F130)),(F130-E130),"")</f>
        <v>1.7361111167701893E-3</v>
      </c>
      <c r="L130" s="11">
        <f t="shared" ref="L130:L193" si="11">IF(AND(ISNUMBER(F130),ISNUMBER(G130)),(G130-F130),"")</f>
        <v>6.6111111111240461E-2</v>
      </c>
      <c r="M130" s="11">
        <f t="shared" ref="M130:M193" si="12">IF(AND(ISNUMBER(H130),ISNUMBER(I130)),(I130-H130),"")</f>
        <v>0</v>
      </c>
      <c r="N130" s="11">
        <f t="shared" ref="N130:N193" si="13">IF(AND(ISNUMBER(I130),ISNUMBER(J130)),(J130-I130),"")</f>
        <v>1.3888888861401938E-3</v>
      </c>
      <c r="O130" s="11">
        <f t="shared" ref="O130:O193" si="14">IF(AND(ISNUMBER(E130),ISNUMBER(J130)),(J130-E130),"")</f>
        <v>6.9236111114150845E-2</v>
      </c>
    </row>
    <row r="131" spans="1:15" x14ac:dyDescent="0.25">
      <c r="A131" s="3" t="s">
        <v>1178</v>
      </c>
      <c r="B131" s="3" t="s">
        <v>572</v>
      </c>
      <c r="C131" s="9">
        <v>137.19999999999999</v>
      </c>
      <c r="D131" s="3" t="s">
        <v>3199</v>
      </c>
      <c r="E131" s="10">
        <v>45667.390416666669</v>
      </c>
      <c r="F131" s="10">
        <v>45667.391284722216</v>
      </c>
      <c r="G131" s="10">
        <v>45667.41510416667</v>
      </c>
      <c r="H131" s="10">
        <v>45667.41510416667</v>
      </c>
      <c r="I131" s="10">
        <v>45667.41510416667</v>
      </c>
      <c r="J131" s="10">
        <v>45667.415821759263</v>
      </c>
      <c r="K131" s="11">
        <f t="shared" si="10"/>
        <v>8.6805554747115821E-4</v>
      </c>
      <c r="L131" s="11">
        <f t="shared" si="11"/>
        <v>2.3819444453692995E-2</v>
      </c>
      <c r="M131" s="11">
        <f t="shared" si="12"/>
        <v>0</v>
      </c>
      <c r="N131" s="11">
        <f t="shared" si="13"/>
        <v>7.1759259299142286E-4</v>
      </c>
      <c r="O131" s="11">
        <f t="shared" si="14"/>
        <v>2.5405092594155576E-2</v>
      </c>
    </row>
    <row r="132" spans="1:15" x14ac:dyDescent="0.25">
      <c r="A132" s="3" t="s">
        <v>1338</v>
      </c>
      <c r="B132" s="3" t="s">
        <v>500</v>
      </c>
      <c r="C132" s="9">
        <v>168.8</v>
      </c>
      <c r="D132" s="3" t="s">
        <v>3202</v>
      </c>
      <c r="E132" s="10">
        <v>45667.392326388886</v>
      </c>
      <c r="F132" s="10">
        <v>45667.41369212963</v>
      </c>
      <c r="G132" s="10">
        <v>45667.442997685182</v>
      </c>
      <c r="H132" s="10">
        <v>45667.442997685182</v>
      </c>
      <c r="I132" s="10">
        <v>45667.442997685182</v>
      </c>
      <c r="J132" s="10">
        <v>45667.443865740737</v>
      </c>
      <c r="K132" s="11">
        <f t="shared" si="10"/>
        <v>2.1365740743931383E-2</v>
      </c>
      <c r="L132" s="11">
        <f t="shared" si="11"/>
        <v>2.9305555552127771E-2</v>
      </c>
      <c r="M132" s="11">
        <f t="shared" si="12"/>
        <v>0</v>
      </c>
      <c r="N132" s="11">
        <f t="shared" si="13"/>
        <v>8.6805555474711582E-4</v>
      </c>
      <c r="O132" s="11">
        <f t="shared" si="14"/>
        <v>5.153935185080627E-2</v>
      </c>
    </row>
    <row r="133" spans="1:15" x14ac:dyDescent="0.25">
      <c r="A133" s="3" t="s">
        <v>1311</v>
      </c>
      <c r="B133" s="3" t="s">
        <v>533</v>
      </c>
      <c r="C133" s="9">
        <v>141.66</v>
      </c>
      <c r="D133" s="3" t="s">
        <v>3193</v>
      </c>
      <c r="E133" s="10">
        <v>45667.395543981482</v>
      </c>
      <c r="F133" s="10">
        <v>45667.416666666657</v>
      </c>
      <c r="G133" s="10">
        <v>45667.441261574073</v>
      </c>
      <c r="H133" s="10">
        <v>45667.441261574073</v>
      </c>
      <c r="I133" s="10">
        <v>45667.441307870373</v>
      </c>
      <c r="J133" s="10">
        <v>45667.442060185182</v>
      </c>
      <c r="K133" s="11">
        <f t="shared" si="10"/>
        <v>2.1122685175214428E-2</v>
      </c>
      <c r="L133" s="11">
        <f t="shared" si="11"/>
        <v>2.4594907416030765E-2</v>
      </c>
      <c r="M133" s="11">
        <f t="shared" si="12"/>
        <v>4.6296299842651933E-5</v>
      </c>
      <c r="N133" s="11">
        <f t="shared" si="13"/>
        <v>7.5231480877846479E-4</v>
      </c>
      <c r="O133" s="11">
        <f t="shared" si="14"/>
        <v>4.651620369986631E-2</v>
      </c>
    </row>
    <row r="134" spans="1:15" x14ac:dyDescent="0.25">
      <c r="A134" s="3" t="s">
        <v>1295</v>
      </c>
      <c r="B134" s="3" t="s">
        <v>515</v>
      </c>
      <c r="C134" s="9">
        <v>129.34</v>
      </c>
      <c r="D134" s="3" t="s">
        <v>3195</v>
      </c>
      <c r="E134" s="10">
        <v>45667.405162037037</v>
      </c>
      <c r="F134" s="10">
        <v>45667.417951388888</v>
      </c>
      <c r="G134" s="10">
        <v>45667.440405092602</v>
      </c>
      <c r="H134" s="10">
        <v>45667.440405092602</v>
      </c>
      <c r="I134" s="10">
        <v>45667.440405092602</v>
      </c>
      <c r="J134" s="10">
        <v>45667.441307870373</v>
      </c>
      <c r="K134" s="11">
        <f t="shared" si="10"/>
        <v>1.2789351851097308E-2</v>
      </c>
      <c r="L134" s="11">
        <f t="shared" si="11"/>
        <v>2.2453703713836148E-2</v>
      </c>
      <c r="M134" s="11">
        <f t="shared" si="12"/>
        <v>0</v>
      </c>
      <c r="N134" s="11">
        <f t="shared" si="13"/>
        <v>9.0277777053415775E-4</v>
      </c>
      <c r="O134" s="11">
        <f t="shared" si="14"/>
        <v>3.6145833335467614E-2</v>
      </c>
    </row>
    <row r="135" spans="1:15" x14ac:dyDescent="0.25">
      <c r="A135" s="3" t="s">
        <v>1281</v>
      </c>
      <c r="B135" s="3" t="s">
        <v>563</v>
      </c>
      <c r="C135" s="9">
        <v>114.8</v>
      </c>
      <c r="D135" s="3" t="s">
        <v>3204</v>
      </c>
      <c r="E135" s="10">
        <v>45667.412488425929</v>
      </c>
      <c r="F135" s="10">
        <v>45667.44290509259</v>
      </c>
      <c r="G135" s="10">
        <v>45667.462835648148</v>
      </c>
      <c r="H135" s="10">
        <v>45667.462835648148</v>
      </c>
      <c r="I135" s="10">
        <v>45667.462835648148</v>
      </c>
      <c r="J135" s="10">
        <v>45667.463599537034</v>
      </c>
      <c r="K135" s="11">
        <f t="shared" si="10"/>
        <v>3.0416666661039926E-2</v>
      </c>
      <c r="L135" s="11">
        <f t="shared" si="11"/>
        <v>1.9930555557948537E-2</v>
      </c>
      <c r="M135" s="11">
        <f t="shared" si="12"/>
        <v>0</v>
      </c>
      <c r="N135" s="11">
        <f t="shared" si="13"/>
        <v>7.6388888555811718E-4</v>
      </c>
      <c r="O135" s="11">
        <f t="shared" si="14"/>
        <v>5.111111110454658E-2</v>
      </c>
    </row>
    <row r="136" spans="1:15" x14ac:dyDescent="0.25">
      <c r="A136" s="3" t="s">
        <v>1321</v>
      </c>
      <c r="B136" s="3" t="s">
        <v>500</v>
      </c>
      <c r="C136" s="9">
        <v>259.66000000000003</v>
      </c>
      <c r="D136" s="3" t="s">
        <v>3199</v>
      </c>
      <c r="E136" s="10">
        <v>45667.443622685183</v>
      </c>
      <c r="F136" s="10">
        <v>45667.444664351853</v>
      </c>
      <c r="G136" s="10">
        <v>45667.489745370367</v>
      </c>
      <c r="H136" s="10">
        <v>45667.489745370367</v>
      </c>
      <c r="I136" s="10">
        <v>45667.489745370367</v>
      </c>
      <c r="J136" s="10">
        <v>45667.490740740737</v>
      </c>
      <c r="K136" s="11">
        <f t="shared" si="10"/>
        <v>1.0416666700621136E-3</v>
      </c>
      <c r="L136" s="11">
        <f t="shared" si="11"/>
        <v>4.5081018513883464E-2</v>
      </c>
      <c r="M136" s="11">
        <f t="shared" si="12"/>
        <v>0</v>
      </c>
      <c r="N136" s="11">
        <f t="shared" si="13"/>
        <v>9.9537037021946162E-4</v>
      </c>
      <c r="O136" s="11">
        <f t="shared" si="14"/>
        <v>4.7118055554165039E-2</v>
      </c>
    </row>
    <row r="137" spans="1:15" x14ac:dyDescent="0.25">
      <c r="A137" s="3" t="s">
        <v>1318</v>
      </c>
      <c r="B137" s="3" t="s">
        <v>500</v>
      </c>
      <c r="C137" s="9">
        <v>118.58</v>
      </c>
      <c r="D137" s="3" t="s">
        <v>3193</v>
      </c>
      <c r="E137" s="10">
        <v>45667.601921296293</v>
      </c>
      <c r="F137" s="10">
        <v>45667.602789351848</v>
      </c>
      <c r="G137" s="10">
        <v>45667.623379629629</v>
      </c>
      <c r="H137" s="10">
        <v>45667.623379629629</v>
      </c>
      <c r="I137" s="10">
        <v>45667.623379629629</v>
      </c>
      <c r="J137" s="10">
        <v>45667.624085648153</v>
      </c>
      <c r="K137" s="11">
        <f t="shared" si="10"/>
        <v>8.6805555474711582E-4</v>
      </c>
      <c r="L137" s="11">
        <f t="shared" si="11"/>
        <v>2.0590277781593613E-2</v>
      </c>
      <c r="M137" s="11">
        <f t="shared" si="12"/>
        <v>0</v>
      </c>
      <c r="N137" s="11">
        <f t="shared" si="13"/>
        <v>7.0601852348772809E-4</v>
      </c>
      <c r="O137" s="11">
        <f t="shared" si="14"/>
        <v>2.2164351859828457E-2</v>
      </c>
    </row>
    <row r="138" spans="1:15" x14ac:dyDescent="0.25">
      <c r="A138" s="3" t="s">
        <v>1351</v>
      </c>
      <c r="B138" s="3" t="s">
        <v>500</v>
      </c>
      <c r="C138" s="9">
        <v>393.50000000000011</v>
      </c>
      <c r="D138" s="3" t="s">
        <v>3199</v>
      </c>
      <c r="E138" s="10">
        <v>45667.631712962961</v>
      </c>
      <c r="F138" s="10">
        <v>45667.6325462963</v>
      </c>
      <c r="G138" s="10">
        <v>45667.700868055559</v>
      </c>
      <c r="H138" s="10">
        <v>45667.700868055559</v>
      </c>
      <c r="I138" s="10">
        <v>45667.700868055559</v>
      </c>
      <c r="J138" s="10">
        <v>45667.702164351853</v>
      </c>
      <c r="K138" s="11">
        <f t="shared" si="10"/>
        <v>8.3333333896007389E-4</v>
      </c>
      <c r="L138" s="11">
        <f t="shared" si="11"/>
        <v>6.8321759259561077E-2</v>
      </c>
      <c r="M138" s="11">
        <f t="shared" si="12"/>
        <v>0</v>
      </c>
      <c r="N138" s="11">
        <f t="shared" si="13"/>
        <v>1.2962962937308475E-3</v>
      </c>
      <c r="O138" s="11">
        <f t="shared" si="14"/>
        <v>7.0451388892251998E-2</v>
      </c>
    </row>
    <row r="139" spans="1:15" x14ac:dyDescent="0.25">
      <c r="A139" s="3" t="s">
        <v>1354</v>
      </c>
      <c r="B139" s="3" t="s">
        <v>500</v>
      </c>
      <c r="C139" s="9">
        <v>302.12000000000012</v>
      </c>
      <c r="D139" s="3" t="s">
        <v>3193</v>
      </c>
      <c r="E139" s="10">
        <v>45667.741041666668</v>
      </c>
      <c r="F139" s="10">
        <v>45667.741909722223</v>
      </c>
      <c r="G139" s="10">
        <v>45667.794363425928</v>
      </c>
      <c r="H139" s="10">
        <v>45667.794363425928</v>
      </c>
      <c r="I139" s="10">
        <v>45667.794363425928</v>
      </c>
      <c r="J139" s="10">
        <v>45667.795497685183</v>
      </c>
      <c r="K139" s="11">
        <f t="shared" si="10"/>
        <v>8.6805555474711582E-4</v>
      </c>
      <c r="L139" s="11">
        <f t="shared" si="11"/>
        <v>5.2453703705396038E-2</v>
      </c>
      <c r="M139" s="11">
        <f t="shared" si="12"/>
        <v>0</v>
      </c>
      <c r="N139" s="11">
        <f t="shared" si="13"/>
        <v>1.1342592551955022E-3</v>
      </c>
      <c r="O139" s="11">
        <f t="shared" si="14"/>
        <v>5.4456018515338656E-2</v>
      </c>
    </row>
    <row r="140" spans="1:15" x14ac:dyDescent="0.25">
      <c r="A140" s="3" t="s">
        <v>1359</v>
      </c>
      <c r="B140" s="3" t="s">
        <v>506</v>
      </c>
      <c r="C140" s="9">
        <v>218.14</v>
      </c>
      <c r="D140" s="3" t="s">
        <v>3199</v>
      </c>
      <c r="E140" s="10">
        <v>45667.764930555553</v>
      </c>
      <c r="F140" s="10">
        <v>45667.766018518523</v>
      </c>
      <c r="G140" s="10">
        <v>45667.803888888891</v>
      </c>
      <c r="H140" s="10">
        <v>45667.803888888891</v>
      </c>
      <c r="I140" s="10">
        <v>45667.803888888891</v>
      </c>
      <c r="J140" s="10">
        <v>45667.804780092592</v>
      </c>
      <c r="K140" s="11">
        <f t="shared" si="10"/>
        <v>1.0879629699047655E-3</v>
      </c>
      <c r="L140" s="11">
        <f t="shared" si="11"/>
        <v>3.7870370368182193E-2</v>
      </c>
      <c r="M140" s="11">
        <f t="shared" si="12"/>
        <v>0</v>
      </c>
      <c r="N140" s="11">
        <f t="shared" si="13"/>
        <v>8.9120370103046298E-4</v>
      </c>
      <c r="O140" s="11">
        <f t="shared" si="14"/>
        <v>3.9849537039117422E-2</v>
      </c>
    </row>
    <row r="141" spans="1:15" x14ac:dyDescent="0.25">
      <c r="A141" s="3" t="s">
        <v>1362</v>
      </c>
      <c r="B141" s="3" t="s">
        <v>515</v>
      </c>
      <c r="C141" s="9">
        <v>110.18</v>
      </c>
      <c r="D141" s="3" t="s">
        <v>3195</v>
      </c>
      <c r="E141" s="10">
        <v>45667.772245370368</v>
      </c>
      <c r="F141" s="10">
        <v>45667.787939814807</v>
      </c>
      <c r="G141" s="10">
        <v>45667.807071759264</v>
      </c>
      <c r="H141" s="10">
        <v>45667.807071759264</v>
      </c>
      <c r="I141" s="10">
        <v>45667.807071759264</v>
      </c>
      <c r="J141" s="10">
        <v>45667.807928240742</v>
      </c>
      <c r="K141" s="11">
        <f t="shared" si="10"/>
        <v>1.5694444438850041E-2</v>
      </c>
      <c r="L141" s="11">
        <f t="shared" si="11"/>
        <v>1.9131944456603378E-2</v>
      </c>
      <c r="M141" s="11">
        <f t="shared" si="12"/>
        <v>0</v>
      </c>
      <c r="N141" s="11">
        <f t="shared" si="13"/>
        <v>8.5648147796746343E-4</v>
      </c>
      <c r="O141" s="11">
        <f t="shared" si="14"/>
        <v>3.5682870373420883E-2</v>
      </c>
    </row>
    <row r="142" spans="1:15" x14ac:dyDescent="0.25">
      <c r="A142" s="3" t="s">
        <v>1333</v>
      </c>
      <c r="B142" s="3" t="s">
        <v>539</v>
      </c>
      <c r="C142" s="9">
        <v>133.4</v>
      </c>
      <c r="D142" s="3" t="s">
        <v>3198</v>
      </c>
      <c r="E142" s="10">
        <v>45667.777002314811</v>
      </c>
      <c r="F142" s="10">
        <v>45667.796099537038</v>
      </c>
      <c r="G142" s="10">
        <v>45667.81925925926</v>
      </c>
      <c r="H142" s="10">
        <v>45667.81925925926</v>
      </c>
      <c r="I142" s="10">
        <v>45667.81925925926</v>
      </c>
      <c r="J142" s="10">
        <v>45667.820104166669</v>
      </c>
      <c r="K142" s="11">
        <f t="shared" si="10"/>
        <v>1.9097222226264421E-2</v>
      </c>
      <c r="L142" s="11">
        <f t="shared" si="11"/>
        <v>2.3159722222771961E-2</v>
      </c>
      <c r="M142" s="11">
        <f t="shared" si="12"/>
        <v>0</v>
      </c>
      <c r="N142" s="11">
        <f t="shared" si="13"/>
        <v>8.4490740846376866E-4</v>
      </c>
      <c r="O142" s="11">
        <f t="shared" si="14"/>
        <v>4.3101851857500151E-2</v>
      </c>
    </row>
    <row r="143" spans="1:15" x14ac:dyDescent="0.25">
      <c r="A143" s="3" t="s">
        <v>1328</v>
      </c>
      <c r="B143" s="3" t="s">
        <v>488</v>
      </c>
      <c r="C143" s="9">
        <v>142.6</v>
      </c>
      <c r="D143" s="3" t="s">
        <v>3197</v>
      </c>
      <c r="E143" s="10">
        <v>45667.78633101852</v>
      </c>
      <c r="F143" s="10">
        <v>45667.805625000001</v>
      </c>
      <c r="G143" s="10">
        <v>45667.830381944441</v>
      </c>
      <c r="H143" s="10">
        <v>45667.830381944441</v>
      </c>
      <c r="I143" s="10">
        <v>45667.830381944441</v>
      </c>
      <c r="J143" s="10">
        <v>45667.831261574072</v>
      </c>
      <c r="K143" s="11">
        <f t="shared" si="10"/>
        <v>1.9293981480586808E-2</v>
      </c>
      <c r="L143" s="11">
        <f t="shared" si="11"/>
        <v>2.4756944440014195E-2</v>
      </c>
      <c r="M143" s="11">
        <f t="shared" si="12"/>
        <v>0</v>
      </c>
      <c r="N143" s="11">
        <f t="shared" si="13"/>
        <v>8.7962963152676821E-4</v>
      </c>
      <c r="O143" s="11">
        <f t="shared" si="14"/>
        <v>4.4930555552127771E-2</v>
      </c>
    </row>
    <row r="144" spans="1:15" x14ac:dyDescent="0.25">
      <c r="A144" s="3" t="s">
        <v>1381</v>
      </c>
      <c r="B144" s="3" t="s">
        <v>506</v>
      </c>
      <c r="C144" s="9">
        <v>112.46</v>
      </c>
      <c r="D144" s="3" t="s">
        <v>3193</v>
      </c>
      <c r="E144" s="10">
        <v>45667.868784722217</v>
      </c>
      <c r="F144" s="10">
        <v>45667.869652777779</v>
      </c>
      <c r="G144" s="10">
        <v>45667.889178240737</v>
      </c>
      <c r="H144" s="10">
        <v>45667.889178240737</v>
      </c>
      <c r="I144" s="10">
        <v>45667.889178240737</v>
      </c>
      <c r="J144" s="10">
        <v>45667.889872685177</v>
      </c>
      <c r="K144" s="11">
        <f t="shared" si="10"/>
        <v>8.6805556202307343E-4</v>
      </c>
      <c r="L144" s="11">
        <f t="shared" si="11"/>
        <v>1.9525462957972195E-2</v>
      </c>
      <c r="M144" s="11">
        <f t="shared" si="12"/>
        <v>0</v>
      </c>
      <c r="N144" s="11">
        <f t="shared" si="13"/>
        <v>6.9444443943211809E-4</v>
      </c>
      <c r="O144" s="11">
        <f t="shared" si="14"/>
        <v>2.1087962959427387E-2</v>
      </c>
    </row>
    <row r="145" spans="1:15" x14ac:dyDescent="0.25">
      <c r="A145" s="3" t="s">
        <v>1298</v>
      </c>
      <c r="B145" s="3" t="s">
        <v>484</v>
      </c>
      <c r="C145" s="9">
        <v>114.42</v>
      </c>
      <c r="D145" s="3" t="s">
        <v>3201</v>
      </c>
      <c r="E145" s="10">
        <v>45667.870625000003</v>
      </c>
      <c r="F145" s="10">
        <v>45667.872361111113</v>
      </c>
      <c r="G145" s="10">
        <v>45667.892222222217</v>
      </c>
      <c r="H145" s="10">
        <v>45667.892222222217</v>
      </c>
      <c r="I145" s="10">
        <v>45667.892222222217</v>
      </c>
      <c r="J145" s="10">
        <v>45667.89303240741</v>
      </c>
      <c r="K145" s="11">
        <f t="shared" si="10"/>
        <v>1.7361111094942316E-3</v>
      </c>
      <c r="L145" s="11">
        <f t="shared" si="11"/>
        <v>1.986111110454658E-2</v>
      </c>
      <c r="M145" s="11">
        <f t="shared" si="12"/>
        <v>0</v>
      </c>
      <c r="N145" s="11">
        <f t="shared" si="13"/>
        <v>8.1018519267672673E-4</v>
      </c>
      <c r="O145" s="11">
        <f t="shared" si="14"/>
        <v>2.2407407406717539E-2</v>
      </c>
    </row>
    <row r="146" spans="1:15" x14ac:dyDescent="0.25">
      <c r="A146" s="3" t="s">
        <v>1403</v>
      </c>
      <c r="B146" s="3" t="s">
        <v>533</v>
      </c>
      <c r="C146" s="9">
        <v>110.18</v>
      </c>
      <c r="D146" s="3" t="s">
        <v>3197</v>
      </c>
      <c r="E146" s="10">
        <v>45668.22388888889</v>
      </c>
      <c r="F146" s="10">
        <v>45668.224733796298</v>
      </c>
      <c r="G146" s="10">
        <v>45668.243854166663</v>
      </c>
      <c r="H146" s="10">
        <v>45668.243854166663</v>
      </c>
      <c r="I146" s="10">
        <v>45668.243854166663</v>
      </c>
      <c r="J146" s="10">
        <v>45668.244664351849</v>
      </c>
      <c r="K146" s="11">
        <f t="shared" si="10"/>
        <v>8.4490740846376866E-4</v>
      </c>
      <c r="L146" s="11">
        <f t="shared" si="11"/>
        <v>1.912037036527181E-2</v>
      </c>
      <c r="M146" s="11">
        <f t="shared" si="12"/>
        <v>0</v>
      </c>
      <c r="N146" s="11">
        <f t="shared" si="13"/>
        <v>8.1018518540076911E-4</v>
      </c>
      <c r="O146" s="11">
        <f t="shared" si="14"/>
        <v>2.0775462959136348E-2</v>
      </c>
    </row>
    <row r="147" spans="1:15" x14ac:dyDescent="0.25">
      <c r="A147" s="3" t="s">
        <v>1410</v>
      </c>
      <c r="B147" s="3" t="s">
        <v>506</v>
      </c>
      <c r="C147" s="9">
        <v>302.86</v>
      </c>
      <c r="D147" s="3" t="s">
        <v>3193</v>
      </c>
      <c r="E147" s="10">
        <v>45668.2262962963</v>
      </c>
      <c r="F147" s="10">
        <v>45668.227164351847</v>
      </c>
      <c r="G147" s="10">
        <v>45668.279745370368</v>
      </c>
      <c r="H147" s="10">
        <v>45668.279745370368</v>
      </c>
      <c r="I147" s="10">
        <v>45668.279745370368</v>
      </c>
      <c r="J147" s="10">
        <v>45668.280868055554</v>
      </c>
      <c r="K147" s="11">
        <f t="shared" si="10"/>
        <v>8.6805554747115821E-4</v>
      </c>
      <c r="L147" s="11">
        <f t="shared" si="11"/>
        <v>5.2581018520868383E-2</v>
      </c>
      <c r="M147" s="11">
        <f t="shared" si="12"/>
        <v>0</v>
      </c>
      <c r="N147" s="11">
        <f t="shared" si="13"/>
        <v>1.1226851856918074E-3</v>
      </c>
      <c r="O147" s="11">
        <f t="shared" si="14"/>
        <v>5.4571759254031349E-2</v>
      </c>
    </row>
    <row r="148" spans="1:15" x14ac:dyDescent="0.25">
      <c r="A148" s="3" t="s">
        <v>1415</v>
      </c>
      <c r="B148" s="3" t="s">
        <v>533</v>
      </c>
      <c r="C148" s="9">
        <v>110.18</v>
      </c>
      <c r="D148" s="3" t="s">
        <v>3201</v>
      </c>
      <c r="E148" s="10">
        <v>45668.247407407413</v>
      </c>
      <c r="F148" s="10">
        <v>45668.248819444438</v>
      </c>
      <c r="G148" s="10">
        <v>45668.267951388887</v>
      </c>
      <c r="H148" s="10">
        <v>45668.267951388887</v>
      </c>
      <c r="I148" s="10">
        <v>45668.267951388887</v>
      </c>
      <c r="J148" s="10">
        <v>45668.268738425933</v>
      </c>
      <c r="K148" s="11">
        <f t="shared" si="10"/>
        <v>1.4120370251475833E-3</v>
      </c>
      <c r="L148" s="11">
        <f t="shared" si="11"/>
        <v>1.913194444932742E-2</v>
      </c>
      <c r="M148" s="11">
        <f t="shared" si="12"/>
        <v>0</v>
      </c>
      <c r="N148" s="11">
        <f t="shared" si="13"/>
        <v>7.8703704639337957E-4</v>
      </c>
      <c r="O148" s="11">
        <f t="shared" si="14"/>
        <v>2.1331018520868383E-2</v>
      </c>
    </row>
    <row r="149" spans="1:15" x14ac:dyDescent="0.25">
      <c r="A149" s="3" t="s">
        <v>1418</v>
      </c>
      <c r="B149" s="3" t="s">
        <v>506</v>
      </c>
      <c r="C149" s="9">
        <v>210.64</v>
      </c>
      <c r="D149" s="3" t="s">
        <v>3202</v>
      </c>
      <c r="E149" s="10">
        <v>45668.249444444453</v>
      </c>
      <c r="F149" s="10">
        <v>45668.254305555558</v>
      </c>
      <c r="G149" s="10">
        <v>45668.290879629632</v>
      </c>
      <c r="H149" s="10">
        <v>45668.290879629632</v>
      </c>
      <c r="I149" s="10">
        <v>45668.290879629632</v>
      </c>
      <c r="J149" s="10">
        <v>45668.291851851849</v>
      </c>
      <c r="K149" s="11">
        <f t="shared" si="10"/>
        <v>4.8611111051286571E-3</v>
      </c>
      <c r="L149" s="11">
        <f t="shared" si="11"/>
        <v>3.6574074074451346E-2</v>
      </c>
      <c r="M149" s="11">
        <f t="shared" si="12"/>
        <v>0</v>
      </c>
      <c r="N149" s="11">
        <f t="shared" si="13"/>
        <v>9.7222221666015685E-4</v>
      </c>
      <c r="O149" s="11">
        <f t="shared" si="14"/>
        <v>4.240740739624016E-2</v>
      </c>
    </row>
    <row r="150" spans="1:15" x14ac:dyDescent="0.25">
      <c r="A150" s="3" t="s">
        <v>1365</v>
      </c>
      <c r="B150" s="3" t="s">
        <v>519</v>
      </c>
      <c r="C150" s="9">
        <v>268.2</v>
      </c>
      <c r="D150" s="3" t="s">
        <v>3204</v>
      </c>
      <c r="E150" s="10">
        <v>45669.756030092591</v>
      </c>
      <c r="F150" s="10">
        <v>45669.756898148153</v>
      </c>
      <c r="G150" s="10">
        <v>45669.803460648152</v>
      </c>
      <c r="H150" s="10">
        <v>45669.803460648152</v>
      </c>
      <c r="I150" s="10">
        <v>45669.803460648152</v>
      </c>
      <c r="J150" s="10">
        <v>45669.804583333331</v>
      </c>
      <c r="K150" s="11">
        <f t="shared" si="10"/>
        <v>8.6805556202307343E-4</v>
      </c>
      <c r="L150" s="11">
        <f t="shared" si="11"/>
        <v>4.6562499999708962E-2</v>
      </c>
      <c r="M150" s="11">
        <f t="shared" si="12"/>
        <v>0</v>
      </c>
      <c r="N150" s="11">
        <f t="shared" si="13"/>
        <v>1.1226851784158498E-3</v>
      </c>
      <c r="O150" s="11">
        <f t="shared" si="14"/>
        <v>4.8553240740147885E-2</v>
      </c>
    </row>
    <row r="151" spans="1:15" x14ac:dyDescent="0.25">
      <c r="A151" s="3" t="s">
        <v>1425</v>
      </c>
      <c r="B151" s="3" t="s">
        <v>506</v>
      </c>
      <c r="C151" s="9">
        <v>349.34</v>
      </c>
      <c r="D151" s="3" t="s">
        <v>3193</v>
      </c>
      <c r="E151" s="10">
        <v>45669.756493055553</v>
      </c>
      <c r="F151" s="10">
        <v>45669.7577662037</v>
      </c>
      <c r="G151" s="10">
        <v>45669.818414351852</v>
      </c>
      <c r="H151" s="10">
        <v>45669.818414351852</v>
      </c>
      <c r="I151" s="10">
        <v>45669.818414351852</v>
      </c>
      <c r="J151" s="10">
        <v>45669.819652777784</v>
      </c>
      <c r="K151" s="11">
        <f t="shared" si="10"/>
        <v>1.2731481474475004E-3</v>
      </c>
      <c r="L151" s="11">
        <f t="shared" si="11"/>
        <v>6.0648148151813075E-2</v>
      </c>
      <c r="M151" s="11">
        <f t="shared" si="12"/>
        <v>0</v>
      </c>
      <c r="N151" s="11">
        <f t="shared" si="13"/>
        <v>1.2384259316604584E-3</v>
      </c>
      <c r="O151" s="11">
        <f t="shared" si="14"/>
        <v>6.3159722230921034E-2</v>
      </c>
    </row>
    <row r="152" spans="1:15" x14ac:dyDescent="0.25">
      <c r="A152" s="3" t="s">
        <v>1431</v>
      </c>
      <c r="B152" s="3" t="s">
        <v>519</v>
      </c>
      <c r="C152" s="9">
        <v>106.9</v>
      </c>
      <c r="D152" s="3" t="s">
        <v>3193</v>
      </c>
      <c r="E152" s="10">
        <v>45669.847129629627</v>
      </c>
      <c r="F152" s="10">
        <v>45669.847997685189</v>
      </c>
      <c r="G152" s="10">
        <v>45669.866550925923</v>
      </c>
      <c r="H152" s="10">
        <v>45669.866550925923</v>
      </c>
      <c r="I152" s="10">
        <v>45669.866550925923</v>
      </c>
      <c r="J152" s="10">
        <v>45669.8672337963</v>
      </c>
      <c r="K152" s="11">
        <f t="shared" si="10"/>
        <v>8.6805556202307343E-4</v>
      </c>
      <c r="L152" s="11">
        <f t="shared" si="11"/>
        <v>1.8553240734036081E-2</v>
      </c>
      <c r="M152" s="11">
        <f t="shared" si="12"/>
        <v>0</v>
      </c>
      <c r="N152" s="11">
        <f t="shared" si="13"/>
        <v>6.8287037720438093E-4</v>
      </c>
      <c r="O152" s="11">
        <f t="shared" si="14"/>
        <v>2.0104166673263535E-2</v>
      </c>
    </row>
    <row r="153" spans="1:15" x14ac:dyDescent="0.25">
      <c r="A153" s="3" t="s">
        <v>1434</v>
      </c>
      <c r="B153" s="3" t="s">
        <v>506</v>
      </c>
      <c r="C153" s="9">
        <v>101.2</v>
      </c>
      <c r="D153" s="3" t="s">
        <v>3204</v>
      </c>
      <c r="E153" s="10">
        <v>45669.849537037036</v>
      </c>
      <c r="F153" s="10">
        <v>45669.850324074083</v>
      </c>
      <c r="G153" s="10">
        <v>45669.867893518523</v>
      </c>
      <c r="H153" s="10">
        <v>45669.867893518523</v>
      </c>
      <c r="I153" s="10">
        <v>45669.867893518523</v>
      </c>
      <c r="J153" s="10">
        <v>45669.868634259263</v>
      </c>
      <c r="K153" s="11">
        <f t="shared" si="10"/>
        <v>7.8703704639337957E-4</v>
      </c>
      <c r="L153" s="11">
        <f t="shared" si="11"/>
        <v>1.7569444440596271E-2</v>
      </c>
      <c r="M153" s="11">
        <f t="shared" si="12"/>
        <v>0</v>
      </c>
      <c r="N153" s="11">
        <f t="shared" si="13"/>
        <v>7.4074073927477002E-4</v>
      </c>
      <c r="O153" s="11">
        <f t="shared" si="14"/>
        <v>1.9097222226264421E-2</v>
      </c>
    </row>
    <row r="154" spans="1:15" x14ac:dyDescent="0.25">
      <c r="A154" s="3" t="s">
        <v>1393</v>
      </c>
      <c r="B154" s="3" t="s">
        <v>488</v>
      </c>
      <c r="C154" s="9">
        <v>186.8</v>
      </c>
      <c r="D154" s="3" t="s">
        <v>3195</v>
      </c>
      <c r="E154" s="10">
        <v>45670.117569444446</v>
      </c>
      <c r="F154" s="10">
        <v>45670.118437500001</v>
      </c>
      <c r="G154" s="10">
        <v>45670.150868055563</v>
      </c>
      <c r="H154" s="10">
        <v>45670.150868055563</v>
      </c>
      <c r="I154" s="10">
        <v>45670.150868055563</v>
      </c>
      <c r="J154" s="10">
        <v>45670.151898148149</v>
      </c>
      <c r="K154" s="11">
        <f t="shared" si="10"/>
        <v>8.6805555474711582E-4</v>
      </c>
      <c r="L154" s="11">
        <f t="shared" si="11"/>
        <v>3.2430555562314112E-2</v>
      </c>
      <c r="M154" s="11">
        <f t="shared" si="12"/>
        <v>0</v>
      </c>
      <c r="N154" s="11">
        <f t="shared" si="13"/>
        <v>1.0300925860065036E-3</v>
      </c>
      <c r="O154" s="11">
        <f t="shared" si="14"/>
        <v>3.4328703703067731E-2</v>
      </c>
    </row>
    <row r="155" spans="1:15" x14ac:dyDescent="0.25">
      <c r="A155" s="3" t="s">
        <v>1442</v>
      </c>
      <c r="B155" s="3" t="s">
        <v>519</v>
      </c>
      <c r="C155" s="9">
        <v>301.2</v>
      </c>
      <c r="D155" s="3" t="s">
        <v>3204</v>
      </c>
      <c r="E155" s="10">
        <v>45670.199953703697</v>
      </c>
      <c r="F155" s="10">
        <v>45670.200798611113</v>
      </c>
      <c r="G155" s="10">
        <v>45670.25309027778</v>
      </c>
      <c r="H155" s="10">
        <v>45670.25309027778</v>
      </c>
      <c r="I155" s="10">
        <v>45670.25309027778</v>
      </c>
      <c r="J155" s="10">
        <v>45670.254293981481</v>
      </c>
      <c r="K155" s="11">
        <f t="shared" si="10"/>
        <v>8.4490741573972628E-4</v>
      </c>
      <c r="L155" s="11">
        <f t="shared" si="11"/>
        <v>5.2291666666860692E-2</v>
      </c>
      <c r="M155" s="11">
        <f t="shared" si="12"/>
        <v>0</v>
      </c>
      <c r="N155" s="11">
        <f t="shared" si="13"/>
        <v>1.2037037013215013E-3</v>
      </c>
      <c r="O155" s="11">
        <f t="shared" si="14"/>
        <v>5.434027778392192E-2</v>
      </c>
    </row>
    <row r="156" spans="1:15" x14ac:dyDescent="0.25">
      <c r="A156" s="3" t="s">
        <v>1445</v>
      </c>
      <c r="B156" s="3" t="s">
        <v>500</v>
      </c>
      <c r="C156" s="9">
        <v>298</v>
      </c>
      <c r="D156" s="3" t="s">
        <v>3204</v>
      </c>
      <c r="E156" s="10">
        <v>45670.266527777778</v>
      </c>
      <c r="F156" s="10">
        <v>45670.267395833333</v>
      </c>
      <c r="G156" s="10">
        <v>45670.319131944438</v>
      </c>
      <c r="H156" s="10">
        <v>45670.319131944438</v>
      </c>
      <c r="I156" s="10">
        <v>45670.319131944438</v>
      </c>
      <c r="J156" s="10">
        <v>45670.3203125</v>
      </c>
      <c r="K156" s="11">
        <f t="shared" si="10"/>
        <v>8.6805555474711582E-4</v>
      </c>
      <c r="L156" s="11">
        <f t="shared" si="11"/>
        <v>5.1736111105128657E-2</v>
      </c>
      <c r="M156" s="11">
        <f t="shared" si="12"/>
        <v>0</v>
      </c>
      <c r="N156" s="11">
        <f t="shared" si="13"/>
        <v>1.1805555623141117E-3</v>
      </c>
      <c r="O156" s="11">
        <f t="shared" si="14"/>
        <v>5.3784722222189885E-2</v>
      </c>
    </row>
    <row r="157" spans="1:15" x14ac:dyDescent="0.25">
      <c r="A157" s="3" t="s">
        <v>1448</v>
      </c>
      <c r="B157" s="3" t="s">
        <v>500</v>
      </c>
      <c r="C157" s="9">
        <v>205.52</v>
      </c>
      <c r="D157" s="3" t="s">
        <v>3195</v>
      </c>
      <c r="E157" s="10">
        <v>45670.304884259262</v>
      </c>
      <c r="F157" s="10">
        <v>45670.305717592593</v>
      </c>
      <c r="G157" s="10">
        <v>45670.341400462959</v>
      </c>
      <c r="H157" s="10">
        <v>45670.341400462959</v>
      </c>
      <c r="I157" s="10">
        <v>45670.341400462959</v>
      </c>
      <c r="J157" s="10">
        <v>45670.342465277783</v>
      </c>
      <c r="K157" s="11">
        <f t="shared" si="10"/>
        <v>8.3333333168411627E-4</v>
      </c>
      <c r="L157" s="11">
        <f t="shared" si="11"/>
        <v>3.5682870366144925E-2</v>
      </c>
      <c r="M157" s="11">
        <f t="shared" si="12"/>
        <v>0</v>
      </c>
      <c r="N157" s="11">
        <f t="shared" si="13"/>
        <v>1.0648148236214183E-3</v>
      </c>
      <c r="O157" s="11">
        <f t="shared" si="14"/>
        <v>3.758101852145046E-2</v>
      </c>
    </row>
    <row r="158" spans="1:15" x14ac:dyDescent="0.25">
      <c r="A158" s="3" t="s">
        <v>1451</v>
      </c>
      <c r="B158" s="3" t="s">
        <v>500</v>
      </c>
      <c r="C158" s="9">
        <v>397.30000000000013</v>
      </c>
      <c r="D158" s="3" t="s">
        <v>3197</v>
      </c>
      <c r="E158" s="10">
        <v>45670.315983796303</v>
      </c>
      <c r="F158" s="10">
        <v>45670.317627314813</v>
      </c>
      <c r="G158" s="10">
        <v>45670.386608796303</v>
      </c>
      <c r="H158" s="10">
        <v>45670.386608796303</v>
      </c>
      <c r="I158" s="10">
        <v>45670.386608796303</v>
      </c>
      <c r="J158" s="10">
        <v>45670.388067129628</v>
      </c>
      <c r="K158" s="11">
        <f t="shared" si="10"/>
        <v>1.6435185098089278E-3</v>
      </c>
      <c r="L158" s="11">
        <f t="shared" si="11"/>
        <v>6.8981481490482111E-2</v>
      </c>
      <c r="M158" s="11">
        <f t="shared" si="12"/>
        <v>0</v>
      </c>
      <c r="N158" s="11">
        <f t="shared" si="13"/>
        <v>1.4583333249902353E-3</v>
      </c>
      <c r="O158" s="11">
        <f t="shared" si="14"/>
        <v>7.2083333325281274E-2</v>
      </c>
    </row>
    <row r="159" spans="1:15" x14ac:dyDescent="0.25">
      <c r="A159" s="3" t="s">
        <v>1400</v>
      </c>
      <c r="B159" s="3" t="s">
        <v>527</v>
      </c>
      <c r="C159" s="9">
        <v>162</v>
      </c>
      <c r="D159" s="3" t="s">
        <v>3200</v>
      </c>
      <c r="E159" s="10">
        <v>45670.349606481483</v>
      </c>
      <c r="F159" s="10">
        <v>45670.353333333333</v>
      </c>
      <c r="G159" s="10">
        <v>45670.381458333337</v>
      </c>
      <c r="H159" s="10">
        <v>45670.381458333337</v>
      </c>
      <c r="I159" s="10">
        <v>45670.381458333337</v>
      </c>
      <c r="J159" s="10">
        <v>45670.382349537038</v>
      </c>
      <c r="K159" s="11">
        <f t="shared" si="10"/>
        <v>3.7268518499331549E-3</v>
      </c>
      <c r="L159" s="11">
        <f t="shared" si="11"/>
        <v>2.8125000004365575E-2</v>
      </c>
      <c r="M159" s="11">
        <f t="shared" si="12"/>
        <v>0</v>
      </c>
      <c r="N159" s="11">
        <f t="shared" si="13"/>
        <v>8.9120370103046298E-4</v>
      </c>
      <c r="O159" s="11">
        <f t="shared" si="14"/>
        <v>3.2743055555329192E-2</v>
      </c>
    </row>
    <row r="160" spans="1:15" x14ac:dyDescent="0.25">
      <c r="A160" s="3" t="s">
        <v>1486</v>
      </c>
      <c r="B160" s="3" t="s">
        <v>500</v>
      </c>
      <c r="C160" s="9">
        <v>279</v>
      </c>
      <c r="D160" s="3" t="s">
        <v>3204</v>
      </c>
      <c r="E160" s="10">
        <v>45670.390243055554</v>
      </c>
      <c r="F160" s="10">
        <v>45670.391111111108</v>
      </c>
      <c r="G160" s="10">
        <v>45670.43954861111</v>
      </c>
      <c r="H160" s="10">
        <v>45670.43954861111</v>
      </c>
      <c r="I160" s="10">
        <v>45670.43954861111</v>
      </c>
      <c r="J160" s="10">
        <v>45670.440694444442</v>
      </c>
      <c r="K160" s="11">
        <f t="shared" si="10"/>
        <v>8.6805555474711582E-4</v>
      </c>
      <c r="L160" s="11">
        <f t="shared" si="11"/>
        <v>4.8437500001455192E-2</v>
      </c>
      <c r="M160" s="11">
        <f t="shared" si="12"/>
        <v>0</v>
      </c>
      <c r="N160" s="11">
        <f t="shared" si="13"/>
        <v>1.1458333319751546E-3</v>
      </c>
      <c r="O160" s="11">
        <f t="shared" si="14"/>
        <v>5.0451388888177462E-2</v>
      </c>
    </row>
    <row r="161" spans="1:15" x14ac:dyDescent="0.25">
      <c r="A161" s="3" t="s">
        <v>1139</v>
      </c>
      <c r="B161" s="3" t="s">
        <v>492</v>
      </c>
      <c r="C161" s="9">
        <v>182.86</v>
      </c>
      <c r="D161" s="3" t="s">
        <v>3205</v>
      </c>
      <c r="E161" s="10">
        <v>45670.393287037034</v>
      </c>
      <c r="F161" s="10">
        <v>45670.394155092603</v>
      </c>
      <c r="G161" s="10">
        <v>45670.425902777781</v>
      </c>
      <c r="H161" s="10">
        <v>45670.425902777781</v>
      </c>
      <c r="I161" s="10">
        <v>45670.425902777781</v>
      </c>
      <c r="J161" s="10">
        <v>45670.426874999997</v>
      </c>
      <c r="K161" s="11">
        <f t="shared" si="10"/>
        <v>8.6805556929903105E-4</v>
      </c>
      <c r="L161" s="11">
        <f t="shared" si="11"/>
        <v>3.1747685177833773E-2</v>
      </c>
      <c r="M161" s="11">
        <f t="shared" si="12"/>
        <v>0</v>
      </c>
      <c r="N161" s="11">
        <f t="shared" si="13"/>
        <v>9.7222221666015685E-4</v>
      </c>
      <c r="O161" s="11">
        <f t="shared" si="14"/>
        <v>3.3587962963792961E-2</v>
      </c>
    </row>
    <row r="162" spans="1:15" x14ac:dyDescent="0.25">
      <c r="A162" s="3" t="s">
        <v>1290</v>
      </c>
      <c r="B162" s="3" t="s">
        <v>523</v>
      </c>
      <c r="C162" s="9">
        <v>100.6</v>
      </c>
      <c r="D162" s="3" t="s">
        <v>3203</v>
      </c>
      <c r="E162" s="10">
        <v>45670.401736111111</v>
      </c>
      <c r="F162" s="10">
        <v>45670.420092592591</v>
      </c>
      <c r="G162" s="10">
        <v>45670.437557870369</v>
      </c>
      <c r="H162" s="10">
        <v>45670.437557870369</v>
      </c>
      <c r="I162" s="10">
        <v>45670.437557870369</v>
      </c>
      <c r="J162" s="10">
        <v>45670.438252314823</v>
      </c>
      <c r="K162" s="11">
        <f t="shared" si="10"/>
        <v>1.8356481479713693E-2</v>
      </c>
      <c r="L162" s="11">
        <f t="shared" si="11"/>
        <v>1.746527777868323E-2</v>
      </c>
      <c r="M162" s="11">
        <f t="shared" si="12"/>
        <v>0</v>
      </c>
      <c r="N162" s="11">
        <f t="shared" si="13"/>
        <v>6.9444445398403332E-4</v>
      </c>
      <c r="O162" s="11">
        <f t="shared" si="14"/>
        <v>3.6516203712380957E-2</v>
      </c>
    </row>
    <row r="163" spans="1:15" x14ac:dyDescent="0.25">
      <c r="A163" s="3" t="s">
        <v>1439</v>
      </c>
      <c r="B163" s="3" t="s">
        <v>484</v>
      </c>
      <c r="C163" s="9">
        <v>125.26</v>
      </c>
      <c r="D163" s="3" t="s">
        <v>3193</v>
      </c>
      <c r="E163" s="10">
        <v>45670.405671296299</v>
      </c>
      <c r="F163" s="10">
        <v>45670.42763888889</v>
      </c>
      <c r="G163" s="10">
        <v>45670.449386574073</v>
      </c>
      <c r="H163" s="10">
        <v>45670.449386574073</v>
      </c>
      <c r="I163" s="10">
        <v>45670.449386574073</v>
      </c>
      <c r="J163" s="10">
        <v>45670.450104166674</v>
      </c>
      <c r="K163" s="11">
        <f t="shared" si="10"/>
        <v>2.1967592590954155E-2</v>
      </c>
      <c r="L163" s="11">
        <f t="shared" si="11"/>
        <v>2.1747685183072463E-2</v>
      </c>
      <c r="M163" s="11">
        <f t="shared" si="12"/>
        <v>0</v>
      </c>
      <c r="N163" s="11">
        <f t="shared" si="13"/>
        <v>7.1759260026738048E-4</v>
      </c>
      <c r="O163" s="11">
        <f t="shared" si="14"/>
        <v>4.4432870374293998E-2</v>
      </c>
    </row>
    <row r="164" spans="1:15" x14ac:dyDescent="0.25">
      <c r="A164" s="3" t="s">
        <v>1466</v>
      </c>
      <c r="B164" s="3" t="s">
        <v>515</v>
      </c>
      <c r="C164" s="9">
        <v>146.97999999999999</v>
      </c>
      <c r="D164" s="3" t="s">
        <v>3195</v>
      </c>
      <c r="E164" s="10">
        <v>45670.413414351853</v>
      </c>
      <c r="F164" s="10">
        <v>45670.442175925928</v>
      </c>
      <c r="G164" s="10">
        <v>45670.46769675926</v>
      </c>
      <c r="H164" s="10">
        <v>45670.46769675926</v>
      </c>
      <c r="I164" s="10">
        <v>45670.46769675926</v>
      </c>
      <c r="J164" s="10">
        <v>45670.468634259261</v>
      </c>
      <c r="K164" s="11">
        <f t="shared" si="10"/>
        <v>2.8761574074451346E-2</v>
      </c>
      <c r="L164" s="11">
        <f t="shared" si="11"/>
        <v>2.5520833332848269E-2</v>
      </c>
      <c r="M164" s="11">
        <f t="shared" si="12"/>
        <v>0</v>
      </c>
      <c r="N164" s="11">
        <f t="shared" si="13"/>
        <v>9.3750000087311491E-4</v>
      </c>
      <c r="O164" s="11">
        <f t="shared" si="14"/>
        <v>5.521990740817273E-2</v>
      </c>
    </row>
    <row r="165" spans="1:15" x14ac:dyDescent="0.25">
      <c r="A165" s="3" t="s">
        <v>1456</v>
      </c>
      <c r="B165" s="3" t="s">
        <v>506</v>
      </c>
      <c r="C165" s="9">
        <v>218.14</v>
      </c>
      <c r="D165" s="3" t="s">
        <v>3202</v>
      </c>
      <c r="E165" s="10">
        <v>45670.413645833331</v>
      </c>
      <c r="F165" s="10">
        <v>45670.444097222222</v>
      </c>
      <c r="G165" s="10">
        <v>45670.48196759259</v>
      </c>
      <c r="H165" s="10">
        <v>45670.48196759259</v>
      </c>
      <c r="I165" s="10">
        <v>45670.48196759259</v>
      </c>
      <c r="J165" s="10">
        <v>45670.48296296296</v>
      </c>
      <c r="K165" s="11">
        <f t="shared" si="10"/>
        <v>3.0451388891378883E-2</v>
      </c>
      <c r="L165" s="11">
        <f t="shared" si="11"/>
        <v>3.7870370368182193E-2</v>
      </c>
      <c r="M165" s="11">
        <f t="shared" si="12"/>
        <v>0</v>
      </c>
      <c r="N165" s="11">
        <f t="shared" si="13"/>
        <v>9.9537037021946162E-4</v>
      </c>
      <c r="O165" s="11">
        <f t="shared" si="14"/>
        <v>6.9317129629780538E-2</v>
      </c>
    </row>
    <row r="166" spans="1:15" x14ac:dyDescent="0.25">
      <c r="A166" s="3" t="s">
        <v>1513</v>
      </c>
      <c r="B166" s="3" t="s">
        <v>500</v>
      </c>
      <c r="C166" s="9">
        <v>267.5</v>
      </c>
      <c r="D166" s="3" t="s">
        <v>3197</v>
      </c>
      <c r="E166" s="10">
        <v>45670.440520833326</v>
      </c>
      <c r="F166" s="10">
        <v>45670.451122685183</v>
      </c>
      <c r="G166" s="10">
        <v>45670.497569444437</v>
      </c>
      <c r="H166" s="10">
        <v>45670.497569444437</v>
      </c>
      <c r="I166" s="10">
        <v>45670.497569444437</v>
      </c>
      <c r="J166" s="10">
        <v>45670.498738425929</v>
      </c>
      <c r="K166" s="11">
        <f t="shared" si="10"/>
        <v>1.0601851856335998E-2</v>
      </c>
      <c r="L166" s="11">
        <f t="shared" si="11"/>
        <v>4.6446759253740311E-2</v>
      </c>
      <c r="M166" s="11">
        <f t="shared" si="12"/>
        <v>0</v>
      </c>
      <c r="N166" s="11">
        <f t="shared" si="13"/>
        <v>1.168981492810417E-3</v>
      </c>
      <c r="O166" s="11">
        <f t="shared" si="14"/>
        <v>5.8217592602886725E-2</v>
      </c>
    </row>
    <row r="167" spans="1:15" x14ac:dyDescent="0.25">
      <c r="A167" s="3" t="s">
        <v>1502</v>
      </c>
      <c r="B167" s="3" t="s">
        <v>500</v>
      </c>
      <c r="C167" s="9">
        <v>334.4</v>
      </c>
      <c r="D167" s="3" t="s">
        <v>3205</v>
      </c>
      <c r="E167" s="10">
        <v>45670.524826388893</v>
      </c>
      <c r="F167" s="10">
        <v>45670.525671296287</v>
      </c>
      <c r="G167" s="10">
        <v>45670.583726851852</v>
      </c>
      <c r="H167" s="10">
        <v>45670.583726851852</v>
      </c>
      <c r="I167" s="10">
        <v>45670.583726851852</v>
      </c>
      <c r="J167" s="10">
        <v>45670.585046296299</v>
      </c>
      <c r="K167" s="11">
        <f t="shared" si="10"/>
        <v>8.4490739391185343E-4</v>
      </c>
      <c r="L167" s="11">
        <f t="shared" si="11"/>
        <v>5.805555556435138E-2</v>
      </c>
      <c r="M167" s="11">
        <f t="shared" si="12"/>
        <v>0</v>
      </c>
      <c r="N167" s="11">
        <f t="shared" si="13"/>
        <v>1.3194444472901523E-3</v>
      </c>
      <c r="O167" s="11">
        <f t="shared" si="14"/>
        <v>6.0219907405553386E-2</v>
      </c>
    </row>
    <row r="168" spans="1:15" x14ac:dyDescent="0.25">
      <c r="A168" s="3" t="s">
        <v>1499</v>
      </c>
      <c r="B168" s="3" t="s">
        <v>500</v>
      </c>
      <c r="C168" s="9">
        <v>388.32000000000011</v>
      </c>
      <c r="D168" s="3" t="s">
        <v>3203</v>
      </c>
      <c r="E168" s="10">
        <v>45670.615787037037</v>
      </c>
      <c r="F168" s="10">
        <v>45670.616655092592</v>
      </c>
      <c r="G168" s="10">
        <v>45670.684074074074</v>
      </c>
      <c r="H168" s="10">
        <v>45670.684074074074</v>
      </c>
      <c r="I168" s="10">
        <v>45670.684074074074</v>
      </c>
      <c r="J168" s="10">
        <v>45670.685439814813</v>
      </c>
      <c r="K168" s="11">
        <f t="shared" si="10"/>
        <v>8.6805555474711582E-4</v>
      </c>
      <c r="L168" s="11">
        <f t="shared" si="11"/>
        <v>6.7418981481750961E-2</v>
      </c>
      <c r="M168" s="11">
        <f t="shared" si="12"/>
        <v>0</v>
      </c>
      <c r="N168" s="11">
        <f t="shared" si="13"/>
        <v>1.3657407398568466E-3</v>
      </c>
      <c r="O168" s="11">
        <f t="shared" si="14"/>
        <v>6.9652777776354924E-2</v>
      </c>
    </row>
    <row r="169" spans="1:15" x14ac:dyDescent="0.25">
      <c r="A169" s="3" t="s">
        <v>1528</v>
      </c>
      <c r="B169" s="3" t="s">
        <v>527</v>
      </c>
      <c r="C169" s="9">
        <v>100.9</v>
      </c>
      <c r="D169" s="3" t="s">
        <v>3204</v>
      </c>
      <c r="E169" s="10">
        <v>45670.645543981482</v>
      </c>
      <c r="F169" s="10">
        <v>45670.647245370368</v>
      </c>
      <c r="G169" s="10">
        <v>45670.664756944447</v>
      </c>
      <c r="H169" s="10">
        <v>45670.664756944447</v>
      </c>
      <c r="I169" s="10">
        <v>45670.664756944447</v>
      </c>
      <c r="J169" s="10">
        <v>45670.665497685193</v>
      </c>
      <c r="K169" s="11">
        <f t="shared" si="10"/>
        <v>1.7013888864312321E-3</v>
      </c>
      <c r="L169" s="11">
        <f t="shared" si="11"/>
        <v>1.7511574078525882E-2</v>
      </c>
      <c r="M169" s="11">
        <f t="shared" si="12"/>
        <v>0</v>
      </c>
      <c r="N169" s="11">
        <f t="shared" si="13"/>
        <v>7.4074074655072764E-4</v>
      </c>
      <c r="O169" s="11">
        <f t="shared" si="14"/>
        <v>1.9953703711507842E-2</v>
      </c>
    </row>
    <row r="170" spans="1:15" x14ac:dyDescent="0.25">
      <c r="A170" s="3" t="s">
        <v>1390</v>
      </c>
      <c r="B170" s="3" t="s">
        <v>539</v>
      </c>
      <c r="C170" s="9">
        <v>119.4</v>
      </c>
      <c r="D170" s="3" t="s">
        <v>3198</v>
      </c>
      <c r="E170" s="10">
        <v>45670.660173611112</v>
      </c>
      <c r="F170" s="10">
        <v>45670.662037037036</v>
      </c>
      <c r="G170" s="10">
        <v>45670.682766203703</v>
      </c>
      <c r="H170" s="10">
        <v>45670.682766203703</v>
      </c>
      <c r="I170" s="10">
        <v>45670.682766203703</v>
      </c>
      <c r="J170" s="10">
        <v>45670.683587962973</v>
      </c>
      <c r="K170" s="11">
        <f t="shared" si="10"/>
        <v>1.8634259249665774E-3</v>
      </c>
      <c r="L170" s="11">
        <f t="shared" si="11"/>
        <v>2.0729166666569654E-2</v>
      </c>
      <c r="M170" s="11">
        <f t="shared" si="12"/>
        <v>0</v>
      </c>
      <c r="N170" s="11">
        <f t="shared" si="13"/>
        <v>8.2175926945637912E-4</v>
      </c>
      <c r="O170" s="11">
        <f t="shared" si="14"/>
        <v>2.341435186099261E-2</v>
      </c>
    </row>
    <row r="171" spans="1:15" x14ac:dyDescent="0.25">
      <c r="A171" s="3" t="s">
        <v>1551</v>
      </c>
      <c r="B171" s="3" t="s">
        <v>500</v>
      </c>
      <c r="C171" s="9">
        <v>393.50000000000011</v>
      </c>
      <c r="D171" s="3" t="s">
        <v>3202</v>
      </c>
      <c r="E171" s="10">
        <v>45670.66033564815</v>
      </c>
      <c r="F171" s="10">
        <v>45670.666458333333</v>
      </c>
      <c r="G171" s="10">
        <v>45670.734768518523</v>
      </c>
      <c r="H171" s="10">
        <v>45670.734768518523</v>
      </c>
      <c r="I171" s="10">
        <v>45670.734768518523</v>
      </c>
      <c r="J171" s="10">
        <v>45670.736168981479</v>
      </c>
      <c r="K171" s="11">
        <f t="shared" si="10"/>
        <v>6.1226851830724627E-3</v>
      </c>
      <c r="L171" s="11">
        <f t="shared" si="11"/>
        <v>6.8310185190057382E-2</v>
      </c>
      <c r="M171" s="11">
        <f t="shared" si="12"/>
        <v>0</v>
      </c>
      <c r="N171" s="11">
        <f t="shared" si="13"/>
        <v>1.4004629556438886E-3</v>
      </c>
      <c r="O171" s="11">
        <f t="shared" si="14"/>
        <v>7.5833333328773733E-2</v>
      </c>
    </row>
    <row r="172" spans="1:15" x14ac:dyDescent="0.25">
      <c r="A172" s="3" t="s">
        <v>1556</v>
      </c>
      <c r="B172" s="3" t="s">
        <v>500</v>
      </c>
      <c r="C172" s="9">
        <v>229.7</v>
      </c>
      <c r="D172" s="3" t="s">
        <v>3204</v>
      </c>
      <c r="E172" s="10">
        <v>45670.686030092591</v>
      </c>
      <c r="F172" s="10">
        <v>45670.686898148153</v>
      </c>
      <c r="G172" s="10">
        <v>45670.726782407408</v>
      </c>
      <c r="H172" s="10">
        <v>45670.726782407408</v>
      </c>
      <c r="I172" s="10">
        <v>45670.726782407408</v>
      </c>
      <c r="J172" s="10">
        <v>45670.727812500001</v>
      </c>
      <c r="K172" s="11">
        <f t="shared" si="10"/>
        <v>8.6805556202307343E-4</v>
      </c>
      <c r="L172" s="11">
        <f t="shared" si="11"/>
        <v>3.9884259254904464E-2</v>
      </c>
      <c r="M172" s="11">
        <f t="shared" si="12"/>
        <v>0</v>
      </c>
      <c r="N172" s="11">
        <f t="shared" si="13"/>
        <v>1.0300925932824612E-3</v>
      </c>
      <c r="O172" s="11">
        <f t="shared" si="14"/>
        <v>4.1782407410209998E-2</v>
      </c>
    </row>
    <row r="173" spans="1:15" x14ac:dyDescent="0.25">
      <c r="A173" s="3" t="s">
        <v>1516</v>
      </c>
      <c r="B173" s="3" t="s">
        <v>572</v>
      </c>
      <c r="C173" s="9">
        <v>198.8</v>
      </c>
      <c r="D173" s="3" t="s">
        <v>3200</v>
      </c>
      <c r="E173" s="10">
        <v>45670.6875</v>
      </c>
      <c r="F173" s="10">
        <v>45670.689201388886</v>
      </c>
      <c r="G173" s="10">
        <v>45670.723715277767</v>
      </c>
      <c r="H173" s="10">
        <v>45670.723715277767</v>
      </c>
      <c r="I173" s="10">
        <v>45670.723715277767</v>
      </c>
      <c r="J173" s="10">
        <v>45670.724687499998</v>
      </c>
      <c r="K173" s="11">
        <f t="shared" si="10"/>
        <v>1.7013888864312321E-3</v>
      </c>
      <c r="L173" s="11">
        <f t="shared" si="11"/>
        <v>3.4513888880610466E-2</v>
      </c>
      <c r="M173" s="11">
        <f t="shared" si="12"/>
        <v>0</v>
      </c>
      <c r="N173" s="11">
        <f t="shared" si="13"/>
        <v>9.7222223121207207E-4</v>
      </c>
      <c r="O173" s="11">
        <f t="shared" si="14"/>
        <v>3.718749999825377E-2</v>
      </c>
    </row>
    <row r="174" spans="1:15" x14ac:dyDescent="0.25">
      <c r="A174" s="3" t="s">
        <v>1559</v>
      </c>
      <c r="B174" s="3" t="s">
        <v>500</v>
      </c>
      <c r="C174" s="9">
        <v>185.92</v>
      </c>
      <c r="D174" s="3" t="s">
        <v>3203</v>
      </c>
      <c r="E174" s="10">
        <v>45670.737881944442</v>
      </c>
      <c r="F174" s="10">
        <v>45670.738749999997</v>
      </c>
      <c r="G174" s="10">
        <v>45670.77103009259</v>
      </c>
      <c r="H174" s="10">
        <v>45670.77103009259</v>
      </c>
      <c r="I174" s="10">
        <v>45670.77103009259</v>
      </c>
      <c r="J174" s="10">
        <v>45670.771932870368</v>
      </c>
      <c r="K174" s="11">
        <f t="shared" si="10"/>
        <v>8.6805555474711582E-4</v>
      </c>
      <c r="L174" s="11">
        <f t="shared" si="11"/>
        <v>3.2280092593282461E-2</v>
      </c>
      <c r="M174" s="11">
        <f t="shared" si="12"/>
        <v>0</v>
      </c>
      <c r="N174" s="11">
        <f t="shared" si="13"/>
        <v>9.0277777781011537E-4</v>
      </c>
      <c r="O174" s="11">
        <f t="shared" si="14"/>
        <v>3.4050925925839692E-2</v>
      </c>
    </row>
    <row r="175" spans="1:15" x14ac:dyDescent="0.25">
      <c r="A175" s="3" t="s">
        <v>1562</v>
      </c>
      <c r="B175" s="3" t="s">
        <v>500</v>
      </c>
      <c r="C175" s="9">
        <v>389.06000000000012</v>
      </c>
      <c r="D175" s="3" t="s">
        <v>3203</v>
      </c>
      <c r="E175" s="10">
        <v>45670.891597222217</v>
      </c>
      <c r="F175" s="10">
        <v>45670.892465277779</v>
      </c>
      <c r="G175" s="10">
        <v>45670.960011574083</v>
      </c>
      <c r="H175" s="10">
        <v>45670.960011574083</v>
      </c>
      <c r="I175" s="10">
        <v>45670.960011574083</v>
      </c>
      <c r="J175" s="10">
        <v>45670.961377314823</v>
      </c>
      <c r="K175" s="11">
        <f t="shared" si="10"/>
        <v>8.6805556202307343E-4</v>
      </c>
      <c r="L175" s="11">
        <f t="shared" si="11"/>
        <v>6.7546296304499265E-2</v>
      </c>
      <c r="M175" s="11">
        <f t="shared" si="12"/>
        <v>0</v>
      </c>
      <c r="N175" s="11">
        <f t="shared" si="13"/>
        <v>1.3657407398568466E-3</v>
      </c>
      <c r="O175" s="11">
        <f t="shared" si="14"/>
        <v>6.9780092606379185E-2</v>
      </c>
    </row>
    <row r="176" spans="1:15" x14ac:dyDescent="0.25">
      <c r="A176" s="3" t="s">
        <v>1539</v>
      </c>
      <c r="B176" s="3" t="s">
        <v>488</v>
      </c>
      <c r="C176" s="9">
        <v>124.9</v>
      </c>
      <c r="D176" s="3" t="s">
        <v>3195</v>
      </c>
      <c r="E176" s="10">
        <v>45671.117708333331</v>
      </c>
      <c r="F176" s="10">
        <v>45671.11855324074</v>
      </c>
      <c r="G176" s="10">
        <v>45671.140231481477</v>
      </c>
      <c r="H176" s="10">
        <v>45671.140231481477</v>
      </c>
      <c r="I176" s="10">
        <v>45671.140231481477</v>
      </c>
      <c r="J176" s="10">
        <v>45671.141122685192</v>
      </c>
      <c r="K176" s="11">
        <f t="shared" si="10"/>
        <v>8.4490740846376866E-4</v>
      </c>
      <c r="L176" s="11">
        <f t="shared" si="11"/>
        <v>2.1678240736946464E-2</v>
      </c>
      <c r="M176" s="11">
        <f t="shared" si="12"/>
        <v>0</v>
      </c>
      <c r="N176" s="11">
        <f t="shared" si="13"/>
        <v>8.9120371558237821E-4</v>
      </c>
      <c r="O176" s="11">
        <f t="shared" si="14"/>
        <v>2.341435186099261E-2</v>
      </c>
    </row>
    <row r="177" spans="1:15" x14ac:dyDescent="0.25">
      <c r="A177" s="3" t="s">
        <v>1574</v>
      </c>
      <c r="B177" s="3" t="s">
        <v>500</v>
      </c>
      <c r="C177" s="9">
        <v>297</v>
      </c>
      <c r="D177" s="3" t="s">
        <v>3203</v>
      </c>
      <c r="E177" s="10">
        <v>45671.283101851863</v>
      </c>
      <c r="F177" s="10">
        <v>45671.28396990741</v>
      </c>
      <c r="G177" s="10">
        <v>45671.335532407407</v>
      </c>
      <c r="H177" s="10">
        <v>45671.335532407407</v>
      </c>
      <c r="I177" s="10">
        <v>45671.335532407407</v>
      </c>
      <c r="J177" s="10">
        <v>45671.336689814823</v>
      </c>
      <c r="K177" s="11">
        <f t="shared" si="10"/>
        <v>8.6805554747115821E-4</v>
      </c>
      <c r="L177" s="11">
        <f t="shared" si="11"/>
        <v>5.1562499997089617E-2</v>
      </c>
      <c r="M177" s="11">
        <f t="shared" si="12"/>
        <v>0</v>
      </c>
      <c r="N177" s="11">
        <f t="shared" si="13"/>
        <v>1.1574074160307646E-3</v>
      </c>
      <c r="O177" s="11">
        <f t="shared" si="14"/>
        <v>5.358796296059154E-2</v>
      </c>
    </row>
    <row r="178" spans="1:15" x14ac:dyDescent="0.25">
      <c r="A178" s="3" t="s">
        <v>1471</v>
      </c>
      <c r="B178" s="3" t="s">
        <v>519</v>
      </c>
      <c r="C178" s="9">
        <v>187.6</v>
      </c>
      <c r="D178" s="3" t="s">
        <v>3196</v>
      </c>
      <c r="E178" s="10">
        <v>45671.296840277777</v>
      </c>
      <c r="F178" s="10">
        <v>45671.298530092587</v>
      </c>
      <c r="G178" s="10">
        <v>45671.331099537027</v>
      </c>
      <c r="H178" s="10">
        <v>45671.331099537027</v>
      </c>
      <c r="I178" s="10">
        <v>45671.331099537027</v>
      </c>
      <c r="J178" s="10">
        <v>45671.331921296303</v>
      </c>
      <c r="K178" s="11">
        <f t="shared" si="10"/>
        <v>1.6898148096515797E-3</v>
      </c>
      <c r="L178" s="11">
        <f t="shared" si="11"/>
        <v>3.2569444440014195E-2</v>
      </c>
      <c r="M178" s="11">
        <f t="shared" si="12"/>
        <v>0</v>
      </c>
      <c r="N178" s="11">
        <f t="shared" si="13"/>
        <v>8.2175927673233673E-4</v>
      </c>
      <c r="O178" s="11">
        <f t="shared" si="14"/>
        <v>3.5081018526398111E-2</v>
      </c>
    </row>
    <row r="179" spans="1:15" x14ac:dyDescent="0.25">
      <c r="A179" s="3" t="s">
        <v>1525</v>
      </c>
      <c r="B179" s="3" t="s">
        <v>506</v>
      </c>
      <c r="C179" s="9">
        <v>101.94</v>
      </c>
      <c r="D179" s="3" t="s">
        <v>3193</v>
      </c>
      <c r="E179" s="10">
        <v>45671.29824074074</v>
      </c>
      <c r="F179" s="10">
        <v>45671.309004629627</v>
      </c>
      <c r="G179" s="10">
        <v>45671.326701388891</v>
      </c>
      <c r="H179" s="10">
        <v>45671.326701388891</v>
      </c>
      <c r="I179" s="10">
        <v>45671.326701388891</v>
      </c>
      <c r="J179" s="10">
        <v>45671.327361111107</v>
      </c>
      <c r="K179" s="11">
        <f t="shared" si="10"/>
        <v>1.0763888887595385E-2</v>
      </c>
      <c r="L179" s="11">
        <f t="shared" si="11"/>
        <v>1.7696759263344575E-2</v>
      </c>
      <c r="M179" s="11">
        <f t="shared" si="12"/>
        <v>0</v>
      </c>
      <c r="N179" s="11">
        <f t="shared" si="13"/>
        <v>6.5972221636911854E-4</v>
      </c>
      <c r="O179" s="11">
        <f t="shared" si="14"/>
        <v>2.9120370367309079E-2</v>
      </c>
    </row>
    <row r="180" spans="1:15" x14ac:dyDescent="0.25">
      <c r="A180" s="3" t="s">
        <v>1593</v>
      </c>
      <c r="B180" s="3" t="s">
        <v>500</v>
      </c>
      <c r="C180" s="9">
        <v>213.84</v>
      </c>
      <c r="D180" s="3" t="s">
        <v>3200</v>
      </c>
      <c r="E180" s="10">
        <v>45671.329664351862</v>
      </c>
      <c r="F180" s="10">
        <v>45671.331331018519</v>
      </c>
      <c r="G180" s="10">
        <v>45671.368449074071</v>
      </c>
      <c r="H180" s="10">
        <v>45671.368449074071</v>
      </c>
      <c r="I180" s="10">
        <v>45671.368449074071</v>
      </c>
      <c r="J180" s="10">
        <v>45671.369456018518</v>
      </c>
      <c r="K180" s="11">
        <f t="shared" si="10"/>
        <v>1.6666666560922749E-3</v>
      </c>
      <c r="L180" s="11">
        <f t="shared" si="11"/>
        <v>3.7118055552127771E-2</v>
      </c>
      <c r="M180" s="11">
        <f t="shared" si="12"/>
        <v>0</v>
      </c>
      <c r="N180" s="11">
        <f t="shared" si="13"/>
        <v>1.006944446999114E-3</v>
      </c>
      <c r="O180" s="11">
        <f t="shared" si="14"/>
        <v>3.979166665521916E-2</v>
      </c>
    </row>
    <row r="181" spans="1:15" x14ac:dyDescent="0.25">
      <c r="A181" s="3" t="s">
        <v>1596</v>
      </c>
      <c r="B181" s="3" t="s">
        <v>500</v>
      </c>
      <c r="C181" s="9">
        <v>389.80000000000013</v>
      </c>
      <c r="D181" s="3" t="s">
        <v>3193</v>
      </c>
      <c r="E181" s="10">
        <v>45671.347118055557</v>
      </c>
      <c r="F181" s="10">
        <v>45671.347986111112</v>
      </c>
      <c r="G181" s="10">
        <v>45671.415659722217</v>
      </c>
      <c r="H181" s="10">
        <v>45671.415659722217</v>
      </c>
      <c r="I181" s="10">
        <v>45671.415659722217</v>
      </c>
      <c r="J181" s="10">
        <v>45671.416990740741</v>
      </c>
      <c r="K181" s="11">
        <f t="shared" si="10"/>
        <v>8.6805555474711582E-4</v>
      </c>
      <c r="L181" s="11">
        <f t="shared" si="11"/>
        <v>6.7673611105419695E-2</v>
      </c>
      <c r="M181" s="11">
        <f t="shared" si="12"/>
        <v>0</v>
      </c>
      <c r="N181" s="11">
        <f t="shared" si="13"/>
        <v>1.3310185240698047E-3</v>
      </c>
      <c r="O181" s="11">
        <f t="shared" si="14"/>
        <v>6.9872685184236616E-2</v>
      </c>
    </row>
    <row r="182" spans="1:15" x14ac:dyDescent="0.25">
      <c r="A182" s="3" t="s">
        <v>1264</v>
      </c>
      <c r="B182" s="3" t="s">
        <v>1033</v>
      </c>
      <c r="C182" s="9">
        <v>343.5</v>
      </c>
      <c r="D182" s="3" t="s">
        <v>3206</v>
      </c>
      <c r="E182" s="10">
        <v>45671.397326388891</v>
      </c>
      <c r="F182" s="10">
        <v>45671.398194444453</v>
      </c>
      <c r="G182" s="10">
        <v>45671.457824074067</v>
      </c>
      <c r="H182" s="10">
        <v>45671.457824074067</v>
      </c>
      <c r="I182" s="10">
        <v>45671.458148148151</v>
      </c>
      <c r="J182" s="10">
        <v>45671.459537037037</v>
      </c>
      <c r="K182" s="11">
        <f t="shared" si="10"/>
        <v>8.6805556202307343E-4</v>
      </c>
      <c r="L182" s="11">
        <f t="shared" si="11"/>
        <v>5.9629629613482393E-2</v>
      </c>
      <c r="M182" s="11">
        <f t="shared" si="12"/>
        <v>3.2407408434664831E-4</v>
      </c>
      <c r="N182" s="11">
        <f t="shared" si="13"/>
        <v>1.3888888861401938E-3</v>
      </c>
      <c r="O182" s="11">
        <f t="shared" si="14"/>
        <v>6.2210648145992309E-2</v>
      </c>
    </row>
    <row r="183" spans="1:15" x14ac:dyDescent="0.25">
      <c r="A183" s="3" t="s">
        <v>1629</v>
      </c>
      <c r="B183" s="3" t="s">
        <v>572</v>
      </c>
      <c r="C183" s="9">
        <v>129.1</v>
      </c>
      <c r="D183" s="3" t="s">
        <v>3196</v>
      </c>
      <c r="E183" s="10">
        <v>45671.399039351847</v>
      </c>
      <c r="F183" s="10">
        <v>45671.400671296287</v>
      </c>
      <c r="G183" s="10">
        <v>45671.423090277778</v>
      </c>
      <c r="H183" s="10">
        <v>45671.423090277778</v>
      </c>
      <c r="I183" s="10">
        <v>45671.423090277778</v>
      </c>
      <c r="J183" s="10">
        <v>45671.423761574071</v>
      </c>
      <c r="K183" s="11">
        <f t="shared" si="10"/>
        <v>1.631944440305233E-3</v>
      </c>
      <c r="L183" s="11">
        <f t="shared" si="11"/>
        <v>2.2418981490773149E-2</v>
      </c>
      <c r="M183" s="11">
        <f t="shared" si="12"/>
        <v>0</v>
      </c>
      <c r="N183" s="11">
        <f t="shared" si="13"/>
        <v>6.7129629314877093E-4</v>
      </c>
      <c r="O183" s="11">
        <f t="shared" si="14"/>
        <v>2.4722222224227153E-2</v>
      </c>
    </row>
    <row r="184" spans="1:15" x14ac:dyDescent="0.25">
      <c r="A184" s="3" t="s">
        <v>1581</v>
      </c>
      <c r="B184" s="3" t="s">
        <v>527</v>
      </c>
      <c r="C184" s="9">
        <v>189</v>
      </c>
      <c r="D184" s="3" t="s">
        <v>3204</v>
      </c>
      <c r="E184" s="10">
        <v>45671.425115740742</v>
      </c>
      <c r="F184" s="10">
        <v>45671.436388888891</v>
      </c>
      <c r="G184" s="10">
        <v>45671.469201388893</v>
      </c>
      <c r="H184" s="10">
        <v>45671.469201388893</v>
      </c>
      <c r="I184" s="10">
        <v>45671.469201388893</v>
      </c>
      <c r="J184" s="10">
        <v>45671.470138888893</v>
      </c>
      <c r="K184" s="11">
        <f t="shared" si="10"/>
        <v>1.1273148149484769E-2</v>
      </c>
      <c r="L184" s="11">
        <f t="shared" si="11"/>
        <v>3.2812500001455192E-2</v>
      </c>
      <c r="M184" s="11">
        <f t="shared" si="12"/>
        <v>0</v>
      </c>
      <c r="N184" s="11">
        <f t="shared" si="13"/>
        <v>9.3750000087311491E-4</v>
      </c>
      <c r="O184" s="11">
        <f t="shared" si="14"/>
        <v>4.5023148151813075E-2</v>
      </c>
    </row>
    <row r="185" spans="1:15" x14ac:dyDescent="0.25">
      <c r="A185" s="3" t="s">
        <v>1584</v>
      </c>
      <c r="B185" s="3" t="s">
        <v>515</v>
      </c>
      <c r="C185" s="9">
        <v>109.44</v>
      </c>
      <c r="D185" s="3" t="s">
        <v>3195</v>
      </c>
      <c r="E185" s="10">
        <v>45671.430405092593</v>
      </c>
      <c r="F185" s="10">
        <v>45671.438298611109</v>
      </c>
      <c r="G185" s="10">
        <v>45671.457303240742</v>
      </c>
      <c r="H185" s="10">
        <v>45671.457303240742</v>
      </c>
      <c r="I185" s="10">
        <v>45671.457303240742</v>
      </c>
      <c r="J185" s="10">
        <v>45671.458148148151</v>
      </c>
      <c r="K185" s="11">
        <f t="shared" si="10"/>
        <v>7.8935185156296939E-3</v>
      </c>
      <c r="L185" s="11">
        <f t="shared" si="11"/>
        <v>1.9004629633855075E-2</v>
      </c>
      <c r="M185" s="11">
        <f t="shared" si="12"/>
        <v>0</v>
      </c>
      <c r="N185" s="11">
        <f t="shared" si="13"/>
        <v>8.4490740846376866E-4</v>
      </c>
      <c r="O185" s="11">
        <f t="shared" si="14"/>
        <v>2.7743055557948537E-2</v>
      </c>
    </row>
    <row r="186" spans="1:15" x14ac:dyDescent="0.25">
      <c r="A186" s="3" t="s">
        <v>1624</v>
      </c>
      <c r="B186" s="3" t="s">
        <v>506</v>
      </c>
      <c r="C186" s="9">
        <v>651.79999999999995</v>
      </c>
      <c r="D186" s="3" t="s">
        <v>3202</v>
      </c>
      <c r="E186" s="10">
        <v>45671.435810185183</v>
      </c>
      <c r="F186" s="10">
        <v>45671.459039351852</v>
      </c>
      <c r="G186" s="10">
        <v>45671.572199074071</v>
      </c>
      <c r="H186" s="10">
        <v>45671.572199074071</v>
      </c>
      <c r="I186" s="10">
        <v>45671.572199074071</v>
      </c>
      <c r="J186" s="10">
        <v>45671.574189814812</v>
      </c>
      <c r="K186" s="11">
        <f t="shared" si="10"/>
        <v>2.322916666889796E-2</v>
      </c>
      <c r="L186" s="11">
        <f t="shared" si="11"/>
        <v>0.1131597222192795</v>
      </c>
      <c r="M186" s="11">
        <f t="shared" si="12"/>
        <v>0</v>
      </c>
      <c r="N186" s="11">
        <f t="shared" si="13"/>
        <v>1.9907407404389232E-3</v>
      </c>
      <c r="O186" s="11">
        <f t="shared" si="14"/>
        <v>0.13837962962861639</v>
      </c>
    </row>
    <row r="187" spans="1:15" x14ac:dyDescent="0.25">
      <c r="A187" s="3" t="s">
        <v>1376</v>
      </c>
      <c r="B187" s="3" t="s">
        <v>595</v>
      </c>
      <c r="C187" s="9">
        <v>117.22</v>
      </c>
      <c r="D187" s="3" t="s">
        <v>3199</v>
      </c>
      <c r="E187" s="10">
        <v>45671.436562499999</v>
      </c>
      <c r="F187" s="10">
        <v>45671.459560185183</v>
      </c>
      <c r="G187" s="10">
        <v>45671.47991898148</v>
      </c>
      <c r="H187" s="10">
        <v>45671.47991898148</v>
      </c>
      <c r="I187" s="10">
        <v>45671.47991898148</v>
      </c>
      <c r="J187" s="10">
        <v>45671.480578703697</v>
      </c>
      <c r="K187" s="11">
        <f t="shared" si="10"/>
        <v>2.2997685184236616E-2</v>
      </c>
      <c r="L187" s="11">
        <f t="shared" si="11"/>
        <v>2.0358796296932269E-2</v>
      </c>
      <c r="M187" s="11">
        <f t="shared" si="12"/>
        <v>0</v>
      </c>
      <c r="N187" s="11">
        <f t="shared" si="13"/>
        <v>6.5972221636911854E-4</v>
      </c>
      <c r="O187" s="11">
        <f t="shared" si="14"/>
        <v>4.4016203697538003E-2</v>
      </c>
    </row>
    <row r="188" spans="1:15" x14ac:dyDescent="0.25">
      <c r="A188" s="3" t="s">
        <v>1640</v>
      </c>
      <c r="B188" s="3" t="s">
        <v>500</v>
      </c>
      <c r="C188" s="9">
        <v>297.8</v>
      </c>
      <c r="D188" s="3" t="s">
        <v>3202</v>
      </c>
      <c r="E188" s="10">
        <v>45671.54824074074</v>
      </c>
      <c r="F188" s="10">
        <v>45671.549074074072</v>
      </c>
      <c r="G188" s="10">
        <v>45671.600775462961</v>
      </c>
      <c r="H188" s="10">
        <v>45671.600775462961</v>
      </c>
      <c r="I188" s="10">
        <v>45671.600775462961</v>
      </c>
      <c r="J188" s="10">
        <v>45671.601944444446</v>
      </c>
      <c r="K188" s="11">
        <f t="shared" si="10"/>
        <v>8.3333333168411627E-4</v>
      </c>
      <c r="L188" s="11">
        <f t="shared" si="11"/>
        <v>5.1701388889341615E-2</v>
      </c>
      <c r="M188" s="11">
        <f t="shared" si="12"/>
        <v>0</v>
      </c>
      <c r="N188" s="11">
        <f t="shared" si="13"/>
        <v>1.1689814855344594E-3</v>
      </c>
      <c r="O188" s="11">
        <f t="shared" si="14"/>
        <v>5.3703703706560191E-2</v>
      </c>
    </row>
    <row r="189" spans="1:15" x14ac:dyDescent="0.25">
      <c r="A189" s="3" t="s">
        <v>1643</v>
      </c>
      <c r="B189" s="3" t="s">
        <v>500</v>
      </c>
      <c r="C189" s="9">
        <v>225.64</v>
      </c>
      <c r="D189" s="3" t="s">
        <v>3202</v>
      </c>
      <c r="E189" s="10">
        <v>45671.61142361111</v>
      </c>
      <c r="F189" s="10">
        <v>45671.612256944441</v>
      </c>
      <c r="G189" s="10">
        <v>45671.651435185187</v>
      </c>
      <c r="H189" s="10">
        <v>45671.651435185187</v>
      </c>
      <c r="I189" s="10">
        <v>45671.651435185187</v>
      </c>
      <c r="J189" s="10">
        <v>45671.652442129627</v>
      </c>
      <c r="K189" s="11">
        <f t="shared" si="10"/>
        <v>8.3333333168411627E-4</v>
      </c>
      <c r="L189" s="11">
        <f t="shared" si="11"/>
        <v>3.9178240745968651E-2</v>
      </c>
      <c r="M189" s="11">
        <f t="shared" si="12"/>
        <v>0</v>
      </c>
      <c r="N189" s="11">
        <f t="shared" si="13"/>
        <v>1.0069444397231564E-3</v>
      </c>
      <c r="O189" s="11">
        <f t="shared" si="14"/>
        <v>4.1018518517375924E-2</v>
      </c>
    </row>
    <row r="190" spans="1:15" x14ac:dyDescent="0.25">
      <c r="A190" s="3" t="s">
        <v>1613</v>
      </c>
      <c r="B190" s="3" t="s">
        <v>563</v>
      </c>
      <c r="C190" s="9">
        <v>100.6</v>
      </c>
      <c r="D190" s="3" t="s">
        <v>3198</v>
      </c>
      <c r="E190" s="10">
        <v>45671.648634259262</v>
      </c>
      <c r="F190" s="10">
        <v>45671.650347222218</v>
      </c>
      <c r="G190" s="10">
        <v>45671.667812500003</v>
      </c>
      <c r="H190" s="10">
        <v>45671.667812500003</v>
      </c>
      <c r="I190" s="10">
        <v>45671.667812500003</v>
      </c>
      <c r="J190" s="10">
        <v>45671.668587962973</v>
      </c>
      <c r="K190" s="11">
        <f t="shared" si="10"/>
        <v>1.7129629559349269E-3</v>
      </c>
      <c r="L190" s="11">
        <f t="shared" si="11"/>
        <v>1.7465277785959188E-2</v>
      </c>
      <c r="M190" s="11">
        <f t="shared" si="12"/>
        <v>0</v>
      </c>
      <c r="N190" s="11">
        <f t="shared" si="13"/>
        <v>7.7546296961372718E-4</v>
      </c>
      <c r="O190" s="11">
        <f t="shared" si="14"/>
        <v>1.9953703711507842E-2</v>
      </c>
    </row>
    <row r="191" spans="1:15" x14ac:dyDescent="0.25">
      <c r="A191" s="3" t="s">
        <v>1428</v>
      </c>
      <c r="B191" s="3" t="s">
        <v>533</v>
      </c>
      <c r="C191" s="9">
        <v>141.66</v>
      </c>
      <c r="D191" s="3" t="s">
        <v>3201</v>
      </c>
      <c r="E191" s="10">
        <v>45671.650451388887</v>
      </c>
      <c r="F191" s="10">
        <v>45671.653101851851</v>
      </c>
      <c r="G191" s="10">
        <v>45671.67769675926</v>
      </c>
      <c r="H191" s="10">
        <v>45671.67769675926</v>
      </c>
      <c r="I191" s="10">
        <v>45671.67769675926</v>
      </c>
      <c r="J191" s="10">
        <v>45671.678564814807</v>
      </c>
      <c r="K191" s="11">
        <f t="shared" si="10"/>
        <v>2.6504629640839994E-3</v>
      </c>
      <c r="L191" s="11">
        <f t="shared" si="11"/>
        <v>2.4594907408754807E-2</v>
      </c>
      <c r="M191" s="11">
        <f t="shared" si="12"/>
        <v>0</v>
      </c>
      <c r="N191" s="11">
        <f t="shared" si="13"/>
        <v>8.6805554747115821E-4</v>
      </c>
      <c r="O191" s="11">
        <f t="shared" si="14"/>
        <v>2.8113425920309965E-2</v>
      </c>
    </row>
    <row r="192" spans="1:15" x14ac:dyDescent="0.25">
      <c r="A192" s="3" t="s">
        <v>1601</v>
      </c>
      <c r="B192" s="3" t="s">
        <v>519</v>
      </c>
      <c r="C192" s="9">
        <v>132.4</v>
      </c>
      <c r="D192" s="3" t="s">
        <v>3203</v>
      </c>
      <c r="E192" s="10">
        <v>45671.651412037027</v>
      </c>
      <c r="F192" s="10">
        <v>45671.669502314813</v>
      </c>
      <c r="G192" s="10">
        <v>45671.692488425928</v>
      </c>
      <c r="H192" s="10">
        <v>45671.692488425928</v>
      </c>
      <c r="I192" s="10">
        <v>45671.692488425928</v>
      </c>
      <c r="J192" s="10">
        <v>45671.69326388889</v>
      </c>
      <c r="K192" s="11">
        <f t="shared" si="10"/>
        <v>1.8090277786541265E-2</v>
      </c>
      <c r="L192" s="11">
        <f t="shared" si="11"/>
        <v>2.2986111114732921E-2</v>
      </c>
      <c r="M192" s="11">
        <f t="shared" si="12"/>
        <v>0</v>
      </c>
      <c r="N192" s="11">
        <f t="shared" si="13"/>
        <v>7.7546296233776957E-4</v>
      </c>
      <c r="O192" s="11">
        <f t="shared" si="14"/>
        <v>4.1851851863611955E-2</v>
      </c>
    </row>
    <row r="193" spans="1:15" x14ac:dyDescent="0.25">
      <c r="A193" s="3" t="s">
        <v>1657</v>
      </c>
      <c r="B193" s="3" t="s">
        <v>506</v>
      </c>
      <c r="C193" s="9">
        <v>163.41999999999999</v>
      </c>
      <c r="D193" s="3" t="s">
        <v>3193</v>
      </c>
      <c r="E193" s="10">
        <v>45671.654386574082</v>
      </c>
      <c r="F193" s="10">
        <v>45671.6715625</v>
      </c>
      <c r="G193" s="10">
        <v>45671.699930555558</v>
      </c>
      <c r="H193" s="10">
        <v>45671.699930555558</v>
      </c>
      <c r="I193" s="10">
        <v>45671.699930555558</v>
      </c>
      <c r="J193" s="10">
        <v>45671.700740740736</v>
      </c>
      <c r="K193" s="11">
        <f t="shared" si="10"/>
        <v>1.7175925917399582E-2</v>
      </c>
      <c r="L193" s="11">
        <f t="shared" si="11"/>
        <v>2.8368055558530614E-2</v>
      </c>
      <c r="M193" s="11">
        <f t="shared" si="12"/>
        <v>0</v>
      </c>
      <c r="N193" s="11">
        <f t="shared" si="13"/>
        <v>8.101851781248115E-4</v>
      </c>
      <c r="O193" s="11">
        <f t="shared" si="14"/>
        <v>4.6354166654055007E-2</v>
      </c>
    </row>
    <row r="194" spans="1:15" x14ac:dyDescent="0.25">
      <c r="A194" s="3" t="s">
        <v>1654</v>
      </c>
      <c r="B194" s="3" t="s">
        <v>496</v>
      </c>
      <c r="C194" s="9">
        <v>139.47999999999999</v>
      </c>
      <c r="D194" s="3" t="s">
        <v>3199</v>
      </c>
      <c r="E194" s="10">
        <v>45671.663807870369</v>
      </c>
      <c r="F194" s="10">
        <v>45671.679375</v>
      </c>
      <c r="G194" s="10">
        <v>45671.703587962962</v>
      </c>
      <c r="H194" s="10">
        <v>45671.703587962962</v>
      </c>
      <c r="I194" s="10">
        <v>45671.703587962962</v>
      </c>
      <c r="J194" s="10">
        <v>45671.704305555562</v>
      </c>
      <c r="K194" s="11">
        <f t="shared" ref="K194:K257" si="15">IF(AND(ISNUMBER(E194),ISNUMBER(F194)),(F194-E194),"")</f>
        <v>1.5567129630653653E-2</v>
      </c>
      <c r="L194" s="11">
        <f t="shared" ref="L194:L257" si="16">IF(AND(ISNUMBER(F194),ISNUMBER(G194)),(G194-F194),"")</f>
        <v>2.421296296233777E-2</v>
      </c>
      <c r="M194" s="11">
        <f t="shared" ref="M194:M257" si="17">IF(AND(ISNUMBER(H194),ISNUMBER(I194)),(I194-H194),"")</f>
        <v>0</v>
      </c>
      <c r="N194" s="11">
        <f t="shared" ref="N194:N257" si="18">IF(AND(ISNUMBER(I194),ISNUMBER(J194)),(J194-I194),"")</f>
        <v>7.1759260026738048E-4</v>
      </c>
      <c r="O194" s="11">
        <f t="shared" ref="O194:O257" si="19">IF(AND(ISNUMBER(E194),ISNUMBER(J194)),(J194-E194),"")</f>
        <v>4.0497685193258803E-2</v>
      </c>
    </row>
    <row r="195" spans="1:15" x14ac:dyDescent="0.25">
      <c r="A195" s="3" t="s">
        <v>1671</v>
      </c>
      <c r="B195" s="3" t="s">
        <v>500</v>
      </c>
      <c r="C195" s="9">
        <v>173.14</v>
      </c>
      <c r="D195" s="3" t="s">
        <v>3195</v>
      </c>
      <c r="E195" s="10">
        <v>45671.66678240741</v>
      </c>
      <c r="F195" s="10">
        <v>45671.694189814807</v>
      </c>
      <c r="G195" s="10">
        <v>45671.724247685182</v>
      </c>
      <c r="H195" s="10">
        <v>45671.724247685182</v>
      </c>
      <c r="I195" s="10">
        <v>45671.724247685182</v>
      </c>
      <c r="J195" s="10">
        <v>45671.725243055553</v>
      </c>
      <c r="K195" s="11">
        <f t="shared" si="15"/>
        <v>2.7407407396822236E-2</v>
      </c>
      <c r="L195" s="11">
        <f t="shared" si="16"/>
        <v>3.0057870375458151E-2</v>
      </c>
      <c r="M195" s="11">
        <f t="shared" si="17"/>
        <v>0</v>
      </c>
      <c r="N195" s="11">
        <f t="shared" si="18"/>
        <v>9.9537037021946162E-4</v>
      </c>
      <c r="O195" s="11">
        <f t="shared" si="19"/>
        <v>5.8460648142499849E-2</v>
      </c>
    </row>
    <row r="196" spans="1:15" x14ac:dyDescent="0.25">
      <c r="A196" s="3" t="s">
        <v>1674</v>
      </c>
      <c r="B196" s="3" t="s">
        <v>500</v>
      </c>
      <c r="C196" s="9">
        <v>103.86</v>
      </c>
      <c r="D196" s="3" t="s">
        <v>3206</v>
      </c>
      <c r="E196" s="10">
        <v>45671.75608796296</v>
      </c>
      <c r="F196" s="10">
        <v>45671.756956018522</v>
      </c>
      <c r="G196" s="10">
        <v>45671.774988425917</v>
      </c>
      <c r="H196" s="10">
        <v>45671.774988425917</v>
      </c>
      <c r="I196" s="10">
        <v>45671.774988425917</v>
      </c>
      <c r="J196" s="10">
        <v>45671.775821759264</v>
      </c>
      <c r="K196" s="11">
        <f t="shared" si="15"/>
        <v>8.6805556202307343E-4</v>
      </c>
      <c r="L196" s="11">
        <f t="shared" si="16"/>
        <v>1.8032407395367045E-2</v>
      </c>
      <c r="M196" s="11">
        <f t="shared" si="17"/>
        <v>0</v>
      </c>
      <c r="N196" s="11">
        <f t="shared" si="18"/>
        <v>8.333333462360315E-4</v>
      </c>
      <c r="O196" s="11">
        <f t="shared" si="19"/>
        <v>1.973379630362615E-2</v>
      </c>
    </row>
    <row r="197" spans="1:15" x14ac:dyDescent="0.25">
      <c r="A197" s="3" t="s">
        <v>1679</v>
      </c>
      <c r="B197" s="3" t="s">
        <v>527</v>
      </c>
      <c r="C197" s="9">
        <v>108</v>
      </c>
      <c r="D197" s="3" t="s">
        <v>3203</v>
      </c>
      <c r="E197" s="10">
        <v>45671.758576388893</v>
      </c>
      <c r="F197" s="10">
        <v>45671.76021990741</v>
      </c>
      <c r="G197" s="10">
        <v>45671.778969907413</v>
      </c>
      <c r="H197" s="10">
        <v>45671.778969907413</v>
      </c>
      <c r="I197" s="10">
        <v>45671.778969907413</v>
      </c>
      <c r="J197" s="10">
        <v>45671.779687499999</v>
      </c>
      <c r="K197" s="11">
        <f t="shared" si="15"/>
        <v>1.6435185170848854E-3</v>
      </c>
      <c r="L197" s="11">
        <f t="shared" si="16"/>
        <v>1.8750000002910383E-2</v>
      </c>
      <c r="M197" s="11">
        <f t="shared" si="17"/>
        <v>0</v>
      </c>
      <c r="N197" s="11">
        <f t="shared" si="18"/>
        <v>7.1759258571546525E-4</v>
      </c>
      <c r="O197" s="11">
        <f t="shared" si="19"/>
        <v>2.1111111105710734E-2</v>
      </c>
    </row>
    <row r="198" spans="1:15" x14ac:dyDescent="0.25">
      <c r="A198" s="3" t="s">
        <v>1463</v>
      </c>
      <c r="B198" s="3" t="s">
        <v>654</v>
      </c>
      <c r="C198" s="9">
        <v>125.92</v>
      </c>
      <c r="D198" s="3" t="s">
        <v>3194</v>
      </c>
      <c r="E198" s="10">
        <v>45671.758935185193</v>
      </c>
      <c r="F198" s="10">
        <v>45671.77648148148</v>
      </c>
      <c r="G198" s="10">
        <v>45671.798344907409</v>
      </c>
      <c r="H198" s="10">
        <v>45671.798344907409</v>
      </c>
      <c r="I198" s="10">
        <v>45671.798344907409</v>
      </c>
      <c r="J198" s="10">
        <v>45671.799166666657</v>
      </c>
      <c r="K198" s="11">
        <f t="shared" si="15"/>
        <v>1.7546296287036967E-2</v>
      </c>
      <c r="L198" s="11">
        <f t="shared" si="16"/>
        <v>2.1863425929041114E-2</v>
      </c>
      <c r="M198" s="11">
        <f t="shared" si="17"/>
        <v>0</v>
      </c>
      <c r="N198" s="11">
        <f t="shared" si="18"/>
        <v>8.2175924762850627E-4</v>
      </c>
      <c r="O198" s="11">
        <f t="shared" si="19"/>
        <v>4.0231481463706587E-2</v>
      </c>
    </row>
    <row r="199" spans="1:15" x14ac:dyDescent="0.25">
      <c r="A199" s="3" t="s">
        <v>1567</v>
      </c>
      <c r="B199" s="3" t="s">
        <v>492</v>
      </c>
      <c r="C199" s="9">
        <v>103.68</v>
      </c>
      <c r="D199" s="3" t="s">
        <v>3205</v>
      </c>
      <c r="E199" s="10">
        <v>45671.761597222219</v>
      </c>
      <c r="F199" s="10">
        <v>45671.776724537027</v>
      </c>
      <c r="G199" s="10">
        <v>45671.794722222221</v>
      </c>
      <c r="H199" s="10">
        <v>45671.794722222221</v>
      </c>
      <c r="I199" s="10">
        <v>45671.794722222221</v>
      </c>
      <c r="J199" s="10">
        <v>45671.79550925926</v>
      </c>
      <c r="K199" s="11">
        <f t="shared" si="15"/>
        <v>1.5127314807614312E-2</v>
      </c>
      <c r="L199" s="11">
        <f t="shared" si="16"/>
        <v>1.7997685194131918E-2</v>
      </c>
      <c r="M199" s="11">
        <f t="shared" si="17"/>
        <v>0</v>
      </c>
      <c r="N199" s="11">
        <f t="shared" si="18"/>
        <v>7.8703703911742195E-4</v>
      </c>
      <c r="O199" s="11">
        <f t="shared" si="19"/>
        <v>3.3912037040863652E-2</v>
      </c>
    </row>
    <row r="200" spans="1:15" x14ac:dyDescent="0.25">
      <c r="A200" s="3" t="s">
        <v>1695</v>
      </c>
      <c r="B200" s="3" t="s">
        <v>519</v>
      </c>
      <c r="C200" s="9">
        <v>111.4</v>
      </c>
      <c r="D200" s="3" t="s">
        <v>3201</v>
      </c>
      <c r="E200" s="10">
        <v>45671.770069444443</v>
      </c>
      <c r="F200" s="10">
        <v>45671.780706018522</v>
      </c>
      <c r="G200" s="10">
        <v>45671.800046296303</v>
      </c>
      <c r="H200" s="10">
        <v>45671.800046296303</v>
      </c>
      <c r="I200" s="10">
        <v>45671.800046296303</v>
      </c>
      <c r="J200" s="10">
        <v>45671.800844907397</v>
      </c>
      <c r="K200" s="11">
        <f t="shared" si="15"/>
        <v>1.0636574079398997E-2</v>
      </c>
      <c r="L200" s="11">
        <f t="shared" si="16"/>
        <v>1.934027778042946E-2</v>
      </c>
      <c r="M200" s="11">
        <f t="shared" si="17"/>
        <v>0</v>
      </c>
      <c r="N200" s="11">
        <f t="shared" si="18"/>
        <v>7.986110940692015E-4</v>
      </c>
      <c r="O200" s="11">
        <f t="shared" si="19"/>
        <v>3.0775462953897659E-2</v>
      </c>
    </row>
    <row r="201" spans="1:15" x14ac:dyDescent="0.25">
      <c r="A201" s="3" t="s">
        <v>1692</v>
      </c>
      <c r="B201" s="3" t="s">
        <v>506</v>
      </c>
      <c r="C201" s="9">
        <v>132.68</v>
      </c>
      <c r="D201" s="3" t="s">
        <v>3195</v>
      </c>
      <c r="E201" s="10">
        <v>45671.774791666663</v>
      </c>
      <c r="F201" s="10">
        <v>45671.796458333331</v>
      </c>
      <c r="G201" s="10">
        <v>45671.819490740738</v>
      </c>
      <c r="H201" s="10">
        <v>45671.819490740738</v>
      </c>
      <c r="I201" s="10">
        <v>45671.819490740738</v>
      </c>
      <c r="J201" s="10">
        <v>45671.820393518523</v>
      </c>
      <c r="K201" s="11">
        <f t="shared" si="15"/>
        <v>2.1666666667442769E-2</v>
      </c>
      <c r="L201" s="11">
        <f t="shared" si="16"/>
        <v>2.3032407407299615E-2</v>
      </c>
      <c r="M201" s="11">
        <f t="shared" si="17"/>
        <v>0</v>
      </c>
      <c r="N201" s="11">
        <f t="shared" si="18"/>
        <v>9.0277778508607298E-4</v>
      </c>
      <c r="O201" s="11">
        <f t="shared" si="19"/>
        <v>4.5601851859828457E-2</v>
      </c>
    </row>
    <row r="202" spans="1:15" x14ac:dyDescent="0.25">
      <c r="A202" s="3" t="s">
        <v>1608</v>
      </c>
      <c r="B202" s="3" t="s">
        <v>488</v>
      </c>
      <c r="C202" s="9">
        <v>208.9</v>
      </c>
      <c r="D202" s="3" t="s">
        <v>3200</v>
      </c>
      <c r="E202" s="10">
        <v>45672.117048611108</v>
      </c>
      <c r="F202" s="10">
        <v>45672.11791666667</v>
      </c>
      <c r="G202" s="10">
        <v>45672.154178240737</v>
      </c>
      <c r="H202" s="10">
        <v>45672.154178240737</v>
      </c>
      <c r="I202" s="10">
        <v>45672.154178240737</v>
      </c>
      <c r="J202" s="10">
        <v>45672.155173611107</v>
      </c>
      <c r="K202" s="11">
        <f t="shared" si="15"/>
        <v>8.6805556202307343E-4</v>
      </c>
      <c r="L202" s="11">
        <f t="shared" si="16"/>
        <v>3.626157406688435E-2</v>
      </c>
      <c r="M202" s="11">
        <f t="shared" si="17"/>
        <v>0</v>
      </c>
      <c r="N202" s="11">
        <f t="shared" si="18"/>
        <v>9.9537037021946162E-4</v>
      </c>
      <c r="O202" s="11">
        <f t="shared" si="19"/>
        <v>3.8124999999126885E-2</v>
      </c>
    </row>
    <row r="203" spans="1:15" x14ac:dyDescent="0.25">
      <c r="A203" s="3" t="s">
        <v>1542</v>
      </c>
      <c r="B203" s="3" t="s">
        <v>484</v>
      </c>
      <c r="C203" s="9">
        <v>177.38</v>
      </c>
      <c r="D203" s="3" t="s">
        <v>3197</v>
      </c>
      <c r="E203" s="10">
        <v>45672.122870370367</v>
      </c>
      <c r="F203" s="10">
        <v>45672.123703703714</v>
      </c>
      <c r="G203" s="10">
        <v>45672.154502314806</v>
      </c>
      <c r="H203" s="10">
        <v>45672.154502314806</v>
      </c>
      <c r="I203" s="10">
        <v>45672.155173611107</v>
      </c>
      <c r="J203" s="10">
        <v>45672.156134259261</v>
      </c>
      <c r="K203" s="11">
        <f t="shared" si="15"/>
        <v>8.333333462360315E-4</v>
      </c>
      <c r="L203" s="11">
        <f t="shared" si="16"/>
        <v>3.0798611092905048E-2</v>
      </c>
      <c r="M203" s="11">
        <f t="shared" si="17"/>
        <v>6.7129630042472854E-4</v>
      </c>
      <c r="N203" s="11">
        <f t="shared" si="18"/>
        <v>9.6064815443241969E-4</v>
      </c>
      <c r="O203" s="11">
        <f t="shared" si="19"/>
        <v>3.3263888893998228E-2</v>
      </c>
    </row>
    <row r="204" spans="1:15" x14ac:dyDescent="0.25">
      <c r="A204" s="3" t="s">
        <v>1717</v>
      </c>
      <c r="B204" s="3" t="s">
        <v>519</v>
      </c>
      <c r="C204" s="9">
        <v>521.9</v>
      </c>
      <c r="D204" s="3" t="s">
        <v>3201</v>
      </c>
      <c r="E204" s="10">
        <v>45672.207256944443</v>
      </c>
      <c r="F204" s="10">
        <v>45672.208101851851</v>
      </c>
      <c r="G204" s="10">
        <v>45672.298703703702</v>
      </c>
      <c r="H204" s="10">
        <v>45672.298703703702</v>
      </c>
      <c r="I204" s="10">
        <v>45672.298703703702</v>
      </c>
      <c r="J204" s="10">
        <v>45672.300451388888</v>
      </c>
      <c r="K204" s="11">
        <f t="shared" si="15"/>
        <v>8.4490740846376866E-4</v>
      </c>
      <c r="L204" s="11">
        <f t="shared" si="16"/>
        <v>9.060185185080627E-2</v>
      </c>
      <c r="M204" s="11">
        <f t="shared" si="17"/>
        <v>0</v>
      </c>
      <c r="N204" s="11">
        <f t="shared" si="18"/>
        <v>1.747685186273884E-3</v>
      </c>
      <c r="O204" s="11">
        <f t="shared" si="19"/>
        <v>9.3194444445543922E-2</v>
      </c>
    </row>
    <row r="205" spans="1:15" x14ac:dyDescent="0.25">
      <c r="A205" s="3" t="s">
        <v>1705</v>
      </c>
      <c r="B205" s="3" t="s">
        <v>500</v>
      </c>
      <c r="C205" s="9">
        <v>313.74</v>
      </c>
      <c r="D205" s="3" t="s">
        <v>3203</v>
      </c>
      <c r="E205" s="10">
        <v>45672.283796296288</v>
      </c>
      <c r="F205" s="10">
        <v>45672.28466435185</v>
      </c>
      <c r="G205" s="10">
        <v>45672.339131944442</v>
      </c>
      <c r="H205" s="10">
        <v>45672.339131944442</v>
      </c>
      <c r="I205" s="10">
        <v>45672.339131944442</v>
      </c>
      <c r="J205" s="10">
        <v>45672.340324074074</v>
      </c>
      <c r="K205" s="11">
        <f t="shared" si="15"/>
        <v>8.6805556202307343E-4</v>
      </c>
      <c r="L205" s="11">
        <f t="shared" si="16"/>
        <v>5.4467592592118308E-2</v>
      </c>
      <c r="M205" s="11">
        <f t="shared" si="17"/>
        <v>0</v>
      </c>
      <c r="N205" s="11">
        <f t="shared" si="18"/>
        <v>1.1921296318178065E-3</v>
      </c>
      <c r="O205" s="11">
        <f t="shared" si="19"/>
        <v>5.6527777785959188E-2</v>
      </c>
    </row>
    <row r="206" spans="1:15" x14ac:dyDescent="0.25">
      <c r="A206" s="3" t="s">
        <v>1689</v>
      </c>
      <c r="B206" s="3" t="s">
        <v>533</v>
      </c>
      <c r="C206" s="9">
        <v>110.18</v>
      </c>
      <c r="D206" s="3" t="s">
        <v>3199</v>
      </c>
      <c r="E206" s="10">
        <v>45672.321018518523</v>
      </c>
      <c r="F206" s="10">
        <v>45672.321886574071</v>
      </c>
      <c r="G206" s="10">
        <v>45672.34101851852</v>
      </c>
      <c r="H206" s="10">
        <v>45672.34101851852</v>
      </c>
      <c r="I206" s="10">
        <v>45672.34101851852</v>
      </c>
      <c r="J206" s="10">
        <v>45672.341666666667</v>
      </c>
      <c r="K206" s="11">
        <f t="shared" si="15"/>
        <v>8.6805554747115821E-4</v>
      </c>
      <c r="L206" s="11">
        <f t="shared" si="16"/>
        <v>1.913194444932742E-2</v>
      </c>
      <c r="M206" s="11">
        <f t="shared" si="17"/>
        <v>0</v>
      </c>
      <c r="N206" s="11">
        <f t="shared" si="18"/>
        <v>6.4814814686542377E-4</v>
      </c>
      <c r="O206" s="11">
        <f t="shared" si="19"/>
        <v>2.0648148143664002E-2</v>
      </c>
    </row>
    <row r="207" spans="1:15" x14ac:dyDescent="0.25">
      <c r="A207" s="3" t="s">
        <v>1668</v>
      </c>
      <c r="B207" s="3" t="s">
        <v>515</v>
      </c>
      <c r="C207" s="9">
        <v>145.08000000000001</v>
      </c>
      <c r="D207" s="3" t="s">
        <v>3204</v>
      </c>
      <c r="E207" s="10">
        <v>45672.331666666672</v>
      </c>
      <c r="F207" s="10">
        <v>45672.339236111111</v>
      </c>
      <c r="G207" s="10">
        <v>45672.364421296297</v>
      </c>
      <c r="H207" s="10">
        <v>45672.364421296297</v>
      </c>
      <c r="I207" s="10">
        <v>45672.364421296297</v>
      </c>
      <c r="J207" s="10">
        <v>45672.365254629629</v>
      </c>
      <c r="K207" s="11">
        <f t="shared" si="15"/>
        <v>7.5694444385590032E-3</v>
      </c>
      <c r="L207" s="11">
        <f t="shared" si="16"/>
        <v>2.5185185186273884E-2</v>
      </c>
      <c r="M207" s="11">
        <f t="shared" si="17"/>
        <v>0</v>
      </c>
      <c r="N207" s="11">
        <f t="shared" si="18"/>
        <v>8.3333333168411627E-4</v>
      </c>
      <c r="O207" s="11">
        <f t="shared" si="19"/>
        <v>3.3587962956517003E-2</v>
      </c>
    </row>
    <row r="208" spans="1:15" x14ac:dyDescent="0.25">
      <c r="A208" s="3" t="s">
        <v>1742</v>
      </c>
      <c r="B208" s="3" t="s">
        <v>527</v>
      </c>
      <c r="C208" s="9">
        <v>108</v>
      </c>
      <c r="D208" s="3" t="s">
        <v>3205</v>
      </c>
      <c r="E208" s="10">
        <v>45672.334641203714</v>
      </c>
      <c r="F208" s="10">
        <v>45672.340868055559</v>
      </c>
      <c r="G208" s="10">
        <v>45672.359618055547</v>
      </c>
      <c r="H208" s="10">
        <v>45672.359618055547</v>
      </c>
      <c r="I208" s="10">
        <v>45672.359618055547</v>
      </c>
      <c r="J208" s="10">
        <v>45672.36041666667</v>
      </c>
      <c r="K208" s="11">
        <f t="shared" si="15"/>
        <v>6.2268518449855037E-3</v>
      </c>
      <c r="L208" s="11">
        <f t="shared" si="16"/>
        <v>1.8749999988358468E-2</v>
      </c>
      <c r="M208" s="11">
        <f t="shared" si="17"/>
        <v>0</v>
      </c>
      <c r="N208" s="11">
        <f t="shared" si="18"/>
        <v>7.9861112317303196E-4</v>
      </c>
      <c r="O208" s="11">
        <f t="shared" si="19"/>
        <v>2.5775462956517003E-2</v>
      </c>
    </row>
    <row r="209" spans="1:15" x14ac:dyDescent="0.25">
      <c r="A209" s="3" t="s">
        <v>1745</v>
      </c>
      <c r="B209" s="3" t="s">
        <v>500</v>
      </c>
      <c r="C209" s="9">
        <v>256.98</v>
      </c>
      <c r="D209" s="3" t="s">
        <v>3201</v>
      </c>
      <c r="E209" s="10">
        <v>45672.337604166663</v>
      </c>
      <c r="F209" s="10">
        <v>45672.34275462963</v>
      </c>
      <c r="G209" s="10">
        <v>45672.387372685182</v>
      </c>
      <c r="H209" s="10">
        <v>45672.387372685182</v>
      </c>
      <c r="I209" s="10">
        <v>45672.387372685182</v>
      </c>
      <c r="J209" s="10">
        <v>45672.388506944437</v>
      </c>
      <c r="K209" s="11">
        <f t="shared" si="15"/>
        <v>5.1504629664123058E-3</v>
      </c>
      <c r="L209" s="11">
        <f t="shared" si="16"/>
        <v>4.4618055551836733E-2</v>
      </c>
      <c r="M209" s="11">
        <f t="shared" si="17"/>
        <v>0</v>
      </c>
      <c r="N209" s="11">
        <f t="shared" si="18"/>
        <v>1.1342592551955022E-3</v>
      </c>
      <c r="O209" s="11">
        <f t="shared" si="19"/>
        <v>5.0902777773444541E-2</v>
      </c>
    </row>
    <row r="210" spans="1:15" x14ac:dyDescent="0.25">
      <c r="A210" s="3" t="s">
        <v>1748</v>
      </c>
      <c r="B210" s="3" t="s">
        <v>500</v>
      </c>
      <c r="C210" s="9">
        <v>374.06000000000012</v>
      </c>
      <c r="D210" s="3" t="s">
        <v>3194</v>
      </c>
      <c r="E210" s="10">
        <v>45672.362546296303</v>
      </c>
      <c r="F210" s="10">
        <v>45672.364189814813</v>
      </c>
      <c r="G210" s="10">
        <v>45672.429131944453</v>
      </c>
      <c r="H210" s="10">
        <v>45672.429131944453</v>
      </c>
      <c r="I210" s="10">
        <v>45672.429131944453</v>
      </c>
      <c r="J210" s="10">
        <v>45672.430532407408</v>
      </c>
      <c r="K210" s="11">
        <f t="shared" si="15"/>
        <v>1.6435185098089278E-3</v>
      </c>
      <c r="L210" s="11">
        <f t="shared" si="16"/>
        <v>6.4942129640257917E-2</v>
      </c>
      <c r="M210" s="11">
        <f t="shared" si="17"/>
        <v>0</v>
      </c>
      <c r="N210" s="11">
        <f t="shared" si="18"/>
        <v>1.4004629556438886E-3</v>
      </c>
      <c r="O210" s="11">
        <f t="shared" si="19"/>
        <v>6.7986111105710734E-2</v>
      </c>
    </row>
    <row r="211" spans="1:15" x14ac:dyDescent="0.25">
      <c r="A211" s="3" t="s">
        <v>1724</v>
      </c>
      <c r="B211" s="3" t="s">
        <v>506</v>
      </c>
      <c r="C211" s="9">
        <v>108.7</v>
      </c>
      <c r="D211" s="3" t="s">
        <v>3197</v>
      </c>
      <c r="E211" s="10">
        <v>45672.39162037037</v>
      </c>
      <c r="F211" s="10">
        <v>45672.394652777781</v>
      </c>
      <c r="G211" s="10">
        <v>45672.413530092592</v>
      </c>
      <c r="H211" s="10">
        <v>45672.413530092592</v>
      </c>
      <c r="I211" s="10">
        <v>45672.413530092592</v>
      </c>
      <c r="J211" s="10">
        <v>45672.4143287037</v>
      </c>
      <c r="K211" s="11">
        <f t="shared" si="15"/>
        <v>3.0324074105010368E-3</v>
      </c>
      <c r="L211" s="11">
        <f t="shared" si="16"/>
        <v>1.8877314811106771E-2</v>
      </c>
      <c r="M211" s="11">
        <f t="shared" si="17"/>
        <v>0</v>
      </c>
      <c r="N211" s="11">
        <f t="shared" si="18"/>
        <v>7.9861110862111673E-4</v>
      </c>
      <c r="O211" s="11">
        <f t="shared" si="19"/>
        <v>2.2708333330228925E-2</v>
      </c>
    </row>
    <row r="212" spans="1:15" x14ac:dyDescent="0.25">
      <c r="A212" s="3" t="s">
        <v>1770</v>
      </c>
      <c r="B212" s="3" t="s">
        <v>500</v>
      </c>
      <c r="C212" s="9">
        <v>281.39999999999998</v>
      </c>
      <c r="D212" s="3" t="s">
        <v>3205</v>
      </c>
      <c r="E212" s="10">
        <v>45672.404398148137</v>
      </c>
      <c r="F212" s="10">
        <v>45672.41065972222</v>
      </c>
      <c r="G212" s="10">
        <v>45672.459513888891</v>
      </c>
      <c r="H212" s="10">
        <v>45672.459513888891</v>
      </c>
      <c r="I212" s="10">
        <v>45672.459513888891</v>
      </c>
      <c r="J212" s="10">
        <v>45672.460717592592</v>
      </c>
      <c r="K212" s="11">
        <f t="shared" si="15"/>
        <v>6.2615740826004185E-3</v>
      </c>
      <c r="L212" s="11">
        <f t="shared" si="16"/>
        <v>4.8854166670935228E-2</v>
      </c>
      <c r="M212" s="11">
        <f t="shared" si="17"/>
        <v>0</v>
      </c>
      <c r="N212" s="11">
        <f t="shared" si="18"/>
        <v>1.2037037013215013E-3</v>
      </c>
      <c r="O212" s="11">
        <f t="shared" si="19"/>
        <v>5.6319444454857148E-2</v>
      </c>
    </row>
    <row r="213" spans="1:15" x14ac:dyDescent="0.25">
      <c r="A213" s="3" t="s">
        <v>1698</v>
      </c>
      <c r="B213" s="3" t="s">
        <v>563</v>
      </c>
      <c r="C213" s="9">
        <v>114.8</v>
      </c>
      <c r="D213" s="3" t="s">
        <v>3198</v>
      </c>
      <c r="E213" s="10">
        <v>45672.429166666669</v>
      </c>
      <c r="F213" s="10">
        <v>45672.430868055562</v>
      </c>
      <c r="G213" s="10">
        <v>45672.450798611113</v>
      </c>
      <c r="H213" s="10">
        <v>45672.450798611113</v>
      </c>
      <c r="I213" s="10">
        <v>45672.450798611113</v>
      </c>
      <c r="J213" s="10">
        <v>45672.451597222222</v>
      </c>
      <c r="K213" s="11">
        <f t="shared" si="15"/>
        <v>1.7013888937071897E-3</v>
      </c>
      <c r="L213" s="11">
        <f t="shared" si="16"/>
        <v>1.993055555067258E-2</v>
      </c>
      <c r="M213" s="11">
        <f t="shared" si="17"/>
        <v>0</v>
      </c>
      <c r="N213" s="11">
        <f t="shared" si="18"/>
        <v>7.9861110862111673E-4</v>
      </c>
      <c r="O213" s="11">
        <f t="shared" si="19"/>
        <v>2.2430555553000886E-2</v>
      </c>
    </row>
    <row r="214" spans="1:15" x14ac:dyDescent="0.25">
      <c r="A214" s="3" t="s">
        <v>1777</v>
      </c>
      <c r="B214" s="3" t="s">
        <v>500</v>
      </c>
      <c r="C214" s="9">
        <v>252.6</v>
      </c>
      <c r="D214" s="3" t="s">
        <v>3201</v>
      </c>
      <c r="E214" s="10">
        <v>45672.429722222223</v>
      </c>
      <c r="F214" s="10">
        <v>45672.431377314817</v>
      </c>
      <c r="G214" s="10">
        <v>45672.475231481483</v>
      </c>
      <c r="H214" s="10">
        <v>45672.475231481483</v>
      </c>
      <c r="I214" s="10">
        <v>45672.475231481483</v>
      </c>
      <c r="J214" s="10">
        <v>45672.476354166669</v>
      </c>
      <c r="K214" s="11">
        <f t="shared" si="15"/>
        <v>1.6550925938645378E-3</v>
      </c>
      <c r="L214" s="11">
        <f t="shared" si="16"/>
        <v>4.3854166666278616E-2</v>
      </c>
      <c r="M214" s="11">
        <f t="shared" si="17"/>
        <v>0</v>
      </c>
      <c r="N214" s="11">
        <f t="shared" si="18"/>
        <v>1.1226851856918074E-3</v>
      </c>
      <c r="O214" s="11">
        <f t="shared" si="19"/>
        <v>4.6631944445834961E-2</v>
      </c>
    </row>
    <row r="215" spans="1:15" x14ac:dyDescent="0.25">
      <c r="A215" s="3" t="s">
        <v>1780</v>
      </c>
      <c r="B215" s="3" t="s">
        <v>500</v>
      </c>
      <c r="C215" s="9">
        <v>120.92</v>
      </c>
      <c r="D215" s="3" t="s">
        <v>3201</v>
      </c>
      <c r="E215" s="10">
        <v>45672.551747685182</v>
      </c>
      <c r="F215" s="10">
        <v>45672.552615740737</v>
      </c>
      <c r="G215" s="10">
        <v>45672.573599537027</v>
      </c>
      <c r="H215" s="10">
        <v>45672.573599537027</v>
      </c>
      <c r="I215" s="10">
        <v>45672.573599537027</v>
      </c>
      <c r="J215" s="10">
        <v>45672.574421296304</v>
      </c>
      <c r="K215" s="11">
        <f t="shared" si="15"/>
        <v>8.6805555474711582E-4</v>
      </c>
      <c r="L215" s="11">
        <f t="shared" si="16"/>
        <v>2.0983796290238388E-2</v>
      </c>
      <c r="M215" s="11">
        <f t="shared" si="17"/>
        <v>0</v>
      </c>
      <c r="N215" s="11">
        <f t="shared" si="18"/>
        <v>8.2175927673233673E-4</v>
      </c>
      <c r="O215" s="11">
        <f t="shared" si="19"/>
        <v>2.267361112171784E-2</v>
      </c>
    </row>
    <row r="216" spans="1:15" x14ac:dyDescent="0.25">
      <c r="A216" s="3" t="s">
        <v>1765</v>
      </c>
      <c r="B216" s="3" t="s">
        <v>527</v>
      </c>
      <c r="C216" s="9">
        <v>189</v>
      </c>
      <c r="D216" s="3" t="s">
        <v>3204</v>
      </c>
      <c r="E216" s="10">
        <v>45672.657430555562</v>
      </c>
      <c r="F216" s="10">
        <v>45672.65829861111</v>
      </c>
      <c r="G216" s="10">
        <v>45672.691111111111</v>
      </c>
      <c r="H216" s="10">
        <v>45672.691111111111</v>
      </c>
      <c r="I216" s="10">
        <v>45672.691111111111</v>
      </c>
      <c r="J216" s="10">
        <v>45672.692048611112</v>
      </c>
      <c r="K216" s="11">
        <f t="shared" si="15"/>
        <v>8.6805554747115821E-4</v>
      </c>
      <c r="L216" s="11">
        <f t="shared" si="16"/>
        <v>3.2812500001455192E-2</v>
      </c>
      <c r="M216" s="11">
        <f t="shared" si="17"/>
        <v>0</v>
      </c>
      <c r="N216" s="11">
        <f t="shared" si="18"/>
        <v>9.3750000087311491E-4</v>
      </c>
      <c r="O216" s="11">
        <f t="shared" si="19"/>
        <v>3.4618055549799465E-2</v>
      </c>
    </row>
    <row r="217" spans="1:15" x14ac:dyDescent="0.25">
      <c r="A217" s="3" t="s">
        <v>1755</v>
      </c>
      <c r="B217" s="3" t="s">
        <v>515</v>
      </c>
      <c r="C217" s="9">
        <v>102.76</v>
      </c>
      <c r="D217" s="3" t="s">
        <v>3203</v>
      </c>
      <c r="E217" s="10">
        <v>45672.665578703702</v>
      </c>
      <c r="F217" s="10">
        <v>45672.667210648149</v>
      </c>
      <c r="G217" s="10">
        <v>45672.685057870367</v>
      </c>
      <c r="H217" s="10">
        <v>45672.685057870367</v>
      </c>
      <c r="I217" s="10">
        <v>45672.685057870367</v>
      </c>
      <c r="J217" s="10">
        <v>45672.685752314806</v>
      </c>
      <c r="K217" s="11">
        <f t="shared" si="15"/>
        <v>1.6319444475811906E-3</v>
      </c>
      <c r="L217" s="11">
        <f t="shared" si="16"/>
        <v>1.784722221782431E-2</v>
      </c>
      <c r="M217" s="11">
        <f t="shared" si="17"/>
        <v>0</v>
      </c>
      <c r="N217" s="11">
        <f t="shared" si="18"/>
        <v>6.9444443943211809E-4</v>
      </c>
      <c r="O217" s="11">
        <f t="shared" si="19"/>
        <v>2.0173611104837619E-2</v>
      </c>
    </row>
    <row r="218" spans="1:15" x14ac:dyDescent="0.25">
      <c r="A218" s="3" t="s">
        <v>1727</v>
      </c>
      <c r="B218" s="3" t="s">
        <v>519</v>
      </c>
      <c r="C218" s="9">
        <v>223.9</v>
      </c>
      <c r="D218" s="3" t="s">
        <v>3200</v>
      </c>
      <c r="E218" s="10">
        <v>45672.669398148151</v>
      </c>
      <c r="F218" s="10">
        <v>45672.671979166669</v>
      </c>
      <c r="G218" s="10">
        <v>45672.710856481477</v>
      </c>
      <c r="H218" s="10">
        <v>45672.710856481477</v>
      </c>
      <c r="I218" s="10">
        <v>45672.710856481477</v>
      </c>
      <c r="J218" s="10">
        <v>45672.711886574078</v>
      </c>
      <c r="K218" s="11">
        <f t="shared" si="15"/>
        <v>2.5810185179580003E-3</v>
      </c>
      <c r="L218" s="11">
        <f t="shared" si="16"/>
        <v>3.887731480790535E-2</v>
      </c>
      <c r="M218" s="11">
        <f t="shared" si="17"/>
        <v>0</v>
      </c>
      <c r="N218" s="11">
        <f t="shared" si="18"/>
        <v>1.0300926005584188E-3</v>
      </c>
      <c r="O218" s="11">
        <f t="shared" si="19"/>
        <v>4.2488425926421769E-2</v>
      </c>
    </row>
    <row r="219" spans="1:15" x14ac:dyDescent="0.25">
      <c r="A219" s="3" t="s">
        <v>1806</v>
      </c>
      <c r="B219" s="3" t="s">
        <v>500</v>
      </c>
      <c r="C219" s="9">
        <v>110.18</v>
      </c>
      <c r="D219" s="3" t="s">
        <v>3205</v>
      </c>
      <c r="E219" s="10">
        <v>45672.670243055552</v>
      </c>
      <c r="F219" s="10">
        <v>45672.686747685177</v>
      </c>
      <c r="G219" s="10">
        <v>45672.705879629633</v>
      </c>
      <c r="H219" s="10">
        <v>45672.705879629633</v>
      </c>
      <c r="I219" s="10">
        <v>45672.705879629633</v>
      </c>
      <c r="J219" s="10">
        <v>45672.706678240742</v>
      </c>
      <c r="K219" s="11">
        <f t="shared" si="15"/>
        <v>1.6504629624250811E-2</v>
      </c>
      <c r="L219" s="11">
        <f t="shared" si="16"/>
        <v>1.9131944456603378E-2</v>
      </c>
      <c r="M219" s="11">
        <f t="shared" si="17"/>
        <v>0</v>
      </c>
      <c r="N219" s="11">
        <f t="shared" si="18"/>
        <v>7.9861110862111673E-4</v>
      </c>
      <c r="O219" s="11">
        <f t="shared" si="19"/>
        <v>3.6435185189475305E-2</v>
      </c>
    </row>
    <row r="220" spans="1:15" x14ac:dyDescent="0.25">
      <c r="A220" s="3" t="s">
        <v>1809</v>
      </c>
      <c r="B220" s="3" t="s">
        <v>500</v>
      </c>
      <c r="C220" s="9">
        <v>325.36000000000013</v>
      </c>
      <c r="D220" s="3" t="s">
        <v>3203</v>
      </c>
      <c r="E220" s="10">
        <v>45672.731099537043</v>
      </c>
      <c r="F220" s="10">
        <v>45672.73196759259</v>
      </c>
      <c r="G220" s="10">
        <v>45672.788460648153</v>
      </c>
      <c r="H220" s="10">
        <v>45672.788460648153</v>
      </c>
      <c r="I220" s="10">
        <v>45672.788460648153</v>
      </c>
      <c r="J220" s="10">
        <v>45672.789675925917</v>
      </c>
      <c r="K220" s="11">
        <f t="shared" si="15"/>
        <v>8.6805554747115821E-4</v>
      </c>
      <c r="L220" s="11">
        <f t="shared" si="16"/>
        <v>5.6493055562896188E-2</v>
      </c>
      <c r="M220" s="11">
        <f t="shared" si="17"/>
        <v>0</v>
      </c>
      <c r="N220" s="11">
        <f t="shared" si="18"/>
        <v>1.2152777635492384E-3</v>
      </c>
      <c r="O220" s="11">
        <f t="shared" si="19"/>
        <v>5.8576388873916585E-2</v>
      </c>
    </row>
    <row r="221" spans="1:15" x14ac:dyDescent="0.25">
      <c r="A221" s="3" t="s">
        <v>1792</v>
      </c>
      <c r="B221" s="3" t="s">
        <v>506</v>
      </c>
      <c r="C221" s="9">
        <v>116.94</v>
      </c>
      <c r="D221" s="3" t="s">
        <v>3197</v>
      </c>
      <c r="E221" s="10">
        <v>45672.763310185182</v>
      </c>
      <c r="F221" s="10">
        <v>45672.764155092591</v>
      </c>
      <c r="G221" s="10">
        <v>45672.784456018519</v>
      </c>
      <c r="H221" s="10">
        <v>45672.784456018519</v>
      </c>
      <c r="I221" s="10">
        <v>45672.784456018519</v>
      </c>
      <c r="J221" s="10">
        <v>45672.785277777781</v>
      </c>
      <c r="K221" s="11">
        <f t="shared" si="15"/>
        <v>8.4490740846376866E-4</v>
      </c>
      <c r="L221" s="11">
        <f t="shared" si="16"/>
        <v>2.0300925927585922E-2</v>
      </c>
      <c r="M221" s="11">
        <f t="shared" si="17"/>
        <v>0</v>
      </c>
      <c r="N221" s="11">
        <f t="shared" si="18"/>
        <v>8.217592621804215E-4</v>
      </c>
      <c r="O221" s="11">
        <f t="shared" si="19"/>
        <v>2.1967592598230112E-2</v>
      </c>
    </row>
    <row r="222" spans="1:15" x14ac:dyDescent="0.25">
      <c r="A222" s="3" t="s">
        <v>1732</v>
      </c>
      <c r="B222" s="3" t="s">
        <v>488</v>
      </c>
      <c r="C222" s="9">
        <v>118.54</v>
      </c>
      <c r="D222" s="3" t="s">
        <v>3206</v>
      </c>
      <c r="E222" s="10">
        <v>45672.765289351853</v>
      </c>
      <c r="F222" s="10">
        <v>45672.778344907398</v>
      </c>
      <c r="G222" s="10">
        <v>45672.79892361111</v>
      </c>
      <c r="H222" s="10">
        <v>45672.79892361111</v>
      </c>
      <c r="I222" s="10">
        <v>45672.79892361111</v>
      </c>
      <c r="J222" s="10">
        <v>45672.799803240741</v>
      </c>
      <c r="K222" s="11">
        <f t="shared" si="15"/>
        <v>1.3055555544269737E-2</v>
      </c>
      <c r="L222" s="11">
        <f t="shared" si="16"/>
        <v>2.0578703712089919E-2</v>
      </c>
      <c r="M222" s="11">
        <f t="shared" si="17"/>
        <v>0</v>
      </c>
      <c r="N222" s="11">
        <f t="shared" si="18"/>
        <v>8.7962963152676821E-4</v>
      </c>
      <c r="O222" s="11">
        <f t="shared" si="19"/>
        <v>3.4513888887886424E-2</v>
      </c>
    </row>
    <row r="223" spans="1:15" x14ac:dyDescent="0.25">
      <c r="A223" s="3" t="s">
        <v>1762</v>
      </c>
      <c r="B223" s="3" t="s">
        <v>533</v>
      </c>
      <c r="C223" s="9">
        <v>125.92</v>
      </c>
      <c r="D223" s="3" t="s">
        <v>3199</v>
      </c>
      <c r="E223" s="10">
        <v>45672.776562500003</v>
      </c>
      <c r="F223" s="10">
        <v>45672.786157407398</v>
      </c>
      <c r="G223" s="10">
        <v>45672.808009259257</v>
      </c>
      <c r="H223" s="10">
        <v>45672.808009259257</v>
      </c>
      <c r="I223" s="10">
        <v>45672.808009259257</v>
      </c>
      <c r="J223" s="10">
        <v>45672.808692129627</v>
      </c>
      <c r="K223" s="11">
        <f t="shared" si="15"/>
        <v>9.5949073947849683E-3</v>
      </c>
      <c r="L223" s="11">
        <f t="shared" si="16"/>
        <v>2.1851851859537419E-2</v>
      </c>
      <c r="M223" s="11">
        <f t="shared" si="17"/>
        <v>0</v>
      </c>
      <c r="N223" s="11">
        <f t="shared" si="18"/>
        <v>6.8287036992842332E-4</v>
      </c>
      <c r="O223" s="11">
        <f t="shared" si="19"/>
        <v>3.2129629624250811E-2</v>
      </c>
    </row>
    <row r="224" spans="1:15" x14ac:dyDescent="0.25">
      <c r="A224" s="3" t="s">
        <v>1826</v>
      </c>
      <c r="B224" s="3" t="s">
        <v>488</v>
      </c>
      <c r="C224" s="9">
        <v>144.80000000000001</v>
      </c>
      <c r="D224" s="3" t="s">
        <v>3203</v>
      </c>
      <c r="E224" s="10">
        <v>45673.124016203707</v>
      </c>
      <c r="F224" s="10">
        <v>45673.124803240738</v>
      </c>
      <c r="G224" s="10">
        <v>45673.149942129632</v>
      </c>
      <c r="H224" s="10">
        <v>45673.149942129632</v>
      </c>
      <c r="I224" s="10">
        <v>45673.149942129632</v>
      </c>
      <c r="J224" s="10">
        <v>45673.150740740741</v>
      </c>
      <c r="K224" s="11">
        <f t="shared" si="15"/>
        <v>7.8703703184146434E-4</v>
      </c>
      <c r="L224" s="11">
        <f t="shared" si="16"/>
        <v>2.513888889370719E-2</v>
      </c>
      <c r="M224" s="11">
        <f t="shared" si="17"/>
        <v>0</v>
      </c>
      <c r="N224" s="11">
        <f t="shared" si="18"/>
        <v>7.9861110862111673E-4</v>
      </c>
      <c r="O224" s="11">
        <f t="shared" si="19"/>
        <v>2.6724537034169771E-2</v>
      </c>
    </row>
    <row r="225" spans="1:15" x14ac:dyDescent="0.25">
      <c r="A225" s="3" t="s">
        <v>1846</v>
      </c>
      <c r="B225" s="3" t="s">
        <v>500</v>
      </c>
      <c r="C225" s="9">
        <v>297</v>
      </c>
      <c r="D225" s="3" t="s">
        <v>3203</v>
      </c>
      <c r="E225" s="10">
        <v>45673.276979166672</v>
      </c>
      <c r="F225" s="10">
        <v>45673.27784722222</v>
      </c>
      <c r="G225" s="10">
        <v>45673.329409722217</v>
      </c>
      <c r="H225" s="10">
        <v>45673.329409722217</v>
      </c>
      <c r="I225" s="10">
        <v>45673.329409722217</v>
      </c>
      <c r="J225" s="10">
        <v>45673.330567129633</v>
      </c>
      <c r="K225" s="11">
        <f t="shared" si="15"/>
        <v>8.6805554747115821E-4</v>
      </c>
      <c r="L225" s="11">
        <f t="shared" si="16"/>
        <v>5.1562499997089617E-2</v>
      </c>
      <c r="M225" s="11">
        <f t="shared" si="17"/>
        <v>0</v>
      </c>
      <c r="N225" s="11">
        <f t="shared" si="18"/>
        <v>1.1574074160307646E-3</v>
      </c>
      <c r="O225" s="11">
        <f t="shared" si="19"/>
        <v>5.358796296059154E-2</v>
      </c>
    </row>
    <row r="226" spans="1:15" x14ac:dyDescent="0.25">
      <c r="A226" s="3" t="s">
        <v>1873</v>
      </c>
      <c r="B226" s="3" t="s">
        <v>500</v>
      </c>
      <c r="C226" s="9">
        <v>126</v>
      </c>
      <c r="D226" s="3" t="s">
        <v>3197</v>
      </c>
      <c r="E226" s="10">
        <v>45673.312071759261</v>
      </c>
      <c r="F226" s="10">
        <v>45673.312905092593</v>
      </c>
      <c r="G226" s="10">
        <v>45673.334780092591</v>
      </c>
      <c r="H226" s="10">
        <v>45673.334780092591</v>
      </c>
      <c r="I226" s="10">
        <v>45673.334780092591</v>
      </c>
      <c r="J226" s="10">
        <v>45673.335625</v>
      </c>
      <c r="K226" s="11">
        <f t="shared" si="15"/>
        <v>8.3333333168411627E-4</v>
      </c>
      <c r="L226" s="11">
        <f t="shared" si="16"/>
        <v>2.1874999998544808E-2</v>
      </c>
      <c r="M226" s="11">
        <f t="shared" si="17"/>
        <v>0</v>
      </c>
      <c r="N226" s="11">
        <f t="shared" si="18"/>
        <v>8.4490740846376866E-4</v>
      </c>
      <c r="O226" s="11">
        <f t="shared" si="19"/>
        <v>2.3553240738692693E-2</v>
      </c>
    </row>
    <row r="227" spans="1:15" x14ac:dyDescent="0.25">
      <c r="A227" s="3" t="s">
        <v>1823</v>
      </c>
      <c r="B227" s="3" t="s">
        <v>506</v>
      </c>
      <c r="C227" s="9">
        <v>124.44</v>
      </c>
      <c r="D227" s="3" t="s">
        <v>3194</v>
      </c>
      <c r="E227" s="10">
        <v>45673.327187499999</v>
      </c>
      <c r="F227" s="10">
        <v>45673.335520833331</v>
      </c>
      <c r="G227" s="10">
        <v>45673.357129629629</v>
      </c>
      <c r="H227" s="10">
        <v>45673.357129629629</v>
      </c>
      <c r="I227" s="10">
        <v>45673.357129629629</v>
      </c>
      <c r="J227" s="10">
        <v>45673.357951388891</v>
      </c>
      <c r="K227" s="11">
        <f t="shared" si="15"/>
        <v>8.333333331393078E-3</v>
      </c>
      <c r="L227" s="11">
        <f t="shared" si="16"/>
        <v>2.1608796298096422E-2</v>
      </c>
      <c r="M227" s="11">
        <f t="shared" si="17"/>
        <v>0</v>
      </c>
      <c r="N227" s="11">
        <f t="shared" si="18"/>
        <v>8.217592621804215E-4</v>
      </c>
      <c r="O227" s="11">
        <f t="shared" si="19"/>
        <v>3.0763888891669922E-2</v>
      </c>
    </row>
    <row r="228" spans="1:15" x14ac:dyDescent="0.25">
      <c r="A228" s="3" t="s">
        <v>1712</v>
      </c>
      <c r="B228" s="3" t="s">
        <v>492</v>
      </c>
      <c r="C228" s="9">
        <v>107.86</v>
      </c>
      <c r="D228" s="3" t="s">
        <v>3195</v>
      </c>
      <c r="E228" s="10">
        <v>45673.340532407397</v>
      </c>
      <c r="F228" s="10">
        <v>45673.341365740736</v>
      </c>
      <c r="G228" s="10">
        <v>45673.360092592593</v>
      </c>
      <c r="H228" s="10">
        <v>45673.360092592593</v>
      </c>
      <c r="I228" s="10">
        <v>45673.360092592593</v>
      </c>
      <c r="J228" s="10">
        <v>45673.360937500001</v>
      </c>
      <c r="K228" s="11">
        <f t="shared" si="15"/>
        <v>8.3333333896007389E-4</v>
      </c>
      <c r="L228" s="11">
        <f t="shared" si="16"/>
        <v>1.8726851856627036E-2</v>
      </c>
      <c r="M228" s="11">
        <f t="shared" si="17"/>
        <v>0</v>
      </c>
      <c r="N228" s="11">
        <f t="shared" si="18"/>
        <v>8.4490740846376866E-4</v>
      </c>
      <c r="O228" s="11">
        <f t="shared" si="19"/>
        <v>2.0405092604050878E-2</v>
      </c>
    </row>
    <row r="229" spans="1:15" x14ac:dyDescent="0.25">
      <c r="A229" s="3" t="s">
        <v>1876</v>
      </c>
      <c r="B229" s="3" t="s">
        <v>500</v>
      </c>
      <c r="C229" s="9">
        <v>396.56000000000012</v>
      </c>
      <c r="D229" s="3" t="s">
        <v>3203</v>
      </c>
      <c r="E229" s="10">
        <v>45673.343935185178</v>
      </c>
      <c r="F229" s="10">
        <v>45673.345671296287</v>
      </c>
      <c r="G229" s="10">
        <v>45673.414525462962</v>
      </c>
      <c r="H229" s="10">
        <v>45673.414525462962</v>
      </c>
      <c r="I229" s="10">
        <v>45673.414525462962</v>
      </c>
      <c r="J229" s="10">
        <v>45673.415902777779</v>
      </c>
      <c r="K229" s="11">
        <f t="shared" si="15"/>
        <v>1.7361111094942316E-3</v>
      </c>
      <c r="L229" s="11">
        <f t="shared" si="16"/>
        <v>6.8854166675009765E-2</v>
      </c>
      <c r="M229" s="11">
        <f t="shared" si="17"/>
        <v>0</v>
      </c>
      <c r="N229" s="11">
        <f t="shared" si="18"/>
        <v>1.377314816636499E-3</v>
      </c>
      <c r="O229" s="11">
        <f t="shared" si="19"/>
        <v>7.1967592601140495E-2</v>
      </c>
    </row>
    <row r="230" spans="1:15" x14ac:dyDescent="0.25">
      <c r="A230" s="3" t="s">
        <v>1899</v>
      </c>
      <c r="B230" s="3" t="s">
        <v>572</v>
      </c>
      <c r="C230" s="9">
        <v>208.6</v>
      </c>
      <c r="D230" s="3" t="s">
        <v>3195</v>
      </c>
      <c r="E230" s="10">
        <v>45673.390555555547</v>
      </c>
      <c r="F230" s="10">
        <v>45673.391400462962</v>
      </c>
      <c r="G230" s="10">
        <v>45673.427615740737</v>
      </c>
      <c r="H230" s="10">
        <v>45673.427615740737</v>
      </c>
      <c r="I230" s="10">
        <v>45673.427615740737</v>
      </c>
      <c r="J230" s="10">
        <v>45673.42869212963</v>
      </c>
      <c r="K230" s="11">
        <f t="shared" si="15"/>
        <v>8.4490741573972628E-4</v>
      </c>
      <c r="L230" s="11">
        <f t="shared" si="16"/>
        <v>3.6215277774317656E-2</v>
      </c>
      <c r="M230" s="11">
        <f t="shared" si="17"/>
        <v>0</v>
      </c>
      <c r="N230" s="11">
        <f t="shared" si="18"/>
        <v>1.0763888931251131E-3</v>
      </c>
      <c r="O230" s="11">
        <f t="shared" si="19"/>
        <v>3.8136574083182495E-2</v>
      </c>
    </row>
    <row r="231" spans="1:15" x14ac:dyDescent="0.25">
      <c r="A231" s="3" t="s">
        <v>1902</v>
      </c>
      <c r="B231" s="3" t="s">
        <v>500</v>
      </c>
      <c r="C231" s="9">
        <v>180.8</v>
      </c>
      <c r="D231" s="3" t="s">
        <v>3197</v>
      </c>
      <c r="E231" s="10">
        <v>45673.39266203704</v>
      </c>
      <c r="F231" s="10">
        <v>45673.394270833327</v>
      </c>
      <c r="G231" s="10">
        <v>45673.425659722219</v>
      </c>
      <c r="H231" s="10">
        <v>45673.425659722219</v>
      </c>
      <c r="I231" s="10">
        <v>45673.425659722219</v>
      </c>
      <c r="J231" s="10">
        <v>45673.426620370366</v>
      </c>
      <c r="K231" s="11">
        <f t="shared" si="15"/>
        <v>1.6087962867459282E-3</v>
      </c>
      <c r="L231" s="11">
        <f t="shared" si="16"/>
        <v>3.1388888892251998E-2</v>
      </c>
      <c r="M231" s="11">
        <f t="shared" si="17"/>
        <v>0</v>
      </c>
      <c r="N231" s="11">
        <f t="shared" si="18"/>
        <v>9.6064814715646207E-4</v>
      </c>
      <c r="O231" s="11">
        <f t="shared" si="19"/>
        <v>3.3958333326154388E-2</v>
      </c>
    </row>
    <row r="232" spans="1:15" x14ac:dyDescent="0.25">
      <c r="A232" s="3" t="s">
        <v>1836</v>
      </c>
      <c r="B232" s="3" t="s">
        <v>519</v>
      </c>
      <c r="C232" s="9">
        <v>100.5</v>
      </c>
      <c r="D232" s="3" t="s">
        <v>3205</v>
      </c>
      <c r="E232" s="10">
        <v>45673.428900462961</v>
      </c>
      <c r="F232" s="10">
        <v>45673.456516203703</v>
      </c>
      <c r="G232" s="10">
        <v>45673.473969907413</v>
      </c>
      <c r="H232" s="10">
        <v>45673.473969907413</v>
      </c>
      <c r="I232" s="10">
        <v>45673.473969907413</v>
      </c>
      <c r="J232" s="10">
        <v>45673.474745370368</v>
      </c>
      <c r="K232" s="11">
        <f t="shared" si="15"/>
        <v>2.7615740742476191E-2</v>
      </c>
      <c r="L232" s="11">
        <f t="shared" si="16"/>
        <v>1.7453703709179536E-2</v>
      </c>
      <c r="M232" s="11">
        <f t="shared" si="17"/>
        <v>0</v>
      </c>
      <c r="N232" s="11">
        <f t="shared" si="18"/>
        <v>7.7546295506181195E-4</v>
      </c>
      <c r="O232" s="11">
        <f t="shared" si="19"/>
        <v>4.5844907406717539E-2</v>
      </c>
    </row>
    <row r="233" spans="1:15" x14ac:dyDescent="0.25">
      <c r="A233" s="3" t="s">
        <v>1820</v>
      </c>
      <c r="B233" s="3" t="s">
        <v>527</v>
      </c>
      <c r="C233" s="9">
        <v>108</v>
      </c>
      <c r="D233" s="3" t="s">
        <v>3204</v>
      </c>
      <c r="E233" s="10">
        <v>45673.428900462961</v>
      </c>
      <c r="F233" s="10">
        <v>45673.430636574078</v>
      </c>
      <c r="G233" s="10">
        <v>45673.449386574073</v>
      </c>
      <c r="H233" s="10">
        <v>45673.449386574073</v>
      </c>
      <c r="I233" s="10">
        <v>45673.449386574073</v>
      </c>
      <c r="J233" s="10">
        <v>45673.450127314813</v>
      </c>
      <c r="K233" s="11">
        <f t="shared" si="15"/>
        <v>1.7361111167701893E-3</v>
      </c>
      <c r="L233" s="11">
        <f t="shared" si="16"/>
        <v>1.8749999995634425E-2</v>
      </c>
      <c r="M233" s="11">
        <f t="shared" si="17"/>
        <v>0</v>
      </c>
      <c r="N233" s="11">
        <f t="shared" si="18"/>
        <v>7.4074073927477002E-4</v>
      </c>
      <c r="O233" s="11">
        <f t="shared" si="19"/>
        <v>2.1226851851679385E-2</v>
      </c>
    </row>
    <row r="234" spans="1:15" x14ac:dyDescent="0.25">
      <c r="A234" s="3" t="s">
        <v>1686</v>
      </c>
      <c r="B234" s="3" t="s">
        <v>539</v>
      </c>
      <c r="C234" s="9">
        <v>317.64</v>
      </c>
      <c r="D234" s="3" t="s">
        <v>3193</v>
      </c>
      <c r="E234" s="10">
        <v>45673.43310185185</v>
      </c>
      <c r="F234" s="10">
        <v>45673.543124999997</v>
      </c>
      <c r="G234" s="10">
        <v>45673.598275462973</v>
      </c>
      <c r="H234" s="10">
        <v>45673.598275462973</v>
      </c>
      <c r="I234" s="10">
        <v>45673.598275462973</v>
      </c>
      <c r="J234" s="10">
        <v>45673.599432870367</v>
      </c>
      <c r="K234" s="11">
        <f t="shared" si="15"/>
        <v>0.11002314814686542</v>
      </c>
      <c r="L234" s="11">
        <f t="shared" si="16"/>
        <v>5.5150462976598646E-2</v>
      </c>
      <c r="M234" s="11">
        <f t="shared" si="17"/>
        <v>0</v>
      </c>
      <c r="N234" s="11">
        <f t="shared" si="18"/>
        <v>1.1574073942028917E-3</v>
      </c>
      <c r="O234" s="11">
        <f t="shared" si="19"/>
        <v>0.16633101851766696</v>
      </c>
    </row>
    <row r="235" spans="1:15" x14ac:dyDescent="0.25">
      <c r="A235" s="3" t="s">
        <v>1908</v>
      </c>
      <c r="B235" s="3" t="s">
        <v>500</v>
      </c>
      <c r="C235" s="9">
        <v>338.34000000000009</v>
      </c>
      <c r="D235" s="3" t="s">
        <v>3195</v>
      </c>
      <c r="E235" s="10">
        <v>45673.457175925927</v>
      </c>
      <c r="F235" s="10">
        <v>45673.615995370368</v>
      </c>
      <c r="G235" s="10">
        <v>45673.674733796302</v>
      </c>
      <c r="H235" s="10">
        <v>45673.674733796302</v>
      </c>
      <c r="I235" s="10">
        <v>45673.674733796302</v>
      </c>
      <c r="J235" s="10">
        <v>45673.676111111112</v>
      </c>
      <c r="K235" s="11">
        <f t="shared" si="15"/>
        <v>0.15881944444117835</v>
      </c>
      <c r="L235" s="11">
        <f t="shared" si="16"/>
        <v>5.8738425934279803E-2</v>
      </c>
      <c r="M235" s="11">
        <f t="shared" si="17"/>
        <v>0</v>
      </c>
      <c r="N235" s="11">
        <f t="shared" si="18"/>
        <v>1.3773148093605414E-3</v>
      </c>
      <c r="O235" s="11">
        <f t="shared" si="19"/>
        <v>0.21893518518481869</v>
      </c>
    </row>
    <row r="236" spans="1:15" x14ac:dyDescent="0.25">
      <c r="A236" s="3" t="s">
        <v>1911</v>
      </c>
      <c r="B236" s="3" t="s">
        <v>500</v>
      </c>
      <c r="C236" s="9">
        <v>172.98</v>
      </c>
      <c r="D236" s="3" t="s">
        <v>3204</v>
      </c>
      <c r="E236" s="10">
        <v>45673.54378472222</v>
      </c>
      <c r="F236" s="10">
        <v>45673.643078703702</v>
      </c>
      <c r="G236" s="10">
        <v>45673.673101851848</v>
      </c>
      <c r="H236" s="10">
        <v>45673.673101851848</v>
      </c>
      <c r="I236" s="10">
        <v>45673.673101851848</v>
      </c>
      <c r="J236" s="10">
        <v>45673.674004629633</v>
      </c>
      <c r="K236" s="11">
        <f t="shared" si="15"/>
        <v>9.9293981482333038E-2</v>
      </c>
      <c r="L236" s="11">
        <f t="shared" si="16"/>
        <v>3.0023148145119194E-2</v>
      </c>
      <c r="M236" s="11">
        <f t="shared" si="17"/>
        <v>0</v>
      </c>
      <c r="N236" s="11">
        <f t="shared" si="18"/>
        <v>9.0277778508607298E-4</v>
      </c>
      <c r="O236" s="11">
        <f t="shared" si="19"/>
        <v>0.1302199074125383</v>
      </c>
    </row>
    <row r="237" spans="1:15" x14ac:dyDescent="0.25">
      <c r="A237" s="3" t="s">
        <v>1914</v>
      </c>
      <c r="B237" s="3" t="s">
        <v>500</v>
      </c>
      <c r="C237" s="9">
        <v>233.88</v>
      </c>
      <c r="D237" s="3" t="s">
        <v>3193</v>
      </c>
      <c r="E237" s="10">
        <v>45673.616655092592</v>
      </c>
      <c r="F237" s="10">
        <v>45673.655231481483</v>
      </c>
      <c r="G237" s="10">
        <v>45673.695844907408</v>
      </c>
      <c r="H237" s="10">
        <v>45673.695844907408</v>
      </c>
      <c r="I237" s="10">
        <v>45673.695844907408</v>
      </c>
      <c r="J237" s="10">
        <v>45673.696805555563</v>
      </c>
      <c r="K237" s="11">
        <f t="shared" si="15"/>
        <v>3.8576388891669922E-2</v>
      </c>
      <c r="L237" s="11">
        <f t="shared" si="16"/>
        <v>4.0613425924675539E-2</v>
      </c>
      <c r="M237" s="11">
        <f t="shared" si="17"/>
        <v>0</v>
      </c>
      <c r="N237" s="11">
        <f t="shared" si="18"/>
        <v>9.6064815443241969E-4</v>
      </c>
      <c r="O237" s="11">
        <f t="shared" si="19"/>
        <v>8.015046297077788E-2</v>
      </c>
    </row>
    <row r="238" spans="1:15" x14ac:dyDescent="0.25">
      <c r="A238" s="3" t="s">
        <v>1919</v>
      </c>
      <c r="B238" s="3" t="s">
        <v>506</v>
      </c>
      <c r="C238" s="9">
        <v>171.66</v>
      </c>
      <c r="D238" s="3" t="s">
        <v>3193</v>
      </c>
      <c r="E238" s="10">
        <v>45673.634560185194</v>
      </c>
      <c r="F238" s="10">
        <v>45673.683032407411</v>
      </c>
      <c r="G238" s="10">
        <v>45673.712835648148</v>
      </c>
      <c r="H238" s="10">
        <v>45673.712835648148</v>
      </c>
      <c r="I238" s="10">
        <v>45673.712835648148</v>
      </c>
      <c r="J238" s="10">
        <v>45673.71365740741</v>
      </c>
      <c r="K238" s="11">
        <f t="shared" si="15"/>
        <v>4.8472222217242233E-2</v>
      </c>
      <c r="L238" s="11">
        <f t="shared" si="16"/>
        <v>2.9803240737237502E-2</v>
      </c>
      <c r="M238" s="11">
        <f t="shared" si="17"/>
        <v>0</v>
      </c>
      <c r="N238" s="11">
        <f t="shared" si="18"/>
        <v>8.217592621804215E-4</v>
      </c>
      <c r="O238" s="11">
        <f t="shared" si="19"/>
        <v>7.9097222216660157E-2</v>
      </c>
    </row>
    <row r="239" spans="1:15" x14ac:dyDescent="0.25">
      <c r="A239" s="3" t="s">
        <v>1934</v>
      </c>
      <c r="B239" s="3" t="s">
        <v>500</v>
      </c>
      <c r="C239" s="9">
        <v>120.36</v>
      </c>
      <c r="D239" s="3" t="s">
        <v>3194</v>
      </c>
      <c r="E239" s="10">
        <v>45673.685219907413</v>
      </c>
      <c r="F239" s="10">
        <v>45673.751863425918</v>
      </c>
      <c r="G239" s="10">
        <v>45673.77275462963</v>
      </c>
      <c r="H239" s="10">
        <v>45673.77275462963</v>
      </c>
      <c r="I239" s="10">
        <v>45673.77275462963</v>
      </c>
      <c r="J239" s="10">
        <v>45673.773576388892</v>
      </c>
      <c r="K239" s="11">
        <f t="shared" si="15"/>
        <v>6.6643518504861277E-2</v>
      </c>
      <c r="L239" s="11">
        <f t="shared" si="16"/>
        <v>2.0891203712380957E-2</v>
      </c>
      <c r="M239" s="11">
        <f t="shared" si="17"/>
        <v>0</v>
      </c>
      <c r="N239" s="11">
        <f t="shared" si="18"/>
        <v>8.217592621804215E-4</v>
      </c>
      <c r="O239" s="11">
        <f t="shared" si="19"/>
        <v>8.8356481479422655E-2</v>
      </c>
    </row>
    <row r="240" spans="1:15" x14ac:dyDescent="0.25">
      <c r="A240" s="3" t="s">
        <v>1866</v>
      </c>
      <c r="B240" s="3" t="s">
        <v>488</v>
      </c>
      <c r="C240" s="9">
        <v>126</v>
      </c>
      <c r="D240" s="3" t="s">
        <v>3196</v>
      </c>
      <c r="E240" s="10">
        <v>45673.748645833337</v>
      </c>
      <c r="F240" s="10">
        <v>45673.861666666657</v>
      </c>
      <c r="G240" s="10">
        <v>45673.88354166667</v>
      </c>
      <c r="H240" s="10">
        <v>45673.88354166667</v>
      </c>
      <c r="I240" s="10">
        <v>45673.88354166667</v>
      </c>
      <c r="J240" s="10">
        <v>45673.884212962963</v>
      </c>
      <c r="K240" s="11">
        <f t="shared" si="15"/>
        <v>0.11302083331975155</v>
      </c>
      <c r="L240" s="11">
        <f t="shared" si="16"/>
        <v>2.1875000013096724E-2</v>
      </c>
      <c r="M240" s="11">
        <f t="shared" si="17"/>
        <v>0</v>
      </c>
      <c r="N240" s="11">
        <f t="shared" si="18"/>
        <v>6.7129629314877093E-4</v>
      </c>
      <c r="O240" s="11">
        <f t="shared" si="19"/>
        <v>0.13556712962599704</v>
      </c>
    </row>
    <row r="241" spans="1:15" x14ac:dyDescent="0.25">
      <c r="A241" s="3" t="s">
        <v>1945</v>
      </c>
      <c r="B241" s="3" t="s">
        <v>506</v>
      </c>
      <c r="C241" s="9">
        <v>373.32000000000011</v>
      </c>
      <c r="D241" s="3" t="s">
        <v>3193</v>
      </c>
      <c r="E241" s="10">
        <v>45673.748993055553</v>
      </c>
      <c r="F241" s="10">
        <v>45674.133692129632</v>
      </c>
      <c r="G241" s="10">
        <v>45674.198506944442</v>
      </c>
      <c r="H241" s="10">
        <v>45674.198506944442</v>
      </c>
      <c r="I241" s="10">
        <v>45674.198506944442</v>
      </c>
      <c r="J241" s="10">
        <v>45674.199791666673</v>
      </c>
      <c r="K241" s="11">
        <f t="shared" si="15"/>
        <v>0.38469907407852588</v>
      </c>
      <c r="L241" s="11">
        <f t="shared" si="16"/>
        <v>6.4814814810233656E-2</v>
      </c>
      <c r="M241" s="11">
        <f t="shared" si="17"/>
        <v>0</v>
      </c>
      <c r="N241" s="11">
        <f t="shared" si="18"/>
        <v>1.2847222315031104E-3</v>
      </c>
      <c r="O241" s="11">
        <f t="shared" si="19"/>
        <v>0.45079861112026265</v>
      </c>
    </row>
    <row r="242" spans="1:15" x14ac:dyDescent="0.25">
      <c r="A242" s="3" t="s">
        <v>1955</v>
      </c>
      <c r="B242" s="3" t="s">
        <v>506</v>
      </c>
      <c r="C242" s="9">
        <v>108.7</v>
      </c>
      <c r="D242" s="3" t="s">
        <v>3204</v>
      </c>
      <c r="E242" s="10">
        <v>45673.854398148149</v>
      </c>
      <c r="F242" s="10">
        <v>45674.199456018519</v>
      </c>
      <c r="G242" s="10">
        <v>45674.218333333331</v>
      </c>
      <c r="H242" s="10">
        <v>45674.218333333331</v>
      </c>
      <c r="I242" s="10">
        <v>45674.218333333331</v>
      </c>
      <c r="J242" s="10">
        <v>45674.219085648147</v>
      </c>
      <c r="K242" s="11">
        <f t="shared" si="15"/>
        <v>0.3450578703705105</v>
      </c>
      <c r="L242" s="11">
        <f t="shared" si="16"/>
        <v>1.8877314811106771E-2</v>
      </c>
      <c r="M242" s="11">
        <f t="shared" si="17"/>
        <v>0</v>
      </c>
      <c r="N242" s="11">
        <f t="shared" si="18"/>
        <v>7.5231481605442241E-4</v>
      </c>
      <c r="O242" s="11">
        <f t="shared" si="19"/>
        <v>0.36468749999767169</v>
      </c>
    </row>
    <row r="243" spans="1:15" x14ac:dyDescent="0.25">
      <c r="A243" s="3" t="s">
        <v>1931</v>
      </c>
      <c r="B243" s="3" t="s">
        <v>527</v>
      </c>
      <c r="C243" s="9">
        <v>108</v>
      </c>
      <c r="D243" s="3" t="s">
        <v>3205</v>
      </c>
      <c r="E243" s="10">
        <v>45673.860497685193</v>
      </c>
      <c r="F243" s="10">
        <v>45674.2815162037</v>
      </c>
      <c r="G243" s="10">
        <v>45674.300266203703</v>
      </c>
      <c r="H243" s="10">
        <v>45674.300266203703</v>
      </c>
      <c r="I243" s="10">
        <v>45674.300266203703</v>
      </c>
      <c r="J243" s="10">
        <v>45674.301064814812</v>
      </c>
      <c r="K243" s="11">
        <f t="shared" si="15"/>
        <v>0.42101851850748062</v>
      </c>
      <c r="L243" s="11">
        <f t="shared" si="16"/>
        <v>1.8750000002910383E-2</v>
      </c>
      <c r="M243" s="11">
        <f t="shared" si="17"/>
        <v>0</v>
      </c>
      <c r="N243" s="11">
        <f t="shared" si="18"/>
        <v>7.9861110862111673E-4</v>
      </c>
      <c r="O243" s="11">
        <f t="shared" si="19"/>
        <v>0.44056712961901212</v>
      </c>
    </row>
    <row r="244" spans="1:15" x14ac:dyDescent="0.25">
      <c r="A244" s="3" t="s">
        <v>1849</v>
      </c>
      <c r="B244" s="3" t="s">
        <v>533</v>
      </c>
      <c r="C244" s="9">
        <v>110.18</v>
      </c>
      <c r="D244" s="3" t="s">
        <v>3206</v>
      </c>
      <c r="E244" s="10">
        <v>45673.86173611111</v>
      </c>
      <c r="F244" s="10">
        <v>45674.32607638889</v>
      </c>
      <c r="G244" s="10">
        <v>45674.345208333332</v>
      </c>
      <c r="H244" s="10">
        <v>45674.345208333332</v>
      </c>
      <c r="I244" s="10">
        <v>45674.345208333332</v>
      </c>
      <c r="J244" s="10">
        <v>45674.346064814818</v>
      </c>
      <c r="K244" s="11">
        <f t="shared" si="15"/>
        <v>0.46434027778013842</v>
      </c>
      <c r="L244" s="11">
        <f t="shared" si="16"/>
        <v>1.9131944442051463E-2</v>
      </c>
      <c r="M244" s="11">
        <f t="shared" si="17"/>
        <v>0</v>
      </c>
      <c r="N244" s="11">
        <f t="shared" si="18"/>
        <v>8.5648148524342105E-4</v>
      </c>
      <c r="O244" s="11">
        <f t="shared" si="19"/>
        <v>0.48432870370743331</v>
      </c>
    </row>
    <row r="245" spans="1:15" x14ac:dyDescent="0.25">
      <c r="A245" s="3" t="s">
        <v>1966</v>
      </c>
      <c r="B245" s="3" t="s">
        <v>488</v>
      </c>
      <c r="C245" s="9">
        <v>165.8</v>
      </c>
      <c r="D245" s="3" t="s">
        <v>3195</v>
      </c>
      <c r="E245" s="10">
        <v>45674.130474537043</v>
      </c>
      <c r="F245" s="10">
        <v>45674.328900462962</v>
      </c>
      <c r="G245" s="10">
        <v>45674.357685185183</v>
      </c>
      <c r="H245" s="10">
        <v>45674.357685185183</v>
      </c>
      <c r="I245" s="10">
        <v>45674.357685185183</v>
      </c>
      <c r="J245" s="10">
        <v>45674.358657407407</v>
      </c>
      <c r="K245" s="11">
        <f t="shared" si="15"/>
        <v>0.19842592591885477</v>
      </c>
      <c r="L245" s="11">
        <f t="shared" si="16"/>
        <v>2.8784722220734693E-2</v>
      </c>
      <c r="M245" s="11">
        <f t="shared" si="17"/>
        <v>0</v>
      </c>
      <c r="N245" s="11">
        <f t="shared" si="18"/>
        <v>9.7222222393611446E-4</v>
      </c>
      <c r="O245" s="11">
        <f t="shared" si="19"/>
        <v>0.22818287036352558</v>
      </c>
    </row>
    <row r="246" spans="1:15" x14ac:dyDescent="0.25">
      <c r="A246" s="3" t="s">
        <v>1801</v>
      </c>
      <c r="B246" s="3" t="s">
        <v>484</v>
      </c>
      <c r="C246" s="9">
        <v>134.32</v>
      </c>
      <c r="D246" s="3" t="s">
        <v>3198</v>
      </c>
      <c r="E246" s="10">
        <v>45674.135879629634</v>
      </c>
      <c r="F246" s="10">
        <v>45674.346863425933</v>
      </c>
      <c r="G246" s="10">
        <v>45674.370185185187</v>
      </c>
      <c r="H246" s="10">
        <v>45674.370185185187</v>
      </c>
      <c r="I246" s="10">
        <v>45674.370185185187</v>
      </c>
      <c r="J246" s="10">
        <v>45674.371041666673</v>
      </c>
      <c r="K246" s="11">
        <f t="shared" si="15"/>
        <v>0.21098379629984265</v>
      </c>
      <c r="L246" s="11">
        <f t="shared" si="16"/>
        <v>2.3321759254031349E-2</v>
      </c>
      <c r="M246" s="11">
        <f t="shared" si="17"/>
        <v>0</v>
      </c>
      <c r="N246" s="11">
        <f t="shared" si="18"/>
        <v>8.5648148524342105E-4</v>
      </c>
      <c r="O246" s="11">
        <f t="shared" si="19"/>
        <v>0.23516203703911742</v>
      </c>
    </row>
    <row r="247" spans="1:15" x14ac:dyDescent="0.25">
      <c r="A247" s="3" t="s">
        <v>1928</v>
      </c>
      <c r="B247" s="3" t="s">
        <v>519</v>
      </c>
      <c r="C247" s="9">
        <v>574.09999999999991</v>
      </c>
      <c r="D247" s="3" t="s">
        <v>3197</v>
      </c>
      <c r="E247" s="10">
        <v>45674.201273148137</v>
      </c>
      <c r="F247" s="10">
        <v>45674.379143518519</v>
      </c>
      <c r="G247" s="10">
        <v>45674.478807870371</v>
      </c>
      <c r="H247" s="10">
        <v>45674.478807870371</v>
      </c>
      <c r="I247" s="10">
        <v>45674.478807870371</v>
      </c>
      <c r="J247" s="10">
        <v>45674.480694444443</v>
      </c>
      <c r="K247" s="11">
        <f t="shared" si="15"/>
        <v>0.17787037038215203</v>
      </c>
      <c r="L247" s="11">
        <f t="shared" si="16"/>
        <v>9.9664351851970423E-2</v>
      </c>
      <c r="M247" s="11">
        <f t="shared" si="17"/>
        <v>0</v>
      </c>
      <c r="N247" s="11">
        <f t="shared" si="18"/>
        <v>1.8865740712499246E-3</v>
      </c>
      <c r="O247" s="11">
        <f t="shared" si="19"/>
        <v>0.27942129630537238</v>
      </c>
    </row>
    <row r="248" spans="1:15" x14ac:dyDescent="0.25">
      <c r="A248" s="3" t="s">
        <v>1950</v>
      </c>
      <c r="B248" s="3" t="s">
        <v>500</v>
      </c>
      <c r="C248" s="9">
        <v>297</v>
      </c>
      <c r="D248" s="3" t="s">
        <v>3193</v>
      </c>
      <c r="E248" s="10">
        <v>45674.281944444447</v>
      </c>
      <c r="F248" s="10">
        <v>45674.399699074071</v>
      </c>
      <c r="G248" s="10">
        <v>45674.451261574082</v>
      </c>
      <c r="H248" s="10">
        <v>45674.451261574082</v>
      </c>
      <c r="I248" s="10">
        <v>45674.451261574082</v>
      </c>
      <c r="J248" s="10">
        <v>45674.452372685177</v>
      </c>
      <c r="K248" s="11">
        <f t="shared" si="15"/>
        <v>0.11775462962395977</v>
      </c>
      <c r="L248" s="11">
        <f t="shared" si="16"/>
        <v>5.1562500011641532E-2</v>
      </c>
      <c r="M248" s="11">
        <f t="shared" si="17"/>
        <v>0</v>
      </c>
      <c r="N248" s="11">
        <f t="shared" si="18"/>
        <v>1.1111110943602398E-3</v>
      </c>
      <c r="O248" s="11">
        <f t="shared" si="19"/>
        <v>0.17042824072996154</v>
      </c>
    </row>
    <row r="249" spans="1:15" x14ac:dyDescent="0.25">
      <c r="A249" s="3" t="s">
        <v>1831</v>
      </c>
      <c r="B249" s="3" t="s">
        <v>515</v>
      </c>
      <c r="C249" s="9">
        <v>134.32</v>
      </c>
      <c r="D249" s="3" t="s">
        <v>3200</v>
      </c>
      <c r="E249" s="10">
        <v>45674.312847222223</v>
      </c>
      <c r="F249" s="10">
        <v>45674.439317129632</v>
      </c>
      <c r="G249" s="10">
        <v>45674.462627314817</v>
      </c>
      <c r="H249" s="10">
        <v>45674.462627314817</v>
      </c>
      <c r="I249" s="10">
        <v>45674.462627314817</v>
      </c>
      <c r="J249" s="10">
        <v>45674.463449074072</v>
      </c>
      <c r="K249" s="11">
        <f t="shared" si="15"/>
        <v>0.12646990740904585</v>
      </c>
      <c r="L249" s="11">
        <f t="shared" si="16"/>
        <v>2.3310185184527654E-2</v>
      </c>
      <c r="M249" s="11">
        <f t="shared" si="17"/>
        <v>0</v>
      </c>
      <c r="N249" s="11">
        <f t="shared" si="18"/>
        <v>8.2175925490446389E-4</v>
      </c>
      <c r="O249" s="11">
        <f t="shared" si="19"/>
        <v>0.15060185184847796</v>
      </c>
    </row>
    <row r="250" spans="1:15" x14ac:dyDescent="0.25">
      <c r="A250" s="3" t="s">
        <v>1984</v>
      </c>
      <c r="B250" s="3" t="s">
        <v>506</v>
      </c>
      <c r="C250" s="9">
        <v>147.68</v>
      </c>
      <c r="D250" s="3" t="s">
        <v>3204</v>
      </c>
      <c r="E250" s="10">
        <v>45674.314016203702</v>
      </c>
      <c r="F250" s="10">
        <v>45674.545451388891</v>
      </c>
      <c r="G250" s="10">
        <v>45674.571099537039</v>
      </c>
      <c r="H250" s="10">
        <v>45674.571099537039</v>
      </c>
      <c r="I250" s="10">
        <v>45674.571099537039</v>
      </c>
      <c r="J250" s="10">
        <v>45674.571932870371</v>
      </c>
      <c r="K250" s="11">
        <f t="shared" si="15"/>
        <v>0.23143518518918427</v>
      </c>
      <c r="L250" s="11">
        <f t="shared" si="16"/>
        <v>2.5648148148320615E-2</v>
      </c>
      <c r="M250" s="11">
        <f t="shared" si="17"/>
        <v>0</v>
      </c>
      <c r="N250" s="11">
        <f t="shared" si="18"/>
        <v>8.3333333168411627E-4</v>
      </c>
      <c r="O250" s="11">
        <f t="shared" si="19"/>
        <v>0.257916666669189</v>
      </c>
    </row>
    <row r="251" spans="1:15" x14ac:dyDescent="0.25">
      <c r="A251" s="3" t="s">
        <v>1905</v>
      </c>
      <c r="B251" s="3" t="s">
        <v>572</v>
      </c>
      <c r="C251" s="9">
        <v>134.28</v>
      </c>
      <c r="D251" s="3" t="s">
        <v>3203</v>
      </c>
      <c r="E251" s="10">
        <v>45674.318541666667</v>
      </c>
      <c r="F251" s="10">
        <v>45674.659560185188</v>
      </c>
      <c r="G251" s="10">
        <v>45674.682870370372</v>
      </c>
      <c r="H251" s="10">
        <v>45674.682870370372</v>
      </c>
      <c r="I251" s="10">
        <v>45674.682870370372</v>
      </c>
      <c r="J251" s="10">
        <v>45674.683645833327</v>
      </c>
      <c r="K251" s="11">
        <f t="shared" si="15"/>
        <v>0.34101851852028631</v>
      </c>
      <c r="L251" s="11">
        <f t="shared" si="16"/>
        <v>2.3310185184527654E-2</v>
      </c>
      <c r="M251" s="11">
        <f t="shared" si="17"/>
        <v>0</v>
      </c>
      <c r="N251" s="11">
        <f t="shared" si="18"/>
        <v>7.7546295506181195E-4</v>
      </c>
      <c r="O251" s="11">
        <f t="shared" si="19"/>
        <v>0.36510416665987577</v>
      </c>
    </row>
    <row r="252" spans="1:15" x14ac:dyDescent="0.25">
      <c r="A252" s="3" t="s">
        <v>1973</v>
      </c>
      <c r="B252" s="3" t="s">
        <v>492</v>
      </c>
      <c r="C252" s="9">
        <v>141.02000000000001</v>
      </c>
      <c r="D252" s="3" t="s">
        <v>3194</v>
      </c>
      <c r="E252" s="10">
        <v>45674.328287037039</v>
      </c>
      <c r="F252" s="10">
        <v>45674.740868055553</v>
      </c>
      <c r="G252" s="10">
        <v>45674.765347222223</v>
      </c>
      <c r="H252" s="10">
        <v>45674.765347222223</v>
      </c>
      <c r="I252" s="10">
        <v>45674.765347222223</v>
      </c>
      <c r="J252" s="10">
        <v>45674.766215277778</v>
      </c>
      <c r="K252" s="11">
        <f t="shared" si="15"/>
        <v>0.4125810185141745</v>
      </c>
      <c r="L252" s="11">
        <f t="shared" si="16"/>
        <v>2.4479166670062114E-2</v>
      </c>
      <c r="M252" s="11">
        <f t="shared" si="17"/>
        <v>0</v>
      </c>
      <c r="N252" s="11">
        <f t="shared" si="18"/>
        <v>8.6805555474711582E-4</v>
      </c>
      <c r="O252" s="11">
        <f t="shared" si="19"/>
        <v>0.43792824073898373</v>
      </c>
    </row>
    <row r="253" spans="1:15" x14ac:dyDescent="0.25">
      <c r="A253" s="3" t="s">
        <v>2004</v>
      </c>
      <c r="B253" s="3" t="s">
        <v>500</v>
      </c>
      <c r="C253" s="9">
        <v>339.84000000000009</v>
      </c>
      <c r="D253" s="3" t="s">
        <v>3205</v>
      </c>
      <c r="E253" s="10">
        <v>45674.329525462963</v>
      </c>
      <c r="F253" s="10">
        <v>45674.760115740741</v>
      </c>
      <c r="G253" s="10">
        <v>45674.819120370368</v>
      </c>
      <c r="H253" s="10">
        <v>45674.819120370368</v>
      </c>
      <c r="I253" s="10">
        <v>45674.819120370368</v>
      </c>
      <c r="J253" s="10">
        <v>45674.820451388892</v>
      </c>
      <c r="K253" s="11">
        <f t="shared" si="15"/>
        <v>0.43059027777781012</v>
      </c>
      <c r="L253" s="11">
        <f t="shared" si="16"/>
        <v>5.9004629627452232E-2</v>
      </c>
      <c r="M253" s="11">
        <f t="shared" si="17"/>
        <v>0</v>
      </c>
      <c r="N253" s="11">
        <f t="shared" si="18"/>
        <v>1.3310185240698047E-3</v>
      </c>
      <c r="O253" s="11">
        <f t="shared" si="19"/>
        <v>0.49092592592933215</v>
      </c>
    </row>
    <row r="254" spans="1:15" x14ac:dyDescent="0.25">
      <c r="A254" s="3" t="s">
        <v>1789</v>
      </c>
      <c r="B254" s="3" t="s">
        <v>654</v>
      </c>
      <c r="C254" s="9">
        <v>350.82</v>
      </c>
      <c r="D254" s="3" t="s">
        <v>3201</v>
      </c>
      <c r="E254" s="10">
        <v>45674.346782407411</v>
      </c>
      <c r="F254" s="10">
        <v>45674.867858796293</v>
      </c>
      <c r="G254" s="10">
        <v>45674.928761574083</v>
      </c>
      <c r="H254" s="10">
        <v>45674.928761574083</v>
      </c>
      <c r="I254" s="10">
        <v>45674.928761574083</v>
      </c>
      <c r="J254" s="10">
        <v>45674.930115740739</v>
      </c>
      <c r="K254" s="11">
        <f t="shared" si="15"/>
        <v>0.52107638888264773</v>
      </c>
      <c r="L254" s="11">
        <f t="shared" si="16"/>
        <v>6.0902777790033724E-2</v>
      </c>
      <c r="M254" s="11">
        <f t="shared" si="17"/>
        <v>0</v>
      </c>
      <c r="N254" s="11">
        <f t="shared" si="18"/>
        <v>1.3541666558012366E-3</v>
      </c>
      <c r="O254" s="11">
        <f t="shared" si="19"/>
        <v>0.58333333332848269</v>
      </c>
    </row>
    <row r="255" spans="1:15" x14ac:dyDescent="0.25">
      <c r="A255" s="3" t="s">
        <v>2034</v>
      </c>
      <c r="B255" s="3" t="s">
        <v>572</v>
      </c>
      <c r="C255" s="9">
        <v>173.3</v>
      </c>
      <c r="D255" s="3" t="s">
        <v>3203</v>
      </c>
      <c r="E255" s="10">
        <v>45674.379837962973</v>
      </c>
      <c r="F255" s="10">
        <v>45675.036435185182</v>
      </c>
      <c r="G255" s="10">
        <v>45675.066516203697</v>
      </c>
      <c r="H255" s="10">
        <v>45675.066516203697</v>
      </c>
      <c r="I255" s="10">
        <v>45675.066516203697</v>
      </c>
      <c r="J255" s="10">
        <v>45675.067384259259</v>
      </c>
      <c r="K255" s="11">
        <f t="shared" si="15"/>
        <v>0.65659722220880212</v>
      </c>
      <c r="L255" s="11">
        <f t="shared" si="16"/>
        <v>3.0081018514465541E-2</v>
      </c>
      <c r="M255" s="11">
        <f t="shared" si="17"/>
        <v>0</v>
      </c>
      <c r="N255" s="11">
        <f t="shared" si="18"/>
        <v>8.6805556202307343E-4</v>
      </c>
      <c r="O255" s="11">
        <f t="shared" si="19"/>
        <v>0.68754629628529074</v>
      </c>
    </row>
    <row r="256" spans="1:15" x14ac:dyDescent="0.25">
      <c r="A256" s="3" t="s">
        <v>1991</v>
      </c>
      <c r="B256" s="3" t="s">
        <v>506</v>
      </c>
      <c r="C256" s="9">
        <v>240.64</v>
      </c>
      <c r="D256" s="3" t="s">
        <v>3206</v>
      </c>
      <c r="E256" s="10">
        <v>45674.385949074072</v>
      </c>
      <c r="F256" s="10">
        <v>45675.25440972222</v>
      </c>
      <c r="G256" s="10">
        <v>45675.296180555553</v>
      </c>
      <c r="H256" s="10">
        <v>45675.296180555553</v>
      </c>
      <c r="I256" s="10">
        <v>45675.296180555553</v>
      </c>
      <c r="J256" s="10">
        <v>45675.297337962962</v>
      </c>
      <c r="K256" s="11">
        <f t="shared" si="15"/>
        <v>0.8684606481474475</v>
      </c>
      <c r="L256" s="11">
        <f t="shared" si="16"/>
        <v>4.1770833333430346E-2</v>
      </c>
      <c r="M256" s="11">
        <f t="shared" si="17"/>
        <v>0</v>
      </c>
      <c r="N256" s="11">
        <f t="shared" si="18"/>
        <v>1.157407408754807E-3</v>
      </c>
      <c r="O256" s="11">
        <f t="shared" si="19"/>
        <v>0.91138888888963265</v>
      </c>
    </row>
    <row r="257" spans="1:15" x14ac:dyDescent="0.25">
      <c r="A257" s="3" t="s">
        <v>1843</v>
      </c>
      <c r="B257" s="3" t="s">
        <v>496</v>
      </c>
      <c r="C257" s="9">
        <v>159.69999999999999</v>
      </c>
      <c r="D257" s="3" t="s">
        <v>3199</v>
      </c>
      <c r="E257" s="10">
        <v>45674.400000000001</v>
      </c>
      <c r="F257" s="10">
        <v>45675.30059027778</v>
      </c>
      <c r="G257" s="10">
        <v>45675.328321759262</v>
      </c>
      <c r="H257" s="10">
        <v>45675.328321759262</v>
      </c>
      <c r="I257" s="10">
        <v>45675.328321759262</v>
      </c>
      <c r="J257" s="10">
        <v>45675.329074074078</v>
      </c>
      <c r="K257" s="11">
        <f t="shared" si="15"/>
        <v>0.90059027777897427</v>
      </c>
      <c r="L257" s="11">
        <f t="shared" si="16"/>
        <v>2.7731481481168885E-2</v>
      </c>
      <c r="M257" s="11">
        <f t="shared" si="17"/>
        <v>0</v>
      </c>
      <c r="N257" s="11">
        <f t="shared" si="18"/>
        <v>7.5231481605442241E-4</v>
      </c>
      <c r="O257" s="11">
        <f t="shared" si="19"/>
        <v>0.92907407407619758</v>
      </c>
    </row>
    <row r="258" spans="1:15" x14ac:dyDescent="0.25">
      <c r="A258" s="3" t="s">
        <v>1994</v>
      </c>
      <c r="B258" s="3" t="s">
        <v>519</v>
      </c>
      <c r="C258" s="9">
        <v>184.54</v>
      </c>
      <c r="D258" s="3" t="s">
        <v>3196</v>
      </c>
      <c r="E258" s="10">
        <v>45674.40152777778</v>
      </c>
      <c r="F258" s="10">
        <v>45676.747916666667</v>
      </c>
      <c r="G258" s="10">
        <v>45676.779965277783</v>
      </c>
      <c r="H258" s="10">
        <v>45676.779965277783</v>
      </c>
      <c r="I258" s="10">
        <v>45676.779965277783</v>
      </c>
      <c r="J258" s="10">
        <v>45676.780763888892</v>
      </c>
      <c r="K258" s="11">
        <f t="shared" ref="K258:K321" si="20">IF(AND(ISNUMBER(E258),ISNUMBER(F258)),(F258-E258),"")</f>
        <v>2.3463888888873043</v>
      </c>
      <c r="L258" s="11">
        <f t="shared" ref="L258:L321" si="21">IF(AND(ISNUMBER(F258),ISNUMBER(G258)),(G258-F258),"")</f>
        <v>3.2048611115897074E-2</v>
      </c>
      <c r="M258" s="11">
        <f t="shared" ref="M258:M321" si="22">IF(AND(ISNUMBER(H258),ISNUMBER(I258)),(I258-H258),"")</f>
        <v>0</v>
      </c>
      <c r="N258" s="11">
        <f t="shared" ref="N258:N321" si="23">IF(AND(ISNUMBER(I258),ISNUMBER(J258)),(J258-I258),"")</f>
        <v>7.9861110862111673E-4</v>
      </c>
      <c r="O258" s="11">
        <f t="shared" ref="O258:O321" si="24">IF(AND(ISNUMBER(E258),ISNUMBER(J258)),(J258-E258),"")</f>
        <v>2.3792361111118225</v>
      </c>
    </row>
    <row r="259" spans="1:15" x14ac:dyDescent="0.25">
      <c r="A259" s="3" t="s">
        <v>2041</v>
      </c>
      <c r="B259" s="3" t="s">
        <v>500</v>
      </c>
      <c r="C259" s="9">
        <v>238.44</v>
      </c>
      <c r="D259" s="3" t="s">
        <v>3193</v>
      </c>
      <c r="E259" s="10">
        <v>45674.54614583333</v>
      </c>
      <c r="F259" s="10">
        <v>45676.855671296304</v>
      </c>
      <c r="G259" s="10">
        <v>45676.89707175926</v>
      </c>
      <c r="H259" s="10">
        <v>45676.89707175926</v>
      </c>
      <c r="I259" s="10">
        <v>45676.89707175926</v>
      </c>
      <c r="J259" s="10">
        <v>45676.898043981477</v>
      </c>
      <c r="K259" s="11">
        <f t="shared" si="20"/>
        <v>2.3095254629733972</v>
      </c>
      <c r="L259" s="11">
        <f t="shared" si="21"/>
        <v>4.1400462956517003E-2</v>
      </c>
      <c r="M259" s="11">
        <f t="shared" si="22"/>
        <v>0</v>
      </c>
      <c r="N259" s="11">
        <f t="shared" si="23"/>
        <v>9.7222221666015685E-4</v>
      </c>
      <c r="O259" s="11">
        <f t="shared" si="24"/>
        <v>2.3518981481465744</v>
      </c>
    </row>
    <row r="260" spans="1:15" x14ac:dyDescent="0.25">
      <c r="A260" s="3" t="s">
        <v>2019</v>
      </c>
      <c r="B260" s="3" t="s">
        <v>500</v>
      </c>
      <c r="C260" s="9">
        <v>220.36</v>
      </c>
      <c r="D260" s="3" t="s">
        <v>3204</v>
      </c>
      <c r="E260" s="10">
        <v>45674.660185185188</v>
      </c>
      <c r="F260" s="10">
        <v>45677.122731481482</v>
      </c>
      <c r="G260" s="10">
        <v>45677.160983796297</v>
      </c>
      <c r="H260" s="10">
        <v>45677.160983796297</v>
      </c>
      <c r="I260" s="10">
        <v>45677.160983796297</v>
      </c>
      <c r="J260" s="10">
        <v>45677.162002314813</v>
      </c>
      <c r="K260" s="11">
        <f t="shared" si="20"/>
        <v>2.4625462962940219</v>
      </c>
      <c r="L260" s="11">
        <f t="shared" si="21"/>
        <v>3.8252314814599231E-2</v>
      </c>
      <c r="M260" s="11">
        <f t="shared" si="22"/>
        <v>0</v>
      </c>
      <c r="N260" s="11">
        <f t="shared" si="23"/>
        <v>1.0185185165028088E-3</v>
      </c>
      <c r="O260" s="11">
        <f t="shared" si="24"/>
        <v>2.5018171296251239</v>
      </c>
    </row>
    <row r="261" spans="1:15" x14ac:dyDescent="0.25">
      <c r="A261" s="3" t="s">
        <v>2037</v>
      </c>
      <c r="B261" s="3" t="s">
        <v>500</v>
      </c>
      <c r="C261" s="9">
        <v>302.12000000000012</v>
      </c>
      <c r="D261" s="3" t="s">
        <v>3203</v>
      </c>
      <c r="E261" s="10">
        <v>45674.741562499999</v>
      </c>
      <c r="F261" s="10">
        <v>45677.201331018521</v>
      </c>
      <c r="G261" s="10">
        <v>45677.253784722219</v>
      </c>
      <c r="H261" s="10">
        <v>45677.253784722219</v>
      </c>
      <c r="I261" s="10">
        <v>45677.253784722219</v>
      </c>
      <c r="J261" s="10">
        <v>45677.254942129628</v>
      </c>
      <c r="K261" s="11">
        <f t="shared" si="20"/>
        <v>2.4597685185217415</v>
      </c>
      <c r="L261" s="11">
        <f t="shared" si="21"/>
        <v>5.245370369812008E-2</v>
      </c>
      <c r="M261" s="11">
        <f t="shared" si="22"/>
        <v>0</v>
      </c>
      <c r="N261" s="11">
        <f t="shared" si="23"/>
        <v>1.157407408754807E-3</v>
      </c>
      <c r="O261" s="11">
        <f t="shared" si="24"/>
        <v>2.5133796296286164</v>
      </c>
    </row>
    <row r="262" spans="1:15" x14ac:dyDescent="0.25">
      <c r="A262" s="3" t="s">
        <v>1997</v>
      </c>
      <c r="B262" s="3" t="s">
        <v>500</v>
      </c>
      <c r="C262" s="9">
        <v>110.18</v>
      </c>
      <c r="D262" s="3" t="s">
        <v>3197</v>
      </c>
      <c r="E262" s="10">
        <v>45674.760775462957</v>
      </c>
      <c r="F262" s="10">
        <v>45677.257071759261</v>
      </c>
      <c r="G262" s="10">
        <v>45677.276192129633</v>
      </c>
      <c r="H262" s="10">
        <v>45677.276192129633</v>
      </c>
      <c r="I262" s="10">
        <v>45677.276192129633</v>
      </c>
      <c r="J262" s="10">
        <v>45677.277002314811</v>
      </c>
      <c r="K262" s="11">
        <f t="shared" si="20"/>
        <v>2.4962962963036261</v>
      </c>
      <c r="L262" s="11">
        <f t="shared" si="21"/>
        <v>1.9120370372547768E-2</v>
      </c>
      <c r="M262" s="11">
        <f t="shared" si="22"/>
        <v>0</v>
      </c>
      <c r="N262" s="11">
        <f t="shared" si="23"/>
        <v>8.101851781248115E-4</v>
      </c>
      <c r="O262" s="11">
        <f t="shared" si="24"/>
        <v>2.5162268518542987</v>
      </c>
    </row>
    <row r="263" spans="1:15" x14ac:dyDescent="0.25">
      <c r="A263" s="3" t="s">
        <v>2056</v>
      </c>
      <c r="B263" s="3" t="s">
        <v>492</v>
      </c>
      <c r="C263" s="9">
        <v>175.82</v>
      </c>
      <c r="D263" s="3" t="s">
        <v>3194</v>
      </c>
      <c r="E263" s="10">
        <v>45674.868159722217</v>
      </c>
      <c r="F263" s="10">
        <v>45677.321250000001</v>
      </c>
      <c r="G263" s="10">
        <v>45677.351770833331</v>
      </c>
      <c r="H263" s="10">
        <v>45677.351770833331</v>
      </c>
      <c r="I263" s="10">
        <v>45677.351770833331</v>
      </c>
      <c r="J263" s="10">
        <v>45677.352719907409</v>
      </c>
      <c r="K263" s="11">
        <f t="shared" si="20"/>
        <v>2.453090277784213</v>
      </c>
      <c r="L263" s="11">
        <f t="shared" si="21"/>
        <v>3.0520833330228925E-2</v>
      </c>
      <c r="M263" s="11">
        <f t="shared" si="22"/>
        <v>0</v>
      </c>
      <c r="N263" s="11">
        <f t="shared" si="23"/>
        <v>9.490740776527673E-4</v>
      </c>
      <c r="O263" s="11">
        <f t="shared" si="24"/>
        <v>2.4845601851920947</v>
      </c>
    </row>
    <row r="264" spans="1:15" x14ac:dyDescent="0.25">
      <c r="A264" s="3" t="s">
        <v>2070</v>
      </c>
      <c r="B264" s="3" t="s">
        <v>506</v>
      </c>
      <c r="C264" s="9">
        <v>179.16</v>
      </c>
      <c r="D264" s="3" t="s">
        <v>3201</v>
      </c>
      <c r="E264" s="10">
        <v>45675.033229166656</v>
      </c>
      <c r="F264" s="10">
        <v>45677.322812500002</v>
      </c>
      <c r="G264" s="10">
        <v>45677.35392361111</v>
      </c>
      <c r="H264" s="10">
        <v>45677.35392361111</v>
      </c>
      <c r="I264" s="10">
        <v>45677.35392361111</v>
      </c>
      <c r="J264" s="10">
        <v>45677.354872685188</v>
      </c>
      <c r="K264" s="11">
        <f t="shared" si="20"/>
        <v>2.289583333345945</v>
      </c>
      <c r="L264" s="11">
        <f t="shared" si="21"/>
        <v>3.1111111107748002E-2</v>
      </c>
      <c r="M264" s="11">
        <f t="shared" si="22"/>
        <v>0</v>
      </c>
      <c r="N264" s="11">
        <f t="shared" si="23"/>
        <v>9.490740776527673E-4</v>
      </c>
      <c r="O264" s="11">
        <f t="shared" si="24"/>
        <v>2.3216435185313458</v>
      </c>
    </row>
    <row r="265" spans="1:15" x14ac:dyDescent="0.25">
      <c r="A265" s="3" t="s">
        <v>2053</v>
      </c>
      <c r="B265" s="3" t="s">
        <v>519</v>
      </c>
      <c r="C265" s="9">
        <v>143.30000000000001</v>
      </c>
      <c r="D265" s="3" t="s">
        <v>3200</v>
      </c>
      <c r="E265" s="10">
        <v>45675.038240740738</v>
      </c>
      <c r="F265" s="10">
        <v>45677.355173611111</v>
      </c>
      <c r="G265" s="10">
        <v>45677.380057870367</v>
      </c>
      <c r="H265" s="10">
        <v>45677.380057870367</v>
      </c>
      <c r="I265" s="10">
        <v>45677.380057870367</v>
      </c>
      <c r="J265" s="10">
        <v>45677.380891203713</v>
      </c>
      <c r="K265" s="11">
        <f t="shared" si="20"/>
        <v>2.3169328703734209</v>
      </c>
      <c r="L265" s="11">
        <f t="shared" si="21"/>
        <v>2.488425925548654E-2</v>
      </c>
      <c r="M265" s="11">
        <f t="shared" si="22"/>
        <v>0</v>
      </c>
      <c r="N265" s="11">
        <f t="shared" si="23"/>
        <v>8.333333462360315E-4</v>
      </c>
      <c r="O265" s="11">
        <f t="shared" si="24"/>
        <v>2.3426504629751435</v>
      </c>
    </row>
    <row r="266" spans="1:15" x14ac:dyDescent="0.25">
      <c r="A266" s="3" t="s">
        <v>2080</v>
      </c>
      <c r="B266" s="3" t="s">
        <v>519</v>
      </c>
      <c r="C266" s="9">
        <v>110.3</v>
      </c>
      <c r="D266" s="3" t="s">
        <v>3203</v>
      </c>
      <c r="E266" s="10">
        <v>45675.302858796298</v>
      </c>
      <c r="F266" s="10">
        <v>45677.38726851852</v>
      </c>
      <c r="G266" s="10">
        <v>45677.406412037039</v>
      </c>
      <c r="H266" s="10">
        <v>45677.406412037039</v>
      </c>
      <c r="I266" s="10">
        <v>45677.406412037039</v>
      </c>
      <c r="J266" s="10">
        <v>45677.407141203701</v>
      </c>
      <c r="K266" s="11">
        <f t="shared" si="20"/>
        <v>2.0844097222216078</v>
      </c>
      <c r="L266" s="11">
        <f t="shared" si="21"/>
        <v>1.9143518518831115E-2</v>
      </c>
      <c r="M266" s="11">
        <f t="shared" si="22"/>
        <v>0</v>
      </c>
      <c r="N266" s="11">
        <f t="shared" si="23"/>
        <v>7.2916666249511763E-4</v>
      </c>
      <c r="O266" s="11">
        <f t="shared" si="24"/>
        <v>2.104282407402934</v>
      </c>
    </row>
    <row r="267" spans="1:15" x14ac:dyDescent="0.25">
      <c r="A267" s="3" t="s">
        <v>2087</v>
      </c>
      <c r="B267" s="3" t="s">
        <v>506</v>
      </c>
      <c r="C267" s="9">
        <v>521.74000000000012</v>
      </c>
      <c r="D267" s="3" t="s">
        <v>3199</v>
      </c>
      <c r="E267" s="10">
        <v>45676.746655092589</v>
      </c>
      <c r="F267" s="10">
        <v>45677.409317129634</v>
      </c>
      <c r="G267" s="10">
        <v>45677.499895833331</v>
      </c>
      <c r="H267" s="10">
        <v>45677.499895833331</v>
      </c>
      <c r="I267" s="10">
        <v>45677.499895833331</v>
      </c>
      <c r="J267" s="10">
        <v>45677.501493055563</v>
      </c>
      <c r="K267" s="11">
        <f t="shared" si="20"/>
        <v>0.66266203704435611</v>
      </c>
      <c r="L267" s="11">
        <f t="shared" si="21"/>
        <v>9.0578703697246965E-2</v>
      </c>
      <c r="M267" s="11">
        <f t="shared" si="22"/>
        <v>0</v>
      </c>
      <c r="N267" s="11">
        <f t="shared" si="23"/>
        <v>1.5972222317941487E-3</v>
      </c>
      <c r="O267" s="11">
        <f t="shared" si="24"/>
        <v>0.75483796297339723</v>
      </c>
    </row>
    <row r="268" spans="1:15" x14ac:dyDescent="0.25">
      <c r="A268" s="3" t="s">
        <v>2062</v>
      </c>
      <c r="B268" s="3" t="s">
        <v>506</v>
      </c>
      <c r="C268" s="9">
        <v>132.68</v>
      </c>
      <c r="D268" s="3" t="s">
        <v>3196</v>
      </c>
      <c r="E268" s="10">
        <v>45676.854444444441</v>
      </c>
      <c r="F268" s="10">
        <v>45677.456828703696</v>
      </c>
      <c r="G268" s="10">
        <v>45677.479861111111</v>
      </c>
      <c r="H268" s="10">
        <v>45677.479861111111</v>
      </c>
      <c r="I268" s="10">
        <v>45677.479861111111</v>
      </c>
      <c r="J268" s="10">
        <v>45677.480555555558</v>
      </c>
      <c r="K268" s="11">
        <f t="shared" si="20"/>
        <v>0.60238425925490446</v>
      </c>
      <c r="L268" s="11">
        <f t="shared" si="21"/>
        <v>2.3032407414575573E-2</v>
      </c>
      <c r="M268" s="11">
        <f t="shared" si="22"/>
        <v>0</v>
      </c>
      <c r="N268" s="11">
        <f t="shared" si="23"/>
        <v>6.944444467080757E-4</v>
      </c>
      <c r="O268" s="11">
        <f t="shared" si="24"/>
        <v>0.62611111111618811</v>
      </c>
    </row>
    <row r="269" spans="1:15" x14ac:dyDescent="0.25">
      <c r="A269" s="3" t="s">
        <v>2024</v>
      </c>
      <c r="B269" s="3" t="s">
        <v>519</v>
      </c>
      <c r="C269" s="9">
        <v>108</v>
      </c>
      <c r="D269" s="3" t="s">
        <v>3206</v>
      </c>
      <c r="E269" s="10">
        <v>45676.857858796298</v>
      </c>
      <c r="F269" s="10">
        <v>45677.540914351863</v>
      </c>
      <c r="G269" s="10">
        <v>45677.559664351851</v>
      </c>
      <c r="H269" s="10">
        <v>45677.559664351851</v>
      </c>
      <c r="I269" s="10">
        <v>45677.559664351851</v>
      </c>
      <c r="J269" s="10">
        <v>45677.56050925926</v>
      </c>
      <c r="K269" s="11">
        <f t="shared" si="20"/>
        <v>0.68305555556435138</v>
      </c>
      <c r="L269" s="11">
        <f t="shared" si="21"/>
        <v>1.8749999988358468E-2</v>
      </c>
      <c r="M269" s="11">
        <f t="shared" si="22"/>
        <v>0</v>
      </c>
      <c r="N269" s="11">
        <f t="shared" si="23"/>
        <v>8.4490740846376866E-4</v>
      </c>
      <c r="O269" s="11">
        <f t="shared" si="24"/>
        <v>0.70265046296117362</v>
      </c>
    </row>
    <row r="270" spans="1:15" x14ac:dyDescent="0.25">
      <c r="A270" s="3" t="s">
        <v>2114</v>
      </c>
      <c r="B270" s="3" t="s">
        <v>488</v>
      </c>
      <c r="C270" s="9">
        <v>165.8</v>
      </c>
      <c r="D270" s="3" t="s">
        <v>3193</v>
      </c>
      <c r="E270" s="10">
        <v>45677.119409722232</v>
      </c>
      <c r="F270" s="10">
        <v>45677.612662037027</v>
      </c>
      <c r="G270" s="10">
        <v>45677.641446759262</v>
      </c>
      <c r="H270" s="10">
        <v>45677.641446759262</v>
      </c>
      <c r="I270" s="10">
        <v>45677.641446759262</v>
      </c>
      <c r="J270" s="10">
        <v>45677.642256944448</v>
      </c>
      <c r="K270" s="11">
        <f t="shared" si="20"/>
        <v>0.49325231479451759</v>
      </c>
      <c r="L270" s="11">
        <f t="shared" si="21"/>
        <v>2.8784722235286608E-2</v>
      </c>
      <c r="M270" s="11">
        <f t="shared" si="22"/>
        <v>0</v>
      </c>
      <c r="N270" s="11">
        <f t="shared" si="23"/>
        <v>8.1018518540076911E-4</v>
      </c>
      <c r="O270" s="11">
        <f t="shared" si="24"/>
        <v>0.52284722221520497</v>
      </c>
    </row>
    <row r="271" spans="1:15" x14ac:dyDescent="0.25">
      <c r="A271" s="3" t="s">
        <v>2050</v>
      </c>
      <c r="B271" s="3" t="s">
        <v>519</v>
      </c>
      <c r="C271" s="9">
        <v>329.7</v>
      </c>
      <c r="D271" s="3" t="s">
        <v>3204</v>
      </c>
      <c r="E271" s="10">
        <v>45677.20207175926</v>
      </c>
      <c r="F271" s="10">
        <v>45677.666030092587</v>
      </c>
      <c r="G271" s="10">
        <v>45677.723263888889</v>
      </c>
      <c r="H271" s="10">
        <v>45677.723263888889</v>
      </c>
      <c r="I271" s="10">
        <v>45677.723263888889</v>
      </c>
      <c r="J271" s="10">
        <v>45677.724537037036</v>
      </c>
      <c r="K271" s="11">
        <f t="shared" si="20"/>
        <v>0.46395833332644543</v>
      </c>
      <c r="L271" s="11">
        <f t="shared" si="21"/>
        <v>5.7233796302170958E-2</v>
      </c>
      <c r="M271" s="11">
        <f t="shared" si="22"/>
        <v>0</v>
      </c>
      <c r="N271" s="11">
        <f t="shared" si="23"/>
        <v>1.2731481474475004E-3</v>
      </c>
      <c r="O271" s="11">
        <f t="shared" si="24"/>
        <v>0.52246527777606389</v>
      </c>
    </row>
    <row r="272" spans="1:15" x14ac:dyDescent="0.25">
      <c r="A272" s="3" t="s">
        <v>2125</v>
      </c>
      <c r="B272" s="3" t="s">
        <v>488</v>
      </c>
      <c r="C272" s="9">
        <v>102.8</v>
      </c>
      <c r="D272" s="3" t="s">
        <v>3203</v>
      </c>
      <c r="E272" s="10">
        <v>45677.333958333344</v>
      </c>
      <c r="F272" s="10">
        <v>45677.667569444442</v>
      </c>
      <c r="G272" s="10">
        <v>45677.685416666667</v>
      </c>
      <c r="H272" s="10">
        <v>45677.685416666667</v>
      </c>
      <c r="I272" s="10">
        <v>45677.685416666667</v>
      </c>
      <c r="J272" s="10">
        <v>45677.686111111107</v>
      </c>
      <c r="K272" s="11">
        <f t="shared" si="20"/>
        <v>0.33361111109843478</v>
      </c>
      <c r="L272" s="11">
        <f t="shared" si="21"/>
        <v>1.7847222225100268E-2</v>
      </c>
      <c r="M272" s="11">
        <f t="shared" si="22"/>
        <v>0</v>
      </c>
      <c r="N272" s="11">
        <f t="shared" si="23"/>
        <v>6.9444443943211809E-4</v>
      </c>
      <c r="O272" s="11">
        <f t="shared" si="24"/>
        <v>0.35215277776296716</v>
      </c>
    </row>
    <row r="273" spans="1:15" x14ac:dyDescent="0.25">
      <c r="A273" s="3" t="s">
        <v>2059</v>
      </c>
      <c r="B273" s="3" t="s">
        <v>527</v>
      </c>
      <c r="C273" s="9">
        <v>135</v>
      </c>
      <c r="D273" s="3" t="s">
        <v>3205</v>
      </c>
      <c r="E273" s="10">
        <v>45677.338391203702</v>
      </c>
      <c r="F273" s="10">
        <v>45677.672233796293</v>
      </c>
      <c r="G273" s="10">
        <v>45677.695671296293</v>
      </c>
      <c r="H273" s="10">
        <v>45677.695671296293</v>
      </c>
      <c r="I273" s="10">
        <v>45677.695671296293</v>
      </c>
      <c r="J273" s="10">
        <v>45677.696527777778</v>
      </c>
      <c r="K273" s="11">
        <f t="shared" si="20"/>
        <v>0.33384259259037208</v>
      </c>
      <c r="L273" s="11">
        <f t="shared" si="21"/>
        <v>2.34375E-2</v>
      </c>
      <c r="M273" s="11">
        <f t="shared" si="22"/>
        <v>0</v>
      </c>
      <c r="N273" s="11">
        <f t="shared" si="23"/>
        <v>8.5648148524342105E-4</v>
      </c>
      <c r="O273" s="11">
        <f t="shared" si="24"/>
        <v>0.3581365740756155</v>
      </c>
    </row>
    <row r="274" spans="1:15" x14ac:dyDescent="0.25">
      <c r="A274" s="3" t="s">
        <v>1735</v>
      </c>
      <c r="B274" s="3" t="s">
        <v>595</v>
      </c>
      <c r="C274" s="9">
        <v>126</v>
      </c>
      <c r="D274" s="3" t="s">
        <v>3202</v>
      </c>
      <c r="E274" s="10">
        <v>45677.356562499997</v>
      </c>
      <c r="F274" s="10">
        <v>45677.719953703701</v>
      </c>
      <c r="G274" s="10">
        <v>45677.741828703707</v>
      </c>
      <c r="H274" s="10">
        <v>45677.741828703707</v>
      </c>
      <c r="I274" s="10">
        <v>45677.741828703707</v>
      </c>
      <c r="J274" s="10">
        <v>45677.742604166669</v>
      </c>
      <c r="K274" s="11">
        <f t="shared" si="20"/>
        <v>0.36339120370394085</v>
      </c>
      <c r="L274" s="11">
        <f t="shared" si="21"/>
        <v>2.1875000005820766E-2</v>
      </c>
      <c r="M274" s="11">
        <f t="shared" si="22"/>
        <v>0</v>
      </c>
      <c r="N274" s="11">
        <f t="shared" si="23"/>
        <v>7.7546296233776957E-4</v>
      </c>
      <c r="O274" s="11">
        <f t="shared" si="24"/>
        <v>0.38604166667209938</v>
      </c>
    </row>
    <row r="275" spans="1:15" x14ac:dyDescent="0.25">
      <c r="A275" s="3" t="s">
        <v>2187</v>
      </c>
      <c r="B275" s="3" t="s">
        <v>572</v>
      </c>
      <c r="C275" s="9">
        <v>145.6</v>
      </c>
      <c r="D275" s="3" t="s">
        <v>3203</v>
      </c>
      <c r="E275" s="10">
        <v>45677.38795138889</v>
      </c>
      <c r="F275" s="10">
        <v>45677.889351851853</v>
      </c>
      <c r="G275" s="10">
        <v>45677.914629629631</v>
      </c>
      <c r="H275" s="10">
        <v>45677.914629629631</v>
      </c>
      <c r="I275" s="10">
        <v>45677.914629629631</v>
      </c>
      <c r="J275" s="10">
        <v>45677.91542824074</v>
      </c>
      <c r="K275" s="11">
        <f t="shared" si="20"/>
        <v>0.50140046296291985</v>
      </c>
      <c r="L275" s="11">
        <f t="shared" si="21"/>
        <v>2.527777777868323E-2</v>
      </c>
      <c r="M275" s="11">
        <f t="shared" si="22"/>
        <v>0</v>
      </c>
      <c r="N275" s="11">
        <f t="shared" si="23"/>
        <v>7.9861110862111673E-4</v>
      </c>
      <c r="O275" s="11">
        <f t="shared" si="24"/>
        <v>0.52747685185022419</v>
      </c>
    </row>
    <row r="276" spans="1:15" x14ac:dyDescent="0.25">
      <c r="A276" s="3" t="s">
        <v>2093</v>
      </c>
      <c r="B276" s="3" t="s">
        <v>527</v>
      </c>
      <c r="C276" s="9">
        <v>135</v>
      </c>
      <c r="D276" s="3" t="s">
        <v>3194</v>
      </c>
      <c r="E276" s="10">
        <v>45677.397094907406</v>
      </c>
      <c r="F276" s="10">
        <v>45678.1406712963</v>
      </c>
      <c r="G276" s="10">
        <v>45678.1641087963</v>
      </c>
      <c r="H276" s="10">
        <v>45678.1641087963</v>
      </c>
      <c r="I276" s="10">
        <v>45678.1641087963</v>
      </c>
      <c r="J276" s="10">
        <v>45678.164965277778</v>
      </c>
      <c r="K276" s="11">
        <f t="shared" si="20"/>
        <v>0.74357638889341615</v>
      </c>
      <c r="L276" s="11">
        <f t="shared" si="21"/>
        <v>2.34375E-2</v>
      </c>
      <c r="M276" s="11">
        <f t="shared" si="22"/>
        <v>0</v>
      </c>
      <c r="N276" s="11">
        <f t="shared" si="23"/>
        <v>8.5648147796746343E-4</v>
      </c>
      <c r="O276" s="11">
        <f t="shared" si="24"/>
        <v>0.76787037037138361</v>
      </c>
    </row>
    <row r="277" spans="1:15" x14ac:dyDescent="0.25">
      <c r="A277" s="3" t="s">
        <v>2090</v>
      </c>
      <c r="B277" s="3" t="s">
        <v>519</v>
      </c>
      <c r="C277" s="9">
        <v>136.18</v>
      </c>
      <c r="D277" s="3" t="s">
        <v>3197</v>
      </c>
      <c r="E277" s="10">
        <v>45677.409537037027</v>
      </c>
      <c r="F277" s="10">
        <v>45678.286076388889</v>
      </c>
      <c r="G277" s="10">
        <v>45678.30972222222</v>
      </c>
      <c r="H277" s="10">
        <v>45678.30972222222</v>
      </c>
      <c r="I277" s="10">
        <v>45678.30972222222</v>
      </c>
      <c r="J277" s="10">
        <v>45678.310578703713</v>
      </c>
      <c r="K277" s="11">
        <f t="shared" si="20"/>
        <v>0.8765393518624478</v>
      </c>
      <c r="L277" s="11">
        <f t="shared" si="21"/>
        <v>2.364583333110204E-2</v>
      </c>
      <c r="M277" s="11">
        <f t="shared" si="22"/>
        <v>0</v>
      </c>
      <c r="N277" s="11">
        <f t="shared" si="23"/>
        <v>8.5648149251937866E-4</v>
      </c>
      <c r="O277" s="11">
        <f t="shared" si="24"/>
        <v>0.90104166668606922</v>
      </c>
    </row>
    <row r="278" spans="1:15" x14ac:dyDescent="0.25">
      <c r="A278" s="3" t="s">
        <v>2190</v>
      </c>
      <c r="B278" s="3" t="s">
        <v>500</v>
      </c>
      <c r="C278" s="9">
        <v>165.8</v>
      </c>
      <c r="D278" s="3" t="s">
        <v>3203</v>
      </c>
      <c r="E278" s="10">
        <v>45677.456990740742</v>
      </c>
      <c r="F278" s="10">
        <v>45678.316377314812</v>
      </c>
      <c r="G278" s="10">
        <v>45678.34516203704</v>
      </c>
      <c r="H278" s="10">
        <v>45678.34516203704</v>
      </c>
      <c r="I278" s="10">
        <v>45678.34516203704</v>
      </c>
      <c r="J278" s="10">
        <v>45678.346018518518</v>
      </c>
      <c r="K278" s="11">
        <f t="shared" si="20"/>
        <v>0.85938657406950369</v>
      </c>
      <c r="L278" s="11">
        <f t="shared" si="21"/>
        <v>2.8784722228010651E-2</v>
      </c>
      <c r="M278" s="11">
        <f t="shared" si="22"/>
        <v>0</v>
      </c>
      <c r="N278" s="11">
        <f t="shared" si="23"/>
        <v>8.5648147796746343E-4</v>
      </c>
      <c r="O278" s="11">
        <f t="shared" si="24"/>
        <v>0.88902777777548181</v>
      </c>
    </row>
    <row r="279" spans="1:15" x14ac:dyDescent="0.25">
      <c r="A279" s="3" t="s">
        <v>2195</v>
      </c>
      <c r="B279" s="3" t="s">
        <v>500</v>
      </c>
      <c r="C279" s="9">
        <v>153.88</v>
      </c>
      <c r="D279" s="3" t="s">
        <v>3200</v>
      </c>
      <c r="E279" s="10">
        <v>45677.457476851851</v>
      </c>
      <c r="F279" s="10">
        <v>45678.334710648152</v>
      </c>
      <c r="G279" s="10">
        <v>45678.36142361111</v>
      </c>
      <c r="H279" s="10">
        <v>45678.36142361111</v>
      </c>
      <c r="I279" s="10">
        <v>45678.36142361111</v>
      </c>
      <c r="J279" s="10">
        <v>45678.362291666657</v>
      </c>
      <c r="K279" s="11">
        <f t="shared" si="20"/>
        <v>0.87723379630187992</v>
      </c>
      <c r="L279" s="11">
        <f t="shared" si="21"/>
        <v>2.6712962957390118E-2</v>
      </c>
      <c r="M279" s="11">
        <f t="shared" si="22"/>
        <v>0</v>
      </c>
      <c r="N279" s="11">
        <f t="shared" si="23"/>
        <v>8.6805554747115821E-4</v>
      </c>
      <c r="O279" s="11">
        <f t="shared" si="24"/>
        <v>0.9048148148067412</v>
      </c>
    </row>
    <row r="280" spans="1:15" x14ac:dyDescent="0.25">
      <c r="A280" s="3" t="s">
        <v>2119</v>
      </c>
      <c r="B280" s="3" t="s">
        <v>500</v>
      </c>
      <c r="C280" s="9">
        <v>104.96</v>
      </c>
      <c r="D280" s="3" t="s">
        <v>3199</v>
      </c>
      <c r="E280" s="10">
        <v>45677.541597222233</v>
      </c>
      <c r="F280" s="10">
        <v>45678.340532407397</v>
      </c>
      <c r="G280" s="10">
        <v>45678.358749999999</v>
      </c>
      <c r="H280" s="10">
        <v>45678.358749999999</v>
      </c>
      <c r="I280" s="10">
        <v>45678.358749999999</v>
      </c>
      <c r="J280" s="10">
        <v>45678.359386574077</v>
      </c>
      <c r="K280" s="11">
        <f t="shared" si="20"/>
        <v>0.79893518516473705</v>
      </c>
      <c r="L280" s="11">
        <f t="shared" si="21"/>
        <v>1.821759260201361E-2</v>
      </c>
      <c r="M280" s="11">
        <f t="shared" si="22"/>
        <v>0</v>
      </c>
      <c r="N280" s="11">
        <f t="shared" si="23"/>
        <v>6.36574077361729E-4</v>
      </c>
      <c r="O280" s="11">
        <f t="shared" si="24"/>
        <v>0.81778935184411239</v>
      </c>
    </row>
    <row r="281" spans="1:15" x14ac:dyDescent="0.25">
      <c r="A281" s="3" t="s">
        <v>2150</v>
      </c>
      <c r="B281" s="3" t="s">
        <v>500</v>
      </c>
      <c r="C281" s="9">
        <v>389.06000000000012</v>
      </c>
      <c r="D281" s="3" t="s">
        <v>3206</v>
      </c>
      <c r="E281" s="10">
        <v>45677.613344907397</v>
      </c>
      <c r="F281" s="10">
        <v>45678.387997685182</v>
      </c>
      <c r="G281" s="10">
        <v>45678.455543981479</v>
      </c>
      <c r="H281" s="10">
        <v>45678.455543981479</v>
      </c>
      <c r="I281" s="10">
        <v>45678.455543981479</v>
      </c>
      <c r="J281" s="10">
        <v>45678.457037037027</v>
      </c>
      <c r="K281" s="11">
        <f t="shared" si="20"/>
        <v>0.77465277778537711</v>
      </c>
      <c r="L281" s="11">
        <f t="shared" si="21"/>
        <v>6.7546296297223307E-2</v>
      </c>
      <c r="M281" s="11">
        <f t="shared" si="22"/>
        <v>0</v>
      </c>
      <c r="N281" s="11">
        <f t="shared" si="23"/>
        <v>1.4930555480532348E-3</v>
      </c>
      <c r="O281" s="11">
        <f t="shared" si="24"/>
        <v>0.84369212963065365</v>
      </c>
    </row>
    <row r="282" spans="1:15" x14ac:dyDescent="0.25">
      <c r="A282" s="3" t="s">
        <v>2146</v>
      </c>
      <c r="B282" s="3" t="s">
        <v>506</v>
      </c>
      <c r="C282" s="9">
        <v>140.18</v>
      </c>
      <c r="D282" s="3" t="s">
        <v>3201</v>
      </c>
      <c r="E282" s="10">
        <v>45677.662523148138</v>
      </c>
      <c r="F282" s="10">
        <v>45678.401921296303</v>
      </c>
      <c r="G282" s="10">
        <v>45678.426261574074</v>
      </c>
      <c r="H282" s="10">
        <v>45678.426261574074</v>
      </c>
      <c r="I282" s="10">
        <v>45678.426261574074</v>
      </c>
      <c r="J282" s="10">
        <v>45678.427118055559</v>
      </c>
      <c r="K282" s="11">
        <f t="shared" si="20"/>
        <v>0.73939814816549188</v>
      </c>
      <c r="L282" s="11">
        <f t="shared" si="21"/>
        <v>2.4340277770534158E-2</v>
      </c>
      <c r="M282" s="11">
        <f t="shared" si="22"/>
        <v>0</v>
      </c>
      <c r="N282" s="11">
        <f t="shared" si="23"/>
        <v>8.5648148524342105E-4</v>
      </c>
      <c r="O282" s="11">
        <f t="shared" si="24"/>
        <v>0.76459490742126945</v>
      </c>
    </row>
    <row r="283" spans="1:15" x14ac:dyDescent="0.25">
      <c r="A283" s="3" t="s">
        <v>2223</v>
      </c>
      <c r="B283" s="3" t="s">
        <v>572</v>
      </c>
      <c r="C283" s="9">
        <v>152.30000000000001</v>
      </c>
      <c r="D283" s="3" t="s">
        <v>3203</v>
      </c>
      <c r="E283" s="10">
        <v>45677.670520833337</v>
      </c>
      <c r="F283" s="10">
        <v>45678.438402777778</v>
      </c>
      <c r="G283" s="10">
        <v>45678.464849537027</v>
      </c>
      <c r="H283" s="10">
        <v>45678.464849537027</v>
      </c>
      <c r="I283" s="10">
        <v>45678.464849537027</v>
      </c>
      <c r="J283" s="10">
        <v>45678.465671296297</v>
      </c>
      <c r="K283" s="11">
        <f t="shared" si="20"/>
        <v>0.76788194444088731</v>
      </c>
      <c r="L283" s="11">
        <f t="shared" si="21"/>
        <v>2.6446759249665774E-2</v>
      </c>
      <c r="M283" s="11">
        <f t="shared" si="22"/>
        <v>0</v>
      </c>
      <c r="N283" s="11">
        <f t="shared" si="23"/>
        <v>8.2175926945637912E-4</v>
      </c>
      <c r="O283" s="11">
        <f t="shared" si="24"/>
        <v>0.79515046296000946</v>
      </c>
    </row>
    <row r="284" spans="1:15" x14ac:dyDescent="0.25">
      <c r="A284" s="3" t="s">
        <v>2228</v>
      </c>
      <c r="B284" s="3" t="s">
        <v>500</v>
      </c>
      <c r="C284" s="9">
        <v>325.36000000000013</v>
      </c>
      <c r="D284" s="3" t="s">
        <v>3203</v>
      </c>
      <c r="E284" s="10">
        <v>45677.720613425918</v>
      </c>
      <c r="F284" s="10">
        <v>45678.615937499999</v>
      </c>
      <c r="G284" s="10">
        <v>45678.672418981478</v>
      </c>
      <c r="H284" s="10">
        <v>45678.672418981478</v>
      </c>
      <c r="I284" s="10">
        <v>45678.672418981478</v>
      </c>
      <c r="J284" s="10">
        <v>45678.673634259263</v>
      </c>
      <c r="K284" s="11">
        <f t="shared" si="20"/>
        <v>0.89532407408114523</v>
      </c>
      <c r="L284" s="11">
        <f t="shared" si="21"/>
        <v>5.6481481478840578E-2</v>
      </c>
      <c r="M284" s="11">
        <f t="shared" si="22"/>
        <v>0</v>
      </c>
      <c r="N284" s="11">
        <f t="shared" si="23"/>
        <v>1.2152777853771113E-3</v>
      </c>
      <c r="O284" s="11">
        <f t="shared" si="24"/>
        <v>0.95302083334536292</v>
      </c>
    </row>
    <row r="285" spans="1:15" x14ac:dyDescent="0.25">
      <c r="A285" s="3" t="s">
        <v>2134</v>
      </c>
      <c r="B285" s="3" t="s">
        <v>500</v>
      </c>
      <c r="C285" s="9">
        <v>398.04000000000008</v>
      </c>
      <c r="D285" s="3" t="s">
        <v>3204</v>
      </c>
      <c r="E285" s="10">
        <v>45677.890011574083</v>
      </c>
      <c r="F285" s="10">
        <v>45678.641886574071</v>
      </c>
      <c r="G285" s="10">
        <v>45678.7109837963</v>
      </c>
      <c r="H285" s="10">
        <v>45678.7109837963</v>
      </c>
      <c r="I285" s="10">
        <v>45678.7109837963</v>
      </c>
      <c r="J285" s="10">
        <v>45678.712407407409</v>
      </c>
      <c r="K285" s="11">
        <f t="shared" si="20"/>
        <v>0.75187499998719431</v>
      </c>
      <c r="L285" s="11">
        <f t="shared" si="21"/>
        <v>6.9097222229174804E-2</v>
      </c>
      <c r="M285" s="11">
        <f t="shared" si="22"/>
        <v>0</v>
      </c>
      <c r="N285" s="11">
        <f t="shared" si="23"/>
        <v>1.4236111092031933E-3</v>
      </c>
      <c r="O285" s="11">
        <f t="shared" si="24"/>
        <v>0.82239583332557231</v>
      </c>
    </row>
    <row r="286" spans="1:15" x14ac:dyDescent="0.25">
      <c r="A286" s="3" t="s">
        <v>2137</v>
      </c>
      <c r="B286" s="3" t="s">
        <v>488</v>
      </c>
      <c r="C286" s="9">
        <v>295.68</v>
      </c>
      <c r="D286" s="3" t="s">
        <v>3196</v>
      </c>
      <c r="E286" s="10">
        <v>45678.142881944441</v>
      </c>
      <c r="F286" s="10">
        <v>45678.647372685176</v>
      </c>
      <c r="G286" s="10">
        <v>45678.698703703703</v>
      </c>
      <c r="H286" s="10">
        <v>45678.698703703703</v>
      </c>
      <c r="I286" s="10">
        <v>45678.698703703703</v>
      </c>
      <c r="J286" s="10">
        <v>45678.69976851852</v>
      </c>
      <c r="K286" s="11">
        <f t="shared" si="20"/>
        <v>0.50449074073549127</v>
      </c>
      <c r="L286" s="11">
        <f t="shared" si="21"/>
        <v>5.1331018526980188E-2</v>
      </c>
      <c r="M286" s="11">
        <f t="shared" si="22"/>
        <v>0</v>
      </c>
      <c r="N286" s="11">
        <f t="shared" si="23"/>
        <v>1.0648148163454607E-3</v>
      </c>
      <c r="O286" s="11">
        <f t="shared" si="24"/>
        <v>0.55688657407881692</v>
      </c>
    </row>
    <row r="287" spans="1:15" x14ac:dyDescent="0.25">
      <c r="A287" s="3" t="s">
        <v>2244</v>
      </c>
      <c r="B287" s="3" t="s">
        <v>500</v>
      </c>
      <c r="C287" s="9">
        <v>233.08</v>
      </c>
      <c r="D287" s="3" t="s">
        <v>3202</v>
      </c>
      <c r="E287" s="10">
        <v>45678.286712962959</v>
      </c>
      <c r="F287" s="10">
        <v>45678.879432870373</v>
      </c>
      <c r="G287" s="10">
        <v>45678.919907407413</v>
      </c>
      <c r="H287" s="10">
        <v>45678.919907407413</v>
      </c>
      <c r="I287" s="10">
        <v>45678.919907407413</v>
      </c>
      <c r="J287" s="10">
        <v>45678.920925925922</v>
      </c>
      <c r="K287" s="11">
        <f t="shared" si="20"/>
        <v>0.5927199074139935</v>
      </c>
      <c r="L287" s="11">
        <f t="shared" si="21"/>
        <v>4.0474537039699499E-2</v>
      </c>
      <c r="M287" s="11">
        <f t="shared" si="22"/>
        <v>0</v>
      </c>
      <c r="N287" s="11">
        <f t="shared" si="23"/>
        <v>1.0185185092268512E-3</v>
      </c>
      <c r="O287" s="11">
        <f t="shared" si="24"/>
        <v>0.63421296296291985</v>
      </c>
    </row>
    <row r="288" spans="1:15" x14ac:dyDescent="0.25">
      <c r="A288" s="3" t="s">
        <v>2182</v>
      </c>
      <c r="B288" s="3" t="s">
        <v>506</v>
      </c>
      <c r="C288" s="9">
        <v>116.94</v>
      </c>
      <c r="D288" s="3" t="s">
        <v>3194</v>
      </c>
      <c r="E288" s="10">
        <v>45678.327696759261</v>
      </c>
      <c r="F288" s="10">
        <v>45679.12300925926</v>
      </c>
      <c r="G288" s="10">
        <v>45679.143310185187</v>
      </c>
      <c r="H288" s="10">
        <v>45679.143310185187</v>
      </c>
      <c r="I288" s="10">
        <v>45679.143310185187</v>
      </c>
      <c r="J288" s="10">
        <v>45679.144120370373</v>
      </c>
      <c r="K288" s="11">
        <f t="shared" si="20"/>
        <v>0.79531249999854481</v>
      </c>
      <c r="L288" s="11">
        <f t="shared" si="21"/>
        <v>2.0300925927585922E-2</v>
      </c>
      <c r="M288" s="11">
        <f t="shared" si="22"/>
        <v>0</v>
      </c>
      <c r="N288" s="11">
        <f t="shared" si="23"/>
        <v>8.1018518540076911E-4</v>
      </c>
      <c r="O288" s="11">
        <f t="shared" si="24"/>
        <v>0.8164236111115315</v>
      </c>
    </row>
    <row r="289" spans="1:15" x14ac:dyDescent="0.25">
      <c r="A289" s="3" t="s">
        <v>2204</v>
      </c>
      <c r="B289" s="3" t="s">
        <v>519</v>
      </c>
      <c r="C289" s="9">
        <v>117.1</v>
      </c>
      <c r="D289" s="3" t="s">
        <v>3197</v>
      </c>
      <c r="E289" s="10">
        <v>45678.335370370369</v>
      </c>
      <c r="F289" s="10">
        <v>45679.203449074077</v>
      </c>
      <c r="G289" s="10">
        <v>45679.22378472222</v>
      </c>
      <c r="H289" s="10">
        <v>45679.22378472222</v>
      </c>
      <c r="I289" s="10">
        <v>45679.22378472222</v>
      </c>
      <c r="J289" s="10">
        <v>45679.224594907413</v>
      </c>
      <c r="K289" s="11">
        <f t="shared" si="20"/>
        <v>0.86807870370830642</v>
      </c>
      <c r="L289" s="11">
        <f t="shared" si="21"/>
        <v>2.0335648143372964E-2</v>
      </c>
      <c r="M289" s="11">
        <f t="shared" si="22"/>
        <v>0</v>
      </c>
      <c r="N289" s="11">
        <f t="shared" si="23"/>
        <v>8.1018519267672673E-4</v>
      </c>
      <c r="O289" s="11">
        <f t="shared" si="24"/>
        <v>0.88922453704435611</v>
      </c>
    </row>
    <row r="290" spans="1:15" x14ac:dyDescent="0.25">
      <c r="A290" s="3" t="s">
        <v>2269</v>
      </c>
      <c r="B290" s="3" t="s">
        <v>500</v>
      </c>
      <c r="C290" s="9">
        <v>339.1</v>
      </c>
      <c r="D290" s="3" t="s">
        <v>3197</v>
      </c>
      <c r="E290" s="10">
        <v>45678.338796296302</v>
      </c>
      <c r="F290" s="10">
        <v>45679.276956018519</v>
      </c>
      <c r="G290" s="10">
        <v>45679.335833333331</v>
      </c>
      <c r="H290" s="10">
        <v>45679.335833333331</v>
      </c>
      <c r="I290" s="10">
        <v>45679.335833333331</v>
      </c>
      <c r="J290" s="10">
        <v>45679.337164351848</v>
      </c>
      <c r="K290" s="11">
        <f t="shared" si="20"/>
        <v>0.93815972221636912</v>
      </c>
      <c r="L290" s="11">
        <f t="shared" si="21"/>
        <v>5.8877314811979886E-2</v>
      </c>
      <c r="M290" s="11">
        <f t="shared" si="22"/>
        <v>0</v>
      </c>
      <c r="N290" s="11">
        <f t="shared" si="23"/>
        <v>1.3310185167938471E-3</v>
      </c>
      <c r="O290" s="11">
        <f t="shared" si="24"/>
        <v>0.99836805554514285</v>
      </c>
    </row>
    <row r="291" spans="1:15" x14ac:dyDescent="0.25">
      <c r="A291" s="3" t="s">
        <v>2237</v>
      </c>
      <c r="B291" s="3" t="s">
        <v>572</v>
      </c>
      <c r="C291" s="9">
        <v>143.6</v>
      </c>
      <c r="D291" s="3" t="s">
        <v>3203</v>
      </c>
      <c r="E291" s="10">
        <v>45678.394826388889</v>
      </c>
      <c r="F291" s="10">
        <v>45679.322650462957</v>
      </c>
      <c r="G291" s="10">
        <v>45679.347581018519</v>
      </c>
      <c r="H291" s="10">
        <v>45679.347581018519</v>
      </c>
      <c r="I291" s="10">
        <v>45679.347581018519</v>
      </c>
      <c r="J291" s="10">
        <v>45679.348368055558</v>
      </c>
      <c r="K291" s="11">
        <f t="shared" si="20"/>
        <v>0.92782407406775746</v>
      </c>
      <c r="L291" s="11">
        <f t="shared" si="21"/>
        <v>2.493055556260515E-2</v>
      </c>
      <c r="M291" s="11">
        <f t="shared" si="22"/>
        <v>0</v>
      </c>
      <c r="N291" s="11">
        <f t="shared" si="23"/>
        <v>7.8703703911742195E-4</v>
      </c>
      <c r="O291" s="11">
        <f t="shared" si="24"/>
        <v>0.95354166666948004</v>
      </c>
    </row>
    <row r="292" spans="1:15" x14ac:dyDescent="0.25">
      <c r="A292" s="3" t="s">
        <v>2281</v>
      </c>
      <c r="B292" s="3" t="s">
        <v>527</v>
      </c>
      <c r="C292" s="9">
        <v>108</v>
      </c>
      <c r="D292" s="3" t="s">
        <v>3200</v>
      </c>
      <c r="E292" s="10">
        <v>45678.397349537037</v>
      </c>
      <c r="F292" s="10">
        <v>45679.324895833342</v>
      </c>
      <c r="G292" s="10">
        <v>45679.343645833331</v>
      </c>
      <c r="H292" s="10">
        <v>45679.343645833331</v>
      </c>
      <c r="I292" s="10">
        <v>45679.343645833331</v>
      </c>
      <c r="J292" s="10">
        <v>45679.344409722216</v>
      </c>
      <c r="K292" s="11">
        <f t="shared" si="20"/>
        <v>0.92754629630508134</v>
      </c>
      <c r="L292" s="11">
        <f t="shared" si="21"/>
        <v>1.8749999988358468E-2</v>
      </c>
      <c r="M292" s="11">
        <f t="shared" si="22"/>
        <v>0</v>
      </c>
      <c r="N292" s="11">
        <f t="shared" si="23"/>
        <v>7.6388888555811718E-4</v>
      </c>
      <c r="O292" s="11">
        <f t="shared" si="24"/>
        <v>0.94706018517899793</v>
      </c>
    </row>
    <row r="293" spans="1:15" x14ac:dyDescent="0.25">
      <c r="A293" s="3" t="s">
        <v>2216</v>
      </c>
      <c r="B293" s="3" t="s">
        <v>519</v>
      </c>
      <c r="C293" s="9">
        <v>111.4</v>
      </c>
      <c r="D293" s="3" t="s">
        <v>3199</v>
      </c>
      <c r="E293" s="10">
        <v>45678.402199074073</v>
      </c>
      <c r="F293" s="10">
        <v>45679.341516203713</v>
      </c>
      <c r="G293" s="10">
        <v>45679.360856481479</v>
      </c>
      <c r="H293" s="10">
        <v>45679.360856481479</v>
      </c>
      <c r="I293" s="10">
        <v>45679.360856481479</v>
      </c>
      <c r="J293" s="10">
        <v>45679.361504629633</v>
      </c>
      <c r="K293" s="11">
        <f t="shared" si="20"/>
        <v>0.93931712963967584</v>
      </c>
      <c r="L293" s="11">
        <f t="shared" si="21"/>
        <v>1.9340277765877545E-2</v>
      </c>
      <c r="M293" s="11">
        <f t="shared" si="22"/>
        <v>0</v>
      </c>
      <c r="N293" s="11">
        <f t="shared" si="23"/>
        <v>6.4814815414138138E-4</v>
      </c>
      <c r="O293" s="11">
        <f t="shared" si="24"/>
        <v>0.95930555555969477</v>
      </c>
    </row>
    <row r="294" spans="1:15" x14ac:dyDescent="0.25">
      <c r="A294" s="3" t="s">
        <v>2290</v>
      </c>
      <c r="B294" s="3" t="s">
        <v>500</v>
      </c>
      <c r="C294" s="9">
        <v>454.78</v>
      </c>
      <c r="D294" s="3" t="s">
        <v>3197</v>
      </c>
      <c r="E294" s="10">
        <v>45678.440324074072</v>
      </c>
      <c r="F294" s="10">
        <v>45679.362951388888</v>
      </c>
      <c r="G294" s="10">
        <v>45679.44189814815</v>
      </c>
      <c r="H294" s="10">
        <v>45679.44189814815</v>
      </c>
      <c r="I294" s="10">
        <v>45679.44189814815</v>
      </c>
      <c r="J294" s="10">
        <v>45679.443506944437</v>
      </c>
      <c r="K294" s="11">
        <f t="shared" si="20"/>
        <v>0.92262731481605442</v>
      </c>
      <c r="L294" s="11">
        <f t="shared" si="21"/>
        <v>7.8946759262180422E-2</v>
      </c>
      <c r="M294" s="11">
        <f t="shared" si="22"/>
        <v>0</v>
      </c>
      <c r="N294" s="11">
        <f t="shared" si="23"/>
        <v>1.6087962867459282E-3</v>
      </c>
      <c r="O294" s="11">
        <f t="shared" si="24"/>
        <v>1.0031828703649808</v>
      </c>
    </row>
    <row r="295" spans="1:15" x14ac:dyDescent="0.25">
      <c r="A295" s="3" t="s">
        <v>2302</v>
      </c>
      <c r="B295" s="3" t="s">
        <v>500</v>
      </c>
      <c r="C295" s="9">
        <v>398.04000000000008</v>
      </c>
      <c r="D295" s="3" t="s">
        <v>3197</v>
      </c>
      <c r="E295" s="10">
        <v>45678.616377314807</v>
      </c>
      <c r="F295" s="10">
        <v>45679.420636574083</v>
      </c>
      <c r="G295" s="10">
        <v>45679.489745370367</v>
      </c>
      <c r="H295" s="10">
        <v>45679.489745370367</v>
      </c>
      <c r="I295" s="10">
        <v>45679.489745370367</v>
      </c>
      <c r="J295" s="10">
        <v>45679.491215277783</v>
      </c>
      <c r="K295" s="11">
        <f t="shared" si="20"/>
        <v>0.80425925927556818</v>
      </c>
      <c r="L295" s="11">
        <f t="shared" si="21"/>
        <v>6.9108796284126583E-2</v>
      </c>
      <c r="M295" s="11">
        <f t="shared" si="22"/>
        <v>0</v>
      </c>
      <c r="N295" s="11">
        <f t="shared" si="23"/>
        <v>1.4699074163218029E-3</v>
      </c>
      <c r="O295" s="11">
        <f t="shared" si="24"/>
        <v>0.87483796297601657</v>
      </c>
    </row>
    <row r="296" spans="1:15" x14ac:dyDescent="0.25">
      <c r="A296" s="3" t="s">
        <v>2247</v>
      </c>
      <c r="B296" s="3" t="s">
        <v>488</v>
      </c>
      <c r="C296" s="9">
        <v>101.7</v>
      </c>
      <c r="D296" s="3" t="s">
        <v>3205</v>
      </c>
      <c r="E296" s="10">
        <v>45678.631504629629</v>
      </c>
      <c r="F296" s="10">
        <v>45679.445787037039</v>
      </c>
      <c r="G296" s="10">
        <v>45679.463449074072</v>
      </c>
      <c r="H296" s="10">
        <v>45679.463449074072</v>
      </c>
      <c r="I296" s="10">
        <v>45679.463449074072</v>
      </c>
      <c r="J296" s="10">
        <v>45679.464224537027</v>
      </c>
      <c r="K296" s="11">
        <f t="shared" si="20"/>
        <v>0.81428240740933688</v>
      </c>
      <c r="L296" s="11">
        <f t="shared" si="21"/>
        <v>1.7662037033005618E-2</v>
      </c>
      <c r="M296" s="11">
        <f t="shared" si="22"/>
        <v>0</v>
      </c>
      <c r="N296" s="11">
        <f t="shared" si="23"/>
        <v>7.7546295506181195E-4</v>
      </c>
      <c r="O296" s="11">
        <f t="shared" si="24"/>
        <v>0.83271990739740431</v>
      </c>
    </row>
    <row r="297" spans="1:15" x14ac:dyDescent="0.25">
      <c r="A297" s="3" t="s">
        <v>2297</v>
      </c>
      <c r="B297" s="3" t="s">
        <v>519</v>
      </c>
      <c r="C297" s="9">
        <v>173.3</v>
      </c>
      <c r="D297" s="3" t="s">
        <v>3203</v>
      </c>
      <c r="E297" s="10">
        <v>45678.634826388887</v>
      </c>
      <c r="F297" s="10">
        <v>45679.549930555557</v>
      </c>
      <c r="G297" s="10">
        <v>45679.580023148148</v>
      </c>
      <c r="H297" s="10">
        <v>45679.580023148148</v>
      </c>
      <c r="I297" s="10">
        <v>45679.580023148148</v>
      </c>
      <c r="J297" s="10">
        <v>45679.580891203703</v>
      </c>
      <c r="K297" s="11">
        <f t="shared" si="20"/>
        <v>0.91510416667006211</v>
      </c>
      <c r="L297" s="11">
        <f t="shared" si="21"/>
        <v>3.0092592591245193E-2</v>
      </c>
      <c r="M297" s="11">
        <f t="shared" si="22"/>
        <v>0</v>
      </c>
      <c r="N297" s="11">
        <f t="shared" si="23"/>
        <v>8.6805555474711582E-4</v>
      </c>
      <c r="O297" s="11">
        <f t="shared" si="24"/>
        <v>0.94606481481605442</v>
      </c>
    </row>
    <row r="298" spans="1:15" x14ac:dyDescent="0.25">
      <c r="A298" s="3" t="s">
        <v>2309</v>
      </c>
      <c r="B298" s="3" t="s">
        <v>654</v>
      </c>
      <c r="C298" s="9">
        <v>123.74</v>
      </c>
      <c r="D298" s="3" t="s">
        <v>3201</v>
      </c>
      <c r="E298" s="10">
        <v>45678.638495370367</v>
      </c>
      <c r="F298" s="10">
        <v>45679.642129629632</v>
      </c>
      <c r="G298" s="10">
        <v>45679.663611111107</v>
      </c>
      <c r="H298" s="10">
        <v>45679.663611111107</v>
      </c>
      <c r="I298" s="10">
        <v>45679.663611111107</v>
      </c>
      <c r="J298" s="10">
        <v>45679.664444444446</v>
      </c>
      <c r="K298" s="11">
        <f t="shared" si="20"/>
        <v>1.0036342592647998</v>
      </c>
      <c r="L298" s="11">
        <f t="shared" si="21"/>
        <v>2.1481481475348119E-2</v>
      </c>
      <c r="M298" s="11">
        <f t="shared" si="22"/>
        <v>0</v>
      </c>
      <c r="N298" s="11">
        <f t="shared" si="23"/>
        <v>8.3333333896007389E-4</v>
      </c>
      <c r="O298" s="11">
        <f t="shared" si="24"/>
        <v>1.025949074079108</v>
      </c>
    </row>
    <row r="299" spans="1:15" x14ac:dyDescent="0.25">
      <c r="A299" s="3" t="s">
        <v>2318</v>
      </c>
      <c r="B299" s="3" t="s">
        <v>506</v>
      </c>
      <c r="C299" s="9">
        <v>209.9</v>
      </c>
      <c r="D299" s="3" t="s">
        <v>3206</v>
      </c>
      <c r="E299" s="10">
        <v>45678.6408912037</v>
      </c>
      <c r="F299" s="10">
        <v>45679.743090277778</v>
      </c>
      <c r="G299" s="10">
        <v>45679.779537037037</v>
      </c>
      <c r="H299" s="10">
        <v>45679.779537037037</v>
      </c>
      <c r="I299" s="10">
        <v>45679.779537037037</v>
      </c>
      <c r="J299" s="10">
        <v>45679.780613425923</v>
      </c>
      <c r="K299" s="11">
        <f t="shared" si="20"/>
        <v>1.1021990740773617</v>
      </c>
      <c r="L299" s="11">
        <f t="shared" si="21"/>
        <v>3.6446759258979E-2</v>
      </c>
      <c r="M299" s="11">
        <f t="shared" si="22"/>
        <v>0</v>
      </c>
      <c r="N299" s="11">
        <f t="shared" si="23"/>
        <v>1.0763888858491555E-3</v>
      </c>
      <c r="O299" s="11">
        <f t="shared" si="24"/>
        <v>1.1397222222221899</v>
      </c>
    </row>
    <row r="300" spans="1:15" x14ac:dyDescent="0.25">
      <c r="A300" s="3" t="s">
        <v>2323</v>
      </c>
      <c r="B300" s="3" t="s">
        <v>500</v>
      </c>
      <c r="C300" s="9">
        <v>125.92</v>
      </c>
      <c r="D300" s="3" t="s">
        <v>3197</v>
      </c>
      <c r="E300" s="10">
        <v>45678.645682870367</v>
      </c>
      <c r="F300" s="10">
        <v>45679.76295138889</v>
      </c>
      <c r="G300" s="10">
        <v>45679.784803240742</v>
      </c>
      <c r="H300" s="10">
        <v>45679.784803240742</v>
      </c>
      <c r="I300" s="10">
        <v>45679.784803240742</v>
      </c>
      <c r="J300" s="10">
        <v>45679.78564814815</v>
      </c>
      <c r="K300" s="11">
        <f t="shared" si="20"/>
        <v>1.1172685185229057</v>
      </c>
      <c r="L300" s="11">
        <f t="shared" si="21"/>
        <v>2.1851851852261461E-2</v>
      </c>
      <c r="M300" s="11">
        <f t="shared" si="22"/>
        <v>0</v>
      </c>
      <c r="N300" s="11">
        <f t="shared" si="23"/>
        <v>8.4490740846376866E-4</v>
      </c>
      <c r="O300" s="11">
        <f t="shared" si="24"/>
        <v>1.1399652777836309</v>
      </c>
    </row>
    <row r="301" spans="1:15" x14ac:dyDescent="0.25">
      <c r="A301" s="3" t="s">
        <v>2326</v>
      </c>
      <c r="B301" s="3" t="s">
        <v>500</v>
      </c>
      <c r="C301" s="9">
        <v>187.4</v>
      </c>
      <c r="D301" s="3" t="s">
        <v>3197</v>
      </c>
      <c r="E301" s="10">
        <v>45678.880173611113</v>
      </c>
      <c r="F301" s="10">
        <v>45679.765347222223</v>
      </c>
      <c r="G301" s="10">
        <v>45679.797881944447</v>
      </c>
      <c r="H301" s="10">
        <v>45679.797881944447</v>
      </c>
      <c r="I301" s="10">
        <v>45679.797881944447</v>
      </c>
      <c r="J301" s="10">
        <v>45679.798854166656</v>
      </c>
      <c r="K301" s="11">
        <f t="shared" si="20"/>
        <v>0.88517361111007631</v>
      </c>
      <c r="L301" s="11">
        <f t="shared" si="21"/>
        <v>3.2534722224227153E-2</v>
      </c>
      <c r="M301" s="11">
        <f t="shared" si="22"/>
        <v>0</v>
      </c>
      <c r="N301" s="11">
        <f t="shared" si="23"/>
        <v>9.7222220938419923E-4</v>
      </c>
      <c r="O301" s="11">
        <f t="shared" si="24"/>
        <v>0.91868055554368766</v>
      </c>
    </row>
    <row r="302" spans="1:15" x14ac:dyDescent="0.25">
      <c r="A302" s="3" t="s">
        <v>2329</v>
      </c>
      <c r="B302" s="3" t="s">
        <v>484</v>
      </c>
      <c r="C302" s="9">
        <v>219.42</v>
      </c>
      <c r="D302" s="3" t="s">
        <v>3203</v>
      </c>
      <c r="E302" s="10">
        <v>45679.121203703697</v>
      </c>
      <c r="F302" s="10">
        <v>45679.865972222222</v>
      </c>
      <c r="G302" s="10">
        <v>45679.904062499998</v>
      </c>
      <c r="H302" s="10">
        <v>45679.904062499998</v>
      </c>
      <c r="I302" s="10">
        <v>45679.904062499998</v>
      </c>
      <c r="J302" s="10">
        <v>45679.905034722222</v>
      </c>
      <c r="K302" s="11">
        <f t="shared" si="20"/>
        <v>0.74476851852523396</v>
      </c>
      <c r="L302" s="11">
        <f t="shared" si="21"/>
        <v>3.8090277776063886E-2</v>
      </c>
      <c r="M302" s="11">
        <f t="shared" si="22"/>
        <v>0</v>
      </c>
      <c r="N302" s="11">
        <f t="shared" si="23"/>
        <v>9.7222222393611446E-4</v>
      </c>
      <c r="O302" s="11">
        <f t="shared" si="24"/>
        <v>0.78383101852523396</v>
      </c>
    </row>
    <row r="303" spans="1:15" x14ac:dyDescent="0.25">
      <c r="A303" s="3" t="s">
        <v>2260</v>
      </c>
      <c r="B303" s="3" t="s">
        <v>519</v>
      </c>
      <c r="C303" s="9">
        <v>366.6</v>
      </c>
      <c r="D303" s="3" t="s">
        <v>3204</v>
      </c>
      <c r="E303" s="10">
        <v>45679.204131944447</v>
      </c>
      <c r="F303" s="10">
        <v>45680.131921296299</v>
      </c>
      <c r="G303" s="10">
        <v>45680.195567129631</v>
      </c>
      <c r="H303" s="10">
        <v>45680.195567129631</v>
      </c>
      <c r="I303" s="10">
        <v>45680.195567129631</v>
      </c>
      <c r="J303" s="10">
        <v>45680.196909722217</v>
      </c>
      <c r="K303" s="11">
        <f t="shared" si="20"/>
        <v>0.92778935185197042</v>
      </c>
      <c r="L303" s="11">
        <f t="shared" si="21"/>
        <v>6.3645833331975155E-2</v>
      </c>
      <c r="M303" s="11">
        <f t="shared" si="22"/>
        <v>0</v>
      </c>
      <c r="N303" s="11">
        <f t="shared" si="23"/>
        <v>1.3425925862975419E-3</v>
      </c>
      <c r="O303" s="11">
        <f t="shared" si="24"/>
        <v>0.99277777777024312</v>
      </c>
    </row>
    <row r="304" spans="1:15" x14ac:dyDescent="0.25">
      <c r="A304" s="3" t="s">
        <v>2342</v>
      </c>
      <c r="B304" s="3" t="s">
        <v>500</v>
      </c>
      <c r="C304" s="9">
        <v>291.7</v>
      </c>
      <c r="D304" s="3" t="s">
        <v>3197</v>
      </c>
      <c r="E304" s="10">
        <v>45679.277638888889</v>
      </c>
      <c r="F304" s="10">
        <v>45680.273842592593</v>
      </c>
      <c r="G304" s="10">
        <v>45680.324479166673</v>
      </c>
      <c r="H304" s="10">
        <v>45680.324479166673</v>
      </c>
      <c r="I304" s="10">
        <v>45680.324479166673</v>
      </c>
      <c r="J304" s="10">
        <v>45680.325706018521</v>
      </c>
      <c r="K304" s="11">
        <f t="shared" si="20"/>
        <v>0.99620370370394085</v>
      </c>
      <c r="L304" s="11">
        <f t="shared" si="21"/>
        <v>5.0636574080272112E-2</v>
      </c>
      <c r="M304" s="11">
        <f t="shared" si="22"/>
        <v>0</v>
      </c>
      <c r="N304" s="11">
        <f t="shared" si="23"/>
        <v>1.2268518476048484E-3</v>
      </c>
      <c r="O304" s="11">
        <f t="shared" si="24"/>
        <v>1.0480671296318178</v>
      </c>
    </row>
    <row r="305" spans="1:15" x14ac:dyDescent="0.25">
      <c r="A305" s="3" t="s">
        <v>2009</v>
      </c>
      <c r="B305" s="3" t="s">
        <v>523</v>
      </c>
      <c r="C305" s="9">
        <v>106.92</v>
      </c>
      <c r="D305" s="3" t="s">
        <v>3195</v>
      </c>
      <c r="E305" s="10">
        <v>45679.314988425933</v>
      </c>
      <c r="F305" s="10">
        <v>45680.306504629632</v>
      </c>
      <c r="G305" s="10">
        <v>45680.325069444443</v>
      </c>
      <c r="H305" s="10">
        <v>45680.325069444443</v>
      </c>
      <c r="I305" s="10">
        <v>45680.325706018521</v>
      </c>
      <c r="J305" s="10">
        <v>45680.326550925929</v>
      </c>
      <c r="K305" s="11">
        <f t="shared" si="20"/>
        <v>0.99151620369957527</v>
      </c>
      <c r="L305" s="11">
        <f t="shared" si="21"/>
        <v>1.8564814810815733E-2</v>
      </c>
      <c r="M305" s="11">
        <f t="shared" si="22"/>
        <v>6.36574077361729E-4</v>
      </c>
      <c r="N305" s="11">
        <f t="shared" si="23"/>
        <v>8.4490740846376866E-4</v>
      </c>
      <c r="O305" s="11">
        <f t="shared" si="24"/>
        <v>1.0115624999962165</v>
      </c>
    </row>
    <row r="306" spans="1:15" x14ac:dyDescent="0.25">
      <c r="A306" s="3" t="s">
        <v>2372</v>
      </c>
      <c r="B306" s="3" t="s">
        <v>572</v>
      </c>
      <c r="C306" s="9">
        <v>331.2</v>
      </c>
      <c r="D306" s="3" t="s">
        <v>3203</v>
      </c>
      <c r="E306" s="10">
        <v>45679.365127314813</v>
      </c>
      <c r="F306" s="10">
        <v>45680.31045138889</v>
      </c>
      <c r="G306" s="10">
        <v>45680.367951388893</v>
      </c>
      <c r="H306" s="10">
        <v>45680.367951388893</v>
      </c>
      <c r="I306" s="10">
        <v>45680.367951388893</v>
      </c>
      <c r="J306" s="10">
        <v>45680.369189814817</v>
      </c>
      <c r="K306" s="11">
        <f t="shared" si="20"/>
        <v>0.94532407407677965</v>
      </c>
      <c r="L306" s="11">
        <f t="shared" si="21"/>
        <v>5.7500000002619345E-2</v>
      </c>
      <c r="M306" s="11">
        <f t="shared" si="22"/>
        <v>0</v>
      </c>
      <c r="N306" s="11">
        <f t="shared" si="23"/>
        <v>1.2384259243845008E-3</v>
      </c>
      <c r="O306" s="11">
        <f t="shared" si="24"/>
        <v>1.0040625000037835</v>
      </c>
    </row>
    <row r="307" spans="1:15" x14ac:dyDescent="0.25">
      <c r="A307" s="3" t="s">
        <v>2334</v>
      </c>
      <c r="B307" s="3" t="s">
        <v>506</v>
      </c>
      <c r="C307" s="9">
        <v>179.16</v>
      </c>
      <c r="D307" s="3" t="s">
        <v>3199</v>
      </c>
      <c r="E307" s="10">
        <v>45679.406851851847</v>
      </c>
      <c r="F307" s="10">
        <v>45680.33</v>
      </c>
      <c r="G307" s="10">
        <v>45680.361111111109</v>
      </c>
      <c r="H307" s="10">
        <v>45680.361111111109</v>
      </c>
      <c r="I307" s="10">
        <v>45680.361111111109</v>
      </c>
      <c r="J307" s="10">
        <v>45680.361921296288</v>
      </c>
      <c r="K307" s="11">
        <f t="shared" si="20"/>
        <v>0.92314814815472346</v>
      </c>
      <c r="L307" s="11">
        <f t="shared" si="21"/>
        <v>3.1111111107748002E-2</v>
      </c>
      <c r="M307" s="11">
        <f t="shared" si="22"/>
        <v>0</v>
      </c>
      <c r="N307" s="11">
        <f t="shared" si="23"/>
        <v>8.101851781248115E-4</v>
      </c>
      <c r="O307" s="11">
        <f t="shared" si="24"/>
        <v>0.95506944444059627</v>
      </c>
    </row>
    <row r="308" spans="1:15" x14ac:dyDescent="0.25">
      <c r="A308" s="3" t="s">
        <v>2337</v>
      </c>
      <c r="B308" s="3" t="s">
        <v>488</v>
      </c>
      <c r="C308" s="9">
        <v>114.84</v>
      </c>
      <c r="D308" s="3" t="s">
        <v>3194</v>
      </c>
      <c r="E308" s="10">
        <v>45679.41238425926</v>
      </c>
      <c r="F308" s="10">
        <v>45680.377384259264</v>
      </c>
      <c r="G308" s="10">
        <v>45680.397314814807</v>
      </c>
      <c r="H308" s="10">
        <v>45680.397314814807</v>
      </c>
      <c r="I308" s="10">
        <v>45680.397314814807</v>
      </c>
      <c r="J308" s="10">
        <v>45680.398125</v>
      </c>
      <c r="K308" s="11">
        <f t="shared" si="20"/>
        <v>0.9650000000037835</v>
      </c>
      <c r="L308" s="11">
        <f t="shared" si="21"/>
        <v>1.9930555543396622E-2</v>
      </c>
      <c r="M308" s="11">
        <f t="shared" si="22"/>
        <v>0</v>
      </c>
      <c r="N308" s="11">
        <f t="shared" si="23"/>
        <v>8.1018519267672673E-4</v>
      </c>
      <c r="O308" s="11">
        <f t="shared" si="24"/>
        <v>0.98574074073985685</v>
      </c>
    </row>
    <row r="309" spans="1:15" x14ac:dyDescent="0.25">
      <c r="A309" s="3" t="s">
        <v>2345</v>
      </c>
      <c r="B309" s="3" t="s">
        <v>527</v>
      </c>
      <c r="C309" s="9">
        <v>108</v>
      </c>
      <c r="D309" s="3" t="s">
        <v>3202</v>
      </c>
      <c r="E309" s="10">
        <v>45679.413761574076</v>
      </c>
      <c r="F309" s="10">
        <v>45680.418935185182</v>
      </c>
      <c r="G309" s="10">
        <v>45680.437685185178</v>
      </c>
      <c r="H309" s="10">
        <v>45680.437685185178</v>
      </c>
      <c r="I309" s="10">
        <v>45680.437685185178</v>
      </c>
      <c r="J309" s="10">
        <v>45680.438414351847</v>
      </c>
      <c r="K309" s="11">
        <f t="shared" si="20"/>
        <v>1.0051736111054197</v>
      </c>
      <c r="L309" s="11">
        <f t="shared" si="21"/>
        <v>1.8749999995634425E-2</v>
      </c>
      <c r="M309" s="11">
        <f t="shared" si="22"/>
        <v>0</v>
      </c>
      <c r="N309" s="11">
        <f t="shared" si="23"/>
        <v>7.2916666977107525E-4</v>
      </c>
      <c r="O309" s="11">
        <f t="shared" si="24"/>
        <v>1.0246527777708252</v>
      </c>
    </row>
    <row r="310" spans="1:15" x14ac:dyDescent="0.25">
      <c r="A310" s="3" t="s">
        <v>2252</v>
      </c>
      <c r="B310" s="3" t="s">
        <v>519</v>
      </c>
      <c r="C310" s="9">
        <v>132.78</v>
      </c>
      <c r="D310" s="3" t="s">
        <v>3196</v>
      </c>
      <c r="E310" s="10">
        <v>45679.418935185182</v>
      </c>
      <c r="F310" s="10">
        <v>45680.453194444453</v>
      </c>
      <c r="G310" s="10">
        <v>45680.47625</v>
      </c>
      <c r="H310" s="10">
        <v>45680.47625</v>
      </c>
      <c r="I310" s="10">
        <v>45680.47625</v>
      </c>
      <c r="J310" s="10">
        <v>45680.47693287037</v>
      </c>
      <c r="K310" s="11">
        <f t="shared" si="20"/>
        <v>1.0342592592714936</v>
      </c>
      <c r="L310" s="11">
        <f t="shared" si="21"/>
        <v>2.3055555546307005E-2</v>
      </c>
      <c r="M310" s="11">
        <f t="shared" si="22"/>
        <v>0</v>
      </c>
      <c r="N310" s="11">
        <f t="shared" si="23"/>
        <v>6.8287036992842332E-4</v>
      </c>
      <c r="O310" s="11">
        <f t="shared" si="24"/>
        <v>1.0579976851877291</v>
      </c>
    </row>
    <row r="311" spans="1:15" x14ac:dyDescent="0.25">
      <c r="A311" s="3" t="s">
        <v>2399</v>
      </c>
      <c r="B311" s="3" t="s">
        <v>500</v>
      </c>
      <c r="C311" s="9">
        <v>446.24000000000012</v>
      </c>
      <c r="D311" s="3" t="s">
        <v>3203</v>
      </c>
      <c r="E311" s="10">
        <v>45679.446504629632</v>
      </c>
      <c r="F311" s="10">
        <v>45680.614976851852</v>
      </c>
      <c r="G311" s="10">
        <v>45680.692442129628</v>
      </c>
      <c r="H311" s="10">
        <v>45680.692442129628</v>
      </c>
      <c r="I311" s="10">
        <v>45680.692442129628</v>
      </c>
      <c r="J311" s="10">
        <v>45680.69394675926</v>
      </c>
      <c r="K311" s="11">
        <f t="shared" si="20"/>
        <v>1.1684722222198616</v>
      </c>
      <c r="L311" s="11">
        <f t="shared" si="21"/>
        <v>7.7465277776354924E-2</v>
      </c>
      <c r="M311" s="11">
        <f t="shared" si="22"/>
        <v>0</v>
      </c>
      <c r="N311" s="11">
        <f t="shared" si="23"/>
        <v>1.5046296321088448E-3</v>
      </c>
      <c r="O311" s="11">
        <f t="shared" si="24"/>
        <v>1.2474421296283253</v>
      </c>
    </row>
    <row r="312" spans="1:15" x14ac:dyDescent="0.25">
      <c r="A312" s="3" t="s">
        <v>2402</v>
      </c>
      <c r="B312" s="3" t="s">
        <v>500</v>
      </c>
      <c r="C312" s="9">
        <v>388.32000000000011</v>
      </c>
      <c r="D312" s="3" t="s">
        <v>3203</v>
      </c>
      <c r="E312" s="10">
        <v>45679.745300925933</v>
      </c>
      <c r="F312" s="10">
        <v>45680.640069444453</v>
      </c>
      <c r="G312" s="10">
        <v>45680.707488425927</v>
      </c>
      <c r="H312" s="10">
        <v>45680.707488425927</v>
      </c>
      <c r="I312" s="10">
        <v>45680.707488425927</v>
      </c>
      <c r="J312" s="10">
        <v>45680.708854166667</v>
      </c>
      <c r="K312" s="11">
        <f t="shared" si="20"/>
        <v>0.89476851851941319</v>
      </c>
      <c r="L312" s="11">
        <f t="shared" si="21"/>
        <v>6.7418981474475004E-2</v>
      </c>
      <c r="M312" s="11">
        <f t="shared" si="22"/>
        <v>0</v>
      </c>
      <c r="N312" s="11">
        <f t="shared" si="23"/>
        <v>1.3657407398568466E-3</v>
      </c>
      <c r="O312" s="11">
        <f t="shared" si="24"/>
        <v>0.96355324073374504</v>
      </c>
    </row>
    <row r="313" spans="1:15" x14ac:dyDescent="0.25">
      <c r="A313" s="3" t="s">
        <v>2014</v>
      </c>
      <c r="B313" s="3" t="s">
        <v>563</v>
      </c>
      <c r="C313" s="9">
        <v>119.4</v>
      </c>
      <c r="D313" s="3" t="s">
        <v>3198</v>
      </c>
      <c r="E313" s="10">
        <v>45679.751226851848</v>
      </c>
      <c r="F313" s="10">
        <v>45680.650775462957</v>
      </c>
      <c r="G313" s="10">
        <v>45680.67150462963</v>
      </c>
      <c r="H313" s="10">
        <v>45680.67150462963</v>
      </c>
      <c r="I313" s="10">
        <v>45680.67150462963</v>
      </c>
      <c r="J313" s="10">
        <v>45680.672326388893</v>
      </c>
      <c r="K313" s="11">
        <f t="shared" si="20"/>
        <v>0.89954861110891216</v>
      </c>
      <c r="L313" s="11">
        <f t="shared" si="21"/>
        <v>2.0729166673845612E-2</v>
      </c>
      <c r="M313" s="11">
        <f t="shared" si="22"/>
        <v>0</v>
      </c>
      <c r="N313" s="11">
        <f t="shared" si="23"/>
        <v>8.217592621804215E-4</v>
      </c>
      <c r="O313" s="11">
        <f t="shared" si="24"/>
        <v>0.92109953704493819</v>
      </c>
    </row>
    <row r="314" spans="1:15" x14ac:dyDescent="0.25">
      <c r="A314" s="3" t="s">
        <v>2174</v>
      </c>
      <c r="B314" s="3" t="s">
        <v>539</v>
      </c>
      <c r="C314" s="9">
        <v>159.19999999999999</v>
      </c>
      <c r="D314" s="3" t="s">
        <v>3193</v>
      </c>
      <c r="E314" s="10">
        <v>45679.754247685189</v>
      </c>
      <c r="F314" s="10">
        <v>45680.67324074074</v>
      </c>
      <c r="G314" s="10">
        <v>45680.700879629629</v>
      </c>
      <c r="H314" s="10">
        <v>45680.700879629629</v>
      </c>
      <c r="I314" s="10">
        <v>45680.700879629629</v>
      </c>
      <c r="J314" s="10">
        <v>45680.701678240737</v>
      </c>
      <c r="K314" s="11">
        <f t="shared" si="20"/>
        <v>0.91899305555125466</v>
      </c>
      <c r="L314" s="11">
        <f t="shared" si="21"/>
        <v>2.7638888888759539E-2</v>
      </c>
      <c r="M314" s="11">
        <f t="shared" si="22"/>
        <v>0</v>
      </c>
      <c r="N314" s="11">
        <f t="shared" si="23"/>
        <v>7.9861110862111673E-4</v>
      </c>
      <c r="O314" s="11">
        <f t="shared" si="24"/>
        <v>0.94743055554863531</v>
      </c>
    </row>
    <row r="315" spans="1:15" x14ac:dyDescent="0.25">
      <c r="A315" s="3" t="s">
        <v>2393</v>
      </c>
      <c r="B315" s="3" t="s">
        <v>506</v>
      </c>
      <c r="C315" s="9">
        <v>295.36000000000013</v>
      </c>
      <c r="D315" s="3" t="s">
        <v>3197</v>
      </c>
      <c r="E315" s="10">
        <v>45679.760601851849</v>
      </c>
      <c r="F315" s="10">
        <v>45680.750057870369</v>
      </c>
      <c r="G315" s="10">
        <v>45680.80133101852</v>
      </c>
      <c r="H315" s="10">
        <v>45680.80133101852</v>
      </c>
      <c r="I315" s="10">
        <v>45680.80133101852</v>
      </c>
      <c r="J315" s="10">
        <v>45680.802557870367</v>
      </c>
      <c r="K315" s="11">
        <f t="shared" si="20"/>
        <v>0.98945601852028631</v>
      </c>
      <c r="L315" s="11">
        <f t="shared" si="21"/>
        <v>5.1273148150357883E-2</v>
      </c>
      <c r="M315" s="11">
        <f t="shared" si="22"/>
        <v>0</v>
      </c>
      <c r="N315" s="11">
        <f t="shared" si="23"/>
        <v>1.2268518476048484E-3</v>
      </c>
      <c r="O315" s="11">
        <f t="shared" si="24"/>
        <v>1.041956018518249</v>
      </c>
    </row>
    <row r="316" spans="1:15" x14ac:dyDescent="0.25">
      <c r="A316" s="3" t="s">
        <v>2432</v>
      </c>
      <c r="B316" s="3" t="s">
        <v>506</v>
      </c>
      <c r="C316" s="9">
        <v>106.96</v>
      </c>
      <c r="D316" s="3" t="s">
        <v>3197</v>
      </c>
      <c r="E316" s="10">
        <v>45679.859618055547</v>
      </c>
      <c r="F316" s="10">
        <v>45680.752858796302</v>
      </c>
      <c r="G316" s="10">
        <v>45680.771435185183</v>
      </c>
      <c r="H316" s="10">
        <v>45680.771435185183</v>
      </c>
      <c r="I316" s="10">
        <v>45680.771435185183</v>
      </c>
      <c r="J316" s="10">
        <v>45680.772233796299</v>
      </c>
      <c r="K316" s="11">
        <f t="shared" si="20"/>
        <v>0.89324074075557292</v>
      </c>
      <c r="L316" s="11">
        <f t="shared" si="21"/>
        <v>1.8576388880319428E-2</v>
      </c>
      <c r="M316" s="11">
        <f t="shared" si="22"/>
        <v>0</v>
      </c>
      <c r="N316" s="11">
        <f t="shared" si="23"/>
        <v>7.9861111589707434E-4</v>
      </c>
      <c r="O316" s="11">
        <f t="shared" si="24"/>
        <v>0.91261574075178942</v>
      </c>
    </row>
    <row r="317" spans="1:15" x14ac:dyDescent="0.25">
      <c r="A317" s="3" t="s">
        <v>2367</v>
      </c>
      <c r="B317" s="3" t="s">
        <v>488</v>
      </c>
      <c r="C317" s="9">
        <v>102.8</v>
      </c>
      <c r="D317" s="3" t="s">
        <v>3201</v>
      </c>
      <c r="E317" s="10">
        <v>45679.862800925926</v>
      </c>
      <c r="F317" s="10">
        <v>45680.8828587963</v>
      </c>
      <c r="G317" s="10">
        <v>45680.900706018518</v>
      </c>
      <c r="H317" s="10">
        <v>45680.900706018518</v>
      </c>
      <c r="I317" s="10">
        <v>45680.900706018518</v>
      </c>
      <c r="J317" s="10">
        <v>45680.90148148148</v>
      </c>
      <c r="K317" s="11">
        <f t="shared" si="20"/>
        <v>1.0200578703734209</v>
      </c>
      <c r="L317" s="11">
        <f t="shared" si="21"/>
        <v>1.784722221782431E-2</v>
      </c>
      <c r="M317" s="11">
        <f t="shared" si="22"/>
        <v>0</v>
      </c>
      <c r="N317" s="11">
        <f t="shared" si="23"/>
        <v>7.7546296233776957E-4</v>
      </c>
      <c r="O317" s="11">
        <f t="shared" si="24"/>
        <v>1.038680555553583</v>
      </c>
    </row>
    <row r="318" spans="1:15" x14ac:dyDescent="0.25">
      <c r="A318" s="3" t="s">
        <v>2396</v>
      </c>
      <c r="B318" s="3" t="s">
        <v>523</v>
      </c>
      <c r="C318" s="9">
        <v>113.28</v>
      </c>
      <c r="D318" s="3" t="s">
        <v>3200</v>
      </c>
      <c r="E318" s="10">
        <v>45679.868159722217</v>
      </c>
      <c r="F318" s="10">
        <v>45681.132847222223</v>
      </c>
      <c r="G318" s="10">
        <v>45681.152511574073</v>
      </c>
      <c r="H318" s="10">
        <v>45681.152511574073</v>
      </c>
      <c r="I318" s="10">
        <v>45681.152511574073</v>
      </c>
      <c r="J318" s="10">
        <v>45681.153275462973</v>
      </c>
      <c r="K318" s="11">
        <f t="shared" si="20"/>
        <v>1.2646875000064028</v>
      </c>
      <c r="L318" s="11">
        <f t="shared" si="21"/>
        <v>1.9664351850224193E-2</v>
      </c>
      <c r="M318" s="11">
        <f t="shared" si="22"/>
        <v>0</v>
      </c>
      <c r="N318" s="11">
        <f t="shared" si="23"/>
        <v>7.6388890011003241E-4</v>
      </c>
      <c r="O318" s="11">
        <f t="shared" si="24"/>
        <v>1.2851157407567371</v>
      </c>
    </row>
    <row r="319" spans="1:15" x14ac:dyDescent="0.25">
      <c r="A319" s="3" t="s">
        <v>2411</v>
      </c>
      <c r="B319" s="3" t="s">
        <v>488</v>
      </c>
      <c r="C319" s="9">
        <v>123.8</v>
      </c>
      <c r="D319" s="3" t="s">
        <v>3203</v>
      </c>
      <c r="E319" s="10">
        <v>45680.127245370371</v>
      </c>
      <c r="F319" s="10">
        <v>45681.198912037027</v>
      </c>
      <c r="G319" s="10">
        <v>45681.220405092587</v>
      </c>
      <c r="H319" s="10">
        <v>45681.220405092587</v>
      </c>
      <c r="I319" s="10">
        <v>45681.220405092587</v>
      </c>
      <c r="J319" s="10">
        <v>45681.22115740741</v>
      </c>
      <c r="K319" s="11">
        <f t="shared" si="20"/>
        <v>1.0716666666558012</v>
      </c>
      <c r="L319" s="11">
        <f t="shared" si="21"/>
        <v>2.1493055559403729E-2</v>
      </c>
      <c r="M319" s="11">
        <f t="shared" si="22"/>
        <v>0</v>
      </c>
      <c r="N319" s="11">
        <f t="shared" si="23"/>
        <v>7.5231482333038002E-4</v>
      </c>
      <c r="O319" s="11">
        <f t="shared" si="24"/>
        <v>1.0939120370385353</v>
      </c>
    </row>
    <row r="320" spans="1:15" x14ac:dyDescent="0.25">
      <c r="A320" s="3" t="s">
        <v>2452</v>
      </c>
      <c r="B320" s="3" t="s">
        <v>492</v>
      </c>
      <c r="C320" s="9">
        <v>107.86</v>
      </c>
      <c r="D320" s="3" t="s">
        <v>3194</v>
      </c>
      <c r="E320" s="10">
        <v>45680.129201388889</v>
      </c>
      <c r="F320" s="10">
        <v>45681.269328703696</v>
      </c>
      <c r="G320" s="10">
        <v>45681.288055555553</v>
      </c>
      <c r="H320" s="10">
        <v>45681.288055555553</v>
      </c>
      <c r="I320" s="10">
        <v>45681.288055555553</v>
      </c>
      <c r="J320" s="10">
        <v>45681.288842592592</v>
      </c>
      <c r="K320" s="11">
        <f t="shared" si="20"/>
        <v>1.1401273148076143</v>
      </c>
      <c r="L320" s="11">
        <f t="shared" si="21"/>
        <v>1.8726851856627036E-2</v>
      </c>
      <c r="M320" s="11">
        <f t="shared" si="22"/>
        <v>0</v>
      </c>
      <c r="N320" s="11">
        <f t="shared" si="23"/>
        <v>7.8703703911742195E-4</v>
      </c>
      <c r="O320" s="11">
        <f t="shared" si="24"/>
        <v>1.1596412037033588</v>
      </c>
    </row>
    <row r="321" spans="1:15" x14ac:dyDescent="0.25">
      <c r="A321" s="3" t="s">
        <v>2359</v>
      </c>
      <c r="B321" s="3" t="s">
        <v>500</v>
      </c>
      <c r="C321" s="9">
        <v>144.44</v>
      </c>
      <c r="D321" s="3" t="s">
        <v>3204</v>
      </c>
      <c r="E321" s="10">
        <v>45680.274560185193</v>
      </c>
      <c r="F321" s="10">
        <v>45681.300937499997</v>
      </c>
      <c r="G321" s="10">
        <v>45681.326018518521</v>
      </c>
      <c r="H321" s="10">
        <v>45681.326018518521</v>
      </c>
      <c r="I321" s="10">
        <v>45681.326018518521</v>
      </c>
      <c r="J321" s="10">
        <v>45681.326851851853</v>
      </c>
      <c r="K321" s="11">
        <f t="shared" si="20"/>
        <v>1.0263773148035398</v>
      </c>
      <c r="L321" s="11">
        <f t="shared" si="21"/>
        <v>2.5081018524360843E-2</v>
      </c>
      <c r="M321" s="11">
        <f t="shared" si="22"/>
        <v>0</v>
      </c>
      <c r="N321" s="11">
        <f t="shared" si="23"/>
        <v>8.3333333168411627E-4</v>
      </c>
      <c r="O321" s="11">
        <f t="shared" si="24"/>
        <v>1.0522916666595847</v>
      </c>
    </row>
    <row r="322" spans="1:15" x14ac:dyDescent="0.25">
      <c r="A322" s="3" t="s">
        <v>2458</v>
      </c>
      <c r="B322" s="3" t="s">
        <v>484</v>
      </c>
      <c r="C322" s="9">
        <v>117.76</v>
      </c>
      <c r="D322" s="3" t="s">
        <v>3203</v>
      </c>
      <c r="E322" s="10">
        <v>45680.303344907406</v>
      </c>
      <c r="F322" s="10">
        <v>45681.31454861111</v>
      </c>
      <c r="G322" s="10">
        <v>45681.334999999999</v>
      </c>
      <c r="H322" s="10">
        <v>45681.334999999999</v>
      </c>
      <c r="I322" s="10">
        <v>45681.334999999999</v>
      </c>
      <c r="J322" s="10">
        <v>45681.335729166669</v>
      </c>
      <c r="K322" s="11">
        <f t="shared" ref="K322:K385" si="25">IF(AND(ISNUMBER(E322),ISNUMBER(F322)),(F322-E322),"")</f>
        <v>1.0112037037033588</v>
      </c>
      <c r="L322" s="11">
        <f t="shared" ref="L322:L385" si="26">IF(AND(ISNUMBER(F322),ISNUMBER(G322)),(G322-F322),"")</f>
        <v>2.0451388889341615E-2</v>
      </c>
      <c r="M322" s="11">
        <f t="shared" ref="M322:M385" si="27">IF(AND(ISNUMBER(H322),ISNUMBER(I322)),(I322-H322),"")</f>
        <v>0</v>
      </c>
      <c r="N322" s="11">
        <f t="shared" ref="N322:N385" si="28">IF(AND(ISNUMBER(I322),ISNUMBER(J322)),(J322-I322),"")</f>
        <v>7.2916666977107525E-4</v>
      </c>
      <c r="O322" s="11">
        <f t="shared" ref="O322:O385" si="29">IF(AND(ISNUMBER(E322),ISNUMBER(J322)),(J322-E322),"")</f>
        <v>1.0323842592624715</v>
      </c>
    </row>
    <row r="323" spans="1:15" x14ac:dyDescent="0.25">
      <c r="A323" s="3" t="s">
        <v>2455</v>
      </c>
      <c r="B323" s="3" t="s">
        <v>500</v>
      </c>
      <c r="C323" s="9">
        <v>177.8</v>
      </c>
      <c r="D323" s="3" t="s">
        <v>3199</v>
      </c>
      <c r="E323" s="10">
        <v>45680.375810185193</v>
      </c>
      <c r="F323" s="10">
        <v>45681.332650462973</v>
      </c>
      <c r="G323" s="10">
        <v>45681.363518518519</v>
      </c>
      <c r="H323" s="10">
        <v>45681.363518518519</v>
      </c>
      <c r="I323" s="10">
        <v>45681.363518518519</v>
      </c>
      <c r="J323" s="10">
        <v>45681.364328703698</v>
      </c>
      <c r="K323" s="11">
        <f t="shared" si="25"/>
        <v>0.95684027778042946</v>
      </c>
      <c r="L323" s="11">
        <f t="shared" si="26"/>
        <v>3.0868055546307005E-2</v>
      </c>
      <c r="M323" s="11">
        <f t="shared" si="27"/>
        <v>0</v>
      </c>
      <c r="N323" s="11">
        <f t="shared" si="28"/>
        <v>8.101851781248115E-4</v>
      </c>
      <c r="O323" s="11">
        <f t="shared" si="29"/>
        <v>0.98851851850486128</v>
      </c>
    </row>
    <row r="324" spans="1:15" x14ac:dyDescent="0.25">
      <c r="A324" s="3" t="s">
        <v>2483</v>
      </c>
      <c r="B324" s="3" t="s">
        <v>572</v>
      </c>
      <c r="C324" s="9">
        <v>218.7</v>
      </c>
      <c r="D324" s="3" t="s">
        <v>3195</v>
      </c>
      <c r="E324" s="10">
        <v>45680.37804398148</v>
      </c>
      <c r="F324" s="10">
        <v>45681.377974537027</v>
      </c>
      <c r="G324" s="10">
        <v>45681.415949074071</v>
      </c>
      <c r="H324" s="10">
        <v>45681.415949074071</v>
      </c>
      <c r="I324" s="10">
        <v>45681.415949074071</v>
      </c>
      <c r="J324" s="10">
        <v>45681.417048611111</v>
      </c>
      <c r="K324" s="11">
        <f t="shared" si="25"/>
        <v>0.99993055554659804</v>
      </c>
      <c r="L324" s="11">
        <f t="shared" si="26"/>
        <v>3.797453704464715E-2</v>
      </c>
      <c r="M324" s="11">
        <f t="shared" si="27"/>
        <v>0</v>
      </c>
      <c r="N324" s="11">
        <f t="shared" si="28"/>
        <v>1.0995370394084603E-3</v>
      </c>
      <c r="O324" s="11">
        <f t="shared" si="29"/>
        <v>1.0390046296306537</v>
      </c>
    </row>
    <row r="325" spans="1:15" x14ac:dyDescent="0.25">
      <c r="A325" s="3" t="s">
        <v>2426</v>
      </c>
      <c r="B325" s="3" t="s">
        <v>519</v>
      </c>
      <c r="C325" s="9">
        <v>152.30000000000001</v>
      </c>
      <c r="D325" s="3" t="s">
        <v>3205</v>
      </c>
      <c r="E325" s="10">
        <v>45680.413055555553</v>
      </c>
      <c r="F325" s="10">
        <v>45681.400775462957</v>
      </c>
      <c r="G325" s="10">
        <v>45681.427210648151</v>
      </c>
      <c r="H325" s="10">
        <v>45681.427210648151</v>
      </c>
      <c r="I325" s="10">
        <v>45681.427210648151</v>
      </c>
      <c r="J325" s="10">
        <v>45681.428113425929</v>
      </c>
      <c r="K325" s="11">
        <f t="shared" si="25"/>
        <v>0.98771990740351612</v>
      </c>
      <c r="L325" s="11">
        <f t="shared" si="26"/>
        <v>2.6435185194713995E-2</v>
      </c>
      <c r="M325" s="11">
        <f t="shared" si="27"/>
        <v>0</v>
      </c>
      <c r="N325" s="11">
        <f t="shared" si="28"/>
        <v>9.0277777781011537E-4</v>
      </c>
      <c r="O325" s="11">
        <f t="shared" si="29"/>
        <v>1.0150578703760402</v>
      </c>
    </row>
    <row r="326" spans="1:15" x14ac:dyDescent="0.25">
      <c r="A326" s="3" t="s">
        <v>2469</v>
      </c>
      <c r="B326" s="3" t="s">
        <v>515</v>
      </c>
      <c r="C326" s="9">
        <v>164.98</v>
      </c>
      <c r="D326" s="3" t="s">
        <v>3196</v>
      </c>
      <c r="E326" s="10">
        <v>45680.414918981478</v>
      </c>
      <c r="F326" s="10">
        <v>45681.424791666657</v>
      </c>
      <c r="G326" s="10">
        <v>45681.4534375</v>
      </c>
      <c r="H326" s="10">
        <v>45681.4534375</v>
      </c>
      <c r="I326" s="10">
        <v>45681.4534375</v>
      </c>
      <c r="J326" s="10">
        <v>45681.454201388893</v>
      </c>
      <c r="K326" s="11">
        <f t="shared" si="25"/>
        <v>1.009872685179289</v>
      </c>
      <c r="L326" s="11">
        <f t="shared" si="26"/>
        <v>2.864583334303461E-2</v>
      </c>
      <c r="M326" s="11">
        <f t="shared" si="27"/>
        <v>0</v>
      </c>
      <c r="N326" s="11">
        <f t="shared" si="28"/>
        <v>7.638888928340748E-4</v>
      </c>
      <c r="O326" s="11">
        <f t="shared" si="29"/>
        <v>1.0392824074151576</v>
      </c>
    </row>
    <row r="327" spans="1:15" x14ac:dyDescent="0.25">
      <c r="A327" s="3" t="s">
        <v>2443</v>
      </c>
      <c r="B327" s="3" t="s">
        <v>506</v>
      </c>
      <c r="C327" s="9">
        <v>176.92</v>
      </c>
      <c r="D327" s="3" t="s">
        <v>3197</v>
      </c>
      <c r="E327" s="10">
        <v>45680.420763888891</v>
      </c>
      <c r="F327" s="10">
        <v>45681.553194444437</v>
      </c>
      <c r="G327" s="10">
        <v>45681.583912037036</v>
      </c>
      <c r="H327" s="10">
        <v>45681.583912037036</v>
      </c>
      <c r="I327" s="10">
        <v>45681.583912037036</v>
      </c>
      <c r="J327" s="10">
        <v>45681.584872685176</v>
      </c>
      <c r="K327" s="11">
        <f t="shared" si="25"/>
        <v>1.132430555546307</v>
      </c>
      <c r="L327" s="11">
        <f t="shared" si="26"/>
        <v>3.0717592599103227E-2</v>
      </c>
      <c r="M327" s="11">
        <f t="shared" si="27"/>
        <v>0</v>
      </c>
      <c r="N327" s="11">
        <f t="shared" si="28"/>
        <v>9.6064813988050446E-4</v>
      </c>
      <c r="O327" s="11">
        <f t="shared" si="29"/>
        <v>1.1641087962852907</v>
      </c>
    </row>
    <row r="328" spans="1:15" x14ac:dyDescent="0.25">
      <c r="A328" s="3" t="s">
        <v>2464</v>
      </c>
      <c r="B328" s="3" t="s">
        <v>500</v>
      </c>
      <c r="C328" s="9">
        <v>407.8</v>
      </c>
      <c r="D328" s="3" t="s">
        <v>3194</v>
      </c>
      <c r="E328" s="10">
        <v>45680.453865740739</v>
      </c>
      <c r="F328" s="10">
        <v>45681.615370370368</v>
      </c>
      <c r="G328" s="10">
        <v>45681.686168981483</v>
      </c>
      <c r="H328" s="10">
        <v>45681.686168981483</v>
      </c>
      <c r="I328" s="10">
        <v>45681.686168981483</v>
      </c>
      <c r="J328" s="10">
        <v>45681.687650462962</v>
      </c>
      <c r="K328" s="11">
        <f t="shared" si="25"/>
        <v>1.1615046296283253</v>
      </c>
      <c r="L328" s="11">
        <f t="shared" si="26"/>
        <v>7.0798611115606036E-2</v>
      </c>
      <c r="M328" s="11">
        <f t="shared" si="27"/>
        <v>0</v>
      </c>
      <c r="N328" s="11">
        <f t="shared" si="28"/>
        <v>1.48148147854954E-3</v>
      </c>
      <c r="O328" s="11">
        <f t="shared" si="29"/>
        <v>1.2337847222224809</v>
      </c>
    </row>
    <row r="329" spans="1:15" x14ac:dyDescent="0.25">
      <c r="A329" s="3" t="s">
        <v>2520</v>
      </c>
      <c r="B329" s="3" t="s">
        <v>500</v>
      </c>
      <c r="C329" s="9">
        <v>396.56000000000012</v>
      </c>
      <c r="D329" s="3" t="s">
        <v>3202</v>
      </c>
      <c r="E329" s="10">
        <v>45680.615624999999</v>
      </c>
      <c r="F329" s="10">
        <v>45681.650706018518</v>
      </c>
      <c r="G329" s="10">
        <v>45681.719548611109</v>
      </c>
      <c r="H329" s="10">
        <v>45681.719548611109</v>
      </c>
      <c r="I329" s="10">
        <v>45681.719548611109</v>
      </c>
      <c r="J329" s="10">
        <v>45681.720949074072</v>
      </c>
      <c r="K329" s="11">
        <f t="shared" si="25"/>
        <v>1.0350810185191222</v>
      </c>
      <c r="L329" s="11">
        <f t="shared" si="26"/>
        <v>6.8842592590954155E-2</v>
      </c>
      <c r="M329" s="11">
        <f t="shared" si="27"/>
        <v>0</v>
      </c>
      <c r="N329" s="11">
        <f t="shared" si="28"/>
        <v>1.4004629629198462E-3</v>
      </c>
      <c r="O329" s="11">
        <f t="shared" si="29"/>
        <v>1.1053240740729962</v>
      </c>
    </row>
    <row r="330" spans="1:15" x14ac:dyDescent="0.25">
      <c r="A330" s="3" t="s">
        <v>2523</v>
      </c>
      <c r="B330" s="3" t="s">
        <v>515</v>
      </c>
      <c r="C330" s="9">
        <v>130.16</v>
      </c>
      <c r="D330" s="3" t="s">
        <v>3196</v>
      </c>
      <c r="E330" s="10">
        <v>45680.738263888888</v>
      </c>
      <c r="F330" s="10">
        <v>45681.654479166667</v>
      </c>
      <c r="G330" s="10">
        <v>45681.677071759259</v>
      </c>
      <c r="H330" s="10">
        <v>45681.677071759259</v>
      </c>
      <c r="I330" s="10">
        <v>45681.677071759259</v>
      </c>
      <c r="J330" s="10">
        <v>45681.677754629629</v>
      </c>
      <c r="K330" s="11">
        <f t="shared" si="25"/>
        <v>0.91621527777897427</v>
      </c>
      <c r="L330" s="11">
        <f t="shared" si="26"/>
        <v>2.2592592591536231E-2</v>
      </c>
      <c r="M330" s="11">
        <f t="shared" si="27"/>
        <v>0</v>
      </c>
      <c r="N330" s="11">
        <f t="shared" si="28"/>
        <v>6.8287036992842332E-4</v>
      </c>
      <c r="O330" s="11">
        <f t="shared" si="29"/>
        <v>0.93949074074043892</v>
      </c>
    </row>
    <row r="331" spans="1:15" x14ac:dyDescent="0.25">
      <c r="A331" s="3" t="s">
        <v>2350</v>
      </c>
      <c r="B331" s="3" t="s">
        <v>539</v>
      </c>
      <c r="C331" s="9">
        <v>106.92</v>
      </c>
      <c r="D331" s="3" t="s">
        <v>3206</v>
      </c>
      <c r="E331" s="10">
        <v>45680.746504629627</v>
      </c>
      <c r="F331" s="10">
        <v>45681.738668981481</v>
      </c>
      <c r="G331" s="10">
        <v>45681.757233796299</v>
      </c>
      <c r="H331" s="10">
        <v>45681.757233796299</v>
      </c>
      <c r="I331" s="10">
        <v>45681.757233796299</v>
      </c>
      <c r="J331" s="10">
        <v>45681.7580787037</v>
      </c>
      <c r="K331" s="11">
        <f t="shared" si="25"/>
        <v>0.99216435185371665</v>
      </c>
      <c r="L331" s="11">
        <f t="shared" si="26"/>
        <v>1.8564814818091691E-2</v>
      </c>
      <c r="M331" s="11">
        <f t="shared" si="27"/>
        <v>0</v>
      </c>
      <c r="N331" s="11">
        <f t="shared" si="28"/>
        <v>8.4490740118781105E-4</v>
      </c>
      <c r="O331" s="11">
        <f t="shared" si="29"/>
        <v>1.0115740740729962</v>
      </c>
    </row>
    <row r="332" spans="1:15" x14ac:dyDescent="0.25">
      <c r="A332" s="3" t="s">
        <v>2566</v>
      </c>
      <c r="B332" s="3" t="s">
        <v>506</v>
      </c>
      <c r="C332" s="9">
        <v>117.68</v>
      </c>
      <c r="D332" s="3" t="s">
        <v>3193</v>
      </c>
      <c r="E332" s="10">
        <v>45680.749525462961</v>
      </c>
      <c r="F332" s="10">
        <v>45681.741979166669</v>
      </c>
      <c r="G332" s="10">
        <v>45681.762407407397</v>
      </c>
      <c r="H332" s="10">
        <v>45681.762407407397</v>
      </c>
      <c r="I332" s="10">
        <v>45681.762407407397</v>
      </c>
      <c r="J332" s="10">
        <v>45681.763101851851</v>
      </c>
      <c r="K332" s="11">
        <f t="shared" si="25"/>
        <v>0.99245370370772434</v>
      </c>
      <c r="L332" s="11">
        <f t="shared" si="26"/>
        <v>2.0428240728506353E-2</v>
      </c>
      <c r="M332" s="11">
        <f t="shared" si="27"/>
        <v>0</v>
      </c>
      <c r="N332" s="11">
        <f t="shared" si="28"/>
        <v>6.9444445398403332E-4</v>
      </c>
      <c r="O332" s="11">
        <f t="shared" si="29"/>
        <v>1.0135763888902147</v>
      </c>
    </row>
    <row r="333" spans="1:15" x14ac:dyDescent="0.25">
      <c r="A333" s="3" t="s">
        <v>2571</v>
      </c>
      <c r="B333" s="3" t="s">
        <v>500</v>
      </c>
      <c r="C333" s="9">
        <v>140.18</v>
      </c>
      <c r="D333" s="3" t="s">
        <v>3198</v>
      </c>
      <c r="E333" s="10">
        <v>45680.884675925918</v>
      </c>
      <c r="F333" s="10">
        <v>45682.090439814812</v>
      </c>
      <c r="G333" s="10">
        <v>45682.11478009259</v>
      </c>
      <c r="H333" s="10">
        <v>45682.11478009259</v>
      </c>
      <c r="I333" s="10">
        <v>45682.11478009259</v>
      </c>
      <c r="J333" s="10">
        <v>45682.115636574083</v>
      </c>
      <c r="K333" s="11">
        <f t="shared" si="25"/>
        <v>1.2057638888945803</v>
      </c>
      <c r="L333" s="11">
        <f t="shared" si="26"/>
        <v>2.4340277777810115E-2</v>
      </c>
      <c r="M333" s="11">
        <f t="shared" si="27"/>
        <v>0</v>
      </c>
      <c r="N333" s="11">
        <f t="shared" si="28"/>
        <v>8.5648149251937866E-4</v>
      </c>
      <c r="O333" s="11">
        <f t="shared" si="29"/>
        <v>1.2309606481649098</v>
      </c>
    </row>
    <row r="334" spans="1:15" x14ac:dyDescent="0.25">
      <c r="A334" s="3" t="s">
        <v>2544</v>
      </c>
      <c r="B334" s="3" t="s">
        <v>488</v>
      </c>
      <c r="C334" s="9">
        <v>164.7</v>
      </c>
      <c r="D334" s="3" t="s">
        <v>3197</v>
      </c>
      <c r="E334" s="10">
        <v>45681.129108796304</v>
      </c>
      <c r="F334" s="10">
        <v>45683.760601851849</v>
      </c>
      <c r="G334" s="10">
        <v>45683.789201388892</v>
      </c>
      <c r="H334" s="10">
        <v>45683.789201388892</v>
      </c>
      <c r="I334" s="10">
        <v>45683.789201388892</v>
      </c>
      <c r="J334" s="10">
        <v>45683.790127314824</v>
      </c>
      <c r="K334" s="11">
        <f t="shared" si="25"/>
        <v>2.6314930555454339</v>
      </c>
      <c r="L334" s="11">
        <f t="shared" si="26"/>
        <v>2.8599537043191958E-2</v>
      </c>
      <c r="M334" s="11">
        <f t="shared" si="27"/>
        <v>0</v>
      </c>
      <c r="N334" s="11">
        <f t="shared" si="28"/>
        <v>9.2592593136942014E-4</v>
      </c>
      <c r="O334" s="11">
        <f t="shared" si="29"/>
        <v>2.6610185185199953</v>
      </c>
    </row>
    <row r="335" spans="1:15" x14ac:dyDescent="0.25">
      <c r="A335" s="3" t="s">
        <v>2486</v>
      </c>
      <c r="B335" s="3" t="s">
        <v>527</v>
      </c>
      <c r="C335" s="9">
        <v>143.76</v>
      </c>
      <c r="D335" s="3" t="s">
        <v>3203</v>
      </c>
      <c r="E335" s="10">
        <v>45681.135034722232</v>
      </c>
      <c r="F335" s="10">
        <v>45684.128483796303</v>
      </c>
      <c r="G335" s="10">
        <v>45684.153437499997</v>
      </c>
      <c r="H335" s="10">
        <v>45684.153437499997</v>
      </c>
      <c r="I335" s="10">
        <v>45684.153437499997</v>
      </c>
      <c r="J335" s="10">
        <v>45684.154236111113</v>
      </c>
      <c r="K335" s="11">
        <f t="shared" si="25"/>
        <v>2.9934490740706678</v>
      </c>
      <c r="L335" s="11">
        <f t="shared" si="26"/>
        <v>2.4953703694336582E-2</v>
      </c>
      <c r="M335" s="11">
        <f t="shared" si="27"/>
        <v>0</v>
      </c>
      <c r="N335" s="11">
        <f t="shared" si="28"/>
        <v>7.9861111589707434E-4</v>
      </c>
      <c r="O335" s="11">
        <f t="shared" si="29"/>
        <v>3.0192013888809015</v>
      </c>
    </row>
    <row r="336" spans="1:15" x14ac:dyDescent="0.25">
      <c r="A336" s="3" t="s">
        <v>2489</v>
      </c>
      <c r="B336" s="3" t="s">
        <v>519</v>
      </c>
      <c r="C336" s="9">
        <v>118.2</v>
      </c>
      <c r="D336" s="3" t="s">
        <v>3201</v>
      </c>
      <c r="E336" s="10">
        <v>45681.199571759258</v>
      </c>
      <c r="F336" s="10">
        <v>45684.200370370367</v>
      </c>
      <c r="G336" s="10">
        <v>45684.220891203702</v>
      </c>
      <c r="H336" s="10">
        <v>45684.220891203702</v>
      </c>
      <c r="I336" s="10">
        <v>45684.220891203702</v>
      </c>
      <c r="J336" s="10">
        <v>45684.221712962957</v>
      </c>
      <c r="K336" s="11">
        <f t="shared" si="25"/>
        <v>3.0007986111086211</v>
      </c>
      <c r="L336" s="11">
        <f t="shared" si="26"/>
        <v>2.0520833335467614E-2</v>
      </c>
      <c r="M336" s="11">
        <f t="shared" si="27"/>
        <v>0</v>
      </c>
      <c r="N336" s="11">
        <f t="shared" si="28"/>
        <v>8.2175925490446389E-4</v>
      </c>
      <c r="O336" s="11">
        <f t="shared" si="29"/>
        <v>3.0221412036989932</v>
      </c>
    </row>
    <row r="337" spans="1:15" x14ac:dyDescent="0.25">
      <c r="A337" s="3" t="s">
        <v>2588</v>
      </c>
      <c r="B337" s="3" t="s">
        <v>500</v>
      </c>
      <c r="C337" s="9">
        <v>297</v>
      </c>
      <c r="D337" s="3" t="s">
        <v>3203</v>
      </c>
      <c r="E337" s="10">
        <v>45681.269988425927</v>
      </c>
      <c r="F337" s="10">
        <v>45684.286192129628</v>
      </c>
      <c r="G337" s="10">
        <v>45684.337754629632</v>
      </c>
      <c r="H337" s="10">
        <v>45684.337754629632</v>
      </c>
      <c r="I337" s="10">
        <v>45684.337754629632</v>
      </c>
      <c r="J337" s="10">
        <v>45684.338912037027</v>
      </c>
      <c r="K337" s="11">
        <f t="shared" si="25"/>
        <v>3.0162037037007394</v>
      </c>
      <c r="L337" s="11">
        <f t="shared" si="26"/>
        <v>5.1562500004365575E-2</v>
      </c>
      <c r="M337" s="11">
        <f t="shared" si="27"/>
        <v>0</v>
      </c>
      <c r="N337" s="11">
        <f t="shared" si="28"/>
        <v>1.1574073942028917E-3</v>
      </c>
      <c r="O337" s="11">
        <f t="shared" si="29"/>
        <v>3.0689236110993079</v>
      </c>
    </row>
    <row r="338" spans="1:15" x14ac:dyDescent="0.25">
      <c r="A338" s="3" t="s">
        <v>2591</v>
      </c>
      <c r="B338" s="3" t="s">
        <v>500</v>
      </c>
      <c r="C338" s="9">
        <v>240.42</v>
      </c>
      <c r="D338" s="3" t="s">
        <v>3200</v>
      </c>
      <c r="E338" s="10">
        <v>45681.30159722222</v>
      </c>
      <c r="F338" s="10">
        <v>45684.323344907411</v>
      </c>
      <c r="G338" s="10">
        <v>45684.365081018521</v>
      </c>
      <c r="H338" s="10">
        <v>45684.365081018521</v>
      </c>
      <c r="I338" s="10">
        <v>45684.365081018521</v>
      </c>
      <c r="J338" s="10">
        <v>45684.36614583333</v>
      </c>
      <c r="K338" s="11">
        <f t="shared" si="25"/>
        <v>3.0217476851903484</v>
      </c>
      <c r="L338" s="11">
        <f t="shared" si="26"/>
        <v>4.1736111110367347E-2</v>
      </c>
      <c r="M338" s="11">
        <f t="shared" si="27"/>
        <v>0</v>
      </c>
      <c r="N338" s="11">
        <f t="shared" si="28"/>
        <v>1.0648148090695031E-3</v>
      </c>
      <c r="O338" s="11">
        <f t="shared" si="29"/>
        <v>3.0645486111097853</v>
      </c>
    </row>
    <row r="339" spans="1:15" x14ac:dyDescent="0.25">
      <c r="A339" s="3" t="s">
        <v>2535</v>
      </c>
      <c r="B339" s="3" t="s">
        <v>500</v>
      </c>
      <c r="C339" s="9">
        <v>111.4</v>
      </c>
      <c r="D339" s="3" t="s">
        <v>3199</v>
      </c>
      <c r="E339" s="10">
        <v>45681.378692129627</v>
      </c>
      <c r="F339" s="10">
        <v>45684.325509259259</v>
      </c>
      <c r="G339" s="10">
        <v>45684.344849537039</v>
      </c>
      <c r="H339" s="10">
        <v>45684.344849537039</v>
      </c>
      <c r="I339" s="10">
        <v>45684.344849537039</v>
      </c>
      <c r="J339" s="10">
        <v>45684.345497685194</v>
      </c>
      <c r="K339" s="11">
        <f t="shared" si="25"/>
        <v>2.9468171296321088</v>
      </c>
      <c r="L339" s="11">
        <f t="shared" si="26"/>
        <v>1.934027778042946E-2</v>
      </c>
      <c r="M339" s="11">
        <f t="shared" si="27"/>
        <v>0</v>
      </c>
      <c r="N339" s="11">
        <f t="shared" si="28"/>
        <v>6.4814815414138138E-4</v>
      </c>
      <c r="O339" s="11">
        <f t="shared" si="29"/>
        <v>2.9668055555666797</v>
      </c>
    </row>
    <row r="340" spans="1:15" x14ac:dyDescent="0.25">
      <c r="A340" s="3" t="s">
        <v>2504</v>
      </c>
      <c r="B340" s="3" t="s">
        <v>506</v>
      </c>
      <c r="C340" s="9">
        <v>178.42</v>
      </c>
      <c r="D340" s="3" t="s">
        <v>3204</v>
      </c>
      <c r="E340" s="10">
        <v>45681.398414351846</v>
      </c>
      <c r="F340" s="10">
        <v>45684.33965277778</v>
      </c>
      <c r="G340" s="10">
        <v>45684.370625000003</v>
      </c>
      <c r="H340" s="10">
        <v>45684.370625000003</v>
      </c>
      <c r="I340" s="10">
        <v>45684.370625000003</v>
      </c>
      <c r="J340" s="10">
        <v>45684.371539351851</v>
      </c>
      <c r="K340" s="11">
        <f t="shared" si="25"/>
        <v>2.9412384259339888</v>
      </c>
      <c r="L340" s="11">
        <f t="shared" si="26"/>
        <v>3.0972222222771961E-2</v>
      </c>
      <c r="M340" s="11">
        <f t="shared" si="27"/>
        <v>0</v>
      </c>
      <c r="N340" s="11">
        <f t="shared" si="28"/>
        <v>9.1435184731381014E-4</v>
      </c>
      <c r="O340" s="11">
        <f t="shared" si="29"/>
        <v>2.9731250000040745</v>
      </c>
    </row>
    <row r="341" spans="1:15" x14ac:dyDescent="0.25">
      <c r="A341" s="3" t="s">
        <v>2594</v>
      </c>
      <c r="B341" s="3" t="s">
        <v>572</v>
      </c>
      <c r="C341" s="9">
        <v>139.30000000000001</v>
      </c>
      <c r="D341" s="3" t="s">
        <v>3203</v>
      </c>
      <c r="E341" s="10">
        <v>45681.42696759259</v>
      </c>
      <c r="F341" s="10">
        <v>45684.365208333344</v>
      </c>
      <c r="G341" s="10">
        <v>45684.389398148152</v>
      </c>
      <c r="H341" s="10">
        <v>45684.389398148152</v>
      </c>
      <c r="I341" s="10">
        <v>45684.389398148152</v>
      </c>
      <c r="J341" s="10">
        <v>45684.390185185177</v>
      </c>
      <c r="K341" s="11">
        <f t="shared" si="25"/>
        <v>2.9382407407538267</v>
      </c>
      <c r="L341" s="11">
        <f t="shared" si="26"/>
        <v>2.4189814808778465E-2</v>
      </c>
      <c r="M341" s="11">
        <f t="shared" si="27"/>
        <v>0</v>
      </c>
      <c r="N341" s="11">
        <f t="shared" si="28"/>
        <v>7.8703702456550673E-4</v>
      </c>
      <c r="O341" s="11">
        <f t="shared" si="29"/>
        <v>2.9632175925871707</v>
      </c>
    </row>
    <row r="342" spans="1:15" x14ac:dyDescent="0.25">
      <c r="A342" s="3" t="s">
        <v>2638</v>
      </c>
      <c r="B342" s="3" t="s">
        <v>500</v>
      </c>
      <c r="C342" s="9">
        <v>177.54</v>
      </c>
      <c r="D342" s="3" t="s">
        <v>3195</v>
      </c>
      <c r="E342" s="10">
        <v>45681.553877314807</v>
      </c>
      <c r="F342" s="10">
        <v>45684.392592592587</v>
      </c>
      <c r="G342" s="10">
        <v>45684.423414351862</v>
      </c>
      <c r="H342" s="10">
        <v>45684.423414351862</v>
      </c>
      <c r="I342" s="10">
        <v>45684.423414351862</v>
      </c>
      <c r="J342" s="10">
        <v>45684.424421296288</v>
      </c>
      <c r="K342" s="11">
        <f t="shared" si="25"/>
        <v>2.8387152777795563</v>
      </c>
      <c r="L342" s="11">
        <f t="shared" si="26"/>
        <v>3.0821759275568184E-2</v>
      </c>
      <c r="M342" s="11">
        <f t="shared" si="27"/>
        <v>0</v>
      </c>
      <c r="N342" s="11">
        <f t="shared" si="28"/>
        <v>1.0069444251712412E-3</v>
      </c>
      <c r="O342" s="11">
        <f t="shared" si="29"/>
        <v>2.8705439814802958</v>
      </c>
    </row>
    <row r="343" spans="1:15" x14ac:dyDescent="0.25">
      <c r="A343" s="3" t="s">
        <v>2641</v>
      </c>
      <c r="B343" s="3" t="s">
        <v>500</v>
      </c>
      <c r="C343" s="9">
        <v>296.10000000000002</v>
      </c>
      <c r="D343" s="3" t="s">
        <v>3197</v>
      </c>
      <c r="E343" s="10">
        <v>45681.616006944438</v>
      </c>
      <c r="F343" s="10">
        <v>45684.453692129631</v>
      </c>
      <c r="G343" s="10">
        <v>45684.50509259259</v>
      </c>
      <c r="H343" s="10">
        <v>45684.50509259259</v>
      </c>
      <c r="I343" s="10">
        <v>45684.50509259259</v>
      </c>
      <c r="J343" s="10">
        <v>45684.506331018521</v>
      </c>
      <c r="K343" s="11">
        <f t="shared" si="25"/>
        <v>2.8376851851935498</v>
      </c>
      <c r="L343" s="11">
        <f t="shared" si="26"/>
        <v>5.1400462958554272E-2</v>
      </c>
      <c r="M343" s="11">
        <f t="shared" si="27"/>
        <v>0</v>
      </c>
      <c r="N343" s="11">
        <f t="shared" si="28"/>
        <v>1.2384259316604584E-3</v>
      </c>
      <c r="O343" s="11">
        <f t="shared" si="29"/>
        <v>2.8903240740837646</v>
      </c>
    </row>
    <row r="344" spans="1:15" x14ac:dyDescent="0.25">
      <c r="A344" s="3" t="s">
        <v>2563</v>
      </c>
      <c r="B344" s="3" t="s">
        <v>506</v>
      </c>
      <c r="C344" s="9">
        <v>101.94</v>
      </c>
      <c r="D344" s="3" t="s">
        <v>3196</v>
      </c>
      <c r="E344" s="10">
        <v>45681.645370370366</v>
      </c>
      <c r="F344" s="10">
        <v>45684.539895833332</v>
      </c>
      <c r="G344" s="10">
        <v>45684.557592592602</v>
      </c>
      <c r="H344" s="10">
        <v>45684.557592592602</v>
      </c>
      <c r="I344" s="10">
        <v>45684.557592592602</v>
      </c>
      <c r="J344" s="10">
        <v>45684.558217592603</v>
      </c>
      <c r="K344" s="11">
        <f t="shared" si="25"/>
        <v>2.8945254629652482</v>
      </c>
      <c r="L344" s="11">
        <f t="shared" si="26"/>
        <v>1.7696759270620532E-2</v>
      </c>
      <c r="M344" s="11">
        <f t="shared" si="27"/>
        <v>0</v>
      </c>
      <c r="N344" s="11">
        <f t="shared" si="28"/>
        <v>6.2500000058207661E-4</v>
      </c>
      <c r="O344" s="11">
        <f t="shared" si="29"/>
        <v>2.9128472222364508</v>
      </c>
    </row>
    <row r="345" spans="1:15" x14ac:dyDescent="0.25">
      <c r="A345" s="3" t="s">
        <v>2665</v>
      </c>
      <c r="B345" s="3" t="s">
        <v>500</v>
      </c>
      <c r="C345" s="9">
        <v>134.69999999999999</v>
      </c>
      <c r="D345" s="3" t="s">
        <v>3202</v>
      </c>
      <c r="E345" s="10">
        <v>45681.739305555559</v>
      </c>
      <c r="F345" s="10">
        <v>45684.611238425918</v>
      </c>
      <c r="G345" s="10">
        <v>45684.634618055563</v>
      </c>
      <c r="H345" s="10">
        <v>45684.634618055563</v>
      </c>
      <c r="I345" s="10">
        <v>45684.634618055563</v>
      </c>
      <c r="J345" s="10">
        <v>45684.635416666657</v>
      </c>
      <c r="K345" s="11">
        <f t="shared" si="25"/>
        <v>2.87193287035916</v>
      </c>
      <c r="L345" s="11">
        <f t="shared" si="26"/>
        <v>2.3379629645205569E-2</v>
      </c>
      <c r="M345" s="11">
        <f t="shared" si="27"/>
        <v>0</v>
      </c>
      <c r="N345" s="11">
        <f t="shared" si="28"/>
        <v>7.986110940692015E-4</v>
      </c>
      <c r="O345" s="11">
        <f t="shared" si="29"/>
        <v>2.8961111110984348</v>
      </c>
    </row>
    <row r="346" spans="1:15" x14ac:dyDescent="0.25">
      <c r="A346" s="3" t="s">
        <v>2526</v>
      </c>
      <c r="B346" s="3" t="s">
        <v>500</v>
      </c>
      <c r="C346" s="9">
        <v>232.4</v>
      </c>
      <c r="D346" s="3" t="s">
        <v>3194</v>
      </c>
      <c r="E346" s="10">
        <v>45681.742638888893</v>
      </c>
      <c r="F346" s="10">
        <v>45684.651909722219</v>
      </c>
      <c r="G346" s="10">
        <v>45684.692256944443</v>
      </c>
      <c r="H346" s="10">
        <v>45684.692256944443</v>
      </c>
      <c r="I346" s="10">
        <v>45684.692256944443</v>
      </c>
      <c r="J346" s="10">
        <v>45684.693333333344</v>
      </c>
      <c r="K346" s="11">
        <f t="shared" si="25"/>
        <v>2.9092708333264454</v>
      </c>
      <c r="L346" s="11">
        <f t="shared" si="26"/>
        <v>4.0347222224227153E-2</v>
      </c>
      <c r="M346" s="11">
        <f t="shared" si="27"/>
        <v>0</v>
      </c>
      <c r="N346" s="11">
        <f t="shared" si="28"/>
        <v>1.0763889004010707E-3</v>
      </c>
      <c r="O346" s="11">
        <f t="shared" si="29"/>
        <v>2.9506944444510737</v>
      </c>
    </row>
    <row r="347" spans="1:15" x14ac:dyDescent="0.25">
      <c r="A347" s="3" t="s">
        <v>2668</v>
      </c>
      <c r="B347" s="3" t="s">
        <v>506</v>
      </c>
      <c r="C347" s="9">
        <v>389.06000000000012</v>
      </c>
      <c r="D347" s="3" t="s">
        <v>3193</v>
      </c>
      <c r="E347" s="10">
        <v>45682.087291666663</v>
      </c>
      <c r="F347" s="10">
        <v>45684.679386574076</v>
      </c>
      <c r="G347" s="10">
        <v>45684.746932870366</v>
      </c>
      <c r="H347" s="10">
        <v>45684.746932870366</v>
      </c>
      <c r="I347" s="10">
        <v>45684.746932870366</v>
      </c>
      <c r="J347" s="10">
        <v>45684.748252314806</v>
      </c>
      <c r="K347" s="11">
        <f t="shared" si="25"/>
        <v>2.5920949074134114</v>
      </c>
      <c r="L347" s="11">
        <f t="shared" si="26"/>
        <v>6.754629628994735E-2</v>
      </c>
      <c r="M347" s="11">
        <f t="shared" si="27"/>
        <v>0</v>
      </c>
      <c r="N347" s="11">
        <f t="shared" si="28"/>
        <v>1.3194444400141947E-3</v>
      </c>
      <c r="O347" s="11">
        <f t="shared" si="29"/>
        <v>2.660960648143373</v>
      </c>
    </row>
    <row r="348" spans="1:15" x14ac:dyDescent="0.25">
      <c r="A348" s="3" t="s">
        <v>2673</v>
      </c>
      <c r="B348" s="3" t="s">
        <v>506</v>
      </c>
      <c r="C348" s="9">
        <v>155.91999999999999</v>
      </c>
      <c r="D348" s="3" t="s">
        <v>3196</v>
      </c>
      <c r="E348" s="10">
        <v>45682.091134259259</v>
      </c>
      <c r="F348" s="10">
        <v>45684.741446759261</v>
      </c>
      <c r="G348" s="10">
        <v>45684.768518518518</v>
      </c>
      <c r="H348" s="10">
        <v>45684.768518518518</v>
      </c>
      <c r="I348" s="10">
        <v>45684.768518518518</v>
      </c>
      <c r="J348" s="10">
        <v>45684.769259259258</v>
      </c>
      <c r="K348" s="11">
        <f t="shared" si="25"/>
        <v>2.6503125000017462</v>
      </c>
      <c r="L348" s="11">
        <f t="shared" si="26"/>
        <v>2.7071759257523809E-2</v>
      </c>
      <c r="M348" s="11">
        <f t="shared" si="27"/>
        <v>0</v>
      </c>
      <c r="N348" s="11">
        <f t="shared" si="28"/>
        <v>7.4074073927477002E-4</v>
      </c>
      <c r="O348" s="11">
        <f t="shared" si="29"/>
        <v>2.6781249999985448</v>
      </c>
    </row>
    <row r="349" spans="1:15" x14ac:dyDescent="0.25">
      <c r="A349" s="3" t="s">
        <v>2678</v>
      </c>
      <c r="B349" s="3" t="s">
        <v>506</v>
      </c>
      <c r="C349" s="9">
        <v>459.5200000000001</v>
      </c>
      <c r="D349" s="3" t="s">
        <v>3198</v>
      </c>
      <c r="E349" s="10">
        <v>45683.759583333333</v>
      </c>
      <c r="F349" s="10">
        <v>45684.755555555559</v>
      </c>
      <c r="G349" s="10">
        <v>45684.835335648153</v>
      </c>
      <c r="H349" s="10">
        <v>45684.835335648153</v>
      </c>
      <c r="I349" s="10">
        <v>45684.835335648153</v>
      </c>
      <c r="J349" s="10">
        <v>45684.83693287037</v>
      </c>
      <c r="K349" s="11">
        <f t="shared" si="25"/>
        <v>0.99597222222655546</v>
      </c>
      <c r="L349" s="11">
        <f t="shared" si="26"/>
        <v>7.9780092593864538E-2</v>
      </c>
      <c r="M349" s="11">
        <f t="shared" si="27"/>
        <v>0</v>
      </c>
      <c r="N349" s="11">
        <f t="shared" si="28"/>
        <v>1.5972222172422335E-3</v>
      </c>
      <c r="O349" s="11">
        <f t="shared" si="29"/>
        <v>1.0773495370376622</v>
      </c>
    </row>
    <row r="350" spans="1:15" x14ac:dyDescent="0.25">
      <c r="A350" s="3" t="s">
        <v>2613</v>
      </c>
      <c r="B350" s="3" t="s">
        <v>519</v>
      </c>
      <c r="C350" s="9">
        <v>138</v>
      </c>
      <c r="D350" s="3" t="s">
        <v>3206</v>
      </c>
      <c r="E350" s="10">
        <v>45683.762430555558</v>
      </c>
      <c r="F350" s="10">
        <v>45684.887199074074</v>
      </c>
      <c r="G350" s="10">
        <v>45684.911157407398</v>
      </c>
      <c r="H350" s="10">
        <v>45684.911157407398</v>
      </c>
      <c r="I350" s="10">
        <v>45684.911157407398</v>
      </c>
      <c r="J350" s="10">
        <v>45684.912083333344</v>
      </c>
      <c r="K350" s="11">
        <f t="shared" si="25"/>
        <v>1.1247685185153387</v>
      </c>
      <c r="L350" s="11">
        <f t="shared" si="26"/>
        <v>2.395833332411712E-2</v>
      </c>
      <c r="M350" s="11">
        <f t="shared" si="27"/>
        <v>0</v>
      </c>
      <c r="N350" s="11">
        <f t="shared" si="28"/>
        <v>9.2592594592133537E-4</v>
      </c>
      <c r="O350" s="11">
        <f t="shared" si="29"/>
        <v>1.1496527777853771</v>
      </c>
    </row>
    <row r="351" spans="1:15" x14ac:dyDescent="0.25">
      <c r="A351" s="3" t="s">
        <v>2644</v>
      </c>
      <c r="B351" s="3" t="s">
        <v>488</v>
      </c>
      <c r="C351" s="9">
        <v>225.5</v>
      </c>
      <c r="D351" s="3" t="s">
        <v>3205</v>
      </c>
      <c r="E351" s="10">
        <v>45684.12835648148</v>
      </c>
      <c r="F351" s="10">
        <v>45685.135520833333</v>
      </c>
      <c r="G351" s="10">
        <v>45685.174675925933</v>
      </c>
      <c r="H351" s="10">
        <v>45685.174675925933</v>
      </c>
      <c r="I351" s="10">
        <v>45685.174675925933</v>
      </c>
      <c r="J351" s="10">
        <v>45685.175740740742</v>
      </c>
      <c r="K351" s="11">
        <f t="shared" si="25"/>
        <v>1.0071643518531346</v>
      </c>
      <c r="L351" s="11">
        <f t="shared" si="26"/>
        <v>3.9155092599685304E-2</v>
      </c>
      <c r="M351" s="11">
        <f t="shared" si="27"/>
        <v>0</v>
      </c>
      <c r="N351" s="11">
        <f t="shared" si="28"/>
        <v>1.0648148090695031E-3</v>
      </c>
      <c r="O351" s="11">
        <f t="shared" si="29"/>
        <v>1.0473842592618894</v>
      </c>
    </row>
    <row r="352" spans="1:15" x14ac:dyDescent="0.25">
      <c r="A352" s="3" t="s">
        <v>2647</v>
      </c>
      <c r="B352" s="3" t="s">
        <v>519</v>
      </c>
      <c r="C352" s="9">
        <v>298.2</v>
      </c>
      <c r="D352" s="3" t="s">
        <v>3203</v>
      </c>
      <c r="E352" s="10">
        <v>45684.20108796296</v>
      </c>
      <c r="F352" s="10">
        <v>45685.282488425917</v>
      </c>
      <c r="G352" s="10">
        <v>45685.33425925926</v>
      </c>
      <c r="H352" s="10">
        <v>45685.33425925926</v>
      </c>
      <c r="I352" s="10">
        <v>45685.33425925926</v>
      </c>
      <c r="J352" s="10">
        <v>45685.335416666669</v>
      </c>
      <c r="K352" s="11">
        <f t="shared" si="25"/>
        <v>1.0814004629573901</v>
      </c>
      <c r="L352" s="11">
        <f t="shared" si="26"/>
        <v>5.1770833342743572E-2</v>
      </c>
      <c r="M352" s="11">
        <f t="shared" si="27"/>
        <v>0</v>
      </c>
      <c r="N352" s="11">
        <f t="shared" si="28"/>
        <v>1.157407408754807E-3</v>
      </c>
      <c r="O352" s="11">
        <f t="shared" si="29"/>
        <v>1.1343287037088885</v>
      </c>
    </row>
    <row r="353" spans="1:15" x14ac:dyDescent="0.25">
      <c r="A353" s="3" t="s">
        <v>2608</v>
      </c>
      <c r="B353" s="3" t="s">
        <v>500</v>
      </c>
      <c r="C353" s="9">
        <v>284.8</v>
      </c>
      <c r="D353" s="3" t="s">
        <v>3201</v>
      </c>
      <c r="E353" s="10">
        <v>45684.286666666667</v>
      </c>
      <c r="F353" s="10">
        <v>45685.325694444437</v>
      </c>
      <c r="G353" s="10">
        <v>45685.375138888892</v>
      </c>
      <c r="H353" s="10">
        <v>45685.375138888892</v>
      </c>
      <c r="I353" s="10">
        <v>45685.375138888892</v>
      </c>
      <c r="J353" s="10">
        <v>45685.376342592594</v>
      </c>
      <c r="K353" s="11">
        <f t="shared" si="25"/>
        <v>1.039027777769661</v>
      </c>
      <c r="L353" s="11">
        <f t="shared" si="26"/>
        <v>4.9444444455730263E-2</v>
      </c>
      <c r="M353" s="11">
        <f t="shared" si="27"/>
        <v>0</v>
      </c>
      <c r="N353" s="11">
        <f t="shared" si="28"/>
        <v>1.2037037013215013E-3</v>
      </c>
      <c r="O353" s="11">
        <f t="shared" si="29"/>
        <v>1.0896759259267128</v>
      </c>
    </row>
    <row r="354" spans="1:15" x14ac:dyDescent="0.25">
      <c r="A354" s="3" t="s">
        <v>2704</v>
      </c>
      <c r="B354" s="3" t="s">
        <v>523</v>
      </c>
      <c r="C354" s="9">
        <v>106.92</v>
      </c>
      <c r="D354" s="3" t="s">
        <v>3196</v>
      </c>
      <c r="E354" s="10">
        <v>45684.322175925918</v>
      </c>
      <c r="F354" s="10">
        <v>45685.329606481479</v>
      </c>
      <c r="G354" s="10">
        <v>45685.348171296297</v>
      </c>
      <c r="H354" s="10">
        <v>45685.348171296297</v>
      </c>
      <c r="I354" s="10">
        <v>45685.348171296297</v>
      </c>
      <c r="J354" s="10">
        <v>45685.348796296297</v>
      </c>
      <c r="K354" s="11">
        <f t="shared" si="25"/>
        <v>1.0074305555608589</v>
      </c>
      <c r="L354" s="11">
        <f t="shared" si="26"/>
        <v>1.8564814818091691E-2</v>
      </c>
      <c r="M354" s="11">
        <f t="shared" si="27"/>
        <v>0</v>
      </c>
      <c r="N354" s="11">
        <f t="shared" si="28"/>
        <v>6.2500000058207661E-4</v>
      </c>
      <c r="O354" s="11">
        <f t="shared" si="29"/>
        <v>1.0266203703795327</v>
      </c>
    </row>
    <row r="355" spans="1:15" x14ac:dyDescent="0.25">
      <c r="A355" s="3" t="s">
        <v>2631</v>
      </c>
      <c r="B355" s="3" t="s">
        <v>506</v>
      </c>
      <c r="C355" s="9">
        <v>194.9</v>
      </c>
      <c r="D355" s="3" t="s">
        <v>3199</v>
      </c>
      <c r="E355" s="10">
        <v>45684.389710648153</v>
      </c>
      <c r="F355" s="10">
        <v>45685.335995370369</v>
      </c>
      <c r="G355" s="10">
        <v>45685.369837962957</v>
      </c>
      <c r="H355" s="10">
        <v>45685.369837962957</v>
      </c>
      <c r="I355" s="10">
        <v>45685.369837962957</v>
      </c>
      <c r="J355" s="10">
        <v>45685.370671296303</v>
      </c>
      <c r="K355" s="11">
        <f t="shared" si="25"/>
        <v>0.94628472221666016</v>
      </c>
      <c r="L355" s="11">
        <f t="shared" si="26"/>
        <v>3.3842592587461695E-2</v>
      </c>
      <c r="M355" s="11">
        <f t="shared" si="27"/>
        <v>0</v>
      </c>
      <c r="N355" s="11">
        <f t="shared" si="28"/>
        <v>8.333333462360315E-4</v>
      </c>
      <c r="O355" s="11">
        <f t="shared" si="29"/>
        <v>0.98096064815035788</v>
      </c>
    </row>
    <row r="356" spans="1:15" x14ac:dyDescent="0.25">
      <c r="A356" s="3" t="s">
        <v>2697</v>
      </c>
      <c r="B356" s="3" t="s">
        <v>500</v>
      </c>
      <c r="C356" s="9">
        <v>394.6</v>
      </c>
      <c r="D356" s="3" t="s">
        <v>3203</v>
      </c>
      <c r="E356" s="10">
        <v>45684.452337962961</v>
      </c>
      <c r="F356" s="10">
        <v>45685.393449074072</v>
      </c>
      <c r="G356" s="10">
        <v>45685.461956018517</v>
      </c>
      <c r="H356" s="10">
        <v>45685.461956018517</v>
      </c>
      <c r="I356" s="10">
        <v>45685.461956018517</v>
      </c>
      <c r="J356" s="10">
        <v>45685.463333333333</v>
      </c>
      <c r="K356" s="11">
        <f t="shared" si="25"/>
        <v>0.94111111111124046</v>
      </c>
      <c r="L356" s="11">
        <f t="shared" si="26"/>
        <v>6.8506944444379769E-2</v>
      </c>
      <c r="M356" s="11">
        <f t="shared" si="27"/>
        <v>0</v>
      </c>
      <c r="N356" s="11">
        <f t="shared" si="28"/>
        <v>1.377314816636499E-3</v>
      </c>
      <c r="O356" s="11">
        <f t="shared" si="29"/>
        <v>1.0109953703722567</v>
      </c>
    </row>
    <row r="357" spans="1:15" x14ac:dyDescent="0.25">
      <c r="A357" s="3" t="s">
        <v>2743</v>
      </c>
      <c r="B357" s="3" t="s">
        <v>500</v>
      </c>
      <c r="C357" s="9">
        <v>212.1</v>
      </c>
      <c r="D357" s="3" t="s">
        <v>3195</v>
      </c>
      <c r="E357" s="10">
        <v>45684.540636574071</v>
      </c>
      <c r="F357" s="10">
        <v>45685.413715277777</v>
      </c>
      <c r="G357" s="10">
        <v>45685.450543981482</v>
      </c>
      <c r="H357" s="10">
        <v>45685.450543981482</v>
      </c>
      <c r="I357" s="10">
        <v>45685.450543981482</v>
      </c>
      <c r="J357" s="10">
        <v>45685.451631944437</v>
      </c>
      <c r="K357" s="11">
        <f t="shared" si="25"/>
        <v>0.87307870370568708</v>
      </c>
      <c r="L357" s="11">
        <f t="shared" si="26"/>
        <v>3.6828703705396038E-2</v>
      </c>
      <c r="M357" s="11">
        <f t="shared" si="27"/>
        <v>0</v>
      </c>
      <c r="N357" s="11">
        <f t="shared" si="28"/>
        <v>1.0879629553528503E-3</v>
      </c>
      <c r="O357" s="11">
        <f t="shared" si="29"/>
        <v>0.91099537036643596</v>
      </c>
    </row>
    <row r="358" spans="1:15" x14ac:dyDescent="0.25">
      <c r="A358" s="3" t="s">
        <v>2685</v>
      </c>
      <c r="B358" s="3" t="s">
        <v>500</v>
      </c>
      <c r="C358" s="9">
        <v>381.56000000000012</v>
      </c>
      <c r="D358" s="3" t="s">
        <v>3197</v>
      </c>
      <c r="E358" s="10">
        <v>45684.611678240741</v>
      </c>
      <c r="F358" s="10">
        <v>45685.455405092587</v>
      </c>
      <c r="G358" s="10">
        <v>45685.521655092591</v>
      </c>
      <c r="H358" s="10">
        <v>45685.521655092591</v>
      </c>
      <c r="I358" s="10">
        <v>45685.521655092591</v>
      </c>
      <c r="J358" s="10">
        <v>45685.523078703707</v>
      </c>
      <c r="K358" s="11">
        <f t="shared" si="25"/>
        <v>0.8437268518464407</v>
      </c>
      <c r="L358" s="11">
        <f t="shared" si="26"/>
        <v>6.625000000349246E-2</v>
      </c>
      <c r="M358" s="11">
        <f t="shared" si="27"/>
        <v>0</v>
      </c>
      <c r="N358" s="11">
        <f t="shared" si="28"/>
        <v>1.423611116479151E-3</v>
      </c>
      <c r="O358" s="11">
        <f t="shared" si="29"/>
        <v>0.91140046296641231</v>
      </c>
    </row>
    <row r="359" spans="1:15" x14ac:dyDescent="0.25">
      <c r="A359" s="3" t="s">
        <v>2740</v>
      </c>
      <c r="B359" s="3" t="s">
        <v>572</v>
      </c>
      <c r="C359" s="9">
        <v>118.2</v>
      </c>
      <c r="D359" s="3" t="s">
        <v>3204</v>
      </c>
      <c r="E359" s="10">
        <v>45684.678819444453</v>
      </c>
      <c r="F359" s="10">
        <v>45685.55023148148</v>
      </c>
      <c r="G359" s="10">
        <v>45685.570752314823</v>
      </c>
      <c r="H359" s="10">
        <v>45685.570752314823</v>
      </c>
      <c r="I359" s="10">
        <v>45685.570752314823</v>
      </c>
      <c r="J359" s="10">
        <v>45685.571527777778</v>
      </c>
      <c r="K359" s="11">
        <f t="shared" si="25"/>
        <v>0.87141203702776693</v>
      </c>
      <c r="L359" s="11">
        <f t="shared" si="26"/>
        <v>2.0520833342743572E-2</v>
      </c>
      <c r="M359" s="11">
        <f t="shared" si="27"/>
        <v>0</v>
      </c>
      <c r="N359" s="11">
        <f t="shared" si="28"/>
        <v>7.7546295506181195E-4</v>
      </c>
      <c r="O359" s="11">
        <f t="shared" si="29"/>
        <v>0.89270833332557231</v>
      </c>
    </row>
    <row r="360" spans="1:15" x14ac:dyDescent="0.25">
      <c r="A360" s="3" t="s">
        <v>2748</v>
      </c>
      <c r="B360" s="3" t="s">
        <v>500</v>
      </c>
      <c r="C360" s="9">
        <v>321.54000000000002</v>
      </c>
      <c r="D360" s="3" t="s">
        <v>3200</v>
      </c>
      <c r="E360" s="10">
        <v>45684.681550925918</v>
      </c>
      <c r="F360" s="10">
        <v>45685.607731481483</v>
      </c>
      <c r="G360" s="10">
        <v>45685.663553240738</v>
      </c>
      <c r="H360" s="10">
        <v>45685.663553240738</v>
      </c>
      <c r="I360" s="10">
        <v>45685.663553240738</v>
      </c>
      <c r="J360" s="10">
        <v>45685.664814814823</v>
      </c>
      <c r="K360" s="11">
        <f t="shared" si="25"/>
        <v>0.92618055556522449</v>
      </c>
      <c r="L360" s="11">
        <f t="shared" si="26"/>
        <v>5.5821759255195502E-2</v>
      </c>
      <c r="M360" s="11">
        <f t="shared" si="27"/>
        <v>0</v>
      </c>
      <c r="N360" s="11">
        <f t="shared" si="28"/>
        <v>1.2615740852197632E-3</v>
      </c>
      <c r="O360" s="11">
        <f t="shared" si="29"/>
        <v>0.98326388890563976</v>
      </c>
    </row>
    <row r="361" spans="1:15" x14ac:dyDescent="0.25">
      <c r="A361" s="3" t="s">
        <v>2755</v>
      </c>
      <c r="B361" s="3" t="s">
        <v>500</v>
      </c>
      <c r="C361" s="9">
        <v>232.4</v>
      </c>
      <c r="D361" s="3" t="s">
        <v>3202</v>
      </c>
      <c r="E361" s="10">
        <v>45684.742129629631</v>
      </c>
      <c r="F361" s="10">
        <v>45685.633969907409</v>
      </c>
      <c r="G361" s="10">
        <v>45685.674317129633</v>
      </c>
      <c r="H361" s="10">
        <v>45685.674317129633</v>
      </c>
      <c r="I361" s="10">
        <v>45685.674317129633</v>
      </c>
      <c r="J361" s="10">
        <v>45685.675335648149</v>
      </c>
      <c r="K361" s="11">
        <f t="shared" si="25"/>
        <v>0.89184027777810115</v>
      </c>
      <c r="L361" s="11">
        <f t="shared" si="26"/>
        <v>4.0347222224227153E-2</v>
      </c>
      <c r="M361" s="11">
        <f t="shared" si="27"/>
        <v>0</v>
      </c>
      <c r="N361" s="11">
        <f t="shared" si="28"/>
        <v>1.0185185165028088E-3</v>
      </c>
      <c r="O361" s="11">
        <f t="shared" si="29"/>
        <v>0.93320601851883112</v>
      </c>
    </row>
    <row r="362" spans="1:15" x14ac:dyDescent="0.25">
      <c r="A362" s="3" t="s">
        <v>2716</v>
      </c>
      <c r="B362" s="3" t="s">
        <v>500</v>
      </c>
      <c r="C362" s="9">
        <v>310.60000000000002</v>
      </c>
      <c r="D362" s="3" t="s">
        <v>3196</v>
      </c>
      <c r="E362" s="10">
        <v>45684.752835648149</v>
      </c>
      <c r="F362" s="10">
        <v>45685.653344907398</v>
      </c>
      <c r="G362" s="10">
        <v>45685.707268518519</v>
      </c>
      <c r="H362" s="10">
        <v>45685.707268518519</v>
      </c>
      <c r="I362" s="10">
        <v>45685.707268518519</v>
      </c>
      <c r="J362" s="10">
        <v>45685.708368055559</v>
      </c>
      <c r="K362" s="11">
        <f t="shared" si="25"/>
        <v>0.90050925924879266</v>
      </c>
      <c r="L362" s="11">
        <f t="shared" si="26"/>
        <v>5.392361112171784E-2</v>
      </c>
      <c r="M362" s="11">
        <f t="shared" si="27"/>
        <v>0</v>
      </c>
      <c r="N362" s="11">
        <f t="shared" si="28"/>
        <v>1.0995370394084603E-3</v>
      </c>
      <c r="O362" s="11">
        <f t="shared" si="29"/>
        <v>0.95553240740991896</v>
      </c>
    </row>
    <row r="363" spans="1:15" x14ac:dyDescent="0.25">
      <c r="A363" s="3" t="s">
        <v>2762</v>
      </c>
      <c r="B363" s="3" t="s">
        <v>500</v>
      </c>
      <c r="C363" s="9">
        <v>448.68000000000012</v>
      </c>
      <c r="D363" s="3" t="s">
        <v>3193</v>
      </c>
      <c r="E363" s="10">
        <v>45684.889363425929</v>
      </c>
      <c r="F363" s="10">
        <v>45685.823125000003</v>
      </c>
      <c r="G363" s="10">
        <v>45685.901018518518</v>
      </c>
      <c r="H363" s="10">
        <v>45685.901018518518</v>
      </c>
      <c r="I363" s="10">
        <v>45685.901018518518</v>
      </c>
      <c r="J363" s="10">
        <v>45685.902488425927</v>
      </c>
      <c r="K363" s="11">
        <f t="shared" si="25"/>
        <v>0.93376157407328719</v>
      </c>
      <c r="L363" s="11">
        <f t="shared" si="26"/>
        <v>7.7893518515338656E-2</v>
      </c>
      <c r="M363" s="11">
        <f t="shared" si="27"/>
        <v>0</v>
      </c>
      <c r="N363" s="11">
        <f t="shared" si="28"/>
        <v>1.4699074090458453E-3</v>
      </c>
      <c r="O363" s="11">
        <f t="shared" si="29"/>
        <v>1.0131249999976717</v>
      </c>
    </row>
    <row r="364" spans="1:15" x14ac:dyDescent="0.25">
      <c r="A364" s="3" t="s">
        <v>2769</v>
      </c>
      <c r="B364" s="3" t="s">
        <v>488</v>
      </c>
      <c r="C364" s="9">
        <v>101.7</v>
      </c>
      <c r="D364" s="3" t="s">
        <v>3203</v>
      </c>
      <c r="E364" s="10">
        <v>45685.134039351848</v>
      </c>
      <c r="F364" s="10">
        <v>45685.887349537043</v>
      </c>
      <c r="G364" s="10">
        <v>45685.904999999999</v>
      </c>
      <c r="H364" s="10">
        <v>45685.904999999999</v>
      </c>
      <c r="I364" s="10">
        <v>45685.904999999999</v>
      </c>
      <c r="J364" s="10">
        <v>45685.905706018522</v>
      </c>
      <c r="K364" s="11">
        <f t="shared" si="25"/>
        <v>0.75331018519500503</v>
      </c>
      <c r="L364" s="11">
        <f t="shared" si="26"/>
        <v>1.7650462956225965E-2</v>
      </c>
      <c r="M364" s="11">
        <f t="shared" si="27"/>
        <v>0</v>
      </c>
      <c r="N364" s="11">
        <f t="shared" si="28"/>
        <v>7.0601852348772809E-4</v>
      </c>
      <c r="O364" s="11">
        <f t="shared" si="29"/>
        <v>0.77166666667471873</v>
      </c>
    </row>
    <row r="365" spans="1:15" x14ac:dyDescent="0.25">
      <c r="A365" s="3" t="s">
        <v>2690</v>
      </c>
      <c r="B365" s="3" t="s">
        <v>572</v>
      </c>
      <c r="C365" s="9">
        <v>108.08</v>
      </c>
      <c r="D365" s="3" t="s">
        <v>3194</v>
      </c>
      <c r="E365" s="10">
        <v>45685.134421296287</v>
      </c>
      <c r="F365" s="10">
        <v>45686.133518518523</v>
      </c>
      <c r="G365" s="10">
        <v>45686.152291666673</v>
      </c>
      <c r="H365" s="10">
        <v>45686.152291666673</v>
      </c>
      <c r="I365" s="10">
        <v>45686.152291666673</v>
      </c>
      <c r="J365" s="10">
        <v>45686.153078703697</v>
      </c>
      <c r="K365" s="11">
        <f t="shared" si="25"/>
        <v>0.9990972222367418</v>
      </c>
      <c r="L365" s="11">
        <f t="shared" si="26"/>
        <v>1.877314814919373E-2</v>
      </c>
      <c r="M365" s="11">
        <f t="shared" si="27"/>
        <v>0</v>
      </c>
      <c r="N365" s="11">
        <f t="shared" si="28"/>
        <v>7.8703702456550673E-4</v>
      </c>
      <c r="O365" s="11">
        <f t="shared" si="29"/>
        <v>1.018657407410501</v>
      </c>
    </row>
    <row r="366" spans="1:15" x14ac:dyDescent="0.25">
      <c r="A366" s="3" t="s">
        <v>2707</v>
      </c>
      <c r="B366" s="3" t="s">
        <v>500</v>
      </c>
      <c r="C366" s="9">
        <v>297</v>
      </c>
      <c r="D366" s="3" t="s">
        <v>3206</v>
      </c>
      <c r="E366" s="10">
        <v>45685.283113425918</v>
      </c>
      <c r="F366" s="10">
        <v>45686.189108796287</v>
      </c>
      <c r="G366" s="10">
        <v>45686.240671296298</v>
      </c>
      <c r="H366" s="10">
        <v>45686.240671296298</v>
      </c>
      <c r="I366" s="10">
        <v>45686.240671296298</v>
      </c>
      <c r="J366" s="10">
        <v>45686.241944444453</v>
      </c>
      <c r="K366" s="11">
        <f t="shared" si="25"/>
        <v>0.90599537036905531</v>
      </c>
      <c r="L366" s="11">
        <f t="shared" si="26"/>
        <v>5.1562500011641532E-2</v>
      </c>
      <c r="M366" s="11">
        <f t="shared" si="27"/>
        <v>0</v>
      </c>
      <c r="N366" s="11">
        <f t="shared" si="28"/>
        <v>1.273148154723458E-3</v>
      </c>
      <c r="O366" s="11">
        <f t="shared" si="29"/>
        <v>0.9588310185354203</v>
      </c>
    </row>
    <row r="367" spans="1:15" x14ac:dyDescent="0.25">
      <c r="A367" s="3" t="s">
        <v>2788</v>
      </c>
      <c r="B367" s="3" t="s">
        <v>506</v>
      </c>
      <c r="C367" s="9">
        <v>115.2</v>
      </c>
      <c r="D367" s="3" t="s">
        <v>3196</v>
      </c>
      <c r="E367" s="10">
        <v>45685.327893518523</v>
      </c>
      <c r="F367" s="10">
        <v>45686.272326388891</v>
      </c>
      <c r="G367" s="10">
        <v>45686.292326388888</v>
      </c>
      <c r="H367" s="10">
        <v>45686.292326388888</v>
      </c>
      <c r="I367" s="10">
        <v>45686.292326388888</v>
      </c>
      <c r="J367" s="10">
        <v>45686.292974537027</v>
      </c>
      <c r="K367" s="11">
        <f t="shared" si="25"/>
        <v>0.94443287036847323</v>
      </c>
      <c r="L367" s="11">
        <f t="shared" si="26"/>
        <v>1.9999999996798579E-2</v>
      </c>
      <c r="M367" s="11">
        <f t="shared" si="27"/>
        <v>0</v>
      </c>
      <c r="N367" s="11">
        <f t="shared" si="28"/>
        <v>6.4814813958946615E-4</v>
      </c>
      <c r="O367" s="11">
        <f t="shared" si="29"/>
        <v>0.96508101850486128</v>
      </c>
    </row>
    <row r="368" spans="1:15" x14ac:dyDescent="0.25">
      <c r="A368" s="3" t="s">
        <v>2827</v>
      </c>
      <c r="B368" s="3" t="s">
        <v>572</v>
      </c>
      <c r="C368" s="9">
        <v>148.9</v>
      </c>
      <c r="D368" s="3" t="s">
        <v>3194</v>
      </c>
      <c r="E368" s="10">
        <v>45685.394108796303</v>
      </c>
      <c r="F368" s="10">
        <v>45686.316840277781</v>
      </c>
      <c r="G368" s="10">
        <v>45686.342685185176</v>
      </c>
      <c r="H368" s="10">
        <v>45686.342685185176</v>
      </c>
      <c r="I368" s="10">
        <v>45686.342685185176</v>
      </c>
      <c r="J368" s="10">
        <v>45686.343576388892</v>
      </c>
      <c r="K368" s="11">
        <f t="shared" si="25"/>
        <v>0.92273148147796746</v>
      </c>
      <c r="L368" s="11">
        <f t="shared" si="26"/>
        <v>2.5844907395367045E-2</v>
      </c>
      <c r="M368" s="11">
        <f t="shared" si="27"/>
        <v>0</v>
      </c>
      <c r="N368" s="11">
        <f t="shared" si="28"/>
        <v>8.9120371558237821E-4</v>
      </c>
      <c r="O368" s="11">
        <f t="shared" si="29"/>
        <v>0.94946759258891689</v>
      </c>
    </row>
    <row r="369" spans="1:15" x14ac:dyDescent="0.25">
      <c r="A369" s="3" t="s">
        <v>2777</v>
      </c>
      <c r="B369" s="3" t="s">
        <v>527</v>
      </c>
      <c r="C369" s="9">
        <v>110.64</v>
      </c>
      <c r="D369" s="3" t="s">
        <v>3203</v>
      </c>
      <c r="E369" s="10">
        <v>45685.41201388889</v>
      </c>
      <c r="F369" s="10">
        <v>45686.322118055563</v>
      </c>
      <c r="G369" s="10">
        <v>45686.341319444437</v>
      </c>
      <c r="H369" s="10">
        <v>45686.341319444437</v>
      </c>
      <c r="I369" s="10">
        <v>45686.341319444437</v>
      </c>
      <c r="J369" s="10">
        <v>45686.342037037037</v>
      </c>
      <c r="K369" s="11">
        <f t="shared" si="25"/>
        <v>0.91010416667268146</v>
      </c>
      <c r="L369" s="11">
        <f t="shared" si="26"/>
        <v>1.9201388873625547E-2</v>
      </c>
      <c r="M369" s="11">
        <f t="shared" si="27"/>
        <v>0</v>
      </c>
      <c r="N369" s="11">
        <f t="shared" si="28"/>
        <v>7.1759260026738048E-4</v>
      </c>
      <c r="O369" s="11">
        <f t="shared" si="29"/>
        <v>0.93002314814657439</v>
      </c>
    </row>
    <row r="370" spans="1:15" x14ac:dyDescent="0.25">
      <c r="A370" s="3" t="s">
        <v>2782</v>
      </c>
      <c r="B370" s="3" t="s">
        <v>519</v>
      </c>
      <c r="C370" s="9">
        <v>119.3</v>
      </c>
      <c r="D370" s="3" t="s">
        <v>3198</v>
      </c>
      <c r="E370" s="10">
        <v>45685.415185185193</v>
      </c>
      <c r="F370" s="10">
        <v>45686.358263888891</v>
      </c>
      <c r="G370" s="10">
        <v>45686.378969907397</v>
      </c>
      <c r="H370" s="10">
        <v>45686.378969907397</v>
      </c>
      <c r="I370" s="10">
        <v>45686.378969907397</v>
      </c>
      <c r="J370" s="10">
        <v>45686.379791666674</v>
      </c>
      <c r="K370" s="11">
        <f t="shared" si="25"/>
        <v>0.94307870369812008</v>
      </c>
      <c r="L370" s="11">
        <f t="shared" si="26"/>
        <v>2.0706018505734392E-2</v>
      </c>
      <c r="M370" s="11">
        <f t="shared" si="27"/>
        <v>0</v>
      </c>
      <c r="N370" s="11">
        <f t="shared" si="28"/>
        <v>8.2175927673233673E-4</v>
      </c>
      <c r="O370" s="11">
        <f t="shared" si="29"/>
        <v>0.96460648148058681</v>
      </c>
    </row>
    <row r="371" spans="1:15" x14ac:dyDescent="0.25">
      <c r="A371" s="3" t="s">
        <v>2798</v>
      </c>
      <c r="B371" s="3" t="s">
        <v>500</v>
      </c>
      <c r="C371" s="9">
        <v>194.64</v>
      </c>
      <c r="D371" s="3" t="s">
        <v>3199</v>
      </c>
      <c r="E371" s="10">
        <v>45685.453252314823</v>
      </c>
      <c r="F371" s="10">
        <v>45686.409085648149</v>
      </c>
      <c r="G371" s="10">
        <v>45686.442870370367</v>
      </c>
      <c r="H371" s="10">
        <v>45686.442870370367</v>
      </c>
      <c r="I371" s="10">
        <v>45686.442870370367</v>
      </c>
      <c r="J371" s="10">
        <v>45686.443715277783</v>
      </c>
      <c r="K371" s="11">
        <f t="shared" si="25"/>
        <v>0.95583333332615439</v>
      </c>
      <c r="L371" s="11">
        <f t="shared" si="26"/>
        <v>3.3784722218115348E-2</v>
      </c>
      <c r="M371" s="11">
        <f t="shared" si="27"/>
        <v>0</v>
      </c>
      <c r="N371" s="11">
        <f t="shared" si="28"/>
        <v>8.4490741573972628E-4</v>
      </c>
      <c r="O371" s="11">
        <f t="shared" si="29"/>
        <v>0.99046296296000946</v>
      </c>
    </row>
    <row r="372" spans="1:15" x14ac:dyDescent="0.25">
      <c r="A372" s="3" t="s">
        <v>2834</v>
      </c>
      <c r="B372" s="3" t="s">
        <v>500</v>
      </c>
      <c r="C372" s="9">
        <v>147.02000000000001</v>
      </c>
      <c r="D372" s="3" t="s">
        <v>3195</v>
      </c>
      <c r="E372" s="10">
        <v>45685.456087962957</v>
      </c>
      <c r="F372" s="10">
        <v>45686.451365740737</v>
      </c>
      <c r="G372" s="10">
        <v>45686.476886574077</v>
      </c>
      <c r="H372" s="10">
        <v>45686.476886574077</v>
      </c>
      <c r="I372" s="10">
        <v>45686.476886574077</v>
      </c>
      <c r="J372" s="10">
        <v>45686.477824074071</v>
      </c>
      <c r="K372" s="11">
        <f t="shared" si="25"/>
        <v>0.99527777777984738</v>
      </c>
      <c r="L372" s="11">
        <f t="shared" si="26"/>
        <v>2.5520833340124227E-2</v>
      </c>
      <c r="M372" s="11">
        <f t="shared" si="27"/>
        <v>0</v>
      </c>
      <c r="N372" s="11">
        <f t="shared" si="28"/>
        <v>9.374999935971573E-4</v>
      </c>
      <c r="O372" s="11">
        <f t="shared" si="29"/>
        <v>1.0217361111135688</v>
      </c>
    </row>
    <row r="373" spans="1:15" x14ac:dyDescent="0.25">
      <c r="A373" s="3" t="s">
        <v>2837</v>
      </c>
      <c r="B373" s="3" t="s">
        <v>500</v>
      </c>
      <c r="C373" s="9">
        <v>291.89999999999998</v>
      </c>
      <c r="D373" s="3" t="s">
        <v>3203</v>
      </c>
      <c r="E373" s="10">
        <v>45685.55091435185</v>
      </c>
      <c r="F373" s="10">
        <v>45686.556018518517</v>
      </c>
      <c r="G373" s="10">
        <v>45686.606689814813</v>
      </c>
      <c r="H373" s="10">
        <v>45686.606689814813</v>
      </c>
      <c r="I373" s="10">
        <v>45686.606689814813</v>
      </c>
      <c r="J373" s="10">
        <v>45686.607835648138</v>
      </c>
      <c r="K373" s="11">
        <f t="shared" si="25"/>
        <v>1.0051041666665697</v>
      </c>
      <c r="L373" s="11">
        <f t="shared" si="26"/>
        <v>5.0671296296059154E-2</v>
      </c>
      <c r="M373" s="11">
        <f t="shared" si="27"/>
        <v>0</v>
      </c>
      <c r="N373" s="11">
        <f t="shared" si="28"/>
        <v>1.145833324699197E-3</v>
      </c>
      <c r="O373" s="11">
        <f t="shared" si="29"/>
        <v>1.056921296287328</v>
      </c>
    </row>
    <row r="374" spans="1:15" x14ac:dyDescent="0.25">
      <c r="A374" s="3" t="s">
        <v>2840</v>
      </c>
      <c r="B374" s="3" t="s">
        <v>500</v>
      </c>
      <c r="C374" s="9">
        <v>389.80000000000013</v>
      </c>
      <c r="D374" s="3" t="s">
        <v>3204</v>
      </c>
      <c r="E374" s="10">
        <v>45685.60837962963</v>
      </c>
      <c r="F374" s="10">
        <v>45686.616365740738</v>
      </c>
      <c r="G374" s="10">
        <v>45686.684039351851</v>
      </c>
      <c r="H374" s="10">
        <v>45686.684039351851</v>
      </c>
      <c r="I374" s="10">
        <v>45686.684039351851</v>
      </c>
      <c r="J374" s="10">
        <v>45686.685439814813</v>
      </c>
      <c r="K374" s="11">
        <f t="shared" si="25"/>
        <v>1.007986111108039</v>
      </c>
      <c r="L374" s="11">
        <f t="shared" si="26"/>
        <v>6.7673611112695653E-2</v>
      </c>
      <c r="M374" s="11">
        <f t="shared" si="27"/>
        <v>0</v>
      </c>
      <c r="N374" s="11">
        <f t="shared" si="28"/>
        <v>1.4004629629198462E-3</v>
      </c>
      <c r="O374" s="11">
        <f t="shared" si="29"/>
        <v>1.0770601851836545</v>
      </c>
    </row>
    <row r="375" spans="1:15" x14ac:dyDescent="0.25">
      <c r="A375" s="3" t="s">
        <v>2810</v>
      </c>
      <c r="B375" s="3" t="s">
        <v>523</v>
      </c>
      <c r="C375" s="9">
        <v>122.9</v>
      </c>
      <c r="D375" s="3" t="s">
        <v>3196</v>
      </c>
      <c r="E375" s="10">
        <v>45685.632013888891</v>
      </c>
      <c r="F375" s="10">
        <v>45686.656863425917</v>
      </c>
      <c r="G375" s="10">
        <v>45686.678206018521</v>
      </c>
      <c r="H375" s="10">
        <v>45686.678206018521</v>
      </c>
      <c r="I375" s="10">
        <v>45686.678206018521</v>
      </c>
      <c r="J375" s="10">
        <v>45686.678865740738</v>
      </c>
      <c r="K375" s="11">
        <f t="shared" si="25"/>
        <v>1.0248495370251476</v>
      </c>
      <c r="L375" s="11">
        <f t="shared" si="26"/>
        <v>2.1342592604923993E-2</v>
      </c>
      <c r="M375" s="11">
        <f t="shared" si="27"/>
        <v>0</v>
      </c>
      <c r="N375" s="11">
        <f t="shared" si="28"/>
        <v>6.5972221636911854E-4</v>
      </c>
      <c r="O375" s="11">
        <f t="shared" si="29"/>
        <v>1.0468518518464407</v>
      </c>
    </row>
    <row r="376" spans="1:15" x14ac:dyDescent="0.25">
      <c r="A376" s="3" t="s">
        <v>2856</v>
      </c>
      <c r="B376" s="3" t="s">
        <v>488</v>
      </c>
      <c r="C376" s="9">
        <v>156</v>
      </c>
      <c r="D376" s="3" t="s">
        <v>3203</v>
      </c>
      <c r="E376" s="10">
        <v>45685.636134259257</v>
      </c>
      <c r="F376" s="10">
        <v>45686.665185185193</v>
      </c>
      <c r="G376" s="10">
        <v>45686.69226851852</v>
      </c>
      <c r="H376" s="10">
        <v>45686.69226851852</v>
      </c>
      <c r="I376" s="10">
        <v>45686.69226851852</v>
      </c>
      <c r="J376" s="10">
        <v>45686.693101851852</v>
      </c>
      <c r="K376" s="11">
        <f t="shared" si="25"/>
        <v>1.029050925935735</v>
      </c>
      <c r="L376" s="11">
        <f t="shared" si="26"/>
        <v>2.7083333327027503E-2</v>
      </c>
      <c r="M376" s="11">
        <f t="shared" si="27"/>
        <v>0</v>
      </c>
      <c r="N376" s="11">
        <f t="shared" si="28"/>
        <v>8.3333333168411627E-4</v>
      </c>
      <c r="O376" s="11">
        <f t="shared" si="29"/>
        <v>1.0569675925944466</v>
      </c>
    </row>
    <row r="377" spans="1:15" x14ac:dyDescent="0.25">
      <c r="A377" s="3" t="s">
        <v>2863</v>
      </c>
      <c r="B377" s="3" t="s">
        <v>500</v>
      </c>
      <c r="C377" s="9">
        <v>232.68</v>
      </c>
      <c r="D377" s="3" t="s">
        <v>3200</v>
      </c>
      <c r="E377" s="10">
        <v>45685.823761574073</v>
      </c>
      <c r="F377" s="10">
        <v>45686.740231481483</v>
      </c>
      <c r="G377" s="10">
        <v>45686.780624999999</v>
      </c>
      <c r="H377" s="10">
        <v>45686.780624999999</v>
      </c>
      <c r="I377" s="10">
        <v>45686.780624999999</v>
      </c>
      <c r="J377" s="10">
        <v>45686.781666666669</v>
      </c>
      <c r="K377" s="11">
        <f t="shared" si="25"/>
        <v>0.91646990740991896</v>
      </c>
      <c r="L377" s="11">
        <f t="shared" si="26"/>
        <v>4.0393518516793847E-2</v>
      </c>
      <c r="M377" s="11">
        <f t="shared" si="27"/>
        <v>0</v>
      </c>
      <c r="N377" s="11">
        <f t="shared" si="28"/>
        <v>1.0416666700621136E-3</v>
      </c>
      <c r="O377" s="11">
        <f t="shared" si="29"/>
        <v>0.95790509259677492</v>
      </c>
    </row>
    <row r="378" spans="1:15" x14ac:dyDescent="0.25">
      <c r="A378" s="3" t="s">
        <v>2866</v>
      </c>
      <c r="B378" s="3" t="s">
        <v>500</v>
      </c>
      <c r="C378" s="9">
        <v>397.30000000000013</v>
      </c>
      <c r="D378" s="3" t="s">
        <v>3202</v>
      </c>
      <c r="E378" s="10">
        <v>45685.887986111113</v>
      </c>
      <c r="F378" s="10">
        <v>45686.773125</v>
      </c>
      <c r="G378" s="10">
        <v>45686.842106481483</v>
      </c>
      <c r="H378" s="10">
        <v>45686.842106481483</v>
      </c>
      <c r="I378" s="10">
        <v>45686.842106481483</v>
      </c>
      <c r="J378" s="10">
        <v>45686.843506944453</v>
      </c>
      <c r="K378" s="11">
        <f t="shared" si="25"/>
        <v>0.88513888888701331</v>
      </c>
      <c r="L378" s="11">
        <f t="shared" si="26"/>
        <v>6.8981481483206153E-2</v>
      </c>
      <c r="M378" s="11">
        <f t="shared" si="27"/>
        <v>0</v>
      </c>
      <c r="N378" s="11">
        <f t="shared" si="28"/>
        <v>1.4004629701958038E-3</v>
      </c>
      <c r="O378" s="11">
        <f t="shared" si="29"/>
        <v>0.95552083334041527</v>
      </c>
    </row>
    <row r="379" spans="1:15" x14ac:dyDescent="0.25">
      <c r="A379" s="3" t="s">
        <v>2872</v>
      </c>
      <c r="B379" s="3" t="s">
        <v>488</v>
      </c>
      <c r="C379" s="9">
        <v>165.8</v>
      </c>
      <c r="D379" s="3" t="s">
        <v>3203</v>
      </c>
      <c r="E379" s="10">
        <v>45686.130243055559</v>
      </c>
      <c r="F379" s="10">
        <v>45686.878819444442</v>
      </c>
      <c r="G379" s="10">
        <v>45686.907604166663</v>
      </c>
      <c r="H379" s="10">
        <v>45686.907604166663</v>
      </c>
      <c r="I379" s="10">
        <v>45686.907604166663</v>
      </c>
      <c r="J379" s="10">
        <v>45686.908460648148</v>
      </c>
      <c r="K379" s="11">
        <f t="shared" si="25"/>
        <v>0.74857638888352085</v>
      </c>
      <c r="L379" s="11">
        <f t="shared" si="26"/>
        <v>2.8784722220734693E-2</v>
      </c>
      <c r="M379" s="11">
        <f t="shared" si="27"/>
        <v>0</v>
      </c>
      <c r="N379" s="11">
        <f t="shared" si="28"/>
        <v>8.5648148524342105E-4</v>
      </c>
      <c r="O379" s="11">
        <f t="shared" si="29"/>
        <v>0.77821759258949896</v>
      </c>
    </row>
    <row r="380" spans="1:15" x14ac:dyDescent="0.25">
      <c r="A380" s="3" t="s">
        <v>2879</v>
      </c>
      <c r="B380" s="3" t="s">
        <v>519</v>
      </c>
      <c r="C380" s="9">
        <v>106.9</v>
      </c>
      <c r="D380" s="3" t="s">
        <v>3193</v>
      </c>
      <c r="E380" s="10">
        <v>45686.189733796287</v>
      </c>
      <c r="F380" s="10">
        <v>45687.133136574077</v>
      </c>
      <c r="G380" s="10">
        <v>45687.151701388888</v>
      </c>
      <c r="H380" s="10">
        <v>45687.151701388888</v>
      </c>
      <c r="I380" s="10">
        <v>45687.151701388888</v>
      </c>
      <c r="J380" s="10">
        <v>45687.152372685188</v>
      </c>
      <c r="K380" s="11">
        <f t="shared" si="25"/>
        <v>0.94340277778974269</v>
      </c>
      <c r="L380" s="11">
        <f t="shared" si="26"/>
        <v>1.8564814810815733E-2</v>
      </c>
      <c r="M380" s="11">
        <f t="shared" si="27"/>
        <v>0</v>
      </c>
      <c r="N380" s="11">
        <f t="shared" si="28"/>
        <v>6.7129630042472854E-4</v>
      </c>
      <c r="O380" s="11">
        <f t="shared" si="29"/>
        <v>0.96263888890098315</v>
      </c>
    </row>
    <row r="381" spans="1:15" x14ac:dyDescent="0.25">
      <c r="A381" s="3" t="s">
        <v>2853</v>
      </c>
      <c r="B381" s="3" t="s">
        <v>500</v>
      </c>
      <c r="C381" s="9">
        <v>297</v>
      </c>
      <c r="D381" s="3" t="s">
        <v>3206</v>
      </c>
      <c r="E381" s="10">
        <v>45686.273009259261</v>
      </c>
      <c r="F381" s="10">
        <v>45687.274016203701</v>
      </c>
      <c r="G381" s="10">
        <v>45687.325578703712</v>
      </c>
      <c r="H381" s="10">
        <v>45687.325578703712</v>
      </c>
      <c r="I381" s="10">
        <v>45687.325578703712</v>
      </c>
      <c r="J381" s="10">
        <v>45687.326863425929</v>
      </c>
      <c r="K381" s="11">
        <f t="shared" si="25"/>
        <v>1.0010069444397232</v>
      </c>
      <c r="L381" s="11">
        <f t="shared" si="26"/>
        <v>5.1562500011641532E-2</v>
      </c>
      <c r="M381" s="11">
        <f t="shared" si="27"/>
        <v>0</v>
      </c>
      <c r="N381" s="11">
        <f t="shared" si="28"/>
        <v>1.2847222169511952E-3</v>
      </c>
      <c r="O381" s="11">
        <f t="shared" si="29"/>
        <v>1.0538541666683159</v>
      </c>
    </row>
    <row r="382" spans="1:15" x14ac:dyDescent="0.25">
      <c r="A382" s="3" t="s">
        <v>2803</v>
      </c>
      <c r="B382" s="3" t="s">
        <v>500</v>
      </c>
      <c r="C382" s="9">
        <v>397.30000000000013</v>
      </c>
      <c r="D382" s="3" t="s">
        <v>3194</v>
      </c>
      <c r="E382" s="10">
        <v>45686.317476851851</v>
      </c>
      <c r="F382" s="10">
        <v>45687.299085648148</v>
      </c>
      <c r="G382" s="10">
        <v>45687.368055555547</v>
      </c>
      <c r="H382" s="10">
        <v>45687.368055555547</v>
      </c>
      <c r="I382" s="10">
        <v>45687.368368055562</v>
      </c>
      <c r="J382" s="10">
        <v>45687.369826388887</v>
      </c>
      <c r="K382" s="11">
        <f t="shared" si="25"/>
        <v>0.98160879629722331</v>
      </c>
      <c r="L382" s="11">
        <f t="shared" si="26"/>
        <v>6.8969907399150543E-2</v>
      </c>
      <c r="M382" s="11">
        <f t="shared" si="27"/>
        <v>3.1250001484295353E-4</v>
      </c>
      <c r="N382" s="11">
        <f t="shared" si="28"/>
        <v>1.4583333249902353E-3</v>
      </c>
      <c r="O382" s="11">
        <f t="shared" si="29"/>
        <v>1.052349537036207</v>
      </c>
    </row>
    <row r="383" spans="1:15" x14ac:dyDescent="0.25">
      <c r="A383" s="3" t="s">
        <v>2869</v>
      </c>
      <c r="B383" s="3" t="s">
        <v>500</v>
      </c>
      <c r="C383" s="9">
        <v>129.34</v>
      </c>
      <c r="D383" s="3" t="s">
        <v>3196</v>
      </c>
      <c r="E383" s="10">
        <v>45686.322754629633</v>
      </c>
      <c r="F383" s="10">
        <v>45687.342002314806</v>
      </c>
      <c r="G383" s="10">
        <v>45687.36445601852</v>
      </c>
      <c r="H383" s="10">
        <v>45687.36445601852</v>
      </c>
      <c r="I383" s="10">
        <v>45687.36445601852</v>
      </c>
      <c r="J383" s="10">
        <v>45687.365127314813</v>
      </c>
      <c r="K383" s="11">
        <f t="shared" si="25"/>
        <v>1.0192476851734682</v>
      </c>
      <c r="L383" s="11">
        <f t="shared" si="26"/>
        <v>2.2453703713836148E-2</v>
      </c>
      <c r="M383" s="11">
        <f t="shared" si="27"/>
        <v>0</v>
      </c>
      <c r="N383" s="11">
        <f t="shared" si="28"/>
        <v>6.7129629314877093E-4</v>
      </c>
      <c r="O383" s="11">
        <f t="shared" si="29"/>
        <v>1.0423726851804531</v>
      </c>
    </row>
    <row r="384" spans="1:15" x14ac:dyDescent="0.25">
      <c r="A384" s="3" t="s">
        <v>2772</v>
      </c>
      <c r="B384" s="3" t="s">
        <v>484</v>
      </c>
      <c r="C384" s="9">
        <v>110.26</v>
      </c>
      <c r="D384" s="3" t="s">
        <v>3197</v>
      </c>
      <c r="E384" s="10">
        <v>45686.401030092587</v>
      </c>
      <c r="F384" s="10">
        <v>45687.348414351851</v>
      </c>
      <c r="G384" s="10">
        <v>45687.36755787037</v>
      </c>
      <c r="H384" s="10">
        <v>45687.36755787037</v>
      </c>
      <c r="I384" s="10">
        <v>45687.36755787037</v>
      </c>
      <c r="J384" s="10">
        <v>45687.368368055562</v>
      </c>
      <c r="K384" s="11">
        <f t="shared" si="25"/>
        <v>0.94738425926334457</v>
      </c>
      <c r="L384" s="11">
        <f t="shared" si="26"/>
        <v>1.9143518518831115E-2</v>
      </c>
      <c r="M384" s="11">
        <f t="shared" si="27"/>
        <v>0</v>
      </c>
      <c r="N384" s="11">
        <f t="shared" si="28"/>
        <v>8.1018519267672673E-4</v>
      </c>
      <c r="O384" s="11">
        <f t="shared" si="29"/>
        <v>0.96733796297485242</v>
      </c>
    </row>
    <row r="385" spans="1:15" x14ac:dyDescent="0.25">
      <c r="A385" s="3" t="s">
        <v>2891</v>
      </c>
      <c r="B385" s="3" t="s">
        <v>500</v>
      </c>
      <c r="C385" s="9">
        <v>252</v>
      </c>
      <c r="D385" s="3" t="s">
        <v>3203</v>
      </c>
      <c r="E385" s="10">
        <v>45686.403865740736</v>
      </c>
      <c r="F385" s="10">
        <v>45687.369189814817</v>
      </c>
      <c r="G385" s="10">
        <v>45687.412939814807</v>
      </c>
      <c r="H385" s="10">
        <v>45687.412939814807</v>
      </c>
      <c r="I385" s="10">
        <v>45687.412939814807</v>
      </c>
      <c r="J385" s="10">
        <v>45687.413981481477</v>
      </c>
      <c r="K385" s="11">
        <f t="shared" si="25"/>
        <v>0.96532407408085419</v>
      </c>
      <c r="L385" s="11">
        <f t="shared" si="26"/>
        <v>4.3749999989813659E-2</v>
      </c>
      <c r="M385" s="11">
        <f t="shared" si="27"/>
        <v>0</v>
      </c>
      <c r="N385" s="11">
        <f t="shared" si="28"/>
        <v>1.0416666700621136E-3</v>
      </c>
      <c r="O385" s="11">
        <f t="shared" si="29"/>
        <v>1.01011574074073</v>
      </c>
    </row>
    <row r="386" spans="1:15" x14ac:dyDescent="0.25">
      <c r="A386" s="3" t="s">
        <v>2915</v>
      </c>
      <c r="B386" s="3" t="s">
        <v>500</v>
      </c>
      <c r="C386" s="9">
        <v>220.3</v>
      </c>
      <c r="D386" s="3" t="s">
        <v>3203</v>
      </c>
      <c r="E386" s="10">
        <v>45686.452048611107</v>
      </c>
      <c r="F386" s="10">
        <v>45687.406331018523</v>
      </c>
      <c r="G386" s="10">
        <v>45687.444571759261</v>
      </c>
      <c r="H386" s="10">
        <v>45687.444571759261</v>
      </c>
      <c r="I386" s="10">
        <v>45687.444571759261</v>
      </c>
      <c r="J386" s="10">
        <v>45687.445543981477</v>
      </c>
      <c r="K386" s="11">
        <f t="shared" ref="K386:K427" si="30">IF(AND(ISNUMBER(E386),ISNUMBER(F386)),(F386-E386),"")</f>
        <v>0.95428240741603076</v>
      </c>
      <c r="L386" s="11">
        <f t="shared" ref="L386:L427" si="31">IF(AND(ISNUMBER(F386),ISNUMBER(G386)),(G386-F386),"")</f>
        <v>3.8240740737819578E-2</v>
      </c>
      <c r="M386" s="11">
        <f t="shared" ref="M386:M427" si="32">IF(AND(ISNUMBER(H386),ISNUMBER(I386)),(I386-H386),"")</f>
        <v>0</v>
      </c>
      <c r="N386" s="11">
        <f t="shared" ref="N386:N427" si="33">IF(AND(ISNUMBER(I386),ISNUMBER(J386)),(J386-I386),"")</f>
        <v>9.7222221666015685E-4</v>
      </c>
      <c r="O386" s="11">
        <f t="shared" ref="O386:O427" si="34">IF(AND(ISNUMBER(E386),ISNUMBER(J386)),(J386-E386),"")</f>
        <v>0.9934953703705105</v>
      </c>
    </row>
    <row r="387" spans="1:15" x14ac:dyDescent="0.25">
      <c r="A387" s="3" t="s">
        <v>2918</v>
      </c>
      <c r="B387" s="3" t="s">
        <v>500</v>
      </c>
      <c r="C387" s="9">
        <v>259.66000000000003</v>
      </c>
      <c r="D387" s="3" t="s">
        <v>3203</v>
      </c>
      <c r="E387" s="10">
        <v>45686.556655092587</v>
      </c>
      <c r="F387" s="10">
        <v>45687.425208333327</v>
      </c>
      <c r="G387" s="10">
        <v>45687.470289351862</v>
      </c>
      <c r="H387" s="10">
        <v>45687.470289351862</v>
      </c>
      <c r="I387" s="10">
        <v>45687.470289351862</v>
      </c>
      <c r="J387" s="10">
        <v>45687.471354166657</v>
      </c>
      <c r="K387" s="11">
        <f t="shared" si="30"/>
        <v>0.86855324073985685</v>
      </c>
      <c r="L387" s="11">
        <f t="shared" si="31"/>
        <v>4.5081018535711337E-2</v>
      </c>
      <c r="M387" s="11">
        <f t="shared" si="32"/>
        <v>0</v>
      </c>
      <c r="N387" s="11">
        <f t="shared" si="33"/>
        <v>1.0648147945175879E-3</v>
      </c>
      <c r="O387" s="11">
        <f t="shared" si="34"/>
        <v>0.91469907407008577</v>
      </c>
    </row>
    <row r="388" spans="1:15" x14ac:dyDescent="0.25">
      <c r="A388" s="3" t="s">
        <v>2921</v>
      </c>
      <c r="B388" s="3" t="s">
        <v>500</v>
      </c>
      <c r="C388" s="9">
        <v>398.04000000000008</v>
      </c>
      <c r="D388" s="3" t="s">
        <v>3203</v>
      </c>
      <c r="E388" s="10">
        <v>45686.617002314822</v>
      </c>
      <c r="F388" s="10">
        <v>45687.550983796304</v>
      </c>
      <c r="G388" s="10">
        <v>45687.620081018518</v>
      </c>
      <c r="H388" s="10">
        <v>45687.620081018518</v>
      </c>
      <c r="I388" s="10">
        <v>45687.620081018518</v>
      </c>
      <c r="J388" s="10">
        <v>45687.621469907397</v>
      </c>
      <c r="K388" s="11">
        <f t="shared" si="30"/>
        <v>0.93398148148116888</v>
      </c>
      <c r="L388" s="11">
        <f t="shared" si="31"/>
        <v>6.9097222214622889E-2</v>
      </c>
      <c r="M388" s="11">
        <f t="shared" si="32"/>
        <v>0</v>
      </c>
      <c r="N388" s="11">
        <f t="shared" si="33"/>
        <v>1.3888888788642362E-3</v>
      </c>
      <c r="O388" s="11">
        <f t="shared" si="34"/>
        <v>1.004467592574656</v>
      </c>
    </row>
    <row r="389" spans="1:15" x14ac:dyDescent="0.25">
      <c r="A389" s="3" t="s">
        <v>2843</v>
      </c>
      <c r="B389" s="3" t="s">
        <v>515</v>
      </c>
      <c r="C389" s="9">
        <v>110.26</v>
      </c>
      <c r="D389" s="3" t="s">
        <v>3201</v>
      </c>
      <c r="E389" s="10">
        <v>45686.644490740742</v>
      </c>
      <c r="F389" s="10">
        <v>45687.614641203712</v>
      </c>
      <c r="G389" s="10">
        <v>45687.633773148147</v>
      </c>
      <c r="H389" s="10">
        <v>45687.633773148147</v>
      </c>
      <c r="I389" s="10">
        <v>45687.633773148147</v>
      </c>
      <c r="J389" s="10">
        <v>45687.634571759263</v>
      </c>
      <c r="K389" s="11">
        <f t="shared" si="30"/>
        <v>0.9701504629701958</v>
      </c>
      <c r="L389" s="11">
        <f t="shared" si="31"/>
        <v>1.9131944434775505E-2</v>
      </c>
      <c r="M389" s="11">
        <f t="shared" si="32"/>
        <v>0</v>
      </c>
      <c r="N389" s="11">
        <f t="shared" si="33"/>
        <v>7.9861111589707434E-4</v>
      </c>
      <c r="O389" s="11">
        <f t="shared" si="34"/>
        <v>0.99008101852086838</v>
      </c>
    </row>
    <row r="390" spans="1:15" x14ac:dyDescent="0.25">
      <c r="A390" s="3" t="s">
        <v>2926</v>
      </c>
      <c r="B390" s="3" t="s">
        <v>527</v>
      </c>
      <c r="C390" s="9">
        <v>112.48</v>
      </c>
      <c r="D390" s="3" t="s">
        <v>3199</v>
      </c>
      <c r="E390" s="10">
        <v>45686.658263888887</v>
      </c>
      <c r="F390" s="10">
        <v>45687.649409722217</v>
      </c>
      <c r="G390" s="10">
        <v>45687.668935185182</v>
      </c>
      <c r="H390" s="10">
        <v>45687.668935185182</v>
      </c>
      <c r="I390" s="10">
        <v>45687.668935185182</v>
      </c>
      <c r="J390" s="10">
        <v>45687.669594907413</v>
      </c>
      <c r="K390" s="11">
        <f t="shared" si="30"/>
        <v>0.99114583332993789</v>
      </c>
      <c r="L390" s="11">
        <f t="shared" si="31"/>
        <v>1.9525462965248153E-2</v>
      </c>
      <c r="M390" s="11">
        <f t="shared" si="32"/>
        <v>0</v>
      </c>
      <c r="N390" s="11">
        <f t="shared" si="33"/>
        <v>6.5972223092103377E-4</v>
      </c>
      <c r="O390" s="11">
        <f t="shared" si="34"/>
        <v>1.0113310185261071</v>
      </c>
    </row>
    <row r="391" spans="1:15" x14ac:dyDescent="0.25">
      <c r="A391" s="3" t="s">
        <v>2949</v>
      </c>
      <c r="B391" s="3" t="s">
        <v>500</v>
      </c>
      <c r="C391" s="9">
        <v>302.12000000000012</v>
      </c>
      <c r="D391" s="3" t="s">
        <v>3203</v>
      </c>
      <c r="E391" s="10">
        <v>45686.740856481483</v>
      </c>
      <c r="F391" s="10">
        <v>45687.656041666669</v>
      </c>
      <c r="G391" s="10">
        <v>45687.708495370367</v>
      </c>
      <c r="H391" s="10">
        <v>45687.708495370367</v>
      </c>
      <c r="I391" s="10">
        <v>45687.708495370367</v>
      </c>
      <c r="J391" s="10">
        <v>45687.709664351853</v>
      </c>
      <c r="K391" s="11">
        <f t="shared" si="30"/>
        <v>0.91518518518569181</v>
      </c>
      <c r="L391" s="11">
        <f t="shared" si="31"/>
        <v>5.245370369812008E-2</v>
      </c>
      <c r="M391" s="11">
        <f t="shared" si="32"/>
        <v>0</v>
      </c>
      <c r="N391" s="11">
        <f t="shared" si="33"/>
        <v>1.1689814855344594E-3</v>
      </c>
      <c r="O391" s="11">
        <f t="shared" si="34"/>
        <v>0.96880787036934635</v>
      </c>
    </row>
    <row r="392" spans="1:15" x14ac:dyDescent="0.25">
      <c r="A392" s="3" t="s">
        <v>2937</v>
      </c>
      <c r="B392" s="3" t="s">
        <v>506</v>
      </c>
      <c r="C392" s="9">
        <v>187.4</v>
      </c>
      <c r="D392" s="3" t="s">
        <v>3198</v>
      </c>
      <c r="E392" s="10">
        <v>45686.765879629631</v>
      </c>
      <c r="F392" s="10">
        <v>45687.732361111113</v>
      </c>
      <c r="G392" s="10">
        <v>45687.76489583333</v>
      </c>
      <c r="H392" s="10">
        <v>45687.76489583333</v>
      </c>
      <c r="I392" s="10">
        <v>45687.76489583333</v>
      </c>
      <c r="J392" s="10">
        <v>45687.765868055547</v>
      </c>
      <c r="K392" s="11">
        <f t="shared" si="30"/>
        <v>0.96648148148233304</v>
      </c>
      <c r="L392" s="11">
        <f t="shared" si="31"/>
        <v>3.2534722216951195E-2</v>
      </c>
      <c r="M392" s="11">
        <f t="shared" si="32"/>
        <v>0</v>
      </c>
      <c r="N392" s="11">
        <f t="shared" si="33"/>
        <v>9.7222221666015685E-4</v>
      </c>
      <c r="O392" s="11">
        <f t="shared" si="34"/>
        <v>0.99998842591594439</v>
      </c>
    </row>
    <row r="393" spans="1:15" x14ac:dyDescent="0.25">
      <c r="A393" s="3" t="s">
        <v>2973</v>
      </c>
      <c r="B393" s="3" t="s">
        <v>500</v>
      </c>
      <c r="C393" s="9">
        <v>380.82000000000011</v>
      </c>
      <c r="D393" s="3" t="s">
        <v>3200</v>
      </c>
      <c r="E393" s="10">
        <v>45686.879467592589</v>
      </c>
      <c r="F393" s="10">
        <v>45687.831203703703</v>
      </c>
      <c r="G393" s="10">
        <v>45687.897326388891</v>
      </c>
      <c r="H393" s="10">
        <v>45687.897326388891</v>
      </c>
      <c r="I393" s="10">
        <v>45687.897326388891</v>
      </c>
      <c r="J393" s="10">
        <v>45687.898715277777</v>
      </c>
      <c r="K393" s="11">
        <f t="shared" si="30"/>
        <v>0.95173611111385981</v>
      </c>
      <c r="L393" s="11">
        <f t="shared" si="31"/>
        <v>6.6122685188020114E-2</v>
      </c>
      <c r="M393" s="11">
        <f t="shared" si="32"/>
        <v>0</v>
      </c>
      <c r="N393" s="11">
        <f t="shared" si="33"/>
        <v>1.3888888861401938E-3</v>
      </c>
      <c r="O393" s="11">
        <f t="shared" si="34"/>
        <v>1.0192476851880201</v>
      </c>
    </row>
    <row r="394" spans="1:15" x14ac:dyDescent="0.25">
      <c r="A394" s="3" t="s">
        <v>2934</v>
      </c>
      <c r="B394" s="3" t="s">
        <v>488</v>
      </c>
      <c r="C394" s="9">
        <v>102.8</v>
      </c>
      <c r="D394" s="3" t="s">
        <v>3196</v>
      </c>
      <c r="E394" s="10">
        <v>45687.129016203697</v>
      </c>
      <c r="F394" s="10">
        <v>45687.864571759259</v>
      </c>
      <c r="G394" s="10">
        <v>45687.882418981477</v>
      </c>
      <c r="H394" s="10">
        <v>45687.882418981477</v>
      </c>
      <c r="I394" s="10">
        <v>45687.882418981477</v>
      </c>
      <c r="J394" s="10">
        <v>45687.883032407408</v>
      </c>
      <c r="K394" s="11">
        <f t="shared" si="30"/>
        <v>0.73555555556231411</v>
      </c>
      <c r="L394" s="11">
        <f t="shared" si="31"/>
        <v>1.784722221782431E-2</v>
      </c>
      <c r="M394" s="11">
        <f t="shared" si="32"/>
        <v>0</v>
      </c>
      <c r="N394" s="11">
        <f t="shared" si="33"/>
        <v>6.1342593107838184E-4</v>
      </c>
      <c r="O394" s="11">
        <f t="shared" si="34"/>
        <v>0.7540162037112168</v>
      </c>
    </row>
    <row r="395" spans="1:15" x14ac:dyDescent="0.25">
      <c r="A395" s="3" t="s">
        <v>2989</v>
      </c>
      <c r="B395" s="3" t="s">
        <v>500</v>
      </c>
      <c r="C395" s="9">
        <v>297</v>
      </c>
      <c r="D395" s="3" t="s">
        <v>3193</v>
      </c>
      <c r="E395" s="10">
        <v>45687.274675925917</v>
      </c>
      <c r="F395" s="10">
        <v>45688.137141203697</v>
      </c>
      <c r="G395" s="10">
        <v>45688.188703703701</v>
      </c>
      <c r="H395" s="10">
        <v>45688.188703703701</v>
      </c>
      <c r="I395" s="10">
        <v>45688.188703703701</v>
      </c>
      <c r="J395" s="10">
        <v>45688.189814814818</v>
      </c>
      <c r="K395" s="11">
        <f t="shared" si="30"/>
        <v>0.86246527777984738</v>
      </c>
      <c r="L395" s="11">
        <f t="shared" si="31"/>
        <v>5.1562500004365575E-2</v>
      </c>
      <c r="M395" s="11">
        <f t="shared" si="32"/>
        <v>0</v>
      </c>
      <c r="N395" s="11">
        <f t="shared" si="33"/>
        <v>1.1111111161881126E-3</v>
      </c>
      <c r="O395" s="11">
        <f t="shared" si="34"/>
        <v>0.91513888890040107</v>
      </c>
    </row>
    <row r="396" spans="1:15" x14ac:dyDescent="0.25">
      <c r="A396" s="3" t="s">
        <v>2955</v>
      </c>
      <c r="B396" s="3" t="s">
        <v>527</v>
      </c>
      <c r="C396" s="9">
        <v>297</v>
      </c>
      <c r="D396" s="3" t="s">
        <v>3199</v>
      </c>
      <c r="E396" s="10">
        <v>45687.33184027778</v>
      </c>
      <c r="F396" s="10">
        <v>45688.194351851853</v>
      </c>
      <c r="G396" s="10">
        <v>45688.24591435185</v>
      </c>
      <c r="H396" s="10">
        <v>45688.24591435185</v>
      </c>
      <c r="I396" s="10">
        <v>45688.24591435185</v>
      </c>
      <c r="J396" s="10">
        <v>45688.246990740743</v>
      </c>
      <c r="K396" s="11">
        <f t="shared" si="30"/>
        <v>0.86251157407241408</v>
      </c>
      <c r="L396" s="11">
        <f t="shared" si="31"/>
        <v>5.1562499997089617E-2</v>
      </c>
      <c r="M396" s="11">
        <f t="shared" si="32"/>
        <v>0</v>
      </c>
      <c r="N396" s="11">
        <f t="shared" si="33"/>
        <v>1.0763888931251131E-3</v>
      </c>
      <c r="O396" s="11">
        <f t="shared" si="34"/>
        <v>0.91515046296262881</v>
      </c>
    </row>
    <row r="397" spans="1:15" x14ac:dyDescent="0.25">
      <c r="A397" s="3" t="s">
        <v>2986</v>
      </c>
      <c r="B397" s="3" t="s">
        <v>488</v>
      </c>
      <c r="C397" s="9">
        <v>101.7</v>
      </c>
      <c r="D397" s="3" t="s">
        <v>3202</v>
      </c>
      <c r="E397" s="10">
        <v>45687.337280092594</v>
      </c>
      <c r="F397" s="10">
        <v>45688.259710648148</v>
      </c>
      <c r="G397" s="10">
        <v>45688.277361111112</v>
      </c>
      <c r="H397" s="10">
        <v>45688.277361111112</v>
      </c>
      <c r="I397" s="10">
        <v>45688.277361111112</v>
      </c>
      <c r="J397" s="10">
        <v>45688.278090277781</v>
      </c>
      <c r="K397" s="11">
        <f t="shared" si="30"/>
        <v>0.92243055555445608</v>
      </c>
      <c r="L397" s="11">
        <f t="shared" si="31"/>
        <v>1.7650462963501923E-2</v>
      </c>
      <c r="M397" s="11">
        <f t="shared" si="32"/>
        <v>0</v>
      </c>
      <c r="N397" s="11">
        <f t="shared" si="33"/>
        <v>7.2916666977107525E-4</v>
      </c>
      <c r="O397" s="11">
        <f t="shared" si="34"/>
        <v>0.94081018518772908</v>
      </c>
    </row>
    <row r="398" spans="1:15" x14ac:dyDescent="0.25">
      <c r="A398" s="3" t="s">
        <v>2785</v>
      </c>
      <c r="B398" s="3" t="s">
        <v>595</v>
      </c>
      <c r="C398" s="9">
        <v>140</v>
      </c>
      <c r="D398" s="3" t="s">
        <v>3205</v>
      </c>
      <c r="E398" s="10">
        <v>45687.34039351852</v>
      </c>
      <c r="F398" s="10">
        <v>45688.30097222222</v>
      </c>
      <c r="G398" s="10">
        <v>45688.325277777767</v>
      </c>
      <c r="H398" s="10">
        <v>45688.325277777767</v>
      </c>
      <c r="I398" s="10">
        <v>45688.325277777767</v>
      </c>
      <c r="J398" s="10">
        <v>45688.326157407413</v>
      </c>
      <c r="K398" s="11">
        <f t="shared" si="30"/>
        <v>0.96057870369986631</v>
      </c>
      <c r="L398" s="11">
        <f t="shared" si="31"/>
        <v>2.4305555547471158E-2</v>
      </c>
      <c r="M398" s="11">
        <f t="shared" si="32"/>
        <v>0</v>
      </c>
      <c r="N398" s="11">
        <f t="shared" si="33"/>
        <v>8.7962964607868344E-4</v>
      </c>
      <c r="O398" s="11">
        <f t="shared" si="34"/>
        <v>0.98576388889341615</v>
      </c>
    </row>
    <row r="399" spans="1:15" x14ac:dyDescent="0.25">
      <c r="A399" s="3" t="s">
        <v>2902</v>
      </c>
      <c r="B399" s="3" t="s">
        <v>539</v>
      </c>
      <c r="C399" s="9">
        <v>420.62000000000012</v>
      </c>
      <c r="D399" s="3" t="s">
        <v>3206</v>
      </c>
      <c r="E399" s="10">
        <v>45687.346678240741</v>
      </c>
      <c r="F399" s="10">
        <v>45688.332349537042</v>
      </c>
      <c r="G399" s="10">
        <v>45688.405370370368</v>
      </c>
      <c r="H399" s="10">
        <v>45688.405370370368</v>
      </c>
      <c r="I399" s="10">
        <v>45688.405370370368</v>
      </c>
      <c r="J399" s="10">
        <v>45688.406944444447</v>
      </c>
      <c r="K399" s="11">
        <f t="shared" si="30"/>
        <v>0.98567129630100681</v>
      </c>
      <c r="L399" s="11">
        <f t="shared" si="31"/>
        <v>7.3020833326154388E-2</v>
      </c>
      <c r="M399" s="11">
        <f t="shared" si="32"/>
        <v>0</v>
      </c>
      <c r="N399" s="11">
        <f t="shared" si="33"/>
        <v>1.5740740782348439E-3</v>
      </c>
      <c r="O399" s="11">
        <f t="shared" si="34"/>
        <v>1.060266203705396</v>
      </c>
    </row>
    <row r="400" spans="1:15" x14ac:dyDescent="0.25">
      <c r="A400" s="3" t="s">
        <v>2888</v>
      </c>
      <c r="B400" s="3" t="s">
        <v>572</v>
      </c>
      <c r="C400" s="9">
        <v>126.38</v>
      </c>
      <c r="D400" s="3" t="s">
        <v>3194</v>
      </c>
      <c r="E400" s="10">
        <v>45687.368773148148</v>
      </c>
      <c r="F400" s="10">
        <v>45688.347222222219</v>
      </c>
      <c r="G400" s="10">
        <v>45688.369166666656</v>
      </c>
      <c r="H400" s="10">
        <v>45688.369166666656</v>
      </c>
      <c r="I400" s="10">
        <v>45688.369166666656</v>
      </c>
      <c r="J400" s="10">
        <v>45688.369988425933</v>
      </c>
      <c r="K400" s="11">
        <f t="shared" si="30"/>
        <v>0.97844907407124992</v>
      </c>
      <c r="L400" s="11">
        <f t="shared" si="31"/>
        <v>2.194444443739485E-2</v>
      </c>
      <c r="M400" s="11">
        <f t="shared" si="32"/>
        <v>0</v>
      </c>
      <c r="N400" s="11">
        <f t="shared" si="33"/>
        <v>8.2175927673233673E-4</v>
      </c>
      <c r="O400" s="11">
        <f t="shared" si="34"/>
        <v>1.0012152777853771</v>
      </c>
    </row>
    <row r="401" spans="1:15" x14ac:dyDescent="0.25">
      <c r="A401" s="3" t="s">
        <v>3022</v>
      </c>
      <c r="B401" s="3" t="s">
        <v>527</v>
      </c>
      <c r="C401" s="9">
        <v>135</v>
      </c>
      <c r="D401" s="3" t="s">
        <v>3199</v>
      </c>
      <c r="E401" s="10">
        <v>45687.398680555547</v>
      </c>
      <c r="F401" s="10">
        <v>45688.383449074077</v>
      </c>
      <c r="G401" s="10">
        <v>45688.406886574077</v>
      </c>
      <c r="H401" s="10">
        <v>45688.406886574077</v>
      </c>
      <c r="I401" s="10">
        <v>45688.406944444447</v>
      </c>
      <c r="J401" s="10">
        <v>45688.407650462963</v>
      </c>
      <c r="K401" s="11">
        <f t="shared" si="30"/>
        <v>0.98476851853047265</v>
      </c>
      <c r="L401" s="11">
        <f t="shared" si="31"/>
        <v>2.34375E-2</v>
      </c>
      <c r="M401" s="11">
        <f t="shared" si="32"/>
        <v>5.7870369346346706E-5</v>
      </c>
      <c r="N401" s="11">
        <f t="shared" si="33"/>
        <v>7.0601851621177047E-4</v>
      </c>
      <c r="O401" s="11">
        <f t="shared" si="34"/>
        <v>1.0089699074160308</v>
      </c>
    </row>
    <row r="402" spans="1:15" x14ac:dyDescent="0.25">
      <c r="A402" s="3" t="s">
        <v>2980</v>
      </c>
      <c r="B402" s="3" t="s">
        <v>500</v>
      </c>
      <c r="C402" s="9">
        <v>291.7</v>
      </c>
      <c r="D402" s="3" t="s">
        <v>3203</v>
      </c>
      <c r="E402" s="10">
        <v>45687.551423611112</v>
      </c>
      <c r="F402" s="10">
        <v>45688.407013888893</v>
      </c>
      <c r="G402" s="10">
        <v>45688.457662037043</v>
      </c>
      <c r="H402" s="10">
        <v>45688.457662037043</v>
      </c>
      <c r="I402" s="10">
        <v>45688.457662037043</v>
      </c>
      <c r="J402" s="10">
        <v>45688.458796296298</v>
      </c>
      <c r="K402" s="11">
        <f t="shared" si="30"/>
        <v>0.8555902777807205</v>
      </c>
      <c r="L402" s="11">
        <f t="shared" si="31"/>
        <v>5.0648148149775807E-2</v>
      </c>
      <c r="M402" s="11">
        <f t="shared" si="32"/>
        <v>0</v>
      </c>
      <c r="N402" s="11">
        <f t="shared" si="33"/>
        <v>1.1342592551955022E-3</v>
      </c>
      <c r="O402" s="11">
        <f t="shared" si="34"/>
        <v>0.90737268518569181</v>
      </c>
    </row>
    <row r="403" spans="1:15" x14ac:dyDescent="0.25">
      <c r="A403" s="3" t="s">
        <v>3028</v>
      </c>
      <c r="B403" s="3" t="s">
        <v>519</v>
      </c>
      <c r="C403" s="9">
        <v>148.13999999999999</v>
      </c>
      <c r="D403" s="3" t="s">
        <v>3194</v>
      </c>
      <c r="E403" s="10">
        <v>45687.647789351853</v>
      </c>
      <c r="F403" s="10">
        <v>45688.458749999998</v>
      </c>
      <c r="G403" s="10">
        <v>45688.484467592592</v>
      </c>
      <c r="H403" s="10">
        <v>45688.484467592592</v>
      </c>
      <c r="I403" s="10">
        <v>45688.484467592592</v>
      </c>
      <c r="J403" s="10">
        <v>45688.485358796293</v>
      </c>
      <c r="K403" s="11">
        <f t="shared" si="30"/>
        <v>0.81096064814482816</v>
      </c>
      <c r="L403" s="11">
        <f t="shared" si="31"/>
        <v>2.5717592594446614E-2</v>
      </c>
      <c r="M403" s="11">
        <f t="shared" si="32"/>
        <v>0</v>
      </c>
      <c r="N403" s="11">
        <f t="shared" si="33"/>
        <v>8.9120370103046298E-4</v>
      </c>
      <c r="O403" s="11">
        <f t="shared" si="34"/>
        <v>0.83756944444030523</v>
      </c>
    </row>
    <row r="404" spans="1:15" x14ac:dyDescent="0.25">
      <c r="A404" s="3" t="s">
        <v>2931</v>
      </c>
      <c r="B404" s="3" t="s">
        <v>484</v>
      </c>
      <c r="C404" s="9">
        <v>141.74</v>
      </c>
      <c r="D404" s="3" t="s">
        <v>3195</v>
      </c>
      <c r="E404" s="10">
        <v>45687.649236111109</v>
      </c>
      <c r="F404" s="10">
        <v>45688.530150462961</v>
      </c>
      <c r="G404" s="10">
        <v>45688.554756944453</v>
      </c>
      <c r="H404" s="10">
        <v>45688.554756944453</v>
      </c>
      <c r="I404" s="10">
        <v>45688.554756944453</v>
      </c>
      <c r="J404" s="10">
        <v>45688.55568287037</v>
      </c>
      <c r="K404" s="11">
        <f t="shared" si="30"/>
        <v>0.88091435185197042</v>
      </c>
      <c r="L404" s="11">
        <f t="shared" si="31"/>
        <v>2.4606481492810417E-2</v>
      </c>
      <c r="M404" s="11">
        <f t="shared" si="32"/>
        <v>0</v>
      </c>
      <c r="N404" s="11">
        <f t="shared" si="33"/>
        <v>9.2592591681750491E-4</v>
      </c>
      <c r="O404" s="11">
        <f t="shared" si="34"/>
        <v>0.90644675926159834</v>
      </c>
    </row>
    <row r="405" spans="1:15" x14ac:dyDescent="0.25">
      <c r="A405" s="3" t="s">
        <v>3056</v>
      </c>
      <c r="B405" s="3" t="s">
        <v>500</v>
      </c>
      <c r="C405" s="9">
        <v>182.36</v>
      </c>
      <c r="D405" s="3" t="s">
        <v>3203</v>
      </c>
      <c r="E405" s="10">
        <v>45687.833391203712</v>
      </c>
      <c r="F405" s="10">
        <v>45688.601990740739</v>
      </c>
      <c r="G405" s="10">
        <v>45688.633645833332</v>
      </c>
      <c r="H405" s="10">
        <v>45688.633645833332</v>
      </c>
      <c r="I405" s="10">
        <v>45688.633645833332</v>
      </c>
      <c r="J405" s="10">
        <v>45688.63453703704</v>
      </c>
      <c r="K405" s="11">
        <f t="shared" si="30"/>
        <v>0.76859953702660277</v>
      </c>
      <c r="L405" s="11">
        <f t="shared" si="31"/>
        <v>3.1655092592700385E-2</v>
      </c>
      <c r="M405" s="11">
        <f t="shared" si="32"/>
        <v>0</v>
      </c>
      <c r="N405" s="11">
        <f t="shared" si="33"/>
        <v>8.9120370830642059E-4</v>
      </c>
      <c r="O405" s="11">
        <f t="shared" si="34"/>
        <v>0.80114583332760958</v>
      </c>
    </row>
    <row r="406" spans="1:15" x14ac:dyDescent="0.25">
      <c r="A406" s="3" t="s">
        <v>3053</v>
      </c>
      <c r="B406" s="3" t="s">
        <v>500</v>
      </c>
      <c r="C406" s="9">
        <v>389.06000000000012</v>
      </c>
      <c r="D406" s="3" t="s">
        <v>3199</v>
      </c>
      <c r="E406" s="10">
        <v>45687.865243055552</v>
      </c>
      <c r="F406" s="10">
        <v>45688.655844907407</v>
      </c>
      <c r="G406" s="10">
        <v>45688.723391203697</v>
      </c>
      <c r="H406" s="10">
        <v>45688.723391203697</v>
      </c>
      <c r="I406" s="10">
        <v>45688.723391203697</v>
      </c>
      <c r="J406" s="10">
        <v>45688.724687499998</v>
      </c>
      <c r="K406" s="11">
        <f t="shared" si="30"/>
        <v>0.79060185185517184</v>
      </c>
      <c r="L406" s="11">
        <f t="shared" si="31"/>
        <v>6.754629628994735E-2</v>
      </c>
      <c r="M406" s="11">
        <f t="shared" si="32"/>
        <v>0</v>
      </c>
      <c r="N406" s="11">
        <f t="shared" si="33"/>
        <v>1.2962963010068052E-3</v>
      </c>
      <c r="O406" s="11">
        <f t="shared" si="34"/>
        <v>0.859444444446126</v>
      </c>
    </row>
    <row r="407" spans="1:15" x14ac:dyDescent="0.25">
      <c r="A407" s="3" t="s">
        <v>3079</v>
      </c>
      <c r="B407" s="3" t="s">
        <v>500</v>
      </c>
      <c r="C407" s="9">
        <v>297</v>
      </c>
      <c r="D407" s="3" t="s">
        <v>3193</v>
      </c>
      <c r="E407" s="10">
        <v>45688.260138888887</v>
      </c>
      <c r="F407" s="10">
        <v>45688.656678240739</v>
      </c>
      <c r="G407" s="10">
        <v>45688.708240740743</v>
      </c>
      <c r="H407" s="10">
        <v>45688.708240740743</v>
      </c>
      <c r="I407" s="10">
        <v>45688.708240740743</v>
      </c>
      <c r="J407" s="10">
        <v>45688.709363425929</v>
      </c>
      <c r="K407" s="11">
        <f t="shared" si="30"/>
        <v>0.39653935185197042</v>
      </c>
      <c r="L407" s="11">
        <f t="shared" si="31"/>
        <v>5.1562500004365575E-2</v>
      </c>
      <c r="M407" s="11">
        <f t="shared" si="32"/>
        <v>0</v>
      </c>
      <c r="N407" s="11">
        <f t="shared" si="33"/>
        <v>1.1226851856918074E-3</v>
      </c>
      <c r="O407" s="11">
        <f t="shared" si="34"/>
        <v>0.44922453704202781</v>
      </c>
    </row>
    <row r="408" spans="1:15" x14ac:dyDescent="0.25">
      <c r="A408" s="3" t="s">
        <v>3082</v>
      </c>
      <c r="B408" s="3" t="s">
        <v>500</v>
      </c>
      <c r="C408" s="9">
        <v>182.62</v>
      </c>
      <c r="D408" s="3" t="s">
        <v>3199</v>
      </c>
      <c r="E408" s="10">
        <v>45688.32099537037</v>
      </c>
      <c r="F408" s="10">
        <v>45688.685023148151</v>
      </c>
      <c r="G408" s="10">
        <v>45688.716724537036</v>
      </c>
      <c r="H408" s="10">
        <v>45688.716724537036</v>
      </c>
      <c r="I408" s="10">
        <v>45688.716724537036</v>
      </c>
      <c r="J408" s="10">
        <v>45688.717546296299</v>
      </c>
      <c r="K408" s="11">
        <f t="shared" si="30"/>
        <v>0.36402777778130258</v>
      </c>
      <c r="L408" s="11">
        <f t="shared" si="31"/>
        <v>3.1701388885267079E-2</v>
      </c>
      <c r="M408" s="11">
        <f t="shared" si="32"/>
        <v>0</v>
      </c>
      <c r="N408" s="11">
        <f t="shared" si="33"/>
        <v>8.217592621804215E-4</v>
      </c>
      <c r="O408" s="11">
        <f t="shared" si="34"/>
        <v>0.39655092592875008</v>
      </c>
    </row>
    <row r="409" spans="1:15" x14ac:dyDescent="0.25">
      <c r="A409" s="3" t="s">
        <v>3068</v>
      </c>
      <c r="B409" s="3" t="s">
        <v>488</v>
      </c>
      <c r="C409" s="9">
        <v>224.4</v>
      </c>
      <c r="D409" s="3" t="s">
        <v>3200</v>
      </c>
      <c r="E409" s="10">
        <v>45688.330277777779</v>
      </c>
      <c r="F409" s="10">
        <v>45688.741898148153</v>
      </c>
      <c r="G409" s="10">
        <v>45688.780856481477</v>
      </c>
      <c r="H409" s="10">
        <v>45688.780856481477</v>
      </c>
      <c r="I409" s="10">
        <v>45688.780856481477</v>
      </c>
      <c r="J409" s="10">
        <v>45688.781886574077</v>
      </c>
      <c r="K409" s="11">
        <f t="shared" si="30"/>
        <v>0.411620370374294</v>
      </c>
      <c r="L409" s="11">
        <f t="shared" si="31"/>
        <v>3.8958333323535044E-2</v>
      </c>
      <c r="M409" s="11">
        <f t="shared" si="32"/>
        <v>0</v>
      </c>
      <c r="N409" s="11">
        <f t="shared" si="33"/>
        <v>1.0300926005584188E-3</v>
      </c>
      <c r="O409" s="11">
        <f t="shared" si="34"/>
        <v>0.45160879629838746</v>
      </c>
    </row>
    <row r="410" spans="1:15" x14ac:dyDescent="0.25">
      <c r="A410" s="3" t="s">
        <v>2983</v>
      </c>
      <c r="B410" s="3" t="s">
        <v>492</v>
      </c>
      <c r="C410" s="9">
        <v>118.96</v>
      </c>
      <c r="D410" s="3" t="s">
        <v>3196</v>
      </c>
      <c r="E410" s="10">
        <v>45688.332187499997</v>
      </c>
      <c r="F410" s="10">
        <v>45688.750717592593</v>
      </c>
      <c r="G410" s="10">
        <v>45688.771377314813</v>
      </c>
      <c r="H410" s="10">
        <v>45688.771377314813</v>
      </c>
      <c r="I410" s="10">
        <v>45688.771377314813</v>
      </c>
      <c r="J410" s="10">
        <v>45688.77202546296</v>
      </c>
      <c r="K410" s="11">
        <f t="shared" si="30"/>
        <v>0.41853009259648388</v>
      </c>
      <c r="L410" s="11">
        <f t="shared" si="31"/>
        <v>2.0659722220443655E-2</v>
      </c>
      <c r="M410" s="11">
        <f t="shared" si="32"/>
        <v>0</v>
      </c>
      <c r="N410" s="11">
        <f t="shared" si="33"/>
        <v>6.4814814686542377E-4</v>
      </c>
      <c r="O410" s="11">
        <f t="shared" si="34"/>
        <v>0.43983796296379296</v>
      </c>
    </row>
    <row r="411" spans="1:15" x14ac:dyDescent="0.25">
      <c r="A411" s="3" t="s">
        <v>2908</v>
      </c>
      <c r="B411" s="3" t="s">
        <v>595</v>
      </c>
      <c r="C411" s="9">
        <v>115.7</v>
      </c>
      <c r="D411" s="3" t="s">
        <v>3197</v>
      </c>
      <c r="E411" s="10">
        <v>45688.334548611107</v>
      </c>
      <c r="F411" s="10">
        <v>45688.864212962973</v>
      </c>
      <c r="G411" s="10">
        <v>45688.884293981479</v>
      </c>
      <c r="H411" s="10">
        <v>45688.884293981479</v>
      </c>
      <c r="I411" s="10">
        <v>45688.884293981479</v>
      </c>
      <c r="J411" s="10">
        <v>45688.885115740741</v>
      </c>
      <c r="K411" s="11">
        <f t="shared" si="30"/>
        <v>0.52966435186681338</v>
      </c>
      <c r="L411" s="11">
        <f t="shared" si="31"/>
        <v>2.0081018505152315E-2</v>
      </c>
      <c r="M411" s="11">
        <f t="shared" si="32"/>
        <v>0</v>
      </c>
      <c r="N411" s="11">
        <f t="shared" si="33"/>
        <v>8.217592621804215E-4</v>
      </c>
      <c r="O411" s="11">
        <f t="shared" si="34"/>
        <v>0.55056712963414611</v>
      </c>
    </row>
    <row r="412" spans="1:15" x14ac:dyDescent="0.25">
      <c r="A412" s="3" t="s">
        <v>3107</v>
      </c>
      <c r="B412" s="3" t="s">
        <v>500</v>
      </c>
      <c r="C412" s="9">
        <v>381.56000000000012</v>
      </c>
      <c r="D412" s="3" t="s">
        <v>3199</v>
      </c>
      <c r="E412" s="10">
        <v>45688.347858796304</v>
      </c>
      <c r="F412" s="10"/>
      <c r="G412" s="10"/>
      <c r="H412" s="10"/>
      <c r="I412" s="10"/>
      <c r="J412" s="10"/>
      <c r="K412" s="11" t="str">
        <f t="shared" si="30"/>
        <v/>
      </c>
      <c r="L412" s="11" t="str">
        <f t="shared" si="31"/>
        <v/>
      </c>
      <c r="M412" s="11" t="str">
        <f t="shared" si="32"/>
        <v/>
      </c>
      <c r="N412" s="11" t="str">
        <f t="shared" si="33"/>
        <v/>
      </c>
      <c r="O412" s="11" t="str">
        <f t="shared" si="34"/>
        <v/>
      </c>
    </row>
    <row r="413" spans="1:15" x14ac:dyDescent="0.25">
      <c r="A413" s="3" t="s">
        <v>3110</v>
      </c>
      <c r="B413" s="3" t="s">
        <v>500</v>
      </c>
      <c r="C413" s="9">
        <v>164.3</v>
      </c>
      <c r="D413" s="3" t="s">
        <v>3199</v>
      </c>
      <c r="E413" s="10">
        <v>45688.382696759261</v>
      </c>
      <c r="F413" s="10"/>
      <c r="G413" s="10"/>
      <c r="H413" s="10"/>
      <c r="I413" s="10"/>
      <c r="J413" s="10"/>
      <c r="K413" s="11" t="str">
        <f t="shared" si="30"/>
        <v/>
      </c>
      <c r="L413" s="11" t="str">
        <f t="shared" si="31"/>
        <v/>
      </c>
      <c r="M413" s="11" t="str">
        <f t="shared" si="32"/>
        <v/>
      </c>
      <c r="N413" s="11" t="str">
        <f t="shared" si="33"/>
        <v/>
      </c>
      <c r="O413" s="11" t="str">
        <f t="shared" si="34"/>
        <v/>
      </c>
    </row>
    <row r="414" spans="1:15" x14ac:dyDescent="0.25">
      <c r="A414" s="3" t="s">
        <v>3129</v>
      </c>
      <c r="B414" s="3" t="s">
        <v>500</v>
      </c>
      <c r="C414" s="9">
        <v>270.8</v>
      </c>
      <c r="D414" s="3" t="s">
        <v>3199</v>
      </c>
      <c r="E414" s="10">
        <v>45688.456180555557</v>
      </c>
      <c r="F414" s="10"/>
      <c r="G414" s="10"/>
      <c r="H414" s="10"/>
      <c r="I414" s="10"/>
      <c r="J414" s="10"/>
      <c r="K414" s="11" t="str">
        <f t="shared" si="30"/>
        <v/>
      </c>
      <c r="L414" s="11" t="str">
        <f t="shared" si="31"/>
        <v/>
      </c>
      <c r="M414" s="11" t="str">
        <f t="shared" si="32"/>
        <v/>
      </c>
      <c r="N414" s="11" t="str">
        <f t="shared" si="33"/>
        <v/>
      </c>
      <c r="O414" s="11" t="str">
        <f t="shared" si="34"/>
        <v/>
      </c>
    </row>
    <row r="415" spans="1:15" x14ac:dyDescent="0.25">
      <c r="A415" s="3" t="s">
        <v>3113</v>
      </c>
      <c r="B415" s="3" t="s">
        <v>572</v>
      </c>
      <c r="C415" s="9">
        <v>155.69999999999999</v>
      </c>
      <c r="D415" s="3" t="s">
        <v>3205</v>
      </c>
      <c r="E415" s="10">
        <v>45688.459131944437</v>
      </c>
      <c r="F415" s="10"/>
      <c r="G415" s="10"/>
      <c r="H415" s="10"/>
      <c r="I415" s="10"/>
      <c r="J415" s="10"/>
      <c r="K415" s="11" t="str">
        <f t="shared" si="30"/>
        <v/>
      </c>
      <c r="L415" s="11" t="str">
        <f t="shared" si="31"/>
        <v/>
      </c>
      <c r="M415" s="11" t="str">
        <f t="shared" si="32"/>
        <v/>
      </c>
      <c r="N415" s="11" t="str">
        <f t="shared" si="33"/>
        <v/>
      </c>
      <c r="O415" s="11" t="str">
        <f t="shared" si="34"/>
        <v/>
      </c>
    </row>
    <row r="416" spans="1:15" x14ac:dyDescent="0.25">
      <c r="A416" s="3" t="s">
        <v>3134</v>
      </c>
      <c r="B416" s="3" t="s">
        <v>500</v>
      </c>
      <c r="C416" s="9">
        <v>339</v>
      </c>
      <c r="D416" s="3" t="s">
        <v>3206</v>
      </c>
      <c r="E416" s="10">
        <v>45688.53197916667</v>
      </c>
      <c r="F416" s="10"/>
      <c r="G416" s="10"/>
      <c r="H416" s="10"/>
      <c r="I416" s="10"/>
      <c r="J416" s="10"/>
      <c r="K416" s="11" t="str">
        <f t="shared" si="30"/>
        <v/>
      </c>
      <c r="L416" s="11" t="str">
        <f t="shared" si="31"/>
        <v/>
      </c>
      <c r="M416" s="11" t="str">
        <f t="shared" si="32"/>
        <v/>
      </c>
      <c r="N416" s="11" t="str">
        <f t="shared" si="33"/>
        <v/>
      </c>
      <c r="O416" s="11" t="str">
        <f t="shared" si="34"/>
        <v/>
      </c>
    </row>
    <row r="417" spans="1:15" x14ac:dyDescent="0.25">
      <c r="A417" s="3" t="s">
        <v>3065</v>
      </c>
      <c r="B417" s="3" t="s">
        <v>500</v>
      </c>
      <c r="C417" s="9">
        <v>186.66</v>
      </c>
      <c r="D417" s="3" t="s">
        <v>3203</v>
      </c>
      <c r="E417" s="10">
        <v>45688.602430555547</v>
      </c>
      <c r="F417" s="10"/>
      <c r="G417" s="10"/>
      <c r="H417" s="10"/>
      <c r="I417" s="10"/>
      <c r="J417" s="10"/>
      <c r="K417" s="11" t="str">
        <f t="shared" si="30"/>
        <v/>
      </c>
      <c r="L417" s="11" t="str">
        <f t="shared" si="31"/>
        <v/>
      </c>
      <c r="M417" s="11" t="str">
        <f t="shared" si="32"/>
        <v/>
      </c>
      <c r="N417" s="11" t="str">
        <f t="shared" si="33"/>
        <v/>
      </c>
      <c r="O417" s="11" t="str">
        <f t="shared" si="34"/>
        <v/>
      </c>
    </row>
    <row r="418" spans="1:15" x14ac:dyDescent="0.25">
      <c r="A418" s="3" t="s">
        <v>3094</v>
      </c>
      <c r="B418" s="3" t="s">
        <v>506</v>
      </c>
      <c r="C418" s="9">
        <v>157.24</v>
      </c>
      <c r="D418" s="3" t="s">
        <v>3194</v>
      </c>
      <c r="E418" s="10">
        <v>45688.664259259262</v>
      </c>
      <c r="F418" s="10"/>
      <c r="G418" s="10"/>
      <c r="H418" s="10"/>
      <c r="I418" s="10"/>
      <c r="J418" s="10"/>
      <c r="K418" s="11" t="str">
        <f t="shared" si="30"/>
        <v/>
      </c>
      <c r="L418" s="11" t="str">
        <f t="shared" si="31"/>
        <v/>
      </c>
      <c r="M418" s="11" t="str">
        <f t="shared" si="32"/>
        <v/>
      </c>
      <c r="N418" s="11" t="str">
        <f t="shared" si="33"/>
        <v/>
      </c>
      <c r="O418" s="11" t="str">
        <f t="shared" si="34"/>
        <v/>
      </c>
    </row>
    <row r="419" spans="1:15" x14ac:dyDescent="0.25">
      <c r="A419" s="3" t="s">
        <v>3085</v>
      </c>
      <c r="B419" s="3" t="s">
        <v>519</v>
      </c>
      <c r="C419" s="9">
        <v>115.9</v>
      </c>
      <c r="D419" s="3" t="s">
        <v>3202</v>
      </c>
      <c r="E419" s="10">
        <v>45688.665648148148</v>
      </c>
      <c r="F419" s="10"/>
      <c r="G419" s="10"/>
      <c r="H419" s="10"/>
      <c r="I419" s="10"/>
      <c r="J419" s="10"/>
      <c r="K419" s="11" t="str">
        <f t="shared" si="30"/>
        <v/>
      </c>
      <c r="L419" s="11" t="str">
        <f t="shared" si="31"/>
        <v/>
      </c>
      <c r="M419" s="11" t="str">
        <f t="shared" si="32"/>
        <v/>
      </c>
      <c r="N419" s="11" t="str">
        <f t="shared" si="33"/>
        <v/>
      </c>
      <c r="O419" s="11" t="str">
        <f t="shared" si="34"/>
        <v/>
      </c>
    </row>
    <row r="420" spans="1:15" x14ac:dyDescent="0.25">
      <c r="A420" s="3" t="s">
        <v>3141</v>
      </c>
      <c r="B420" s="3" t="s">
        <v>515</v>
      </c>
      <c r="C420" s="9">
        <v>153.32</v>
      </c>
      <c r="D420" s="3" t="s">
        <v>3196</v>
      </c>
      <c r="E420" s="10">
        <v>45688.672233796293</v>
      </c>
      <c r="F420" s="10"/>
      <c r="G420" s="10"/>
      <c r="H420" s="10"/>
      <c r="I420" s="10"/>
      <c r="J420" s="10"/>
      <c r="K420" s="11" t="str">
        <f t="shared" si="30"/>
        <v/>
      </c>
      <c r="L420" s="11" t="str">
        <f t="shared" si="31"/>
        <v/>
      </c>
      <c r="M420" s="11" t="str">
        <f t="shared" si="32"/>
        <v/>
      </c>
      <c r="N420" s="11" t="str">
        <f t="shared" si="33"/>
        <v/>
      </c>
      <c r="O420" s="11" t="str">
        <f t="shared" si="34"/>
        <v/>
      </c>
    </row>
    <row r="421" spans="1:15" x14ac:dyDescent="0.25">
      <c r="A421" s="3" t="s">
        <v>3000</v>
      </c>
      <c r="B421" s="3" t="s">
        <v>654</v>
      </c>
      <c r="C421" s="9">
        <v>110.18</v>
      </c>
      <c r="D421" s="3" t="s">
        <v>3201</v>
      </c>
      <c r="E421" s="10">
        <v>45688.676979166667</v>
      </c>
      <c r="F421" s="10"/>
      <c r="G421" s="10"/>
      <c r="H421" s="10"/>
      <c r="I421" s="10"/>
      <c r="J421" s="10"/>
      <c r="K421" s="11" t="str">
        <f t="shared" si="30"/>
        <v/>
      </c>
      <c r="L421" s="11" t="str">
        <f t="shared" si="31"/>
        <v/>
      </c>
      <c r="M421" s="11" t="str">
        <f t="shared" si="32"/>
        <v/>
      </c>
      <c r="N421" s="11" t="str">
        <f t="shared" si="33"/>
        <v/>
      </c>
      <c r="O421" s="11" t="str">
        <f t="shared" si="34"/>
        <v/>
      </c>
    </row>
    <row r="422" spans="1:15" x14ac:dyDescent="0.25">
      <c r="A422" s="3" t="s">
        <v>3071</v>
      </c>
      <c r="B422" s="3" t="s">
        <v>484</v>
      </c>
      <c r="C422" s="9">
        <v>106.1</v>
      </c>
      <c r="D422" s="3" t="s">
        <v>3198</v>
      </c>
      <c r="E422" s="10">
        <v>45688.683287037027</v>
      </c>
      <c r="F422" s="10"/>
      <c r="G422" s="10"/>
      <c r="H422" s="10"/>
      <c r="I422" s="10"/>
      <c r="J422" s="10"/>
      <c r="K422" s="11" t="str">
        <f t="shared" si="30"/>
        <v/>
      </c>
      <c r="L422" s="11" t="str">
        <f t="shared" si="31"/>
        <v/>
      </c>
      <c r="M422" s="11" t="str">
        <f t="shared" si="32"/>
        <v/>
      </c>
      <c r="N422" s="11" t="str">
        <f t="shared" si="33"/>
        <v/>
      </c>
      <c r="O422" s="11" t="str">
        <f t="shared" si="34"/>
        <v/>
      </c>
    </row>
    <row r="423" spans="1:15" x14ac:dyDescent="0.25">
      <c r="A423" s="3" t="s">
        <v>3174</v>
      </c>
      <c r="B423" s="3" t="s">
        <v>500</v>
      </c>
      <c r="C423" s="9">
        <v>302.12000000000012</v>
      </c>
      <c r="D423" s="3" t="s">
        <v>3193</v>
      </c>
      <c r="E423" s="10">
        <v>45688.74255787037</v>
      </c>
      <c r="F423" s="10"/>
      <c r="G423" s="10"/>
      <c r="H423" s="10"/>
      <c r="I423" s="10"/>
      <c r="J423" s="10"/>
      <c r="K423" s="11" t="str">
        <f t="shared" si="30"/>
        <v/>
      </c>
      <c r="L423" s="11" t="str">
        <f t="shared" si="31"/>
        <v/>
      </c>
      <c r="M423" s="11" t="str">
        <f t="shared" si="32"/>
        <v/>
      </c>
      <c r="N423" s="11" t="str">
        <f t="shared" si="33"/>
        <v/>
      </c>
      <c r="O423" s="11" t="str">
        <f t="shared" si="34"/>
        <v/>
      </c>
    </row>
    <row r="424" spans="1:15" x14ac:dyDescent="0.25">
      <c r="A424" s="3" t="s">
        <v>3177</v>
      </c>
      <c r="B424" s="3" t="s">
        <v>500</v>
      </c>
      <c r="C424" s="9">
        <v>193.12</v>
      </c>
      <c r="D424" s="3" t="s">
        <v>3199</v>
      </c>
      <c r="E424" s="10">
        <v>45688.751400462963</v>
      </c>
      <c r="F424" s="10"/>
      <c r="G424" s="10"/>
      <c r="H424" s="10"/>
      <c r="I424" s="10"/>
      <c r="J424" s="10"/>
      <c r="K424" s="11" t="str">
        <f t="shared" si="30"/>
        <v/>
      </c>
      <c r="L424" s="11" t="str">
        <f t="shared" si="31"/>
        <v/>
      </c>
      <c r="M424" s="11" t="str">
        <f t="shared" si="32"/>
        <v/>
      </c>
      <c r="N424" s="11" t="str">
        <f t="shared" si="33"/>
        <v/>
      </c>
      <c r="O424" s="11" t="str">
        <f t="shared" si="34"/>
        <v/>
      </c>
    </row>
    <row r="425" spans="1:15" x14ac:dyDescent="0.25">
      <c r="A425" s="3" t="s">
        <v>3180</v>
      </c>
      <c r="B425" s="3" t="s">
        <v>527</v>
      </c>
      <c r="C425" s="9">
        <v>162</v>
      </c>
      <c r="D425" s="3" t="s">
        <v>3200</v>
      </c>
      <c r="E425" s="10">
        <v>45688.855486111112</v>
      </c>
      <c r="F425" s="10"/>
      <c r="G425" s="10"/>
      <c r="H425" s="10"/>
      <c r="I425" s="10"/>
      <c r="J425" s="10"/>
      <c r="K425" s="11" t="str">
        <f t="shared" si="30"/>
        <v/>
      </c>
      <c r="L425" s="11" t="str">
        <f t="shared" si="31"/>
        <v/>
      </c>
      <c r="M425" s="11" t="str">
        <f t="shared" si="32"/>
        <v/>
      </c>
      <c r="N425" s="11" t="str">
        <f t="shared" si="33"/>
        <v/>
      </c>
      <c r="O425" s="11" t="str">
        <f t="shared" si="34"/>
        <v/>
      </c>
    </row>
    <row r="426" spans="1:15" x14ac:dyDescent="0.25">
      <c r="A426" s="3" t="s">
        <v>3162</v>
      </c>
      <c r="B426" s="3" t="s">
        <v>506</v>
      </c>
      <c r="C426" s="9">
        <v>116.94</v>
      </c>
      <c r="D426" s="3" t="s">
        <v>3194</v>
      </c>
      <c r="E426" s="10">
        <v>45688.858634259261</v>
      </c>
      <c r="F426" s="10"/>
      <c r="G426" s="10"/>
      <c r="H426" s="10"/>
      <c r="I426" s="10"/>
      <c r="J426" s="10"/>
      <c r="K426" s="11" t="str">
        <f t="shared" si="30"/>
        <v/>
      </c>
      <c r="L426" s="11" t="str">
        <f t="shared" si="31"/>
        <v/>
      </c>
      <c r="M426" s="11" t="str">
        <f t="shared" si="32"/>
        <v/>
      </c>
      <c r="N426" s="11" t="str">
        <f t="shared" si="33"/>
        <v/>
      </c>
      <c r="O426" s="11" t="str">
        <f t="shared" si="34"/>
        <v/>
      </c>
    </row>
    <row r="427" spans="1:15" x14ac:dyDescent="0.25">
      <c r="A427" s="3" t="s">
        <v>3186</v>
      </c>
      <c r="B427" s="3" t="s">
        <v>484</v>
      </c>
      <c r="C427" s="9">
        <v>126</v>
      </c>
      <c r="D427" s="3" t="s">
        <v>3196</v>
      </c>
      <c r="E427" s="10">
        <v>45688.864305555559</v>
      </c>
      <c r="F427" s="10"/>
      <c r="G427" s="10"/>
      <c r="H427" s="10"/>
      <c r="I427" s="10"/>
      <c r="J427" s="10"/>
      <c r="K427" s="11" t="str">
        <f t="shared" si="30"/>
        <v/>
      </c>
      <c r="L427" s="11" t="str">
        <f t="shared" si="31"/>
        <v/>
      </c>
      <c r="M427" s="11" t="str">
        <f t="shared" si="32"/>
        <v/>
      </c>
      <c r="N427" s="11" t="str">
        <f t="shared" si="33"/>
        <v/>
      </c>
      <c r="O427" s="11" t="str">
        <f t="shared" si="34"/>
        <v/>
      </c>
    </row>
  </sheetData>
  <autoFilter ref="A1:O427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68"/>
  <sheetViews>
    <sheetView workbookViewId="0">
      <pane xSplit="4" ySplit="1" topLeftCell="E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14" width="8.140625" customWidth="1"/>
  </cols>
  <sheetData>
    <row r="1" spans="1:14" ht="45" customHeight="1" x14ac:dyDescent="0.25">
      <c r="A1" s="1" t="s">
        <v>3207</v>
      </c>
      <c r="B1" s="1" t="s">
        <v>3208</v>
      </c>
      <c r="C1" s="1" t="s">
        <v>3209</v>
      </c>
      <c r="D1" s="1" t="s">
        <v>3210</v>
      </c>
      <c r="E1" s="1" t="s">
        <v>3211</v>
      </c>
      <c r="F1" s="1" t="s">
        <v>3212</v>
      </c>
      <c r="G1" s="1" t="s">
        <v>3213</v>
      </c>
      <c r="H1" s="1" t="s">
        <v>3214</v>
      </c>
      <c r="I1" s="1" t="s">
        <v>3215</v>
      </c>
      <c r="J1" s="1" t="s">
        <v>3216</v>
      </c>
      <c r="K1" s="1" t="s">
        <v>3217</v>
      </c>
      <c r="L1" s="1" t="s">
        <v>3218</v>
      </c>
      <c r="M1" s="1" t="s">
        <v>3219</v>
      </c>
      <c r="N1" s="1" t="s">
        <v>3220</v>
      </c>
    </row>
    <row r="2" spans="1:14" x14ac:dyDescent="0.25">
      <c r="A2" s="3" t="s">
        <v>3221</v>
      </c>
      <c r="B2" s="3" t="s">
        <v>3222</v>
      </c>
      <c r="C2" s="3" t="s">
        <v>139</v>
      </c>
      <c r="D2" s="13">
        <v>239</v>
      </c>
      <c r="E2" s="14">
        <v>766.25</v>
      </c>
      <c r="F2" s="14">
        <v>766.25</v>
      </c>
      <c r="G2" s="14">
        <v>766.25</v>
      </c>
      <c r="H2" s="11">
        <v>2.3043545637687901E-3</v>
      </c>
      <c r="I2" s="11">
        <v>1.759259259259259E-3</v>
      </c>
      <c r="J2" s="11">
        <v>2.8009259259259259E-3</v>
      </c>
      <c r="K2" s="9">
        <v>14.009485240742411</v>
      </c>
      <c r="L2" s="9">
        <v>11.39876033057851</v>
      </c>
      <c r="M2" s="9">
        <v>18.14802631578948</v>
      </c>
      <c r="N2" s="9">
        <v>1.508711674104769</v>
      </c>
    </row>
    <row r="3" spans="1:14" x14ac:dyDescent="0.25">
      <c r="A3" s="3" t="s">
        <v>3221</v>
      </c>
      <c r="B3" s="3" t="s">
        <v>3222</v>
      </c>
      <c r="C3" s="3" t="s">
        <v>169</v>
      </c>
      <c r="D3" s="13">
        <v>7</v>
      </c>
      <c r="E3" s="14">
        <v>476.05</v>
      </c>
      <c r="F3" s="14">
        <v>476.05</v>
      </c>
      <c r="G3" s="14">
        <v>476.05</v>
      </c>
      <c r="H3" s="11">
        <v>1.919642857142857E-3</v>
      </c>
      <c r="I3" s="11">
        <v>1.238425925925926E-3</v>
      </c>
      <c r="J3" s="11">
        <v>2.3726851851851851E-3</v>
      </c>
      <c r="K3" s="9">
        <v>10.957027902252349</v>
      </c>
      <c r="L3" s="9">
        <v>8.3599024390243901</v>
      </c>
      <c r="M3" s="9">
        <v>16.016635514018699</v>
      </c>
      <c r="N3" s="9">
        <v>2.7942526443499278</v>
      </c>
    </row>
    <row r="4" spans="1:14" x14ac:dyDescent="0.25">
      <c r="A4" s="3" t="s">
        <v>3221</v>
      </c>
      <c r="B4" s="3" t="s">
        <v>3222</v>
      </c>
      <c r="C4" s="3" t="s">
        <v>142</v>
      </c>
      <c r="D4" s="13">
        <v>66</v>
      </c>
      <c r="E4" s="14">
        <v>556.20000000000005</v>
      </c>
      <c r="F4" s="14">
        <v>556.20000000000005</v>
      </c>
      <c r="G4" s="14">
        <v>556.20000000000005</v>
      </c>
      <c r="H4" s="11">
        <v>2.0812289562289559E-3</v>
      </c>
      <c r="I4" s="11">
        <v>1.3888888888888889E-3</v>
      </c>
      <c r="J4" s="11">
        <v>2.5231481481481481E-3</v>
      </c>
      <c r="K4" s="9">
        <v>11.50850304147632</v>
      </c>
      <c r="L4" s="9">
        <v>9.1849541284403688</v>
      </c>
      <c r="M4" s="9">
        <v>16.686</v>
      </c>
      <c r="N4" s="9">
        <v>2.1943054580796759</v>
      </c>
    </row>
    <row r="5" spans="1:14" x14ac:dyDescent="0.25">
      <c r="A5" s="3" t="s">
        <v>3221</v>
      </c>
      <c r="B5" s="3" t="s">
        <v>3222</v>
      </c>
      <c r="C5" s="3" t="s">
        <v>164</v>
      </c>
      <c r="D5" s="13">
        <v>19</v>
      </c>
      <c r="E5" s="14">
        <v>587.14</v>
      </c>
      <c r="F5" s="14">
        <v>587.14</v>
      </c>
      <c r="G5" s="14">
        <v>587.14</v>
      </c>
      <c r="H5" s="11">
        <v>1.306652046783626E-3</v>
      </c>
      <c r="I5" s="11">
        <v>1.25E-3</v>
      </c>
      <c r="J5" s="11">
        <v>1.3657407407407409E-3</v>
      </c>
      <c r="K5" s="9">
        <v>18.746788996386929</v>
      </c>
      <c r="L5" s="9">
        <v>17.912745762711861</v>
      </c>
      <c r="M5" s="9">
        <v>19.571333333333332</v>
      </c>
      <c r="N5" s="9">
        <v>0.67126291847841246</v>
      </c>
    </row>
    <row r="6" spans="1:14" x14ac:dyDescent="0.25">
      <c r="A6" s="3" t="s">
        <v>3223</v>
      </c>
      <c r="B6" s="3" t="s">
        <v>3195</v>
      </c>
      <c r="C6" s="3" t="s">
        <v>3224</v>
      </c>
      <c r="D6" s="13">
        <v>30</v>
      </c>
      <c r="E6" s="14">
        <v>286.14</v>
      </c>
      <c r="F6" s="14">
        <v>286.14</v>
      </c>
      <c r="G6" s="14">
        <v>286.14</v>
      </c>
      <c r="H6" s="11">
        <v>1.0019290123456791E-3</v>
      </c>
      <c r="I6" s="11">
        <v>8.4490740740740739E-4</v>
      </c>
      <c r="J6" s="11">
        <v>1.5509259259259261E-3</v>
      </c>
      <c r="K6" s="9">
        <v>12.14962473767474</v>
      </c>
      <c r="L6" s="9">
        <v>7.6873432835820896</v>
      </c>
      <c r="M6" s="9">
        <v>14.11101369863014</v>
      </c>
      <c r="N6" s="9">
        <v>1.602443768828552</v>
      </c>
    </row>
    <row r="7" spans="1:14" x14ac:dyDescent="0.25">
      <c r="A7" s="3" t="s">
        <v>3223</v>
      </c>
      <c r="B7" s="3" t="s">
        <v>3200</v>
      </c>
      <c r="C7" s="3" t="s">
        <v>3224</v>
      </c>
      <c r="D7" s="13">
        <v>18</v>
      </c>
      <c r="E7" s="14">
        <v>245</v>
      </c>
      <c r="F7" s="14">
        <v>245</v>
      </c>
      <c r="G7" s="14">
        <v>245</v>
      </c>
      <c r="H7" s="11">
        <v>9.8186728395061713E-4</v>
      </c>
      <c r="I7" s="11">
        <v>7.6388888888888893E-4</v>
      </c>
      <c r="J7" s="11">
        <v>1.3888888888888889E-3</v>
      </c>
      <c r="K7" s="9">
        <v>10.768632275006579</v>
      </c>
      <c r="L7" s="9">
        <v>7.35</v>
      </c>
      <c r="M7" s="9">
        <v>13.36363636363636</v>
      </c>
      <c r="N7" s="9">
        <v>1.9207925381143449</v>
      </c>
    </row>
    <row r="8" spans="1:14" x14ac:dyDescent="0.25">
      <c r="A8" s="3" t="s">
        <v>3223</v>
      </c>
      <c r="B8" s="3" t="s">
        <v>3206</v>
      </c>
      <c r="C8" s="3" t="s">
        <v>3224</v>
      </c>
      <c r="D8" s="13">
        <v>17</v>
      </c>
      <c r="E8" s="14">
        <v>286.14</v>
      </c>
      <c r="F8" s="14">
        <v>286.14</v>
      </c>
      <c r="G8" s="14">
        <v>286.14</v>
      </c>
      <c r="H8" s="11">
        <v>1.086601307189542E-3</v>
      </c>
      <c r="I8" s="11">
        <v>8.3333333333333339E-4</v>
      </c>
      <c r="J8" s="11">
        <v>1.5740740740740741E-3</v>
      </c>
      <c r="K8" s="9">
        <v>11.51632706734978</v>
      </c>
      <c r="L8" s="9">
        <v>7.5742941176470593</v>
      </c>
      <c r="M8" s="9">
        <v>14.307</v>
      </c>
      <c r="N8" s="9">
        <v>2.418233470108234</v>
      </c>
    </row>
    <row r="9" spans="1:14" x14ac:dyDescent="0.25">
      <c r="A9" s="3" t="s">
        <v>3223</v>
      </c>
      <c r="B9" s="3" t="s">
        <v>3198</v>
      </c>
      <c r="C9" s="3" t="s">
        <v>3224</v>
      </c>
      <c r="D9" s="13">
        <v>14</v>
      </c>
      <c r="E9" s="14">
        <v>259.16000000000003</v>
      </c>
      <c r="F9" s="14">
        <v>259.16000000000003</v>
      </c>
      <c r="G9" s="14">
        <v>259.16000000000003</v>
      </c>
      <c r="H9" s="11">
        <v>9.6726190476190469E-4</v>
      </c>
      <c r="I9" s="11">
        <v>7.7546296296296293E-4</v>
      </c>
      <c r="J9" s="11">
        <v>1.5972222222222221E-3</v>
      </c>
      <c r="K9" s="9">
        <v>11.807589664225681</v>
      </c>
      <c r="L9" s="9">
        <v>6.7606956521739132</v>
      </c>
      <c r="M9" s="9">
        <v>13.925014925373141</v>
      </c>
      <c r="N9" s="9">
        <v>2.365973747107827</v>
      </c>
    </row>
    <row r="10" spans="1:14" x14ac:dyDescent="0.25">
      <c r="A10" s="3" t="s">
        <v>3223</v>
      </c>
      <c r="B10" s="3" t="s">
        <v>3202</v>
      </c>
      <c r="C10" s="3" t="s">
        <v>3224</v>
      </c>
      <c r="D10" s="13">
        <v>22</v>
      </c>
      <c r="E10" s="14">
        <v>231.94</v>
      </c>
      <c r="F10" s="14">
        <v>231.94</v>
      </c>
      <c r="G10" s="14">
        <v>231.94</v>
      </c>
      <c r="H10" s="11">
        <v>1.0648148148148151E-3</v>
      </c>
      <c r="I10" s="11">
        <v>7.291666666666667E-4</v>
      </c>
      <c r="J10" s="11">
        <v>1.9907407407407408E-3</v>
      </c>
      <c r="K10" s="9">
        <v>9.8781619101813316</v>
      </c>
      <c r="L10" s="9">
        <v>4.854558139534884</v>
      </c>
      <c r="M10" s="9">
        <v>13.25371428571429</v>
      </c>
      <c r="N10" s="9">
        <v>2.5589883389352202</v>
      </c>
    </row>
    <row r="11" spans="1:14" x14ac:dyDescent="0.25">
      <c r="A11" s="3" t="s">
        <v>3223</v>
      </c>
      <c r="B11" s="3" t="s">
        <v>3193</v>
      </c>
      <c r="C11" s="3" t="s">
        <v>3224</v>
      </c>
      <c r="D11" s="13">
        <v>46</v>
      </c>
      <c r="E11" s="14">
        <v>205.9</v>
      </c>
      <c r="F11" s="14">
        <v>205.9</v>
      </c>
      <c r="G11" s="14">
        <v>205.9</v>
      </c>
      <c r="H11" s="11">
        <v>9.7498993558776167E-4</v>
      </c>
      <c r="I11" s="11">
        <v>6.5972222222222224E-4</v>
      </c>
      <c r="J11" s="11">
        <v>1.5740740740740741E-3</v>
      </c>
      <c r="K11" s="9">
        <v>9.4686246792864441</v>
      </c>
      <c r="L11" s="9">
        <v>5.4502941176470587</v>
      </c>
      <c r="M11" s="9">
        <v>13.00421052631579</v>
      </c>
      <c r="N11" s="9">
        <v>2.4813881384637742</v>
      </c>
    </row>
    <row r="12" spans="1:14" x14ac:dyDescent="0.25">
      <c r="A12" s="3" t="s">
        <v>3223</v>
      </c>
      <c r="B12" s="3" t="s">
        <v>3203</v>
      </c>
      <c r="C12" s="3" t="s">
        <v>3224</v>
      </c>
      <c r="D12" s="13">
        <v>65</v>
      </c>
      <c r="E12" s="14">
        <v>223.61</v>
      </c>
      <c r="F12" s="14">
        <v>223.61</v>
      </c>
      <c r="G12" s="14">
        <v>223.61</v>
      </c>
      <c r="H12" s="11">
        <v>9.827279202279202E-4</v>
      </c>
      <c r="I12" s="11">
        <v>6.9444444444444447E-4</v>
      </c>
      <c r="J12" s="11">
        <v>1.5046296296296301E-3</v>
      </c>
      <c r="K12" s="9">
        <v>9.998342379028319</v>
      </c>
      <c r="L12" s="9">
        <v>6.1922769230769239</v>
      </c>
      <c r="M12" s="9">
        <v>13.416600000000001</v>
      </c>
      <c r="N12" s="9">
        <v>2.2320292316098191</v>
      </c>
    </row>
    <row r="13" spans="1:14" x14ac:dyDescent="0.25">
      <c r="A13" s="3" t="s">
        <v>3223</v>
      </c>
      <c r="B13" s="3" t="s">
        <v>3205</v>
      </c>
      <c r="C13" s="3" t="s">
        <v>3224</v>
      </c>
      <c r="D13" s="13">
        <v>19</v>
      </c>
      <c r="E13" s="14">
        <v>262.93</v>
      </c>
      <c r="F13" s="14">
        <v>262.93</v>
      </c>
      <c r="G13" s="14">
        <v>262.93</v>
      </c>
      <c r="H13" s="11">
        <v>9.5394736842105258E-4</v>
      </c>
      <c r="I13" s="11">
        <v>7.7546296296296293E-4</v>
      </c>
      <c r="J13" s="11">
        <v>1.3888888888888889E-3</v>
      </c>
      <c r="K13" s="9">
        <v>11.94162192779887</v>
      </c>
      <c r="L13" s="9">
        <v>7.8879000000000001</v>
      </c>
      <c r="M13" s="9">
        <v>14.12758208955224</v>
      </c>
      <c r="N13" s="9">
        <v>2.157738101201276</v>
      </c>
    </row>
    <row r="14" spans="1:14" x14ac:dyDescent="0.25">
      <c r="A14" s="3" t="s">
        <v>3223</v>
      </c>
      <c r="B14" s="3" t="s">
        <v>3197</v>
      </c>
      <c r="C14" s="3" t="s">
        <v>3224</v>
      </c>
      <c r="D14" s="13">
        <v>42</v>
      </c>
      <c r="E14" s="14">
        <v>262.93</v>
      </c>
      <c r="F14" s="14">
        <v>262.93</v>
      </c>
      <c r="G14" s="14">
        <v>262.93</v>
      </c>
      <c r="H14" s="11">
        <v>1.059578924162258E-3</v>
      </c>
      <c r="I14" s="11">
        <v>7.7546296296296293E-4</v>
      </c>
      <c r="J14" s="11">
        <v>1.8865740740740739E-3</v>
      </c>
      <c r="K14" s="9">
        <v>10.976966230030159</v>
      </c>
      <c r="L14" s="9">
        <v>5.8070429447852767</v>
      </c>
      <c r="M14" s="9">
        <v>14.12758208955224</v>
      </c>
      <c r="N14" s="9">
        <v>2.4518586736053178</v>
      </c>
    </row>
    <row r="15" spans="1:14" x14ac:dyDescent="0.25">
      <c r="A15" s="3" t="s">
        <v>3223</v>
      </c>
      <c r="B15" s="3" t="s">
        <v>3194</v>
      </c>
      <c r="C15" s="3" t="s">
        <v>3224</v>
      </c>
      <c r="D15" s="13">
        <v>22</v>
      </c>
      <c r="E15" s="14">
        <v>259.31</v>
      </c>
      <c r="F15" s="14">
        <v>259.31</v>
      </c>
      <c r="G15" s="14">
        <v>259.31</v>
      </c>
      <c r="H15" s="11">
        <v>9.5643939393939403E-4</v>
      </c>
      <c r="I15" s="11">
        <v>7.8703703703703705E-4</v>
      </c>
      <c r="J15" s="11">
        <v>1.481481481481481E-3</v>
      </c>
      <c r="K15" s="9">
        <v>11.727545167027349</v>
      </c>
      <c r="L15" s="9">
        <v>7.2930937500000006</v>
      </c>
      <c r="M15" s="9">
        <v>13.72817647058824</v>
      </c>
      <c r="N15" s="9">
        <v>1.98235160380826</v>
      </c>
    </row>
    <row r="16" spans="1:14" x14ac:dyDescent="0.25">
      <c r="A16" s="3" t="s">
        <v>3223</v>
      </c>
      <c r="B16" s="3" t="s">
        <v>3201</v>
      </c>
      <c r="C16" s="3" t="s">
        <v>3224</v>
      </c>
      <c r="D16" s="13">
        <v>21</v>
      </c>
      <c r="E16" s="14">
        <v>259.31</v>
      </c>
      <c r="F16" s="14">
        <v>259.31</v>
      </c>
      <c r="G16" s="14">
        <v>259.31</v>
      </c>
      <c r="H16" s="11">
        <v>9.854497354497354E-4</v>
      </c>
      <c r="I16" s="11">
        <v>7.7546296296296293E-4</v>
      </c>
      <c r="J16" s="11">
        <v>1.747685185185185E-3</v>
      </c>
      <c r="K16" s="9">
        <v>11.54592732157173</v>
      </c>
      <c r="L16" s="9">
        <v>6.1822251655629143</v>
      </c>
      <c r="M16" s="9">
        <v>13.93307462686567</v>
      </c>
      <c r="N16" s="9">
        <v>2.316474261784935</v>
      </c>
    </row>
    <row r="17" spans="1:14" x14ac:dyDescent="0.25">
      <c r="A17" s="3" t="s">
        <v>3223</v>
      </c>
      <c r="B17" s="3" t="s">
        <v>3204</v>
      </c>
      <c r="C17" s="3" t="s">
        <v>3224</v>
      </c>
      <c r="D17" s="13">
        <v>30</v>
      </c>
      <c r="E17" s="14">
        <v>240.31</v>
      </c>
      <c r="F17" s="14">
        <v>240.31</v>
      </c>
      <c r="G17" s="14">
        <v>240.31</v>
      </c>
      <c r="H17" s="11">
        <v>9.9305555555555562E-4</v>
      </c>
      <c r="I17" s="11">
        <v>7.407407407407407E-4</v>
      </c>
      <c r="J17" s="11">
        <v>1.423611111111111E-3</v>
      </c>
      <c r="K17" s="9">
        <v>10.537291557709329</v>
      </c>
      <c r="L17" s="9">
        <v>7.0334634146341468</v>
      </c>
      <c r="M17" s="9">
        <v>13.5174375</v>
      </c>
      <c r="N17" s="9">
        <v>2.1210392276994989</v>
      </c>
    </row>
    <row r="18" spans="1:14" x14ac:dyDescent="0.25">
      <c r="A18" s="3" t="s">
        <v>3223</v>
      </c>
      <c r="B18" s="3" t="s">
        <v>3199</v>
      </c>
      <c r="C18" s="3" t="s">
        <v>3224</v>
      </c>
      <c r="D18" s="13">
        <v>37</v>
      </c>
      <c r="E18" s="14">
        <v>188.33</v>
      </c>
      <c r="F18" s="14">
        <v>188.33</v>
      </c>
      <c r="G18" s="14">
        <v>188.33</v>
      </c>
      <c r="H18" s="11">
        <v>8.5178928928928929E-4</v>
      </c>
      <c r="I18" s="11">
        <v>6.2500000000000001E-4</v>
      </c>
      <c r="J18" s="11">
        <v>1.5972222222222221E-3</v>
      </c>
      <c r="K18" s="9">
        <v>9.7465204551561726</v>
      </c>
      <c r="L18" s="9">
        <v>4.9129565217391296</v>
      </c>
      <c r="M18" s="9">
        <v>12.555333333333341</v>
      </c>
      <c r="N18" s="9">
        <v>2.0959929134075841</v>
      </c>
    </row>
    <row r="19" spans="1:14" x14ac:dyDescent="0.25">
      <c r="A19" s="3" t="s">
        <v>3223</v>
      </c>
      <c r="B19" s="3" t="s">
        <v>3196</v>
      </c>
      <c r="C19" s="3" t="s">
        <v>3224</v>
      </c>
      <c r="D19" s="13">
        <v>27</v>
      </c>
      <c r="E19" s="14">
        <v>182.11</v>
      </c>
      <c r="F19" s="14">
        <v>182.11</v>
      </c>
      <c r="G19" s="14">
        <v>182.11</v>
      </c>
      <c r="H19" s="11">
        <v>7.3388203017832646E-4</v>
      </c>
      <c r="I19" s="11">
        <v>6.134259259259259E-4</v>
      </c>
      <c r="J19" s="11">
        <v>1.0995370370370371E-3</v>
      </c>
      <c r="K19" s="9">
        <v>10.59068105470668</v>
      </c>
      <c r="L19" s="9">
        <v>6.9010105263157904</v>
      </c>
      <c r="M19" s="9">
        <v>12.3697358490566</v>
      </c>
      <c r="N19" s="9">
        <v>1.4735529868912749</v>
      </c>
    </row>
    <row r="20" spans="1:14" x14ac:dyDescent="0.25">
      <c r="A20" s="3" t="s">
        <v>3225</v>
      </c>
      <c r="B20" s="3" t="s">
        <v>139</v>
      </c>
      <c r="C20" s="3" t="s">
        <v>3195</v>
      </c>
      <c r="D20" s="13">
        <v>47</v>
      </c>
      <c r="E20" s="14">
        <v>405.43</v>
      </c>
      <c r="F20" s="14">
        <v>405.43</v>
      </c>
      <c r="G20" s="14">
        <v>405.43</v>
      </c>
      <c r="H20" s="11">
        <v>1.883618991331757E-3</v>
      </c>
      <c r="I20" s="11">
        <v>1.712962962962963E-3</v>
      </c>
      <c r="J20" s="11">
        <v>2.650462962962963E-3</v>
      </c>
      <c r="K20" s="9">
        <v>9.0663028708353508</v>
      </c>
      <c r="L20" s="9">
        <v>6.3735720524017472</v>
      </c>
      <c r="M20" s="9">
        <v>9.8618108108108107</v>
      </c>
      <c r="N20" s="9">
        <v>0.87923685043730204</v>
      </c>
    </row>
    <row r="21" spans="1:14" x14ac:dyDescent="0.25">
      <c r="A21" s="3" t="s">
        <v>3225</v>
      </c>
      <c r="B21" s="3" t="s">
        <v>139</v>
      </c>
      <c r="C21" s="3" t="s">
        <v>3200</v>
      </c>
      <c r="D21" s="13">
        <v>34</v>
      </c>
      <c r="E21" s="14">
        <v>405.03</v>
      </c>
      <c r="F21" s="14">
        <v>405.03</v>
      </c>
      <c r="G21" s="14">
        <v>405.03</v>
      </c>
      <c r="H21" s="11">
        <v>1.928104575163399E-3</v>
      </c>
      <c r="I21" s="11">
        <v>1.712962962962963E-3</v>
      </c>
      <c r="J21" s="11">
        <v>2.5694444444444449E-3</v>
      </c>
      <c r="K21" s="9">
        <v>8.8682561967722968</v>
      </c>
      <c r="L21" s="9">
        <v>6.5680540540540537</v>
      </c>
      <c r="M21" s="9">
        <v>9.8520810810810797</v>
      </c>
      <c r="N21" s="9">
        <v>0.94754631147602064</v>
      </c>
    </row>
    <row r="22" spans="1:14" x14ac:dyDescent="0.25">
      <c r="A22" s="3" t="s">
        <v>3225</v>
      </c>
      <c r="B22" s="3" t="s">
        <v>139</v>
      </c>
      <c r="C22" s="3" t="s">
        <v>3206</v>
      </c>
      <c r="D22" s="13">
        <v>40</v>
      </c>
      <c r="E22" s="14">
        <v>378.4</v>
      </c>
      <c r="F22" s="14">
        <v>378.4</v>
      </c>
      <c r="G22" s="14">
        <v>378.4</v>
      </c>
      <c r="H22" s="11">
        <v>1.7369791666666671E-3</v>
      </c>
      <c r="I22" s="11">
        <v>1.6087962962962961E-3</v>
      </c>
      <c r="J22" s="11">
        <v>2.476851851851852E-3</v>
      </c>
      <c r="K22" s="9">
        <v>9.2212422427373451</v>
      </c>
      <c r="L22" s="9">
        <v>6.365607476635514</v>
      </c>
      <c r="M22" s="9">
        <v>9.8002877697841715</v>
      </c>
      <c r="N22" s="9">
        <v>1.0238489857438771</v>
      </c>
    </row>
    <row r="23" spans="1:14" x14ac:dyDescent="0.25">
      <c r="A23" s="3" t="s">
        <v>3225</v>
      </c>
      <c r="B23" s="3" t="s">
        <v>139</v>
      </c>
      <c r="C23" s="3" t="s">
        <v>3198</v>
      </c>
      <c r="D23" s="13">
        <v>27</v>
      </c>
      <c r="E23" s="14">
        <v>350.87</v>
      </c>
      <c r="F23" s="14">
        <v>350.87</v>
      </c>
      <c r="G23" s="14">
        <v>350.87</v>
      </c>
      <c r="H23" s="11">
        <v>1.53377914951989E-3</v>
      </c>
      <c r="I23" s="11">
        <v>1.4930555555555561E-3</v>
      </c>
      <c r="J23" s="11">
        <v>1.655092592592593E-3</v>
      </c>
      <c r="K23" s="9">
        <v>9.54131787419972</v>
      </c>
      <c r="L23" s="9">
        <v>8.8330909090909095</v>
      </c>
      <c r="M23" s="9">
        <v>9.7917209302325592</v>
      </c>
      <c r="N23" s="9">
        <v>0.29601499573785578</v>
      </c>
    </row>
    <row r="24" spans="1:14" x14ac:dyDescent="0.25">
      <c r="A24" s="3" t="s">
        <v>3225</v>
      </c>
      <c r="B24" s="3" t="s">
        <v>139</v>
      </c>
      <c r="C24" s="3" t="s">
        <v>3202</v>
      </c>
      <c r="D24" s="13">
        <v>34</v>
      </c>
      <c r="E24" s="14">
        <v>324.35000000000002</v>
      </c>
      <c r="F24" s="14">
        <v>324.35000000000002</v>
      </c>
      <c r="G24" s="14">
        <v>324.35000000000002</v>
      </c>
      <c r="H24" s="11">
        <v>1.649305555555556E-3</v>
      </c>
      <c r="I24" s="11">
        <v>1.3888888888888889E-3</v>
      </c>
      <c r="J24" s="11">
        <v>2.5347222222222221E-3</v>
      </c>
      <c r="K24" s="9">
        <v>8.4594282132138421</v>
      </c>
      <c r="L24" s="9">
        <v>5.3317808219178087</v>
      </c>
      <c r="M24" s="9">
        <v>9.730500000000001</v>
      </c>
      <c r="N24" s="9">
        <v>1.375221739787704</v>
      </c>
    </row>
    <row r="25" spans="1:14" x14ac:dyDescent="0.25">
      <c r="A25" s="3" t="s">
        <v>3225</v>
      </c>
      <c r="B25" s="3" t="s">
        <v>139</v>
      </c>
      <c r="C25" s="3" t="s">
        <v>3193</v>
      </c>
      <c r="D25" s="13">
        <v>68</v>
      </c>
      <c r="E25" s="14">
        <v>297.43</v>
      </c>
      <c r="F25" s="14">
        <v>297.43</v>
      </c>
      <c r="G25" s="14">
        <v>297.43</v>
      </c>
      <c r="H25" s="11">
        <v>1.5512663398692811E-3</v>
      </c>
      <c r="I25" s="11">
        <v>1.261574074074074E-3</v>
      </c>
      <c r="J25" s="11">
        <v>2.3958333333333331E-3</v>
      </c>
      <c r="K25" s="9">
        <v>8.2848568688589701</v>
      </c>
      <c r="L25" s="9">
        <v>5.1726956521739131</v>
      </c>
      <c r="M25" s="9">
        <v>9.8233761467889913</v>
      </c>
      <c r="N25" s="9">
        <v>1.4692359565160871</v>
      </c>
    </row>
    <row r="26" spans="1:14" x14ac:dyDescent="0.25">
      <c r="A26" s="3" t="s">
        <v>3225</v>
      </c>
      <c r="B26" s="3" t="s">
        <v>139</v>
      </c>
      <c r="C26" s="3" t="s">
        <v>3203</v>
      </c>
      <c r="D26" s="13">
        <v>98</v>
      </c>
      <c r="E26" s="14">
        <v>269.92</v>
      </c>
      <c r="F26" s="14">
        <v>269.92</v>
      </c>
      <c r="G26" s="14">
        <v>269.92</v>
      </c>
      <c r="H26" s="11">
        <v>1.438255857898715E-3</v>
      </c>
      <c r="I26" s="11">
        <v>1.1574074074074069E-3</v>
      </c>
      <c r="J26" s="11">
        <v>2.1643518518518522E-3</v>
      </c>
      <c r="K26" s="9">
        <v>8.1036758991513107</v>
      </c>
      <c r="L26" s="9">
        <v>5.1963208556149736</v>
      </c>
      <c r="M26" s="9">
        <v>9.7171200000000013</v>
      </c>
      <c r="N26" s="9">
        <v>1.4350607659189749</v>
      </c>
    </row>
    <row r="27" spans="1:14" x14ac:dyDescent="0.25">
      <c r="A27" s="3" t="s">
        <v>3225</v>
      </c>
      <c r="B27" s="3" t="s">
        <v>139</v>
      </c>
      <c r="C27" s="3" t="s">
        <v>3205</v>
      </c>
      <c r="D27" s="13">
        <v>33</v>
      </c>
      <c r="E27" s="14">
        <v>299.11</v>
      </c>
      <c r="F27" s="14">
        <v>299.11</v>
      </c>
      <c r="G27" s="14">
        <v>299.11</v>
      </c>
      <c r="H27" s="11">
        <v>1.374158249158249E-3</v>
      </c>
      <c r="I27" s="11">
        <v>1.273148148148148E-3</v>
      </c>
      <c r="J27" s="11">
        <v>1.793981481481481E-3</v>
      </c>
      <c r="K27" s="9">
        <v>9.1266153141932733</v>
      </c>
      <c r="L27" s="9">
        <v>6.9470709677419364</v>
      </c>
      <c r="M27" s="9">
        <v>9.7890545454545457</v>
      </c>
      <c r="N27" s="9">
        <v>0.67904451227486884</v>
      </c>
    </row>
    <row r="28" spans="1:14" x14ac:dyDescent="0.25">
      <c r="A28" s="3" t="s">
        <v>3225</v>
      </c>
      <c r="B28" s="3" t="s">
        <v>139</v>
      </c>
      <c r="C28" s="3" t="s">
        <v>3197</v>
      </c>
      <c r="D28" s="13">
        <v>63</v>
      </c>
      <c r="E28" s="14">
        <v>459.96</v>
      </c>
      <c r="F28" s="14">
        <v>459.96</v>
      </c>
      <c r="G28" s="14">
        <v>459.96</v>
      </c>
      <c r="H28" s="11">
        <v>2.1200764256319809E-3</v>
      </c>
      <c r="I28" s="11">
        <v>1.944444444444444E-3</v>
      </c>
      <c r="J28" s="11">
        <v>3.1018518518518522E-3</v>
      </c>
      <c r="K28" s="9">
        <v>9.1386566305026875</v>
      </c>
      <c r="L28" s="9">
        <v>6.1785671641791051</v>
      </c>
      <c r="M28" s="9">
        <v>9.8562857142857148</v>
      </c>
      <c r="N28" s="9">
        <v>0.86539275046774977</v>
      </c>
    </row>
    <row r="29" spans="1:14" x14ac:dyDescent="0.25">
      <c r="A29" s="3" t="s">
        <v>3225</v>
      </c>
      <c r="B29" s="3" t="s">
        <v>139</v>
      </c>
      <c r="C29" s="3" t="s">
        <v>3194</v>
      </c>
      <c r="D29" s="13">
        <v>57</v>
      </c>
      <c r="E29" s="14">
        <v>459.96</v>
      </c>
      <c r="F29" s="14">
        <v>459.96</v>
      </c>
      <c r="G29" s="14">
        <v>459.96</v>
      </c>
      <c r="H29" s="11">
        <v>2.0782569850552311E-3</v>
      </c>
      <c r="I29" s="11">
        <v>1.93287037037037E-3</v>
      </c>
      <c r="J29" s="11">
        <v>2.8587962962962959E-3</v>
      </c>
      <c r="K29" s="9">
        <v>9.3023466970980522</v>
      </c>
      <c r="L29" s="9">
        <v>6.7038704453441307</v>
      </c>
      <c r="M29" s="9">
        <v>9.9153053892215581</v>
      </c>
      <c r="N29" s="9">
        <v>0.78710642056115876</v>
      </c>
    </row>
    <row r="30" spans="1:14" x14ac:dyDescent="0.25">
      <c r="A30" s="3" t="s">
        <v>3225</v>
      </c>
      <c r="B30" s="3" t="s">
        <v>139</v>
      </c>
      <c r="C30" s="3" t="s">
        <v>3201</v>
      </c>
      <c r="D30" s="13">
        <v>45</v>
      </c>
      <c r="E30" s="14">
        <v>412.05</v>
      </c>
      <c r="F30" s="14">
        <v>412.05</v>
      </c>
      <c r="G30" s="14">
        <v>412.05</v>
      </c>
      <c r="H30" s="11">
        <v>1.890689300411523E-3</v>
      </c>
      <c r="I30" s="11">
        <v>1.747685185185185E-3</v>
      </c>
      <c r="J30" s="11">
        <v>2.9166666666666668E-3</v>
      </c>
      <c r="K30" s="9">
        <v>9.1950413547858965</v>
      </c>
      <c r="L30" s="9">
        <v>5.8864285714285716</v>
      </c>
      <c r="M30" s="9">
        <v>9.8237086092715238</v>
      </c>
      <c r="N30" s="9">
        <v>0.91650840606234185</v>
      </c>
    </row>
    <row r="31" spans="1:14" x14ac:dyDescent="0.25">
      <c r="A31" s="3" t="s">
        <v>3225</v>
      </c>
      <c r="B31" s="3" t="s">
        <v>139</v>
      </c>
      <c r="C31" s="3" t="s">
        <v>3204</v>
      </c>
      <c r="D31" s="13">
        <v>62</v>
      </c>
      <c r="E31" s="14">
        <v>477.75</v>
      </c>
      <c r="F31" s="14">
        <v>477.75</v>
      </c>
      <c r="G31" s="14">
        <v>477.75</v>
      </c>
      <c r="H31" s="11">
        <v>2.209154719235364E-3</v>
      </c>
      <c r="I31" s="11">
        <v>2.0254629629629629E-3</v>
      </c>
      <c r="J31" s="11">
        <v>2.9166666666666668E-3</v>
      </c>
      <c r="K31" s="9">
        <v>9.1158953585549654</v>
      </c>
      <c r="L31" s="9">
        <v>6.8250000000000002</v>
      </c>
      <c r="M31" s="9">
        <v>9.8279999999999994</v>
      </c>
      <c r="N31" s="9">
        <v>0.90782371697550013</v>
      </c>
    </row>
    <row r="32" spans="1:14" x14ac:dyDescent="0.25">
      <c r="A32" s="3" t="s">
        <v>3225</v>
      </c>
      <c r="B32" s="3" t="s">
        <v>139</v>
      </c>
      <c r="C32" s="3" t="s">
        <v>3199</v>
      </c>
      <c r="D32" s="13">
        <v>72</v>
      </c>
      <c r="E32" s="14">
        <v>450.42</v>
      </c>
      <c r="F32" s="14">
        <v>450.42</v>
      </c>
      <c r="G32" s="14">
        <v>450.42</v>
      </c>
      <c r="H32" s="11">
        <v>2.069990997942387E-3</v>
      </c>
      <c r="I32" s="11">
        <v>1.8981481481481479E-3</v>
      </c>
      <c r="J32" s="11">
        <v>2.7893518518518519E-3</v>
      </c>
      <c r="K32" s="9">
        <v>9.1624230382148628</v>
      </c>
      <c r="L32" s="9">
        <v>6.7282655601659744</v>
      </c>
      <c r="M32" s="9">
        <v>9.8872682926829256</v>
      </c>
      <c r="N32" s="9">
        <v>0.86823536360196607</v>
      </c>
    </row>
    <row r="33" spans="1:14" x14ac:dyDescent="0.25">
      <c r="A33" s="3" t="s">
        <v>3225</v>
      </c>
      <c r="B33" s="3" t="s">
        <v>139</v>
      </c>
      <c r="C33" s="3" t="s">
        <v>3196</v>
      </c>
      <c r="D33" s="13">
        <v>47</v>
      </c>
      <c r="E33" s="14">
        <v>450.42</v>
      </c>
      <c r="F33" s="14">
        <v>450.42</v>
      </c>
      <c r="G33" s="14">
        <v>450.42</v>
      </c>
      <c r="H33" s="11">
        <v>1.9808904649330182E-3</v>
      </c>
      <c r="I33" s="11">
        <v>1.8981481481481479E-3</v>
      </c>
      <c r="J33" s="11">
        <v>2.3495370370370371E-3</v>
      </c>
      <c r="K33" s="9">
        <v>9.4957707520258179</v>
      </c>
      <c r="L33" s="9">
        <v>7.9877438423645311</v>
      </c>
      <c r="M33" s="9">
        <v>9.8872682926829256</v>
      </c>
      <c r="N33" s="9">
        <v>0.43045523036475608</v>
      </c>
    </row>
    <row r="34" spans="1:14" x14ac:dyDescent="0.25">
      <c r="A34" s="3" t="s">
        <v>3225</v>
      </c>
      <c r="B34" s="3" t="s">
        <v>169</v>
      </c>
      <c r="C34" s="3" t="s">
        <v>3195</v>
      </c>
      <c r="D34" s="13">
        <v>2</v>
      </c>
      <c r="E34" s="14">
        <v>371.24</v>
      </c>
      <c r="F34" s="14">
        <v>371.24</v>
      </c>
      <c r="G34" s="14">
        <v>371.24</v>
      </c>
      <c r="H34" s="11">
        <v>1.5798611111111111E-3</v>
      </c>
      <c r="I34" s="11">
        <v>1.5740740740740741E-3</v>
      </c>
      <c r="J34" s="11">
        <v>1.5856481481481481E-3</v>
      </c>
      <c r="K34" s="9">
        <v>9.7910764276513529</v>
      </c>
      <c r="L34" s="9">
        <v>9.7552116788321168</v>
      </c>
      <c r="M34" s="9">
        <v>9.826941176470589</v>
      </c>
      <c r="N34" s="9">
        <v>3.586474881923607E-2</v>
      </c>
    </row>
    <row r="35" spans="1:14" x14ac:dyDescent="0.25">
      <c r="A35" s="3" t="s">
        <v>3225</v>
      </c>
      <c r="B35" s="3" t="s">
        <v>169</v>
      </c>
      <c r="C35" s="3" t="s">
        <v>3206</v>
      </c>
      <c r="D35" s="13">
        <v>4</v>
      </c>
      <c r="E35" s="14">
        <v>344.21</v>
      </c>
      <c r="F35" s="14">
        <v>344.21</v>
      </c>
      <c r="G35" s="14">
        <v>344.21</v>
      </c>
      <c r="H35" s="11">
        <v>1.5972222222222221E-3</v>
      </c>
      <c r="I35" s="11">
        <v>1.469907407407407E-3</v>
      </c>
      <c r="J35" s="11">
        <v>1.8749999999999999E-3</v>
      </c>
      <c r="K35" s="9">
        <v>9.063249132698628</v>
      </c>
      <c r="L35" s="9">
        <v>7.6491111111111119</v>
      </c>
      <c r="M35" s="9">
        <v>9.7571338582677178</v>
      </c>
      <c r="N35" s="9">
        <v>0.82813229411671552</v>
      </c>
    </row>
    <row r="36" spans="1:14" x14ac:dyDescent="0.25">
      <c r="A36" s="3" t="s">
        <v>3225</v>
      </c>
      <c r="B36" s="3" t="s">
        <v>169</v>
      </c>
      <c r="C36" s="3" t="s">
        <v>3202</v>
      </c>
      <c r="D36" s="13">
        <v>4</v>
      </c>
      <c r="E36" s="14">
        <v>290.16000000000003</v>
      </c>
      <c r="F36" s="14">
        <v>290.16000000000003</v>
      </c>
      <c r="G36" s="14">
        <v>290.16000000000003</v>
      </c>
      <c r="H36" s="11">
        <v>1.290509259259259E-3</v>
      </c>
      <c r="I36" s="11">
        <v>1.25E-3</v>
      </c>
      <c r="J36" s="11">
        <v>1.3541666666666669E-3</v>
      </c>
      <c r="K36" s="9">
        <v>9.3790088495575219</v>
      </c>
      <c r="L36" s="9">
        <v>8.927999999999999</v>
      </c>
      <c r="M36" s="9">
        <v>9.6720000000000006</v>
      </c>
      <c r="N36" s="9">
        <v>0.31357393203902251</v>
      </c>
    </row>
    <row r="37" spans="1:14" x14ac:dyDescent="0.25">
      <c r="A37" s="3" t="s">
        <v>3225</v>
      </c>
      <c r="B37" s="3" t="s">
        <v>169</v>
      </c>
      <c r="C37" s="3" t="s">
        <v>3193</v>
      </c>
      <c r="D37" s="13">
        <v>1</v>
      </c>
      <c r="E37" s="14">
        <v>263.24</v>
      </c>
      <c r="F37" s="14">
        <v>263.24</v>
      </c>
      <c r="G37" s="14">
        <v>263.24</v>
      </c>
      <c r="H37" s="11">
        <v>1.4120370370370369E-3</v>
      </c>
      <c r="I37" s="11">
        <v>1.4120370370370369E-3</v>
      </c>
      <c r="J37" s="11">
        <v>1.4120370370370369E-3</v>
      </c>
      <c r="K37" s="9">
        <v>7.7677377049180336</v>
      </c>
      <c r="L37" s="9">
        <v>7.7677377049180336</v>
      </c>
      <c r="M37" s="9">
        <v>7.7677377049180336</v>
      </c>
      <c r="N37" s="9">
        <v>0</v>
      </c>
    </row>
    <row r="38" spans="1:14" x14ac:dyDescent="0.25">
      <c r="A38" s="3" t="s">
        <v>3225</v>
      </c>
      <c r="B38" s="3" t="s">
        <v>169</v>
      </c>
      <c r="C38" s="3" t="s">
        <v>3203</v>
      </c>
      <c r="D38" s="13">
        <v>2</v>
      </c>
      <c r="E38" s="14">
        <v>235.73</v>
      </c>
      <c r="F38" s="14">
        <v>235.73</v>
      </c>
      <c r="G38" s="14">
        <v>235.73</v>
      </c>
      <c r="H38" s="11">
        <v>1.1342592592592589E-3</v>
      </c>
      <c r="I38" s="11">
        <v>1.0532407407407411E-3</v>
      </c>
      <c r="J38" s="11">
        <v>1.215277777777778E-3</v>
      </c>
      <c r="K38" s="9">
        <v>8.7038769230769226</v>
      </c>
      <c r="L38" s="9">
        <v>8.0821714285714297</v>
      </c>
      <c r="M38" s="9">
        <v>9.3255824175824173</v>
      </c>
      <c r="N38" s="9">
        <v>0.62170549450549384</v>
      </c>
    </row>
    <row r="39" spans="1:14" x14ac:dyDescent="0.25">
      <c r="A39" s="3" t="s">
        <v>3225</v>
      </c>
      <c r="B39" s="3" t="s">
        <v>169</v>
      </c>
      <c r="C39" s="3" t="s">
        <v>3205</v>
      </c>
      <c r="D39" s="13">
        <v>2</v>
      </c>
      <c r="E39" s="14">
        <v>264.92</v>
      </c>
      <c r="F39" s="14">
        <v>264.92</v>
      </c>
      <c r="G39" s="14">
        <v>264.92</v>
      </c>
      <c r="H39" s="11">
        <v>1.238425925925926E-3</v>
      </c>
      <c r="I39" s="11">
        <v>1.238425925925926E-3</v>
      </c>
      <c r="J39" s="11">
        <v>1.238425925925926E-3</v>
      </c>
      <c r="K39" s="9">
        <v>8.9131962616822431</v>
      </c>
      <c r="L39" s="9">
        <v>8.9131962616822431</v>
      </c>
      <c r="M39" s="9">
        <v>8.9131962616822431</v>
      </c>
      <c r="N39" s="9">
        <v>0</v>
      </c>
    </row>
    <row r="40" spans="1:14" x14ac:dyDescent="0.25">
      <c r="A40" s="3" t="s">
        <v>3225</v>
      </c>
      <c r="B40" s="3" t="s">
        <v>169</v>
      </c>
      <c r="C40" s="3" t="s">
        <v>3197</v>
      </c>
      <c r="D40" s="13">
        <v>5</v>
      </c>
      <c r="E40" s="14">
        <v>425.77</v>
      </c>
      <c r="F40" s="14">
        <v>425.77</v>
      </c>
      <c r="G40" s="14">
        <v>425.77</v>
      </c>
      <c r="H40" s="11">
        <v>2.023148148148148E-3</v>
      </c>
      <c r="I40" s="11">
        <v>1.805555555555555E-3</v>
      </c>
      <c r="J40" s="11">
        <v>2.5578703703703709E-3</v>
      </c>
      <c r="K40" s="9">
        <v>8.9293746424549258</v>
      </c>
      <c r="L40" s="9">
        <v>6.9356199095022619</v>
      </c>
      <c r="M40" s="9">
        <v>9.8254615384615391</v>
      </c>
      <c r="N40" s="9">
        <v>1.124803010551455</v>
      </c>
    </row>
    <row r="41" spans="1:14" x14ac:dyDescent="0.25">
      <c r="A41" s="3" t="s">
        <v>3225</v>
      </c>
      <c r="B41" s="3" t="s">
        <v>169</v>
      </c>
      <c r="C41" s="3" t="s">
        <v>3194</v>
      </c>
      <c r="D41" s="13">
        <v>1</v>
      </c>
      <c r="E41" s="14">
        <v>425.77</v>
      </c>
      <c r="F41" s="14">
        <v>425.77</v>
      </c>
      <c r="G41" s="14">
        <v>425.77</v>
      </c>
      <c r="H41" s="11">
        <v>1.8171296296296299E-3</v>
      </c>
      <c r="I41" s="11">
        <v>1.8171296296296299E-3</v>
      </c>
      <c r="J41" s="11">
        <v>1.8171296296296299E-3</v>
      </c>
      <c r="K41" s="9">
        <v>9.7628789808917187</v>
      </c>
      <c r="L41" s="9">
        <v>9.7628789808917187</v>
      </c>
      <c r="M41" s="9">
        <v>9.7628789808917187</v>
      </c>
      <c r="N41" s="9">
        <v>0</v>
      </c>
    </row>
    <row r="42" spans="1:14" x14ac:dyDescent="0.25">
      <c r="A42" s="3" t="s">
        <v>3225</v>
      </c>
      <c r="B42" s="3" t="s">
        <v>169</v>
      </c>
      <c r="C42" s="3" t="s">
        <v>3201</v>
      </c>
      <c r="D42" s="13">
        <v>2</v>
      </c>
      <c r="E42" s="14">
        <v>377.86</v>
      </c>
      <c r="F42" s="14">
        <v>377.86</v>
      </c>
      <c r="G42" s="14">
        <v>377.86</v>
      </c>
      <c r="H42" s="11">
        <v>1.6261574074074069E-3</v>
      </c>
      <c r="I42" s="11">
        <v>1.6087962962962961E-3</v>
      </c>
      <c r="J42" s="11">
        <v>1.643518518518519E-3</v>
      </c>
      <c r="K42" s="9">
        <v>9.6829257270240152</v>
      </c>
      <c r="L42" s="9">
        <v>9.5795492957746493</v>
      </c>
      <c r="M42" s="9">
        <v>9.7863021582733811</v>
      </c>
      <c r="N42" s="9">
        <v>0.10337643124936589</v>
      </c>
    </row>
    <row r="43" spans="1:14" x14ac:dyDescent="0.25">
      <c r="A43" s="3" t="s">
        <v>3225</v>
      </c>
      <c r="B43" s="3" t="s">
        <v>169</v>
      </c>
      <c r="C43" s="3" t="s">
        <v>3204</v>
      </c>
      <c r="D43" s="13">
        <v>3</v>
      </c>
      <c r="E43" s="14">
        <v>443.56000000000012</v>
      </c>
      <c r="F43" s="14">
        <v>443.56000000000012</v>
      </c>
      <c r="G43" s="14">
        <v>443.56000000000012</v>
      </c>
      <c r="H43" s="11">
        <v>1.8981481481481479E-3</v>
      </c>
      <c r="I43" s="11">
        <v>1.8865740740740739E-3</v>
      </c>
      <c r="J43" s="11">
        <v>1.9212962962962959E-3</v>
      </c>
      <c r="K43" s="9">
        <v>9.7374026166013756</v>
      </c>
      <c r="L43" s="9">
        <v>9.619373493975905</v>
      </c>
      <c r="M43" s="9">
        <v>9.7964171779141118</v>
      </c>
      <c r="N43" s="9">
        <v>8.3459192985969252E-2</v>
      </c>
    </row>
    <row r="44" spans="1:14" x14ac:dyDescent="0.25">
      <c r="A44" s="3" t="s">
        <v>3225</v>
      </c>
      <c r="B44" s="3" t="s">
        <v>169</v>
      </c>
      <c r="C44" s="3" t="s">
        <v>3199</v>
      </c>
      <c r="D44" s="13">
        <v>4</v>
      </c>
      <c r="E44" s="14">
        <v>416.23</v>
      </c>
      <c r="F44" s="14">
        <v>416.23</v>
      </c>
      <c r="G44" s="14">
        <v>416.23</v>
      </c>
      <c r="H44" s="11">
        <v>1.97337962962963E-3</v>
      </c>
      <c r="I44" s="11">
        <v>1.770833333333333E-3</v>
      </c>
      <c r="J44" s="11">
        <v>2.2337962962962958E-3</v>
      </c>
      <c r="K44" s="9">
        <v>8.8504103416947508</v>
      </c>
      <c r="L44" s="9">
        <v>7.7638756476683941</v>
      </c>
      <c r="M44" s="9">
        <v>9.7936470588235292</v>
      </c>
      <c r="N44" s="9">
        <v>0.7299465068317863</v>
      </c>
    </row>
    <row r="45" spans="1:14" x14ac:dyDescent="0.25">
      <c r="A45" s="3" t="s">
        <v>3225</v>
      </c>
      <c r="B45" s="3" t="s">
        <v>169</v>
      </c>
      <c r="C45" s="3" t="s">
        <v>3196</v>
      </c>
      <c r="D45" s="13">
        <v>3</v>
      </c>
      <c r="E45" s="14">
        <v>416.23</v>
      </c>
      <c r="F45" s="14">
        <v>416.23</v>
      </c>
      <c r="G45" s="14">
        <v>416.23</v>
      </c>
      <c r="H45" s="11">
        <v>1.824845679012346E-3</v>
      </c>
      <c r="I45" s="11">
        <v>1.793981481481481E-3</v>
      </c>
      <c r="J45" s="11">
        <v>1.8749999999999999E-3</v>
      </c>
      <c r="K45" s="9">
        <v>9.5073802224060291</v>
      </c>
      <c r="L45" s="9">
        <v>9.2495555555555562</v>
      </c>
      <c r="M45" s="9">
        <v>9.6672774193548392</v>
      </c>
      <c r="N45" s="9">
        <v>0.18405656901252301</v>
      </c>
    </row>
    <row r="46" spans="1:14" x14ac:dyDescent="0.25">
      <c r="A46" s="3" t="s">
        <v>3225</v>
      </c>
      <c r="B46" s="3" t="s">
        <v>142</v>
      </c>
      <c r="C46" s="3" t="s">
        <v>3195</v>
      </c>
      <c r="D46" s="13">
        <v>22</v>
      </c>
      <c r="E46" s="14">
        <v>398.6</v>
      </c>
      <c r="F46" s="14">
        <v>398.6</v>
      </c>
      <c r="G46" s="14">
        <v>398.6</v>
      </c>
      <c r="H46" s="11">
        <v>1.7955597643097641E-3</v>
      </c>
      <c r="I46" s="11">
        <v>1.689814814814815E-3</v>
      </c>
      <c r="J46" s="11">
        <v>2.2800925925925931E-3</v>
      </c>
      <c r="K46" s="9">
        <v>9.3075183941916979</v>
      </c>
      <c r="L46" s="9">
        <v>7.2840609137055843</v>
      </c>
      <c r="M46" s="9">
        <v>9.8284931506849311</v>
      </c>
      <c r="N46" s="9">
        <v>0.68517539806669869</v>
      </c>
    </row>
    <row r="47" spans="1:14" x14ac:dyDescent="0.25">
      <c r="A47" s="3" t="s">
        <v>3225</v>
      </c>
      <c r="B47" s="3" t="s">
        <v>142</v>
      </c>
      <c r="C47" s="3" t="s">
        <v>3200</v>
      </c>
      <c r="D47" s="13">
        <v>7</v>
      </c>
      <c r="E47" s="14">
        <v>398.2</v>
      </c>
      <c r="F47" s="14">
        <v>398.2</v>
      </c>
      <c r="G47" s="14">
        <v>398.2</v>
      </c>
      <c r="H47" s="11">
        <v>1.752645502645502E-3</v>
      </c>
      <c r="I47" s="11">
        <v>1.689814814814815E-3</v>
      </c>
      <c r="J47" s="11">
        <v>1.9907407407407408E-3</v>
      </c>
      <c r="K47" s="9">
        <v>9.4947435685129236</v>
      </c>
      <c r="L47" s="9">
        <v>8.3344186046511624</v>
      </c>
      <c r="M47" s="9">
        <v>9.8186301369863003</v>
      </c>
      <c r="N47" s="9">
        <v>0.49226304939041449</v>
      </c>
    </row>
    <row r="48" spans="1:14" x14ac:dyDescent="0.25">
      <c r="A48" s="3" t="s">
        <v>3225</v>
      </c>
      <c r="B48" s="3" t="s">
        <v>142</v>
      </c>
      <c r="C48" s="3" t="s">
        <v>3206</v>
      </c>
      <c r="D48" s="13">
        <v>20</v>
      </c>
      <c r="E48" s="14">
        <v>371.57</v>
      </c>
      <c r="F48" s="14">
        <v>371.57</v>
      </c>
      <c r="G48" s="14">
        <v>371.57</v>
      </c>
      <c r="H48" s="11">
        <v>1.679398148148148E-3</v>
      </c>
      <c r="I48" s="11">
        <v>1.5740740740740741E-3</v>
      </c>
      <c r="J48" s="11">
        <v>2.1064814814814809E-3</v>
      </c>
      <c r="K48" s="9">
        <v>9.294032028851511</v>
      </c>
      <c r="L48" s="9">
        <v>7.349736263736264</v>
      </c>
      <c r="M48" s="9">
        <v>9.8356764705882345</v>
      </c>
      <c r="N48" s="9">
        <v>0.77205943683184231</v>
      </c>
    </row>
    <row r="49" spans="1:14" x14ac:dyDescent="0.25">
      <c r="A49" s="3" t="s">
        <v>3225</v>
      </c>
      <c r="B49" s="3" t="s">
        <v>142</v>
      </c>
      <c r="C49" s="3" t="s">
        <v>3198</v>
      </c>
      <c r="D49" s="13">
        <v>22</v>
      </c>
      <c r="E49" s="14">
        <v>344.04</v>
      </c>
      <c r="F49" s="14">
        <v>344.04</v>
      </c>
      <c r="G49" s="14">
        <v>344.04</v>
      </c>
      <c r="H49" s="11">
        <v>1.6251052188552191E-3</v>
      </c>
      <c r="I49" s="11">
        <v>1.458333333333333E-3</v>
      </c>
      <c r="J49" s="11">
        <v>2.5000000000000001E-3</v>
      </c>
      <c r="K49" s="9">
        <v>9.0091001556118631</v>
      </c>
      <c r="L49" s="9">
        <v>5.734</v>
      </c>
      <c r="M49" s="9">
        <v>9.8297142857142852</v>
      </c>
      <c r="N49" s="9">
        <v>1.1288883890109089</v>
      </c>
    </row>
    <row r="50" spans="1:14" x14ac:dyDescent="0.25">
      <c r="A50" s="3" t="s">
        <v>3225</v>
      </c>
      <c r="B50" s="3" t="s">
        <v>142</v>
      </c>
      <c r="C50" s="3" t="s">
        <v>3202</v>
      </c>
      <c r="D50" s="13">
        <v>14</v>
      </c>
      <c r="E50" s="14">
        <v>317.52</v>
      </c>
      <c r="F50" s="14">
        <v>317.52</v>
      </c>
      <c r="G50" s="14">
        <v>317.52</v>
      </c>
      <c r="H50" s="11">
        <v>1.515376984126984E-3</v>
      </c>
      <c r="I50" s="11">
        <v>1.3541666666666669E-3</v>
      </c>
      <c r="J50" s="11">
        <v>2.2337962962962958E-3</v>
      </c>
      <c r="K50" s="9">
        <v>8.9101771533835876</v>
      </c>
      <c r="L50" s="9">
        <v>5.9226528497409321</v>
      </c>
      <c r="M50" s="9">
        <v>9.7698461538461547</v>
      </c>
      <c r="N50" s="9">
        <v>1.126983081826983</v>
      </c>
    </row>
    <row r="51" spans="1:14" x14ac:dyDescent="0.25">
      <c r="A51" s="3" t="s">
        <v>3225</v>
      </c>
      <c r="B51" s="3" t="s">
        <v>142</v>
      </c>
      <c r="C51" s="3" t="s">
        <v>3193</v>
      </c>
      <c r="D51" s="13">
        <v>17</v>
      </c>
      <c r="E51" s="14">
        <v>290.60000000000002</v>
      </c>
      <c r="F51" s="14">
        <v>290.60000000000002</v>
      </c>
      <c r="G51" s="14">
        <v>290.60000000000002</v>
      </c>
      <c r="H51" s="11">
        <v>1.4930555555555561E-3</v>
      </c>
      <c r="I51" s="11">
        <v>1.238425925925926E-3</v>
      </c>
      <c r="J51" s="11">
        <v>2.2106481481481482E-3</v>
      </c>
      <c r="K51" s="9">
        <v>8.388624652714828</v>
      </c>
      <c r="L51" s="9">
        <v>5.4772774869109959</v>
      </c>
      <c r="M51" s="9">
        <v>9.7771962616822439</v>
      </c>
      <c r="N51" s="9">
        <v>1.3727465138602559</v>
      </c>
    </row>
    <row r="52" spans="1:14" x14ac:dyDescent="0.25">
      <c r="A52" s="3" t="s">
        <v>3225</v>
      </c>
      <c r="B52" s="3" t="s">
        <v>142</v>
      </c>
      <c r="C52" s="3" t="s">
        <v>3203</v>
      </c>
      <c r="D52" s="13">
        <v>36</v>
      </c>
      <c r="E52" s="14">
        <v>263.08999999999997</v>
      </c>
      <c r="F52" s="14">
        <v>263.08999999999997</v>
      </c>
      <c r="G52" s="14">
        <v>263.08999999999997</v>
      </c>
      <c r="H52" s="11">
        <v>1.234246399176955E-3</v>
      </c>
      <c r="I52" s="11">
        <v>1.1226851851851849E-3</v>
      </c>
      <c r="J52" s="11">
        <v>2.0138888888888888E-3</v>
      </c>
      <c r="K52" s="9">
        <v>9.0014613782860273</v>
      </c>
      <c r="L52" s="9">
        <v>5.4432413793103436</v>
      </c>
      <c r="M52" s="9">
        <v>9.7641649484536082</v>
      </c>
      <c r="N52" s="9">
        <v>0.90971947472916248</v>
      </c>
    </row>
    <row r="53" spans="1:14" x14ac:dyDescent="0.25">
      <c r="A53" s="3" t="s">
        <v>3225</v>
      </c>
      <c r="B53" s="3" t="s">
        <v>142</v>
      </c>
      <c r="C53" s="3" t="s">
        <v>3205</v>
      </c>
      <c r="D53" s="13">
        <v>19</v>
      </c>
      <c r="E53" s="14">
        <v>292.27999999999997</v>
      </c>
      <c r="F53" s="14">
        <v>292.27999999999997</v>
      </c>
      <c r="G53" s="14">
        <v>292.27999999999997</v>
      </c>
      <c r="H53" s="11">
        <v>1.412646198830409E-3</v>
      </c>
      <c r="I53" s="11">
        <v>1.25E-3</v>
      </c>
      <c r="J53" s="11">
        <v>2.0601851851851849E-3</v>
      </c>
      <c r="K53" s="9">
        <v>8.844777690272446</v>
      </c>
      <c r="L53" s="9">
        <v>5.9112808988764041</v>
      </c>
      <c r="M53" s="9">
        <v>9.7426666666666666</v>
      </c>
      <c r="N53" s="9">
        <v>1.244293697258918</v>
      </c>
    </row>
    <row r="54" spans="1:14" x14ac:dyDescent="0.25">
      <c r="A54" s="3" t="s">
        <v>3225</v>
      </c>
      <c r="B54" s="3" t="s">
        <v>142</v>
      </c>
      <c r="C54" s="3" t="s">
        <v>3197</v>
      </c>
      <c r="D54" s="13">
        <v>30</v>
      </c>
      <c r="E54" s="14">
        <v>453.13</v>
      </c>
      <c r="F54" s="14">
        <v>453.13</v>
      </c>
      <c r="G54" s="14">
        <v>453.13</v>
      </c>
      <c r="H54" s="11">
        <v>2.1828703703703702E-3</v>
      </c>
      <c r="I54" s="11">
        <v>1.9212962962962959E-3</v>
      </c>
      <c r="J54" s="11">
        <v>2.8124999999999999E-3</v>
      </c>
      <c r="K54" s="9">
        <v>8.7930191813845298</v>
      </c>
      <c r="L54" s="9">
        <v>6.7130370370370374</v>
      </c>
      <c r="M54" s="9">
        <v>9.8269156626506025</v>
      </c>
      <c r="N54" s="9">
        <v>1.052546557376808</v>
      </c>
    </row>
    <row r="55" spans="1:14" x14ac:dyDescent="0.25">
      <c r="A55" s="3" t="s">
        <v>3225</v>
      </c>
      <c r="B55" s="3" t="s">
        <v>142</v>
      </c>
      <c r="C55" s="3" t="s">
        <v>3194</v>
      </c>
      <c r="D55" s="13">
        <v>17</v>
      </c>
      <c r="E55" s="14">
        <v>453.13</v>
      </c>
      <c r="F55" s="14">
        <v>453.13</v>
      </c>
      <c r="G55" s="14">
        <v>453.13</v>
      </c>
      <c r="H55" s="11">
        <v>1.9648692810457519E-3</v>
      </c>
      <c r="I55" s="11">
        <v>1.9212962962962959E-3</v>
      </c>
      <c r="J55" s="11">
        <v>2.0833333333333329E-3</v>
      </c>
      <c r="K55" s="9">
        <v>9.613653385134846</v>
      </c>
      <c r="L55" s="9">
        <v>9.0625999999999998</v>
      </c>
      <c r="M55" s="9">
        <v>9.8269156626506025</v>
      </c>
      <c r="N55" s="9">
        <v>0.20927761614599311</v>
      </c>
    </row>
    <row r="56" spans="1:14" x14ac:dyDescent="0.25">
      <c r="A56" s="3" t="s">
        <v>3225</v>
      </c>
      <c r="B56" s="3" t="s">
        <v>142</v>
      </c>
      <c r="C56" s="3" t="s">
        <v>3201</v>
      </c>
      <c r="D56" s="13">
        <v>25</v>
      </c>
      <c r="E56" s="14">
        <v>405.22</v>
      </c>
      <c r="F56" s="14">
        <v>405.22</v>
      </c>
      <c r="G56" s="14">
        <v>405.22</v>
      </c>
      <c r="H56" s="11">
        <v>1.773611111111111E-3</v>
      </c>
      <c r="I56" s="11">
        <v>1.724537037037037E-3</v>
      </c>
      <c r="J56" s="11">
        <v>2.2800925925925931E-3</v>
      </c>
      <c r="K56" s="9">
        <v>9.5516998002457516</v>
      </c>
      <c r="L56" s="9">
        <v>7.4050355329949236</v>
      </c>
      <c r="M56" s="9">
        <v>9.7905503355704706</v>
      </c>
      <c r="N56" s="9">
        <v>0.50121993643358587</v>
      </c>
    </row>
    <row r="57" spans="1:14" x14ac:dyDescent="0.25">
      <c r="A57" s="3" t="s">
        <v>3225</v>
      </c>
      <c r="B57" s="3" t="s">
        <v>142</v>
      </c>
      <c r="C57" s="3" t="s">
        <v>3204</v>
      </c>
      <c r="D57" s="13">
        <v>17</v>
      </c>
      <c r="E57" s="14">
        <v>470.92</v>
      </c>
      <c r="F57" s="14">
        <v>470.92</v>
      </c>
      <c r="G57" s="14">
        <v>470.92</v>
      </c>
      <c r="H57" s="11">
        <v>2.0840141612200442E-3</v>
      </c>
      <c r="I57" s="11">
        <v>1.9907407407407408E-3</v>
      </c>
      <c r="J57" s="11">
        <v>2.3726851851851851E-3</v>
      </c>
      <c r="K57" s="9">
        <v>9.4429010241127926</v>
      </c>
      <c r="L57" s="9">
        <v>8.2698146341463428</v>
      </c>
      <c r="M57" s="9">
        <v>9.85646511627907</v>
      </c>
      <c r="N57" s="9">
        <v>0.49041152622006051</v>
      </c>
    </row>
    <row r="58" spans="1:14" x14ac:dyDescent="0.25">
      <c r="A58" s="3" t="s">
        <v>3225</v>
      </c>
      <c r="B58" s="3" t="s">
        <v>142</v>
      </c>
      <c r="C58" s="3" t="s">
        <v>3199</v>
      </c>
      <c r="D58" s="13">
        <v>33</v>
      </c>
      <c r="E58" s="14">
        <v>443.59</v>
      </c>
      <c r="F58" s="14">
        <v>443.59</v>
      </c>
      <c r="G58" s="14">
        <v>443.59</v>
      </c>
      <c r="H58" s="11">
        <v>2.0145903479236809E-3</v>
      </c>
      <c r="I58" s="11">
        <v>1.8749999999999999E-3</v>
      </c>
      <c r="J58" s="11">
        <v>3.0555555555555561E-3</v>
      </c>
      <c r="K58" s="9">
        <v>9.2797372943215155</v>
      </c>
      <c r="L58" s="9">
        <v>6.0489545454545457</v>
      </c>
      <c r="M58" s="9">
        <v>9.8575555555555567</v>
      </c>
      <c r="N58" s="9">
        <v>0.88182432140201794</v>
      </c>
    </row>
    <row r="59" spans="1:14" x14ac:dyDescent="0.25">
      <c r="A59" s="3" t="s">
        <v>3225</v>
      </c>
      <c r="B59" s="3" t="s">
        <v>142</v>
      </c>
      <c r="C59" s="3" t="s">
        <v>3196</v>
      </c>
      <c r="D59" s="13">
        <v>30</v>
      </c>
      <c r="E59" s="14">
        <v>443.59</v>
      </c>
      <c r="F59" s="14">
        <v>443.59</v>
      </c>
      <c r="G59" s="14">
        <v>443.59</v>
      </c>
      <c r="H59" s="11">
        <v>2.0459104938271612E-3</v>
      </c>
      <c r="I59" s="11">
        <v>1.8749999999999999E-3</v>
      </c>
      <c r="J59" s="11">
        <v>2.5694444444444449E-3</v>
      </c>
      <c r="K59" s="9">
        <v>9.0876894407559643</v>
      </c>
      <c r="L59" s="9">
        <v>7.1933513513513514</v>
      </c>
      <c r="M59" s="9">
        <v>9.8575555555555567</v>
      </c>
      <c r="N59" s="9">
        <v>0.66748696690388853</v>
      </c>
    </row>
    <row r="60" spans="1:14" x14ac:dyDescent="0.25">
      <c r="A60" s="3" t="s">
        <v>3225</v>
      </c>
      <c r="B60" s="3" t="s">
        <v>164</v>
      </c>
      <c r="C60" s="3" t="s">
        <v>3195</v>
      </c>
      <c r="D60" s="13">
        <v>2</v>
      </c>
      <c r="E60" s="14">
        <v>490.32000000000011</v>
      </c>
      <c r="F60" s="14">
        <v>490.32000000000011</v>
      </c>
      <c r="G60" s="14">
        <v>490.32000000000011</v>
      </c>
      <c r="H60" s="11">
        <v>2.1875000000000002E-3</v>
      </c>
      <c r="I60" s="11">
        <v>2.1875000000000002E-3</v>
      </c>
      <c r="J60" s="11">
        <v>2.1875000000000002E-3</v>
      </c>
      <c r="K60" s="9">
        <v>9.3394285714285736</v>
      </c>
      <c r="L60" s="9">
        <v>9.3394285714285736</v>
      </c>
      <c r="M60" s="9">
        <v>9.3394285714285736</v>
      </c>
      <c r="N60" s="9">
        <v>0</v>
      </c>
    </row>
    <row r="61" spans="1:14" x14ac:dyDescent="0.25">
      <c r="A61" s="3" t="s">
        <v>3225</v>
      </c>
      <c r="B61" s="3" t="s">
        <v>164</v>
      </c>
      <c r="C61" s="3" t="s">
        <v>3200</v>
      </c>
      <c r="D61" s="13">
        <v>1</v>
      </c>
      <c r="E61" s="14">
        <v>489.92</v>
      </c>
      <c r="F61" s="14">
        <v>489.92</v>
      </c>
      <c r="G61" s="14">
        <v>489.92</v>
      </c>
      <c r="H61" s="11">
        <v>2.0833333333333329E-3</v>
      </c>
      <c r="I61" s="11">
        <v>2.0833333333333329E-3</v>
      </c>
      <c r="J61" s="11">
        <v>2.0833333333333329E-3</v>
      </c>
      <c r="K61" s="9">
        <v>9.7984000000000009</v>
      </c>
      <c r="L61" s="9">
        <v>9.7984000000000009</v>
      </c>
      <c r="M61" s="9">
        <v>9.7984000000000009</v>
      </c>
      <c r="N61" s="9">
        <v>0</v>
      </c>
    </row>
    <row r="62" spans="1:14" x14ac:dyDescent="0.25">
      <c r="A62" s="3" t="s">
        <v>3225</v>
      </c>
      <c r="B62" s="3" t="s">
        <v>164</v>
      </c>
      <c r="C62" s="3" t="s">
        <v>3206</v>
      </c>
      <c r="D62" s="13">
        <v>2</v>
      </c>
      <c r="E62" s="14">
        <v>463.29</v>
      </c>
      <c r="F62" s="14">
        <v>463.29</v>
      </c>
      <c r="G62" s="14">
        <v>463.29</v>
      </c>
      <c r="H62" s="11">
        <v>2.0543981481481481E-3</v>
      </c>
      <c r="I62" s="11">
        <v>2.0254629629629629E-3</v>
      </c>
      <c r="J62" s="11">
        <v>2.0833333333333329E-3</v>
      </c>
      <c r="K62" s="9">
        <v>9.3981685714285721</v>
      </c>
      <c r="L62" s="9">
        <v>9.2658000000000005</v>
      </c>
      <c r="M62" s="9">
        <v>9.5305371428571437</v>
      </c>
      <c r="N62" s="9">
        <v>0.13236857142857161</v>
      </c>
    </row>
    <row r="63" spans="1:14" x14ac:dyDescent="0.25">
      <c r="A63" s="3" t="s">
        <v>3225</v>
      </c>
      <c r="B63" s="3" t="s">
        <v>164</v>
      </c>
      <c r="C63" s="3" t="s">
        <v>3198</v>
      </c>
      <c r="D63" s="13">
        <v>1</v>
      </c>
      <c r="E63" s="14">
        <v>435.76</v>
      </c>
      <c r="F63" s="14">
        <v>435.76</v>
      </c>
      <c r="G63" s="14">
        <v>435.76</v>
      </c>
      <c r="H63" s="11">
        <v>1.93287037037037E-3</v>
      </c>
      <c r="I63" s="11">
        <v>1.93287037037037E-3</v>
      </c>
      <c r="J63" s="11">
        <v>1.93287037037037E-3</v>
      </c>
      <c r="K63" s="9">
        <v>9.39362874251497</v>
      </c>
      <c r="L63" s="9">
        <v>9.39362874251497</v>
      </c>
      <c r="M63" s="9">
        <v>9.39362874251497</v>
      </c>
      <c r="N63" s="9">
        <v>0</v>
      </c>
    </row>
    <row r="64" spans="1:14" x14ac:dyDescent="0.25">
      <c r="A64" s="3" t="s">
        <v>3225</v>
      </c>
      <c r="B64" s="3" t="s">
        <v>164</v>
      </c>
      <c r="C64" s="3" t="s">
        <v>3202</v>
      </c>
      <c r="D64" s="13">
        <v>1</v>
      </c>
      <c r="E64" s="14">
        <v>409.24</v>
      </c>
      <c r="F64" s="14">
        <v>409.24</v>
      </c>
      <c r="G64" s="14">
        <v>409.24</v>
      </c>
      <c r="H64" s="11">
        <v>1.8171296296296299E-3</v>
      </c>
      <c r="I64" s="11">
        <v>1.8171296296296299E-3</v>
      </c>
      <c r="J64" s="11">
        <v>1.8171296296296299E-3</v>
      </c>
      <c r="K64" s="9">
        <v>9.3838471337579623</v>
      </c>
      <c r="L64" s="9">
        <v>9.3838471337579623</v>
      </c>
      <c r="M64" s="9">
        <v>9.3838471337579623</v>
      </c>
      <c r="N64" s="9">
        <v>0</v>
      </c>
    </row>
    <row r="65" spans="1:14" x14ac:dyDescent="0.25">
      <c r="A65" s="3" t="s">
        <v>3225</v>
      </c>
      <c r="B65" s="3" t="s">
        <v>164</v>
      </c>
      <c r="C65" s="3" t="s">
        <v>3193</v>
      </c>
      <c r="D65" s="13">
        <v>1</v>
      </c>
      <c r="E65" s="14">
        <v>382.32000000000011</v>
      </c>
      <c r="F65" s="14">
        <v>382.32000000000011</v>
      </c>
      <c r="G65" s="14">
        <v>382.32000000000011</v>
      </c>
      <c r="H65" s="11">
        <v>1.643518518518519E-3</v>
      </c>
      <c r="I65" s="11">
        <v>1.643518518518519E-3</v>
      </c>
      <c r="J65" s="11">
        <v>1.643518518518519E-3</v>
      </c>
      <c r="K65" s="9">
        <v>9.6926197183098601</v>
      </c>
      <c r="L65" s="9">
        <v>9.6926197183098601</v>
      </c>
      <c r="M65" s="9">
        <v>9.6926197183098601</v>
      </c>
      <c r="N65" s="9">
        <v>0</v>
      </c>
    </row>
    <row r="66" spans="1:14" x14ac:dyDescent="0.25">
      <c r="A66" s="3" t="s">
        <v>3225</v>
      </c>
      <c r="B66" s="3" t="s">
        <v>164</v>
      </c>
      <c r="C66" s="3" t="s">
        <v>3203</v>
      </c>
      <c r="D66" s="13">
        <v>5</v>
      </c>
      <c r="E66" s="14">
        <v>354.81</v>
      </c>
      <c r="F66" s="14">
        <v>354.81</v>
      </c>
      <c r="G66" s="14">
        <v>354.81</v>
      </c>
      <c r="H66" s="11">
        <v>1.5578703703703701E-3</v>
      </c>
      <c r="I66" s="11">
        <v>1.5162037037037041E-3</v>
      </c>
      <c r="J66" s="11">
        <v>1.6203703703703701E-3</v>
      </c>
      <c r="K66" s="9">
        <v>9.4960753511304254</v>
      </c>
      <c r="L66" s="9">
        <v>9.1236857142857151</v>
      </c>
      <c r="M66" s="9">
        <v>9.7505038167938931</v>
      </c>
      <c r="N66" s="9">
        <v>0.2446378701031314</v>
      </c>
    </row>
    <row r="67" spans="1:14" x14ac:dyDescent="0.25">
      <c r="A67" s="3" t="s">
        <v>3225</v>
      </c>
      <c r="B67" s="3" t="s">
        <v>164</v>
      </c>
      <c r="C67" s="3" t="s">
        <v>3205</v>
      </c>
      <c r="D67" s="13">
        <v>1</v>
      </c>
      <c r="E67" s="14">
        <v>384</v>
      </c>
      <c r="F67" s="14">
        <v>384</v>
      </c>
      <c r="G67" s="14">
        <v>384</v>
      </c>
      <c r="H67" s="11">
        <v>1.643518518518519E-3</v>
      </c>
      <c r="I67" s="11">
        <v>1.643518518518519E-3</v>
      </c>
      <c r="J67" s="11">
        <v>1.643518518518519E-3</v>
      </c>
      <c r="K67" s="9">
        <v>9.7352112676056333</v>
      </c>
      <c r="L67" s="9">
        <v>9.7352112676056333</v>
      </c>
      <c r="M67" s="9">
        <v>9.7352112676056333</v>
      </c>
      <c r="N67" s="9">
        <v>0</v>
      </c>
    </row>
    <row r="68" spans="1:14" x14ac:dyDescent="0.25">
      <c r="A68" s="3" t="s">
        <v>3225</v>
      </c>
      <c r="B68" s="3" t="s">
        <v>164</v>
      </c>
      <c r="C68" s="3" t="s">
        <v>3194</v>
      </c>
      <c r="D68" s="13">
        <v>1</v>
      </c>
      <c r="E68" s="14">
        <v>544.85</v>
      </c>
      <c r="F68" s="14">
        <v>544.85</v>
      </c>
      <c r="G68" s="14">
        <v>544.85</v>
      </c>
      <c r="H68" s="11">
        <v>2.418981481481482E-3</v>
      </c>
      <c r="I68" s="11">
        <v>2.418981481481482E-3</v>
      </c>
      <c r="J68" s="11">
        <v>2.418981481481482E-3</v>
      </c>
      <c r="K68" s="9">
        <v>9.3849760765550236</v>
      </c>
      <c r="L68" s="9">
        <v>9.3849760765550236</v>
      </c>
      <c r="M68" s="9">
        <v>9.3849760765550236</v>
      </c>
      <c r="N68" s="9">
        <v>0</v>
      </c>
    </row>
  </sheetData>
  <autoFilter ref="A1:N68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089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2" width="8.140625" customWidth="1"/>
    <col min="3" max="6" width="19" customWidth="1"/>
    <col min="7" max="7" width="8.140625" customWidth="1"/>
    <col min="8" max="10" width="19" customWidth="1"/>
    <col min="11" max="12" width="8.140625" customWidth="1"/>
    <col min="16" max="16" width="20" customWidth="1"/>
    <col min="17" max="17" width="12" customWidth="1"/>
  </cols>
  <sheetData>
    <row r="1" spans="1:17" ht="45" customHeight="1" x14ac:dyDescent="0.25">
      <c r="A1" s="1" t="s">
        <v>3226</v>
      </c>
      <c r="B1" s="1" t="s">
        <v>3227</v>
      </c>
      <c r="C1" s="1" t="s">
        <v>3228</v>
      </c>
      <c r="D1" s="1" t="s">
        <v>3229</v>
      </c>
      <c r="E1" s="1" t="s">
        <v>3230</v>
      </c>
      <c r="F1" s="1" t="s">
        <v>3231</v>
      </c>
      <c r="G1" s="1" t="s">
        <v>3232</v>
      </c>
      <c r="H1" s="1" t="s">
        <v>3233</v>
      </c>
      <c r="I1" s="1" t="s">
        <v>3234</v>
      </c>
      <c r="J1" s="1" t="s">
        <v>3235</v>
      </c>
      <c r="K1" s="1" t="s">
        <v>3236</v>
      </c>
      <c r="L1" s="1" t="s">
        <v>3237</v>
      </c>
      <c r="P1" s="5" t="s">
        <v>3238</v>
      </c>
    </row>
    <row r="2" spans="1:17" x14ac:dyDescent="0.25">
      <c r="A2" s="3" t="s">
        <v>483</v>
      </c>
      <c r="B2" s="3" t="s">
        <v>138</v>
      </c>
      <c r="C2" s="10">
        <v>45659.110925925917</v>
      </c>
      <c r="D2" s="10">
        <v>45659.113043981481</v>
      </c>
      <c r="E2" s="10">
        <v>45659.121018518519</v>
      </c>
      <c r="F2" s="10">
        <v>45659.122187499997</v>
      </c>
      <c r="G2" s="3" t="s">
        <v>485</v>
      </c>
      <c r="H2" s="10">
        <v>45660.261053240742</v>
      </c>
      <c r="I2" s="10">
        <v>45660.280532407407</v>
      </c>
      <c r="J2" s="10">
        <v>45660.281238425923</v>
      </c>
      <c r="K2" s="11">
        <f t="shared" ref="K2:K65" si="0">IF(AND(ISNUMBER(D2),ISNUMBER(E2)),(E2-D2),"")</f>
        <v>7.9745370385353453E-3</v>
      </c>
      <c r="L2" s="11">
        <f t="shared" ref="L2:L65" si="1">IF(AND(ISNUMBER(F2),ISNUMBER(I2)),(I2-F2),"")</f>
        <v>1.1583449074096279</v>
      </c>
      <c r="P2" s="6" t="s">
        <v>3239</v>
      </c>
      <c r="Q2" s="8">
        <f>IFERROR(AVERAGE(K2:K1089),0)</f>
        <v>1.9520867374881967E-2</v>
      </c>
    </row>
    <row r="3" spans="1:17" x14ac:dyDescent="0.25">
      <c r="A3" s="3" t="s">
        <v>487</v>
      </c>
      <c r="B3" s="3" t="s">
        <v>138</v>
      </c>
      <c r="C3" s="10">
        <v>45659.110925925917</v>
      </c>
      <c r="D3" s="10">
        <v>45659.113043981481</v>
      </c>
      <c r="E3" s="10">
        <v>45659.122187499997</v>
      </c>
      <c r="F3" s="10">
        <v>45659.123668981483</v>
      </c>
      <c r="G3" s="3" t="s">
        <v>489</v>
      </c>
      <c r="H3" s="10">
        <v>45659.125833333332</v>
      </c>
      <c r="I3" s="10">
        <v>45659.144733796304</v>
      </c>
      <c r="J3" s="10">
        <v>45659.145405092589</v>
      </c>
      <c r="K3" s="11">
        <f t="shared" si="0"/>
        <v>9.1435185167938471E-3</v>
      </c>
      <c r="L3" s="11">
        <f t="shared" si="1"/>
        <v>2.1064814820419997E-2</v>
      </c>
      <c r="P3" s="6" t="s">
        <v>3240</v>
      </c>
      <c r="Q3" s="8">
        <f>IFERROR(MEDIAN(K2:K1089),0)</f>
        <v>1.9548611107893521E-2</v>
      </c>
    </row>
    <row r="4" spans="1:17" x14ac:dyDescent="0.25">
      <c r="A4" s="3" t="s">
        <v>491</v>
      </c>
      <c r="B4" s="3" t="s">
        <v>138</v>
      </c>
      <c r="C4" s="10">
        <v>45659.110925925917</v>
      </c>
      <c r="D4" s="10">
        <v>45659.113043981481</v>
      </c>
      <c r="E4" s="10">
        <v>45659.123668981483</v>
      </c>
      <c r="F4" s="10">
        <v>45659.125717592593</v>
      </c>
      <c r="G4" s="3" t="s">
        <v>493</v>
      </c>
      <c r="H4" s="10">
        <v>45659.640532407408</v>
      </c>
      <c r="I4" s="10">
        <v>45659.704606481479</v>
      </c>
      <c r="J4" s="10">
        <v>45659.705833333333</v>
      </c>
      <c r="K4" s="11">
        <f t="shared" si="0"/>
        <v>1.0625000002619345E-2</v>
      </c>
      <c r="L4" s="11">
        <f t="shared" si="1"/>
        <v>0.57888888888555812</v>
      </c>
      <c r="P4" s="6" t="s">
        <v>3241</v>
      </c>
      <c r="Q4" s="8">
        <f>IFERROR(MIN(K2:K1089),0)</f>
        <v>3.7615740657201968E-3</v>
      </c>
    </row>
    <row r="5" spans="1:17" x14ac:dyDescent="0.25">
      <c r="A5" s="3" t="s">
        <v>495</v>
      </c>
      <c r="B5" s="3" t="s">
        <v>138</v>
      </c>
      <c r="C5" s="10">
        <v>45659.110925925917</v>
      </c>
      <c r="D5" s="10">
        <v>45659.113043981481</v>
      </c>
      <c r="E5" s="10">
        <v>45659.125717592593</v>
      </c>
      <c r="F5" s="10">
        <v>45659.12777777778</v>
      </c>
      <c r="G5" s="3" t="s">
        <v>497</v>
      </c>
      <c r="H5" s="10">
        <v>45660.270891203712</v>
      </c>
      <c r="I5" s="10">
        <v>45660.312858796293</v>
      </c>
      <c r="J5" s="10">
        <v>45660.313831018517</v>
      </c>
      <c r="K5" s="11">
        <f t="shared" si="0"/>
        <v>1.2673611112404615E-2</v>
      </c>
      <c r="L5" s="11">
        <f t="shared" si="1"/>
        <v>1.1850810185133014</v>
      </c>
      <c r="P5" s="6" t="s">
        <v>3242</v>
      </c>
      <c r="Q5" s="8">
        <f>IFERROR(MAX(K2:K1089),0)</f>
        <v>4.8506944440305233E-2</v>
      </c>
    </row>
    <row r="6" spans="1:17" x14ac:dyDescent="0.25">
      <c r="A6" s="3" t="s">
        <v>499</v>
      </c>
      <c r="B6" s="3" t="s">
        <v>140</v>
      </c>
      <c r="C6" s="10">
        <v>45659.269212962958</v>
      </c>
      <c r="D6" s="10">
        <v>45659.271226851852</v>
      </c>
      <c r="E6" s="10">
        <v>45659.276192129633</v>
      </c>
      <c r="F6" s="10">
        <v>45659.277858796297</v>
      </c>
      <c r="G6" s="3" t="s">
        <v>501</v>
      </c>
      <c r="H6" s="10">
        <v>45659.28025462963</v>
      </c>
      <c r="I6" s="10">
        <v>45659.3128125</v>
      </c>
      <c r="J6" s="10">
        <v>45659.313668981478</v>
      </c>
      <c r="K6" s="11">
        <f t="shared" si="0"/>
        <v>4.9652777815936133E-3</v>
      </c>
      <c r="L6" s="11">
        <f t="shared" si="1"/>
        <v>3.4953703703649808E-2</v>
      </c>
      <c r="P6" s="6" t="s">
        <v>3243</v>
      </c>
      <c r="Q6" s="8">
        <f>IFERROR(AVERAGE(L2:L1089),0)</f>
        <v>0.95248673107077286</v>
      </c>
    </row>
    <row r="7" spans="1:17" x14ac:dyDescent="0.25">
      <c r="A7" s="3" t="s">
        <v>542</v>
      </c>
      <c r="B7" s="3" t="s">
        <v>143</v>
      </c>
      <c r="C7" s="10">
        <v>45659.306840277779</v>
      </c>
      <c r="D7" s="10">
        <v>45659.308865740742</v>
      </c>
      <c r="E7" s="10">
        <v>45659.313958333332</v>
      </c>
      <c r="F7" s="10">
        <v>45659.316319444442</v>
      </c>
      <c r="G7" s="3" t="s">
        <v>543</v>
      </c>
      <c r="H7" s="10">
        <v>45659.318715277783</v>
      </c>
      <c r="I7" s="10">
        <v>45659.352349537039</v>
      </c>
      <c r="J7" s="10">
        <v>45659.353333333333</v>
      </c>
      <c r="K7" s="11">
        <f t="shared" si="0"/>
        <v>5.0925925897900015E-3</v>
      </c>
      <c r="L7" s="11">
        <f t="shared" si="1"/>
        <v>3.6030092596774921E-2</v>
      </c>
      <c r="P7" s="6" t="s">
        <v>3244</v>
      </c>
      <c r="Q7" s="8">
        <f>IFERROR(MEDIAN(L2:L1089),0)</f>
        <v>0.69514467592671281</v>
      </c>
    </row>
    <row r="8" spans="1:17" x14ac:dyDescent="0.25">
      <c r="A8" s="3" t="s">
        <v>503</v>
      </c>
      <c r="B8" s="3" t="s">
        <v>141</v>
      </c>
      <c r="C8" s="10">
        <v>45659.29792824074</v>
      </c>
      <c r="D8" s="10">
        <v>45659.300416666672</v>
      </c>
      <c r="E8" s="10">
        <v>45659.319074074083</v>
      </c>
      <c r="F8" s="10">
        <v>45659.320208333331</v>
      </c>
      <c r="G8" s="3" t="s">
        <v>485</v>
      </c>
      <c r="H8" s="10">
        <v>45660.261053240742</v>
      </c>
      <c r="I8" s="10">
        <v>45660.280532407407</v>
      </c>
      <c r="J8" s="10">
        <v>45660.281238425923</v>
      </c>
      <c r="K8" s="11">
        <f t="shared" si="0"/>
        <v>1.8657407410501037E-2</v>
      </c>
      <c r="L8" s="11">
        <f t="shared" si="1"/>
        <v>0.96032407407619758</v>
      </c>
      <c r="P8" s="6" t="s">
        <v>3245</v>
      </c>
      <c r="Q8" s="8">
        <f>IFERROR(MIN(L2:L1089),0)</f>
        <v>2.0717592597065959E-2</v>
      </c>
    </row>
    <row r="9" spans="1:17" x14ac:dyDescent="0.25">
      <c r="A9" s="3" t="s">
        <v>505</v>
      </c>
      <c r="B9" s="3" t="s">
        <v>141</v>
      </c>
      <c r="C9" s="10">
        <v>45659.29792824074</v>
      </c>
      <c r="D9" s="10">
        <v>45659.300416666672</v>
      </c>
      <c r="E9" s="10">
        <v>45659.320208333331</v>
      </c>
      <c r="F9" s="10">
        <v>45659.322488425933</v>
      </c>
      <c r="G9" s="3" t="s">
        <v>507</v>
      </c>
      <c r="H9" s="10">
        <v>45659.324884259258</v>
      </c>
      <c r="I9" s="10">
        <v>45659.371805555558</v>
      </c>
      <c r="J9" s="10">
        <v>45659.373020833344</v>
      </c>
      <c r="K9" s="11">
        <f t="shared" si="0"/>
        <v>1.9791666658420581E-2</v>
      </c>
      <c r="L9" s="11">
        <f t="shared" si="1"/>
        <v>4.9317129625706002E-2</v>
      </c>
      <c r="P9" s="6" t="s">
        <v>3246</v>
      </c>
      <c r="Q9" s="8">
        <f>IFERROR(MAX(L2:L1089),0)</f>
        <v>6.945138888891961</v>
      </c>
    </row>
    <row r="10" spans="1:17" x14ac:dyDescent="0.25">
      <c r="A10" s="3" t="s">
        <v>509</v>
      </c>
      <c r="B10" s="3" t="s">
        <v>141</v>
      </c>
      <c r="C10" s="10">
        <v>45659.29792824074</v>
      </c>
      <c r="D10" s="10">
        <v>45659.300416666672</v>
      </c>
      <c r="E10" s="10">
        <v>45659.322488425933</v>
      </c>
      <c r="F10" s="10">
        <v>45659.324224537027</v>
      </c>
      <c r="G10" s="3" t="s">
        <v>510</v>
      </c>
      <c r="H10" s="10">
        <v>45659.780763888892</v>
      </c>
      <c r="I10" s="10">
        <v>45659.801898148151</v>
      </c>
      <c r="J10" s="10">
        <v>45659.802673611113</v>
      </c>
      <c r="K10" s="11">
        <f t="shared" si="0"/>
        <v>2.2071759260143153E-2</v>
      </c>
      <c r="L10" s="11">
        <f t="shared" si="1"/>
        <v>0.47767361112346407</v>
      </c>
    </row>
    <row r="11" spans="1:17" x14ac:dyDescent="0.25">
      <c r="A11" s="3" t="s">
        <v>512</v>
      </c>
      <c r="B11" s="3" t="s">
        <v>141</v>
      </c>
      <c r="C11" s="10">
        <v>45659.29792824074</v>
      </c>
      <c r="D11" s="10">
        <v>45659.300416666672</v>
      </c>
      <c r="E11" s="10">
        <v>45659.324224537027</v>
      </c>
      <c r="F11" s="10">
        <v>45659.326099537036</v>
      </c>
      <c r="G11" s="3" t="s">
        <v>493</v>
      </c>
      <c r="H11" s="10">
        <v>45659.640532407408</v>
      </c>
      <c r="I11" s="10">
        <v>45659.704606481479</v>
      </c>
      <c r="J11" s="10">
        <v>45659.705833333333</v>
      </c>
      <c r="K11" s="11">
        <f t="shared" si="0"/>
        <v>2.380787035508547E-2</v>
      </c>
      <c r="L11" s="11">
        <f t="shared" si="1"/>
        <v>0.37850694444205146</v>
      </c>
    </row>
    <row r="12" spans="1:17" x14ac:dyDescent="0.25">
      <c r="A12" s="3" t="s">
        <v>514</v>
      </c>
      <c r="B12" s="3" t="s">
        <v>141</v>
      </c>
      <c r="C12" s="10">
        <v>45659.29792824074</v>
      </c>
      <c r="D12" s="10">
        <v>45659.300416666672</v>
      </c>
      <c r="E12" s="10">
        <v>45659.326099537036</v>
      </c>
      <c r="F12" s="10">
        <v>45659.328217592592</v>
      </c>
      <c r="G12" s="3" t="s">
        <v>516</v>
      </c>
      <c r="H12" s="10">
        <v>45659.397314814807</v>
      </c>
      <c r="I12" s="10">
        <v>45659.437615740739</v>
      </c>
      <c r="J12" s="10">
        <v>45659.438483796293</v>
      </c>
      <c r="K12" s="11">
        <f t="shared" si="0"/>
        <v>2.5682870364107657E-2</v>
      </c>
      <c r="L12" s="11">
        <f t="shared" si="1"/>
        <v>0.10939814814628335</v>
      </c>
    </row>
    <row r="13" spans="1:17" x14ac:dyDescent="0.25">
      <c r="A13" s="3" t="s">
        <v>518</v>
      </c>
      <c r="B13" s="3" t="s">
        <v>141</v>
      </c>
      <c r="C13" s="10">
        <v>45659.29792824074</v>
      </c>
      <c r="D13" s="10">
        <v>45659.300416666672</v>
      </c>
      <c r="E13" s="10">
        <v>45659.328217592592</v>
      </c>
      <c r="F13" s="10">
        <v>45659.329918981479</v>
      </c>
      <c r="G13" s="3" t="s">
        <v>520</v>
      </c>
      <c r="H13" s="10">
        <v>45659.653182870366</v>
      </c>
      <c r="I13" s="10">
        <v>45659.681932870371</v>
      </c>
      <c r="J13" s="10">
        <v>45659.682708333326</v>
      </c>
      <c r="K13" s="11">
        <f t="shared" si="0"/>
        <v>2.7800925920018926E-2</v>
      </c>
      <c r="L13" s="11">
        <f t="shared" si="1"/>
        <v>0.35201388889254304</v>
      </c>
    </row>
    <row r="14" spans="1:17" x14ac:dyDescent="0.25">
      <c r="A14" s="3" t="s">
        <v>522</v>
      </c>
      <c r="B14" s="3" t="s">
        <v>141</v>
      </c>
      <c r="C14" s="10">
        <v>45659.29792824074</v>
      </c>
      <c r="D14" s="10">
        <v>45659.300416666672</v>
      </c>
      <c r="E14" s="10">
        <v>45659.329918981479</v>
      </c>
      <c r="F14" s="10">
        <v>45659.331504629627</v>
      </c>
      <c r="G14" s="3" t="s">
        <v>524</v>
      </c>
      <c r="H14" s="10">
        <v>45660.868831018517</v>
      </c>
      <c r="I14" s="10">
        <v>45660.914722222216</v>
      </c>
      <c r="J14" s="10">
        <v>45660.915590277778</v>
      </c>
      <c r="K14" s="11">
        <f t="shared" si="0"/>
        <v>2.9502314806450158E-2</v>
      </c>
      <c r="L14" s="11">
        <f t="shared" si="1"/>
        <v>1.58321759258979</v>
      </c>
    </row>
    <row r="15" spans="1:17" x14ac:dyDescent="0.25">
      <c r="A15" s="3" t="s">
        <v>526</v>
      </c>
      <c r="B15" s="3" t="s">
        <v>141</v>
      </c>
      <c r="C15" s="10">
        <v>45659.29792824074</v>
      </c>
      <c r="D15" s="10">
        <v>45659.300416666672</v>
      </c>
      <c r="E15" s="10">
        <v>45659.331504629627</v>
      </c>
      <c r="F15" s="10">
        <v>45659.333067129628</v>
      </c>
      <c r="G15" s="3" t="s">
        <v>528</v>
      </c>
      <c r="H15" s="10">
        <v>45659.401678240742</v>
      </c>
      <c r="I15" s="10">
        <v>45659.435243055559</v>
      </c>
      <c r="J15" s="10">
        <v>45659.436030092591</v>
      </c>
      <c r="K15" s="11">
        <f t="shared" si="0"/>
        <v>3.1087962954188697E-2</v>
      </c>
      <c r="L15" s="11">
        <f t="shared" si="1"/>
        <v>0.10217592593107838</v>
      </c>
    </row>
    <row r="16" spans="1:17" x14ac:dyDescent="0.25">
      <c r="A16" s="3" t="s">
        <v>530</v>
      </c>
      <c r="B16" s="3" t="s">
        <v>141</v>
      </c>
      <c r="C16" s="10">
        <v>45659.29792824074</v>
      </c>
      <c r="D16" s="10">
        <v>45659.300416666672</v>
      </c>
      <c r="E16" s="10">
        <v>45659.333067129628</v>
      </c>
      <c r="F16" s="10">
        <v>45659.334803240738</v>
      </c>
      <c r="G16" s="3" t="s">
        <v>510</v>
      </c>
      <c r="H16" s="10">
        <v>45659.780763888892</v>
      </c>
      <c r="I16" s="10">
        <v>45659.801898148151</v>
      </c>
      <c r="J16" s="10">
        <v>45659.802673611113</v>
      </c>
      <c r="K16" s="11">
        <f t="shared" si="0"/>
        <v>3.2650462955643889E-2</v>
      </c>
      <c r="L16" s="11">
        <f t="shared" si="1"/>
        <v>0.46709490741341142</v>
      </c>
    </row>
    <row r="17" spans="1:12" x14ac:dyDescent="0.25">
      <c r="A17" s="3" t="s">
        <v>532</v>
      </c>
      <c r="B17" s="3" t="s">
        <v>141</v>
      </c>
      <c r="C17" s="10">
        <v>45659.29792824074</v>
      </c>
      <c r="D17" s="10">
        <v>45659.300416666672</v>
      </c>
      <c r="E17" s="10">
        <v>45659.334803240738</v>
      </c>
      <c r="F17" s="10">
        <v>45659.336157407408</v>
      </c>
      <c r="G17" s="3" t="s">
        <v>534</v>
      </c>
      <c r="H17" s="10">
        <v>45659.869930555556</v>
      </c>
      <c r="I17" s="10">
        <v>45659.898125</v>
      </c>
      <c r="J17" s="10">
        <v>45659.898969907408</v>
      </c>
      <c r="K17" s="11">
        <f t="shared" si="0"/>
        <v>3.438657406513812E-2</v>
      </c>
      <c r="L17" s="11">
        <f t="shared" si="1"/>
        <v>0.56196759259182727</v>
      </c>
    </row>
    <row r="18" spans="1:12" x14ac:dyDescent="0.25">
      <c r="A18" s="3" t="s">
        <v>536</v>
      </c>
      <c r="B18" s="3" t="s">
        <v>141</v>
      </c>
      <c r="C18" s="10">
        <v>45659.29792824074</v>
      </c>
      <c r="D18" s="10">
        <v>45659.300416666672</v>
      </c>
      <c r="E18" s="10">
        <v>45659.336157407408</v>
      </c>
      <c r="F18" s="10">
        <v>45659.337858796287</v>
      </c>
      <c r="G18" s="3" t="s">
        <v>520</v>
      </c>
      <c r="H18" s="10">
        <v>45659.653182870366</v>
      </c>
      <c r="I18" s="10">
        <v>45659.681932870371</v>
      </c>
      <c r="J18" s="10">
        <v>45659.682708333326</v>
      </c>
      <c r="K18" s="11">
        <f t="shared" si="0"/>
        <v>3.5740740735491272E-2</v>
      </c>
      <c r="L18" s="11">
        <f t="shared" si="1"/>
        <v>0.34407407408434665</v>
      </c>
    </row>
    <row r="19" spans="1:12" x14ac:dyDescent="0.25">
      <c r="A19" s="3" t="s">
        <v>538</v>
      </c>
      <c r="B19" s="3" t="s">
        <v>141</v>
      </c>
      <c r="C19" s="10">
        <v>45659.29792824074</v>
      </c>
      <c r="D19" s="10">
        <v>45659.300416666672</v>
      </c>
      <c r="E19" s="10">
        <v>45659.337858796287</v>
      </c>
      <c r="F19" s="10">
        <v>45659.339131944442</v>
      </c>
      <c r="G19" s="3" t="s">
        <v>540</v>
      </c>
      <c r="H19" s="10">
        <v>45660.667731481481</v>
      </c>
      <c r="I19" s="10">
        <v>45660.689328703702</v>
      </c>
      <c r="J19" s="10">
        <v>45660.690150462957</v>
      </c>
      <c r="K19" s="11">
        <f t="shared" si="0"/>
        <v>3.7442129614646547E-2</v>
      </c>
      <c r="L19" s="11">
        <f t="shared" si="1"/>
        <v>1.3501967592601432</v>
      </c>
    </row>
    <row r="20" spans="1:12" x14ac:dyDescent="0.25">
      <c r="A20" s="3" t="s">
        <v>545</v>
      </c>
      <c r="B20" s="3" t="s">
        <v>144</v>
      </c>
      <c r="C20" s="10">
        <v>45659.33384259259</v>
      </c>
      <c r="D20" s="10">
        <v>45659.336354166669</v>
      </c>
      <c r="E20" s="10">
        <v>45659.343194444453</v>
      </c>
      <c r="F20" s="10">
        <v>45659.345358796287</v>
      </c>
      <c r="G20" s="3" t="s">
        <v>546</v>
      </c>
      <c r="H20" s="10">
        <v>45659.347731481481</v>
      </c>
      <c r="I20" s="10">
        <v>45659.418298611112</v>
      </c>
      <c r="J20" s="10">
        <v>45659.419641203713</v>
      </c>
      <c r="K20" s="11">
        <f t="shared" si="0"/>
        <v>6.8402777833398432E-3</v>
      </c>
      <c r="L20" s="11">
        <f t="shared" si="1"/>
        <v>7.293981482507661E-2</v>
      </c>
    </row>
    <row r="21" spans="1:12" x14ac:dyDescent="0.25">
      <c r="A21" s="3" t="s">
        <v>571</v>
      </c>
      <c r="B21" s="3" t="s">
        <v>146</v>
      </c>
      <c r="C21" s="10">
        <v>45659.375115740739</v>
      </c>
      <c r="D21" s="10">
        <v>45659.376759259263</v>
      </c>
      <c r="E21" s="10">
        <v>45659.382893518523</v>
      </c>
      <c r="F21" s="10">
        <v>45659.384722222218</v>
      </c>
      <c r="G21" s="3" t="s">
        <v>573</v>
      </c>
      <c r="H21" s="10">
        <v>45660.38003472222</v>
      </c>
      <c r="I21" s="10">
        <v>45660.421168981477</v>
      </c>
      <c r="J21" s="10">
        <v>45660.422280092593</v>
      </c>
      <c r="K21" s="11">
        <f t="shared" si="0"/>
        <v>6.1342592598521151E-3</v>
      </c>
      <c r="L21" s="11">
        <f t="shared" si="1"/>
        <v>1.036446759258979</v>
      </c>
    </row>
    <row r="22" spans="1:12" x14ac:dyDescent="0.25">
      <c r="A22" s="3" t="s">
        <v>575</v>
      </c>
      <c r="B22" s="3" t="s">
        <v>146</v>
      </c>
      <c r="C22" s="10">
        <v>45659.375115740739</v>
      </c>
      <c r="D22" s="10">
        <v>45659.376759259263</v>
      </c>
      <c r="E22" s="10">
        <v>45659.384722222218</v>
      </c>
      <c r="F22" s="10">
        <v>45659.38689814815</v>
      </c>
      <c r="G22" s="3" t="s">
        <v>576</v>
      </c>
      <c r="H22" s="10">
        <v>45659.389293981483</v>
      </c>
      <c r="I22" s="10">
        <v>45659.414814814823</v>
      </c>
      <c r="J22" s="10">
        <v>45659.415520833332</v>
      </c>
      <c r="K22" s="11">
        <f t="shared" si="0"/>
        <v>7.9629629544797353E-3</v>
      </c>
      <c r="L22" s="11">
        <f t="shared" si="1"/>
        <v>2.7916666673263535E-2</v>
      </c>
    </row>
    <row r="23" spans="1:12" x14ac:dyDescent="0.25">
      <c r="A23" s="3" t="s">
        <v>548</v>
      </c>
      <c r="B23" s="3" t="s">
        <v>145</v>
      </c>
      <c r="C23" s="10">
        <v>45659.367048611108</v>
      </c>
      <c r="D23" s="10">
        <v>45659.369652777779</v>
      </c>
      <c r="E23" s="10">
        <v>45659.387662037043</v>
      </c>
      <c r="F23" s="10">
        <v>45659.389398148152</v>
      </c>
      <c r="G23" s="3" t="s">
        <v>520</v>
      </c>
      <c r="H23" s="10">
        <v>45659.653182870366</v>
      </c>
      <c r="I23" s="10">
        <v>45659.681932870371</v>
      </c>
      <c r="J23" s="10">
        <v>45659.682708333326</v>
      </c>
      <c r="K23" s="11">
        <f t="shared" si="0"/>
        <v>1.8009259263635613E-2</v>
      </c>
      <c r="L23" s="11">
        <f t="shared" si="1"/>
        <v>0.29253472221898846</v>
      </c>
    </row>
    <row r="24" spans="1:12" x14ac:dyDescent="0.25">
      <c r="A24" s="3" t="s">
        <v>550</v>
      </c>
      <c r="B24" s="3" t="s">
        <v>145</v>
      </c>
      <c r="C24" s="10">
        <v>45659.367048611108</v>
      </c>
      <c r="D24" s="10">
        <v>45659.369652777779</v>
      </c>
      <c r="E24" s="10">
        <v>45659.389398148152</v>
      </c>
      <c r="F24" s="10">
        <v>45659.391018518523</v>
      </c>
      <c r="G24" s="3" t="s">
        <v>524</v>
      </c>
      <c r="H24" s="10">
        <v>45660.868831018517</v>
      </c>
      <c r="I24" s="10">
        <v>45660.914722222216</v>
      </c>
      <c r="J24" s="10">
        <v>45660.915590277778</v>
      </c>
      <c r="K24" s="11">
        <f t="shared" si="0"/>
        <v>1.9745370373129845E-2</v>
      </c>
      <c r="L24" s="11">
        <f t="shared" si="1"/>
        <v>1.5237037036931724</v>
      </c>
    </row>
    <row r="25" spans="1:12" x14ac:dyDescent="0.25">
      <c r="A25" s="3" t="s">
        <v>552</v>
      </c>
      <c r="B25" s="3" t="s">
        <v>145</v>
      </c>
      <c r="C25" s="10">
        <v>45659.367048611108</v>
      </c>
      <c r="D25" s="10">
        <v>45659.369652777779</v>
      </c>
      <c r="E25" s="10">
        <v>45659.391018518523</v>
      </c>
      <c r="F25" s="10">
        <v>45659.393020833333</v>
      </c>
      <c r="G25" s="3" t="s">
        <v>516</v>
      </c>
      <c r="H25" s="10">
        <v>45659.397314814807</v>
      </c>
      <c r="I25" s="10">
        <v>45659.437615740739</v>
      </c>
      <c r="J25" s="10">
        <v>45659.438483796293</v>
      </c>
      <c r="K25" s="11">
        <f t="shared" si="0"/>
        <v>2.1365740743931383E-2</v>
      </c>
      <c r="L25" s="11">
        <f t="shared" si="1"/>
        <v>4.4594907405553386E-2</v>
      </c>
    </row>
    <row r="26" spans="1:12" x14ac:dyDescent="0.25">
      <c r="A26" s="3" t="s">
        <v>554</v>
      </c>
      <c r="B26" s="3" t="s">
        <v>145</v>
      </c>
      <c r="C26" s="10">
        <v>45659.367048611108</v>
      </c>
      <c r="D26" s="10">
        <v>45659.369652777779</v>
      </c>
      <c r="E26" s="10">
        <v>45659.393020833333</v>
      </c>
      <c r="F26" s="10">
        <v>45659.394791666673</v>
      </c>
      <c r="G26" s="3" t="s">
        <v>520</v>
      </c>
      <c r="H26" s="10">
        <v>45659.653182870366</v>
      </c>
      <c r="I26" s="10">
        <v>45659.681932870371</v>
      </c>
      <c r="J26" s="10">
        <v>45659.682708333326</v>
      </c>
      <c r="K26" s="11">
        <f t="shared" si="0"/>
        <v>2.3368055553874001E-2</v>
      </c>
      <c r="L26" s="11">
        <f t="shared" si="1"/>
        <v>0.28714120369841112</v>
      </c>
    </row>
    <row r="27" spans="1:12" x14ac:dyDescent="0.25">
      <c r="A27" s="3" t="s">
        <v>556</v>
      </c>
      <c r="B27" s="3" t="s">
        <v>145</v>
      </c>
      <c r="C27" s="10">
        <v>45659.367048611108</v>
      </c>
      <c r="D27" s="10">
        <v>45659.369652777779</v>
      </c>
      <c r="E27" s="10">
        <v>45659.394791666673</v>
      </c>
      <c r="F27" s="10">
        <v>45659.396377314813</v>
      </c>
      <c r="G27" s="3" t="s">
        <v>528</v>
      </c>
      <c r="H27" s="10">
        <v>45659.401678240742</v>
      </c>
      <c r="I27" s="10">
        <v>45659.435243055559</v>
      </c>
      <c r="J27" s="10">
        <v>45659.436030092591</v>
      </c>
      <c r="K27" s="11">
        <f t="shared" si="0"/>
        <v>2.513888889370719E-2</v>
      </c>
      <c r="L27" s="11">
        <f t="shared" si="1"/>
        <v>3.8865740745677613E-2</v>
      </c>
    </row>
    <row r="28" spans="1:12" x14ac:dyDescent="0.25">
      <c r="A28" s="3" t="s">
        <v>558</v>
      </c>
      <c r="B28" s="3" t="s">
        <v>145</v>
      </c>
      <c r="C28" s="10">
        <v>45659.367048611108</v>
      </c>
      <c r="D28" s="10">
        <v>45659.369652777779</v>
      </c>
      <c r="E28" s="10">
        <v>45659.396377314813</v>
      </c>
      <c r="F28" s="10">
        <v>45659.398275462961</v>
      </c>
      <c r="G28" s="3" t="s">
        <v>493</v>
      </c>
      <c r="H28" s="10">
        <v>45659.640532407408</v>
      </c>
      <c r="I28" s="10">
        <v>45659.704606481479</v>
      </c>
      <c r="J28" s="10">
        <v>45659.705833333333</v>
      </c>
      <c r="K28" s="11">
        <f t="shared" si="0"/>
        <v>2.6724537034169771E-2</v>
      </c>
      <c r="L28" s="11">
        <f t="shared" si="1"/>
        <v>0.30633101851708489</v>
      </c>
    </row>
    <row r="29" spans="1:12" x14ac:dyDescent="0.25">
      <c r="A29" s="3" t="s">
        <v>560</v>
      </c>
      <c r="B29" s="3" t="s">
        <v>145</v>
      </c>
      <c r="C29" s="10">
        <v>45659.367048611108</v>
      </c>
      <c r="D29" s="10">
        <v>45659.369652777779</v>
      </c>
      <c r="E29" s="10">
        <v>45659.398275462961</v>
      </c>
      <c r="F29" s="10">
        <v>45659.399699074071</v>
      </c>
      <c r="G29" s="3" t="s">
        <v>534</v>
      </c>
      <c r="H29" s="10">
        <v>45659.869930555556</v>
      </c>
      <c r="I29" s="10">
        <v>45659.898125</v>
      </c>
      <c r="J29" s="10">
        <v>45659.898969907408</v>
      </c>
      <c r="K29" s="11">
        <f t="shared" si="0"/>
        <v>2.8622685182199348E-2</v>
      </c>
      <c r="L29" s="11">
        <f t="shared" si="1"/>
        <v>0.49842592592904111</v>
      </c>
    </row>
    <row r="30" spans="1:12" x14ac:dyDescent="0.25">
      <c r="A30" s="3" t="s">
        <v>562</v>
      </c>
      <c r="B30" s="3" t="s">
        <v>145</v>
      </c>
      <c r="C30" s="10">
        <v>45659.367048611108</v>
      </c>
      <c r="D30" s="10">
        <v>45659.369652777779</v>
      </c>
      <c r="E30" s="10">
        <v>45659.399699074071</v>
      </c>
      <c r="F30" s="10">
        <v>45659.401666666658</v>
      </c>
      <c r="G30" s="3" t="s">
        <v>564</v>
      </c>
      <c r="H30" s="10">
        <v>45660.328599537039</v>
      </c>
      <c r="I30" s="10">
        <v>45660.362268518518</v>
      </c>
      <c r="J30" s="10">
        <v>45660.363240740742</v>
      </c>
      <c r="K30" s="11">
        <f t="shared" si="0"/>
        <v>3.0046296291402541E-2</v>
      </c>
      <c r="L30" s="11">
        <f t="shared" si="1"/>
        <v>0.96060185186070157</v>
      </c>
    </row>
    <row r="31" spans="1:12" x14ac:dyDescent="0.25">
      <c r="A31" s="3" t="s">
        <v>566</v>
      </c>
      <c r="B31" s="3" t="s">
        <v>145</v>
      </c>
      <c r="C31" s="10">
        <v>45659.367048611108</v>
      </c>
      <c r="D31" s="10">
        <v>45659.369652777779</v>
      </c>
      <c r="E31" s="10">
        <v>45659.401666666658</v>
      </c>
      <c r="F31" s="10">
        <v>45659.403993055559</v>
      </c>
      <c r="G31" s="3" t="s">
        <v>567</v>
      </c>
      <c r="H31" s="10">
        <v>45659.408993055556</v>
      </c>
      <c r="I31" s="10">
        <v>45659.453738425917</v>
      </c>
      <c r="J31" s="10">
        <v>45659.454571759263</v>
      </c>
      <c r="K31" s="11">
        <f t="shared" si="0"/>
        <v>3.201388887828216E-2</v>
      </c>
      <c r="L31" s="11">
        <f t="shared" si="1"/>
        <v>4.9745370357413776E-2</v>
      </c>
    </row>
    <row r="32" spans="1:12" x14ac:dyDescent="0.25">
      <c r="A32" s="3" t="s">
        <v>569</v>
      </c>
      <c r="B32" s="3" t="s">
        <v>145</v>
      </c>
      <c r="C32" s="10">
        <v>45659.367048611108</v>
      </c>
      <c r="D32" s="10">
        <v>45659.369652777779</v>
      </c>
      <c r="E32" s="10">
        <v>45659.403993055559</v>
      </c>
      <c r="F32" s="10">
        <v>45659.406018518523</v>
      </c>
      <c r="G32" s="3" t="s">
        <v>497</v>
      </c>
      <c r="H32" s="10">
        <v>45660.270891203712</v>
      </c>
      <c r="I32" s="10">
        <v>45660.312858796293</v>
      </c>
      <c r="J32" s="10">
        <v>45660.313831018517</v>
      </c>
      <c r="K32" s="11">
        <f t="shared" si="0"/>
        <v>3.4340277779847383E-2</v>
      </c>
      <c r="L32" s="11">
        <f t="shared" si="1"/>
        <v>0.90684027777024312</v>
      </c>
    </row>
    <row r="33" spans="1:12" x14ac:dyDescent="0.25">
      <c r="A33" s="3" t="s">
        <v>578</v>
      </c>
      <c r="B33" s="3" t="s">
        <v>147</v>
      </c>
      <c r="C33" s="10">
        <v>45659.436840277784</v>
      </c>
      <c r="D33" s="10">
        <v>45659.439328703702</v>
      </c>
      <c r="E33" s="10">
        <v>45659.448067129633</v>
      </c>
      <c r="F33" s="10">
        <v>45659.44939814815</v>
      </c>
      <c r="G33" s="3" t="s">
        <v>579</v>
      </c>
      <c r="H33" s="10">
        <v>45659.457048611112</v>
      </c>
      <c r="I33" s="10">
        <v>45659.521666666667</v>
      </c>
      <c r="J33" s="10">
        <v>45659.522939814808</v>
      </c>
      <c r="K33" s="11">
        <f t="shared" si="0"/>
        <v>8.7384259313694201E-3</v>
      </c>
      <c r="L33" s="11">
        <f t="shared" si="1"/>
        <v>7.2268518517375924E-2</v>
      </c>
    </row>
    <row r="34" spans="1:12" x14ac:dyDescent="0.25">
      <c r="A34" s="3" t="s">
        <v>581</v>
      </c>
      <c r="B34" s="3" t="s">
        <v>147</v>
      </c>
      <c r="C34" s="10">
        <v>45659.436840277784</v>
      </c>
      <c r="D34" s="10">
        <v>45659.439328703702</v>
      </c>
      <c r="E34" s="10">
        <v>45659.44939814815</v>
      </c>
      <c r="F34" s="10">
        <v>45659.45113425926</v>
      </c>
      <c r="G34" s="3" t="s">
        <v>573</v>
      </c>
      <c r="H34" s="10">
        <v>45660.38003472222</v>
      </c>
      <c r="I34" s="10">
        <v>45660.421168981477</v>
      </c>
      <c r="J34" s="10">
        <v>45660.422280092593</v>
      </c>
      <c r="K34" s="11">
        <f t="shared" si="0"/>
        <v>1.0069444448163267E-2</v>
      </c>
      <c r="L34" s="11">
        <f t="shared" si="1"/>
        <v>0.9700347222169512</v>
      </c>
    </row>
    <row r="35" spans="1:12" x14ac:dyDescent="0.25">
      <c r="A35" s="3" t="s">
        <v>583</v>
      </c>
      <c r="B35" s="3" t="s">
        <v>147</v>
      </c>
      <c r="C35" s="10">
        <v>45659.436840277784</v>
      </c>
      <c r="D35" s="10">
        <v>45659.439328703702</v>
      </c>
      <c r="E35" s="10">
        <v>45659.45113425926</v>
      </c>
      <c r="F35" s="10">
        <v>45659.453125</v>
      </c>
      <c r="G35" s="3" t="s">
        <v>579</v>
      </c>
      <c r="H35" s="10">
        <v>45659.457048611112</v>
      </c>
      <c r="I35" s="10">
        <v>45659.521666666667</v>
      </c>
      <c r="J35" s="10">
        <v>45659.522939814808</v>
      </c>
      <c r="K35" s="11">
        <f t="shared" si="0"/>
        <v>1.1805555557657499E-2</v>
      </c>
      <c r="L35" s="11">
        <f t="shared" si="1"/>
        <v>6.8541666667442769E-2</v>
      </c>
    </row>
    <row r="36" spans="1:12" x14ac:dyDescent="0.25">
      <c r="A36" s="3" t="s">
        <v>585</v>
      </c>
      <c r="B36" s="3" t="s">
        <v>148</v>
      </c>
      <c r="C36" s="10">
        <v>45659.607175925928</v>
      </c>
      <c r="D36" s="10">
        <v>45659.609432870369</v>
      </c>
      <c r="E36" s="10">
        <v>45659.615428240737</v>
      </c>
      <c r="F36" s="10">
        <v>45659.617337962962</v>
      </c>
      <c r="G36" s="3" t="s">
        <v>586</v>
      </c>
      <c r="H36" s="10">
        <v>45659.619513888887</v>
      </c>
      <c r="I36" s="10">
        <v>45659.670231481483</v>
      </c>
      <c r="J36" s="10">
        <v>45659.671319444453</v>
      </c>
      <c r="K36" s="11">
        <f t="shared" si="0"/>
        <v>5.9953703676001169E-3</v>
      </c>
      <c r="L36" s="11">
        <f t="shared" si="1"/>
        <v>5.2893518521159422E-2</v>
      </c>
    </row>
    <row r="37" spans="1:12" x14ac:dyDescent="0.25">
      <c r="A37" s="3" t="s">
        <v>610</v>
      </c>
      <c r="B37" s="3" t="s">
        <v>150</v>
      </c>
      <c r="C37" s="10">
        <v>45659.626423611109</v>
      </c>
      <c r="D37" s="10">
        <v>45659.628634259258</v>
      </c>
      <c r="E37" s="10">
        <v>45659.634479166663</v>
      </c>
      <c r="F37" s="10">
        <v>45659.636967592603</v>
      </c>
      <c r="G37" s="3" t="s">
        <v>493</v>
      </c>
      <c r="H37" s="10">
        <v>45659.640532407408</v>
      </c>
      <c r="I37" s="10">
        <v>45659.704606481479</v>
      </c>
      <c r="J37" s="10">
        <v>45659.705833333333</v>
      </c>
      <c r="K37" s="11">
        <f t="shared" si="0"/>
        <v>5.8449074058444239E-3</v>
      </c>
      <c r="L37" s="11">
        <f t="shared" si="1"/>
        <v>6.7638888875080738E-2</v>
      </c>
    </row>
    <row r="38" spans="1:12" x14ac:dyDescent="0.25">
      <c r="A38" s="3" t="s">
        <v>588</v>
      </c>
      <c r="B38" s="3" t="s">
        <v>149</v>
      </c>
      <c r="C38" s="10">
        <v>45659.624675925923</v>
      </c>
      <c r="D38" s="10">
        <v>45659.627152777779</v>
      </c>
      <c r="E38" s="10">
        <v>45659.642523148148</v>
      </c>
      <c r="F38" s="10">
        <v>45659.644594907397</v>
      </c>
      <c r="G38" s="3" t="s">
        <v>589</v>
      </c>
      <c r="H38" s="10">
        <v>45659.771319444437</v>
      </c>
      <c r="I38" s="10">
        <v>45659.809652777767</v>
      </c>
      <c r="J38" s="10">
        <v>45659.810694444437</v>
      </c>
      <c r="K38" s="11">
        <f t="shared" si="0"/>
        <v>1.5370370369055308E-2</v>
      </c>
      <c r="L38" s="11">
        <f t="shared" si="1"/>
        <v>0.16505787037021946</v>
      </c>
    </row>
    <row r="39" spans="1:12" x14ac:dyDescent="0.25">
      <c r="A39" s="3" t="s">
        <v>591</v>
      </c>
      <c r="B39" s="3" t="s">
        <v>149</v>
      </c>
      <c r="C39" s="10">
        <v>45659.624675925923</v>
      </c>
      <c r="D39" s="10">
        <v>45659.627152777779</v>
      </c>
      <c r="E39" s="10">
        <v>45659.644594907397</v>
      </c>
      <c r="F39" s="10">
        <v>45659.646469907413</v>
      </c>
      <c r="G39" s="3" t="s">
        <v>592</v>
      </c>
      <c r="H39" s="10">
        <v>45659.775520833333</v>
      </c>
      <c r="I39" s="10">
        <v>45659.810694444437</v>
      </c>
      <c r="J39" s="10">
        <v>45659.811539351853</v>
      </c>
      <c r="K39" s="11">
        <f t="shared" si="0"/>
        <v>1.7442129617847968E-2</v>
      </c>
      <c r="L39" s="11">
        <f t="shared" si="1"/>
        <v>0.16422453702398343</v>
      </c>
    </row>
    <row r="40" spans="1:12" x14ac:dyDescent="0.25">
      <c r="A40" s="3" t="s">
        <v>594</v>
      </c>
      <c r="B40" s="3" t="s">
        <v>149</v>
      </c>
      <c r="C40" s="10">
        <v>45659.624675925923</v>
      </c>
      <c r="D40" s="10">
        <v>45659.627152777779</v>
      </c>
      <c r="E40" s="10">
        <v>45659.646469907413</v>
      </c>
      <c r="F40" s="10">
        <v>45659.647939814808</v>
      </c>
      <c r="G40" s="3" t="s">
        <v>596</v>
      </c>
      <c r="H40" s="10">
        <v>45666.323449074072</v>
      </c>
      <c r="I40" s="10">
        <v>45666.39607638889</v>
      </c>
      <c r="J40" s="10">
        <v>45666.397569444453</v>
      </c>
      <c r="K40" s="11">
        <f t="shared" si="0"/>
        <v>1.9317129634146113E-2</v>
      </c>
      <c r="L40" s="11">
        <f t="shared" si="1"/>
        <v>6.7481365740823094</v>
      </c>
    </row>
    <row r="41" spans="1:12" x14ac:dyDescent="0.25">
      <c r="A41" s="3" t="s">
        <v>598</v>
      </c>
      <c r="B41" s="3" t="s">
        <v>149</v>
      </c>
      <c r="C41" s="10">
        <v>45659.624675925923</v>
      </c>
      <c r="D41" s="10">
        <v>45659.627152777779</v>
      </c>
      <c r="E41" s="10">
        <v>45659.647939814808</v>
      </c>
      <c r="F41" s="10">
        <v>45659.649629629632</v>
      </c>
      <c r="G41" s="3" t="s">
        <v>520</v>
      </c>
      <c r="H41" s="10">
        <v>45659.653182870366</v>
      </c>
      <c r="I41" s="10">
        <v>45659.681932870371</v>
      </c>
      <c r="J41" s="10">
        <v>45659.682708333326</v>
      </c>
      <c r="K41" s="11">
        <f t="shared" si="0"/>
        <v>2.0787037028640043E-2</v>
      </c>
      <c r="L41" s="11">
        <f t="shared" si="1"/>
        <v>3.2303240739565808E-2</v>
      </c>
    </row>
    <row r="42" spans="1:12" x14ac:dyDescent="0.25">
      <c r="A42" s="3" t="s">
        <v>600</v>
      </c>
      <c r="B42" s="3" t="s">
        <v>149</v>
      </c>
      <c r="C42" s="10">
        <v>45659.624675925923</v>
      </c>
      <c r="D42" s="10">
        <v>45659.627152777779</v>
      </c>
      <c r="E42" s="10">
        <v>45659.649629629632</v>
      </c>
      <c r="F42" s="10">
        <v>45659.652083333327</v>
      </c>
      <c r="G42" s="3" t="s">
        <v>601</v>
      </c>
      <c r="H42" s="10">
        <v>45659.65425925926</v>
      </c>
      <c r="I42" s="10">
        <v>45659.716608796298</v>
      </c>
      <c r="J42" s="10">
        <v>45659.717581018522</v>
      </c>
      <c r="K42" s="11">
        <f t="shared" si="0"/>
        <v>2.2476851852843538E-2</v>
      </c>
      <c r="L42" s="11">
        <f t="shared" si="1"/>
        <v>6.452546297077788E-2</v>
      </c>
    </row>
    <row r="43" spans="1:12" x14ac:dyDescent="0.25">
      <c r="A43" s="3" t="s">
        <v>603</v>
      </c>
      <c r="B43" s="3" t="s">
        <v>149</v>
      </c>
      <c r="C43" s="10">
        <v>45659.624675925923</v>
      </c>
      <c r="D43" s="10">
        <v>45659.627152777779</v>
      </c>
      <c r="E43" s="10">
        <v>45659.652083333327</v>
      </c>
      <c r="F43" s="10">
        <v>45659.65347222222</v>
      </c>
      <c r="G43" s="3" t="s">
        <v>534</v>
      </c>
      <c r="H43" s="10">
        <v>45659.869930555556</v>
      </c>
      <c r="I43" s="10">
        <v>45659.898125</v>
      </c>
      <c r="J43" s="10">
        <v>45659.898969907408</v>
      </c>
      <c r="K43" s="11">
        <f t="shared" si="0"/>
        <v>2.4930555548053235E-2</v>
      </c>
      <c r="L43" s="11">
        <f t="shared" si="1"/>
        <v>0.24465277777926531</v>
      </c>
    </row>
    <row r="44" spans="1:12" x14ac:dyDescent="0.25">
      <c r="A44" s="3" t="s">
        <v>605</v>
      </c>
      <c r="B44" s="3" t="s">
        <v>149</v>
      </c>
      <c r="C44" s="10">
        <v>45659.624675925923</v>
      </c>
      <c r="D44" s="10">
        <v>45659.627152777779</v>
      </c>
      <c r="E44" s="10">
        <v>45659.65347222222</v>
      </c>
      <c r="F44" s="10">
        <v>45659.65525462963</v>
      </c>
      <c r="G44" s="3" t="s">
        <v>510</v>
      </c>
      <c r="H44" s="10">
        <v>45659.780763888892</v>
      </c>
      <c r="I44" s="10">
        <v>45659.801898148151</v>
      </c>
      <c r="J44" s="10">
        <v>45659.802673611113</v>
      </c>
      <c r="K44" s="11">
        <f t="shared" si="0"/>
        <v>2.6319444441469386E-2</v>
      </c>
      <c r="L44" s="11">
        <f t="shared" si="1"/>
        <v>0.14664351852115942</v>
      </c>
    </row>
    <row r="45" spans="1:12" x14ac:dyDescent="0.25">
      <c r="A45" s="3" t="s">
        <v>607</v>
      </c>
      <c r="B45" s="3" t="s">
        <v>149</v>
      </c>
      <c r="C45" s="10">
        <v>45659.624675925923</v>
      </c>
      <c r="D45" s="10">
        <v>45659.627152777779</v>
      </c>
      <c r="E45" s="10">
        <v>45659.65525462963</v>
      </c>
      <c r="F45" s="10">
        <v>45659.657384259262</v>
      </c>
      <c r="G45" s="3" t="s">
        <v>608</v>
      </c>
      <c r="H45" s="10">
        <v>45659.660439814812</v>
      </c>
      <c r="I45" s="10">
        <v>45659.703946759262</v>
      </c>
      <c r="J45" s="10">
        <v>45659.704606481479</v>
      </c>
      <c r="K45" s="11">
        <f t="shared" si="0"/>
        <v>2.810185185080627E-2</v>
      </c>
      <c r="L45" s="11">
        <f t="shared" si="1"/>
        <v>4.6562499999708962E-2</v>
      </c>
    </row>
    <row r="46" spans="1:12" x14ac:dyDescent="0.25">
      <c r="A46" s="3" t="s">
        <v>612</v>
      </c>
      <c r="B46" s="3" t="s">
        <v>151</v>
      </c>
      <c r="C46" s="10">
        <v>45659.737210648149</v>
      </c>
      <c r="D46" s="10">
        <v>45659.739710648151</v>
      </c>
      <c r="E46" s="10">
        <v>45659.759236111109</v>
      </c>
      <c r="F46" s="10">
        <v>45659.760370370372</v>
      </c>
      <c r="G46" s="3" t="s">
        <v>485</v>
      </c>
      <c r="H46" s="10">
        <v>45660.261053240742</v>
      </c>
      <c r="I46" s="10">
        <v>45660.280532407407</v>
      </c>
      <c r="J46" s="10">
        <v>45660.281238425923</v>
      </c>
      <c r="K46" s="11">
        <f t="shared" si="0"/>
        <v>1.9525462957972195E-2</v>
      </c>
      <c r="L46" s="11">
        <f t="shared" si="1"/>
        <v>0.52016203703533392</v>
      </c>
    </row>
    <row r="47" spans="1:12" x14ac:dyDescent="0.25">
      <c r="A47" s="3" t="s">
        <v>614</v>
      </c>
      <c r="B47" s="3" t="s">
        <v>151</v>
      </c>
      <c r="C47" s="10">
        <v>45659.737210648149</v>
      </c>
      <c r="D47" s="10">
        <v>45659.739710648151</v>
      </c>
      <c r="E47" s="10">
        <v>45659.760370370372</v>
      </c>
      <c r="F47" s="10">
        <v>45659.762372685182</v>
      </c>
      <c r="G47" s="3" t="s">
        <v>497</v>
      </c>
      <c r="H47" s="10">
        <v>45660.270891203712</v>
      </c>
      <c r="I47" s="10">
        <v>45660.312858796293</v>
      </c>
      <c r="J47" s="10">
        <v>45660.313831018517</v>
      </c>
      <c r="K47" s="11">
        <f t="shared" si="0"/>
        <v>2.0659722220443655E-2</v>
      </c>
      <c r="L47" s="11">
        <f t="shared" si="1"/>
        <v>0.55048611111124046</v>
      </c>
    </row>
    <row r="48" spans="1:12" x14ac:dyDescent="0.25">
      <c r="A48" s="3" t="s">
        <v>616</v>
      </c>
      <c r="B48" s="3" t="s">
        <v>151</v>
      </c>
      <c r="C48" s="10">
        <v>45659.737210648149</v>
      </c>
      <c r="D48" s="10">
        <v>45659.739710648151</v>
      </c>
      <c r="E48" s="10">
        <v>45659.762372685182</v>
      </c>
      <c r="F48" s="10">
        <v>45659.76363425926</v>
      </c>
      <c r="G48" s="3" t="s">
        <v>617</v>
      </c>
      <c r="H48" s="10">
        <v>45659.879965277767</v>
      </c>
      <c r="I48" s="10">
        <v>45659.899351851847</v>
      </c>
      <c r="J48" s="10">
        <v>45659.900023148148</v>
      </c>
      <c r="K48" s="11">
        <f t="shared" si="0"/>
        <v>2.2662037030386273E-2</v>
      </c>
      <c r="L48" s="11">
        <f t="shared" si="1"/>
        <v>0.13571759258775273</v>
      </c>
    </row>
    <row r="49" spans="1:12" x14ac:dyDescent="0.25">
      <c r="A49" s="3" t="s">
        <v>619</v>
      </c>
      <c r="B49" s="3" t="s">
        <v>151</v>
      </c>
      <c r="C49" s="10">
        <v>45659.737210648149</v>
      </c>
      <c r="D49" s="10">
        <v>45659.739710648151</v>
      </c>
      <c r="E49" s="10">
        <v>45659.76363425926</v>
      </c>
      <c r="F49" s="10">
        <v>45659.765208333331</v>
      </c>
      <c r="G49" s="3" t="s">
        <v>524</v>
      </c>
      <c r="H49" s="10">
        <v>45660.868831018517</v>
      </c>
      <c r="I49" s="10">
        <v>45660.914722222216</v>
      </c>
      <c r="J49" s="10">
        <v>45660.915590277778</v>
      </c>
      <c r="K49" s="11">
        <f t="shared" si="0"/>
        <v>2.3923611108330078E-2</v>
      </c>
      <c r="L49" s="11">
        <f t="shared" si="1"/>
        <v>1.1495138888858492</v>
      </c>
    </row>
    <row r="50" spans="1:12" x14ac:dyDescent="0.25">
      <c r="A50" s="3" t="s">
        <v>621</v>
      </c>
      <c r="B50" s="3" t="s">
        <v>151</v>
      </c>
      <c r="C50" s="10">
        <v>45659.737210648149</v>
      </c>
      <c r="D50" s="10">
        <v>45659.739710648151</v>
      </c>
      <c r="E50" s="10">
        <v>45659.765208333331</v>
      </c>
      <c r="F50" s="10">
        <v>45659.767407407409</v>
      </c>
      <c r="G50" s="3" t="s">
        <v>589</v>
      </c>
      <c r="H50" s="10">
        <v>45659.771319444437</v>
      </c>
      <c r="I50" s="10">
        <v>45659.809652777767</v>
      </c>
      <c r="J50" s="10">
        <v>45659.810694444437</v>
      </c>
      <c r="K50" s="11">
        <f t="shared" si="0"/>
        <v>2.5497685179288965E-2</v>
      </c>
      <c r="L50" s="11">
        <f t="shared" si="1"/>
        <v>4.2245370357704815E-2</v>
      </c>
    </row>
    <row r="51" spans="1:12" x14ac:dyDescent="0.25">
      <c r="A51" s="3" t="s">
        <v>623</v>
      </c>
      <c r="B51" s="3" t="s">
        <v>151</v>
      </c>
      <c r="C51" s="10">
        <v>45659.737210648149</v>
      </c>
      <c r="D51" s="10">
        <v>45659.739710648151</v>
      </c>
      <c r="E51" s="10">
        <v>45659.767407407409</v>
      </c>
      <c r="F51" s="10">
        <v>45659.768773148149</v>
      </c>
      <c r="G51" s="3" t="s">
        <v>534</v>
      </c>
      <c r="H51" s="10">
        <v>45659.869930555556</v>
      </c>
      <c r="I51" s="10">
        <v>45659.898125</v>
      </c>
      <c r="J51" s="10">
        <v>45659.898969907408</v>
      </c>
      <c r="K51" s="11">
        <f t="shared" si="0"/>
        <v>2.7696759258105885E-2</v>
      </c>
      <c r="L51" s="11">
        <f t="shared" si="1"/>
        <v>0.12935185185051523</v>
      </c>
    </row>
    <row r="52" spans="1:12" x14ac:dyDescent="0.25">
      <c r="A52" s="3" t="s">
        <v>625</v>
      </c>
      <c r="B52" s="3" t="s">
        <v>151</v>
      </c>
      <c r="C52" s="10">
        <v>45659.737210648149</v>
      </c>
      <c r="D52" s="10">
        <v>45659.739710648151</v>
      </c>
      <c r="E52" s="10">
        <v>45659.768773148149</v>
      </c>
      <c r="F52" s="10">
        <v>45659.770844907413</v>
      </c>
      <c r="G52" s="3" t="s">
        <v>626</v>
      </c>
      <c r="H52" s="10">
        <v>45659.87736111111</v>
      </c>
      <c r="I52" s="10">
        <v>45659.900023148148</v>
      </c>
      <c r="J52" s="10">
        <v>45659.900671296287</v>
      </c>
      <c r="K52" s="11">
        <f t="shared" si="0"/>
        <v>2.9062499997962732E-2</v>
      </c>
      <c r="L52" s="11">
        <f t="shared" si="1"/>
        <v>0.12917824073520023</v>
      </c>
    </row>
    <row r="53" spans="1:12" x14ac:dyDescent="0.25">
      <c r="A53" s="3" t="s">
        <v>628</v>
      </c>
      <c r="B53" s="3" t="s">
        <v>151</v>
      </c>
      <c r="C53" s="10">
        <v>45659.737210648149</v>
      </c>
      <c r="D53" s="10">
        <v>45659.739710648151</v>
      </c>
      <c r="E53" s="10">
        <v>45659.770844907413</v>
      </c>
      <c r="F53" s="10">
        <v>45659.773148148153</v>
      </c>
      <c r="G53" s="3" t="s">
        <v>592</v>
      </c>
      <c r="H53" s="10">
        <v>45659.775520833333</v>
      </c>
      <c r="I53" s="10">
        <v>45659.810694444437</v>
      </c>
      <c r="J53" s="10">
        <v>45659.811539351853</v>
      </c>
      <c r="K53" s="11">
        <f t="shared" si="0"/>
        <v>3.1134259261307307E-2</v>
      </c>
      <c r="L53" s="11">
        <f t="shared" si="1"/>
        <v>3.7546296283835545E-2</v>
      </c>
    </row>
    <row r="54" spans="1:12" x14ac:dyDescent="0.25">
      <c r="A54" s="3" t="s">
        <v>630</v>
      </c>
      <c r="B54" s="3" t="s">
        <v>151</v>
      </c>
      <c r="C54" s="10">
        <v>45659.737210648149</v>
      </c>
      <c r="D54" s="10">
        <v>45659.739710648151</v>
      </c>
      <c r="E54" s="10">
        <v>45659.773148148153</v>
      </c>
      <c r="F54" s="10">
        <v>45659.775127314817</v>
      </c>
      <c r="G54" s="3" t="s">
        <v>564</v>
      </c>
      <c r="H54" s="10">
        <v>45660.328599537039</v>
      </c>
      <c r="I54" s="10">
        <v>45660.362268518518</v>
      </c>
      <c r="J54" s="10">
        <v>45660.363240740742</v>
      </c>
      <c r="K54" s="11">
        <f t="shared" si="0"/>
        <v>3.3437500002037268E-2</v>
      </c>
      <c r="L54" s="11">
        <f t="shared" si="1"/>
        <v>0.5871412037013215</v>
      </c>
    </row>
    <row r="55" spans="1:12" x14ac:dyDescent="0.25">
      <c r="A55" s="3" t="s">
        <v>632</v>
      </c>
      <c r="B55" s="3" t="s">
        <v>151</v>
      </c>
      <c r="C55" s="10">
        <v>45659.737210648149</v>
      </c>
      <c r="D55" s="10">
        <v>45659.739710648151</v>
      </c>
      <c r="E55" s="10">
        <v>45659.775127314817</v>
      </c>
      <c r="F55" s="10">
        <v>45659.776863425926</v>
      </c>
      <c r="G55" s="3" t="s">
        <v>510</v>
      </c>
      <c r="H55" s="10">
        <v>45659.780763888892</v>
      </c>
      <c r="I55" s="10">
        <v>45659.801898148151</v>
      </c>
      <c r="J55" s="10">
        <v>45659.802673611113</v>
      </c>
      <c r="K55" s="11">
        <f t="shared" si="0"/>
        <v>3.5416666665696539E-2</v>
      </c>
      <c r="L55" s="11">
        <f t="shared" si="1"/>
        <v>2.5034722224518191E-2</v>
      </c>
    </row>
    <row r="56" spans="1:12" x14ac:dyDescent="0.25">
      <c r="A56" s="3" t="s">
        <v>634</v>
      </c>
      <c r="B56" s="3" t="s">
        <v>151</v>
      </c>
      <c r="C56" s="10">
        <v>45659.737210648149</v>
      </c>
      <c r="D56" s="10">
        <v>45659.739710648151</v>
      </c>
      <c r="E56" s="10">
        <v>45659.776863425926</v>
      </c>
      <c r="F56" s="10">
        <v>45659.778738425928</v>
      </c>
      <c r="G56" s="3" t="s">
        <v>635</v>
      </c>
      <c r="H56" s="10">
        <v>45660.125925925917</v>
      </c>
      <c r="I56" s="10">
        <v>45660.150104166663</v>
      </c>
      <c r="J56" s="10">
        <v>45660.15079861111</v>
      </c>
      <c r="K56" s="11">
        <f t="shared" si="0"/>
        <v>3.7152777775190771E-2</v>
      </c>
      <c r="L56" s="11">
        <f t="shared" si="1"/>
        <v>0.37136574073520023</v>
      </c>
    </row>
    <row r="57" spans="1:12" x14ac:dyDescent="0.25">
      <c r="A57" s="3" t="s">
        <v>637</v>
      </c>
      <c r="B57" s="3" t="s">
        <v>152</v>
      </c>
      <c r="C57" s="10">
        <v>45659.838449074072</v>
      </c>
      <c r="D57" s="10">
        <v>45659.840856481482</v>
      </c>
      <c r="E57" s="10">
        <v>45659.857627314806</v>
      </c>
      <c r="F57" s="10">
        <v>45659.859606481477</v>
      </c>
      <c r="G57" s="3" t="s">
        <v>635</v>
      </c>
      <c r="H57" s="10">
        <v>45660.125925925917</v>
      </c>
      <c r="I57" s="10">
        <v>45660.150104166663</v>
      </c>
      <c r="J57" s="10">
        <v>45660.15079861111</v>
      </c>
      <c r="K57" s="11">
        <f t="shared" si="0"/>
        <v>1.6770833324699197E-2</v>
      </c>
      <c r="L57" s="11">
        <f t="shared" si="1"/>
        <v>0.29049768518598285</v>
      </c>
    </row>
    <row r="58" spans="1:12" x14ac:dyDescent="0.25">
      <c r="A58" s="3" t="s">
        <v>639</v>
      </c>
      <c r="B58" s="3" t="s">
        <v>152</v>
      </c>
      <c r="C58" s="10">
        <v>45659.838449074072</v>
      </c>
      <c r="D58" s="10">
        <v>45659.840856481482</v>
      </c>
      <c r="E58" s="10">
        <v>45659.859606481477</v>
      </c>
      <c r="F58" s="10">
        <v>45659.861643518518</v>
      </c>
      <c r="G58" s="3" t="s">
        <v>497</v>
      </c>
      <c r="H58" s="10">
        <v>45660.270891203712</v>
      </c>
      <c r="I58" s="10">
        <v>45660.312858796293</v>
      </c>
      <c r="J58" s="10">
        <v>45660.313831018517</v>
      </c>
      <c r="K58" s="11">
        <f t="shared" si="0"/>
        <v>1.8749999995634425E-2</v>
      </c>
      <c r="L58" s="11">
        <f t="shared" si="1"/>
        <v>0.45121527777519077</v>
      </c>
    </row>
    <row r="59" spans="1:12" x14ac:dyDescent="0.25">
      <c r="A59" s="3" t="s">
        <v>641</v>
      </c>
      <c r="B59" s="3" t="s">
        <v>152</v>
      </c>
      <c r="C59" s="10">
        <v>45659.838449074072</v>
      </c>
      <c r="D59" s="10">
        <v>45659.840856481482</v>
      </c>
      <c r="E59" s="10">
        <v>45659.861643518518</v>
      </c>
      <c r="F59" s="10">
        <v>45659.863136574073</v>
      </c>
      <c r="G59" s="3" t="s">
        <v>596</v>
      </c>
      <c r="H59" s="10">
        <v>45666.323449074072</v>
      </c>
      <c r="I59" s="10">
        <v>45666.39607638889</v>
      </c>
      <c r="J59" s="10">
        <v>45666.397569444453</v>
      </c>
      <c r="K59" s="11">
        <f t="shared" si="0"/>
        <v>2.0787037035916001E-2</v>
      </c>
      <c r="L59" s="11">
        <f t="shared" si="1"/>
        <v>6.5329398148169275</v>
      </c>
    </row>
    <row r="60" spans="1:12" x14ac:dyDescent="0.25">
      <c r="A60" s="3" t="s">
        <v>643</v>
      </c>
      <c r="B60" s="3" t="s">
        <v>152</v>
      </c>
      <c r="C60" s="10">
        <v>45659.838449074072</v>
      </c>
      <c r="D60" s="10">
        <v>45659.840856481482</v>
      </c>
      <c r="E60" s="10">
        <v>45659.863136574073</v>
      </c>
      <c r="F60" s="10">
        <v>45659.86451388889</v>
      </c>
      <c r="G60" s="3" t="s">
        <v>617</v>
      </c>
      <c r="H60" s="10">
        <v>45659.879965277767</v>
      </c>
      <c r="I60" s="10">
        <v>45659.899351851847</v>
      </c>
      <c r="J60" s="10">
        <v>45659.900023148148</v>
      </c>
      <c r="K60" s="11">
        <f t="shared" si="0"/>
        <v>2.2280092591245193E-2</v>
      </c>
      <c r="L60" s="11">
        <f t="shared" si="1"/>
        <v>3.4837962957681157E-2</v>
      </c>
    </row>
    <row r="61" spans="1:12" x14ac:dyDescent="0.25">
      <c r="A61" s="3" t="s">
        <v>645</v>
      </c>
      <c r="B61" s="3" t="s">
        <v>152</v>
      </c>
      <c r="C61" s="10">
        <v>45659.838449074072</v>
      </c>
      <c r="D61" s="10">
        <v>45659.840856481482</v>
      </c>
      <c r="E61" s="10">
        <v>45659.86451388889</v>
      </c>
      <c r="F61" s="10">
        <v>45659.866006944438</v>
      </c>
      <c r="G61" s="3" t="s">
        <v>534</v>
      </c>
      <c r="H61" s="10">
        <v>45659.869930555556</v>
      </c>
      <c r="I61" s="10">
        <v>45659.898125</v>
      </c>
      <c r="J61" s="10">
        <v>45659.898969907408</v>
      </c>
      <c r="K61" s="11">
        <f t="shared" si="0"/>
        <v>2.3657407407881692E-2</v>
      </c>
      <c r="L61" s="11">
        <f t="shared" si="1"/>
        <v>3.2118055562023073E-2</v>
      </c>
    </row>
    <row r="62" spans="1:12" x14ac:dyDescent="0.25">
      <c r="A62" s="3" t="s">
        <v>647</v>
      </c>
      <c r="B62" s="3" t="s">
        <v>152</v>
      </c>
      <c r="C62" s="10">
        <v>45659.838449074072</v>
      </c>
      <c r="D62" s="10">
        <v>45659.840856481482</v>
      </c>
      <c r="E62" s="10">
        <v>45659.866006944438</v>
      </c>
      <c r="F62" s="10">
        <v>45659.867777777778</v>
      </c>
      <c r="G62" s="3" t="s">
        <v>648</v>
      </c>
      <c r="H62" s="10">
        <v>45660.297083333331</v>
      </c>
      <c r="I62" s="10">
        <v>45660.371377314812</v>
      </c>
      <c r="J62" s="10">
        <v>45660.372743055559</v>
      </c>
      <c r="K62" s="11">
        <f t="shared" si="0"/>
        <v>2.5150462955934927E-2</v>
      </c>
      <c r="L62" s="11">
        <f t="shared" si="1"/>
        <v>0.50359953703446081</v>
      </c>
    </row>
    <row r="63" spans="1:12" x14ac:dyDescent="0.25">
      <c r="A63" s="3" t="s">
        <v>650</v>
      </c>
      <c r="B63" s="3" t="s">
        <v>152</v>
      </c>
      <c r="C63" s="10">
        <v>45659.838449074072</v>
      </c>
      <c r="D63" s="10">
        <v>45659.840856481482</v>
      </c>
      <c r="E63" s="10">
        <v>45659.867777777778</v>
      </c>
      <c r="F63" s="10">
        <v>45659.869814814818</v>
      </c>
      <c r="G63" s="3" t="s">
        <v>651</v>
      </c>
      <c r="H63" s="10">
        <v>45660.275636574072</v>
      </c>
      <c r="I63" s="10">
        <v>45660.31753472222</v>
      </c>
      <c r="J63" s="10">
        <v>45660.318333333344</v>
      </c>
      <c r="K63" s="11">
        <f t="shared" si="0"/>
        <v>2.6921296295768116E-2</v>
      </c>
      <c r="L63" s="11">
        <f t="shared" si="1"/>
        <v>0.447719907402643</v>
      </c>
    </row>
    <row r="64" spans="1:12" x14ac:dyDescent="0.25">
      <c r="A64" s="3" t="s">
        <v>653</v>
      </c>
      <c r="B64" s="3" t="s">
        <v>152</v>
      </c>
      <c r="C64" s="10">
        <v>45659.838449074072</v>
      </c>
      <c r="D64" s="10">
        <v>45659.840856481482</v>
      </c>
      <c r="E64" s="10">
        <v>45659.869814814818</v>
      </c>
      <c r="F64" s="10">
        <v>45659.871539351851</v>
      </c>
      <c r="G64" s="3" t="s">
        <v>655</v>
      </c>
      <c r="H64" s="10">
        <v>45666.779282407413</v>
      </c>
      <c r="I64" s="10">
        <v>45666.816678240742</v>
      </c>
      <c r="J64" s="10">
        <v>45666.817453703698</v>
      </c>
      <c r="K64" s="11">
        <f t="shared" si="0"/>
        <v>2.8958333336049691E-2</v>
      </c>
      <c r="L64" s="11">
        <f t="shared" si="1"/>
        <v>6.945138888891961</v>
      </c>
    </row>
    <row r="65" spans="1:12" x14ac:dyDescent="0.25">
      <c r="A65" s="3" t="s">
        <v>657</v>
      </c>
      <c r="B65" s="3" t="s">
        <v>152</v>
      </c>
      <c r="C65" s="10">
        <v>45659.838449074072</v>
      </c>
      <c r="D65" s="10">
        <v>45659.840856481482</v>
      </c>
      <c r="E65" s="10">
        <v>45659.871539351851</v>
      </c>
      <c r="F65" s="10">
        <v>45659.873460648138</v>
      </c>
      <c r="G65" s="3" t="s">
        <v>626</v>
      </c>
      <c r="H65" s="10">
        <v>45659.87736111111</v>
      </c>
      <c r="I65" s="10">
        <v>45659.900023148148</v>
      </c>
      <c r="J65" s="10">
        <v>45659.900671296287</v>
      </c>
      <c r="K65" s="11">
        <f t="shared" si="0"/>
        <v>3.068287036876427E-2</v>
      </c>
      <c r="L65" s="11">
        <f t="shared" si="1"/>
        <v>2.6562500010186341E-2</v>
      </c>
    </row>
    <row r="66" spans="1:12" x14ac:dyDescent="0.25">
      <c r="A66" s="3" t="s">
        <v>659</v>
      </c>
      <c r="B66" s="3" t="s">
        <v>152</v>
      </c>
      <c r="C66" s="10">
        <v>45659.838449074072</v>
      </c>
      <c r="D66" s="10">
        <v>45659.840856481482</v>
      </c>
      <c r="E66" s="10">
        <v>45659.873460648138</v>
      </c>
      <c r="F66" s="10">
        <v>45659.874756944453</v>
      </c>
      <c r="G66" s="3" t="s">
        <v>540</v>
      </c>
      <c r="H66" s="10">
        <v>45660.667731481481</v>
      </c>
      <c r="I66" s="10">
        <v>45660.689328703702</v>
      </c>
      <c r="J66" s="10">
        <v>45660.690150462957</v>
      </c>
      <c r="K66" s="11">
        <f t="shared" ref="K66:K129" si="2">IF(AND(ISNUMBER(D66),ISNUMBER(E66)),(E66-D66),"")</f>
        <v>3.2604166655801237E-2</v>
      </c>
      <c r="L66" s="11">
        <f t="shared" ref="L66:L129" si="3">IF(AND(ISNUMBER(F66),ISNUMBER(I66)),(I66-F66),"")</f>
        <v>0.81457175924879266</v>
      </c>
    </row>
    <row r="67" spans="1:12" x14ac:dyDescent="0.25">
      <c r="A67" s="3" t="s">
        <v>661</v>
      </c>
      <c r="B67" s="3" t="s">
        <v>152</v>
      </c>
      <c r="C67" s="10">
        <v>45659.838449074072</v>
      </c>
      <c r="D67" s="10">
        <v>45659.840856481482</v>
      </c>
      <c r="E67" s="10">
        <v>45659.874756944453</v>
      </c>
      <c r="F67" s="10">
        <v>45659.87604166667</v>
      </c>
      <c r="G67" s="3" t="s">
        <v>617</v>
      </c>
      <c r="H67" s="10">
        <v>45659.879965277767</v>
      </c>
      <c r="I67" s="10">
        <v>45659.899351851847</v>
      </c>
      <c r="J67" s="10">
        <v>45659.900023148148</v>
      </c>
      <c r="K67" s="11">
        <f t="shared" si="2"/>
        <v>3.3900462971359957E-2</v>
      </c>
      <c r="L67" s="11">
        <f t="shared" si="3"/>
        <v>2.3310185177251697E-2</v>
      </c>
    </row>
    <row r="68" spans="1:12" x14ac:dyDescent="0.25">
      <c r="A68" s="3" t="s">
        <v>663</v>
      </c>
      <c r="B68" s="3" t="s">
        <v>153</v>
      </c>
      <c r="C68" s="10">
        <v>45660.110601851848</v>
      </c>
      <c r="D68" s="10">
        <v>45660.112523148149</v>
      </c>
      <c r="E68" s="10">
        <v>45660.12027777778</v>
      </c>
      <c r="F68" s="10">
        <v>45660.122361111113</v>
      </c>
      <c r="G68" s="3" t="s">
        <v>635</v>
      </c>
      <c r="H68" s="10">
        <v>45660.125925925917</v>
      </c>
      <c r="I68" s="10">
        <v>45660.150104166663</v>
      </c>
      <c r="J68" s="10">
        <v>45660.15079861111</v>
      </c>
      <c r="K68" s="11">
        <f t="shared" si="2"/>
        <v>7.7546296306536533E-3</v>
      </c>
      <c r="L68" s="11">
        <f t="shared" si="3"/>
        <v>2.774305555067258E-2</v>
      </c>
    </row>
    <row r="69" spans="1:12" x14ac:dyDescent="0.25">
      <c r="A69" s="3" t="s">
        <v>665</v>
      </c>
      <c r="B69" s="3" t="s">
        <v>153</v>
      </c>
      <c r="C69" s="10">
        <v>45660.110601851848</v>
      </c>
      <c r="D69" s="10">
        <v>45660.112523148149</v>
      </c>
      <c r="E69" s="10">
        <v>45660.122361111113</v>
      </c>
      <c r="F69" s="10">
        <v>45660.123518518521</v>
      </c>
      <c r="G69" s="3" t="s">
        <v>485</v>
      </c>
      <c r="H69" s="10">
        <v>45660.261053240742</v>
      </c>
      <c r="I69" s="10">
        <v>45660.280532407407</v>
      </c>
      <c r="J69" s="10">
        <v>45660.281238425923</v>
      </c>
      <c r="K69" s="11">
        <f t="shared" si="2"/>
        <v>9.8379629635019228E-3</v>
      </c>
      <c r="L69" s="11">
        <f t="shared" si="3"/>
        <v>0.15701388888555812</v>
      </c>
    </row>
    <row r="70" spans="1:12" x14ac:dyDescent="0.25">
      <c r="A70" s="3" t="s">
        <v>667</v>
      </c>
      <c r="B70" s="3" t="s">
        <v>153</v>
      </c>
      <c r="C70" s="10">
        <v>45660.110601851848</v>
      </c>
      <c r="D70" s="10">
        <v>45660.112523148149</v>
      </c>
      <c r="E70" s="10">
        <v>45660.123518518521</v>
      </c>
      <c r="F70" s="10">
        <v>45660.125277777777</v>
      </c>
      <c r="G70" s="3" t="s">
        <v>648</v>
      </c>
      <c r="H70" s="10">
        <v>45660.297083333331</v>
      </c>
      <c r="I70" s="10">
        <v>45660.371377314812</v>
      </c>
      <c r="J70" s="10">
        <v>45660.372743055559</v>
      </c>
      <c r="K70" s="11">
        <f t="shared" si="2"/>
        <v>1.099537037225673E-2</v>
      </c>
      <c r="L70" s="11">
        <f t="shared" si="3"/>
        <v>0.24609953703475185</v>
      </c>
    </row>
    <row r="71" spans="1:12" x14ac:dyDescent="0.25">
      <c r="A71" s="3" t="s">
        <v>669</v>
      </c>
      <c r="B71" s="3" t="s">
        <v>153</v>
      </c>
      <c r="C71" s="10">
        <v>45660.110601851848</v>
      </c>
      <c r="D71" s="10">
        <v>45660.112523148149</v>
      </c>
      <c r="E71" s="10">
        <v>45660.125277777777</v>
      </c>
      <c r="F71" s="10">
        <v>45660.126446759263</v>
      </c>
      <c r="G71" s="3" t="s">
        <v>485</v>
      </c>
      <c r="H71" s="10">
        <v>45660.261053240742</v>
      </c>
      <c r="I71" s="10">
        <v>45660.280532407407</v>
      </c>
      <c r="J71" s="10">
        <v>45660.281238425923</v>
      </c>
      <c r="K71" s="11">
        <f t="shared" si="2"/>
        <v>1.2754629628034309E-2</v>
      </c>
      <c r="L71" s="11">
        <f t="shared" si="3"/>
        <v>0.15408564814424608</v>
      </c>
    </row>
    <row r="72" spans="1:12" x14ac:dyDescent="0.25">
      <c r="A72" s="3" t="s">
        <v>671</v>
      </c>
      <c r="B72" s="3" t="s">
        <v>154</v>
      </c>
      <c r="C72" s="10">
        <v>45660.190196759257</v>
      </c>
      <c r="D72" s="10">
        <v>45660.192939814813</v>
      </c>
      <c r="E72" s="10">
        <v>45660.200428240743</v>
      </c>
      <c r="F72" s="10">
        <v>45660.202824074076</v>
      </c>
      <c r="G72" s="3" t="s">
        <v>672</v>
      </c>
      <c r="H72" s="10">
        <v>45660.205196759263</v>
      </c>
      <c r="I72" s="10">
        <v>45660.292349537027</v>
      </c>
      <c r="J72" s="10">
        <v>45660.293923611112</v>
      </c>
      <c r="K72" s="11">
        <f t="shared" si="2"/>
        <v>7.4884259302052669E-3</v>
      </c>
      <c r="L72" s="11">
        <f t="shared" si="3"/>
        <v>8.9525462950405199E-2</v>
      </c>
    </row>
    <row r="73" spans="1:12" x14ac:dyDescent="0.25">
      <c r="A73" s="3" t="s">
        <v>674</v>
      </c>
      <c r="B73" s="3" t="s">
        <v>155</v>
      </c>
      <c r="C73" s="10">
        <v>45660.231574074067</v>
      </c>
      <c r="D73" s="10">
        <v>45660.234120370369</v>
      </c>
      <c r="E73" s="10">
        <v>45660.25104166667</v>
      </c>
      <c r="F73" s="10">
        <v>45660.252650462957</v>
      </c>
      <c r="G73" s="3" t="s">
        <v>524</v>
      </c>
      <c r="H73" s="10">
        <v>45660.868831018517</v>
      </c>
      <c r="I73" s="10">
        <v>45660.914722222216</v>
      </c>
      <c r="J73" s="10">
        <v>45660.915590277778</v>
      </c>
      <c r="K73" s="11">
        <f t="shared" si="2"/>
        <v>1.6921296301006805E-2</v>
      </c>
      <c r="L73" s="11">
        <f t="shared" si="3"/>
        <v>0.66207175925956108</v>
      </c>
    </row>
    <row r="74" spans="1:12" x14ac:dyDescent="0.25">
      <c r="A74" s="3" t="s">
        <v>676</v>
      </c>
      <c r="B74" s="3" t="s">
        <v>155</v>
      </c>
      <c r="C74" s="10">
        <v>45660.231574074067</v>
      </c>
      <c r="D74" s="10">
        <v>45660.234120370369</v>
      </c>
      <c r="E74" s="10">
        <v>45660.252650462957</v>
      </c>
      <c r="F74" s="10">
        <v>45660.254571759258</v>
      </c>
      <c r="G74" s="3" t="s">
        <v>677</v>
      </c>
      <c r="H74" s="10">
        <v>45660.273148148153</v>
      </c>
      <c r="I74" s="10">
        <v>45660.307326388887</v>
      </c>
      <c r="J74" s="10">
        <v>45660.308055555557</v>
      </c>
      <c r="K74" s="11">
        <f t="shared" si="2"/>
        <v>1.8530092587752733E-2</v>
      </c>
      <c r="L74" s="11">
        <f t="shared" si="3"/>
        <v>5.2754629628907423E-2</v>
      </c>
    </row>
    <row r="75" spans="1:12" x14ac:dyDescent="0.25">
      <c r="A75" s="3" t="s">
        <v>679</v>
      </c>
      <c r="B75" s="3" t="s">
        <v>155</v>
      </c>
      <c r="C75" s="10">
        <v>45660.231574074067</v>
      </c>
      <c r="D75" s="10">
        <v>45660.234120370369</v>
      </c>
      <c r="E75" s="10">
        <v>45660.254571759258</v>
      </c>
      <c r="F75" s="10">
        <v>45660.256331018521</v>
      </c>
      <c r="G75" s="3" t="s">
        <v>648</v>
      </c>
      <c r="H75" s="10">
        <v>45660.297083333331</v>
      </c>
      <c r="I75" s="10">
        <v>45660.371377314812</v>
      </c>
      <c r="J75" s="10">
        <v>45660.372743055559</v>
      </c>
      <c r="K75" s="11">
        <f t="shared" si="2"/>
        <v>2.0451388889341615E-2</v>
      </c>
      <c r="L75" s="11">
        <f t="shared" si="3"/>
        <v>0.11504629629052943</v>
      </c>
    </row>
    <row r="76" spans="1:12" x14ac:dyDescent="0.25">
      <c r="A76" s="3" t="s">
        <v>681</v>
      </c>
      <c r="B76" s="3" t="s">
        <v>155</v>
      </c>
      <c r="C76" s="10">
        <v>45660.231574074067</v>
      </c>
      <c r="D76" s="10">
        <v>45660.234120370369</v>
      </c>
      <c r="E76" s="10">
        <v>45660.256331018521</v>
      </c>
      <c r="F76" s="10">
        <v>45660.257511574076</v>
      </c>
      <c r="G76" s="3" t="s">
        <v>485</v>
      </c>
      <c r="H76" s="10">
        <v>45660.261053240742</v>
      </c>
      <c r="I76" s="10">
        <v>45660.280532407407</v>
      </c>
      <c r="J76" s="10">
        <v>45660.281238425923</v>
      </c>
      <c r="K76" s="11">
        <f t="shared" si="2"/>
        <v>2.2210648152395152E-2</v>
      </c>
      <c r="L76" s="11">
        <f t="shared" si="3"/>
        <v>2.3020833330519963E-2</v>
      </c>
    </row>
    <row r="77" spans="1:12" x14ac:dyDescent="0.25">
      <c r="A77" s="3" t="s">
        <v>683</v>
      </c>
      <c r="B77" s="3" t="s">
        <v>155</v>
      </c>
      <c r="C77" s="10">
        <v>45660.231574074067</v>
      </c>
      <c r="D77" s="10">
        <v>45660.234120370369</v>
      </c>
      <c r="E77" s="10">
        <v>45660.257511574076</v>
      </c>
      <c r="F77" s="10">
        <v>45660.258900462963</v>
      </c>
      <c r="G77" s="3" t="s">
        <v>684</v>
      </c>
      <c r="H77" s="10">
        <v>45660.918425925927</v>
      </c>
      <c r="I77" s="10">
        <v>45660.938437500001</v>
      </c>
      <c r="J77" s="10">
        <v>45660.93917824074</v>
      </c>
      <c r="K77" s="11">
        <f t="shared" si="2"/>
        <v>2.3391203707433306E-2</v>
      </c>
      <c r="L77" s="11">
        <f t="shared" si="3"/>
        <v>0.67953703703824431</v>
      </c>
    </row>
    <row r="78" spans="1:12" x14ac:dyDescent="0.25">
      <c r="A78" s="3" t="s">
        <v>686</v>
      </c>
      <c r="B78" s="3" t="s">
        <v>155</v>
      </c>
      <c r="C78" s="10">
        <v>45660.231574074067</v>
      </c>
      <c r="D78" s="10">
        <v>45660.234120370369</v>
      </c>
      <c r="E78" s="10">
        <v>45660.258900462963</v>
      </c>
      <c r="F78" s="10">
        <v>45660.260879629634</v>
      </c>
      <c r="G78" s="3" t="s">
        <v>651</v>
      </c>
      <c r="H78" s="10">
        <v>45660.275636574072</v>
      </c>
      <c r="I78" s="10">
        <v>45660.31753472222</v>
      </c>
      <c r="J78" s="10">
        <v>45660.318333333344</v>
      </c>
      <c r="K78" s="11">
        <f t="shared" si="2"/>
        <v>2.4780092593573499E-2</v>
      </c>
      <c r="L78" s="11">
        <f t="shared" si="3"/>
        <v>5.6655092586879618E-2</v>
      </c>
    </row>
    <row r="79" spans="1:12" x14ac:dyDescent="0.25">
      <c r="A79" s="3" t="s">
        <v>688</v>
      </c>
      <c r="B79" s="3" t="s">
        <v>155</v>
      </c>
      <c r="C79" s="10">
        <v>45660.231574074067</v>
      </c>
      <c r="D79" s="10">
        <v>45660.234120370369</v>
      </c>
      <c r="E79" s="10">
        <v>45660.260879629634</v>
      </c>
      <c r="F79" s="10">
        <v>45660.262789351851</v>
      </c>
      <c r="G79" s="3" t="s">
        <v>689</v>
      </c>
      <c r="H79" s="10">
        <v>45660.855752314812</v>
      </c>
      <c r="I79" s="10">
        <v>45660.875763888893</v>
      </c>
      <c r="J79" s="10">
        <v>45660.876400462963</v>
      </c>
      <c r="K79" s="11">
        <f t="shared" si="2"/>
        <v>2.6759259264508728E-2</v>
      </c>
      <c r="L79" s="11">
        <f t="shared" si="3"/>
        <v>0.61297453704173677</v>
      </c>
    </row>
    <row r="80" spans="1:12" x14ac:dyDescent="0.25">
      <c r="A80" s="3" t="s">
        <v>691</v>
      </c>
      <c r="B80" s="3" t="s">
        <v>155</v>
      </c>
      <c r="C80" s="10">
        <v>45660.231574074067</v>
      </c>
      <c r="D80" s="10">
        <v>45660.234120370369</v>
      </c>
      <c r="E80" s="10">
        <v>45660.262789351851</v>
      </c>
      <c r="F80" s="10">
        <v>45660.264699074083</v>
      </c>
      <c r="G80" s="3" t="s">
        <v>677</v>
      </c>
      <c r="H80" s="10">
        <v>45660.273148148153</v>
      </c>
      <c r="I80" s="10">
        <v>45660.307326388887</v>
      </c>
      <c r="J80" s="10">
        <v>45660.308055555557</v>
      </c>
      <c r="K80" s="11">
        <f t="shared" si="2"/>
        <v>2.8668981482042E-2</v>
      </c>
      <c r="L80" s="11">
        <f t="shared" si="3"/>
        <v>4.2627314804121852E-2</v>
      </c>
    </row>
    <row r="81" spans="1:12" x14ac:dyDescent="0.25">
      <c r="A81" s="3" t="s">
        <v>693</v>
      </c>
      <c r="B81" s="3" t="s">
        <v>155</v>
      </c>
      <c r="C81" s="10">
        <v>45660.231574074067</v>
      </c>
      <c r="D81" s="10">
        <v>45660.234120370369</v>
      </c>
      <c r="E81" s="10">
        <v>45660.264699074083</v>
      </c>
      <c r="F81" s="10">
        <v>45660.266979166663</v>
      </c>
      <c r="G81" s="3" t="s">
        <v>497</v>
      </c>
      <c r="H81" s="10">
        <v>45660.270891203712</v>
      </c>
      <c r="I81" s="10">
        <v>45660.312858796293</v>
      </c>
      <c r="J81" s="10">
        <v>45660.313831018517</v>
      </c>
      <c r="K81" s="11">
        <f t="shared" si="2"/>
        <v>3.0578703714127187E-2</v>
      </c>
      <c r="L81" s="11">
        <f t="shared" si="3"/>
        <v>4.5879629629780538E-2</v>
      </c>
    </row>
    <row r="82" spans="1:12" x14ac:dyDescent="0.25">
      <c r="A82" s="3" t="s">
        <v>695</v>
      </c>
      <c r="B82" s="3" t="s">
        <v>155</v>
      </c>
      <c r="C82" s="10">
        <v>45660.231574074067</v>
      </c>
      <c r="D82" s="10">
        <v>45660.234120370369</v>
      </c>
      <c r="E82" s="10">
        <v>45660.266979166663</v>
      </c>
      <c r="F82" s="10">
        <v>45660.269108796303</v>
      </c>
      <c r="G82" s="3" t="s">
        <v>677</v>
      </c>
      <c r="H82" s="10">
        <v>45660.273148148153</v>
      </c>
      <c r="I82" s="10">
        <v>45660.307326388887</v>
      </c>
      <c r="J82" s="10">
        <v>45660.308055555557</v>
      </c>
      <c r="K82" s="11">
        <f t="shared" si="2"/>
        <v>3.2858796294021886E-2</v>
      </c>
      <c r="L82" s="11">
        <f t="shared" si="3"/>
        <v>3.8217592584260274E-2</v>
      </c>
    </row>
    <row r="83" spans="1:12" x14ac:dyDescent="0.25">
      <c r="A83" s="3" t="s">
        <v>697</v>
      </c>
      <c r="B83" s="3" t="s">
        <v>155</v>
      </c>
      <c r="C83" s="10">
        <v>45660.231574074067</v>
      </c>
      <c r="D83" s="10">
        <v>45660.234120370369</v>
      </c>
      <c r="E83" s="10">
        <v>45660.269108796303</v>
      </c>
      <c r="F83" s="10">
        <v>45660.271087962959</v>
      </c>
      <c r="G83" s="3" t="s">
        <v>651</v>
      </c>
      <c r="H83" s="10">
        <v>45660.275636574072</v>
      </c>
      <c r="I83" s="10">
        <v>45660.31753472222</v>
      </c>
      <c r="J83" s="10">
        <v>45660.318333333344</v>
      </c>
      <c r="K83" s="11">
        <f t="shared" si="2"/>
        <v>3.4988425933988765E-2</v>
      </c>
      <c r="L83" s="11">
        <f t="shared" si="3"/>
        <v>4.6446759261016268E-2</v>
      </c>
    </row>
    <row r="84" spans="1:12" x14ac:dyDescent="0.25">
      <c r="A84" s="3" t="s">
        <v>699</v>
      </c>
      <c r="B84" s="3" t="s">
        <v>156</v>
      </c>
      <c r="C84" s="10">
        <v>45660.271898148138</v>
      </c>
      <c r="D84" s="10">
        <v>45660.274178240739</v>
      </c>
      <c r="E84" s="10">
        <v>45660.280127314807</v>
      </c>
      <c r="F84" s="10">
        <v>45660.282523148147</v>
      </c>
      <c r="G84" s="3" t="s">
        <v>648</v>
      </c>
      <c r="H84" s="10">
        <v>45660.297083333331</v>
      </c>
      <c r="I84" s="10">
        <v>45660.371377314812</v>
      </c>
      <c r="J84" s="10">
        <v>45660.372743055559</v>
      </c>
      <c r="K84" s="11">
        <f t="shared" si="2"/>
        <v>5.9490740677574649E-3</v>
      </c>
      <c r="L84" s="11">
        <f t="shared" si="3"/>
        <v>8.8854166664532386E-2</v>
      </c>
    </row>
    <row r="85" spans="1:12" x14ac:dyDescent="0.25">
      <c r="A85" s="3" t="s">
        <v>701</v>
      </c>
      <c r="B85" s="3" t="s">
        <v>157</v>
      </c>
      <c r="C85" s="10">
        <v>45660.301921296297</v>
      </c>
      <c r="D85" s="10">
        <v>45660.304224537038</v>
      </c>
      <c r="E85" s="10">
        <v>45660.316307870373</v>
      </c>
      <c r="F85" s="10">
        <v>45660.31821759259</v>
      </c>
      <c r="G85" s="3" t="s">
        <v>689</v>
      </c>
      <c r="H85" s="10">
        <v>45660.855752314812</v>
      </c>
      <c r="I85" s="10">
        <v>45660.875763888893</v>
      </c>
      <c r="J85" s="10">
        <v>45660.876400462963</v>
      </c>
      <c r="K85" s="11">
        <f t="shared" si="2"/>
        <v>1.2083333334885538E-2</v>
      </c>
      <c r="L85" s="11">
        <f t="shared" si="3"/>
        <v>0.557546296302462</v>
      </c>
    </row>
    <row r="86" spans="1:12" x14ac:dyDescent="0.25">
      <c r="A86" s="3" t="s">
        <v>703</v>
      </c>
      <c r="B86" s="3" t="s">
        <v>157</v>
      </c>
      <c r="C86" s="10">
        <v>45660.301921296297</v>
      </c>
      <c r="D86" s="10">
        <v>45660.304224537038</v>
      </c>
      <c r="E86" s="10">
        <v>45660.31821759259</v>
      </c>
      <c r="F86" s="10">
        <v>45660.319386574083</v>
      </c>
      <c r="G86" s="3" t="s">
        <v>704</v>
      </c>
      <c r="H86" s="10">
        <v>45660.919363425928</v>
      </c>
      <c r="I86" s="10">
        <v>45660.946250000001</v>
      </c>
      <c r="J86" s="10">
        <v>45660.947060185194</v>
      </c>
      <c r="K86" s="11">
        <f t="shared" si="2"/>
        <v>1.3993055552418809E-2</v>
      </c>
      <c r="L86" s="11">
        <f t="shared" si="3"/>
        <v>0.62686342591769062</v>
      </c>
    </row>
    <row r="87" spans="1:12" x14ac:dyDescent="0.25">
      <c r="A87" s="3" t="s">
        <v>706</v>
      </c>
      <c r="B87" s="3" t="s">
        <v>157</v>
      </c>
      <c r="C87" s="10">
        <v>45660.301921296297</v>
      </c>
      <c r="D87" s="10">
        <v>45660.304224537038</v>
      </c>
      <c r="E87" s="10">
        <v>45660.319386574083</v>
      </c>
      <c r="F87" s="10">
        <v>45660.321203703701</v>
      </c>
      <c r="G87" s="3" t="s">
        <v>707</v>
      </c>
      <c r="H87" s="10">
        <v>45664.13721064815</v>
      </c>
      <c r="I87" s="10">
        <v>45664.184490740743</v>
      </c>
      <c r="J87" s="10">
        <v>45664.185648148137</v>
      </c>
      <c r="K87" s="11">
        <f t="shared" si="2"/>
        <v>1.5162037045229226E-2</v>
      </c>
      <c r="L87" s="11">
        <f t="shared" si="3"/>
        <v>3.8632870370420278</v>
      </c>
    </row>
    <row r="88" spans="1:12" x14ac:dyDescent="0.25">
      <c r="A88" s="3" t="s">
        <v>709</v>
      </c>
      <c r="B88" s="3" t="s">
        <v>157</v>
      </c>
      <c r="C88" s="10">
        <v>45660.301921296297</v>
      </c>
      <c r="D88" s="10">
        <v>45660.304224537038</v>
      </c>
      <c r="E88" s="10">
        <v>45660.321203703701</v>
      </c>
      <c r="F88" s="10">
        <v>45660.322500000002</v>
      </c>
      <c r="G88" s="3" t="s">
        <v>710</v>
      </c>
      <c r="H88" s="10">
        <v>45660.859340277777</v>
      </c>
      <c r="I88" s="10">
        <v>45660.893020833333</v>
      </c>
      <c r="J88" s="10">
        <v>45660.893888888888</v>
      </c>
      <c r="K88" s="11">
        <f t="shared" si="2"/>
        <v>1.6979166663077194E-2</v>
      </c>
      <c r="L88" s="11">
        <f t="shared" si="3"/>
        <v>0.57052083333110204</v>
      </c>
    </row>
    <row r="89" spans="1:12" x14ac:dyDescent="0.25">
      <c r="A89" s="3" t="s">
        <v>712</v>
      </c>
      <c r="B89" s="3" t="s">
        <v>157</v>
      </c>
      <c r="C89" s="10">
        <v>45660.301921296297</v>
      </c>
      <c r="D89" s="10">
        <v>45660.304224537038</v>
      </c>
      <c r="E89" s="10">
        <v>45660.322500000002</v>
      </c>
      <c r="F89" s="10">
        <v>45660.32471064815</v>
      </c>
      <c r="G89" s="3" t="s">
        <v>564</v>
      </c>
      <c r="H89" s="10">
        <v>45660.328599537039</v>
      </c>
      <c r="I89" s="10">
        <v>45660.362268518518</v>
      </c>
      <c r="J89" s="10">
        <v>45660.363240740742</v>
      </c>
      <c r="K89" s="11">
        <f t="shared" si="2"/>
        <v>1.8275462964083999E-2</v>
      </c>
      <c r="L89" s="11">
        <f t="shared" si="3"/>
        <v>3.7557870367891155E-2</v>
      </c>
    </row>
    <row r="90" spans="1:12" x14ac:dyDescent="0.25">
      <c r="A90" s="3" t="s">
        <v>714</v>
      </c>
      <c r="B90" s="3" t="s">
        <v>157</v>
      </c>
      <c r="C90" s="10">
        <v>45660.301921296297</v>
      </c>
      <c r="D90" s="10">
        <v>45660.304224537038</v>
      </c>
      <c r="E90" s="10">
        <v>45660.32471064815</v>
      </c>
      <c r="F90" s="10">
        <v>45660.326770833337</v>
      </c>
      <c r="G90" s="3" t="s">
        <v>715</v>
      </c>
      <c r="H90" s="10">
        <v>45660.381921296299</v>
      </c>
      <c r="I90" s="10">
        <v>45660.420127314806</v>
      </c>
      <c r="J90" s="10">
        <v>45660.421168981477</v>
      </c>
      <c r="K90" s="11">
        <f t="shared" si="2"/>
        <v>2.0486111112404615E-2</v>
      </c>
      <c r="L90" s="11">
        <f t="shared" si="3"/>
        <v>9.3356481469527353E-2</v>
      </c>
    </row>
    <row r="91" spans="1:12" x14ac:dyDescent="0.25">
      <c r="A91" s="3" t="s">
        <v>717</v>
      </c>
      <c r="B91" s="3" t="s">
        <v>157</v>
      </c>
      <c r="C91" s="10">
        <v>45660.301921296297</v>
      </c>
      <c r="D91" s="10">
        <v>45660.304224537038</v>
      </c>
      <c r="E91" s="10">
        <v>45660.326770833337</v>
      </c>
      <c r="F91" s="10">
        <v>45660.328379629631</v>
      </c>
      <c r="G91" s="3" t="s">
        <v>524</v>
      </c>
      <c r="H91" s="10">
        <v>45660.868831018517</v>
      </c>
      <c r="I91" s="10">
        <v>45660.914722222216</v>
      </c>
      <c r="J91" s="10">
        <v>45660.915590277778</v>
      </c>
      <c r="K91" s="11">
        <f t="shared" si="2"/>
        <v>2.2546296298969537E-2</v>
      </c>
      <c r="L91" s="11">
        <f t="shared" si="3"/>
        <v>0.58634259258542443</v>
      </c>
    </row>
    <row r="92" spans="1:12" x14ac:dyDescent="0.25">
      <c r="A92" s="3" t="s">
        <v>719</v>
      </c>
      <c r="B92" s="3" t="s">
        <v>158</v>
      </c>
      <c r="C92" s="10">
        <v>45660.310196759259</v>
      </c>
      <c r="D92" s="10">
        <v>45660.311944444453</v>
      </c>
      <c r="E92" s="10">
        <v>45660.329247685193</v>
      </c>
      <c r="F92" s="10">
        <v>45660.331689814811</v>
      </c>
      <c r="G92" s="3" t="s">
        <v>720</v>
      </c>
      <c r="H92" s="10">
        <v>45660.333865740737</v>
      </c>
      <c r="I92" s="10">
        <v>45660.380104166667</v>
      </c>
      <c r="J92" s="10">
        <v>45660.381099537037</v>
      </c>
      <c r="K92" s="11">
        <f t="shared" si="2"/>
        <v>1.7303240740147885E-2</v>
      </c>
      <c r="L92" s="11">
        <f t="shared" si="3"/>
        <v>4.8414351855171844E-2</v>
      </c>
    </row>
    <row r="93" spans="1:12" x14ac:dyDescent="0.25">
      <c r="A93" s="3" t="s">
        <v>722</v>
      </c>
      <c r="B93" s="3" t="s">
        <v>159</v>
      </c>
      <c r="C93" s="10">
        <v>45660.331458333327</v>
      </c>
      <c r="D93" s="10">
        <v>45660.333969907413</v>
      </c>
      <c r="E93" s="10">
        <v>45660.340960648151</v>
      </c>
      <c r="F93" s="10">
        <v>45660.343877314823</v>
      </c>
      <c r="G93" s="3" t="s">
        <v>723</v>
      </c>
      <c r="H93" s="10">
        <v>45660.365474537037</v>
      </c>
      <c r="I93" s="10">
        <v>45660.436030092591</v>
      </c>
      <c r="J93" s="10">
        <v>45660.437442129631</v>
      </c>
      <c r="K93" s="11">
        <f t="shared" si="2"/>
        <v>6.9907407378195785E-3</v>
      </c>
      <c r="L93" s="11">
        <f t="shared" si="3"/>
        <v>9.2152777768205851E-2</v>
      </c>
    </row>
    <row r="94" spans="1:12" x14ac:dyDescent="0.25">
      <c r="A94" s="3" t="s">
        <v>725</v>
      </c>
      <c r="B94" s="3" t="s">
        <v>160</v>
      </c>
      <c r="C94" s="10">
        <v>45660.365208333344</v>
      </c>
      <c r="D94" s="10">
        <v>45660.367442129631</v>
      </c>
      <c r="E94" s="10">
        <v>45660.374120370368</v>
      </c>
      <c r="F94" s="10">
        <v>45660.376111111109</v>
      </c>
      <c r="G94" s="3" t="s">
        <v>573</v>
      </c>
      <c r="H94" s="10">
        <v>45660.38003472222</v>
      </c>
      <c r="I94" s="10">
        <v>45660.421168981477</v>
      </c>
      <c r="J94" s="10">
        <v>45660.422280092593</v>
      </c>
      <c r="K94" s="11">
        <f t="shared" si="2"/>
        <v>6.6782407375285402E-3</v>
      </c>
      <c r="L94" s="11">
        <f t="shared" si="3"/>
        <v>4.5057870367600117E-2</v>
      </c>
    </row>
    <row r="95" spans="1:12" x14ac:dyDescent="0.25">
      <c r="A95" s="3" t="s">
        <v>727</v>
      </c>
      <c r="B95" s="3" t="s">
        <v>160</v>
      </c>
      <c r="C95" s="10">
        <v>45660.365208333344</v>
      </c>
      <c r="D95" s="10">
        <v>45660.367442129631</v>
      </c>
      <c r="E95" s="10">
        <v>45660.376111111109</v>
      </c>
      <c r="F95" s="10">
        <v>45660.378368055557</v>
      </c>
      <c r="G95" s="3" t="s">
        <v>715</v>
      </c>
      <c r="H95" s="10">
        <v>45660.381921296299</v>
      </c>
      <c r="I95" s="10">
        <v>45660.420127314806</v>
      </c>
      <c r="J95" s="10">
        <v>45660.421168981477</v>
      </c>
      <c r="K95" s="11">
        <f t="shared" si="2"/>
        <v>8.6689814779674634E-3</v>
      </c>
      <c r="L95" s="11">
        <f t="shared" si="3"/>
        <v>4.1759259249374736E-2</v>
      </c>
    </row>
    <row r="96" spans="1:12" x14ac:dyDescent="0.25">
      <c r="A96" s="3" t="s">
        <v>729</v>
      </c>
      <c r="B96" s="3" t="s">
        <v>161</v>
      </c>
      <c r="C96" s="10">
        <v>45660.437303240738</v>
      </c>
      <c r="D96" s="10">
        <v>45660.439895833333</v>
      </c>
      <c r="E96" s="10">
        <v>45660.449513888889</v>
      </c>
      <c r="F96" s="10">
        <v>45660.452002314807</v>
      </c>
      <c r="G96" s="3" t="s">
        <v>730</v>
      </c>
      <c r="H96" s="10">
        <v>45660.454398148147</v>
      </c>
      <c r="I96" s="10">
        <v>45660.501493055563</v>
      </c>
      <c r="J96" s="10">
        <v>45660.502511574072</v>
      </c>
      <c r="K96" s="11">
        <f t="shared" si="2"/>
        <v>9.6180555556202307E-3</v>
      </c>
      <c r="L96" s="11">
        <f t="shared" si="3"/>
        <v>4.9490740755572915E-2</v>
      </c>
    </row>
    <row r="97" spans="1:12" x14ac:dyDescent="0.25">
      <c r="A97" s="3" t="s">
        <v>732</v>
      </c>
      <c r="B97" s="3" t="s">
        <v>161</v>
      </c>
      <c r="C97" s="10">
        <v>45660.437303240738</v>
      </c>
      <c r="D97" s="10">
        <v>45660.439895833333</v>
      </c>
      <c r="E97" s="10">
        <v>45660.452002314807</v>
      </c>
      <c r="F97" s="10">
        <v>45660.454039351847</v>
      </c>
      <c r="G97" s="3" t="s">
        <v>733</v>
      </c>
      <c r="H97" s="10">
        <v>45664.365104166667</v>
      </c>
      <c r="I97" s="10">
        <v>45664.437025462961</v>
      </c>
      <c r="J97" s="10">
        <v>45664.437951388893</v>
      </c>
      <c r="K97" s="11">
        <f t="shared" si="2"/>
        <v>1.2106481473892927E-2</v>
      </c>
      <c r="L97" s="11">
        <f t="shared" si="3"/>
        <v>3.9829861111138598</v>
      </c>
    </row>
    <row r="98" spans="1:12" x14ac:dyDescent="0.25">
      <c r="A98" s="3" t="s">
        <v>735</v>
      </c>
      <c r="B98" s="3" t="s">
        <v>161</v>
      </c>
      <c r="C98" s="10">
        <v>45660.437303240738</v>
      </c>
      <c r="D98" s="10">
        <v>45660.439895833333</v>
      </c>
      <c r="E98" s="10">
        <v>45660.454039351847</v>
      </c>
      <c r="F98" s="10">
        <v>45660.456076388888</v>
      </c>
      <c r="G98" s="3" t="s">
        <v>736</v>
      </c>
      <c r="H98" s="10">
        <v>45660.458472222221</v>
      </c>
      <c r="I98" s="10">
        <v>45660.484733796293</v>
      </c>
      <c r="J98" s="10">
        <v>45660.485671296286</v>
      </c>
      <c r="K98" s="11">
        <f t="shared" si="2"/>
        <v>1.4143518514174502E-2</v>
      </c>
      <c r="L98" s="11">
        <f t="shared" si="3"/>
        <v>2.8657407405262347E-2</v>
      </c>
    </row>
    <row r="99" spans="1:12" x14ac:dyDescent="0.25">
      <c r="A99" s="3" t="s">
        <v>738</v>
      </c>
      <c r="B99" s="3" t="s">
        <v>162</v>
      </c>
      <c r="C99" s="10">
        <v>45660.540972222218</v>
      </c>
      <c r="D99" s="10">
        <v>45660.543206018519</v>
      </c>
      <c r="E99" s="10">
        <v>45660.548900462964</v>
      </c>
      <c r="F99" s="10">
        <v>45660.551423611112</v>
      </c>
      <c r="G99" s="3" t="s">
        <v>739</v>
      </c>
      <c r="H99" s="10">
        <v>45660.553784722222</v>
      </c>
      <c r="I99" s="10">
        <v>45660.60292824074</v>
      </c>
      <c r="J99" s="10">
        <v>45660.603958333333</v>
      </c>
      <c r="K99" s="11">
        <f t="shared" si="2"/>
        <v>5.694444444088731E-3</v>
      </c>
      <c r="L99" s="11">
        <f t="shared" si="3"/>
        <v>5.150462962774327E-2</v>
      </c>
    </row>
    <row r="100" spans="1:12" x14ac:dyDescent="0.25">
      <c r="A100" s="3" t="s">
        <v>741</v>
      </c>
      <c r="B100" s="3" t="s">
        <v>163</v>
      </c>
      <c r="C100" s="10">
        <v>45660.596631944441</v>
      </c>
      <c r="D100" s="10">
        <v>45660.597997685189</v>
      </c>
      <c r="E100" s="10">
        <v>45660.602083333331</v>
      </c>
      <c r="F100" s="10">
        <v>45660.604270833333</v>
      </c>
      <c r="G100" s="3" t="s">
        <v>742</v>
      </c>
      <c r="H100" s="10">
        <v>45660.672071759262</v>
      </c>
      <c r="I100" s="10">
        <v>45660.695567129631</v>
      </c>
      <c r="J100" s="10">
        <v>45660.696458333332</v>
      </c>
      <c r="K100" s="11">
        <f t="shared" si="2"/>
        <v>4.0856481427908875E-3</v>
      </c>
      <c r="L100" s="11">
        <f t="shared" si="3"/>
        <v>9.1296296297514345E-2</v>
      </c>
    </row>
    <row r="101" spans="1:12" x14ac:dyDescent="0.25">
      <c r="A101" s="3" t="s">
        <v>744</v>
      </c>
      <c r="B101" s="3" t="s">
        <v>165</v>
      </c>
      <c r="C101" s="10">
        <v>45660.627523148149</v>
      </c>
      <c r="D101" s="10">
        <v>45660.63003472222</v>
      </c>
      <c r="E101" s="10">
        <v>45660.646354166667</v>
      </c>
      <c r="F101" s="10">
        <v>45660.648298611108</v>
      </c>
      <c r="G101" s="3" t="s">
        <v>745</v>
      </c>
      <c r="H101" s="10">
        <v>45660.864085648151</v>
      </c>
      <c r="I101" s="10">
        <v>45660.900983796288</v>
      </c>
      <c r="J101" s="10">
        <v>45660.901932870373</v>
      </c>
      <c r="K101" s="11">
        <f t="shared" si="2"/>
        <v>1.6319444446708076E-2</v>
      </c>
      <c r="L101" s="11">
        <f t="shared" si="3"/>
        <v>0.25268518517987104</v>
      </c>
    </row>
    <row r="102" spans="1:12" x14ac:dyDescent="0.25">
      <c r="A102" s="3" t="s">
        <v>747</v>
      </c>
      <c r="B102" s="3" t="s">
        <v>165</v>
      </c>
      <c r="C102" s="10">
        <v>45660.627523148149</v>
      </c>
      <c r="D102" s="10">
        <v>45660.63003472222</v>
      </c>
      <c r="E102" s="10">
        <v>45660.648298611108</v>
      </c>
      <c r="F102" s="10">
        <v>45660.650555555563</v>
      </c>
      <c r="G102" s="3" t="s">
        <v>748</v>
      </c>
      <c r="H102" s="10">
        <v>45660.652939814812</v>
      </c>
      <c r="I102" s="10">
        <v>45660.682268518518</v>
      </c>
      <c r="J102" s="10">
        <v>45660.68304398148</v>
      </c>
      <c r="K102" s="11">
        <f t="shared" si="2"/>
        <v>1.8263888887304347E-2</v>
      </c>
      <c r="L102" s="11">
        <f t="shared" si="3"/>
        <v>3.1712962954770774E-2</v>
      </c>
    </row>
    <row r="103" spans="1:12" x14ac:dyDescent="0.25">
      <c r="A103" s="3" t="s">
        <v>750</v>
      </c>
      <c r="B103" s="3" t="s">
        <v>165</v>
      </c>
      <c r="C103" s="10">
        <v>45660.627523148149</v>
      </c>
      <c r="D103" s="10">
        <v>45660.63003472222</v>
      </c>
      <c r="E103" s="10">
        <v>45660.650555555563</v>
      </c>
      <c r="F103" s="10">
        <v>45660.651863425926</v>
      </c>
      <c r="G103" s="3" t="s">
        <v>710</v>
      </c>
      <c r="H103" s="10">
        <v>45660.859340277777</v>
      </c>
      <c r="I103" s="10">
        <v>45660.893020833333</v>
      </c>
      <c r="J103" s="10">
        <v>45660.893888888888</v>
      </c>
      <c r="K103" s="11">
        <f t="shared" si="2"/>
        <v>2.0520833342743572E-2</v>
      </c>
      <c r="L103" s="11">
        <f t="shared" si="3"/>
        <v>0.24115740740671754</v>
      </c>
    </row>
    <row r="104" spans="1:12" x14ac:dyDescent="0.25">
      <c r="A104" s="3" t="s">
        <v>752</v>
      </c>
      <c r="B104" s="3" t="s">
        <v>165</v>
      </c>
      <c r="C104" s="10">
        <v>45660.627523148149</v>
      </c>
      <c r="D104" s="10">
        <v>45660.63003472222</v>
      </c>
      <c r="E104" s="10">
        <v>45660.651863425926</v>
      </c>
      <c r="F104" s="10">
        <v>45660.653819444437</v>
      </c>
      <c r="G104" s="3" t="s">
        <v>745</v>
      </c>
      <c r="H104" s="10">
        <v>45660.864085648151</v>
      </c>
      <c r="I104" s="10">
        <v>45660.900983796288</v>
      </c>
      <c r="J104" s="10">
        <v>45660.901932870373</v>
      </c>
      <c r="K104" s="11">
        <f t="shared" si="2"/>
        <v>2.1828703705978114E-2</v>
      </c>
      <c r="L104" s="11">
        <f t="shared" si="3"/>
        <v>0.24716435185109731</v>
      </c>
    </row>
    <row r="105" spans="1:12" x14ac:dyDescent="0.25">
      <c r="A105" s="3" t="s">
        <v>754</v>
      </c>
      <c r="B105" s="3" t="s">
        <v>165</v>
      </c>
      <c r="C105" s="10">
        <v>45660.627523148149</v>
      </c>
      <c r="D105" s="10">
        <v>45660.63003472222</v>
      </c>
      <c r="E105" s="10">
        <v>45660.653819444437</v>
      </c>
      <c r="F105" s="10">
        <v>45660.655219907407</v>
      </c>
      <c r="G105" s="3" t="s">
        <v>684</v>
      </c>
      <c r="H105" s="10">
        <v>45660.918425925927</v>
      </c>
      <c r="I105" s="10">
        <v>45660.938437500001</v>
      </c>
      <c r="J105" s="10">
        <v>45660.93917824074</v>
      </c>
      <c r="K105" s="11">
        <f t="shared" si="2"/>
        <v>2.378472221607808E-2</v>
      </c>
      <c r="L105" s="11">
        <f t="shared" si="3"/>
        <v>0.28321759259415558</v>
      </c>
    </row>
    <row r="106" spans="1:12" x14ac:dyDescent="0.25">
      <c r="A106" s="3" t="s">
        <v>756</v>
      </c>
      <c r="B106" s="3" t="s">
        <v>165</v>
      </c>
      <c r="C106" s="10">
        <v>45660.627523148149</v>
      </c>
      <c r="D106" s="10">
        <v>45660.63003472222</v>
      </c>
      <c r="E106" s="10">
        <v>45660.655219907407</v>
      </c>
      <c r="F106" s="10">
        <v>45660.657175925917</v>
      </c>
      <c r="G106" s="3" t="s">
        <v>757</v>
      </c>
      <c r="H106" s="10">
        <v>45665.646631944437</v>
      </c>
      <c r="I106" s="10">
        <v>45665.672546296293</v>
      </c>
      <c r="J106" s="10">
        <v>45665.673414351862</v>
      </c>
      <c r="K106" s="11">
        <f t="shared" si="2"/>
        <v>2.5185185186273884E-2</v>
      </c>
      <c r="L106" s="11">
        <f t="shared" si="3"/>
        <v>5.0153703703763313</v>
      </c>
    </row>
    <row r="107" spans="1:12" x14ac:dyDescent="0.25">
      <c r="A107" s="3" t="s">
        <v>759</v>
      </c>
      <c r="B107" s="3" t="s">
        <v>165</v>
      </c>
      <c r="C107" s="10">
        <v>45660.627523148149</v>
      </c>
      <c r="D107" s="10">
        <v>45660.63003472222</v>
      </c>
      <c r="E107" s="10">
        <v>45660.657175925917</v>
      </c>
      <c r="F107" s="10">
        <v>45660.659097222233</v>
      </c>
      <c r="G107" s="3" t="s">
        <v>689</v>
      </c>
      <c r="H107" s="10">
        <v>45660.855752314812</v>
      </c>
      <c r="I107" s="10">
        <v>45660.875763888893</v>
      </c>
      <c r="J107" s="10">
        <v>45660.876400462963</v>
      </c>
      <c r="K107" s="11">
        <f t="shared" si="2"/>
        <v>2.714120369637385E-2</v>
      </c>
      <c r="L107" s="11">
        <f t="shared" si="3"/>
        <v>0.21666666665987577</v>
      </c>
    </row>
    <row r="108" spans="1:12" x14ac:dyDescent="0.25">
      <c r="A108" s="3" t="s">
        <v>761</v>
      </c>
      <c r="B108" s="3" t="s">
        <v>165</v>
      </c>
      <c r="C108" s="10">
        <v>45660.627523148149</v>
      </c>
      <c r="D108" s="10">
        <v>45660.63003472222</v>
      </c>
      <c r="E108" s="10">
        <v>45660.659097222233</v>
      </c>
      <c r="F108" s="10">
        <v>45660.660393518519</v>
      </c>
      <c r="G108" s="3" t="s">
        <v>540</v>
      </c>
      <c r="H108" s="10">
        <v>45660.667731481481</v>
      </c>
      <c r="I108" s="10">
        <v>45660.689328703702</v>
      </c>
      <c r="J108" s="10">
        <v>45660.690150462957</v>
      </c>
      <c r="K108" s="11">
        <f t="shared" si="2"/>
        <v>2.9062500012514647E-2</v>
      </c>
      <c r="L108" s="11">
        <f t="shared" si="3"/>
        <v>2.8935185182490386E-2</v>
      </c>
    </row>
    <row r="109" spans="1:12" x14ac:dyDescent="0.25">
      <c r="A109" s="3" t="s">
        <v>763</v>
      </c>
      <c r="B109" s="3" t="s">
        <v>165</v>
      </c>
      <c r="C109" s="10">
        <v>45660.627523148149</v>
      </c>
      <c r="D109" s="10">
        <v>45660.63003472222</v>
      </c>
      <c r="E109" s="10">
        <v>45660.660393518519</v>
      </c>
      <c r="F109" s="10">
        <v>45660.662418981483</v>
      </c>
      <c r="G109" s="3" t="s">
        <v>733</v>
      </c>
      <c r="H109" s="10">
        <v>45664.365104166667</v>
      </c>
      <c r="I109" s="10">
        <v>45664.437025462961</v>
      </c>
      <c r="J109" s="10">
        <v>45664.437951388893</v>
      </c>
      <c r="K109" s="11">
        <f t="shared" si="2"/>
        <v>3.0358796298969537E-2</v>
      </c>
      <c r="L109" s="11">
        <f t="shared" si="3"/>
        <v>3.7746064814782585</v>
      </c>
    </row>
    <row r="110" spans="1:12" x14ac:dyDescent="0.25">
      <c r="A110" s="3" t="s">
        <v>765</v>
      </c>
      <c r="B110" s="3" t="s">
        <v>165</v>
      </c>
      <c r="C110" s="10">
        <v>45660.627523148149</v>
      </c>
      <c r="D110" s="10">
        <v>45660.63003472222</v>
      </c>
      <c r="E110" s="10">
        <v>45660.662418981483</v>
      </c>
      <c r="F110" s="10">
        <v>45660.663807870369</v>
      </c>
      <c r="G110" s="3" t="s">
        <v>540</v>
      </c>
      <c r="H110" s="10">
        <v>45660.667731481481</v>
      </c>
      <c r="I110" s="10">
        <v>45660.689328703702</v>
      </c>
      <c r="J110" s="10">
        <v>45660.690150462957</v>
      </c>
      <c r="K110" s="11">
        <f t="shared" si="2"/>
        <v>3.238425926247146E-2</v>
      </c>
      <c r="L110" s="11">
        <f t="shared" si="3"/>
        <v>2.5520833332848269E-2</v>
      </c>
    </row>
    <row r="111" spans="1:12" x14ac:dyDescent="0.25">
      <c r="A111" s="3" t="s">
        <v>767</v>
      </c>
      <c r="B111" s="3" t="s">
        <v>165</v>
      </c>
      <c r="C111" s="10">
        <v>45660.627523148149</v>
      </c>
      <c r="D111" s="10">
        <v>45660.63003472222</v>
      </c>
      <c r="E111" s="10">
        <v>45660.663807870369</v>
      </c>
      <c r="F111" s="10">
        <v>45660.665567129632</v>
      </c>
      <c r="G111" s="3" t="s">
        <v>707</v>
      </c>
      <c r="H111" s="10">
        <v>45664.13721064815</v>
      </c>
      <c r="I111" s="10">
        <v>45664.184490740743</v>
      </c>
      <c r="J111" s="10">
        <v>45664.185648148137</v>
      </c>
      <c r="K111" s="11">
        <f t="shared" si="2"/>
        <v>3.3773148148611654E-2</v>
      </c>
      <c r="L111" s="11">
        <f t="shared" si="3"/>
        <v>3.5189236111109494</v>
      </c>
    </row>
    <row r="112" spans="1:12" x14ac:dyDescent="0.25">
      <c r="A112" s="3" t="s">
        <v>769</v>
      </c>
      <c r="B112" s="3" t="s">
        <v>166</v>
      </c>
      <c r="C112" s="10">
        <v>45660.648993055547</v>
      </c>
      <c r="D112" s="10">
        <v>45660.650358796287</v>
      </c>
      <c r="E112" s="10">
        <v>45660.666331018518</v>
      </c>
      <c r="F112" s="10">
        <v>45660.66851851852</v>
      </c>
      <c r="G112" s="3" t="s">
        <v>742</v>
      </c>
      <c r="H112" s="10">
        <v>45660.672071759262</v>
      </c>
      <c r="I112" s="10">
        <v>45660.695567129631</v>
      </c>
      <c r="J112" s="10">
        <v>45660.696458333332</v>
      </c>
      <c r="K112" s="11">
        <f t="shared" si="2"/>
        <v>1.5972222230629995E-2</v>
      </c>
      <c r="L112" s="11">
        <f t="shared" si="3"/>
        <v>2.7048611111240461E-2</v>
      </c>
    </row>
    <row r="113" spans="1:12" x14ac:dyDescent="0.25">
      <c r="A113" s="3" t="s">
        <v>771</v>
      </c>
      <c r="B113" s="3" t="s">
        <v>167</v>
      </c>
      <c r="C113" s="10">
        <v>45660.716180555559</v>
      </c>
      <c r="D113" s="10">
        <v>45660.718414351853</v>
      </c>
      <c r="E113" s="10">
        <v>45660.724386574067</v>
      </c>
      <c r="F113" s="10">
        <v>45660.726909722223</v>
      </c>
      <c r="G113" s="3" t="s">
        <v>772</v>
      </c>
      <c r="H113" s="10">
        <v>45660.729305555556</v>
      </c>
      <c r="I113" s="10">
        <v>45660.778564814813</v>
      </c>
      <c r="J113" s="10">
        <v>45660.779606481483</v>
      </c>
      <c r="K113" s="11">
        <f t="shared" si="2"/>
        <v>5.9722222140408121E-3</v>
      </c>
      <c r="L113" s="11">
        <f t="shared" si="3"/>
        <v>5.1655092589498963E-2</v>
      </c>
    </row>
    <row r="114" spans="1:12" x14ac:dyDescent="0.25">
      <c r="A114" s="3" t="s">
        <v>774</v>
      </c>
      <c r="B114" s="3" t="s">
        <v>168</v>
      </c>
      <c r="C114" s="10">
        <v>45660.833136574067</v>
      </c>
      <c r="D114" s="10">
        <v>45660.835497685177</v>
      </c>
      <c r="E114" s="10">
        <v>45660.850335648152</v>
      </c>
      <c r="F114" s="10">
        <v>45660.852210648147</v>
      </c>
      <c r="G114" s="3" t="s">
        <v>689</v>
      </c>
      <c r="H114" s="10">
        <v>45660.855752314812</v>
      </c>
      <c r="I114" s="10">
        <v>45660.875763888893</v>
      </c>
      <c r="J114" s="10">
        <v>45660.876400462963</v>
      </c>
      <c r="K114" s="11">
        <f t="shared" si="2"/>
        <v>1.4837962975434493E-2</v>
      </c>
      <c r="L114" s="11">
        <f t="shared" si="3"/>
        <v>2.3553240745968651E-2</v>
      </c>
    </row>
    <row r="115" spans="1:12" x14ac:dyDescent="0.25">
      <c r="A115" s="3" t="s">
        <v>776</v>
      </c>
      <c r="B115" s="3" t="s">
        <v>168</v>
      </c>
      <c r="C115" s="10">
        <v>45660.833136574067</v>
      </c>
      <c r="D115" s="10">
        <v>45660.835497685177</v>
      </c>
      <c r="E115" s="10">
        <v>45660.852210648147</v>
      </c>
      <c r="F115" s="10">
        <v>45660.854027777779</v>
      </c>
      <c r="G115" s="3" t="s">
        <v>757</v>
      </c>
      <c r="H115" s="10">
        <v>45665.646631944437</v>
      </c>
      <c r="I115" s="10">
        <v>45665.672546296293</v>
      </c>
      <c r="J115" s="10">
        <v>45665.673414351862</v>
      </c>
      <c r="K115" s="11">
        <f t="shared" si="2"/>
        <v>1.6712962969904765E-2</v>
      </c>
      <c r="L115" s="11">
        <f t="shared" si="3"/>
        <v>4.8185185185138835</v>
      </c>
    </row>
    <row r="116" spans="1:12" x14ac:dyDescent="0.25">
      <c r="A116" s="3" t="s">
        <v>778</v>
      </c>
      <c r="B116" s="3" t="s">
        <v>168</v>
      </c>
      <c r="C116" s="10">
        <v>45660.833136574067</v>
      </c>
      <c r="D116" s="10">
        <v>45660.835497685177</v>
      </c>
      <c r="E116" s="10">
        <v>45660.854027777779</v>
      </c>
      <c r="F116" s="10">
        <v>45660.855439814812</v>
      </c>
      <c r="G116" s="3" t="s">
        <v>710</v>
      </c>
      <c r="H116" s="10">
        <v>45660.859340277777</v>
      </c>
      <c r="I116" s="10">
        <v>45660.893020833333</v>
      </c>
      <c r="J116" s="10">
        <v>45660.893888888888</v>
      </c>
      <c r="K116" s="11">
        <f t="shared" si="2"/>
        <v>1.8530092602304649E-2</v>
      </c>
      <c r="L116" s="11">
        <f t="shared" si="3"/>
        <v>3.758101852145046E-2</v>
      </c>
    </row>
    <row r="117" spans="1:12" x14ac:dyDescent="0.25">
      <c r="A117" s="3" t="s">
        <v>780</v>
      </c>
      <c r="B117" s="3" t="s">
        <v>168</v>
      </c>
      <c r="C117" s="10">
        <v>45660.833136574067</v>
      </c>
      <c r="D117" s="10">
        <v>45660.835497685177</v>
      </c>
      <c r="E117" s="10">
        <v>45660.855439814812</v>
      </c>
      <c r="F117" s="10">
        <v>45660.857349537036</v>
      </c>
      <c r="G117" s="3" t="s">
        <v>781</v>
      </c>
      <c r="H117" s="10">
        <v>45660.864988425928</v>
      </c>
      <c r="I117" s="10">
        <v>45660.909907407397</v>
      </c>
      <c r="J117" s="10">
        <v>45660.910729166673</v>
      </c>
      <c r="K117" s="11">
        <f t="shared" si="2"/>
        <v>1.994212963472819E-2</v>
      </c>
      <c r="L117" s="11">
        <f t="shared" si="3"/>
        <v>5.2557870360033121E-2</v>
      </c>
    </row>
    <row r="118" spans="1:12" x14ac:dyDescent="0.25">
      <c r="A118" s="3" t="s">
        <v>783</v>
      </c>
      <c r="B118" s="3" t="s">
        <v>168</v>
      </c>
      <c r="C118" s="10">
        <v>45660.833136574067</v>
      </c>
      <c r="D118" s="10">
        <v>45660.835497685177</v>
      </c>
      <c r="E118" s="10">
        <v>45660.857349537036</v>
      </c>
      <c r="F118" s="10">
        <v>45660.859456018523</v>
      </c>
      <c r="G118" s="3" t="s">
        <v>745</v>
      </c>
      <c r="H118" s="10">
        <v>45660.864085648151</v>
      </c>
      <c r="I118" s="10">
        <v>45660.900983796288</v>
      </c>
      <c r="J118" s="10">
        <v>45660.901932870373</v>
      </c>
      <c r="K118" s="11">
        <f t="shared" si="2"/>
        <v>2.1851851859537419E-2</v>
      </c>
      <c r="L118" s="11">
        <f t="shared" si="3"/>
        <v>4.1527777764713392E-2</v>
      </c>
    </row>
    <row r="119" spans="1:12" x14ac:dyDescent="0.25">
      <c r="A119" s="3" t="s">
        <v>785</v>
      </c>
      <c r="B119" s="3" t="s">
        <v>168</v>
      </c>
      <c r="C119" s="10">
        <v>45660.833136574067</v>
      </c>
      <c r="D119" s="10">
        <v>45660.835497685177</v>
      </c>
      <c r="E119" s="10">
        <v>45660.859456018523</v>
      </c>
      <c r="F119" s="10">
        <v>45660.861435185187</v>
      </c>
      <c r="G119" s="3" t="s">
        <v>781</v>
      </c>
      <c r="H119" s="10">
        <v>45660.864988425928</v>
      </c>
      <c r="I119" s="10">
        <v>45660.909907407397</v>
      </c>
      <c r="J119" s="10">
        <v>45660.910729166673</v>
      </c>
      <c r="K119" s="11">
        <f t="shared" si="2"/>
        <v>2.3958333345944993E-2</v>
      </c>
      <c r="L119" s="11">
        <f t="shared" si="3"/>
        <v>4.8472222209966276E-2</v>
      </c>
    </row>
    <row r="120" spans="1:12" x14ac:dyDescent="0.25">
      <c r="A120" s="3" t="s">
        <v>787</v>
      </c>
      <c r="B120" s="3" t="s">
        <v>168</v>
      </c>
      <c r="C120" s="10">
        <v>45660.833136574067</v>
      </c>
      <c r="D120" s="10">
        <v>45660.835497685177</v>
      </c>
      <c r="E120" s="10">
        <v>45660.861435185187</v>
      </c>
      <c r="F120" s="10">
        <v>45660.862951388888</v>
      </c>
      <c r="G120" s="3" t="s">
        <v>524</v>
      </c>
      <c r="H120" s="10">
        <v>45660.868831018517</v>
      </c>
      <c r="I120" s="10">
        <v>45660.914722222216</v>
      </c>
      <c r="J120" s="10">
        <v>45660.915590277778</v>
      </c>
      <c r="K120" s="11">
        <f t="shared" si="2"/>
        <v>2.5937500009604264E-2</v>
      </c>
      <c r="L120" s="11">
        <f t="shared" si="3"/>
        <v>5.1770833328191657E-2</v>
      </c>
    </row>
    <row r="121" spans="1:12" x14ac:dyDescent="0.25">
      <c r="A121" s="3" t="s">
        <v>789</v>
      </c>
      <c r="B121" s="3" t="s">
        <v>168</v>
      </c>
      <c r="C121" s="10">
        <v>45660.833136574067</v>
      </c>
      <c r="D121" s="10">
        <v>45660.835497685177</v>
      </c>
      <c r="E121" s="10">
        <v>45660.862951388888</v>
      </c>
      <c r="F121" s="10">
        <v>45660.864201388889</v>
      </c>
      <c r="G121" s="3" t="s">
        <v>684</v>
      </c>
      <c r="H121" s="10">
        <v>45660.918425925927</v>
      </c>
      <c r="I121" s="10">
        <v>45660.938437500001</v>
      </c>
      <c r="J121" s="10">
        <v>45660.93917824074</v>
      </c>
      <c r="K121" s="11">
        <f t="shared" si="2"/>
        <v>2.7453703711216804E-2</v>
      </c>
      <c r="L121" s="11">
        <f t="shared" si="3"/>
        <v>7.42361111115315E-2</v>
      </c>
    </row>
    <row r="122" spans="1:12" x14ac:dyDescent="0.25">
      <c r="A122" s="3" t="s">
        <v>791</v>
      </c>
      <c r="B122" s="3" t="s">
        <v>170</v>
      </c>
      <c r="C122" s="10">
        <v>45660.871099537027</v>
      </c>
      <c r="D122" s="10">
        <v>45660.873506944437</v>
      </c>
      <c r="E122" s="10">
        <v>45660.893877314818</v>
      </c>
      <c r="F122" s="10">
        <v>45660.895590277767</v>
      </c>
      <c r="G122" s="3" t="s">
        <v>792</v>
      </c>
      <c r="H122" s="10">
        <v>45664.754826388889</v>
      </c>
      <c r="I122" s="10">
        <v>45664.779861111107</v>
      </c>
      <c r="J122" s="10">
        <v>45664.780775462961</v>
      </c>
      <c r="K122" s="11">
        <f t="shared" si="2"/>
        <v>2.0370370380987879E-2</v>
      </c>
      <c r="L122" s="11">
        <f t="shared" si="3"/>
        <v>3.8842708333395422</v>
      </c>
    </row>
    <row r="123" spans="1:12" x14ac:dyDescent="0.25">
      <c r="A123" s="3" t="s">
        <v>794</v>
      </c>
      <c r="B123" s="3" t="s">
        <v>170</v>
      </c>
      <c r="C123" s="10">
        <v>45660.871099537027</v>
      </c>
      <c r="D123" s="10">
        <v>45660.873506944437</v>
      </c>
      <c r="E123" s="10">
        <v>45660.895590277767</v>
      </c>
      <c r="F123" s="10">
        <v>45660.897638888891</v>
      </c>
      <c r="G123" s="3" t="s">
        <v>795</v>
      </c>
      <c r="H123" s="10">
        <v>45662.751192129632</v>
      </c>
      <c r="I123" s="10">
        <v>45662.821030092593</v>
      </c>
      <c r="J123" s="10">
        <v>45662.822500000002</v>
      </c>
      <c r="K123" s="11">
        <f t="shared" si="2"/>
        <v>2.2083333329646848E-2</v>
      </c>
      <c r="L123" s="11">
        <f t="shared" si="3"/>
        <v>1.9233912037016125</v>
      </c>
    </row>
    <row r="124" spans="1:12" x14ac:dyDescent="0.25">
      <c r="A124" s="3" t="s">
        <v>797</v>
      </c>
      <c r="B124" s="3" t="s">
        <v>170</v>
      </c>
      <c r="C124" s="10">
        <v>45660.871099537027</v>
      </c>
      <c r="D124" s="10">
        <v>45660.873506944437</v>
      </c>
      <c r="E124" s="10">
        <v>45660.897638888891</v>
      </c>
      <c r="F124" s="10">
        <v>45660.899513888893</v>
      </c>
      <c r="G124" s="3" t="s">
        <v>798</v>
      </c>
      <c r="H124" s="10">
        <v>45664.328182870369</v>
      </c>
      <c r="I124" s="10">
        <v>45664.360312500001</v>
      </c>
      <c r="J124" s="10">
        <v>45664.360960648148</v>
      </c>
      <c r="K124" s="11">
        <f t="shared" si="2"/>
        <v>2.4131944453984033E-2</v>
      </c>
      <c r="L124" s="11">
        <f t="shared" si="3"/>
        <v>3.460798611107748</v>
      </c>
    </row>
    <row r="125" spans="1:12" x14ac:dyDescent="0.25">
      <c r="A125" s="3" t="s">
        <v>800</v>
      </c>
      <c r="B125" s="3" t="s">
        <v>170</v>
      </c>
      <c r="C125" s="10">
        <v>45660.871099537027</v>
      </c>
      <c r="D125" s="10">
        <v>45660.873506944437</v>
      </c>
      <c r="E125" s="10">
        <v>45660.899513888893</v>
      </c>
      <c r="F125" s="10">
        <v>45660.901585648149</v>
      </c>
      <c r="G125" s="3" t="s">
        <v>795</v>
      </c>
      <c r="H125" s="10">
        <v>45662.751192129632</v>
      </c>
      <c r="I125" s="10">
        <v>45662.821030092593</v>
      </c>
      <c r="J125" s="10">
        <v>45662.822500000002</v>
      </c>
      <c r="K125" s="11">
        <f t="shared" si="2"/>
        <v>2.6006944455730263E-2</v>
      </c>
      <c r="L125" s="11">
        <f t="shared" si="3"/>
        <v>1.9194444444437977</v>
      </c>
    </row>
    <row r="126" spans="1:12" x14ac:dyDescent="0.25">
      <c r="A126" s="3" t="s">
        <v>802</v>
      </c>
      <c r="B126" s="3" t="s">
        <v>170</v>
      </c>
      <c r="C126" s="10">
        <v>45660.871099537027</v>
      </c>
      <c r="D126" s="10">
        <v>45660.873506944437</v>
      </c>
      <c r="E126" s="10">
        <v>45660.901585648149</v>
      </c>
      <c r="F126" s="10">
        <v>45660.90283564815</v>
      </c>
      <c r="G126" s="3" t="s">
        <v>803</v>
      </c>
      <c r="H126" s="10">
        <v>45664.334791666668</v>
      </c>
      <c r="I126" s="10">
        <v>45664.404004629629</v>
      </c>
      <c r="J126" s="10">
        <v>45664.405046296299</v>
      </c>
      <c r="K126" s="11">
        <f t="shared" si="2"/>
        <v>2.807870371179888E-2</v>
      </c>
      <c r="L126" s="11">
        <f t="shared" si="3"/>
        <v>3.5011689814782585</v>
      </c>
    </row>
    <row r="127" spans="1:12" x14ac:dyDescent="0.25">
      <c r="A127" s="3" t="s">
        <v>805</v>
      </c>
      <c r="B127" s="3" t="s">
        <v>170</v>
      </c>
      <c r="C127" s="10">
        <v>45660.871099537027</v>
      </c>
      <c r="D127" s="10">
        <v>45660.873506944437</v>
      </c>
      <c r="E127" s="10">
        <v>45660.90283564815</v>
      </c>
      <c r="F127" s="10">
        <v>45660.904247685183</v>
      </c>
      <c r="G127" s="3" t="s">
        <v>803</v>
      </c>
      <c r="H127" s="10">
        <v>45664.334791666668</v>
      </c>
      <c r="I127" s="10">
        <v>45664.404004629629</v>
      </c>
      <c r="J127" s="10">
        <v>45664.405046296299</v>
      </c>
      <c r="K127" s="11">
        <f t="shared" si="2"/>
        <v>2.9328703712963033E-2</v>
      </c>
      <c r="L127" s="11">
        <f t="shared" si="3"/>
        <v>3.499756944445835</v>
      </c>
    </row>
    <row r="128" spans="1:12" x14ac:dyDescent="0.25">
      <c r="A128" s="3" t="s">
        <v>807</v>
      </c>
      <c r="B128" s="3" t="s">
        <v>170</v>
      </c>
      <c r="C128" s="10">
        <v>45660.871099537027</v>
      </c>
      <c r="D128" s="10">
        <v>45660.873506944437</v>
      </c>
      <c r="E128" s="10">
        <v>45660.904247685183</v>
      </c>
      <c r="F128" s="10">
        <v>45660.905601851853</v>
      </c>
      <c r="G128" s="3" t="s">
        <v>684</v>
      </c>
      <c r="H128" s="10">
        <v>45660.918425925927</v>
      </c>
      <c r="I128" s="10">
        <v>45660.938437500001</v>
      </c>
      <c r="J128" s="10">
        <v>45660.93917824074</v>
      </c>
      <c r="K128" s="11">
        <f t="shared" si="2"/>
        <v>3.0740740745386574E-2</v>
      </c>
      <c r="L128" s="11">
        <f t="shared" si="3"/>
        <v>3.2835648147738539E-2</v>
      </c>
    </row>
    <row r="129" spans="1:12" x14ac:dyDescent="0.25">
      <c r="A129" s="3" t="s">
        <v>809</v>
      </c>
      <c r="B129" s="3" t="s">
        <v>170</v>
      </c>
      <c r="C129" s="10">
        <v>45660.871099537027</v>
      </c>
      <c r="D129" s="10">
        <v>45660.873506944437</v>
      </c>
      <c r="E129" s="10">
        <v>45660.905601851853</v>
      </c>
      <c r="F129" s="10">
        <v>45660.907430555562</v>
      </c>
      <c r="G129" s="3" t="s">
        <v>707</v>
      </c>
      <c r="H129" s="10">
        <v>45664.13721064815</v>
      </c>
      <c r="I129" s="10">
        <v>45664.184490740743</v>
      </c>
      <c r="J129" s="10">
        <v>45664.185648148137</v>
      </c>
      <c r="K129" s="11">
        <f t="shared" si="2"/>
        <v>3.2094907415739726E-2</v>
      </c>
      <c r="L129" s="11">
        <f t="shared" si="3"/>
        <v>3.2770601851807442</v>
      </c>
    </row>
    <row r="130" spans="1:12" x14ac:dyDescent="0.25">
      <c r="A130" s="3" t="s">
        <v>811</v>
      </c>
      <c r="B130" s="3" t="s">
        <v>170</v>
      </c>
      <c r="C130" s="10">
        <v>45660.871099537027</v>
      </c>
      <c r="D130" s="10">
        <v>45660.873506944437</v>
      </c>
      <c r="E130" s="10">
        <v>45660.907430555562</v>
      </c>
      <c r="F130" s="10">
        <v>45660.909375000003</v>
      </c>
      <c r="G130" s="3" t="s">
        <v>757</v>
      </c>
      <c r="H130" s="10">
        <v>45665.646631944437</v>
      </c>
      <c r="I130" s="10">
        <v>45665.672546296293</v>
      </c>
      <c r="J130" s="10">
        <v>45665.673414351862</v>
      </c>
      <c r="K130" s="11">
        <f t="shared" ref="K130:K193" si="4">IF(AND(ISNUMBER(D130),ISNUMBER(E130)),(E130-D130),"")</f>
        <v>3.3923611124919262E-2</v>
      </c>
      <c r="L130" s="11">
        <f t="shared" ref="L130:L193" si="5">IF(AND(ISNUMBER(F130),ISNUMBER(I130)),(I130-F130),"")</f>
        <v>4.7631712962902384</v>
      </c>
    </row>
    <row r="131" spans="1:12" x14ac:dyDescent="0.25">
      <c r="A131" s="3" t="s">
        <v>813</v>
      </c>
      <c r="B131" s="3" t="s">
        <v>170</v>
      </c>
      <c r="C131" s="10">
        <v>45660.871099537027</v>
      </c>
      <c r="D131" s="10">
        <v>45660.873506944437</v>
      </c>
      <c r="E131" s="10">
        <v>45660.909375000003</v>
      </c>
      <c r="F131" s="10">
        <v>45660.910717592589</v>
      </c>
      <c r="G131" s="3" t="s">
        <v>704</v>
      </c>
      <c r="H131" s="10">
        <v>45660.919363425928</v>
      </c>
      <c r="I131" s="10">
        <v>45660.946250000001</v>
      </c>
      <c r="J131" s="10">
        <v>45660.947060185194</v>
      </c>
      <c r="K131" s="11">
        <f t="shared" si="4"/>
        <v>3.5868055565515533E-2</v>
      </c>
      <c r="L131" s="11">
        <f t="shared" si="5"/>
        <v>3.553240741166519E-2</v>
      </c>
    </row>
    <row r="132" spans="1:12" x14ac:dyDescent="0.25">
      <c r="A132" s="3" t="s">
        <v>815</v>
      </c>
      <c r="B132" s="3" t="s">
        <v>170</v>
      </c>
      <c r="C132" s="10">
        <v>45660.871099537027</v>
      </c>
      <c r="D132" s="10">
        <v>45660.873506944437</v>
      </c>
      <c r="E132" s="10">
        <v>45660.910717592589</v>
      </c>
      <c r="F132" s="10">
        <v>45660.912129629629</v>
      </c>
      <c r="G132" s="3" t="s">
        <v>684</v>
      </c>
      <c r="H132" s="10">
        <v>45660.918425925927</v>
      </c>
      <c r="I132" s="10">
        <v>45660.938437500001</v>
      </c>
      <c r="J132" s="10">
        <v>45660.93917824074</v>
      </c>
      <c r="K132" s="11">
        <f t="shared" si="4"/>
        <v>3.7210648151813075E-2</v>
      </c>
      <c r="L132" s="11">
        <f t="shared" si="5"/>
        <v>2.6307870371965691E-2</v>
      </c>
    </row>
    <row r="133" spans="1:12" x14ac:dyDescent="0.25">
      <c r="A133" s="3" t="s">
        <v>817</v>
      </c>
      <c r="B133" s="3" t="s">
        <v>170</v>
      </c>
      <c r="C133" s="10">
        <v>45660.871099537027</v>
      </c>
      <c r="D133" s="10">
        <v>45660.873506944437</v>
      </c>
      <c r="E133" s="10">
        <v>45660.912129629629</v>
      </c>
      <c r="F133" s="10">
        <v>45660.913275462961</v>
      </c>
      <c r="G133" s="3" t="s">
        <v>704</v>
      </c>
      <c r="H133" s="10">
        <v>45660.919363425928</v>
      </c>
      <c r="I133" s="10">
        <v>45660.946250000001</v>
      </c>
      <c r="J133" s="10">
        <v>45660.947060185194</v>
      </c>
      <c r="K133" s="11">
        <f t="shared" si="4"/>
        <v>3.8622685191512574E-2</v>
      </c>
      <c r="L133" s="11">
        <f t="shared" si="5"/>
        <v>3.2974537039990537E-2</v>
      </c>
    </row>
    <row r="134" spans="1:12" x14ac:dyDescent="0.25">
      <c r="A134" s="3" t="s">
        <v>819</v>
      </c>
      <c r="B134" s="3" t="s">
        <v>171</v>
      </c>
      <c r="C134" s="10">
        <v>45661.235196759262</v>
      </c>
      <c r="D134" s="10">
        <v>45661.23746527778</v>
      </c>
      <c r="E134" s="10">
        <v>45661.245393518519</v>
      </c>
      <c r="F134" s="10">
        <v>45661.247025462973</v>
      </c>
      <c r="G134" s="3" t="s">
        <v>820</v>
      </c>
      <c r="H134" s="10">
        <v>45661.249398148153</v>
      </c>
      <c r="I134" s="10">
        <v>45661.288495370369</v>
      </c>
      <c r="J134" s="10">
        <v>45661.289467592593</v>
      </c>
      <c r="K134" s="11">
        <f t="shared" si="4"/>
        <v>7.9282407386926934E-3</v>
      </c>
      <c r="L134" s="11">
        <f t="shared" si="5"/>
        <v>4.1469907395367045E-2</v>
      </c>
    </row>
    <row r="135" spans="1:12" x14ac:dyDescent="0.25">
      <c r="A135" s="3" t="s">
        <v>822</v>
      </c>
      <c r="B135" s="3" t="s">
        <v>171</v>
      </c>
      <c r="C135" s="10">
        <v>45661.235196759262</v>
      </c>
      <c r="D135" s="10">
        <v>45661.23746527778</v>
      </c>
      <c r="E135" s="10">
        <v>45661.247025462973</v>
      </c>
      <c r="F135" s="10">
        <v>45661.248310185183</v>
      </c>
      <c r="G135" s="3" t="s">
        <v>823</v>
      </c>
      <c r="H135" s="10">
        <v>45662.752662037034</v>
      </c>
      <c r="I135" s="10">
        <v>45662.774016203701</v>
      </c>
      <c r="J135" s="10">
        <v>45662.774722222217</v>
      </c>
      <c r="K135" s="11">
        <f t="shared" si="4"/>
        <v>9.5601851935498416E-3</v>
      </c>
      <c r="L135" s="11">
        <f t="shared" si="5"/>
        <v>1.525706018517667</v>
      </c>
    </row>
    <row r="136" spans="1:12" x14ac:dyDescent="0.25">
      <c r="A136" s="3" t="s">
        <v>825</v>
      </c>
      <c r="B136" s="3" t="s">
        <v>171</v>
      </c>
      <c r="C136" s="10">
        <v>45661.235196759262</v>
      </c>
      <c r="D136" s="10">
        <v>45661.23746527778</v>
      </c>
      <c r="E136" s="10">
        <v>45661.248310185183</v>
      </c>
      <c r="F136" s="10">
        <v>45661.250358796293</v>
      </c>
      <c r="G136" s="3" t="s">
        <v>795</v>
      </c>
      <c r="H136" s="10">
        <v>45662.751192129632</v>
      </c>
      <c r="I136" s="10">
        <v>45662.821030092593</v>
      </c>
      <c r="J136" s="10">
        <v>45662.822500000002</v>
      </c>
      <c r="K136" s="11">
        <f t="shared" si="4"/>
        <v>1.0844907403225079E-2</v>
      </c>
      <c r="L136" s="11">
        <f t="shared" si="5"/>
        <v>1.5706712963001337</v>
      </c>
    </row>
    <row r="137" spans="1:12" x14ac:dyDescent="0.25">
      <c r="A137" s="3" t="s">
        <v>827</v>
      </c>
      <c r="B137" s="3" t="s">
        <v>172</v>
      </c>
      <c r="C137" s="10">
        <v>45662.730578703697</v>
      </c>
      <c r="D137" s="10">
        <v>45662.732974537037</v>
      </c>
      <c r="E137" s="10">
        <v>45662.743298611109</v>
      </c>
      <c r="F137" s="10">
        <v>45662.744618055563</v>
      </c>
      <c r="G137" s="3" t="s">
        <v>828</v>
      </c>
      <c r="H137" s="10">
        <v>45664.138078703712</v>
      </c>
      <c r="I137" s="10">
        <v>45664.162824074083</v>
      </c>
      <c r="J137" s="10">
        <v>45664.163611111107</v>
      </c>
      <c r="K137" s="11">
        <f t="shared" si="4"/>
        <v>1.0324074071832001E-2</v>
      </c>
      <c r="L137" s="11">
        <f t="shared" si="5"/>
        <v>1.4182060185194132</v>
      </c>
    </row>
    <row r="138" spans="1:12" x14ac:dyDescent="0.25">
      <c r="A138" s="3" t="s">
        <v>830</v>
      </c>
      <c r="B138" s="3" t="s">
        <v>172</v>
      </c>
      <c r="C138" s="10">
        <v>45662.730578703697</v>
      </c>
      <c r="D138" s="10">
        <v>45662.732974537037</v>
      </c>
      <c r="E138" s="10">
        <v>45662.744618055563</v>
      </c>
      <c r="F138" s="10">
        <v>45662.747291666667</v>
      </c>
      <c r="G138" s="3" t="s">
        <v>795</v>
      </c>
      <c r="H138" s="10">
        <v>45662.751192129632</v>
      </c>
      <c r="I138" s="10">
        <v>45662.821030092593</v>
      </c>
      <c r="J138" s="10">
        <v>45662.822500000002</v>
      </c>
      <c r="K138" s="11">
        <f t="shared" si="4"/>
        <v>1.1643518526398111E-2</v>
      </c>
      <c r="L138" s="11">
        <f t="shared" si="5"/>
        <v>7.3738425926421769E-2</v>
      </c>
    </row>
    <row r="139" spans="1:12" x14ac:dyDescent="0.25">
      <c r="A139" s="3" t="s">
        <v>832</v>
      </c>
      <c r="B139" s="3" t="s">
        <v>172</v>
      </c>
      <c r="C139" s="10">
        <v>45662.730578703697</v>
      </c>
      <c r="D139" s="10">
        <v>45662.732974537037</v>
      </c>
      <c r="E139" s="10">
        <v>45662.747291666667</v>
      </c>
      <c r="F139" s="10">
        <v>45662.748738425929</v>
      </c>
      <c r="G139" s="3" t="s">
        <v>823</v>
      </c>
      <c r="H139" s="10">
        <v>45662.752662037034</v>
      </c>
      <c r="I139" s="10">
        <v>45662.774016203701</v>
      </c>
      <c r="J139" s="10">
        <v>45662.774722222217</v>
      </c>
      <c r="K139" s="11">
        <f t="shared" si="4"/>
        <v>1.43171296294895E-2</v>
      </c>
      <c r="L139" s="11">
        <f t="shared" si="5"/>
        <v>2.5277777771407273E-2</v>
      </c>
    </row>
    <row r="140" spans="1:12" x14ac:dyDescent="0.25">
      <c r="A140" s="3" t="s">
        <v>834</v>
      </c>
      <c r="B140" s="3" t="s">
        <v>173</v>
      </c>
      <c r="C140" s="10">
        <v>45662.837708333333</v>
      </c>
      <c r="D140" s="10">
        <v>45662.840231481481</v>
      </c>
      <c r="E140" s="10">
        <v>45662.850405092591</v>
      </c>
      <c r="F140" s="10">
        <v>45662.85261574074</v>
      </c>
      <c r="G140" s="3" t="s">
        <v>835</v>
      </c>
      <c r="H140" s="10">
        <v>45662.855011574073</v>
      </c>
      <c r="I140" s="10">
        <v>45662.930289351847</v>
      </c>
      <c r="J140" s="10">
        <v>45662.931701388887</v>
      </c>
      <c r="K140" s="11">
        <f t="shared" si="4"/>
        <v>1.0173611110076308E-2</v>
      </c>
      <c r="L140" s="11">
        <f t="shared" si="5"/>
        <v>7.7673611107456964E-2</v>
      </c>
    </row>
    <row r="141" spans="1:12" x14ac:dyDescent="0.25">
      <c r="A141" s="3" t="s">
        <v>837</v>
      </c>
      <c r="B141" s="3" t="s">
        <v>173</v>
      </c>
      <c r="C141" s="10">
        <v>45662.837708333333</v>
      </c>
      <c r="D141" s="10">
        <v>45662.840231481481</v>
      </c>
      <c r="E141" s="10">
        <v>45662.85261574074</v>
      </c>
      <c r="F141" s="10">
        <v>45662.854594907411</v>
      </c>
      <c r="G141" s="3" t="s">
        <v>798</v>
      </c>
      <c r="H141" s="10">
        <v>45664.328182870369</v>
      </c>
      <c r="I141" s="10">
        <v>45664.360312500001</v>
      </c>
      <c r="J141" s="10">
        <v>45664.360960648148</v>
      </c>
      <c r="K141" s="11">
        <f t="shared" si="4"/>
        <v>1.2384259258396924E-2</v>
      </c>
      <c r="L141" s="11">
        <f t="shared" si="5"/>
        <v>1.5057175925903721</v>
      </c>
    </row>
    <row r="142" spans="1:12" x14ac:dyDescent="0.25">
      <c r="A142" s="3" t="s">
        <v>839</v>
      </c>
      <c r="B142" s="3" t="s">
        <v>173</v>
      </c>
      <c r="C142" s="10">
        <v>45662.837708333333</v>
      </c>
      <c r="D142" s="10">
        <v>45662.840231481481</v>
      </c>
      <c r="E142" s="10">
        <v>45662.854594907411</v>
      </c>
      <c r="F142" s="10">
        <v>45662.856724537043</v>
      </c>
      <c r="G142" s="3" t="s">
        <v>840</v>
      </c>
      <c r="H142" s="10">
        <v>45662.859120370369</v>
      </c>
      <c r="I142" s="10">
        <v>45662.877557870372</v>
      </c>
      <c r="J142" s="10">
        <v>45662.878333333327</v>
      </c>
      <c r="K142" s="11">
        <f t="shared" si="4"/>
        <v>1.4363425929332152E-2</v>
      </c>
      <c r="L142" s="11">
        <f t="shared" si="5"/>
        <v>2.0833333328482695E-2</v>
      </c>
    </row>
    <row r="143" spans="1:12" x14ac:dyDescent="0.25">
      <c r="A143" s="3" t="s">
        <v>842</v>
      </c>
      <c r="B143" s="3" t="s">
        <v>174</v>
      </c>
      <c r="C143" s="10">
        <v>45663.735393518517</v>
      </c>
      <c r="D143" s="10">
        <v>45663.737546296303</v>
      </c>
      <c r="E143" s="10">
        <v>45663.743194444447</v>
      </c>
      <c r="F143" s="10">
        <v>45663.745000000003</v>
      </c>
      <c r="G143" s="3" t="s">
        <v>843</v>
      </c>
      <c r="H143" s="10">
        <v>45663.747361111113</v>
      </c>
      <c r="I143" s="10">
        <v>45663.790138888893</v>
      </c>
      <c r="J143" s="10">
        <v>45663.791122685187</v>
      </c>
      <c r="K143" s="11">
        <f t="shared" si="4"/>
        <v>5.648148144246079E-3</v>
      </c>
      <c r="L143" s="11">
        <f t="shared" si="5"/>
        <v>4.5138888890505768E-2</v>
      </c>
    </row>
    <row r="144" spans="1:12" x14ac:dyDescent="0.25">
      <c r="A144" s="3" t="s">
        <v>845</v>
      </c>
      <c r="B144" s="3" t="s">
        <v>175</v>
      </c>
      <c r="C144" s="10">
        <v>45664.113078703696</v>
      </c>
      <c r="D144" s="10">
        <v>45664.115347222221</v>
      </c>
      <c r="E144" s="10">
        <v>45664.125254629631</v>
      </c>
      <c r="F144" s="10">
        <v>45664.127175925933</v>
      </c>
      <c r="G144" s="3" t="s">
        <v>798</v>
      </c>
      <c r="H144" s="10">
        <v>45664.328182870369</v>
      </c>
      <c r="I144" s="10">
        <v>45664.360312500001</v>
      </c>
      <c r="J144" s="10">
        <v>45664.360960648148</v>
      </c>
      <c r="K144" s="11">
        <f t="shared" si="4"/>
        <v>9.9074074096279219E-3</v>
      </c>
      <c r="L144" s="11">
        <f t="shared" si="5"/>
        <v>0.23313657406833954</v>
      </c>
    </row>
    <row r="145" spans="1:12" x14ac:dyDescent="0.25">
      <c r="A145" s="3" t="s">
        <v>847</v>
      </c>
      <c r="B145" s="3" t="s">
        <v>175</v>
      </c>
      <c r="C145" s="10">
        <v>45664.113078703696</v>
      </c>
      <c r="D145" s="10">
        <v>45664.115347222221</v>
      </c>
      <c r="E145" s="10">
        <v>45664.127175925933</v>
      </c>
      <c r="F145" s="10">
        <v>45664.129236111112</v>
      </c>
      <c r="G145" s="3" t="s">
        <v>733</v>
      </c>
      <c r="H145" s="10">
        <v>45664.365104166667</v>
      </c>
      <c r="I145" s="10">
        <v>45664.437025462961</v>
      </c>
      <c r="J145" s="10">
        <v>45664.437951388893</v>
      </c>
      <c r="K145" s="11">
        <f t="shared" si="4"/>
        <v>1.1828703711216804E-2</v>
      </c>
      <c r="L145" s="11">
        <f t="shared" si="5"/>
        <v>0.30778935184935108</v>
      </c>
    </row>
    <row r="146" spans="1:12" x14ac:dyDescent="0.25">
      <c r="A146" s="3" t="s">
        <v>849</v>
      </c>
      <c r="B146" s="3" t="s">
        <v>175</v>
      </c>
      <c r="C146" s="10">
        <v>45664.113078703696</v>
      </c>
      <c r="D146" s="10">
        <v>45664.115347222221</v>
      </c>
      <c r="E146" s="10">
        <v>45664.129236111112</v>
      </c>
      <c r="F146" s="10">
        <v>45664.131145833337</v>
      </c>
      <c r="G146" s="3" t="s">
        <v>798</v>
      </c>
      <c r="H146" s="10">
        <v>45664.328182870369</v>
      </c>
      <c r="I146" s="10">
        <v>45664.360312500001</v>
      </c>
      <c r="J146" s="10">
        <v>45664.360960648148</v>
      </c>
      <c r="K146" s="11">
        <f t="shared" si="4"/>
        <v>1.3888888890505768E-2</v>
      </c>
      <c r="L146" s="11">
        <f t="shared" si="5"/>
        <v>0.22916666666424135</v>
      </c>
    </row>
    <row r="147" spans="1:12" x14ac:dyDescent="0.25">
      <c r="A147" s="3" t="s">
        <v>851</v>
      </c>
      <c r="B147" s="3" t="s">
        <v>175</v>
      </c>
      <c r="C147" s="10">
        <v>45664.113078703696</v>
      </c>
      <c r="D147" s="10">
        <v>45664.115347222221</v>
      </c>
      <c r="E147" s="10">
        <v>45664.131145833337</v>
      </c>
      <c r="F147" s="10">
        <v>45664.133287037039</v>
      </c>
      <c r="G147" s="3" t="s">
        <v>707</v>
      </c>
      <c r="H147" s="10">
        <v>45664.13721064815</v>
      </c>
      <c r="I147" s="10">
        <v>45664.184490740743</v>
      </c>
      <c r="J147" s="10">
        <v>45664.185648148137</v>
      </c>
      <c r="K147" s="11">
        <f t="shared" si="4"/>
        <v>1.5798611115314998E-2</v>
      </c>
      <c r="L147" s="11">
        <f t="shared" si="5"/>
        <v>5.1203703704231884E-2</v>
      </c>
    </row>
    <row r="148" spans="1:12" x14ac:dyDescent="0.25">
      <c r="A148" s="3" t="s">
        <v>853</v>
      </c>
      <c r="B148" s="3" t="s">
        <v>175</v>
      </c>
      <c r="C148" s="10">
        <v>45664.113078703696</v>
      </c>
      <c r="D148" s="10">
        <v>45664.115347222221</v>
      </c>
      <c r="E148" s="10">
        <v>45664.133287037039</v>
      </c>
      <c r="F148" s="10">
        <v>45664.134513888886</v>
      </c>
      <c r="G148" s="3" t="s">
        <v>828</v>
      </c>
      <c r="H148" s="10">
        <v>45664.138078703712</v>
      </c>
      <c r="I148" s="10">
        <v>45664.162824074083</v>
      </c>
      <c r="J148" s="10">
        <v>45664.163611111107</v>
      </c>
      <c r="K148" s="11">
        <f t="shared" si="4"/>
        <v>1.7939814817509614E-2</v>
      </c>
      <c r="L148" s="11">
        <f t="shared" si="5"/>
        <v>2.8310185196460225E-2</v>
      </c>
    </row>
    <row r="149" spans="1:12" x14ac:dyDescent="0.25">
      <c r="A149" s="3" t="s">
        <v>855</v>
      </c>
      <c r="B149" s="3" t="s">
        <v>176</v>
      </c>
      <c r="C149" s="10">
        <v>45664.270983796298</v>
      </c>
      <c r="D149" s="10">
        <v>45664.273263888892</v>
      </c>
      <c r="E149" s="10">
        <v>45664.279386574082</v>
      </c>
      <c r="F149" s="10">
        <v>45664.281192129631</v>
      </c>
      <c r="G149" s="3" t="s">
        <v>856</v>
      </c>
      <c r="H149" s="10">
        <v>45664.283564814818</v>
      </c>
      <c r="I149" s="10">
        <v>45664.335995370369</v>
      </c>
      <c r="J149" s="10">
        <v>45664.337141203701</v>
      </c>
      <c r="K149" s="11">
        <f t="shared" si="4"/>
        <v>6.1226851903484203E-3</v>
      </c>
      <c r="L149" s="11">
        <f t="shared" si="5"/>
        <v>5.4803240738692693E-2</v>
      </c>
    </row>
    <row r="150" spans="1:12" x14ac:dyDescent="0.25">
      <c r="A150" s="3" t="s">
        <v>875</v>
      </c>
      <c r="B150" s="3" t="s">
        <v>178</v>
      </c>
      <c r="C150" s="10">
        <v>45664.306064814817</v>
      </c>
      <c r="D150" s="10">
        <v>45664.308136574073</v>
      </c>
      <c r="E150" s="10">
        <v>45664.315949074073</v>
      </c>
      <c r="F150" s="10">
        <v>45664.318761574083</v>
      </c>
      <c r="G150" s="3" t="s">
        <v>876</v>
      </c>
      <c r="H150" s="10">
        <v>45664.321122685193</v>
      </c>
      <c r="I150" s="10">
        <v>45664.390821759262</v>
      </c>
      <c r="J150" s="10">
        <v>45664.392280092587</v>
      </c>
      <c r="K150" s="11">
        <f t="shared" si="4"/>
        <v>7.8125E-3</v>
      </c>
      <c r="L150" s="11">
        <f t="shared" si="5"/>
        <v>7.2060185178997926E-2</v>
      </c>
    </row>
    <row r="151" spans="1:12" x14ac:dyDescent="0.25">
      <c r="A151" s="3" t="s">
        <v>878</v>
      </c>
      <c r="B151" s="3" t="s">
        <v>179</v>
      </c>
      <c r="C151" s="10">
        <v>45664.30878472222</v>
      </c>
      <c r="D151" s="10">
        <v>45664.310208333343</v>
      </c>
      <c r="E151" s="10">
        <v>45664.31962962963</v>
      </c>
      <c r="F151" s="10">
        <v>45664.321504629632</v>
      </c>
      <c r="G151" s="3" t="s">
        <v>879</v>
      </c>
      <c r="H151" s="10">
        <v>45664.323900462958</v>
      </c>
      <c r="I151" s="10">
        <v>45664.370787037027</v>
      </c>
      <c r="J151" s="10">
        <v>45664.371817129628</v>
      </c>
      <c r="K151" s="11">
        <f t="shared" si="4"/>
        <v>9.4212962867459282E-3</v>
      </c>
      <c r="L151" s="11">
        <f t="shared" si="5"/>
        <v>4.9282407395367045E-2</v>
      </c>
    </row>
    <row r="152" spans="1:12" x14ac:dyDescent="0.25">
      <c r="A152" s="3" t="s">
        <v>858</v>
      </c>
      <c r="B152" s="3" t="s">
        <v>177</v>
      </c>
      <c r="C152" s="10">
        <v>45664.301805555559</v>
      </c>
      <c r="D152" s="10">
        <v>45664.304016203707</v>
      </c>
      <c r="E152" s="10">
        <v>45664.322372685187</v>
      </c>
      <c r="F152" s="10">
        <v>45664.324293981481</v>
      </c>
      <c r="G152" s="3" t="s">
        <v>798</v>
      </c>
      <c r="H152" s="10">
        <v>45664.328182870369</v>
      </c>
      <c r="I152" s="10">
        <v>45664.360312500001</v>
      </c>
      <c r="J152" s="10">
        <v>45664.360960648148</v>
      </c>
      <c r="K152" s="11">
        <f t="shared" si="4"/>
        <v>1.8356481479713693E-2</v>
      </c>
      <c r="L152" s="11">
        <f t="shared" si="5"/>
        <v>3.6018518519995268E-2</v>
      </c>
    </row>
    <row r="153" spans="1:12" x14ac:dyDescent="0.25">
      <c r="A153" s="3" t="s">
        <v>860</v>
      </c>
      <c r="B153" s="3" t="s">
        <v>177</v>
      </c>
      <c r="C153" s="10">
        <v>45664.301805555559</v>
      </c>
      <c r="D153" s="10">
        <v>45664.304016203707</v>
      </c>
      <c r="E153" s="10">
        <v>45664.324293981481</v>
      </c>
      <c r="F153" s="10">
        <v>45664.32607638889</v>
      </c>
      <c r="G153" s="3" t="s">
        <v>792</v>
      </c>
      <c r="H153" s="10">
        <v>45664.754826388889</v>
      </c>
      <c r="I153" s="10">
        <v>45664.779861111107</v>
      </c>
      <c r="J153" s="10">
        <v>45664.780775462961</v>
      </c>
      <c r="K153" s="11">
        <f t="shared" si="4"/>
        <v>2.0277777774026617E-2</v>
      </c>
      <c r="L153" s="11">
        <f t="shared" si="5"/>
        <v>0.45378472221636912</v>
      </c>
    </row>
    <row r="154" spans="1:12" x14ac:dyDescent="0.25">
      <c r="A154" s="3" t="s">
        <v>862</v>
      </c>
      <c r="B154" s="3" t="s">
        <v>177</v>
      </c>
      <c r="C154" s="10">
        <v>45664.301805555559</v>
      </c>
      <c r="D154" s="10">
        <v>45664.304016203707</v>
      </c>
      <c r="E154" s="10">
        <v>45664.32607638889</v>
      </c>
      <c r="F154" s="10">
        <v>45664.327384259261</v>
      </c>
      <c r="G154" s="3" t="s">
        <v>803</v>
      </c>
      <c r="H154" s="10">
        <v>45664.334791666668</v>
      </c>
      <c r="I154" s="10">
        <v>45664.404004629629</v>
      </c>
      <c r="J154" s="10">
        <v>45664.405046296299</v>
      </c>
      <c r="K154" s="11">
        <f t="shared" si="4"/>
        <v>2.2060185183363501E-2</v>
      </c>
      <c r="L154" s="11">
        <f t="shared" si="5"/>
        <v>7.6620370367891155E-2</v>
      </c>
    </row>
    <row r="155" spans="1:12" x14ac:dyDescent="0.25">
      <c r="A155" s="3" t="s">
        <v>864</v>
      </c>
      <c r="B155" s="3" t="s">
        <v>177</v>
      </c>
      <c r="C155" s="10">
        <v>45664.301805555559</v>
      </c>
      <c r="D155" s="10">
        <v>45664.304016203707</v>
      </c>
      <c r="E155" s="10">
        <v>45664.327384259261</v>
      </c>
      <c r="F155" s="10">
        <v>45664.328842592593</v>
      </c>
      <c r="G155" s="3" t="s">
        <v>803</v>
      </c>
      <c r="H155" s="10">
        <v>45664.334791666668</v>
      </c>
      <c r="I155" s="10">
        <v>45664.404004629629</v>
      </c>
      <c r="J155" s="10">
        <v>45664.405046296299</v>
      </c>
      <c r="K155" s="11">
        <f t="shared" si="4"/>
        <v>2.3368055553874001E-2</v>
      </c>
      <c r="L155" s="11">
        <f t="shared" si="5"/>
        <v>7.5162037035624962E-2</v>
      </c>
    </row>
    <row r="156" spans="1:12" x14ac:dyDescent="0.25">
      <c r="A156" s="3" t="s">
        <v>866</v>
      </c>
      <c r="B156" s="3" t="s">
        <v>177</v>
      </c>
      <c r="C156" s="10">
        <v>45664.301805555559</v>
      </c>
      <c r="D156" s="10">
        <v>45664.304016203707</v>
      </c>
      <c r="E156" s="10">
        <v>45664.328842592593</v>
      </c>
      <c r="F156" s="10">
        <v>45664.33017361111</v>
      </c>
      <c r="G156" s="3" t="s">
        <v>867</v>
      </c>
      <c r="H156" s="10">
        <v>45664.661192129628</v>
      </c>
      <c r="I156" s="10">
        <v>45664.704641203702</v>
      </c>
      <c r="J156" s="10">
        <v>45664.705347222232</v>
      </c>
      <c r="K156" s="11">
        <f t="shared" si="4"/>
        <v>2.4826388886140194E-2</v>
      </c>
      <c r="L156" s="11">
        <f t="shared" si="5"/>
        <v>0.37446759259182727</v>
      </c>
    </row>
    <row r="157" spans="1:12" x14ac:dyDescent="0.25">
      <c r="A157" s="3" t="s">
        <v>869</v>
      </c>
      <c r="B157" s="3" t="s">
        <v>177</v>
      </c>
      <c r="C157" s="10">
        <v>45664.301805555559</v>
      </c>
      <c r="D157" s="10">
        <v>45664.304016203707</v>
      </c>
      <c r="E157" s="10">
        <v>45664.33017361111</v>
      </c>
      <c r="F157" s="10">
        <v>45664.331331018519</v>
      </c>
      <c r="G157" s="3" t="s">
        <v>870</v>
      </c>
      <c r="H157" s="10">
        <v>45664.363240740742</v>
      </c>
      <c r="I157" s="10">
        <v>45664.421377314808</v>
      </c>
      <c r="J157" s="10">
        <v>45664.422488425917</v>
      </c>
      <c r="K157" s="11">
        <f t="shared" si="4"/>
        <v>2.6157407402934041E-2</v>
      </c>
      <c r="L157" s="11">
        <f t="shared" si="5"/>
        <v>9.0046296289074235E-2</v>
      </c>
    </row>
    <row r="158" spans="1:12" x14ac:dyDescent="0.25">
      <c r="A158" s="3" t="s">
        <v>872</v>
      </c>
      <c r="B158" s="3" t="s">
        <v>177</v>
      </c>
      <c r="C158" s="10">
        <v>45664.301805555559</v>
      </c>
      <c r="D158" s="10">
        <v>45664.304016203707</v>
      </c>
      <c r="E158" s="10">
        <v>45664.331331018519</v>
      </c>
      <c r="F158" s="10">
        <v>45664.333136574067</v>
      </c>
      <c r="G158" s="3" t="s">
        <v>873</v>
      </c>
      <c r="H158" s="10">
        <v>45665.140451388892</v>
      </c>
      <c r="I158" s="10">
        <v>45665.179907407408</v>
      </c>
      <c r="J158" s="10">
        <v>45665.180775462963</v>
      </c>
      <c r="K158" s="11">
        <f t="shared" si="4"/>
        <v>2.7314814811688848E-2</v>
      </c>
      <c r="L158" s="11">
        <f t="shared" si="5"/>
        <v>0.84677083334099734</v>
      </c>
    </row>
    <row r="159" spans="1:12" x14ac:dyDescent="0.25">
      <c r="A159" s="3" t="s">
        <v>881</v>
      </c>
      <c r="B159" s="3" t="s">
        <v>180</v>
      </c>
      <c r="C159" s="10">
        <v>45664.344629629632</v>
      </c>
      <c r="D159" s="10">
        <v>45664.347129629627</v>
      </c>
      <c r="E159" s="10">
        <v>45664.355243055557</v>
      </c>
      <c r="F159" s="10">
        <v>45664.35701388889</v>
      </c>
      <c r="G159" s="3" t="s">
        <v>870</v>
      </c>
      <c r="H159" s="10">
        <v>45664.363240740742</v>
      </c>
      <c r="I159" s="10">
        <v>45664.421377314808</v>
      </c>
      <c r="J159" s="10">
        <v>45664.422488425917</v>
      </c>
      <c r="K159" s="11">
        <f t="shared" si="4"/>
        <v>8.1134259307873435E-3</v>
      </c>
      <c r="L159" s="11">
        <f t="shared" si="5"/>
        <v>6.436342591769062E-2</v>
      </c>
    </row>
    <row r="160" spans="1:12" x14ac:dyDescent="0.25">
      <c r="A160" s="3" t="s">
        <v>883</v>
      </c>
      <c r="B160" s="3" t="s">
        <v>180</v>
      </c>
      <c r="C160" s="10">
        <v>45664.344629629632</v>
      </c>
      <c r="D160" s="10">
        <v>45664.347129629627</v>
      </c>
      <c r="E160" s="10">
        <v>45664.35701388889</v>
      </c>
      <c r="F160" s="10">
        <v>45664.359270833331</v>
      </c>
      <c r="G160" s="3" t="s">
        <v>733</v>
      </c>
      <c r="H160" s="10">
        <v>45664.365104166667</v>
      </c>
      <c r="I160" s="10">
        <v>45664.437025462961</v>
      </c>
      <c r="J160" s="10">
        <v>45664.437951388893</v>
      </c>
      <c r="K160" s="11">
        <f t="shared" si="4"/>
        <v>9.8842592633445747E-3</v>
      </c>
      <c r="L160" s="11">
        <f t="shared" si="5"/>
        <v>7.7754629630362615E-2</v>
      </c>
    </row>
    <row r="161" spans="1:12" x14ac:dyDescent="0.25">
      <c r="A161" s="3" t="s">
        <v>885</v>
      </c>
      <c r="B161" s="3" t="s">
        <v>181</v>
      </c>
      <c r="C161" s="10">
        <v>45664.358877314808</v>
      </c>
      <c r="D161" s="10">
        <v>45664.360717592594</v>
      </c>
      <c r="E161" s="10">
        <v>45664.373344907413</v>
      </c>
      <c r="F161" s="10">
        <v>45664.374756944453</v>
      </c>
      <c r="G161" s="3" t="s">
        <v>886</v>
      </c>
      <c r="H161" s="10">
        <v>45665.173888888887</v>
      </c>
      <c r="I161" s="10">
        <v>45665.277638888889</v>
      </c>
      <c r="J161" s="10">
        <v>45665.279490740737</v>
      </c>
      <c r="K161" s="11">
        <f t="shared" si="4"/>
        <v>1.262731481983792E-2</v>
      </c>
      <c r="L161" s="11">
        <f t="shared" si="5"/>
        <v>0.90288194443564862</v>
      </c>
    </row>
    <row r="162" spans="1:12" x14ac:dyDescent="0.25">
      <c r="A162" s="3" t="s">
        <v>888</v>
      </c>
      <c r="B162" s="3" t="s">
        <v>181</v>
      </c>
      <c r="C162" s="10">
        <v>45664.358877314808</v>
      </c>
      <c r="D162" s="10">
        <v>45664.360717592594</v>
      </c>
      <c r="E162" s="10">
        <v>45664.374756944453</v>
      </c>
      <c r="F162" s="10">
        <v>45664.376006944447</v>
      </c>
      <c r="G162" s="3" t="s">
        <v>867</v>
      </c>
      <c r="H162" s="10">
        <v>45664.661192129628</v>
      </c>
      <c r="I162" s="10">
        <v>45664.704641203702</v>
      </c>
      <c r="J162" s="10">
        <v>45664.705347222232</v>
      </c>
      <c r="K162" s="11">
        <f t="shared" si="4"/>
        <v>1.4039351859537419E-2</v>
      </c>
      <c r="L162" s="11">
        <f t="shared" si="5"/>
        <v>0.32863425925461343</v>
      </c>
    </row>
    <row r="163" spans="1:12" x14ac:dyDescent="0.25">
      <c r="A163" s="3" t="s">
        <v>890</v>
      </c>
      <c r="B163" s="3" t="s">
        <v>181</v>
      </c>
      <c r="C163" s="10">
        <v>45664.358877314808</v>
      </c>
      <c r="D163" s="10">
        <v>45664.360717592594</v>
      </c>
      <c r="E163" s="10">
        <v>45664.376006944447</v>
      </c>
      <c r="F163" s="10">
        <v>45664.377245370371</v>
      </c>
      <c r="G163" s="3" t="s">
        <v>891</v>
      </c>
      <c r="H163" s="10">
        <v>45664.455335648148</v>
      </c>
      <c r="I163" s="10">
        <v>45664.507025462961</v>
      </c>
      <c r="J163" s="10">
        <v>45664.508171296293</v>
      </c>
      <c r="K163" s="11">
        <f t="shared" si="4"/>
        <v>1.5289351853425615E-2</v>
      </c>
      <c r="L163" s="11">
        <f t="shared" si="5"/>
        <v>0.12978009258949896</v>
      </c>
    </row>
    <row r="164" spans="1:12" x14ac:dyDescent="0.25">
      <c r="A164" s="3" t="s">
        <v>893</v>
      </c>
      <c r="B164" s="3" t="s">
        <v>181</v>
      </c>
      <c r="C164" s="10">
        <v>45664.358877314808</v>
      </c>
      <c r="D164" s="10">
        <v>45664.360717592594</v>
      </c>
      <c r="E164" s="10">
        <v>45664.377245370371</v>
      </c>
      <c r="F164" s="10">
        <v>45664.378969907397</v>
      </c>
      <c r="G164" s="3" t="s">
        <v>873</v>
      </c>
      <c r="H164" s="10">
        <v>45665.140451388892</v>
      </c>
      <c r="I164" s="10">
        <v>45665.179907407408</v>
      </c>
      <c r="J164" s="10">
        <v>45665.180775462963</v>
      </c>
      <c r="K164" s="11">
        <f t="shared" si="4"/>
        <v>1.6527777777810115E-2</v>
      </c>
      <c r="L164" s="11">
        <f t="shared" si="5"/>
        <v>0.80093750001105946</v>
      </c>
    </row>
    <row r="165" spans="1:12" x14ac:dyDescent="0.25">
      <c r="A165" s="3" t="s">
        <v>895</v>
      </c>
      <c r="B165" s="3" t="s">
        <v>181</v>
      </c>
      <c r="C165" s="10">
        <v>45664.358877314808</v>
      </c>
      <c r="D165" s="10">
        <v>45664.360717592594</v>
      </c>
      <c r="E165" s="10">
        <v>45664.378969907397</v>
      </c>
      <c r="F165" s="10">
        <v>45664.380682870367</v>
      </c>
      <c r="G165" s="3" t="s">
        <v>792</v>
      </c>
      <c r="H165" s="10">
        <v>45664.754826388889</v>
      </c>
      <c r="I165" s="10">
        <v>45664.779861111107</v>
      </c>
      <c r="J165" s="10">
        <v>45664.780775462961</v>
      </c>
      <c r="K165" s="11">
        <f t="shared" si="4"/>
        <v>1.8252314803248737E-2</v>
      </c>
      <c r="L165" s="11">
        <f t="shared" si="5"/>
        <v>0.39917824073927477</v>
      </c>
    </row>
    <row r="166" spans="1:12" x14ac:dyDescent="0.25">
      <c r="A166" s="3" t="s">
        <v>897</v>
      </c>
      <c r="B166" s="3" t="s">
        <v>181</v>
      </c>
      <c r="C166" s="10">
        <v>45664.358877314808</v>
      </c>
      <c r="D166" s="10">
        <v>45664.360717592594</v>
      </c>
      <c r="E166" s="10">
        <v>45664.380682870367</v>
      </c>
      <c r="F166" s="10">
        <v>45664.381990740738</v>
      </c>
      <c r="G166" s="3" t="s">
        <v>898</v>
      </c>
      <c r="H166" s="10">
        <v>45664.656956018523</v>
      </c>
      <c r="I166" s="10">
        <v>45664.686226851853</v>
      </c>
      <c r="J166" s="10">
        <v>45664.687013888892</v>
      </c>
      <c r="K166" s="11">
        <f t="shared" si="4"/>
        <v>1.9965277773735579E-2</v>
      </c>
      <c r="L166" s="11">
        <f t="shared" si="5"/>
        <v>0.30423611111473292</v>
      </c>
    </row>
    <row r="167" spans="1:12" x14ac:dyDescent="0.25">
      <c r="A167" s="3" t="s">
        <v>900</v>
      </c>
      <c r="B167" s="3" t="s">
        <v>181</v>
      </c>
      <c r="C167" s="10">
        <v>45664.358877314808</v>
      </c>
      <c r="D167" s="10">
        <v>45664.360717592594</v>
      </c>
      <c r="E167" s="10">
        <v>45664.381990740738</v>
      </c>
      <c r="F167" s="10">
        <v>45664.384027777778</v>
      </c>
      <c r="G167" s="3" t="s">
        <v>901</v>
      </c>
      <c r="H167" s="10">
        <v>45664.65388888889</v>
      </c>
      <c r="I167" s="10">
        <v>45664.682199074072</v>
      </c>
      <c r="J167" s="10">
        <v>45664.682893518519</v>
      </c>
      <c r="K167" s="11">
        <f t="shared" si="4"/>
        <v>2.1273148144246079E-2</v>
      </c>
      <c r="L167" s="11">
        <f t="shared" si="5"/>
        <v>0.29817129629373085</v>
      </c>
    </row>
    <row r="168" spans="1:12" x14ac:dyDescent="0.25">
      <c r="A168" s="3" t="s">
        <v>903</v>
      </c>
      <c r="B168" s="3" t="s">
        <v>181</v>
      </c>
      <c r="C168" s="10">
        <v>45664.358877314808</v>
      </c>
      <c r="D168" s="10">
        <v>45664.360717592594</v>
      </c>
      <c r="E168" s="10">
        <v>45664.384027777778</v>
      </c>
      <c r="F168" s="10">
        <v>45664.385289351849</v>
      </c>
      <c r="G168" s="3" t="s">
        <v>867</v>
      </c>
      <c r="H168" s="10">
        <v>45664.661192129628</v>
      </c>
      <c r="I168" s="10">
        <v>45664.704641203702</v>
      </c>
      <c r="J168" s="10">
        <v>45664.705347222232</v>
      </c>
      <c r="K168" s="11">
        <f t="shared" si="4"/>
        <v>2.3310185184527654E-2</v>
      </c>
      <c r="L168" s="11">
        <f t="shared" si="5"/>
        <v>0.31935185185284354</v>
      </c>
    </row>
    <row r="169" spans="1:12" x14ac:dyDescent="0.25">
      <c r="A169" s="3" t="s">
        <v>905</v>
      </c>
      <c r="B169" s="3" t="s">
        <v>182</v>
      </c>
      <c r="C169" s="10">
        <v>45664.438784722217</v>
      </c>
      <c r="D169" s="10">
        <v>45664.441412037027</v>
      </c>
      <c r="E169" s="10">
        <v>45664.451145833344</v>
      </c>
      <c r="F169" s="10">
        <v>45664.452939814822</v>
      </c>
      <c r="G169" s="3" t="s">
        <v>891</v>
      </c>
      <c r="H169" s="10">
        <v>45664.455335648148</v>
      </c>
      <c r="I169" s="10">
        <v>45664.507025462961</v>
      </c>
      <c r="J169" s="10">
        <v>45664.508171296293</v>
      </c>
      <c r="K169" s="11">
        <f t="shared" si="4"/>
        <v>9.733796316140797E-3</v>
      </c>
      <c r="L169" s="11">
        <f t="shared" si="5"/>
        <v>5.4085648138425313E-2</v>
      </c>
    </row>
    <row r="170" spans="1:12" x14ac:dyDescent="0.25">
      <c r="A170" s="3" t="s">
        <v>907</v>
      </c>
      <c r="B170" s="3" t="s">
        <v>182</v>
      </c>
      <c r="C170" s="10">
        <v>45664.438784722217</v>
      </c>
      <c r="D170" s="10">
        <v>45664.441412037027</v>
      </c>
      <c r="E170" s="10">
        <v>45664.452939814822</v>
      </c>
      <c r="F170" s="10">
        <v>45664.455011574071</v>
      </c>
      <c r="G170" s="3" t="s">
        <v>908</v>
      </c>
      <c r="H170" s="10">
        <v>45664.682141203702</v>
      </c>
      <c r="I170" s="10">
        <v>45664.705405092587</v>
      </c>
      <c r="J170" s="10">
        <v>45664.706030092602</v>
      </c>
      <c r="K170" s="11">
        <f t="shared" si="4"/>
        <v>1.1527777794981375E-2</v>
      </c>
      <c r="L170" s="11">
        <f t="shared" si="5"/>
        <v>0.25039351851592073</v>
      </c>
    </row>
    <row r="171" spans="1:12" x14ac:dyDescent="0.25">
      <c r="A171" s="3" t="s">
        <v>910</v>
      </c>
      <c r="B171" s="3" t="s">
        <v>182</v>
      </c>
      <c r="C171" s="10">
        <v>45664.438784722217</v>
      </c>
      <c r="D171" s="10">
        <v>45664.441412037027</v>
      </c>
      <c r="E171" s="10">
        <v>45664.455011574071</v>
      </c>
      <c r="F171" s="10">
        <v>45664.457175925927</v>
      </c>
      <c r="G171" s="3" t="s">
        <v>911</v>
      </c>
      <c r="H171" s="10">
        <v>45664.554456018523</v>
      </c>
      <c r="I171" s="10">
        <v>45664.601203703707</v>
      </c>
      <c r="J171" s="10">
        <v>45664.602314814823</v>
      </c>
      <c r="K171" s="11">
        <f t="shared" si="4"/>
        <v>1.3599537043774035E-2</v>
      </c>
      <c r="L171" s="11">
        <f t="shared" si="5"/>
        <v>0.14402777778013842</v>
      </c>
    </row>
    <row r="172" spans="1:12" x14ac:dyDescent="0.25">
      <c r="A172" s="3" t="s">
        <v>913</v>
      </c>
      <c r="B172" s="3" t="s">
        <v>183</v>
      </c>
      <c r="C172" s="10">
        <v>45664.541354166657</v>
      </c>
      <c r="D172" s="10">
        <v>45664.543391203697</v>
      </c>
      <c r="E172" s="10">
        <v>45664.548449074071</v>
      </c>
      <c r="F172" s="10">
        <v>45664.550879629627</v>
      </c>
      <c r="G172" s="3" t="s">
        <v>911</v>
      </c>
      <c r="H172" s="10">
        <v>45664.554456018523</v>
      </c>
      <c r="I172" s="10">
        <v>45664.601203703707</v>
      </c>
      <c r="J172" s="10">
        <v>45664.602314814823</v>
      </c>
      <c r="K172" s="11">
        <f t="shared" si="4"/>
        <v>5.0578703740029596E-3</v>
      </c>
      <c r="L172" s="11">
        <f t="shared" si="5"/>
        <v>5.0324074079981074E-2</v>
      </c>
    </row>
    <row r="173" spans="1:12" x14ac:dyDescent="0.25">
      <c r="A173" s="3" t="s">
        <v>915</v>
      </c>
      <c r="B173" s="3" t="s">
        <v>184</v>
      </c>
      <c r="C173" s="10">
        <v>45664.593055555553</v>
      </c>
      <c r="D173" s="10">
        <v>45664.595567129632</v>
      </c>
      <c r="E173" s="10">
        <v>45664.60255787037</v>
      </c>
      <c r="F173" s="10">
        <v>45664.60460648148</v>
      </c>
      <c r="G173" s="3" t="s">
        <v>916</v>
      </c>
      <c r="H173" s="10">
        <v>45664.606782407413</v>
      </c>
      <c r="I173" s="10">
        <v>45664.676724537043</v>
      </c>
      <c r="J173" s="10">
        <v>45664.678113425929</v>
      </c>
      <c r="K173" s="11">
        <f t="shared" si="4"/>
        <v>6.9907407378195785E-3</v>
      </c>
      <c r="L173" s="11">
        <f t="shared" si="5"/>
        <v>7.2118055562896188E-2</v>
      </c>
    </row>
    <row r="174" spans="1:12" x14ac:dyDescent="0.25">
      <c r="A174" s="3" t="s">
        <v>918</v>
      </c>
      <c r="B174" s="3" t="s">
        <v>185</v>
      </c>
      <c r="C174" s="10">
        <v>45664.624027777783</v>
      </c>
      <c r="D174" s="10">
        <v>45664.62636574074</v>
      </c>
      <c r="E174" s="10">
        <v>45664.643391203703</v>
      </c>
      <c r="F174" s="10">
        <v>45664.645428240743</v>
      </c>
      <c r="G174" s="3" t="s">
        <v>919</v>
      </c>
      <c r="H174" s="10">
        <v>45665.137013888889</v>
      </c>
      <c r="I174" s="10">
        <v>45665.158692129633</v>
      </c>
      <c r="J174" s="10">
        <v>45665.159467592603</v>
      </c>
      <c r="K174" s="11">
        <f t="shared" si="4"/>
        <v>1.7025462962919846E-2</v>
      </c>
      <c r="L174" s="11">
        <f t="shared" si="5"/>
        <v>0.51326388888992369</v>
      </c>
    </row>
    <row r="175" spans="1:12" x14ac:dyDescent="0.25">
      <c r="A175" s="3" t="s">
        <v>921</v>
      </c>
      <c r="B175" s="3" t="s">
        <v>185</v>
      </c>
      <c r="C175" s="10">
        <v>45664.624027777783</v>
      </c>
      <c r="D175" s="10">
        <v>45664.62636574074</v>
      </c>
      <c r="E175" s="10">
        <v>45664.645428240743</v>
      </c>
      <c r="F175" s="10">
        <v>45664.647152777783</v>
      </c>
      <c r="G175" s="3" t="s">
        <v>655</v>
      </c>
      <c r="H175" s="10">
        <v>45666.779282407413</v>
      </c>
      <c r="I175" s="10">
        <v>45666.816678240742</v>
      </c>
      <c r="J175" s="10">
        <v>45666.817453703698</v>
      </c>
      <c r="K175" s="11">
        <f t="shared" si="4"/>
        <v>1.9062500003201421E-2</v>
      </c>
      <c r="L175" s="11">
        <f t="shared" si="5"/>
        <v>2.1695254629594274</v>
      </c>
    </row>
    <row r="176" spans="1:12" x14ac:dyDescent="0.25">
      <c r="A176" s="3" t="s">
        <v>923</v>
      </c>
      <c r="B176" s="3" t="s">
        <v>185</v>
      </c>
      <c r="C176" s="10">
        <v>45664.624027777783</v>
      </c>
      <c r="D176" s="10">
        <v>45664.62636574074</v>
      </c>
      <c r="E176" s="10">
        <v>45664.647152777783</v>
      </c>
      <c r="F176" s="10">
        <v>45664.648321759261</v>
      </c>
      <c r="G176" s="3" t="s">
        <v>924</v>
      </c>
      <c r="H176" s="10">
        <v>45665.345416666663</v>
      </c>
      <c r="I176" s="10">
        <v>45665.36886574074</v>
      </c>
      <c r="J176" s="10">
        <v>45665.369629629633</v>
      </c>
      <c r="K176" s="11">
        <f t="shared" si="4"/>
        <v>2.0787037043191958E-2</v>
      </c>
      <c r="L176" s="11">
        <f t="shared" si="5"/>
        <v>0.72054398147884058</v>
      </c>
    </row>
    <row r="177" spans="1:12" x14ac:dyDescent="0.25">
      <c r="A177" s="3" t="s">
        <v>926</v>
      </c>
      <c r="B177" s="3" t="s">
        <v>185</v>
      </c>
      <c r="C177" s="10">
        <v>45664.624027777783</v>
      </c>
      <c r="D177" s="10">
        <v>45664.62636574074</v>
      </c>
      <c r="E177" s="10">
        <v>45664.648321759261</v>
      </c>
      <c r="F177" s="10">
        <v>45664.650312500002</v>
      </c>
      <c r="G177" s="3" t="s">
        <v>901</v>
      </c>
      <c r="H177" s="10">
        <v>45664.65388888889</v>
      </c>
      <c r="I177" s="10">
        <v>45664.682199074072</v>
      </c>
      <c r="J177" s="10">
        <v>45664.682893518519</v>
      </c>
      <c r="K177" s="11">
        <f t="shared" si="4"/>
        <v>2.195601852145046E-2</v>
      </c>
      <c r="L177" s="11">
        <f t="shared" si="5"/>
        <v>3.1886574070085771E-2</v>
      </c>
    </row>
    <row r="178" spans="1:12" x14ac:dyDescent="0.25">
      <c r="A178" s="3" t="s">
        <v>928</v>
      </c>
      <c r="B178" s="3" t="s">
        <v>185</v>
      </c>
      <c r="C178" s="10">
        <v>45664.624027777783</v>
      </c>
      <c r="D178" s="10">
        <v>45664.62636574074</v>
      </c>
      <c r="E178" s="10">
        <v>45664.650312500002</v>
      </c>
      <c r="F178" s="10">
        <v>45664.651608796303</v>
      </c>
      <c r="G178" s="3" t="s">
        <v>867</v>
      </c>
      <c r="H178" s="10">
        <v>45664.661192129628</v>
      </c>
      <c r="I178" s="10">
        <v>45664.704641203702</v>
      </c>
      <c r="J178" s="10">
        <v>45664.705347222232</v>
      </c>
      <c r="K178" s="11">
        <f t="shared" si="4"/>
        <v>2.3946759261889383E-2</v>
      </c>
      <c r="L178" s="11">
        <f t="shared" si="5"/>
        <v>5.3032407398859505E-2</v>
      </c>
    </row>
    <row r="179" spans="1:12" x14ac:dyDescent="0.25">
      <c r="A179" s="3" t="s">
        <v>930</v>
      </c>
      <c r="B179" s="3" t="s">
        <v>185</v>
      </c>
      <c r="C179" s="10">
        <v>45664.624027777783</v>
      </c>
      <c r="D179" s="10">
        <v>45664.62636574074</v>
      </c>
      <c r="E179" s="10">
        <v>45664.651608796303</v>
      </c>
      <c r="F179" s="10">
        <v>45664.653101851851</v>
      </c>
      <c r="G179" s="3" t="s">
        <v>596</v>
      </c>
      <c r="H179" s="10">
        <v>45666.323449074072</v>
      </c>
      <c r="I179" s="10">
        <v>45666.39607638889</v>
      </c>
      <c r="J179" s="10">
        <v>45666.397569444453</v>
      </c>
      <c r="K179" s="11">
        <f t="shared" si="4"/>
        <v>2.5243055562896188E-2</v>
      </c>
      <c r="L179" s="11">
        <f t="shared" si="5"/>
        <v>1.7429745370391174</v>
      </c>
    </row>
    <row r="180" spans="1:12" x14ac:dyDescent="0.25">
      <c r="A180" s="3" t="s">
        <v>932</v>
      </c>
      <c r="B180" s="3" t="s">
        <v>185</v>
      </c>
      <c r="C180" s="10">
        <v>45664.624027777783</v>
      </c>
      <c r="D180" s="10">
        <v>45664.62636574074</v>
      </c>
      <c r="E180" s="10">
        <v>45664.653101851851</v>
      </c>
      <c r="F180" s="10">
        <v>45664.654583333337</v>
      </c>
      <c r="G180" s="3" t="s">
        <v>898</v>
      </c>
      <c r="H180" s="10">
        <v>45664.656956018523</v>
      </c>
      <c r="I180" s="10">
        <v>45664.686226851853</v>
      </c>
      <c r="J180" s="10">
        <v>45664.687013888892</v>
      </c>
      <c r="K180" s="11">
        <f t="shared" si="4"/>
        <v>2.6736111110949423E-2</v>
      </c>
      <c r="L180" s="11">
        <f t="shared" si="5"/>
        <v>3.1643518515920732E-2</v>
      </c>
    </row>
    <row r="181" spans="1:12" x14ac:dyDescent="0.25">
      <c r="A181" s="3" t="s">
        <v>934</v>
      </c>
      <c r="B181" s="3" t="s">
        <v>185</v>
      </c>
      <c r="C181" s="10">
        <v>45664.624027777783</v>
      </c>
      <c r="D181" s="10">
        <v>45664.62636574074</v>
      </c>
      <c r="E181" s="10">
        <v>45664.654583333337</v>
      </c>
      <c r="F181" s="10">
        <v>45664.6559837963</v>
      </c>
      <c r="G181" s="3" t="s">
        <v>886</v>
      </c>
      <c r="H181" s="10">
        <v>45665.173888888887</v>
      </c>
      <c r="I181" s="10">
        <v>45665.277638888889</v>
      </c>
      <c r="J181" s="10">
        <v>45665.279490740737</v>
      </c>
      <c r="K181" s="11">
        <f t="shared" si="4"/>
        <v>2.8217592596774921E-2</v>
      </c>
      <c r="L181" s="11">
        <f t="shared" si="5"/>
        <v>0.62165509258920792</v>
      </c>
    </row>
    <row r="182" spans="1:12" x14ac:dyDescent="0.25">
      <c r="A182" s="3" t="s">
        <v>936</v>
      </c>
      <c r="B182" s="3" t="s">
        <v>185</v>
      </c>
      <c r="C182" s="10">
        <v>45664.624027777783</v>
      </c>
      <c r="D182" s="10">
        <v>45664.62636574074</v>
      </c>
      <c r="E182" s="10">
        <v>45664.6559837963</v>
      </c>
      <c r="F182" s="10">
        <v>45664.657268518517</v>
      </c>
      <c r="G182" s="3" t="s">
        <v>867</v>
      </c>
      <c r="H182" s="10">
        <v>45664.661192129628</v>
      </c>
      <c r="I182" s="10">
        <v>45664.704641203702</v>
      </c>
      <c r="J182" s="10">
        <v>45664.705347222232</v>
      </c>
      <c r="K182" s="11">
        <f t="shared" si="4"/>
        <v>2.9618055559694767E-2</v>
      </c>
      <c r="L182" s="11">
        <f t="shared" si="5"/>
        <v>4.7372685185109731E-2</v>
      </c>
    </row>
    <row r="183" spans="1:12" x14ac:dyDescent="0.25">
      <c r="A183" s="3" t="s">
        <v>938</v>
      </c>
      <c r="B183" s="3" t="s">
        <v>185</v>
      </c>
      <c r="C183" s="10">
        <v>45664.624027777783</v>
      </c>
      <c r="D183" s="10">
        <v>45664.62636574074</v>
      </c>
      <c r="E183" s="10">
        <v>45664.657268518517</v>
      </c>
      <c r="F183" s="10">
        <v>45664.65902777778</v>
      </c>
      <c r="G183" s="3" t="s">
        <v>873</v>
      </c>
      <c r="H183" s="10">
        <v>45665.140451388892</v>
      </c>
      <c r="I183" s="10">
        <v>45665.179907407408</v>
      </c>
      <c r="J183" s="10">
        <v>45665.180775462963</v>
      </c>
      <c r="K183" s="11">
        <f t="shared" si="4"/>
        <v>3.0902777776645962E-2</v>
      </c>
      <c r="L183" s="11">
        <f t="shared" si="5"/>
        <v>0.52087962962832535</v>
      </c>
    </row>
    <row r="184" spans="1:12" x14ac:dyDescent="0.25">
      <c r="A184" s="3" t="s">
        <v>940</v>
      </c>
      <c r="B184" s="3" t="s">
        <v>185</v>
      </c>
      <c r="C184" s="10">
        <v>45664.624027777783</v>
      </c>
      <c r="D184" s="10">
        <v>45664.62636574074</v>
      </c>
      <c r="E184" s="10">
        <v>45664.65902777778</v>
      </c>
      <c r="F184" s="10">
        <v>45664.660763888889</v>
      </c>
      <c r="G184" s="3" t="s">
        <v>792</v>
      </c>
      <c r="H184" s="10">
        <v>45664.754826388889</v>
      </c>
      <c r="I184" s="10">
        <v>45664.779861111107</v>
      </c>
      <c r="J184" s="10">
        <v>45664.780775462961</v>
      </c>
      <c r="K184" s="11">
        <f t="shared" si="4"/>
        <v>3.2662037039699499E-2</v>
      </c>
      <c r="L184" s="11">
        <f t="shared" si="5"/>
        <v>0.11909722221753327</v>
      </c>
    </row>
    <row r="185" spans="1:12" x14ac:dyDescent="0.25">
      <c r="A185" s="3" t="s">
        <v>942</v>
      </c>
      <c r="B185" s="3" t="s">
        <v>186</v>
      </c>
      <c r="C185" s="10">
        <v>45664.639907407407</v>
      </c>
      <c r="D185" s="10">
        <v>45664.641967592594</v>
      </c>
      <c r="E185" s="10">
        <v>45664.661631944437</v>
      </c>
      <c r="F185" s="10">
        <v>45664.66443287037</v>
      </c>
      <c r="G185" s="3" t="s">
        <v>943</v>
      </c>
      <c r="H185" s="10">
        <v>45664.666875000003</v>
      </c>
      <c r="I185" s="10">
        <v>45664.752245370371</v>
      </c>
      <c r="J185" s="10">
        <v>45664.753703703696</v>
      </c>
      <c r="K185" s="11">
        <f t="shared" si="4"/>
        <v>1.9664351842948236E-2</v>
      </c>
      <c r="L185" s="11">
        <f t="shared" si="5"/>
        <v>8.781250000174623E-2</v>
      </c>
    </row>
    <row r="186" spans="1:12" x14ac:dyDescent="0.25">
      <c r="A186" s="3" t="s">
        <v>945</v>
      </c>
      <c r="B186" s="3" t="s">
        <v>187</v>
      </c>
      <c r="C186" s="10">
        <v>45664.667118055557</v>
      </c>
      <c r="D186" s="10">
        <v>45664.668958333343</v>
      </c>
      <c r="E186" s="10">
        <v>45664.674537037034</v>
      </c>
      <c r="F186" s="10">
        <v>45664.67633101852</v>
      </c>
      <c r="G186" s="3" t="s">
        <v>946</v>
      </c>
      <c r="H186" s="10">
        <v>45664.773981481478</v>
      </c>
      <c r="I186" s="10">
        <v>45664.828796296293</v>
      </c>
      <c r="J186" s="10">
        <v>45664.830104166656</v>
      </c>
      <c r="K186" s="11">
        <f t="shared" si="4"/>
        <v>5.5787036908441223E-3</v>
      </c>
      <c r="L186" s="11">
        <f t="shared" si="5"/>
        <v>0.15246527777344454</v>
      </c>
    </row>
    <row r="187" spans="1:12" x14ac:dyDescent="0.25">
      <c r="A187" s="3" t="s">
        <v>948</v>
      </c>
      <c r="B187" s="3" t="s">
        <v>187</v>
      </c>
      <c r="C187" s="10">
        <v>45664.667118055557</v>
      </c>
      <c r="D187" s="10">
        <v>45664.668958333343</v>
      </c>
      <c r="E187" s="10">
        <v>45664.67633101852</v>
      </c>
      <c r="F187" s="10">
        <v>45664.678252314807</v>
      </c>
      <c r="G187" s="3" t="s">
        <v>908</v>
      </c>
      <c r="H187" s="10">
        <v>45664.682141203702</v>
      </c>
      <c r="I187" s="10">
        <v>45664.705405092587</v>
      </c>
      <c r="J187" s="10">
        <v>45664.706030092602</v>
      </c>
      <c r="K187" s="11">
        <f t="shared" si="4"/>
        <v>7.3726851769606583E-3</v>
      </c>
      <c r="L187" s="11">
        <f t="shared" si="5"/>
        <v>2.715277778042946E-2</v>
      </c>
    </row>
    <row r="188" spans="1:12" x14ac:dyDescent="0.25">
      <c r="A188" s="3" t="s">
        <v>950</v>
      </c>
      <c r="B188" s="3" t="s">
        <v>188</v>
      </c>
      <c r="C188" s="10">
        <v>45664.722557870373</v>
      </c>
      <c r="D188" s="10">
        <v>45664.725127314807</v>
      </c>
      <c r="E188" s="10">
        <v>45664.743090277778</v>
      </c>
      <c r="F188" s="10">
        <v>45664.744490740741</v>
      </c>
      <c r="G188" s="3" t="s">
        <v>886</v>
      </c>
      <c r="H188" s="10">
        <v>45665.173888888887</v>
      </c>
      <c r="I188" s="10">
        <v>45665.277638888889</v>
      </c>
      <c r="J188" s="10">
        <v>45665.279490740737</v>
      </c>
      <c r="K188" s="11">
        <f t="shared" si="4"/>
        <v>1.7962962971068919E-2</v>
      </c>
      <c r="L188" s="11">
        <f t="shared" si="5"/>
        <v>0.53314814814802958</v>
      </c>
    </row>
    <row r="189" spans="1:12" x14ac:dyDescent="0.25">
      <c r="A189" s="3" t="s">
        <v>952</v>
      </c>
      <c r="B189" s="3" t="s">
        <v>188</v>
      </c>
      <c r="C189" s="10">
        <v>45664.722557870373</v>
      </c>
      <c r="D189" s="10">
        <v>45664.725127314807</v>
      </c>
      <c r="E189" s="10">
        <v>45664.744490740741</v>
      </c>
      <c r="F189" s="10">
        <v>45664.746516203697</v>
      </c>
      <c r="G189" s="3" t="s">
        <v>919</v>
      </c>
      <c r="H189" s="10">
        <v>45665.137013888889</v>
      </c>
      <c r="I189" s="10">
        <v>45665.158692129633</v>
      </c>
      <c r="J189" s="10">
        <v>45665.159467592603</v>
      </c>
      <c r="K189" s="11">
        <f t="shared" si="4"/>
        <v>1.9363425933988765E-2</v>
      </c>
      <c r="L189" s="11">
        <f t="shared" si="5"/>
        <v>0.41217592593602603</v>
      </c>
    </row>
    <row r="190" spans="1:12" x14ac:dyDescent="0.25">
      <c r="A190" s="3" t="s">
        <v>954</v>
      </c>
      <c r="B190" s="3" t="s">
        <v>188</v>
      </c>
      <c r="C190" s="10">
        <v>45664.722557870373</v>
      </c>
      <c r="D190" s="10">
        <v>45664.725127314807</v>
      </c>
      <c r="E190" s="10">
        <v>45664.746516203697</v>
      </c>
      <c r="F190" s="10">
        <v>45664.748287037037</v>
      </c>
      <c r="G190" s="3" t="s">
        <v>873</v>
      </c>
      <c r="H190" s="10">
        <v>45665.140451388892</v>
      </c>
      <c r="I190" s="10">
        <v>45665.179907407408</v>
      </c>
      <c r="J190" s="10">
        <v>45665.180775462963</v>
      </c>
      <c r="K190" s="11">
        <f t="shared" si="4"/>
        <v>2.138888889021473E-2</v>
      </c>
      <c r="L190" s="11">
        <f t="shared" si="5"/>
        <v>0.43162037037109258</v>
      </c>
    </row>
    <row r="191" spans="1:12" x14ac:dyDescent="0.25">
      <c r="A191" s="3" t="s">
        <v>956</v>
      </c>
      <c r="B191" s="3" t="s">
        <v>188</v>
      </c>
      <c r="C191" s="10">
        <v>45664.722557870373</v>
      </c>
      <c r="D191" s="10">
        <v>45664.725127314807</v>
      </c>
      <c r="E191" s="10">
        <v>45664.748287037037</v>
      </c>
      <c r="F191" s="10">
        <v>45664.749479166669</v>
      </c>
      <c r="G191" s="3" t="s">
        <v>924</v>
      </c>
      <c r="H191" s="10">
        <v>45665.345416666663</v>
      </c>
      <c r="I191" s="10">
        <v>45665.36886574074</v>
      </c>
      <c r="J191" s="10">
        <v>45665.369629629633</v>
      </c>
      <c r="K191" s="11">
        <f t="shared" si="4"/>
        <v>2.3159722230047919E-2</v>
      </c>
      <c r="L191" s="11">
        <f t="shared" si="5"/>
        <v>0.61938657407154096</v>
      </c>
    </row>
    <row r="192" spans="1:12" x14ac:dyDescent="0.25">
      <c r="A192" s="3" t="s">
        <v>958</v>
      </c>
      <c r="B192" s="3" t="s">
        <v>188</v>
      </c>
      <c r="C192" s="10">
        <v>45664.722557870373</v>
      </c>
      <c r="D192" s="10">
        <v>45664.725127314807</v>
      </c>
      <c r="E192" s="10">
        <v>45664.749479166669</v>
      </c>
      <c r="F192" s="10">
        <v>45664.751261574071</v>
      </c>
      <c r="G192" s="3" t="s">
        <v>792</v>
      </c>
      <c r="H192" s="10">
        <v>45664.754826388889</v>
      </c>
      <c r="I192" s="10">
        <v>45664.779861111107</v>
      </c>
      <c r="J192" s="10">
        <v>45664.780775462961</v>
      </c>
      <c r="K192" s="11">
        <f t="shared" si="4"/>
        <v>2.4351851861865725E-2</v>
      </c>
      <c r="L192" s="11">
        <f t="shared" si="5"/>
        <v>2.8599537035916001E-2</v>
      </c>
    </row>
    <row r="193" spans="1:12" x14ac:dyDescent="0.25">
      <c r="A193" s="3" t="s">
        <v>960</v>
      </c>
      <c r="B193" s="3" t="s">
        <v>188</v>
      </c>
      <c r="C193" s="10">
        <v>45664.722557870373</v>
      </c>
      <c r="D193" s="10">
        <v>45664.725127314807</v>
      </c>
      <c r="E193" s="10">
        <v>45664.751261574071</v>
      </c>
      <c r="F193" s="10">
        <v>45664.752754629633</v>
      </c>
      <c r="G193" s="3" t="s">
        <v>961</v>
      </c>
      <c r="H193" s="10">
        <v>45664.755150462966</v>
      </c>
      <c r="I193" s="10">
        <v>45664.77516203704</v>
      </c>
      <c r="J193" s="10">
        <v>45664.775833333333</v>
      </c>
      <c r="K193" s="11">
        <f t="shared" si="4"/>
        <v>2.6134259263926651E-2</v>
      </c>
      <c r="L193" s="11">
        <f t="shared" si="5"/>
        <v>2.2407407406717539E-2</v>
      </c>
    </row>
    <row r="194" spans="1:12" x14ac:dyDescent="0.25">
      <c r="A194" s="3" t="s">
        <v>963</v>
      </c>
      <c r="B194" s="3" t="s">
        <v>188</v>
      </c>
      <c r="C194" s="10">
        <v>45664.722557870373</v>
      </c>
      <c r="D194" s="10">
        <v>45664.725127314807</v>
      </c>
      <c r="E194" s="10">
        <v>45664.752754629633</v>
      </c>
      <c r="F194" s="10">
        <v>45664.754780092589</v>
      </c>
      <c r="G194" s="3" t="s">
        <v>919</v>
      </c>
      <c r="H194" s="10">
        <v>45665.137013888889</v>
      </c>
      <c r="I194" s="10">
        <v>45665.158692129633</v>
      </c>
      <c r="J194" s="10">
        <v>45665.159467592603</v>
      </c>
      <c r="K194" s="11">
        <f t="shared" ref="K194:K257" si="6">IF(AND(ISNUMBER(D194),ISNUMBER(E194)),(E194-D194),"")</f>
        <v>2.7627314826531801E-2</v>
      </c>
      <c r="L194" s="11">
        <f t="shared" ref="L194:L257" si="7">IF(AND(ISNUMBER(F194),ISNUMBER(I194)),(I194-F194),"")</f>
        <v>0.403912037043483</v>
      </c>
    </row>
    <row r="195" spans="1:12" x14ac:dyDescent="0.25">
      <c r="A195" s="3" t="s">
        <v>965</v>
      </c>
      <c r="B195" s="3" t="s">
        <v>188</v>
      </c>
      <c r="C195" s="10">
        <v>45664.722557870373</v>
      </c>
      <c r="D195" s="10">
        <v>45664.725127314807</v>
      </c>
      <c r="E195" s="10">
        <v>45664.754780092589</v>
      </c>
      <c r="F195" s="10">
        <v>45664.756747685176</v>
      </c>
      <c r="G195" s="3" t="s">
        <v>966</v>
      </c>
      <c r="H195" s="10">
        <v>45665.134930555563</v>
      </c>
      <c r="I195" s="10">
        <v>45665.153622685182</v>
      </c>
      <c r="J195" s="10">
        <v>45665.154247685183</v>
      </c>
      <c r="K195" s="11">
        <f t="shared" si="6"/>
        <v>2.9652777782757767E-2</v>
      </c>
      <c r="L195" s="11">
        <f t="shared" si="7"/>
        <v>0.39687500000582077</v>
      </c>
    </row>
    <row r="196" spans="1:12" x14ac:dyDescent="0.25">
      <c r="A196" s="3" t="s">
        <v>968</v>
      </c>
      <c r="B196" s="3" t="s">
        <v>188</v>
      </c>
      <c r="C196" s="10">
        <v>45664.722557870373</v>
      </c>
      <c r="D196" s="10">
        <v>45664.725127314807</v>
      </c>
      <c r="E196" s="10">
        <v>45664.756747685176</v>
      </c>
      <c r="F196" s="10">
        <v>45664.758715277778</v>
      </c>
      <c r="G196" s="3" t="s">
        <v>757</v>
      </c>
      <c r="H196" s="10">
        <v>45665.646631944437</v>
      </c>
      <c r="I196" s="10">
        <v>45665.672546296293</v>
      </c>
      <c r="J196" s="10">
        <v>45665.673414351862</v>
      </c>
      <c r="K196" s="11">
        <f t="shared" si="6"/>
        <v>3.1620370369637385E-2</v>
      </c>
      <c r="L196" s="11">
        <f t="shared" si="7"/>
        <v>0.91383101851533866</v>
      </c>
    </row>
    <row r="197" spans="1:12" x14ac:dyDescent="0.25">
      <c r="A197" s="3" t="s">
        <v>970</v>
      </c>
      <c r="B197" s="3" t="s">
        <v>188</v>
      </c>
      <c r="C197" s="10">
        <v>45664.722557870373</v>
      </c>
      <c r="D197" s="10">
        <v>45664.725127314807</v>
      </c>
      <c r="E197" s="10">
        <v>45664.758715277778</v>
      </c>
      <c r="F197" s="10">
        <v>45664.760474537034</v>
      </c>
      <c r="G197" s="3" t="s">
        <v>655</v>
      </c>
      <c r="H197" s="10">
        <v>45666.779282407413</v>
      </c>
      <c r="I197" s="10">
        <v>45666.816678240742</v>
      </c>
      <c r="J197" s="10">
        <v>45666.817453703698</v>
      </c>
      <c r="K197" s="11">
        <f t="shared" si="6"/>
        <v>3.3587962971068919E-2</v>
      </c>
      <c r="L197" s="11">
        <f t="shared" si="7"/>
        <v>2.0562037037088885</v>
      </c>
    </row>
    <row r="198" spans="1:12" x14ac:dyDescent="0.25">
      <c r="A198" s="3" t="s">
        <v>972</v>
      </c>
      <c r="B198" s="3" t="s">
        <v>188</v>
      </c>
      <c r="C198" s="10">
        <v>45664.722557870373</v>
      </c>
      <c r="D198" s="10">
        <v>45664.725127314807</v>
      </c>
      <c r="E198" s="10">
        <v>45664.760474537034</v>
      </c>
      <c r="F198" s="10">
        <v>45664.762418981481</v>
      </c>
      <c r="G198" s="3" t="s">
        <v>966</v>
      </c>
      <c r="H198" s="10">
        <v>45665.134930555563</v>
      </c>
      <c r="I198" s="10">
        <v>45665.153622685182</v>
      </c>
      <c r="J198" s="10">
        <v>45665.154247685183</v>
      </c>
      <c r="K198" s="11">
        <f t="shared" si="6"/>
        <v>3.5347222226846498E-2</v>
      </c>
      <c r="L198" s="11">
        <f t="shared" si="7"/>
        <v>0.39120370370073942</v>
      </c>
    </row>
    <row r="199" spans="1:12" x14ac:dyDescent="0.25">
      <c r="A199" s="3" t="s">
        <v>974</v>
      </c>
      <c r="B199" s="3" t="s">
        <v>188</v>
      </c>
      <c r="C199" s="10">
        <v>45664.722557870373</v>
      </c>
      <c r="D199" s="10">
        <v>45664.725127314807</v>
      </c>
      <c r="E199" s="10">
        <v>45664.762418981481</v>
      </c>
      <c r="F199" s="10">
        <v>45664.76357638889</v>
      </c>
      <c r="G199" s="3" t="s">
        <v>924</v>
      </c>
      <c r="H199" s="10">
        <v>45665.345416666663</v>
      </c>
      <c r="I199" s="10">
        <v>45665.36886574074</v>
      </c>
      <c r="J199" s="10">
        <v>45665.369629629633</v>
      </c>
      <c r="K199" s="11">
        <f t="shared" si="6"/>
        <v>3.7291666674718726E-2</v>
      </c>
      <c r="L199" s="11">
        <f t="shared" si="7"/>
        <v>0.60528935184993315</v>
      </c>
    </row>
    <row r="200" spans="1:12" x14ac:dyDescent="0.25">
      <c r="A200" s="3" t="s">
        <v>976</v>
      </c>
      <c r="B200" s="3" t="s">
        <v>188</v>
      </c>
      <c r="C200" s="10">
        <v>45664.722557870373</v>
      </c>
      <c r="D200" s="10">
        <v>45664.725127314807</v>
      </c>
      <c r="E200" s="10">
        <v>45664.76357638889</v>
      </c>
      <c r="F200" s="10">
        <v>45664.764780092592</v>
      </c>
      <c r="G200" s="3" t="s">
        <v>924</v>
      </c>
      <c r="H200" s="10">
        <v>45665.345416666663</v>
      </c>
      <c r="I200" s="10">
        <v>45665.36886574074</v>
      </c>
      <c r="J200" s="10">
        <v>45665.369629629633</v>
      </c>
      <c r="K200" s="11">
        <f t="shared" si="6"/>
        <v>3.8449074083473533E-2</v>
      </c>
      <c r="L200" s="11">
        <f t="shared" si="7"/>
        <v>0.60408564814861165</v>
      </c>
    </row>
    <row r="201" spans="1:12" x14ac:dyDescent="0.25">
      <c r="A201" s="3" t="s">
        <v>978</v>
      </c>
      <c r="B201" s="3" t="s">
        <v>189</v>
      </c>
      <c r="C201" s="10">
        <v>45664.752870370372</v>
      </c>
      <c r="D201" s="10">
        <v>45664.754513888889</v>
      </c>
      <c r="E201" s="10">
        <v>45664.765543981477</v>
      </c>
      <c r="F201" s="10">
        <v>45664.767581018517</v>
      </c>
      <c r="G201" s="3" t="s">
        <v>946</v>
      </c>
      <c r="H201" s="10">
        <v>45664.773981481478</v>
      </c>
      <c r="I201" s="10">
        <v>45664.828796296293</v>
      </c>
      <c r="J201" s="10">
        <v>45664.830104166656</v>
      </c>
      <c r="K201" s="11">
        <f t="shared" si="6"/>
        <v>1.1030092588043772E-2</v>
      </c>
      <c r="L201" s="11">
        <f t="shared" si="7"/>
        <v>6.1215277775772847E-2</v>
      </c>
    </row>
    <row r="202" spans="1:12" x14ac:dyDescent="0.25">
      <c r="A202" s="3" t="s">
        <v>980</v>
      </c>
      <c r="B202" s="3" t="s">
        <v>190</v>
      </c>
      <c r="C202" s="10">
        <v>45664.875254629631</v>
      </c>
      <c r="D202" s="10">
        <v>45664.877743055556</v>
      </c>
      <c r="E202" s="10">
        <v>45664.884432870371</v>
      </c>
      <c r="F202" s="10">
        <v>45664.886574074073</v>
      </c>
      <c r="G202" s="3" t="s">
        <v>981</v>
      </c>
      <c r="H202" s="10">
        <v>45664.888969907413</v>
      </c>
      <c r="I202" s="10">
        <v>45664.957384259258</v>
      </c>
      <c r="J202" s="10">
        <v>45664.958703703713</v>
      </c>
      <c r="K202" s="11">
        <f t="shared" si="6"/>
        <v>6.6898148143081926E-3</v>
      </c>
      <c r="L202" s="11">
        <f t="shared" si="7"/>
        <v>7.0810185185109731E-2</v>
      </c>
    </row>
    <row r="203" spans="1:12" x14ac:dyDescent="0.25">
      <c r="A203" s="3" t="s">
        <v>983</v>
      </c>
      <c r="B203" s="3" t="s">
        <v>191</v>
      </c>
      <c r="C203" s="10">
        <v>45665.113541666673</v>
      </c>
      <c r="D203" s="10">
        <v>45665.115879629629</v>
      </c>
      <c r="E203" s="10">
        <v>45665.127013888887</v>
      </c>
      <c r="F203" s="10">
        <v>45665.129074074073</v>
      </c>
      <c r="G203" s="3" t="s">
        <v>919</v>
      </c>
      <c r="H203" s="10">
        <v>45665.137013888889</v>
      </c>
      <c r="I203" s="10">
        <v>45665.158692129633</v>
      </c>
      <c r="J203" s="10">
        <v>45665.159467592603</v>
      </c>
      <c r="K203" s="11">
        <f t="shared" si="6"/>
        <v>1.113425925723277E-2</v>
      </c>
      <c r="L203" s="11">
        <f t="shared" si="7"/>
        <v>2.9618055559694767E-2</v>
      </c>
    </row>
    <row r="204" spans="1:12" x14ac:dyDescent="0.25">
      <c r="A204" s="3" t="s">
        <v>985</v>
      </c>
      <c r="B204" s="3" t="s">
        <v>191</v>
      </c>
      <c r="C204" s="10">
        <v>45665.113541666673</v>
      </c>
      <c r="D204" s="10">
        <v>45665.115879629629</v>
      </c>
      <c r="E204" s="10">
        <v>45665.129074074073</v>
      </c>
      <c r="F204" s="10">
        <v>45665.131030092591</v>
      </c>
      <c r="G204" s="3" t="s">
        <v>966</v>
      </c>
      <c r="H204" s="10">
        <v>45665.134930555563</v>
      </c>
      <c r="I204" s="10">
        <v>45665.153622685182</v>
      </c>
      <c r="J204" s="10">
        <v>45665.154247685183</v>
      </c>
      <c r="K204" s="11">
        <f t="shared" si="6"/>
        <v>1.3194444443797693E-2</v>
      </c>
      <c r="L204" s="11">
        <f t="shared" si="7"/>
        <v>2.2592592591536231E-2</v>
      </c>
    </row>
    <row r="205" spans="1:12" x14ac:dyDescent="0.25">
      <c r="A205" s="3" t="s">
        <v>987</v>
      </c>
      <c r="B205" s="3" t="s">
        <v>191</v>
      </c>
      <c r="C205" s="10">
        <v>45665.113541666673</v>
      </c>
      <c r="D205" s="10">
        <v>45665.115879629629</v>
      </c>
      <c r="E205" s="10">
        <v>45665.131030092591</v>
      </c>
      <c r="F205" s="10">
        <v>45665.133090277777</v>
      </c>
      <c r="G205" s="3" t="s">
        <v>919</v>
      </c>
      <c r="H205" s="10">
        <v>45665.137013888889</v>
      </c>
      <c r="I205" s="10">
        <v>45665.158692129633</v>
      </c>
      <c r="J205" s="10">
        <v>45665.159467592603</v>
      </c>
      <c r="K205" s="11">
        <f t="shared" si="6"/>
        <v>1.5150462961173616E-2</v>
      </c>
      <c r="L205" s="11">
        <f t="shared" si="7"/>
        <v>2.5601851855753921E-2</v>
      </c>
    </row>
    <row r="206" spans="1:12" x14ac:dyDescent="0.25">
      <c r="A206" s="3" t="s">
        <v>989</v>
      </c>
      <c r="B206" s="3" t="s">
        <v>191</v>
      </c>
      <c r="C206" s="10">
        <v>45665.113541666673</v>
      </c>
      <c r="D206" s="10">
        <v>45665.115879629629</v>
      </c>
      <c r="E206" s="10">
        <v>45665.133090277777</v>
      </c>
      <c r="F206" s="10">
        <v>45665.134710648148</v>
      </c>
      <c r="G206" s="3" t="s">
        <v>990</v>
      </c>
      <c r="H206" s="10">
        <v>45665.137106481481</v>
      </c>
      <c r="I206" s="10">
        <v>45665.171122685177</v>
      </c>
      <c r="J206" s="10">
        <v>45665.171932870369</v>
      </c>
      <c r="K206" s="11">
        <f t="shared" si="6"/>
        <v>1.7210648147738539E-2</v>
      </c>
      <c r="L206" s="11">
        <f t="shared" si="7"/>
        <v>3.6412037028640043E-2</v>
      </c>
    </row>
    <row r="207" spans="1:12" x14ac:dyDescent="0.25">
      <c r="A207" s="3" t="s">
        <v>992</v>
      </c>
      <c r="B207" s="3" t="s">
        <v>191</v>
      </c>
      <c r="C207" s="10">
        <v>45665.113541666673</v>
      </c>
      <c r="D207" s="10">
        <v>45665.115879629629</v>
      </c>
      <c r="E207" s="10">
        <v>45665.134710648148</v>
      </c>
      <c r="F207" s="10">
        <v>45665.136550925927</v>
      </c>
      <c r="G207" s="3" t="s">
        <v>873</v>
      </c>
      <c r="H207" s="10">
        <v>45665.140451388892</v>
      </c>
      <c r="I207" s="10">
        <v>45665.179907407408</v>
      </c>
      <c r="J207" s="10">
        <v>45665.180775462963</v>
      </c>
      <c r="K207" s="11">
        <f t="shared" si="6"/>
        <v>1.8831018518540077E-2</v>
      </c>
      <c r="L207" s="11">
        <f t="shared" si="7"/>
        <v>4.3356481481168885E-2</v>
      </c>
    </row>
    <row r="208" spans="1:12" x14ac:dyDescent="0.25">
      <c r="A208" s="3" t="s">
        <v>994</v>
      </c>
      <c r="B208" s="3" t="s">
        <v>191</v>
      </c>
      <c r="C208" s="10">
        <v>45665.113541666673</v>
      </c>
      <c r="D208" s="10">
        <v>45665.115879629629</v>
      </c>
      <c r="E208" s="10">
        <v>45665.136550925927</v>
      </c>
      <c r="F208" s="10">
        <v>45665.137812499997</v>
      </c>
      <c r="G208" s="3" t="s">
        <v>995</v>
      </c>
      <c r="H208" s="10">
        <v>45665.263020833343</v>
      </c>
      <c r="I208" s="10">
        <v>45665.315451388888</v>
      </c>
      <c r="J208" s="10">
        <v>45665.316574074073</v>
      </c>
      <c r="K208" s="11">
        <f t="shared" si="6"/>
        <v>2.0671296297223307E-2</v>
      </c>
      <c r="L208" s="11">
        <f t="shared" si="7"/>
        <v>0.17763888889021473</v>
      </c>
    </row>
    <row r="209" spans="1:12" x14ac:dyDescent="0.25">
      <c r="A209" s="3" t="s">
        <v>997</v>
      </c>
      <c r="B209" s="3" t="s">
        <v>192</v>
      </c>
      <c r="C209" s="10">
        <v>45665.156782407408</v>
      </c>
      <c r="D209" s="10">
        <v>45665.159560185188</v>
      </c>
      <c r="E209" s="10">
        <v>45665.167430555557</v>
      </c>
      <c r="F209" s="10">
        <v>45665.169965277782</v>
      </c>
      <c r="G209" s="3" t="s">
        <v>886</v>
      </c>
      <c r="H209" s="10">
        <v>45665.173888888887</v>
      </c>
      <c r="I209" s="10">
        <v>45665.277638888889</v>
      </c>
      <c r="J209" s="10">
        <v>45665.279490740737</v>
      </c>
      <c r="K209" s="11">
        <f t="shared" si="6"/>
        <v>7.8703703693463467E-3</v>
      </c>
      <c r="L209" s="11">
        <f t="shared" si="7"/>
        <v>0.10767361110629281</v>
      </c>
    </row>
    <row r="210" spans="1:12" x14ac:dyDescent="0.25">
      <c r="A210" s="3" t="s">
        <v>999</v>
      </c>
      <c r="B210" s="3" t="s">
        <v>193</v>
      </c>
      <c r="C210" s="10">
        <v>45665.250856481478</v>
      </c>
      <c r="D210" s="10">
        <v>45665.253136574072</v>
      </c>
      <c r="E210" s="10">
        <v>45665.258923611109</v>
      </c>
      <c r="F210" s="10">
        <v>45665.260844907411</v>
      </c>
      <c r="G210" s="3" t="s">
        <v>995</v>
      </c>
      <c r="H210" s="10">
        <v>45665.263020833343</v>
      </c>
      <c r="I210" s="10">
        <v>45665.315451388888</v>
      </c>
      <c r="J210" s="10">
        <v>45665.316574074073</v>
      </c>
      <c r="K210" s="11">
        <f t="shared" si="6"/>
        <v>5.7870370364980772E-3</v>
      </c>
      <c r="L210" s="11">
        <f t="shared" si="7"/>
        <v>5.4606481477094349E-2</v>
      </c>
    </row>
    <row r="211" spans="1:12" x14ac:dyDescent="0.25">
      <c r="A211" s="3" t="s">
        <v>1040</v>
      </c>
      <c r="B211" s="3" t="s">
        <v>195</v>
      </c>
      <c r="C211" s="10">
        <v>45665.30568287037</v>
      </c>
      <c r="D211" s="10">
        <v>45665.307638888888</v>
      </c>
      <c r="E211" s="10">
        <v>45665.312407407408</v>
      </c>
      <c r="F211" s="10">
        <v>45665.314131944448</v>
      </c>
      <c r="G211" s="3" t="s">
        <v>1041</v>
      </c>
      <c r="H211" s="10">
        <v>45665.316284722219</v>
      </c>
      <c r="I211" s="10">
        <v>45665.344340277778</v>
      </c>
      <c r="J211" s="10">
        <v>45665.345196759263</v>
      </c>
      <c r="K211" s="11">
        <f t="shared" si="6"/>
        <v>4.7685185199952684E-3</v>
      </c>
      <c r="L211" s="11">
        <f t="shared" si="7"/>
        <v>3.0208333329937886E-2</v>
      </c>
    </row>
    <row r="212" spans="1:12" x14ac:dyDescent="0.25">
      <c r="A212" s="3" t="s">
        <v>1001</v>
      </c>
      <c r="B212" s="3" t="s">
        <v>194</v>
      </c>
      <c r="C212" s="10">
        <v>45665.303020833337</v>
      </c>
      <c r="D212" s="10">
        <v>45665.305497685193</v>
      </c>
      <c r="E212" s="10">
        <v>45665.329502314817</v>
      </c>
      <c r="F212" s="10">
        <v>45665.331412037027</v>
      </c>
      <c r="G212" s="3" t="s">
        <v>1002</v>
      </c>
      <c r="H212" s="10">
        <v>45665.355787037042</v>
      </c>
      <c r="I212" s="10">
        <v>45665.387407407397</v>
      </c>
      <c r="J212" s="10">
        <v>45665.388090277767</v>
      </c>
      <c r="K212" s="11">
        <f t="shared" si="6"/>
        <v>2.4004629623959772E-2</v>
      </c>
      <c r="L212" s="11">
        <f t="shared" si="7"/>
        <v>5.59953703705105E-2</v>
      </c>
    </row>
    <row r="213" spans="1:12" x14ac:dyDescent="0.25">
      <c r="A213" s="3" t="s">
        <v>1004</v>
      </c>
      <c r="B213" s="3" t="s">
        <v>194</v>
      </c>
      <c r="C213" s="10">
        <v>45665.303020833337</v>
      </c>
      <c r="D213" s="10">
        <v>45665.305497685193</v>
      </c>
      <c r="E213" s="10">
        <v>45665.331412037027</v>
      </c>
      <c r="F213" s="10">
        <v>45665.333344907413</v>
      </c>
      <c r="G213" s="3" t="s">
        <v>757</v>
      </c>
      <c r="H213" s="10">
        <v>45665.646631944437</v>
      </c>
      <c r="I213" s="10">
        <v>45665.672546296293</v>
      </c>
      <c r="J213" s="10">
        <v>45665.673414351862</v>
      </c>
      <c r="K213" s="11">
        <f t="shared" si="6"/>
        <v>2.5914351834217086E-2</v>
      </c>
      <c r="L213" s="11">
        <f t="shared" si="7"/>
        <v>0.33920138888061047</v>
      </c>
    </row>
    <row r="214" spans="1:12" x14ac:dyDescent="0.25">
      <c r="A214" s="3" t="s">
        <v>1006</v>
      </c>
      <c r="B214" s="3" t="s">
        <v>194</v>
      </c>
      <c r="C214" s="10">
        <v>45665.303020833337</v>
      </c>
      <c r="D214" s="10">
        <v>45665.305497685193</v>
      </c>
      <c r="E214" s="10">
        <v>45665.333344907413</v>
      </c>
      <c r="F214" s="10">
        <v>45665.335219907407</v>
      </c>
      <c r="G214" s="3" t="s">
        <v>1002</v>
      </c>
      <c r="H214" s="10">
        <v>45665.355787037042</v>
      </c>
      <c r="I214" s="10">
        <v>45665.387407407397</v>
      </c>
      <c r="J214" s="10">
        <v>45665.388090277767</v>
      </c>
      <c r="K214" s="11">
        <f t="shared" si="6"/>
        <v>2.7847222219861578E-2</v>
      </c>
      <c r="L214" s="11">
        <f t="shared" si="7"/>
        <v>5.2187499990395736E-2</v>
      </c>
    </row>
    <row r="215" spans="1:12" x14ac:dyDescent="0.25">
      <c r="A215" s="3" t="s">
        <v>1008</v>
      </c>
      <c r="B215" s="3" t="s">
        <v>194</v>
      </c>
      <c r="C215" s="10">
        <v>45665.303020833337</v>
      </c>
      <c r="D215" s="10">
        <v>45665.305497685193</v>
      </c>
      <c r="E215" s="10">
        <v>45665.335219907407</v>
      </c>
      <c r="F215" s="10">
        <v>45665.337326388893</v>
      </c>
      <c r="G215" s="3" t="s">
        <v>1009</v>
      </c>
      <c r="H215" s="10">
        <v>45666.13380787037</v>
      </c>
      <c r="I215" s="10">
        <v>45666.168877314813</v>
      </c>
      <c r="J215" s="10">
        <v>45666.16983796296</v>
      </c>
      <c r="K215" s="11">
        <f t="shared" si="6"/>
        <v>2.972222221433185E-2</v>
      </c>
      <c r="L215" s="11">
        <f t="shared" si="7"/>
        <v>0.83155092591914581</v>
      </c>
    </row>
    <row r="216" spans="1:12" x14ac:dyDescent="0.25">
      <c r="A216" s="3" t="s">
        <v>1011</v>
      </c>
      <c r="B216" s="3" t="s">
        <v>194</v>
      </c>
      <c r="C216" s="10">
        <v>45665.303020833337</v>
      </c>
      <c r="D216" s="10">
        <v>45665.305497685193</v>
      </c>
      <c r="E216" s="10">
        <v>45665.337326388893</v>
      </c>
      <c r="F216" s="10">
        <v>45665.339039351849</v>
      </c>
      <c r="G216" s="3" t="s">
        <v>1012</v>
      </c>
      <c r="H216" s="10">
        <v>45666.330567129633</v>
      </c>
      <c r="I216" s="10">
        <v>45666.353032407409</v>
      </c>
      <c r="J216" s="10">
        <v>45666.353900462957</v>
      </c>
      <c r="K216" s="11">
        <f t="shared" si="6"/>
        <v>3.1828703700739425E-2</v>
      </c>
      <c r="L216" s="11">
        <f t="shared" si="7"/>
        <v>1.0139930555596948</v>
      </c>
    </row>
    <row r="217" spans="1:12" x14ac:dyDescent="0.25">
      <c r="A217" s="3" t="s">
        <v>1014</v>
      </c>
      <c r="B217" s="3" t="s">
        <v>194</v>
      </c>
      <c r="C217" s="10">
        <v>45665.303020833337</v>
      </c>
      <c r="D217" s="10">
        <v>45665.305497685193</v>
      </c>
      <c r="E217" s="10">
        <v>45665.339039351849</v>
      </c>
      <c r="F217" s="10">
        <v>45665.340277777781</v>
      </c>
      <c r="G217" s="3" t="s">
        <v>1015</v>
      </c>
      <c r="H217" s="10">
        <v>45665.364120370366</v>
      </c>
      <c r="I217" s="10">
        <v>45665.438842592594</v>
      </c>
      <c r="J217" s="10">
        <v>45665.440208333333</v>
      </c>
      <c r="K217" s="11">
        <f t="shared" si="6"/>
        <v>3.3541666656674352E-2</v>
      </c>
      <c r="L217" s="11">
        <f t="shared" si="7"/>
        <v>9.8564814812561963E-2</v>
      </c>
    </row>
    <row r="218" spans="1:12" x14ac:dyDescent="0.25">
      <c r="A218" s="3" t="s">
        <v>1017</v>
      </c>
      <c r="B218" s="3" t="s">
        <v>194</v>
      </c>
      <c r="C218" s="10">
        <v>45665.303020833337</v>
      </c>
      <c r="D218" s="10">
        <v>45665.305497685193</v>
      </c>
      <c r="E218" s="10">
        <v>45665.340277777781</v>
      </c>
      <c r="F218" s="10">
        <v>45665.341493055559</v>
      </c>
      <c r="G218" s="3" t="s">
        <v>924</v>
      </c>
      <c r="H218" s="10">
        <v>45665.345416666663</v>
      </c>
      <c r="I218" s="10">
        <v>45665.36886574074</v>
      </c>
      <c r="J218" s="10">
        <v>45665.369629629633</v>
      </c>
      <c r="K218" s="11">
        <f t="shared" si="6"/>
        <v>3.478009258833481E-2</v>
      </c>
      <c r="L218" s="11">
        <f t="shared" si="7"/>
        <v>2.7372685181035195E-2</v>
      </c>
    </row>
    <row r="219" spans="1:12" x14ac:dyDescent="0.25">
      <c r="A219" s="3" t="s">
        <v>1019</v>
      </c>
      <c r="B219" s="3" t="s">
        <v>194</v>
      </c>
      <c r="C219" s="10">
        <v>45665.303020833337</v>
      </c>
      <c r="D219" s="10">
        <v>45665.305497685193</v>
      </c>
      <c r="E219" s="10">
        <v>45665.341493055559</v>
      </c>
      <c r="F219" s="10">
        <v>45665.343217592592</v>
      </c>
      <c r="G219" s="3" t="s">
        <v>1020</v>
      </c>
      <c r="H219" s="10">
        <v>45667.135671296302</v>
      </c>
      <c r="I219" s="10">
        <v>45667.159131944441</v>
      </c>
      <c r="J219" s="10">
        <v>45667.15997685185</v>
      </c>
      <c r="K219" s="11">
        <f t="shared" si="6"/>
        <v>3.5995370366435964E-2</v>
      </c>
      <c r="L219" s="11">
        <f t="shared" si="7"/>
        <v>1.8159143518496421</v>
      </c>
    </row>
    <row r="220" spans="1:12" x14ac:dyDescent="0.25">
      <c r="A220" s="3" t="s">
        <v>1022</v>
      </c>
      <c r="B220" s="3" t="s">
        <v>194</v>
      </c>
      <c r="C220" s="10">
        <v>45665.303020833337</v>
      </c>
      <c r="D220" s="10">
        <v>45665.305497685193</v>
      </c>
      <c r="E220" s="10">
        <v>45665.343217592592</v>
      </c>
      <c r="F220" s="10">
        <v>45665.345347222217</v>
      </c>
      <c r="G220" s="3" t="s">
        <v>1023</v>
      </c>
      <c r="H220" s="10">
        <v>45665.347731481481</v>
      </c>
      <c r="I220" s="10">
        <v>45665.367349537039</v>
      </c>
      <c r="J220" s="10">
        <v>45665.368136574078</v>
      </c>
      <c r="K220" s="11">
        <f t="shared" si="6"/>
        <v>3.7719907399150543E-2</v>
      </c>
      <c r="L220" s="11">
        <f t="shared" si="7"/>
        <v>2.2002314821293112E-2</v>
      </c>
    </row>
    <row r="221" spans="1:12" x14ac:dyDescent="0.25">
      <c r="A221" s="3" t="s">
        <v>1025</v>
      </c>
      <c r="B221" s="3" t="s">
        <v>194</v>
      </c>
      <c r="C221" s="10">
        <v>45665.303020833337</v>
      </c>
      <c r="D221" s="10">
        <v>45665.305497685193</v>
      </c>
      <c r="E221" s="10">
        <v>45665.345347222217</v>
      </c>
      <c r="F221" s="10">
        <v>45665.347349537027</v>
      </c>
      <c r="G221" s="3" t="s">
        <v>1009</v>
      </c>
      <c r="H221" s="10">
        <v>45666.13380787037</v>
      </c>
      <c r="I221" s="10">
        <v>45666.168877314813</v>
      </c>
      <c r="J221" s="10">
        <v>45666.16983796296</v>
      </c>
      <c r="K221" s="11">
        <f t="shared" si="6"/>
        <v>3.9849537024565507E-2</v>
      </c>
      <c r="L221" s="11">
        <f t="shared" si="7"/>
        <v>0.82152777778537711</v>
      </c>
    </row>
    <row r="222" spans="1:12" x14ac:dyDescent="0.25">
      <c r="A222" s="3" t="s">
        <v>1027</v>
      </c>
      <c r="B222" s="3" t="s">
        <v>194</v>
      </c>
      <c r="C222" s="10">
        <v>45665.303020833337</v>
      </c>
      <c r="D222" s="10">
        <v>45665.305497685193</v>
      </c>
      <c r="E222" s="10">
        <v>45665.347349537027</v>
      </c>
      <c r="F222" s="10">
        <v>45665.348668981482</v>
      </c>
      <c r="G222" s="3" t="s">
        <v>1028</v>
      </c>
      <c r="H222" s="10">
        <v>45665.38690972222</v>
      </c>
      <c r="I222" s="10">
        <v>45665.409039351849</v>
      </c>
      <c r="J222" s="10">
        <v>45665.409768518519</v>
      </c>
      <c r="K222" s="11">
        <f t="shared" si="6"/>
        <v>4.1851851834508125E-2</v>
      </c>
      <c r="L222" s="11">
        <f t="shared" si="7"/>
        <v>6.0370370367309079E-2</v>
      </c>
    </row>
    <row r="223" spans="1:12" x14ac:dyDescent="0.25">
      <c r="A223" s="3" t="s">
        <v>1030</v>
      </c>
      <c r="B223" s="3" t="s">
        <v>194</v>
      </c>
      <c r="C223" s="10">
        <v>45665.303020833337</v>
      </c>
      <c r="D223" s="10">
        <v>45665.305497685193</v>
      </c>
      <c r="E223" s="10">
        <v>45665.348668981482</v>
      </c>
      <c r="F223" s="10">
        <v>45665.350706018522</v>
      </c>
      <c r="G223" s="3" t="s">
        <v>1002</v>
      </c>
      <c r="H223" s="10">
        <v>45665.355787037042</v>
      </c>
      <c r="I223" s="10">
        <v>45665.387407407397</v>
      </c>
      <c r="J223" s="10">
        <v>45665.388090277767</v>
      </c>
      <c r="K223" s="11">
        <f t="shared" si="6"/>
        <v>4.3171296289074235E-2</v>
      </c>
      <c r="L223" s="11">
        <f t="shared" si="7"/>
        <v>3.6701388875371777E-2</v>
      </c>
    </row>
    <row r="224" spans="1:12" x14ac:dyDescent="0.25">
      <c r="A224" s="3" t="s">
        <v>1032</v>
      </c>
      <c r="B224" s="3" t="s">
        <v>194</v>
      </c>
      <c r="C224" s="10">
        <v>45665.303020833337</v>
      </c>
      <c r="D224" s="10">
        <v>45665.305497685193</v>
      </c>
      <c r="E224" s="10">
        <v>45665.350706018522</v>
      </c>
      <c r="F224" s="10">
        <v>45665.35229166667</v>
      </c>
      <c r="G224" s="3" t="s">
        <v>1034</v>
      </c>
      <c r="H224" s="10">
        <v>45666.784074074072</v>
      </c>
      <c r="I224" s="10">
        <v>45666.815844907411</v>
      </c>
      <c r="J224" s="10">
        <v>45666.816678240742</v>
      </c>
      <c r="K224" s="11">
        <f t="shared" si="6"/>
        <v>4.520833332935581E-2</v>
      </c>
      <c r="L224" s="11">
        <f t="shared" si="7"/>
        <v>1.463553240741021</v>
      </c>
    </row>
    <row r="225" spans="1:12" x14ac:dyDescent="0.25">
      <c r="A225" s="3" t="s">
        <v>1036</v>
      </c>
      <c r="B225" s="3" t="s">
        <v>194</v>
      </c>
      <c r="C225" s="10">
        <v>45665.303020833337</v>
      </c>
      <c r="D225" s="10">
        <v>45665.305497685193</v>
      </c>
      <c r="E225" s="10">
        <v>45665.35229166667</v>
      </c>
      <c r="F225" s="10">
        <v>45665.354004629633</v>
      </c>
      <c r="G225" s="3" t="s">
        <v>1012</v>
      </c>
      <c r="H225" s="10">
        <v>45666.330567129633</v>
      </c>
      <c r="I225" s="10">
        <v>45666.353032407409</v>
      </c>
      <c r="J225" s="10">
        <v>45666.353900462957</v>
      </c>
      <c r="K225" s="11">
        <f t="shared" si="6"/>
        <v>4.6793981477094349E-2</v>
      </c>
      <c r="L225" s="11">
        <f t="shared" si="7"/>
        <v>0.99902777777606389</v>
      </c>
    </row>
    <row r="226" spans="1:12" x14ac:dyDescent="0.25">
      <c r="A226" s="3" t="s">
        <v>1038</v>
      </c>
      <c r="B226" s="3" t="s">
        <v>194</v>
      </c>
      <c r="C226" s="10">
        <v>45665.303020833337</v>
      </c>
      <c r="D226" s="10">
        <v>45665.305497685193</v>
      </c>
      <c r="E226" s="10">
        <v>45665.354004629633</v>
      </c>
      <c r="F226" s="10">
        <v>45665.355462962973</v>
      </c>
      <c r="G226" s="3" t="s">
        <v>596</v>
      </c>
      <c r="H226" s="10">
        <v>45666.323449074072</v>
      </c>
      <c r="I226" s="10">
        <v>45666.39607638889</v>
      </c>
      <c r="J226" s="10">
        <v>45666.397569444453</v>
      </c>
      <c r="K226" s="11">
        <f t="shared" si="6"/>
        <v>4.8506944440305233E-2</v>
      </c>
      <c r="L226" s="11">
        <f t="shared" si="7"/>
        <v>1.0406134259173996</v>
      </c>
    </row>
    <row r="227" spans="1:12" x14ac:dyDescent="0.25">
      <c r="A227" s="3" t="s">
        <v>1043</v>
      </c>
      <c r="B227" s="3" t="s">
        <v>196</v>
      </c>
      <c r="C227" s="10">
        <v>45665.334351851852</v>
      </c>
      <c r="D227" s="10">
        <v>45665.336840277778</v>
      </c>
      <c r="E227" s="10">
        <v>45665.35633101852</v>
      </c>
      <c r="F227" s="10">
        <v>45665.358483796299</v>
      </c>
      <c r="G227" s="3" t="s">
        <v>1015</v>
      </c>
      <c r="H227" s="10">
        <v>45665.364120370366</v>
      </c>
      <c r="I227" s="10">
        <v>45665.438842592594</v>
      </c>
      <c r="J227" s="10">
        <v>45665.440208333333</v>
      </c>
      <c r="K227" s="11">
        <f t="shared" si="6"/>
        <v>1.9490740742185153E-2</v>
      </c>
      <c r="L227" s="11">
        <f t="shared" si="7"/>
        <v>8.0358796294603962E-2</v>
      </c>
    </row>
    <row r="228" spans="1:12" x14ac:dyDescent="0.25">
      <c r="A228" s="3" t="s">
        <v>1045</v>
      </c>
      <c r="B228" s="3" t="s">
        <v>197</v>
      </c>
      <c r="C228" s="10">
        <v>45665.374155092592</v>
      </c>
      <c r="D228" s="10">
        <v>45665.376284722217</v>
      </c>
      <c r="E228" s="10">
        <v>45665.383125</v>
      </c>
      <c r="F228" s="10">
        <v>45665.384513888886</v>
      </c>
      <c r="G228" s="3" t="s">
        <v>1028</v>
      </c>
      <c r="H228" s="10">
        <v>45665.38690972222</v>
      </c>
      <c r="I228" s="10">
        <v>45665.409039351849</v>
      </c>
      <c r="J228" s="10">
        <v>45665.409768518519</v>
      </c>
      <c r="K228" s="11">
        <f t="shared" si="6"/>
        <v>6.8402777833398432E-3</v>
      </c>
      <c r="L228" s="11">
        <f t="shared" si="7"/>
        <v>2.4525462962628808E-2</v>
      </c>
    </row>
    <row r="229" spans="1:12" x14ac:dyDescent="0.25">
      <c r="A229" s="3" t="s">
        <v>1047</v>
      </c>
      <c r="B229" s="3" t="s">
        <v>197</v>
      </c>
      <c r="C229" s="10">
        <v>45665.374155092592</v>
      </c>
      <c r="D229" s="10">
        <v>45665.376284722217</v>
      </c>
      <c r="E229" s="10">
        <v>45665.384513888886</v>
      </c>
      <c r="F229" s="10">
        <v>45665.386712962973</v>
      </c>
      <c r="G229" s="3" t="s">
        <v>1048</v>
      </c>
      <c r="H229" s="10">
        <v>45665.388888888891</v>
      </c>
      <c r="I229" s="10">
        <v>45665.411423611113</v>
      </c>
      <c r="J229" s="10">
        <v>45665.412256944437</v>
      </c>
      <c r="K229" s="11">
        <f t="shared" si="6"/>
        <v>8.2291666694800369E-3</v>
      </c>
      <c r="L229" s="11">
        <f t="shared" si="7"/>
        <v>2.4710648140171543E-2</v>
      </c>
    </row>
    <row r="230" spans="1:12" x14ac:dyDescent="0.25">
      <c r="A230" s="3" t="s">
        <v>1050</v>
      </c>
      <c r="B230" s="3" t="s">
        <v>198</v>
      </c>
      <c r="C230" s="10">
        <v>45665.426006944443</v>
      </c>
      <c r="D230" s="10">
        <v>45665.428622685176</v>
      </c>
      <c r="E230" s="10">
        <v>45665.437858796293</v>
      </c>
      <c r="F230" s="10">
        <v>45665.439282407409</v>
      </c>
      <c r="G230" s="3" t="s">
        <v>1051</v>
      </c>
      <c r="H230" s="10">
        <v>45665.441655092603</v>
      </c>
      <c r="I230" s="10">
        <v>45665.464201388888</v>
      </c>
      <c r="J230" s="10">
        <v>45665.464953703697</v>
      </c>
      <c r="K230" s="11">
        <f t="shared" si="6"/>
        <v>9.236111116479151E-3</v>
      </c>
      <c r="L230" s="11">
        <f t="shared" si="7"/>
        <v>2.491898147854954E-2</v>
      </c>
    </row>
    <row r="231" spans="1:12" x14ac:dyDescent="0.25">
      <c r="A231" s="3" t="s">
        <v>1053</v>
      </c>
      <c r="B231" s="3" t="s">
        <v>198</v>
      </c>
      <c r="C231" s="10">
        <v>45665.426006944443</v>
      </c>
      <c r="D231" s="10">
        <v>45665.428622685176</v>
      </c>
      <c r="E231" s="10">
        <v>45665.439282407409</v>
      </c>
      <c r="F231" s="10">
        <v>45665.441203703696</v>
      </c>
      <c r="G231" s="3" t="s">
        <v>1054</v>
      </c>
      <c r="H231" s="10">
        <v>45666.383101851847</v>
      </c>
      <c r="I231" s="10">
        <v>45666.443726851852</v>
      </c>
      <c r="J231" s="10">
        <v>45666.444733796299</v>
      </c>
      <c r="K231" s="11">
        <f t="shared" si="6"/>
        <v>1.0659722232958302E-2</v>
      </c>
      <c r="L231" s="11">
        <f t="shared" si="7"/>
        <v>1.0025231481558876</v>
      </c>
    </row>
    <row r="232" spans="1:12" x14ac:dyDescent="0.25">
      <c r="A232" s="3" t="s">
        <v>1056</v>
      </c>
      <c r="B232" s="3" t="s">
        <v>198</v>
      </c>
      <c r="C232" s="10">
        <v>45665.426006944443</v>
      </c>
      <c r="D232" s="10">
        <v>45665.428622685176</v>
      </c>
      <c r="E232" s="10">
        <v>45665.441203703696</v>
      </c>
      <c r="F232" s="10">
        <v>45665.443124999998</v>
      </c>
      <c r="G232" s="3" t="s">
        <v>1057</v>
      </c>
      <c r="H232" s="10">
        <v>45665.445509259262</v>
      </c>
      <c r="I232" s="10">
        <v>45665.49790509259</v>
      </c>
      <c r="J232" s="10">
        <v>45665.499016203707</v>
      </c>
      <c r="K232" s="11">
        <f t="shared" si="6"/>
        <v>1.2581018519995268E-2</v>
      </c>
      <c r="L232" s="11">
        <f t="shared" si="7"/>
        <v>5.4780092592409346E-2</v>
      </c>
    </row>
    <row r="233" spans="1:12" x14ac:dyDescent="0.25">
      <c r="A233" s="3" t="s">
        <v>1059</v>
      </c>
      <c r="B233" s="3" t="s">
        <v>199</v>
      </c>
      <c r="C233" s="10">
        <v>45665.532187500001</v>
      </c>
      <c r="D233" s="10">
        <v>45665.534467592603</v>
      </c>
      <c r="E233" s="10">
        <v>45665.540682870371</v>
      </c>
      <c r="F233" s="10">
        <v>45665.542500000003</v>
      </c>
      <c r="G233" s="3" t="s">
        <v>1060</v>
      </c>
      <c r="H233" s="10">
        <v>45665.544675925928</v>
      </c>
      <c r="I233" s="10">
        <v>45665.597071759257</v>
      </c>
      <c r="J233" s="10">
        <v>45665.598229166673</v>
      </c>
      <c r="K233" s="11">
        <f t="shared" si="6"/>
        <v>6.2152777682058513E-3</v>
      </c>
      <c r="L233" s="11">
        <f t="shared" si="7"/>
        <v>5.4571759254031349E-2</v>
      </c>
    </row>
    <row r="234" spans="1:12" x14ac:dyDescent="0.25">
      <c r="A234" s="3" t="s">
        <v>1062</v>
      </c>
      <c r="B234" s="3" t="s">
        <v>200</v>
      </c>
      <c r="C234" s="10">
        <v>45665.601689814823</v>
      </c>
      <c r="D234" s="10">
        <v>45665.604131944441</v>
      </c>
      <c r="E234" s="10">
        <v>45665.610671296286</v>
      </c>
      <c r="F234" s="10">
        <v>45665.612638888888</v>
      </c>
      <c r="G234" s="3" t="s">
        <v>1063</v>
      </c>
      <c r="H234" s="10">
        <v>45665.615034722221</v>
      </c>
      <c r="I234" s="10">
        <v>45665.679340277777</v>
      </c>
      <c r="J234" s="10">
        <v>45665.680648148147</v>
      </c>
      <c r="K234" s="11">
        <f t="shared" si="6"/>
        <v>6.539351845276542E-3</v>
      </c>
      <c r="L234" s="11">
        <f t="shared" si="7"/>
        <v>6.6701388888759539E-2</v>
      </c>
    </row>
    <row r="235" spans="1:12" x14ac:dyDescent="0.25">
      <c r="A235" s="3" t="s">
        <v>1065</v>
      </c>
      <c r="B235" s="3" t="s">
        <v>201</v>
      </c>
      <c r="C235" s="10">
        <v>45665.620625000003</v>
      </c>
      <c r="D235" s="10">
        <v>45665.62295138889</v>
      </c>
      <c r="E235" s="10">
        <v>45665.640694444453</v>
      </c>
      <c r="F235" s="10">
        <v>45665.642708333333</v>
      </c>
      <c r="G235" s="3" t="s">
        <v>757</v>
      </c>
      <c r="H235" s="10">
        <v>45665.646631944437</v>
      </c>
      <c r="I235" s="10">
        <v>45665.672546296293</v>
      </c>
      <c r="J235" s="10">
        <v>45665.673414351862</v>
      </c>
      <c r="K235" s="11">
        <f t="shared" si="6"/>
        <v>1.7743055563187227E-2</v>
      </c>
      <c r="L235" s="11">
        <f t="shared" si="7"/>
        <v>2.9837962960300501E-2</v>
      </c>
    </row>
    <row r="236" spans="1:12" x14ac:dyDescent="0.25">
      <c r="A236" s="3" t="s">
        <v>1067</v>
      </c>
      <c r="B236" s="3" t="s">
        <v>201</v>
      </c>
      <c r="C236" s="10">
        <v>45665.620625000003</v>
      </c>
      <c r="D236" s="10">
        <v>45665.62295138889</v>
      </c>
      <c r="E236" s="10">
        <v>45665.642708333333</v>
      </c>
      <c r="F236" s="10">
        <v>45665.644317129627</v>
      </c>
      <c r="G236" s="3" t="s">
        <v>1034</v>
      </c>
      <c r="H236" s="10">
        <v>45666.784074074072</v>
      </c>
      <c r="I236" s="10">
        <v>45666.815844907411</v>
      </c>
      <c r="J236" s="10">
        <v>45666.816678240742</v>
      </c>
      <c r="K236" s="11">
        <f t="shared" si="6"/>
        <v>1.9756944442633539E-2</v>
      </c>
      <c r="L236" s="11">
        <f t="shared" si="7"/>
        <v>1.1715277777839219</v>
      </c>
    </row>
    <row r="237" spans="1:12" x14ac:dyDescent="0.25">
      <c r="A237" s="3" t="s">
        <v>1069</v>
      </c>
      <c r="B237" s="3" t="s">
        <v>201</v>
      </c>
      <c r="C237" s="10">
        <v>45665.620625000003</v>
      </c>
      <c r="D237" s="10">
        <v>45665.62295138889</v>
      </c>
      <c r="E237" s="10">
        <v>45665.644317129627</v>
      </c>
      <c r="F237" s="10">
        <v>45665.645624999997</v>
      </c>
      <c r="G237" s="3" t="s">
        <v>1070</v>
      </c>
      <c r="H237" s="10">
        <v>45666.129837962973</v>
      </c>
      <c r="I237" s="10">
        <v>45666.149733796286</v>
      </c>
      <c r="J237" s="10">
        <v>45666.150416666656</v>
      </c>
      <c r="K237" s="11">
        <f t="shared" si="6"/>
        <v>2.1365740736655425E-2</v>
      </c>
      <c r="L237" s="11">
        <f t="shared" si="7"/>
        <v>0.50410879628907423</v>
      </c>
    </row>
    <row r="238" spans="1:12" x14ac:dyDescent="0.25">
      <c r="A238" s="3" t="s">
        <v>1072</v>
      </c>
      <c r="B238" s="3" t="s">
        <v>201</v>
      </c>
      <c r="C238" s="10">
        <v>45665.620625000003</v>
      </c>
      <c r="D238" s="10">
        <v>45665.62295138889</v>
      </c>
      <c r="E238" s="10">
        <v>45665.645624999997</v>
      </c>
      <c r="F238" s="10">
        <v>45665.647569444453</v>
      </c>
      <c r="G238" s="3" t="s">
        <v>1073</v>
      </c>
      <c r="H238" s="10">
        <v>45666.279189814813</v>
      </c>
      <c r="I238" s="10">
        <v>45666.311203703714</v>
      </c>
      <c r="J238" s="10">
        <v>45666.312164351853</v>
      </c>
      <c r="K238" s="11">
        <f t="shared" si="6"/>
        <v>2.2673611107165925E-2</v>
      </c>
      <c r="L238" s="11">
        <f t="shared" si="7"/>
        <v>0.66363425926101627</v>
      </c>
    </row>
    <row r="239" spans="1:12" x14ac:dyDescent="0.25">
      <c r="A239" s="3" t="s">
        <v>1075</v>
      </c>
      <c r="B239" s="3" t="s">
        <v>201</v>
      </c>
      <c r="C239" s="10">
        <v>45665.620625000003</v>
      </c>
      <c r="D239" s="10">
        <v>45665.62295138889</v>
      </c>
      <c r="E239" s="10">
        <v>45665.647569444453</v>
      </c>
      <c r="F239" s="10">
        <v>45665.649328703701</v>
      </c>
      <c r="G239" s="3" t="s">
        <v>1020</v>
      </c>
      <c r="H239" s="10">
        <v>45667.135671296302</v>
      </c>
      <c r="I239" s="10">
        <v>45667.159131944441</v>
      </c>
      <c r="J239" s="10">
        <v>45667.15997685185</v>
      </c>
      <c r="K239" s="11">
        <f t="shared" si="6"/>
        <v>2.4618055562314112E-2</v>
      </c>
      <c r="L239" s="11">
        <f t="shared" si="7"/>
        <v>1.5098032407404389</v>
      </c>
    </row>
    <row r="240" spans="1:12" x14ac:dyDescent="0.25">
      <c r="A240" s="3" t="s">
        <v>1077</v>
      </c>
      <c r="B240" s="3" t="s">
        <v>201</v>
      </c>
      <c r="C240" s="10">
        <v>45665.620625000003</v>
      </c>
      <c r="D240" s="10">
        <v>45665.62295138889</v>
      </c>
      <c r="E240" s="10">
        <v>45665.649328703701</v>
      </c>
      <c r="F240" s="10">
        <v>45665.650671296287</v>
      </c>
      <c r="G240" s="3" t="s">
        <v>1078</v>
      </c>
      <c r="H240" s="10">
        <v>45665.734178240738</v>
      </c>
      <c r="I240" s="10">
        <v>45665.771319444437</v>
      </c>
      <c r="J240" s="10">
        <v>45665.772268518522</v>
      </c>
      <c r="K240" s="11">
        <f t="shared" si="6"/>
        <v>2.6377314810815733E-2</v>
      </c>
      <c r="L240" s="11">
        <f t="shared" si="7"/>
        <v>0.12064814814948477</v>
      </c>
    </row>
    <row r="241" spans="1:12" x14ac:dyDescent="0.25">
      <c r="A241" s="3" t="s">
        <v>1080</v>
      </c>
      <c r="B241" s="3" t="s">
        <v>201</v>
      </c>
      <c r="C241" s="10">
        <v>45665.620625000003</v>
      </c>
      <c r="D241" s="10">
        <v>45665.62295138889</v>
      </c>
      <c r="E241" s="10">
        <v>45665.650671296287</v>
      </c>
      <c r="F241" s="10">
        <v>45665.651932870373</v>
      </c>
      <c r="G241" s="3" t="s">
        <v>1070</v>
      </c>
      <c r="H241" s="10">
        <v>45666.129837962973</v>
      </c>
      <c r="I241" s="10">
        <v>45666.149733796286</v>
      </c>
      <c r="J241" s="10">
        <v>45666.150416666656</v>
      </c>
      <c r="K241" s="11">
        <f t="shared" si="6"/>
        <v>2.7719907397113275E-2</v>
      </c>
      <c r="L241" s="11">
        <f t="shared" si="7"/>
        <v>0.49780092591390712</v>
      </c>
    </row>
    <row r="242" spans="1:12" x14ac:dyDescent="0.25">
      <c r="A242" s="3" t="s">
        <v>1082</v>
      </c>
      <c r="B242" s="3" t="s">
        <v>201</v>
      </c>
      <c r="C242" s="10">
        <v>45665.620625000003</v>
      </c>
      <c r="D242" s="10">
        <v>45665.62295138889</v>
      </c>
      <c r="E242" s="10">
        <v>45665.651932870373</v>
      </c>
      <c r="F242" s="10">
        <v>45665.653668981482</v>
      </c>
      <c r="G242" s="3" t="s">
        <v>1012</v>
      </c>
      <c r="H242" s="10">
        <v>45666.330567129633</v>
      </c>
      <c r="I242" s="10">
        <v>45666.353032407409</v>
      </c>
      <c r="J242" s="10">
        <v>45666.353900462957</v>
      </c>
      <c r="K242" s="11">
        <f t="shared" si="6"/>
        <v>2.8981481482333038E-2</v>
      </c>
      <c r="L242" s="11">
        <f t="shared" si="7"/>
        <v>0.69936342592700385</v>
      </c>
    </row>
    <row r="243" spans="1:12" x14ac:dyDescent="0.25">
      <c r="A243" s="3" t="s">
        <v>1084</v>
      </c>
      <c r="B243" s="3" t="s">
        <v>201</v>
      </c>
      <c r="C243" s="10">
        <v>45665.620625000003</v>
      </c>
      <c r="D243" s="10">
        <v>45665.62295138889</v>
      </c>
      <c r="E243" s="10">
        <v>45665.653668981482</v>
      </c>
      <c r="F243" s="10">
        <v>45665.655115740738</v>
      </c>
      <c r="G243" s="3" t="s">
        <v>1085</v>
      </c>
      <c r="H243" s="10">
        <v>45666.327210648153</v>
      </c>
      <c r="I243" s="10">
        <v>45666.355150462958</v>
      </c>
      <c r="J243" s="10">
        <v>45666.355937499997</v>
      </c>
      <c r="K243" s="11">
        <f t="shared" si="6"/>
        <v>3.071759259182727E-2</v>
      </c>
      <c r="L243" s="11">
        <f t="shared" si="7"/>
        <v>0.70003472222015262</v>
      </c>
    </row>
    <row r="244" spans="1:12" x14ac:dyDescent="0.25">
      <c r="A244" s="3" t="s">
        <v>1087</v>
      </c>
      <c r="B244" s="3" t="s">
        <v>201</v>
      </c>
      <c r="C244" s="10">
        <v>45665.620625000003</v>
      </c>
      <c r="D244" s="10">
        <v>45665.62295138889</v>
      </c>
      <c r="E244" s="10">
        <v>45665.655115740738</v>
      </c>
      <c r="F244" s="10">
        <v>45665.657083333332</v>
      </c>
      <c r="G244" s="3" t="s">
        <v>1073</v>
      </c>
      <c r="H244" s="10">
        <v>45666.279189814813</v>
      </c>
      <c r="I244" s="10">
        <v>45666.311203703714</v>
      </c>
      <c r="J244" s="10">
        <v>45666.312164351853</v>
      </c>
      <c r="K244" s="11">
        <f t="shared" si="6"/>
        <v>3.216435184731381E-2</v>
      </c>
      <c r="L244" s="11">
        <f t="shared" si="7"/>
        <v>0.65412037038186099</v>
      </c>
    </row>
    <row r="245" spans="1:12" x14ac:dyDescent="0.25">
      <c r="A245" s="3" t="s">
        <v>1089</v>
      </c>
      <c r="B245" s="3" t="s">
        <v>201</v>
      </c>
      <c r="C245" s="10">
        <v>45665.620625000003</v>
      </c>
      <c r="D245" s="10">
        <v>45665.62295138889</v>
      </c>
      <c r="E245" s="10">
        <v>45665.657083333332</v>
      </c>
      <c r="F245" s="10">
        <v>45665.658576388887</v>
      </c>
      <c r="G245" s="3" t="s">
        <v>596</v>
      </c>
      <c r="H245" s="10">
        <v>45666.323449074072</v>
      </c>
      <c r="I245" s="10">
        <v>45666.39607638889</v>
      </c>
      <c r="J245" s="10">
        <v>45666.397569444453</v>
      </c>
      <c r="K245" s="11">
        <f t="shared" si="6"/>
        <v>3.4131944441469386E-2</v>
      </c>
      <c r="L245" s="11">
        <f t="shared" si="7"/>
        <v>0.73750000000291038</v>
      </c>
    </row>
    <row r="246" spans="1:12" x14ac:dyDescent="0.25">
      <c r="A246" s="3" t="s">
        <v>1091</v>
      </c>
      <c r="B246" s="3" t="s">
        <v>202</v>
      </c>
      <c r="C246" s="10">
        <v>45665.633101851847</v>
      </c>
      <c r="D246" s="10">
        <v>45665.635092592587</v>
      </c>
      <c r="E246" s="10">
        <v>45665.659444444442</v>
      </c>
      <c r="F246" s="10">
        <v>45665.661504629628</v>
      </c>
      <c r="G246" s="3" t="s">
        <v>1092</v>
      </c>
      <c r="H246" s="10">
        <v>45665.66715277778</v>
      </c>
      <c r="I246" s="10">
        <v>45665.73170138889</v>
      </c>
      <c r="J246" s="10">
        <v>45665.733090277783</v>
      </c>
      <c r="K246" s="11">
        <f t="shared" si="6"/>
        <v>2.4351851854589768E-2</v>
      </c>
      <c r="L246" s="11">
        <f t="shared" si="7"/>
        <v>7.0196759261307307E-2</v>
      </c>
    </row>
    <row r="247" spans="1:12" x14ac:dyDescent="0.25">
      <c r="A247" s="3" t="s">
        <v>1094</v>
      </c>
      <c r="B247" s="3" t="s">
        <v>203</v>
      </c>
      <c r="C247" s="10">
        <v>45665.723113425927</v>
      </c>
      <c r="D247" s="10">
        <v>45665.725185185183</v>
      </c>
      <c r="E247" s="10">
        <v>45665.730381944442</v>
      </c>
      <c r="F247" s="10">
        <v>45665.731990740736</v>
      </c>
      <c r="G247" s="3" t="s">
        <v>1078</v>
      </c>
      <c r="H247" s="10">
        <v>45665.734178240738</v>
      </c>
      <c r="I247" s="10">
        <v>45665.771319444437</v>
      </c>
      <c r="J247" s="10">
        <v>45665.772268518522</v>
      </c>
      <c r="K247" s="11">
        <f t="shared" si="6"/>
        <v>5.1967592589790002E-3</v>
      </c>
      <c r="L247" s="11">
        <f t="shared" si="7"/>
        <v>3.9328703700448386E-2</v>
      </c>
    </row>
    <row r="248" spans="1:12" x14ac:dyDescent="0.25">
      <c r="A248" s="3" t="s">
        <v>1096</v>
      </c>
      <c r="B248" s="3" t="s">
        <v>204</v>
      </c>
      <c r="C248" s="10">
        <v>45665.749872685177</v>
      </c>
      <c r="D248" s="10">
        <v>45665.751122685193</v>
      </c>
      <c r="E248" s="10">
        <v>45665.754884259259</v>
      </c>
      <c r="F248" s="10">
        <v>45665.756527777783</v>
      </c>
      <c r="G248" s="3" t="s">
        <v>1097</v>
      </c>
      <c r="H248" s="10">
        <v>45665.856273148151</v>
      </c>
      <c r="I248" s="10">
        <v>45665.877141203702</v>
      </c>
      <c r="J248" s="10">
        <v>45665.877962962957</v>
      </c>
      <c r="K248" s="11">
        <f t="shared" si="6"/>
        <v>3.7615740657201968E-3</v>
      </c>
      <c r="L248" s="11">
        <f t="shared" si="7"/>
        <v>0.12061342591914581</v>
      </c>
    </row>
    <row r="249" spans="1:12" x14ac:dyDescent="0.25">
      <c r="A249" s="3" t="s">
        <v>1099</v>
      </c>
      <c r="B249" s="3" t="s">
        <v>205</v>
      </c>
      <c r="C249" s="10">
        <v>45665.819722222222</v>
      </c>
      <c r="D249" s="10">
        <v>45665.821875000001</v>
      </c>
      <c r="E249" s="10">
        <v>45665.835682870369</v>
      </c>
      <c r="F249" s="10">
        <v>45665.837071759262</v>
      </c>
      <c r="G249" s="3" t="s">
        <v>1085</v>
      </c>
      <c r="H249" s="10">
        <v>45666.327210648153</v>
      </c>
      <c r="I249" s="10">
        <v>45666.355150462958</v>
      </c>
      <c r="J249" s="10">
        <v>45666.355937499997</v>
      </c>
      <c r="K249" s="11">
        <f t="shared" si="6"/>
        <v>1.3807870367600117E-2</v>
      </c>
      <c r="L249" s="11">
        <f t="shared" si="7"/>
        <v>0.5180787036952097</v>
      </c>
    </row>
    <row r="250" spans="1:12" x14ac:dyDescent="0.25">
      <c r="A250" s="3" t="s">
        <v>1101</v>
      </c>
      <c r="B250" s="3" t="s">
        <v>205</v>
      </c>
      <c r="C250" s="10">
        <v>45665.819722222222</v>
      </c>
      <c r="D250" s="10">
        <v>45665.821875000001</v>
      </c>
      <c r="E250" s="10">
        <v>45665.837071759262</v>
      </c>
      <c r="F250" s="10">
        <v>45665.838692129633</v>
      </c>
      <c r="G250" s="3" t="s">
        <v>1034</v>
      </c>
      <c r="H250" s="10">
        <v>45666.784074074072</v>
      </c>
      <c r="I250" s="10">
        <v>45666.815844907411</v>
      </c>
      <c r="J250" s="10">
        <v>45666.816678240742</v>
      </c>
      <c r="K250" s="11">
        <f t="shared" si="6"/>
        <v>1.5196759261016268E-2</v>
      </c>
      <c r="L250" s="11">
        <f t="shared" si="7"/>
        <v>0.97715277777751908</v>
      </c>
    </row>
    <row r="251" spans="1:12" x14ac:dyDescent="0.25">
      <c r="A251" s="3" t="s">
        <v>1103</v>
      </c>
      <c r="B251" s="3" t="s">
        <v>205</v>
      </c>
      <c r="C251" s="10">
        <v>45665.819722222222</v>
      </c>
      <c r="D251" s="10">
        <v>45665.821875000001</v>
      </c>
      <c r="E251" s="10">
        <v>45665.838692129633</v>
      </c>
      <c r="F251" s="10">
        <v>45665.840405092589</v>
      </c>
      <c r="G251" s="3" t="s">
        <v>655</v>
      </c>
      <c r="H251" s="10">
        <v>45666.779282407413</v>
      </c>
      <c r="I251" s="10">
        <v>45666.816678240742</v>
      </c>
      <c r="J251" s="10">
        <v>45666.817453703698</v>
      </c>
      <c r="K251" s="11">
        <f t="shared" si="6"/>
        <v>1.6817129631817807E-2</v>
      </c>
      <c r="L251" s="11">
        <f t="shared" si="7"/>
        <v>0.97627314815326827</v>
      </c>
    </row>
    <row r="252" spans="1:12" x14ac:dyDescent="0.25">
      <c r="A252" s="3" t="s">
        <v>1105</v>
      </c>
      <c r="B252" s="3" t="s">
        <v>205</v>
      </c>
      <c r="C252" s="10">
        <v>45665.819722222222</v>
      </c>
      <c r="D252" s="10">
        <v>45665.821875000001</v>
      </c>
      <c r="E252" s="10">
        <v>45665.840405092589</v>
      </c>
      <c r="F252" s="10">
        <v>45665.842442129629</v>
      </c>
      <c r="G252" s="3" t="s">
        <v>1009</v>
      </c>
      <c r="H252" s="10">
        <v>45666.13380787037</v>
      </c>
      <c r="I252" s="10">
        <v>45666.168877314813</v>
      </c>
      <c r="J252" s="10">
        <v>45666.16983796296</v>
      </c>
      <c r="K252" s="11">
        <f t="shared" si="6"/>
        <v>1.8530092587752733E-2</v>
      </c>
      <c r="L252" s="11">
        <f t="shared" si="7"/>
        <v>0.32643518518307246</v>
      </c>
    </row>
    <row r="253" spans="1:12" x14ac:dyDescent="0.25">
      <c r="A253" s="3" t="s">
        <v>1107</v>
      </c>
      <c r="B253" s="3" t="s">
        <v>205</v>
      </c>
      <c r="C253" s="10">
        <v>45665.819722222222</v>
      </c>
      <c r="D253" s="10">
        <v>45665.821875000001</v>
      </c>
      <c r="E253" s="10">
        <v>45665.842442129629</v>
      </c>
      <c r="F253" s="10">
        <v>45665.84375</v>
      </c>
      <c r="G253" s="3" t="s">
        <v>1108</v>
      </c>
      <c r="H253" s="10">
        <v>45666.276620370372</v>
      </c>
      <c r="I253" s="10">
        <v>45666.302060185182</v>
      </c>
      <c r="J253" s="10">
        <v>45666.302847222221</v>
      </c>
      <c r="K253" s="11">
        <f t="shared" si="6"/>
        <v>2.0567129628034309E-2</v>
      </c>
      <c r="L253" s="11">
        <f t="shared" si="7"/>
        <v>0.45831018518219935</v>
      </c>
    </row>
    <row r="254" spans="1:12" x14ac:dyDescent="0.25">
      <c r="A254" s="3" t="s">
        <v>1110</v>
      </c>
      <c r="B254" s="3" t="s">
        <v>205</v>
      </c>
      <c r="C254" s="10">
        <v>45665.819722222222</v>
      </c>
      <c r="D254" s="10">
        <v>45665.821875000001</v>
      </c>
      <c r="E254" s="10">
        <v>45665.84375</v>
      </c>
      <c r="F254" s="10">
        <v>45665.845057870371</v>
      </c>
      <c r="G254" s="3" t="s">
        <v>1070</v>
      </c>
      <c r="H254" s="10">
        <v>45666.129837962973</v>
      </c>
      <c r="I254" s="10">
        <v>45666.149733796286</v>
      </c>
      <c r="J254" s="10">
        <v>45666.150416666656</v>
      </c>
      <c r="K254" s="11">
        <f t="shared" si="6"/>
        <v>2.1874999998544808E-2</v>
      </c>
      <c r="L254" s="11">
        <f t="shared" si="7"/>
        <v>0.30467592591594439</v>
      </c>
    </row>
    <row r="255" spans="1:12" x14ac:dyDescent="0.25">
      <c r="A255" s="3" t="s">
        <v>1112</v>
      </c>
      <c r="B255" s="3" t="s">
        <v>205</v>
      </c>
      <c r="C255" s="10">
        <v>45665.819722222222</v>
      </c>
      <c r="D255" s="10">
        <v>45665.821875000001</v>
      </c>
      <c r="E255" s="10">
        <v>45665.845057870371</v>
      </c>
      <c r="F255" s="10">
        <v>45665.847013888888</v>
      </c>
      <c r="G255" s="3" t="s">
        <v>1073</v>
      </c>
      <c r="H255" s="10">
        <v>45666.279189814813</v>
      </c>
      <c r="I255" s="10">
        <v>45666.311203703714</v>
      </c>
      <c r="J255" s="10">
        <v>45666.312164351853</v>
      </c>
      <c r="K255" s="11">
        <f t="shared" si="6"/>
        <v>2.3182870369055308E-2</v>
      </c>
      <c r="L255" s="11">
        <f t="shared" si="7"/>
        <v>0.46418981482565869</v>
      </c>
    </row>
    <row r="256" spans="1:12" x14ac:dyDescent="0.25">
      <c r="A256" s="3" t="s">
        <v>1114</v>
      </c>
      <c r="B256" s="3" t="s">
        <v>205</v>
      </c>
      <c r="C256" s="10">
        <v>45665.819722222222</v>
      </c>
      <c r="D256" s="10">
        <v>45665.821875000001</v>
      </c>
      <c r="E256" s="10">
        <v>45665.847013888888</v>
      </c>
      <c r="F256" s="10">
        <v>45665.84878472222</v>
      </c>
      <c r="G256" s="3" t="s">
        <v>1012</v>
      </c>
      <c r="H256" s="10">
        <v>45666.330567129633</v>
      </c>
      <c r="I256" s="10">
        <v>45666.353032407409</v>
      </c>
      <c r="J256" s="10">
        <v>45666.353900462957</v>
      </c>
      <c r="K256" s="11">
        <f t="shared" si="6"/>
        <v>2.5138888886431232E-2</v>
      </c>
      <c r="L256" s="11">
        <f t="shared" si="7"/>
        <v>0.50424768518860219</v>
      </c>
    </row>
    <row r="257" spans="1:12" x14ac:dyDescent="0.25">
      <c r="A257" s="3" t="s">
        <v>1116</v>
      </c>
      <c r="B257" s="3" t="s">
        <v>205</v>
      </c>
      <c r="C257" s="10">
        <v>45665.819722222222</v>
      </c>
      <c r="D257" s="10">
        <v>45665.821875000001</v>
      </c>
      <c r="E257" s="10">
        <v>45665.84878472222</v>
      </c>
      <c r="F257" s="10">
        <v>45665.850405092591</v>
      </c>
      <c r="G257" s="3" t="s">
        <v>1034</v>
      </c>
      <c r="H257" s="10">
        <v>45666.784074074072</v>
      </c>
      <c r="I257" s="10">
        <v>45666.815844907411</v>
      </c>
      <c r="J257" s="10">
        <v>45666.816678240742</v>
      </c>
      <c r="K257" s="11">
        <f t="shared" si="6"/>
        <v>2.6909722218988463E-2</v>
      </c>
      <c r="L257" s="11">
        <f t="shared" si="7"/>
        <v>0.96543981481954688</v>
      </c>
    </row>
    <row r="258" spans="1:12" x14ac:dyDescent="0.25">
      <c r="A258" s="3" t="s">
        <v>1118</v>
      </c>
      <c r="B258" s="3" t="s">
        <v>206</v>
      </c>
      <c r="C258" s="10">
        <v>45665.836099537039</v>
      </c>
      <c r="D258" s="10">
        <v>45665.837488425917</v>
      </c>
      <c r="E258" s="10">
        <v>45665.851273148153</v>
      </c>
      <c r="F258" s="10">
        <v>45665.852719907409</v>
      </c>
      <c r="G258" s="3" t="s">
        <v>1097</v>
      </c>
      <c r="H258" s="10">
        <v>45665.856273148151</v>
      </c>
      <c r="I258" s="10">
        <v>45665.877141203702</v>
      </c>
      <c r="J258" s="10">
        <v>45665.877962962957</v>
      </c>
      <c r="K258" s="11">
        <f t="shared" ref="K258:K321" si="8">IF(AND(ISNUMBER(D258),ISNUMBER(E258)),(E258-D258),"")</f>
        <v>1.3784722235868685E-2</v>
      </c>
      <c r="L258" s="11">
        <f t="shared" ref="L258:L321" si="9">IF(AND(ISNUMBER(F258),ISNUMBER(I258)),(I258-F258),"")</f>
        <v>2.4421296293439809E-2</v>
      </c>
    </row>
    <row r="259" spans="1:12" x14ac:dyDescent="0.25">
      <c r="A259" s="3" t="s">
        <v>1120</v>
      </c>
      <c r="B259" s="3" t="s">
        <v>207</v>
      </c>
      <c r="C259" s="10">
        <v>45666.115694444437</v>
      </c>
      <c r="D259" s="10">
        <v>45666.117662037039</v>
      </c>
      <c r="E259" s="10">
        <v>45666.124571759261</v>
      </c>
      <c r="F259" s="10">
        <v>45666.125914351847</v>
      </c>
      <c r="G259" s="3" t="s">
        <v>1070</v>
      </c>
      <c r="H259" s="10">
        <v>45666.129837962973</v>
      </c>
      <c r="I259" s="10">
        <v>45666.149733796286</v>
      </c>
      <c r="J259" s="10">
        <v>45666.150416666656</v>
      </c>
      <c r="K259" s="11">
        <f t="shared" si="8"/>
        <v>6.9097222221898846E-3</v>
      </c>
      <c r="L259" s="11">
        <f t="shared" si="9"/>
        <v>2.381944443914108E-2</v>
      </c>
    </row>
    <row r="260" spans="1:12" x14ac:dyDescent="0.25">
      <c r="A260" s="3" t="s">
        <v>1122</v>
      </c>
      <c r="B260" s="3" t="s">
        <v>207</v>
      </c>
      <c r="C260" s="10">
        <v>45666.115694444437</v>
      </c>
      <c r="D260" s="10">
        <v>45666.117662037039</v>
      </c>
      <c r="E260" s="10">
        <v>45666.125914351847</v>
      </c>
      <c r="F260" s="10">
        <v>45666.127685185187</v>
      </c>
      <c r="G260" s="3" t="s">
        <v>1020</v>
      </c>
      <c r="H260" s="10">
        <v>45667.135671296302</v>
      </c>
      <c r="I260" s="10">
        <v>45667.159131944441</v>
      </c>
      <c r="J260" s="10">
        <v>45667.15997685185</v>
      </c>
      <c r="K260" s="11">
        <f t="shared" si="8"/>
        <v>8.2523148084874265E-3</v>
      </c>
      <c r="L260" s="11">
        <f t="shared" si="9"/>
        <v>1.0314467592543224</v>
      </c>
    </row>
    <row r="261" spans="1:12" x14ac:dyDescent="0.25">
      <c r="A261" s="3" t="s">
        <v>1124</v>
      </c>
      <c r="B261" s="3" t="s">
        <v>207</v>
      </c>
      <c r="C261" s="10">
        <v>45666.115694444437</v>
      </c>
      <c r="D261" s="10">
        <v>45666.117662037039</v>
      </c>
      <c r="E261" s="10">
        <v>45666.127685185187</v>
      </c>
      <c r="F261" s="10">
        <v>45666.129907407398</v>
      </c>
      <c r="G261" s="3" t="s">
        <v>1009</v>
      </c>
      <c r="H261" s="10">
        <v>45666.13380787037</v>
      </c>
      <c r="I261" s="10">
        <v>45666.168877314813</v>
      </c>
      <c r="J261" s="10">
        <v>45666.16983796296</v>
      </c>
      <c r="K261" s="11">
        <f t="shared" si="8"/>
        <v>1.0023148148320615E-2</v>
      </c>
      <c r="L261" s="11">
        <f t="shared" si="9"/>
        <v>3.8969907414866611E-2</v>
      </c>
    </row>
    <row r="262" spans="1:12" x14ac:dyDescent="0.25">
      <c r="A262" s="3" t="s">
        <v>1126</v>
      </c>
      <c r="B262" s="3" t="s">
        <v>208</v>
      </c>
      <c r="C262" s="10">
        <v>45666.254513888889</v>
      </c>
      <c r="D262" s="10">
        <v>45666.256979166668</v>
      </c>
      <c r="E262" s="10">
        <v>45666.271793981483</v>
      </c>
      <c r="F262" s="10">
        <v>45666.27306712963</v>
      </c>
      <c r="G262" s="3" t="s">
        <v>1108</v>
      </c>
      <c r="H262" s="10">
        <v>45666.276620370372</v>
      </c>
      <c r="I262" s="10">
        <v>45666.302060185182</v>
      </c>
      <c r="J262" s="10">
        <v>45666.302847222221</v>
      </c>
      <c r="K262" s="11">
        <f t="shared" si="8"/>
        <v>1.4814814814599231E-2</v>
      </c>
      <c r="L262" s="11">
        <f t="shared" si="9"/>
        <v>2.8993055551836733E-2</v>
      </c>
    </row>
    <row r="263" spans="1:12" x14ac:dyDescent="0.25">
      <c r="A263" s="3" t="s">
        <v>1128</v>
      </c>
      <c r="B263" s="3" t="s">
        <v>208</v>
      </c>
      <c r="C263" s="10">
        <v>45666.254513888889</v>
      </c>
      <c r="D263" s="10">
        <v>45666.256979166668</v>
      </c>
      <c r="E263" s="10">
        <v>45666.27306712963</v>
      </c>
      <c r="F263" s="10">
        <v>45666.275266203702</v>
      </c>
      <c r="G263" s="3" t="s">
        <v>1073</v>
      </c>
      <c r="H263" s="10">
        <v>45666.279189814813</v>
      </c>
      <c r="I263" s="10">
        <v>45666.311203703714</v>
      </c>
      <c r="J263" s="10">
        <v>45666.312164351853</v>
      </c>
      <c r="K263" s="11">
        <f t="shared" si="8"/>
        <v>1.6087962962046731E-2</v>
      </c>
      <c r="L263" s="11">
        <f t="shared" si="9"/>
        <v>3.5937500011641532E-2</v>
      </c>
    </row>
    <row r="264" spans="1:12" x14ac:dyDescent="0.25">
      <c r="A264" s="3" t="s">
        <v>1130</v>
      </c>
      <c r="B264" s="3" t="s">
        <v>208</v>
      </c>
      <c r="C264" s="10">
        <v>45666.254513888889</v>
      </c>
      <c r="D264" s="10">
        <v>45666.256979166668</v>
      </c>
      <c r="E264" s="10">
        <v>45666.275266203702</v>
      </c>
      <c r="F264" s="10">
        <v>45666.276550925933</v>
      </c>
      <c r="G264" s="3" t="s">
        <v>1131</v>
      </c>
      <c r="H264" s="10">
        <v>45666.769699074073</v>
      </c>
      <c r="I264" s="10">
        <v>45666.809513888889</v>
      </c>
      <c r="J264" s="10">
        <v>45666.810185185182</v>
      </c>
      <c r="K264" s="11">
        <f t="shared" si="8"/>
        <v>1.8287037033587694E-2</v>
      </c>
      <c r="L264" s="11">
        <f t="shared" si="9"/>
        <v>0.53296296295593493</v>
      </c>
    </row>
    <row r="265" spans="1:12" x14ac:dyDescent="0.25">
      <c r="A265" s="3" t="s">
        <v>1133</v>
      </c>
      <c r="B265" s="3" t="s">
        <v>208</v>
      </c>
      <c r="C265" s="10">
        <v>45666.254513888889</v>
      </c>
      <c r="D265" s="10">
        <v>45666.256979166668</v>
      </c>
      <c r="E265" s="10">
        <v>45666.276550925933</v>
      </c>
      <c r="F265" s="10">
        <v>45666.278587962966</v>
      </c>
      <c r="G265" s="3" t="s">
        <v>1134</v>
      </c>
      <c r="H265" s="10">
        <v>45666.863680555558</v>
      </c>
      <c r="I265" s="10">
        <v>45666.885844907411</v>
      </c>
      <c r="J265" s="10">
        <v>45666.886631944442</v>
      </c>
      <c r="K265" s="11">
        <f t="shared" si="8"/>
        <v>1.9571759265090805E-2</v>
      </c>
      <c r="L265" s="11">
        <f t="shared" si="9"/>
        <v>0.60725694444408873</v>
      </c>
    </row>
    <row r="266" spans="1:12" x14ac:dyDescent="0.25">
      <c r="A266" s="3" t="s">
        <v>1136</v>
      </c>
      <c r="B266" s="3" t="s">
        <v>208</v>
      </c>
      <c r="C266" s="10">
        <v>45666.254513888889</v>
      </c>
      <c r="D266" s="10">
        <v>45666.256979166668</v>
      </c>
      <c r="E266" s="10">
        <v>45666.278587962966</v>
      </c>
      <c r="F266" s="10">
        <v>45666.27988425926</v>
      </c>
      <c r="G266" s="3" t="s">
        <v>1131</v>
      </c>
      <c r="H266" s="10">
        <v>45666.769699074073</v>
      </c>
      <c r="I266" s="10">
        <v>45666.809513888889</v>
      </c>
      <c r="J266" s="10">
        <v>45666.810185185182</v>
      </c>
      <c r="K266" s="11">
        <f t="shared" si="8"/>
        <v>2.1608796298096422E-2</v>
      </c>
      <c r="L266" s="11">
        <f t="shared" si="9"/>
        <v>0.52962962962919846</v>
      </c>
    </row>
    <row r="267" spans="1:12" x14ac:dyDescent="0.25">
      <c r="A267" s="3" t="s">
        <v>1138</v>
      </c>
      <c r="B267" s="3" t="s">
        <v>208</v>
      </c>
      <c r="C267" s="10">
        <v>45666.254513888889</v>
      </c>
      <c r="D267" s="10">
        <v>45666.256979166668</v>
      </c>
      <c r="E267" s="10">
        <v>45666.27988425926</v>
      </c>
      <c r="F267" s="10">
        <v>45666.281157407408</v>
      </c>
      <c r="G267" s="3" t="s">
        <v>1139</v>
      </c>
      <c r="H267" s="10">
        <v>45670.393287037034</v>
      </c>
      <c r="I267" s="10">
        <v>45670.425902777781</v>
      </c>
      <c r="J267" s="10">
        <v>45670.426874999997</v>
      </c>
      <c r="K267" s="11">
        <f t="shared" si="8"/>
        <v>2.290509259182727E-2</v>
      </c>
      <c r="L267" s="11">
        <f t="shared" si="9"/>
        <v>4.1447453703731298</v>
      </c>
    </row>
    <row r="268" spans="1:12" x14ac:dyDescent="0.25">
      <c r="A268" s="3" t="s">
        <v>1141</v>
      </c>
      <c r="B268" s="3" t="s">
        <v>208</v>
      </c>
      <c r="C268" s="10">
        <v>45666.254513888889</v>
      </c>
      <c r="D268" s="10">
        <v>45666.256979166668</v>
      </c>
      <c r="E268" s="10">
        <v>45666.281157407408</v>
      </c>
      <c r="F268" s="10">
        <v>45666.282592592594</v>
      </c>
      <c r="G268" s="3" t="s">
        <v>1085</v>
      </c>
      <c r="H268" s="10">
        <v>45666.327210648153</v>
      </c>
      <c r="I268" s="10">
        <v>45666.355150462958</v>
      </c>
      <c r="J268" s="10">
        <v>45666.355937499997</v>
      </c>
      <c r="K268" s="11">
        <f t="shared" si="8"/>
        <v>2.417824073927477E-2</v>
      </c>
      <c r="L268" s="11">
        <f t="shared" si="9"/>
        <v>7.2557870364107657E-2</v>
      </c>
    </row>
    <row r="269" spans="1:12" x14ac:dyDescent="0.25">
      <c r="A269" s="3" t="s">
        <v>1143</v>
      </c>
      <c r="B269" s="3" t="s">
        <v>208</v>
      </c>
      <c r="C269" s="10">
        <v>45666.254513888889</v>
      </c>
      <c r="D269" s="10">
        <v>45666.256979166668</v>
      </c>
      <c r="E269" s="10">
        <v>45666.282592592594</v>
      </c>
      <c r="F269" s="10">
        <v>45666.284594907411</v>
      </c>
      <c r="G269" s="3" t="s">
        <v>1144</v>
      </c>
      <c r="H269" s="10">
        <v>45666.644768518519</v>
      </c>
      <c r="I269" s="10">
        <v>45666.665925925918</v>
      </c>
      <c r="J269" s="10">
        <v>45666.66673611111</v>
      </c>
      <c r="K269" s="11">
        <f t="shared" si="8"/>
        <v>2.5613425925257616E-2</v>
      </c>
      <c r="L269" s="11">
        <f t="shared" si="9"/>
        <v>0.38133101850689854</v>
      </c>
    </row>
    <row r="270" spans="1:12" x14ac:dyDescent="0.25">
      <c r="A270" s="3" t="s">
        <v>1146</v>
      </c>
      <c r="B270" s="3" t="s">
        <v>208</v>
      </c>
      <c r="C270" s="10">
        <v>45666.254513888889</v>
      </c>
      <c r="D270" s="10">
        <v>45666.256979166668</v>
      </c>
      <c r="E270" s="10">
        <v>45666.284594907411</v>
      </c>
      <c r="F270" s="10">
        <v>45666.286412037043</v>
      </c>
      <c r="G270" s="3" t="s">
        <v>1020</v>
      </c>
      <c r="H270" s="10">
        <v>45667.135671296302</v>
      </c>
      <c r="I270" s="10">
        <v>45667.159131944441</v>
      </c>
      <c r="J270" s="10">
        <v>45667.15997685185</v>
      </c>
      <c r="K270" s="11">
        <f t="shared" si="8"/>
        <v>2.7615740742476191E-2</v>
      </c>
      <c r="L270" s="11">
        <f t="shared" si="9"/>
        <v>0.87271990739827743</v>
      </c>
    </row>
    <row r="271" spans="1:12" x14ac:dyDescent="0.25">
      <c r="A271" s="3" t="s">
        <v>1148</v>
      </c>
      <c r="B271" s="3" t="s">
        <v>209</v>
      </c>
      <c r="C271" s="10">
        <v>45666.272199074083</v>
      </c>
      <c r="D271" s="10">
        <v>45666.273784722223</v>
      </c>
      <c r="E271" s="10">
        <v>45666.287280092591</v>
      </c>
      <c r="F271" s="10">
        <v>45666.289548611108</v>
      </c>
      <c r="G271" s="3" t="s">
        <v>1149</v>
      </c>
      <c r="H271" s="10">
        <v>45666.291712962957</v>
      </c>
      <c r="I271" s="10">
        <v>45666.326041666667</v>
      </c>
      <c r="J271" s="10">
        <v>45666.326851851853</v>
      </c>
      <c r="K271" s="11">
        <f t="shared" si="8"/>
        <v>1.3495370367309079E-2</v>
      </c>
      <c r="L271" s="11">
        <f t="shared" si="9"/>
        <v>3.6493055558821652E-2</v>
      </c>
    </row>
    <row r="272" spans="1:12" x14ac:dyDescent="0.25">
      <c r="A272" s="3" t="s">
        <v>1167</v>
      </c>
      <c r="B272" s="3" t="s">
        <v>211</v>
      </c>
      <c r="C272" s="10">
        <v>45666.306157407409</v>
      </c>
      <c r="D272" s="10">
        <v>45666.308067129627</v>
      </c>
      <c r="E272" s="10">
        <v>45666.314143518517</v>
      </c>
      <c r="F272" s="10">
        <v>45666.316331018519</v>
      </c>
      <c r="G272" s="3" t="s">
        <v>596</v>
      </c>
      <c r="H272" s="10">
        <v>45666.323449074072</v>
      </c>
      <c r="I272" s="10">
        <v>45666.39607638889</v>
      </c>
      <c r="J272" s="10">
        <v>45666.397569444453</v>
      </c>
      <c r="K272" s="11">
        <f t="shared" si="8"/>
        <v>6.0763888905057684E-3</v>
      </c>
      <c r="L272" s="11">
        <f t="shared" si="9"/>
        <v>7.9745370370801538E-2</v>
      </c>
    </row>
    <row r="273" spans="1:12" x14ac:dyDescent="0.25">
      <c r="A273" s="3" t="s">
        <v>1151</v>
      </c>
      <c r="B273" s="3" t="s">
        <v>210</v>
      </c>
      <c r="C273" s="10">
        <v>45666.300671296303</v>
      </c>
      <c r="D273" s="10">
        <v>45666.302905092591</v>
      </c>
      <c r="E273" s="10">
        <v>45666.317118055558</v>
      </c>
      <c r="F273" s="10">
        <v>45666.318391203713</v>
      </c>
      <c r="G273" s="3" t="s">
        <v>1152</v>
      </c>
      <c r="H273" s="10">
        <v>45666.65053240741</v>
      </c>
      <c r="I273" s="10">
        <v>45666.696666666663</v>
      </c>
      <c r="J273" s="10">
        <v>45666.697534722232</v>
      </c>
      <c r="K273" s="11">
        <f t="shared" si="8"/>
        <v>1.4212962967576459E-2</v>
      </c>
      <c r="L273" s="11">
        <f t="shared" si="9"/>
        <v>0.37827546295011416</v>
      </c>
    </row>
    <row r="274" spans="1:12" x14ac:dyDescent="0.25">
      <c r="A274" s="3" t="s">
        <v>1154</v>
      </c>
      <c r="B274" s="3" t="s">
        <v>210</v>
      </c>
      <c r="C274" s="10">
        <v>45666.300671296303</v>
      </c>
      <c r="D274" s="10">
        <v>45666.302905092591</v>
      </c>
      <c r="E274" s="10">
        <v>45666.318391203713</v>
      </c>
      <c r="F274" s="10">
        <v>45666.319884259261</v>
      </c>
      <c r="G274" s="3" t="s">
        <v>596</v>
      </c>
      <c r="H274" s="10">
        <v>45666.323449074072</v>
      </c>
      <c r="I274" s="10">
        <v>45666.39607638889</v>
      </c>
      <c r="J274" s="10">
        <v>45666.397569444453</v>
      </c>
      <c r="K274" s="11">
        <f t="shared" si="8"/>
        <v>1.5486111122299917E-2</v>
      </c>
      <c r="L274" s="11">
        <f t="shared" si="9"/>
        <v>7.6192129628907423E-2</v>
      </c>
    </row>
    <row r="275" spans="1:12" x14ac:dyDescent="0.25">
      <c r="A275" s="3" t="s">
        <v>1156</v>
      </c>
      <c r="B275" s="3" t="s">
        <v>210</v>
      </c>
      <c r="C275" s="10">
        <v>45666.300671296303</v>
      </c>
      <c r="D275" s="10">
        <v>45666.302905092591</v>
      </c>
      <c r="E275" s="10">
        <v>45666.319884259261</v>
      </c>
      <c r="F275" s="10">
        <v>45666.321851851862</v>
      </c>
      <c r="G275" s="3" t="s">
        <v>1144</v>
      </c>
      <c r="H275" s="10">
        <v>45666.644768518519</v>
      </c>
      <c r="I275" s="10">
        <v>45666.665925925918</v>
      </c>
      <c r="J275" s="10">
        <v>45666.66673611111</v>
      </c>
      <c r="K275" s="11">
        <f t="shared" si="8"/>
        <v>1.6979166670353152E-2</v>
      </c>
      <c r="L275" s="11">
        <f t="shared" si="9"/>
        <v>0.34407407405524282</v>
      </c>
    </row>
    <row r="276" spans="1:12" x14ac:dyDescent="0.25">
      <c r="A276" s="3" t="s">
        <v>1158</v>
      </c>
      <c r="B276" s="3" t="s">
        <v>210</v>
      </c>
      <c r="C276" s="10">
        <v>45666.300671296303</v>
      </c>
      <c r="D276" s="10">
        <v>45666.302905092591</v>
      </c>
      <c r="E276" s="10">
        <v>45666.321851851862</v>
      </c>
      <c r="F276" s="10">
        <v>45666.323310185187</v>
      </c>
      <c r="G276" s="3" t="s">
        <v>1085</v>
      </c>
      <c r="H276" s="10">
        <v>45666.327210648153</v>
      </c>
      <c r="I276" s="10">
        <v>45666.355150462958</v>
      </c>
      <c r="J276" s="10">
        <v>45666.355937499997</v>
      </c>
      <c r="K276" s="11">
        <f t="shared" si="8"/>
        <v>1.8946759271784686E-2</v>
      </c>
      <c r="L276" s="11">
        <f t="shared" si="9"/>
        <v>3.1840277770243119E-2</v>
      </c>
    </row>
    <row r="277" spans="1:12" x14ac:dyDescent="0.25">
      <c r="A277" s="3" t="s">
        <v>1160</v>
      </c>
      <c r="B277" s="3" t="s">
        <v>210</v>
      </c>
      <c r="C277" s="10">
        <v>45666.300671296303</v>
      </c>
      <c r="D277" s="10">
        <v>45666.302905092591</v>
      </c>
      <c r="E277" s="10">
        <v>45666.323310185187</v>
      </c>
      <c r="F277" s="10">
        <v>45666.325046296297</v>
      </c>
      <c r="G277" s="3" t="s">
        <v>1012</v>
      </c>
      <c r="H277" s="10">
        <v>45666.330567129633</v>
      </c>
      <c r="I277" s="10">
        <v>45666.353032407409</v>
      </c>
      <c r="J277" s="10">
        <v>45666.353900462957</v>
      </c>
      <c r="K277" s="11">
        <f t="shared" si="8"/>
        <v>2.0405092596774921E-2</v>
      </c>
      <c r="L277" s="11">
        <f t="shared" si="9"/>
        <v>2.7986111112113576E-2</v>
      </c>
    </row>
    <row r="278" spans="1:12" x14ac:dyDescent="0.25">
      <c r="A278" s="3" t="s">
        <v>1162</v>
      </c>
      <c r="B278" s="3" t="s">
        <v>210</v>
      </c>
      <c r="C278" s="10">
        <v>45666.300671296303</v>
      </c>
      <c r="D278" s="10">
        <v>45666.302905092591</v>
      </c>
      <c r="E278" s="10">
        <v>45666.325046296297</v>
      </c>
      <c r="F278" s="10">
        <v>45666.326331018521</v>
      </c>
      <c r="G278" s="3" t="s">
        <v>1131</v>
      </c>
      <c r="H278" s="10">
        <v>45666.769699074073</v>
      </c>
      <c r="I278" s="10">
        <v>45666.809513888889</v>
      </c>
      <c r="J278" s="10">
        <v>45666.810185185182</v>
      </c>
      <c r="K278" s="11">
        <f t="shared" si="8"/>
        <v>2.2141203706269152E-2</v>
      </c>
      <c r="L278" s="11">
        <f t="shared" si="9"/>
        <v>0.48318287036818219</v>
      </c>
    </row>
    <row r="279" spans="1:12" x14ac:dyDescent="0.25">
      <c r="A279" s="3" t="s">
        <v>1164</v>
      </c>
      <c r="B279" s="3" t="s">
        <v>210</v>
      </c>
      <c r="C279" s="10">
        <v>45666.300671296303</v>
      </c>
      <c r="D279" s="10">
        <v>45666.302905092591</v>
      </c>
      <c r="E279" s="10">
        <v>45666.326331018521</v>
      </c>
      <c r="F279" s="10">
        <v>45666.327893518523</v>
      </c>
      <c r="G279" s="3" t="s">
        <v>1165</v>
      </c>
      <c r="H279" s="10">
        <v>45666.647696759261</v>
      </c>
      <c r="I279" s="10">
        <v>45666.676562499997</v>
      </c>
      <c r="J279" s="10">
        <v>45666.677349537043</v>
      </c>
      <c r="K279" s="11">
        <f t="shared" si="8"/>
        <v>2.3425925930496305E-2</v>
      </c>
      <c r="L279" s="11">
        <f t="shared" si="9"/>
        <v>0.348668981474475</v>
      </c>
    </row>
    <row r="280" spans="1:12" x14ac:dyDescent="0.25">
      <c r="A280" s="3" t="s">
        <v>1169</v>
      </c>
      <c r="B280" s="3" t="s">
        <v>212</v>
      </c>
      <c r="C280" s="10">
        <v>45666.327314814807</v>
      </c>
      <c r="D280" s="10">
        <v>45666.329351851848</v>
      </c>
      <c r="E280" s="10">
        <v>45666.336226851847</v>
      </c>
      <c r="F280" s="10">
        <v>45666.339004629634</v>
      </c>
      <c r="G280" s="3" t="s">
        <v>1170</v>
      </c>
      <c r="H280" s="10">
        <v>45666.356296296297</v>
      </c>
      <c r="I280" s="10">
        <v>45666.423379629632</v>
      </c>
      <c r="J280" s="10">
        <v>45666.424814814818</v>
      </c>
      <c r="K280" s="11">
        <f t="shared" si="8"/>
        <v>6.8749999991268851E-3</v>
      </c>
      <c r="L280" s="11">
        <f t="shared" si="9"/>
        <v>8.4374999998544808E-2</v>
      </c>
    </row>
    <row r="281" spans="1:12" x14ac:dyDescent="0.25">
      <c r="A281" s="3" t="s">
        <v>1172</v>
      </c>
      <c r="B281" s="3" t="s">
        <v>213</v>
      </c>
      <c r="C281" s="10">
        <v>45666.364710648151</v>
      </c>
      <c r="D281" s="10">
        <v>45666.3671412037</v>
      </c>
      <c r="E281" s="10">
        <v>45666.374768518523</v>
      </c>
      <c r="F281" s="10">
        <v>45666.376736111109</v>
      </c>
      <c r="G281" s="3" t="s">
        <v>1173</v>
      </c>
      <c r="H281" s="10">
        <v>45666.379131944443</v>
      </c>
      <c r="I281" s="10">
        <v>45666.405358796299</v>
      </c>
      <c r="J281" s="10">
        <v>45666.406226851846</v>
      </c>
      <c r="K281" s="11">
        <f t="shared" si="8"/>
        <v>7.6273148224572651E-3</v>
      </c>
      <c r="L281" s="11">
        <f t="shared" si="9"/>
        <v>2.8622685189475305E-2</v>
      </c>
    </row>
    <row r="282" spans="1:12" x14ac:dyDescent="0.25">
      <c r="A282" s="3" t="s">
        <v>1175</v>
      </c>
      <c r="B282" s="3" t="s">
        <v>213</v>
      </c>
      <c r="C282" s="10">
        <v>45666.364710648151</v>
      </c>
      <c r="D282" s="10">
        <v>45666.3671412037</v>
      </c>
      <c r="E282" s="10">
        <v>45666.376736111109</v>
      </c>
      <c r="F282" s="10">
        <v>45666.379178240742</v>
      </c>
      <c r="G282" s="3" t="s">
        <v>1054</v>
      </c>
      <c r="H282" s="10">
        <v>45666.383101851847</v>
      </c>
      <c r="I282" s="10">
        <v>45666.443726851852</v>
      </c>
      <c r="J282" s="10">
        <v>45666.444733796299</v>
      </c>
      <c r="K282" s="11">
        <f t="shared" si="8"/>
        <v>9.5949074093368836E-3</v>
      </c>
      <c r="L282" s="11">
        <f t="shared" si="9"/>
        <v>6.454861110978527E-2</v>
      </c>
    </row>
    <row r="283" spans="1:12" x14ac:dyDescent="0.25">
      <c r="A283" s="3" t="s">
        <v>1177</v>
      </c>
      <c r="B283" s="3" t="s">
        <v>214</v>
      </c>
      <c r="C283" s="10">
        <v>45666.451631944437</v>
      </c>
      <c r="D283" s="10">
        <v>45666.454236111109</v>
      </c>
      <c r="E283" s="10">
        <v>45666.462511574071</v>
      </c>
      <c r="F283" s="10">
        <v>45666.464432870373</v>
      </c>
      <c r="G283" s="3" t="s">
        <v>1178</v>
      </c>
      <c r="H283" s="10">
        <v>45667.390416666669</v>
      </c>
      <c r="I283" s="10">
        <v>45667.41510416667</v>
      </c>
      <c r="J283" s="10">
        <v>45667.415821759263</v>
      </c>
      <c r="K283" s="11">
        <f t="shared" si="8"/>
        <v>8.2754629620467313E-3</v>
      </c>
      <c r="L283" s="11">
        <f t="shared" si="9"/>
        <v>0.95067129629751435</v>
      </c>
    </row>
    <row r="284" spans="1:12" x14ac:dyDescent="0.25">
      <c r="A284" s="3" t="s">
        <v>1180</v>
      </c>
      <c r="B284" s="3" t="s">
        <v>214</v>
      </c>
      <c r="C284" s="10">
        <v>45666.451631944437</v>
      </c>
      <c r="D284" s="10">
        <v>45666.454236111109</v>
      </c>
      <c r="E284" s="10">
        <v>45666.464432870373</v>
      </c>
      <c r="F284" s="10">
        <v>45666.467083333337</v>
      </c>
      <c r="G284" s="3" t="s">
        <v>1181</v>
      </c>
      <c r="H284" s="10">
        <v>45666.46947916667</v>
      </c>
      <c r="I284" s="10">
        <v>45666.542314814818</v>
      </c>
      <c r="J284" s="10">
        <v>45666.543865740743</v>
      </c>
      <c r="K284" s="11">
        <f t="shared" si="8"/>
        <v>1.0196759263635613E-2</v>
      </c>
      <c r="L284" s="11">
        <f t="shared" si="9"/>
        <v>7.5231481481750961E-2</v>
      </c>
    </row>
    <row r="285" spans="1:12" x14ac:dyDescent="0.25">
      <c r="A285" s="3" t="s">
        <v>1183</v>
      </c>
      <c r="B285" s="3" t="s">
        <v>215</v>
      </c>
      <c r="C285" s="10">
        <v>45666.606782407413</v>
      </c>
      <c r="D285" s="10">
        <v>45666.608935185177</v>
      </c>
      <c r="E285" s="10">
        <v>45666.61451388889</v>
      </c>
      <c r="F285" s="10">
        <v>45666.616770833331</v>
      </c>
      <c r="G285" s="3" t="s">
        <v>1184</v>
      </c>
      <c r="H285" s="10">
        <v>45666.618923611109</v>
      </c>
      <c r="I285" s="10">
        <v>45666.66170138889</v>
      </c>
      <c r="J285" s="10">
        <v>45666.662858796299</v>
      </c>
      <c r="K285" s="11">
        <f t="shared" si="8"/>
        <v>5.5787037126719952E-3</v>
      </c>
      <c r="L285" s="11">
        <f t="shared" si="9"/>
        <v>4.4930555559403729E-2</v>
      </c>
    </row>
    <row r="286" spans="1:12" x14ac:dyDescent="0.25">
      <c r="A286" s="3" t="s">
        <v>1186</v>
      </c>
      <c r="B286" s="3" t="s">
        <v>216</v>
      </c>
      <c r="C286" s="10">
        <v>45666.625347222223</v>
      </c>
      <c r="D286" s="10">
        <v>45666.627881944441</v>
      </c>
      <c r="E286" s="10">
        <v>45666.639166666668</v>
      </c>
      <c r="F286" s="10">
        <v>45666.641215277778</v>
      </c>
      <c r="G286" s="3" t="s">
        <v>1144</v>
      </c>
      <c r="H286" s="10">
        <v>45666.644768518519</v>
      </c>
      <c r="I286" s="10">
        <v>45666.665925925918</v>
      </c>
      <c r="J286" s="10">
        <v>45666.66673611111</v>
      </c>
      <c r="K286" s="11">
        <f t="shared" si="8"/>
        <v>1.1284722226264421E-2</v>
      </c>
      <c r="L286" s="11">
        <f t="shared" si="9"/>
        <v>2.4710648140171543E-2</v>
      </c>
    </row>
    <row r="287" spans="1:12" x14ac:dyDescent="0.25">
      <c r="A287" s="3" t="s">
        <v>1188</v>
      </c>
      <c r="B287" s="3" t="s">
        <v>216</v>
      </c>
      <c r="C287" s="10">
        <v>45666.625347222223</v>
      </c>
      <c r="D287" s="10">
        <v>45666.627881944441</v>
      </c>
      <c r="E287" s="10">
        <v>45666.641215277778</v>
      </c>
      <c r="F287" s="10">
        <v>45666.64334490741</v>
      </c>
      <c r="G287" s="3" t="s">
        <v>1189</v>
      </c>
      <c r="H287" s="10">
        <v>45666.768067129633</v>
      </c>
      <c r="I287" s="10">
        <v>45666.796458333331</v>
      </c>
      <c r="J287" s="10">
        <v>45666.797361111108</v>
      </c>
      <c r="K287" s="11">
        <f t="shared" si="8"/>
        <v>1.3333333336049691E-2</v>
      </c>
      <c r="L287" s="11">
        <f t="shared" si="9"/>
        <v>0.15311342592030996</v>
      </c>
    </row>
    <row r="288" spans="1:12" x14ac:dyDescent="0.25">
      <c r="A288" s="3" t="s">
        <v>1191</v>
      </c>
      <c r="B288" s="3" t="s">
        <v>216</v>
      </c>
      <c r="C288" s="10">
        <v>45666.625347222223</v>
      </c>
      <c r="D288" s="10">
        <v>45666.627881944441</v>
      </c>
      <c r="E288" s="10">
        <v>45666.64334490741</v>
      </c>
      <c r="F288" s="10">
        <v>45666.644999999997</v>
      </c>
      <c r="G288" s="3" t="s">
        <v>1165</v>
      </c>
      <c r="H288" s="10">
        <v>45666.647696759261</v>
      </c>
      <c r="I288" s="10">
        <v>45666.676562499997</v>
      </c>
      <c r="J288" s="10">
        <v>45666.677349537043</v>
      </c>
      <c r="K288" s="11">
        <f t="shared" si="8"/>
        <v>1.5462962968740612E-2</v>
      </c>
      <c r="L288" s="11">
        <f t="shared" si="9"/>
        <v>3.1562500000291038E-2</v>
      </c>
    </row>
    <row r="289" spans="1:12" x14ac:dyDescent="0.25">
      <c r="A289" s="3" t="s">
        <v>1193</v>
      </c>
      <c r="B289" s="3" t="s">
        <v>216</v>
      </c>
      <c r="C289" s="10">
        <v>45666.625347222223</v>
      </c>
      <c r="D289" s="10">
        <v>45666.627881944441</v>
      </c>
      <c r="E289" s="10">
        <v>45666.644999999997</v>
      </c>
      <c r="F289" s="10">
        <v>45666.646377314813</v>
      </c>
      <c r="G289" s="3" t="s">
        <v>1152</v>
      </c>
      <c r="H289" s="10">
        <v>45666.65053240741</v>
      </c>
      <c r="I289" s="10">
        <v>45666.696666666663</v>
      </c>
      <c r="J289" s="10">
        <v>45666.697534722232</v>
      </c>
      <c r="K289" s="11">
        <f t="shared" si="8"/>
        <v>1.7118055555329192E-2</v>
      </c>
      <c r="L289" s="11">
        <f t="shared" si="9"/>
        <v>5.0289351849642117E-2</v>
      </c>
    </row>
    <row r="290" spans="1:12" x14ac:dyDescent="0.25">
      <c r="A290" s="3" t="s">
        <v>1195</v>
      </c>
      <c r="B290" s="3" t="s">
        <v>216</v>
      </c>
      <c r="C290" s="10">
        <v>45666.625347222223</v>
      </c>
      <c r="D290" s="10">
        <v>45666.627881944441</v>
      </c>
      <c r="E290" s="10">
        <v>45666.646377314813</v>
      </c>
      <c r="F290" s="10">
        <v>45666.647986111107</v>
      </c>
      <c r="G290" s="3" t="s">
        <v>1034</v>
      </c>
      <c r="H290" s="10">
        <v>45666.784074074072</v>
      </c>
      <c r="I290" s="10">
        <v>45666.815844907411</v>
      </c>
      <c r="J290" s="10">
        <v>45666.816678240742</v>
      </c>
      <c r="K290" s="11">
        <f t="shared" si="8"/>
        <v>1.8495370371965691E-2</v>
      </c>
      <c r="L290" s="11">
        <f t="shared" si="9"/>
        <v>0.16785879630333511</v>
      </c>
    </row>
    <row r="291" spans="1:12" x14ac:dyDescent="0.25">
      <c r="A291" s="3" t="s">
        <v>1197</v>
      </c>
      <c r="B291" s="3" t="s">
        <v>217</v>
      </c>
      <c r="C291" s="10">
        <v>45666.643680555557</v>
      </c>
      <c r="D291" s="10">
        <v>45666.645567129628</v>
      </c>
      <c r="E291" s="10">
        <v>45666.651782407411</v>
      </c>
      <c r="F291" s="10">
        <v>45666.653946759259</v>
      </c>
      <c r="G291" s="3" t="s">
        <v>1198</v>
      </c>
      <c r="H291" s="10">
        <v>45666.664907407408</v>
      </c>
      <c r="I291" s="10">
        <v>45666.722268518519</v>
      </c>
      <c r="J291" s="10">
        <v>45666.723541666674</v>
      </c>
      <c r="K291" s="11">
        <f t="shared" si="8"/>
        <v>6.2152777827577665E-3</v>
      </c>
      <c r="L291" s="11">
        <f t="shared" si="9"/>
        <v>6.8321759259561077E-2</v>
      </c>
    </row>
    <row r="292" spans="1:12" x14ac:dyDescent="0.25">
      <c r="A292" s="3" t="s">
        <v>1221</v>
      </c>
      <c r="B292" s="3" t="s">
        <v>219</v>
      </c>
      <c r="C292" s="10">
        <v>45666.740023148152</v>
      </c>
      <c r="D292" s="10">
        <v>45666.741354166668</v>
      </c>
      <c r="E292" s="10">
        <v>45666.746134259258</v>
      </c>
      <c r="F292" s="10">
        <v>45666.74795138889</v>
      </c>
      <c r="G292" s="3" t="s">
        <v>1222</v>
      </c>
      <c r="H292" s="10">
        <v>45667.254652777781</v>
      </c>
      <c r="I292" s="10">
        <v>45667.315428240741</v>
      </c>
      <c r="J292" s="10">
        <v>45667.316712962973</v>
      </c>
      <c r="K292" s="11">
        <f t="shared" si="8"/>
        <v>4.7800925894989632E-3</v>
      </c>
      <c r="L292" s="11">
        <f t="shared" si="9"/>
        <v>0.56747685185109731</v>
      </c>
    </row>
    <row r="293" spans="1:12" x14ac:dyDescent="0.25">
      <c r="A293" s="3" t="s">
        <v>1200</v>
      </c>
      <c r="B293" s="3" t="s">
        <v>218</v>
      </c>
      <c r="C293" s="10">
        <v>45666.738437499997</v>
      </c>
      <c r="D293" s="10">
        <v>45666.740763888891</v>
      </c>
      <c r="E293" s="10">
        <v>45666.755995370368</v>
      </c>
      <c r="F293" s="10">
        <v>45666.757280092592</v>
      </c>
      <c r="G293" s="3" t="s">
        <v>1131</v>
      </c>
      <c r="H293" s="10">
        <v>45666.769699074073</v>
      </c>
      <c r="I293" s="10">
        <v>45666.809513888889</v>
      </c>
      <c r="J293" s="10">
        <v>45666.810185185182</v>
      </c>
      <c r="K293" s="11">
        <f t="shared" si="8"/>
        <v>1.523148147680331E-2</v>
      </c>
      <c r="L293" s="11">
        <f t="shared" si="9"/>
        <v>5.2233796297514345E-2</v>
      </c>
    </row>
    <row r="294" spans="1:12" x14ac:dyDescent="0.25">
      <c r="A294" s="3" t="s">
        <v>1202</v>
      </c>
      <c r="B294" s="3" t="s">
        <v>218</v>
      </c>
      <c r="C294" s="10">
        <v>45666.738437499997</v>
      </c>
      <c r="D294" s="10">
        <v>45666.740763888891</v>
      </c>
      <c r="E294" s="10">
        <v>45666.757280092592</v>
      </c>
      <c r="F294" s="10">
        <v>45666.759317129632</v>
      </c>
      <c r="G294" s="3" t="s">
        <v>1134</v>
      </c>
      <c r="H294" s="10">
        <v>45666.863680555558</v>
      </c>
      <c r="I294" s="10">
        <v>45666.885844907411</v>
      </c>
      <c r="J294" s="10">
        <v>45666.886631944442</v>
      </c>
      <c r="K294" s="11">
        <f t="shared" si="8"/>
        <v>1.6516203701030463E-2</v>
      </c>
      <c r="L294" s="11">
        <f t="shared" si="9"/>
        <v>0.12652777777839219</v>
      </c>
    </row>
    <row r="295" spans="1:12" x14ac:dyDescent="0.25">
      <c r="A295" s="3" t="s">
        <v>1204</v>
      </c>
      <c r="B295" s="3" t="s">
        <v>218</v>
      </c>
      <c r="C295" s="10">
        <v>45666.738437499997</v>
      </c>
      <c r="D295" s="10">
        <v>45666.740763888891</v>
      </c>
      <c r="E295" s="10">
        <v>45666.759317129632</v>
      </c>
      <c r="F295" s="10">
        <v>45666.761041666658</v>
      </c>
      <c r="G295" s="3" t="s">
        <v>655</v>
      </c>
      <c r="H295" s="10">
        <v>45666.779282407413</v>
      </c>
      <c r="I295" s="10">
        <v>45666.816678240742</v>
      </c>
      <c r="J295" s="10">
        <v>45666.817453703698</v>
      </c>
      <c r="K295" s="11">
        <f t="shared" si="8"/>
        <v>1.8553240741312038E-2</v>
      </c>
      <c r="L295" s="11">
        <f t="shared" si="9"/>
        <v>5.5636574084928725E-2</v>
      </c>
    </row>
    <row r="296" spans="1:12" x14ac:dyDescent="0.25">
      <c r="A296" s="3" t="s">
        <v>1206</v>
      </c>
      <c r="B296" s="3" t="s">
        <v>218</v>
      </c>
      <c r="C296" s="10">
        <v>45666.738437499997</v>
      </c>
      <c r="D296" s="10">
        <v>45666.740763888891</v>
      </c>
      <c r="E296" s="10">
        <v>45666.761041666658</v>
      </c>
      <c r="F296" s="10">
        <v>45666.762430555558</v>
      </c>
      <c r="G296" s="3" t="s">
        <v>1207</v>
      </c>
      <c r="H296" s="10">
        <v>45666.764826388891</v>
      </c>
      <c r="I296" s="10">
        <v>45666.78597222222</v>
      </c>
      <c r="J296" s="10">
        <v>45666.78670138889</v>
      </c>
      <c r="K296" s="11">
        <f t="shared" si="8"/>
        <v>2.027777776675066E-2</v>
      </c>
      <c r="L296" s="11">
        <f t="shared" si="9"/>
        <v>2.3541666661913041E-2</v>
      </c>
    </row>
    <row r="297" spans="1:12" x14ac:dyDescent="0.25">
      <c r="A297" s="3" t="s">
        <v>1209</v>
      </c>
      <c r="B297" s="3" t="s">
        <v>218</v>
      </c>
      <c r="C297" s="10">
        <v>45666.738437499997</v>
      </c>
      <c r="D297" s="10">
        <v>45666.740763888891</v>
      </c>
      <c r="E297" s="10">
        <v>45666.762430555558</v>
      </c>
      <c r="F297" s="10">
        <v>45666.764490740738</v>
      </c>
      <c r="G297" s="3" t="s">
        <v>1189</v>
      </c>
      <c r="H297" s="10">
        <v>45666.768067129633</v>
      </c>
      <c r="I297" s="10">
        <v>45666.796458333331</v>
      </c>
      <c r="J297" s="10">
        <v>45666.797361111108</v>
      </c>
      <c r="K297" s="11">
        <f t="shared" si="8"/>
        <v>2.1666666667442769E-2</v>
      </c>
      <c r="L297" s="11">
        <f t="shared" si="9"/>
        <v>3.1967592592991423E-2</v>
      </c>
    </row>
    <row r="298" spans="1:12" x14ac:dyDescent="0.25">
      <c r="A298" s="3" t="s">
        <v>1211</v>
      </c>
      <c r="B298" s="3" t="s">
        <v>218</v>
      </c>
      <c r="C298" s="10">
        <v>45666.738437499997</v>
      </c>
      <c r="D298" s="10">
        <v>45666.740763888891</v>
      </c>
      <c r="E298" s="10">
        <v>45666.764490740738</v>
      </c>
      <c r="F298" s="10">
        <v>45666.765775462962</v>
      </c>
      <c r="G298" s="3" t="s">
        <v>1131</v>
      </c>
      <c r="H298" s="10">
        <v>45666.769699074073</v>
      </c>
      <c r="I298" s="10">
        <v>45666.809513888889</v>
      </c>
      <c r="J298" s="10">
        <v>45666.810185185182</v>
      </c>
      <c r="K298" s="11">
        <f t="shared" si="8"/>
        <v>2.3726851846731734E-2</v>
      </c>
      <c r="L298" s="11">
        <f t="shared" si="9"/>
        <v>4.3738425927585922E-2</v>
      </c>
    </row>
    <row r="299" spans="1:12" x14ac:dyDescent="0.25">
      <c r="A299" s="3" t="s">
        <v>1213</v>
      </c>
      <c r="B299" s="3" t="s">
        <v>218</v>
      </c>
      <c r="C299" s="10">
        <v>45666.738437499997</v>
      </c>
      <c r="D299" s="10">
        <v>45666.740763888891</v>
      </c>
      <c r="E299" s="10">
        <v>45666.765775462962</v>
      </c>
      <c r="F299" s="10">
        <v>45666.76730324074</v>
      </c>
      <c r="G299" s="3" t="s">
        <v>1214</v>
      </c>
      <c r="H299" s="10">
        <v>45666.790694444448</v>
      </c>
      <c r="I299" s="10">
        <v>45666.832199074073</v>
      </c>
      <c r="J299" s="10">
        <v>45666.833020833343</v>
      </c>
      <c r="K299" s="11">
        <f t="shared" si="8"/>
        <v>2.5011574070958886E-2</v>
      </c>
      <c r="L299" s="11">
        <f t="shared" si="9"/>
        <v>6.4895833333139308E-2</v>
      </c>
    </row>
    <row r="300" spans="1:12" x14ac:dyDescent="0.25">
      <c r="A300" s="3" t="s">
        <v>1216</v>
      </c>
      <c r="B300" s="3" t="s">
        <v>218</v>
      </c>
      <c r="C300" s="10">
        <v>45666.738437499997</v>
      </c>
      <c r="D300" s="10">
        <v>45666.740763888891</v>
      </c>
      <c r="E300" s="10">
        <v>45666.76730324074</v>
      </c>
      <c r="F300" s="10">
        <v>45666.76903935185</v>
      </c>
      <c r="G300" s="3" t="s">
        <v>1217</v>
      </c>
      <c r="H300" s="10">
        <v>45666.795428240737</v>
      </c>
      <c r="I300" s="10">
        <v>45666.84138888889</v>
      </c>
      <c r="J300" s="10">
        <v>45666.842303240737</v>
      </c>
      <c r="K300" s="11">
        <f t="shared" si="8"/>
        <v>2.6539351849351078E-2</v>
      </c>
      <c r="L300" s="11">
        <f t="shared" si="9"/>
        <v>7.2349537040281575E-2</v>
      </c>
    </row>
    <row r="301" spans="1:12" x14ac:dyDescent="0.25">
      <c r="A301" s="3" t="s">
        <v>1219</v>
      </c>
      <c r="B301" s="3" t="s">
        <v>218</v>
      </c>
      <c r="C301" s="10">
        <v>45666.738437499997</v>
      </c>
      <c r="D301" s="10">
        <v>45666.740763888891</v>
      </c>
      <c r="E301" s="10">
        <v>45666.76903935185</v>
      </c>
      <c r="F301" s="10">
        <v>45666.770543981482</v>
      </c>
      <c r="G301" s="3" t="s">
        <v>1214</v>
      </c>
      <c r="H301" s="10">
        <v>45666.790694444448</v>
      </c>
      <c r="I301" s="10">
        <v>45666.832199074073</v>
      </c>
      <c r="J301" s="10">
        <v>45666.833020833343</v>
      </c>
      <c r="K301" s="11">
        <f t="shared" si="8"/>
        <v>2.827546295884531E-2</v>
      </c>
      <c r="L301" s="11">
        <f t="shared" si="9"/>
        <v>6.1655092591536231E-2</v>
      </c>
    </row>
    <row r="302" spans="1:12" x14ac:dyDescent="0.25">
      <c r="A302" s="3" t="s">
        <v>1224</v>
      </c>
      <c r="B302" s="3" t="s">
        <v>220</v>
      </c>
      <c r="C302" s="10">
        <v>45666.741157407407</v>
      </c>
      <c r="D302" s="10">
        <v>45666.743275462963</v>
      </c>
      <c r="E302" s="10">
        <v>45666.771412037036</v>
      </c>
      <c r="F302" s="10">
        <v>45666.773344907408</v>
      </c>
      <c r="G302" s="3" t="s">
        <v>1225</v>
      </c>
      <c r="H302" s="10">
        <v>45667.133842592593</v>
      </c>
      <c r="I302" s="10">
        <v>45667.173263888893</v>
      </c>
      <c r="J302" s="10">
        <v>45667.174317129633</v>
      </c>
      <c r="K302" s="11">
        <f t="shared" si="8"/>
        <v>2.8136574073869269E-2</v>
      </c>
      <c r="L302" s="11">
        <f t="shared" si="9"/>
        <v>0.3999189814858255</v>
      </c>
    </row>
    <row r="303" spans="1:12" x14ac:dyDescent="0.25">
      <c r="A303" s="3" t="s">
        <v>1227</v>
      </c>
      <c r="B303" s="3" t="s">
        <v>220</v>
      </c>
      <c r="C303" s="10">
        <v>45666.741157407407</v>
      </c>
      <c r="D303" s="10">
        <v>45666.743275462963</v>
      </c>
      <c r="E303" s="10">
        <v>45666.773344907408</v>
      </c>
      <c r="F303" s="10">
        <v>45666.775034722217</v>
      </c>
      <c r="G303" s="3" t="s">
        <v>655</v>
      </c>
      <c r="H303" s="10">
        <v>45666.779282407413</v>
      </c>
      <c r="I303" s="10">
        <v>45666.816678240742</v>
      </c>
      <c r="J303" s="10">
        <v>45666.817453703698</v>
      </c>
      <c r="K303" s="11">
        <f t="shared" si="8"/>
        <v>3.0069444444961846E-2</v>
      </c>
      <c r="L303" s="11">
        <f t="shared" si="9"/>
        <v>4.1643518525233958E-2</v>
      </c>
    </row>
    <row r="304" spans="1:12" x14ac:dyDescent="0.25">
      <c r="A304" s="3" t="s">
        <v>1229</v>
      </c>
      <c r="B304" s="3" t="s">
        <v>220</v>
      </c>
      <c r="C304" s="10">
        <v>45666.741157407407</v>
      </c>
      <c r="D304" s="10">
        <v>45666.743275462963</v>
      </c>
      <c r="E304" s="10">
        <v>45666.775034722217</v>
      </c>
      <c r="F304" s="10">
        <v>45666.777060185188</v>
      </c>
      <c r="G304" s="3" t="s">
        <v>1230</v>
      </c>
      <c r="H304" s="10">
        <v>45666.867650462962</v>
      </c>
      <c r="I304" s="10">
        <v>45666.8903587963</v>
      </c>
      <c r="J304" s="10">
        <v>45666.891030092593</v>
      </c>
      <c r="K304" s="11">
        <f t="shared" si="8"/>
        <v>3.1759259254613426E-2</v>
      </c>
      <c r="L304" s="11">
        <f t="shared" si="9"/>
        <v>0.1132986111115315</v>
      </c>
    </row>
    <row r="305" spans="1:12" x14ac:dyDescent="0.25">
      <c r="A305" s="3" t="s">
        <v>1232</v>
      </c>
      <c r="B305" s="3" t="s">
        <v>220</v>
      </c>
      <c r="C305" s="10">
        <v>45666.741157407407</v>
      </c>
      <c r="D305" s="10">
        <v>45666.743275462963</v>
      </c>
      <c r="E305" s="10">
        <v>45666.777060185188</v>
      </c>
      <c r="F305" s="10">
        <v>45666.778657407413</v>
      </c>
      <c r="G305" s="3" t="s">
        <v>1034</v>
      </c>
      <c r="H305" s="10">
        <v>45666.784074074072</v>
      </c>
      <c r="I305" s="10">
        <v>45666.815844907411</v>
      </c>
      <c r="J305" s="10">
        <v>45666.816678240742</v>
      </c>
      <c r="K305" s="11">
        <f t="shared" si="8"/>
        <v>3.3784722225391306E-2</v>
      </c>
      <c r="L305" s="11">
        <f t="shared" si="9"/>
        <v>3.718749999825377E-2</v>
      </c>
    </row>
    <row r="306" spans="1:12" x14ac:dyDescent="0.25">
      <c r="A306" s="3" t="s">
        <v>1234</v>
      </c>
      <c r="B306" s="3" t="s">
        <v>220</v>
      </c>
      <c r="C306" s="10">
        <v>45666.741157407407</v>
      </c>
      <c r="D306" s="10">
        <v>45666.743275462963</v>
      </c>
      <c r="E306" s="10">
        <v>45666.778657407413</v>
      </c>
      <c r="F306" s="10">
        <v>45666.780127314807</v>
      </c>
      <c r="G306" s="3" t="s">
        <v>1214</v>
      </c>
      <c r="H306" s="10">
        <v>45666.790694444448</v>
      </c>
      <c r="I306" s="10">
        <v>45666.832199074073</v>
      </c>
      <c r="J306" s="10">
        <v>45666.833020833343</v>
      </c>
      <c r="K306" s="11">
        <f t="shared" si="8"/>
        <v>3.5381944449909497E-2</v>
      </c>
      <c r="L306" s="11">
        <f t="shared" si="9"/>
        <v>5.2071759266254958E-2</v>
      </c>
    </row>
    <row r="307" spans="1:12" x14ac:dyDescent="0.25">
      <c r="A307" s="3" t="s">
        <v>1236</v>
      </c>
      <c r="B307" s="3" t="s">
        <v>220</v>
      </c>
      <c r="C307" s="10">
        <v>45666.741157407407</v>
      </c>
      <c r="D307" s="10">
        <v>45666.743275462963</v>
      </c>
      <c r="E307" s="10">
        <v>45666.780127314807</v>
      </c>
      <c r="F307" s="10">
        <v>45666.781828703701</v>
      </c>
      <c r="G307" s="3" t="s">
        <v>1217</v>
      </c>
      <c r="H307" s="10">
        <v>45666.795428240737</v>
      </c>
      <c r="I307" s="10">
        <v>45666.84138888889</v>
      </c>
      <c r="J307" s="10">
        <v>45666.842303240737</v>
      </c>
      <c r="K307" s="11">
        <f t="shared" si="8"/>
        <v>3.6851851844403427E-2</v>
      </c>
      <c r="L307" s="11">
        <f t="shared" si="9"/>
        <v>5.9560185189184267E-2</v>
      </c>
    </row>
    <row r="308" spans="1:12" x14ac:dyDescent="0.25">
      <c r="A308" s="3" t="s">
        <v>1238</v>
      </c>
      <c r="B308" s="3" t="s">
        <v>220</v>
      </c>
      <c r="C308" s="10">
        <v>45666.741157407407</v>
      </c>
      <c r="D308" s="10">
        <v>45666.743275462963</v>
      </c>
      <c r="E308" s="10">
        <v>45666.781828703701</v>
      </c>
      <c r="F308" s="10">
        <v>45666.783761574072</v>
      </c>
      <c r="G308" s="3" t="s">
        <v>1225</v>
      </c>
      <c r="H308" s="10">
        <v>45667.133842592593</v>
      </c>
      <c r="I308" s="10">
        <v>45667.173263888893</v>
      </c>
      <c r="J308" s="10">
        <v>45667.174317129633</v>
      </c>
      <c r="K308" s="11">
        <f t="shared" si="8"/>
        <v>3.8553240738110617E-2</v>
      </c>
      <c r="L308" s="11">
        <f t="shared" si="9"/>
        <v>0.38950231482158415</v>
      </c>
    </row>
    <row r="309" spans="1:12" x14ac:dyDescent="0.25">
      <c r="A309" s="3" t="s">
        <v>1240</v>
      </c>
      <c r="B309" s="3" t="s">
        <v>220</v>
      </c>
      <c r="C309" s="10">
        <v>45666.741157407407</v>
      </c>
      <c r="D309" s="10">
        <v>45666.743275462963</v>
      </c>
      <c r="E309" s="10">
        <v>45666.783761574072</v>
      </c>
      <c r="F309" s="10">
        <v>45666.785092592603</v>
      </c>
      <c r="G309" s="3" t="s">
        <v>1241</v>
      </c>
      <c r="H309" s="10">
        <v>45667.303541666668</v>
      </c>
      <c r="I309" s="10">
        <v>45667.331817129627</v>
      </c>
      <c r="J309" s="10">
        <v>45667.332604166673</v>
      </c>
      <c r="K309" s="11">
        <f t="shared" si="8"/>
        <v>4.0486111109203193E-2</v>
      </c>
      <c r="L309" s="11">
        <f t="shared" si="9"/>
        <v>0.54672453702369239</v>
      </c>
    </row>
    <row r="310" spans="1:12" x14ac:dyDescent="0.25">
      <c r="A310" s="3" t="s">
        <v>1243</v>
      </c>
      <c r="B310" s="3" t="s">
        <v>220</v>
      </c>
      <c r="C310" s="10">
        <v>45666.741157407407</v>
      </c>
      <c r="D310" s="10">
        <v>45666.743275462963</v>
      </c>
      <c r="E310" s="10">
        <v>45666.785092592603</v>
      </c>
      <c r="F310" s="10">
        <v>45666.786678240736</v>
      </c>
      <c r="G310" s="3" t="s">
        <v>1214</v>
      </c>
      <c r="H310" s="10">
        <v>45666.790694444448</v>
      </c>
      <c r="I310" s="10">
        <v>45666.832199074073</v>
      </c>
      <c r="J310" s="10">
        <v>45666.833020833343</v>
      </c>
      <c r="K310" s="11">
        <f t="shared" si="8"/>
        <v>4.1817129640548956E-2</v>
      </c>
      <c r="L310" s="11">
        <f t="shared" si="9"/>
        <v>4.5520833336922806E-2</v>
      </c>
    </row>
    <row r="311" spans="1:12" x14ac:dyDescent="0.25">
      <c r="A311" s="3" t="s">
        <v>1245</v>
      </c>
      <c r="B311" s="3" t="s">
        <v>220</v>
      </c>
      <c r="C311" s="10">
        <v>45666.741157407407</v>
      </c>
      <c r="D311" s="10">
        <v>45666.743275462963</v>
      </c>
      <c r="E311" s="10">
        <v>45666.786678240736</v>
      </c>
      <c r="F311" s="10">
        <v>45666.788553240738</v>
      </c>
      <c r="G311" s="3" t="s">
        <v>1178</v>
      </c>
      <c r="H311" s="10">
        <v>45667.390416666669</v>
      </c>
      <c r="I311" s="10">
        <v>45667.41510416667</v>
      </c>
      <c r="J311" s="10">
        <v>45667.415821759263</v>
      </c>
      <c r="K311" s="11">
        <f t="shared" si="8"/>
        <v>4.3402777773735579E-2</v>
      </c>
      <c r="L311" s="11">
        <f t="shared" si="9"/>
        <v>0.6265509259319515</v>
      </c>
    </row>
    <row r="312" spans="1:12" x14ac:dyDescent="0.25">
      <c r="A312" s="3" t="s">
        <v>1247</v>
      </c>
      <c r="B312" s="3" t="s">
        <v>220</v>
      </c>
      <c r="C312" s="10">
        <v>45666.741157407407</v>
      </c>
      <c r="D312" s="10">
        <v>45666.743275462963</v>
      </c>
      <c r="E312" s="10">
        <v>45666.788553240738</v>
      </c>
      <c r="F312" s="10">
        <v>45666.790451388893</v>
      </c>
      <c r="G312" s="3" t="s">
        <v>1217</v>
      </c>
      <c r="H312" s="10">
        <v>45666.795428240737</v>
      </c>
      <c r="I312" s="10">
        <v>45666.84138888889</v>
      </c>
      <c r="J312" s="10">
        <v>45666.842303240737</v>
      </c>
      <c r="K312" s="11">
        <f t="shared" si="8"/>
        <v>4.5277777775481809E-2</v>
      </c>
      <c r="L312" s="11">
        <f t="shared" si="9"/>
        <v>5.093749999650754E-2</v>
      </c>
    </row>
    <row r="313" spans="1:12" x14ac:dyDescent="0.25">
      <c r="A313" s="3" t="s">
        <v>1249</v>
      </c>
      <c r="B313" s="3" t="s">
        <v>221</v>
      </c>
      <c r="C313" s="10">
        <v>45666.834826388891</v>
      </c>
      <c r="D313" s="10">
        <v>45666.837094907409</v>
      </c>
      <c r="E313" s="10">
        <v>45666.850324074083</v>
      </c>
      <c r="F313" s="10">
        <v>45666.851620370369</v>
      </c>
      <c r="G313" s="3" t="s">
        <v>1241</v>
      </c>
      <c r="H313" s="10">
        <v>45667.303541666668</v>
      </c>
      <c r="I313" s="10">
        <v>45667.331817129627</v>
      </c>
      <c r="J313" s="10">
        <v>45667.332604166673</v>
      </c>
      <c r="K313" s="11">
        <f t="shared" si="8"/>
        <v>1.322916667413665E-2</v>
      </c>
      <c r="L313" s="11">
        <f t="shared" si="9"/>
        <v>0.48019675925752381</v>
      </c>
    </row>
    <row r="314" spans="1:12" x14ac:dyDescent="0.25">
      <c r="A314" s="3" t="s">
        <v>1251</v>
      </c>
      <c r="B314" s="3" t="s">
        <v>221</v>
      </c>
      <c r="C314" s="10">
        <v>45666.834826388891</v>
      </c>
      <c r="D314" s="10">
        <v>45666.837094907409</v>
      </c>
      <c r="E314" s="10">
        <v>45666.851620370369</v>
      </c>
      <c r="F314" s="10">
        <v>45666.852800925917</v>
      </c>
      <c r="G314" s="3" t="s">
        <v>1252</v>
      </c>
      <c r="H314" s="10">
        <v>45667.201990740738</v>
      </c>
      <c r="I314" s="10">
        <v>45667.244606481479</v>
      </c>
      <c r="J314" s="10">
        <v>45667.245625000003</v>
      </c>
      <c r="K314" s="11">
        <f t="shared" si="8"/>
        <v>1.452546296059154E-2</v>
      </c>
      <c r="L314" s="11">
        <f t="shared" si="9"/>
        <v>0.39180555556231411</v>
      </c>
    </row>
    <row r="315" spans="1:12" x14ac:dyDescent="0.25">
      <c r="A315" s="3" t="s">
        <v>1254</v>
      </c>
      <c r="B315" s="3" t="s">
        <v>221</v>
      </c>
      <c r="C315" s="10">
        <v>45666.834826388891</v>
      </c>
      <c r="D315" s="10">
        <v>45666.837094907409</v>
      </c>
      <c r="E315" s="10">
        <v>45666.852800925917</v>
      </c>
      <c r="F315" s="10">
        <v>45666.854108796288</v>
      </c>
      <c r="G315" s="3" t="s">
        <v>1241</v>
      </c>
      <c r="H315" s="10">
        <v>45667.303541666668</v>
      </c>
      <c r="I315" s="10">
        <v>45667.331817129627</v>
      </c>
      <c r="J315" s="10">
        <v>45667.332604166673</v>
      </c>
      <c r="K315" s="11">
        <f t="shared" si="8"/>
        <v>1.5706018508353736E-2</v>
      </c>
      <c r="L315" s="11">
        <f t="shared" si="9"/>
        <v>0.47770833333925111</v>
      </c>
    </row>
    <row r="316" spans="1:12" x14ac:dyDescent="0.25">
      <c r="A316" s="3" t="s">
        <v>1256</v>
      </c>
      <c r="B316" s="3" t="s">
        <v>221</v>
      </c>
      <c r="C316" s="10">
        <v>45666.834826388891</v>
      </c>
      <c r="D316" s="10">
        <v>45666.837094907409</v>
      </c>
      <c r="E316" s="10">
        <v>45666.854108796288</v>
      </c>
      <c r="F316" s="10">
        <v>45666.855937499997</v>
      </c>
      <c r="G316" s="3" t="s">
        <v>1257</v>
      </c>
      <c r="H316" s="10">
        <v>45667.305520833332</v>
      </c>
      <c r="I316" s="10">
        <v>45667.347696759258</v>
      </c>
      <c r="J316" s="10">
        <v>45667.348726851851</v>
      </c>
      <c r="K316" s="11">
        <f t="shared" si="8"/>
        <v>1.7013888878864236E-2</v>
      </c>
      <c r="L316" s="11">
        <f t="shared" si="9"/>
        <v>0.49175925926101627</v>
      </c>
    </row>
    <row r="317" spans="1:12" x14ac:dyDescent="0.25">
      <c r="A317" s="3" t="s">
        <v>1259</v>
      </c>
      <c r="B317" s="3" t="s">
        <v>221</v>
      </c>
      <c r="C317" s="10">
        <v>45666.834826388891</v>
      </c>
      <c r="D317" s="10">
        <v>45666.837094907409</v>
      </c>
      <c r="E317" s="10">
        <v>45666.855937499997</v>
      </c>
      <c r="F317" s="10">
        <v>45666.857974537037</v>
      </c>
      <c r="G317" s="3" t="s">
        <v>1134</v>
      </c>
      <c r="H317" s="10">
        <v>45666.863680555558</v>
      </c>
      <c r="I317" s="10">
        <v>45666.885844907411</v>
      </c>
      <c r="J317" s="10">
        <v>45666.886631944442</v>
      </c>
      <c r="K317" s="11">
        <f t="shared" si="8"/>
        <v>1.8842592588043772E-2</v>
      </c>
      <c r="L317" s="11">
        <f t="shared" si="9"/>
        <v>2.7870370373420883E-2</v>
      </c>
    </row>
    <row r="318" spans="1:12" x14ac:dyDescent="0.25">
      <c r="A318" s="3" t="s">
        <v>1261</v>
      </c>
      <c r="B318" s="3" t="s">
        <v>221</v>
      </c>
      <c r="C318" s="10">
        <v>45666.834826388891</v>
      </c>
      <c r="D318" s="10">
        <v>45666.837094907409</v>
      </c>
      <c r="E318" s="10">
        <v>45666.857974537037</v>
      </c>
      <c r="F318" s="10">
        <v>45666.860115740739</v>
      </c>
      <c r="G318" s="3" t="s">
        <v>1134</v>
      </c>
      <c r="H318" s="10">
        <v>45666.863680555558</v>
      </c>
      <c r="I318" s="10">
        <v>45666.885844907411</v>
      </c>
      <c r="J318" s="10">
        <v>45666.886631944442</v>
      </c>
      <c r="K318" s="11">
        <f t="shared" si="8"/>
        <v>2.0879629628325347E-2</v>
      </c>
      <c r="L318" s="11">
        <f t="shared" si="9"/>
        <v>2.5729166671226267E-2</v>
      </c>
    </row>
    <row r="319" spans="1:12" x14ac:dyDescent="0.25">
      <c r="A319" s="3" t="s">
        <v>1263</v>
      </c>
      <c r="B319" s="3" t="s">
        <v>221</v>
      </c>
      <c r="C319" s="10">
        <v>45666.834826388891</v>
      </c>
      <c r="D319" s="10">
        <v>45666.837094907409</v>
      </c>
      <c r="E319" s="10">
        <v>45666.860115740739</v>
      </c>
      <c r="F319" s="10">
        <v>45666.861724537041</v>
      </c>
      <c r="G319" s="3" t="s">
        <v>1264</v>
      </c>
      <c r="H319" s="10">
        <v>45671.397326388891</v>
      </c>
      <c r="I319" s="10">
        <v>45671.458148148151</v>
      </c>
      <c r="J319" s="10">
        <v>45671.459537037037</v>
      </c>
      <c r="K319" s="11">
        <f t="shared" si="8"/>
        <v>2.3020833330519963E-2</v>
      </c>
      <c r="L319" s="11">
        <f t="shared" si="9"/>
        <v>4.5964236111103673</v>
      </c>
    </row>
    <row r="320" spans="1:12" x14ac:dyDescent="0.25">
      <c r="A320" s="3" t="s">
        <v>1266</v>
      </c>
      <c r="B320" s="3" t="s">
        <v>221</v>
      </c>
      <c r="C320" s="10">
        <v>45666.834826388891</v>
      </c>
      <c r="D320" s="10">
        <v>45666.837094907409</v>
      </c>
      <c r="E320" s="10">
        <v>45666.861724537041</v>
      </c>
      <c r="F320" s="10">
        <v>45666.863726851851</v>
      </c>
      <c r="G320" s="3" t="s">
        <v>1230</v>
      </c>
      <c r="H320" s="10">
        <v>45666.867650462962</v>
      </c>
      <c r="I320" s="10">
        <v>45666.8903587963</v>
      </c>
      <c r="J320" s="10">
        <v>45666.891030092593</v>
      </c>
      <c r="K320" s="11">
        <f t="shared" si="8"/>
        <v>2.4629629631817807E-2</v>
      </c>
      <c r="L320" s="11">
        <f t="shared" si="9"/>
        <v>2.6631944449036382E-2</v>
      </c>
    </row>
    <row r="321" spans="1:12" x14ac:dyDescent="0.25">
      <c r="A321" s="3" t="s">
        <v>1268</v>
      </c>
      <c r="B321" s="3" t="s">
        <v>222</v>
      </c>
      <c r="C321" s="10">
        <v>45667.112291666657</v>
      </c>
      <c r="D321" s="10">
        <v>45667.114594907413</v>
      </c>
      <c r="E321" s="10">
        <v>45667.12427083333</v>
      </c>
      <c r="F321" s="10">
        <v>45667.125625000001</v>
      </c>
      <c r="G321" s="3" t="s">
        <v>1139</v>
      </c>
      <c r="H321" s="10">
        <v>45670.393287037034</v>
      </c>
      <c r="I321" s="10">
        <v>45670.425902777781</v>
      </c>
      <c r="J321" s="10">
        <v>45670.426874999997</v>
      </c>
      <c r="K321" s="11">
        <f t="shared" si="8"/>
        <v>9.6759259176906198E-3</v>
      </c>
      <c r="L321" s="11">
        <f t="shared" si="9"/>
        <v>3.3002777777801384</v>
      </c>
    </row>
    <row r="322" spans="1:12" x14ac:dyDescent="0.25">
      <c r="A322" s="3" t="s">
        <v>1270</v>
      </c>
      <c r="B322" s="3" t="s">
        <v>222</v>
      </c>
      <c r="C322" s="10">
        <v>45667.112291666657</v>
      </c>
      <c r="D322" s="10">
        <v>45667.114594907413</v>
      </c>
      <c r="E322" s="10">
        <v>45667.125625000001</v>
      </c>
      <c r="F322" s="10">
        <v>45667.127604166657</v>
      </c>
      <c r="G322" s="3" t="s">
        <v>1178</v>
      </c>
      <c r="H322" s="10">
        <v>45667.390416666669</v>
      </c>
      <c r="I322" s="10">
        <v>45667.41510416667</v>
      </c>
      <c r="J322" s="10">
        <v>45667.415821759263</v>
      </c>
      <c r="K322" s="11">
        <f t="shared" ref="K322:K385" si="10">IF(AND(ISNUMBER(D322),ISNUMBER(E322)),(E322-D322),"")</f>
        <v>1.1030092588043772E-2</v>
      </c>
      <c r="L322" s="11">
        <f t="shared" ref="L322:L385" si="11">IF(AND(ISNUMBER(F322),ISNUMBER(I322)),(I322-F322),"")</f>
        <v>0.28750000001309672</v>
      </c>
    </row>
    <row r="323" spans="1:12" x14ac:dyDescent="0.25">
      <c r="A323" s="3" t="s">
        <v>1272</v>
      </c>
      <c r="B323" s="3" t="s">
        <v>222</v>
      </c>
      <c r="C323" s="10">
        <v>45667.112291666657</v>
      </c>
      <c r="D323" s="10">
        <v>45667.114594907413</v>
      </c>
      <c r="E323" s="10">
        <v>45667.127604166657</v>
      </c>
      <c r="F323" s="10">
        <v>45667.129942129628</v>
      </c>
      <c r="G323" s="3" t="s">
        <v>1225</v>
      </c>
      <c r="H323" s="10">
        <v>45667.133842592593</v>
      </c>
      <c r="I323" s="10">
        <v>45667.173263888893</v>
      </c>
      <c r="J323" s="10">
        <v>45667.174317129633</v>
      </c>
      <c r="K323" s="11">
        <f t="shared" si="10"/>
        <v>1.3009259244427085E-2</v>
      </c>
      <c r="L323" s="11">
        <f t="shared" si="11"/>
        <v>4.3321759265381843E-2</v>
      </c>
    </row>
    <row r="324" spans="1:12" x14ac:dyDescent="0.25">
      <c r="A324" s="3" t="s">
        <v>1274</v>
      </c>
      <c r="B324" s="3" t="s">
        <v>222</v>
      </c>
      <c r="C324" s="10">
        <v>45667.112291666657</v>
      </c>
      <c r="D324" s="10">
        <v>45667.114594907413</v>
      </c>
      <c r="E324" s="10">
        <v>45667.129942129628</v>
      </c>
      <c r="F324" s="10">
        <v>45667.131747685176</v>
      </c>
      <c r="G324" s="3" t="s">
        <v>1020</v>
      </c>
      <c r="H324" s="10">
        <v>45667.135671296302</v>
      </c>
      <c r="I324" s="10">
        <v>45667.159131944441</v>
      </c>
      <c r="J324" s="10">
        <v>45667.15997685185</v>
      </c>
      <c r="K324" s="11">
        <f t="shared" si="10"/>
        <v>1.5347222215496004E-2</v>
      </c>
      <c r="L324" s="11">
        <f t="shared" si="11"/>
        <v>2.7384259265090805E-2</v>
      </c>
    </row>
    <row r="325" spans="1:12" x14ac:dyDescent="0.25">
      <c r="A325" s="3" t="s">
        <v>1276</v>
      </c>
      <c r="B325" s="3" t="s">
        <v>223</v>
      </c>
      <c r="C325" s="10">
        <v>45667.189085648148</v>
      </c>
      <c r="D325" s="10">
        <v>45667.191180555557</v>
      </c>
      <c r="E325" s="10">
        <v>45667.196446759262</v>
      </c>
      <c r="F325" s="10">
        <v>45667.198078703703</v>
      </c>
      <c r="G325" s="3" t="s">
        <v>1252</v>
      </c>
      <c r="H325" s="10">
        <v>45667.201990740738</v>
      </c>
      <c r="I325" s="10">
        <v>45667.244606481479</v>
      </c>
      <c r="J325" s="10">
        <v>45667.245625000003</v>
      </c>
      <c r="K325" s="11">
        <f t="shared" si="10"/>
        <v>5.2662037051049992E-3</v>
      </c>
      <c r="L325" s="11">
        <f t="shared" si="11"/>
        <v>4.6527777776645962E-2</v>
      </c>
    </row>
    <row r="326" spans="1:12" x14ac:dyDescent="0.25">
      <c r="A326" s="3" t="s">
        <v>1278</v>
      </c>
      <c r="B326" s="3" t="s">
        <v>224</v>
      </c>
      <c r="C326" s="10">
        <v>45667.240266203713</v>
      </c>
      <c r="D326" s="10">
        <v>45667.242546296293</v>
      </c>
      <c r="E326" s="10">
        <v>45667.248680555553</v>
      </c>
      <c r="F326" s="10">
        <v>45667.25072916667</v>
      </c>
      <c r="G326" s="3" t="s">
        <v>1222</v>
      </c>
      <c r="H326" s="10">
        <v>45667.254652777781</v>
      </c>
      <c r="I326" s="10">
        <v>45667.315428240741</v>
      </c>
      <c r="J326" s="10">
        <v>45667.316712962973</v>
      </c>
      <c r="K326" s="11">
        <f t="shared" si="10"/>
        <v>6.1342592598521151E-3</v>
      </c>
      <c r="L326" s="11">
        <f t="shared" si="11"/>
        <v>6.4699074071540963E-2</v>
      </c>
    </row>
    <row r="327" spans="1:12" x14ac:dyDescent="0.25">
      <c r="A327" s="3" t="s">
        <v>1280</v>
      </c>
      <c r="B327" s="3" t="s">
        <v>225</v>
      </c>
      <c r="C327" s="10">
        <v>45667.277453703697</v>
      </c>
      <c r="D327" s="10">
        <v>45667.279942129629</v>
      </c>
      <c r="E327" s="10">
        <v>45667.29420138889</v>
      </c>
      <c r="F327" s="10">
        <v>45667.296238425923</v>
      </c>
      <c r="G327" s="3" t="s">
        <v>1281</v>
      </c>
      <c r="H327" s="10">
        <v>45667.412488425929</v>
      </c>
      <c r="I327" s="10">
        <v>45667.462835648148</v>
      </c>
      <c r="J327" s="10">
        <v>45667.463599537034</v>
      </c>
      <c r="K327" s="11">
        <f t="shared" si="10"/>
        <v>1.4259259260143153E-2</v>
      </c>
      <c r="L327" s="11">
        <f t="shared" si="11"/>
        <v>0.16659722222539131</v>
      </c>
    </row>
    <row r="328" spans="1:12" x14ac:dyDescent="0.25">
      <c r="A328" s="3" t="s">
        <v>1283</v>
      </c>
      <c r="B328" s="3" t="s">
        <v>225</v>
      </c>
      <c r="C328" s="10">
        <v>45667.277453703697</v>
      </c>
      <c r="D328" s="10">
        <v>45667.279942129629</v>
      </c>
      <c r="E328" s="10">
        <v>45667.296238425923</v>
      </c>
      <c r="F328" s="10">
        <v>45667.298159722217</v>
      </c>
      <c r="G328" s="3" t="s">
        <v>1178</v>
      </c>
      <c r="H328" s="10">
        <v>45667.390416666669</v>
      </c>
      <c r="I328" s="10">
        <v>45667.41510416667</v>
      </c>
      <c r="J328" s="10">
        <v>45667.415821759263</v>
      </c>
      <c r="K328" s="11">
        <f t="shared" si="10"/>
        <v>1.6296296293148771E-2</v>
      </c>
      <c r="L328" s="11">
        <f t="shared" si="11"/>
        <v>0.11694444445311092</v>
      </c>
    </row>
    <row r="329" spans="1:12" x14ac:dyDescent="0.25">
      <c r="A329" s="3" t="s">
        <v>1285</v>
      </c>
      <c r="B329" s="3" t="s">
        <v>225</v>
      </c>
      <c r="C329" s="10">
        <v>45667.277453703697</v>
      </c>
      <c r="D329" s="10">
        <v>45667.279942129629</v>
      </c>
      <c r="E329" s="10">
        <v>45667.298159722217</v>
      </c>
      <c r="F329" s="10">
        <v>45667.299618055556</v>
      </c>
      <c r="G329" s="3" t="s">
        <v>1241</v>
      </c>
      <c r="H329" s="10">
        <v>45667.303541666668</v>
      </c>
      <c r="I329" s="10">
        <v>45667.331817129627</v>
      </c>
      <c r="J329" s="10">
        <v>45667.332604166673</v>
      </c>
      <c r="K329" s="11">
        <f t="shared" si="10"/>
        <v>1.8217592587461695E-2</v>
      </c>
      <c r="L329" s="11">
        <f t="shared" si="11"/>
        <v>3.219907407037681E-2</v>
      </c>
    </row>
    <row r="330" spans="1:12" x14ac:dyDescent="0.25">
      <c r="A330" s="3" t="s">
        <v>1287</v>
      </c>
      <c r="B330" s="3" t="s">
        <v>225</v>
      </c>
      <c r="C330" s="10">
        <v>45667.277453703697</v>
      </c>
      <c r="D330" s="10">
        <v>45667.279942129629</v>
      </c>
      <c r="E330" s="10">
        <v>45667.299618055556</v>
      </c>
      <c r="F330" s="10">
        <v>45667.30159722222</v>
      </c>
      <c r="G330" s="3" t="s">
        <v>1257</v>
      </c>
      <c r="H330" s="10">
        <v>45667.305520833332</v>
      </c>
      <c r="I330" s="10">
        <v>45667.347696759258</v>
      </c>
      <c r="J330" s="10">
        <v>45667.348726851851</v>
      </c>
      <c r="K330" s="11">
        <f t="shared" si="10"/>
        <v>1.9675925927003846E-2</v>
      </c>
      <c r="L330" s="11">
        <f t="shared" si="11"/>
        <v>4.609953703766223E-2</v>
      </c>
    </row>
    <row r="331" spans="1:12" x14ac:dyDescent="0.25">
      <c r="A331" s="3" t="s">
        <v>1289</v>
      </c>
      <c r="B331" s="3" t="s">
        <v>225</v>
      </c>
      <c r="C331" s="10">
        <v>45667.277453703697</v>
      </c>
      <c r="D331" s="10">
        <v>45667.279942129629</v>
      </c>
      <c r="E331" s="10">
        <v>45667.30159722222</v>
      </c>
      <c r="F331" s="10">
        <v>45667.302766203713</v>
      </c>
      <c r="G331" s="3" t="s">
        <v>1290</v>
      </c>
      <c r="H331" s="10">
        <v>45670.401736111111</v>
      </c>
      <c r="I331" s="10">
        <v>45670.437557870369</v>
      </c>
      <c r="J331" s="10">
        <v>45670.438252314823</v>
      </c>
      <c r="K331" s="11">
        <f t="shared" si="10"/>
        <v>2.1655092590663116E-2</v>
      </c>
      <c r="L331" s="11">
        <f t="shared" si="11"/>
        <v>3.1347916666563833</v>
      </c>
    </row>
    <row r="332" spans="1:12" x14ac:dyDescent="0.25">
      <c r="A332" s="3" t="s">
        <v>1292</v>
      </c>
      <c r="B332" s="3" t="s">
        <v>225</v>
      </c>
      <c r="C332" s="10">
        <v>45667.277453703697</v>
      </c>
      <c r="D332" s="10">
        <v>45667.279942129629</v>
      </c>
      <c r="E332" s="10">
        <v>45667.302766203713</v>
      </c>
      <c r="F332" s="10">
        <v>45667.304837962962</v>
      </c>
      <c r="G332" s="3" t="s">
        <v>1281</v>
      </c>
      <c r="H332" s="10">
        <v>45667.412488425929</v>
      </c>
      <c r="I332" s="10">
        <v>45667.462835648148</v>
      </c>
      <c r="J332" s="10">
        <v>45667.463599537034</v>
      </c>
      <c r="K332" s="11">
        <f t="shared" si="10"/>
        <v>2.2824074083473533E-2</v>
      </c>
      <c r="L332" s="11">
        <f t="shared" si="11"/>
        <v>0.15799768518627388</v>
      </c>
    </row>
    <row r="333" spans="1:12" x14ac:dyDescent="0.25">
      <c r="A333" s="3" t="s">
        <v>1294</v>
      </c>
      <c r="B333" s="3" t="s">
        <v>225</v>
      </c>
      <c r="C333" s="10">
        <v>45667.277453703697</v>
      </c>
      <c r="D333" s="10">
        <v>45667.279942129629</v>
      </c>
      <c r="E333" s="10">
        <v>45667.304837962962</v>
      </c>
      <c r="F333" s="10">
        <v>45667.306608796287</v>
      </c>
      <c r="G333" s="3" t="s">
        <v>1295</v>
      </c>
      <c r="H333" s="10">
        <v>45667.405162037037</v>
      </c>
      <c r="I333" s="10">
        <v>45667.440405092602</v>
      </c>
      <c r="J333" s="10">
        <v>45667.441307870373</v>
      </c>
      <c r="K333" s="11">
        <f t="shared" si="10"/>
        <v>2.4895833332266193E-2</v>
      </c>
      <c r="L333" s="11">
        <f t="shared" si="11"/>
        <v>0.13379629631526768</v>
      </c>
    </row>
    <row r="334" spans="1:12" x14ac:dyDescent="0.25">
      <c r="A334" s="3" t="s">
        <v>1297</v>
      </c>
      <c r="B334" s="3" t="s">
        <v>225</v>
      </c>
      <c r="C334" s="10">
        <v>45667.277453703697</v>
      </c>
      <c r="D334" s="10">
        <v>45667.279942129629</v>
      </c>
      <c r="E334" s="10">
        <v>45667.306608796287</v>
      </c>
      <c r="F334" s="10">
        <v>45667.308368055557</v>
      </c>
      <c r="G334" s="3" t="s">
        <v>1298</v>
      </c>
      <c r="H334" s="10">
        <v>45667.870625000003</v>
      </c>
      <c r="I334" s="10">
        <v>45667.892222222217</v>
      </c>
      <c r="J334" s="10">
        <v>45667.89303240741</v>
      </c>
      <c r="K334" s="11">
        <f t="shared" si="10"/>
        <v>2.6666666657547466E-2</v>
      </c>
      <c r="L334" s="11">
        <f t="shared" si="11"/>
        <v>0.58385416665987577</v>
      </c>
    </row>
    <row r="335" spans="1:12" x14ac:dyDescent="0.25">
      <c r="A335" s="3" t="s">
        <v>1300</v>
      </c>
      <c r="B335" s="3" t="s">
        <v>225</v>
      </c>
      <c r="C335" s="10">
        <v>45667.277453703697</v>
      </c>
      <c r="D335" s="10">
        <v>45667.279942129629</v>
      </c>
      <c r="E335" s="10">
        <v>45667.308368055557</v>
      </c>
      <c r="F335" s="10">
        <v>45667.310104166667</v>
      </c>
      <c r="G335" s="3" t="s">
        <v>1295</v>
      </c>
      <c r="H335" s="10">
        <v>45667.405162037037</v>
      </c>
      <c r="I335" s="10">
        <v>45667.440405092602</v>
      </c>
      <c r="J335" s="10">
        <v>45667.441307870373</v>
      </c>
      <c r="K335" s="11">
        <f t="shared" si="10"/>
        <v>2.842592592787696E-2</v>
      </c>
      <c r="L335" s="11">
        <f t="shared" si="11"/>
        <v>0.13030092593544396</v>
      </c>
    </row>
    <row r="336" spans="1:12" x14ac:dyDescent="0.25">
      <c r="A336" s="3" t="s">
        <v>1302</v>
      </c>
      <c r="B336" s="3" t="s">
        <v>226</v>
      </c>
      <c r="C336" s="10">
        <v>45667.310162037043</v>
      </c>
      <c r="D336" s="10">
        <v>45667.312199074076</v>
      </c>
      <c r="E336" s="10">
        <v>45667.317453703698</v>
      </c>
      <c r="F336" s="10">
        <v>45667.319814814808</v>
      </c>
      <c r="G336" s="3" t="s">
        <v>1303</v>
      </c>
      <c r="H336" s="10">
        <v>45667.322187500002</v>
      </c>
      <c r="I336" s="10">
        <v>45667.357418981483</v>
      </c>
      <c r="J336" s="10">
        <v>45667.358414351853</v>
      </c>
      <c r="K336" s="11">
        <f t="shared" si="10"/>
        <v>5.2546296210493892E-3</v>
      </c>
      <c r="L336" s="11">
        <f t="shared" si="11"/>
        <v>3.7604166675009765E-2</v>
      </c>
    </row>
    <row r="337" spans="1:12" x14ac:dyDescent="0.25">
      <c r="A337" s="3" t="s">
        <v>1305</v>
      </c>
      <c r="B337" s="3" t="s">
        <v>227</v>
      </c>
      <c r="C337" s="10">
        <v>45667.330104166656</v>
      </c>
      <c r="D337" s="10">
        <v>45667.33258101852</v>
      </c>
      <c r="E337" s="10">
        <v>45667.339143518519</v>
      </c>
      <c r="F337" s="10">
        <v>45667.34171296296</v>
      </c>
      <c r="G337" s="3" t="s">
        <v>1306</v>
      </c>
      <c r="H337" s="10">
        <v>45667.344108796293</v>
      </c>
      <c r="I337" s="10">
        <v>45667.411956018521</v>
      </c>
      <c r="J337" s="10">
        <v>45667.413344907407</v>
      </c>
      <c r="K337" s="11">
        <f t="shared" si="10"/>
        <v>6.5624999988358468E-3</v>
      </c>
      <c r="L337" s="11">
        <f t="shared" si="11"/>
        <v>7.0243055561149959E-2</v>
      </c>
    </row>
    <row r="338" spans="1:12" x14ac:dyDescent="0.25">
      <c r="A338" s="3" t="s">
        <v>1337</v>
      </c>
      <c r="B338" s="3" t="s">
        <v>229</v>
      </c>
      <c r="C338" s="10">
        <v>45667.374062499999</v>
      </c>
      <c r="D338" s="10">
        <v>45667.376134259262</v>
      </c>
      <c r="E338" s="10">
        <v>45667.383368055547</v>
      </c>
      <c r="F338" s="10">
        <v>45667.384884259263</v>
      </c>
      <c r="G338" s="3" t="s">
        <v>1338</v>
      </c>
      <c r="H338" s="10">
        <v>45667.392326388886</v>
      </c>
      <c r="I338" s="10">
        <v>45667.442997685182</v>
      </c>
      <c r="J338" s="10">
        <v>45667.443865740737</v>
      </c>
      <c r="K338" s="11">
        <f t="shared" si="10"/>
        <v>7.2337962847086601E-3</v>
      </c>
      <c r="L338" s="11">
        <f t="shared" si="11"/>
        <v>5.8113425919145811E-2</v>
      </c>
    </row>
    <row r="339" spans="1:12" x14ac:dyDescent="0.25">
      <c r="A339" s="3" t="s">
        <v>1340</v>
      </c>
      <c r="B339" s="3" t="s">
        <v>229</v>
      </c>
      <c r="C339" s="10">
        <v>45667.374062499999</v>
      </c>
      <c r="D339" s="10">
        <v>45667.376134259262</v>
      </c>
      <c r="E339" s="10">
        <v>45667.384884259263</v>
      </c>
      <c r="F339" s="10">
        <v>45667.38685185185</v>
      </c>
      <c r="G339" s="3" t="s">
        <v>1178</v>
      </c>
      <c r="H339" s="10">
        <v>45667.390416666669</v>
      </c>
      <c r="I339" s="10">
        <v>45667.41510416667</v>
      </c>
      <c r="J339" s="10">
        <v>45667.415821759263</v>
      </c>
      <c r="K339" s="11">
        <f t="shared" si="10"/>
        <v>8.7500000008731149E-3</v>
      </c>
      <c r="L339" s="11">
        <f t="shared" si="11"/>
        <v>2.825231481983792E-2</v>
      </c>
    </row>
    <row r="340" spans="1:12" x14ac:dyDescent="0.25">
      <c r="A340" s="3" t="s">
        <v>1342</v>
      </c>
      <c r="B340" s="3" t="s">
        <v>229</v>
      </c>
      <c r="C340" s="10">
        <v>45667.374062499999</v>
      </c>
      <c r="D340" s="10">
        <v>45667.376134259262</v>
      </c>
      <c r="E340" s="10">
        <v>45667.38685185185</v>
      </c>
      <c r="F340" s="10">
        <v>45667.388425925928</v>
      </c>
      <c r="G340" s="3" t="s">
        <v>1338</v>
      </c>
      <c r="H340" s="10">
        <v>45667.392326388886</v>
      </c>
      <c r="I340" s="10">
        <v>45667.442997685182</v>
      </c>
      <c r="J340" s="10">
        <v>45667.443865740737</v>
      </c>
      <c r="K340" s="11">
        <f t="shared" si="10"/>
        <v>1.0717592587752733E-2</v>
      </c>
      <c r="L340" s="11">
        <f t="shared" si="11"/>
        <v>5.4571759254031349E-2</v>
      </c>
    </row>
    <row r="341" spans="1:12" x14ac:dyDescent="0.25">
      <c r="A341" s="3" t="s">
        <v>1308</v>
      </c>
      <c r="B341" s="3" t="s">
        <v>228</v>
      </c>
      <c r="C341" s="10">
        <v>45667.364861111113</v>
      </c>
      <c r="D341" s="10">
        <v>45667.367372685178</v>
      </c>
      <c r="E341" s="10">
        <v>45667.389305555553</v>
      </c>
      <c r="F341" s="10">
        <v>45667.391006944446</v>
      </c>
      <c r="G341" s="3" t="s">
        <v>1295</v>
      </c>
      <c r="H341" s="10">
        <v>45667.405162037037</v>
      </c>
      <c r="I341" s="10">
        <v>45667.440405092602</v>
      </c>
      <c r="J341" s="10">
        <v>45667.441307870373</v>
      </c>
      <c r="K341" s="11">
        <f t="shared" si="10"/>
        <v>2.1932870375167113E-2</v>
      </c>
      <c r="L341" s="11">
        <f t="shared" si="11"/>
        <v>4.9398148155887611E-2</v>
      </c>
    </row>
    <row r="342" spans="1:12" x14ac:dyDescent="0.25">
      <c r="A342" s="3" t="s">
        <v>1310</v>
      </c>
      <c r="B342" s="3" t="s">
        <v>228</v>
      </c>
      <c r="C342" s="10">
        <v>45667.364861111113</v>
      </c>
      <c r="D342" s="10">
        <v>45667.367372685178</v>
      </c>
      <c r="E342" s="10">
        <v>45667.391006944446</v>
      </c>
      <c r="F342" s="10">
        <v>45667.392546296287</v>
      </c>
      <c r="G342" s="3" t="s">
        <v>1311</v>
      </c>
      <c r="H342" s="10">
        <v>45667.395543981482</v>
      </c>
      <c r="I342" s="10">
        <v>45667.441307870373</v>
      </c>
      <c r="J342" s="10">
        <v>45667.442060185182</v>
      </c>
      <c r="K342" s="11">
        <f t="shared" si="10"/>
        <v>2.3634259268874303E-2</v>
      </c>
      <c r="L342" s="11">
        <f t="shared" si="11"/>
        <v>4.876157408580184E-2</v>
      </c>
    </row>
    <row r="343" spans="1:12" x14ac:dyDescent="0.25">
      <c r="A343" s="3" t="s">
        <v>1313</v>
      </c>
      <c r="B343" s="3" t="s">
        <v>228</v>
      </c>
      <c r="C343" s="10">
        <v>45667.364861111113</v>
      </c>
      <c r="D343" s="10">
        <v>45667.367372685178</v>
      </c>
      <c r="E343" s="10">
        <v>45667.392546296287</v>
      </c>
      <c r="F343" s="10">
        <v>45667.394270833327</v>
      </c>
      <c r="G343" s="3" t="s">
        <v>1298</v>
      </c>
      <c r="H343" s="10">
        <v>45667.870625000003</v>
      </c>
      <c r="I343" s="10">
        <v>45667.892222222217</v>
      </c>
      <c r="J343" s="10">
        <v>45667.89303240741</v>
      </c>
      <c r="K343" s="11">
        <f t="shared" si="10"/>
        <v>2.5173611109494232E-2</v>
      </c>
      <c r="L343" s="11">
        <f t="shared" si="11"/>
        <v>0.49795138889021473</v>
      </c>
    </row>
    <row r="344" spans="1:12" x14ac:dyDescent="0.25">
      <c r="A344" s="3" t="s">
        <v>1315</v>
      </c>
      <c r="B344" s="3" t="s">
        <v>228</v>
      </c>
      <c r="C344" s="10">
        <v>45667.364861111113</v>
      </c>
      <c r="D344" s="10">
        <v>45667.367372685178</v>
      </c>
      <c r="E344" s="10">
        <v>45667.394270833327</v>
      </c>
      <c r="F344" s="10">
        <v>45667.395520833343</v>
      </c>
      <c r="G344" s="3" t="s">
        <v>1139</v>
      </c>
      <c r="H344" s="10">
        <v>45670.393287037034</v>
      </c>
      <c r="I344" s="10">
        <v>45670.425902777781</v>
      </c>
      <c r="J344" s="10">
        <v>45670.426874999997</v>
      </c>
      <c r="K344" s="11">
        <f t="shared" si="10"/>
        <v>2.6898148149484769E-2</v>
      </c>
      <c r="L344" s="11">
        <f t="shared" si="11"/>
        <v>3.0303819444379769</v>
      </c>
    </row>
    <row r="345" spans="1:12" x14ac:dyDescent="0.25">
      <c r="A345" s="3" t="s">
        <v>1317</v>
      </c>
      <c r="B345" s="3" t="s">
        <v>228</v>
      </c>
      <c r="C345" s="10">
        <v>45667.364861111113</v>
      </c>
      <c r="D345" s="10">
        <v>45667.367372685178</v>
      </c>
      <c r="E345" s="10">
        <v>45667.395520833343</v>
      </c>
      <c r="F345" s="10">
        <v>45667.396851851852</v>
      </c>
      <c r="G345" s="3" t="s">
        <v>1318</v>
      </c>
      <c r="H345" s="10">
        <v>45667.601921296293</v>
      </c>
      <c r="I345" s="10">
        <v>45667.623379629629</v>
      </c>
      <c r="J345" s="10">
        <v>45667.624085648153</v>
      </c>
      <c r="K345" s="11">
        <f t="shared" si="10"/>
        <v>2.8148148165200837E-2</v>
      </c>
      <c r="L345" s="11">
        <f t="shared" si="11"/>
        <v>0.226527777776937</v>
      </c>
    </row>
    <row r="346" spans="1:12" x14ac:dyDescent="0.25">
      <c r="A346" s="3" t="s">
        <v>1320</v>
      </c>
      <c r="B346" s="3" t="s">
        <v>228</v>
      </c>
      <c r="C346" s="10">
        <v>45667.364861111113</v>
      </c>
      <c r="D346" s="10">
        <v>45667.367372685178</v>
      </c>
      <c r="E346" s="10">
        <v>45667.396851851852</v>
      </c>
      <c r="F346" s="10">
        <v>45667.398738425924</v>
      </c>
      <c r="G346" s="3" t="s">
        <v>1321</v>
      </c>
      <c r="H346" s="10">
        <v>45667.443622685183</v>
      </c>
      <c r="I346" s="10">
        <v>45667.489745370367</v>
      </c>
      <c r="J346" s="10">
        <v>45667.490740740737</v>
      </c>
      <c r="K346" s="11">
        <f t="shared" si="10"/>
        <v>2.9479166674718726E-2</v>
      </c>
      <c r="L346" s="11">
        <f t="shared" si="11"/>
        <v>9.1006944443506654E-2</v>
      </c>
    </row>
    <row r="347" spans="1:12" x14ac:dyDescent="0.25">
      <c r="A347" s="3" t="s">
        <v>1323</v>
      </c>
      <c r="B347" s="3" t="s">
        <v>228</v>
      </c>
      <c r="C347" s="10">
        <v>45667.364861111113</v>
      </c>
      <c r="D347" s="10">
        <v>45667.367372685178</v>
      </c>
      <c r="E347" s="10">
        <v>45667.398738425924</v>
      </c>
      <c r="F347" s="10">
        <v>45667.400648148148</v>
      </c>
      <c r="G347" s="3" t="s">
        <v>1295</v>
      </c>
      <c r="H347" s="10">
        <v>45667.405162037037</v>
      </c>
      <c r="I347" s="10">
        <v>45667.440405092602</v>
      </c>
      <c r="J347" s="10">
        <v>45667.441307870373</v>
      </c>
      <c r="K347" s="11">
        <f t="shared" si="10"/>
        <v>3.1365740745968651E-2</v>
      </c>
      <c r="L347" s="11">
        <f t="shared" si="11"/>
        <v>3.9756944453984033E-2</v>
      </c>
    </row>
    <row r="348" spans="1:12" x14ac:dyDescent="0.25">
      <c r="A348" s="3" t="s">
        <v>1325</v>
      </c>
      <c r="B348" s="3" t="s">
        <v>228</v>
      </c>
      <c r="C348" s="10">
        <v>45667.364861111113</v>
      </c>
      <c r="D348" s="10">
        <v>45667.367372685178</v>
      </c>
      <c r="E348" s="10">
        <v>45667.400648148148</v>
      </c>
      <c r="F348" s="10">
        <v>45667.40179398148</v>
      </c>
      <c r="G348" s="3" t="s">
        <v>1290</v>
      </c>
      <c r="H348" s="10">
        <v>45670.401736111111</v>
      </c>
      <c r="I348" s="10">
        <v>45670.437557870369</v>
      </c>
      <c r="J348" s="10">
        <v>45670.438252314823</v>
      </c>
      <c r="K348" s="11">
        <f t="shared" si="10"/>
        <v>3.327546297077788E-2</v>
      </c>
      <c r="L348" s="11">
        <f t="shared" si="11"/>
        <v>3.0357638888890506</v>
      </c>
    </row>
    <row r="349" spans="1:12" x14ac:dyDescent="0.25">
      <c r="A349" s="3" t="s">
        <v>1327</v>
      </c>
      <c r="B349" s="3" t="s">
        <v>228</v>
      </c>
      <c r="C349" s="10">
        <v>45667.364861111113</v>
      </c>
      <c r="D349" s="10">
        <v>45667.367372685178</v>
      </c>
      <c r="E349" s="10">
        <v>45667.40179398148</v>
      </c>
      <c r="F349" s="10">
        <v>45667.403819444437</v>
      </c>
      <c r="G349" s="3" t="s">
        <v>1328</v>
      </c>
      <c r="H349" s="10">
        <v>45667.78633101852</v>
      </c>
      <c r="I349" s="10">
        <v>45667.830381944441</v>
      </c>
      <c r="J349" s="10">
        <v>45667.831261574072</v>
      </c>
      <c r="K349" s="11">
        <f t="shared" si="10"/>
        <v>3.4421296302753035E-2</v>
      </c>
      <c r="L349" s="11">
        <f t="shared" si="11"/>
        <v>0.42656250000436557</v>
      </c>
    </row>
    <row r="350" spans="1:12" x14ac:dyDescent="0.25">
      <c r="A350" s="3" t="s">
        <v>1330</v>
      </c>
      <c r="B350" s="3" t="s">
        <v>228</v>
      </c>
      <c r="C350" s="10">
        <v>45667.364861111113</v>
      </c>
      <c r="D350" s="10">
        <v>45667.367372685178</v>
      </c>
      <c r="E350" s="10">
        <v>45667.403819444437</v>
      </c>
      <c r="F350" s="10">
        <v>45667.405925925923</v>
      </c>
      <c r="G350" s="3" t="s">
        <v>1281</v>
      </c>
      <c r="H350" s="10">
        <v>45667.412488425929</v>
      </c>
      <c r="I350" s="10">
        <v>45667.462835648148</v>
      </c>
      <c r="J350" s="10">
        <v>45667.463599537034</v>
      </c>
      <c r="K350" s="11">
        <f t="shared" si="10"/>
        <v>3.6446759258979E-2</v>
      </c>
      <c r="L350" s="11">
        <f t="shared" si="11"/>
        <v>5.6909722225100268E-2</v>
      </c>
    </row>
    <row r="351" spans="1:12" x14ac:dyDescent="0.25">
      <c r="A351" s="3" t="s">
        <v>1332</v>
      </c>
      <c r="B351" s="3" t="s">
        <v>228</v>
      </c>
      <c r="C351" s="10">
        <v>45667.364861111113</v>
      </c>
      <c r="D351" s="10">
        <v>45667.367372685178</v>
      </c>
      <c r="E351" s="10">
        <v>45667.405925925923</v>
      </c>
      <c r="F351" s="10">
        <v>45667.407500000001</v>
      </c>
      <c r="G351" s="3" t="s">
        <v>1333</v>
      </c>
      <c r="H351" s="10">
        <v>45667.777002314811</v>
      </c>
      <c r="I351" s="10">
        <v>45667.81925925926</v>
      </c>
      <c r="J351" s="10">
        <v>45667.820104166669</v>
      </c>
      <c r="K351" s="11">
        <f t="shared" si="10"/>
        <v>3.8553240745386574E-2</v>
      </c>
      <c r="L351" s="11">
        <f t="shared" si="11"/>
        <v>0.41175925925927004</v>
      </c>
    </row>
    <row r="352" spans="1:12" x14ac:dyDescent="0.25">
      <c r="A352" s="3" t="s">
        <v>1335</v>
      </c>
      <c r="B352" s="3" t="s">
        <v>228</v>
      </c>
      <c r="C352" s="10">
        <v>45667.364861111113</v>
      </c>
      <c r="D352" s="10">
        <v>45667.367372685178</v>
      </c>
      <c r="E352" s="10">
        <v>45667.407500000001</v>
      </c>
      <c r="F352" s="10">
        <v>45667.409224537027</v>
      </c>
      <c r="G352" s="3" t="s">
        <v>1298</v>
      </c>
      <c r="H352" s="10">
        <v>45667.870625000003</v>
      </c>
      <c r="I352" s="10">
        <v>45667.892222222217</v>
      </c>
      <c r="J352" s="10">
        <v>45667.89303240741</v>
      </c>
      <c r="K352" s="11">
        <f t="shared" si="10"/>
        <v>4.0127314823621418E-2</v>
      </c>
      <c r="L352" s="11">
        <f t="shared" si="11"/>
        <v>0.48299768519063946</v>
      </c>
    </row>
    <row r="353" spans="1:12" x14ac:dyDescent="0.25">
      <c r="A353" s="3" t="s">
        <v>1344</v>
      </c>
      <c r="B353" s="3" t="s">
        <v>230</v>
      </c>
      <c r="C353" s="10">
        <v>45667.429629629631</v>
      </c>
      <c r="D353" s="10">
        <v>45667.431817129633</v>
      </c>
      <c r="E353" s="10">
        <v>45667.437650462962</v>
      </c>
      <c r="F353" s="10">
        <v>45667.440127314818</v>
      </c>
      <c r="G353" s="3" t="s">
        <v>1321</v>
      </c>
      <c r="H353" s="10">
        <v>45667.443622685183</v>
      </c>
      <c r="I353" s="10">
        <v>45667.489745370367</v>
      </c>
      <c r="J353" s="10">
        <v>45667.490740740737</v>
      </c>
      <c r="K353" s="11">
        <f t="shared" si="10"/>
        <v>5.8333333290647715E-3</v>
      </c>
      <c r="L353" s="11">
        <f t="shared" si="11"/>
        <v>4.9618055549217388E-2</v>
      </c>
    </row>
    <row r="354" spans="1:12" x14ac:dyDescent="0.25">
      <c r="A354" s="3" t="s">
        <v>1346</v>
      </c>
      <c r="B354" s="3" t="s">
        <v>231</v>
      </c>
      <c r="C354" s="10">
        <v>45667.544988425929</v>
      </c>
      <c r="D354" s="10">
        <v>45667.546793981477</v>
      </c>
      <c r="E354" s="10">
        <v>45667.551168981481</v>
      </c>
      <c r="F354" s="10">
        <v>45667.552627314813</v>
      </c>
      <c r="G354" s="3" t="s">
        <v>1318</v>
      </c>
      <c r="H354" s="10">
        <v>45667.601921296293</v>
      </c>
      <c r="I354" s="10">
        <v>45667.623379629629</v>
      </c>
      <c r="J354" s="10">
        <v>45667.624085648153</v>
      </c>
      <c r="K354" s="11">
        <f t="shared" si="10"/>
        <v>4.3750000040745363E-3</v>
      </c>
      <c r="L354" s="11">
        <f t="shared" si="11"/>
        <v>7.0752314815763384E-2</v>
      </c>
    </row>
    <row r="355" spans="1:12" x14ac:dyDescent="0.25">
      <c r="A355" s="3" t="s">
        <v>1348</v>
      </c>
      <c r="B355" s="3" t="s">
        <v>232</v>
      </c>
      <c r="C355" s="10">
        <v>45667.59134259259</v>
      </c>
      <c r="D355" s="10">
        <v>45667.592615740738</v>
      </c>
      <c r="E355" s="10">
        <v>45667.596388888887</v>
      </c>
      <c r="F355" s="10">
        <v>45667.598032407397</v>
      </c>
      <c r="G355" s="3" t="s">
        <v>1318</v>
      </c>
      <c r="H355" s="10">
        <v>45667.601921296293</v>
      </c>
      <c r="I355" s="10">
        <v>45667.623379629629</v>
      </c>
      <c r="J355" s="10">
        <v>45667.624085648153</v>
      </c>
      <c r="K355" s="11">
        <f t="shared" si="10"/>
        <v>3.7731481497758068E-3</v>
      </c>
      <c r="L355" s="11">
        <f t="shared" si="11"/>
        <v>2.5347222232085187E-2</v>
      </c>
    </row>
    <row r="356" spans="1:12" x14ac:dyDescent="0.25">
      <c r="A356" s="3" t="s">
        <v>1350</v>
      </c>
      <c r="B356" s="3" t="s">
        <v>233</v>
      </c>
      <c r="C356" s="10">
        <v>45667.617430555547</v>
      </c>
      <c r="D356" s="10">
        <v>45667.619930555556</v>
      </c>
      <c r="E356" s="10">
        <v>45667.626527777778</v>
      </c>
      <c r="F356" s="10">
        <v>45667.629317129627</v>
      </c>
      <c r="G356" s="3" t="s">
        <v>1351</v>
      </c>
      <c r="H356" s="10">
        <v>45667.631712962961</v>
      </c>
      <c r="I356" s="10">
        <v>45667.700868055559</v>
      </c>
      <c r="J356" s="10">
        <v>45667.702164351853</v>
      </c>
      <c r="K356" s="11">
        <f t="shared" si="10"/>
        <v>6.5972222218988463E-3</v>
      </c>
      <c r="L356" s="11">
        <f t="shared" si="11"/>
        <v>7.1550925931660458E-2</v>
      </c>
    </row>
    <row r="357" spans="1:12" x14ac:dyDescent="0.25">
      <c r="A357" s="3" t="s">
        <v>1353</v>
      </c>
      <c r="B357" s="3" t="s">
        <v>234</v>
      </c>
      <c r="C357" s="10">
        <v>45667.728252314817</v>
      </c>
      <c r="D357" s="10">
        <v>45667.730543981481</v>
      </c>
      <c r="E357" s="10">
        <v>45667.736747685187</v>
      </c>
      <c r="F357" s="10">
        <v>45667.738680555558</v>
      </c>
      <c r="G357" s="3" t="s">
        <v>1354</v>
      </c>
      <c r="H357" s="10">
        <v>45667.741041666668</v>
      </c>
      <c r="I357" s="10">
        <v>45667.794363425928</v>
      </c>
      <c r="J357" s="10">
        <v>45667.795497685183</v>
      </c>
      <c r="K357" s="11">
        <f t="shared" si="10"/>
        <v>6.2037037059781142E-3</v>
      </c>
      <c r="L357" s="11">
        <f t="shared" si="11"/>
        <v>5.5682870370219462E-2</v>
      </c>
    </row>
    <row r="358" spans="1:12" x14ac:dyDescent="0.25">
      <c r="A358" s="3" t="s">
        <v>1356</v>
      </c>
      <c r="B358" s="3" t="s">
        <v>235</v>
      </c>
      <c r="C358" s="10">
        <v>45667.735196759262</v>
      </c>
      <c r="D358" s="10">
        <v>45667.737685185188</v>
      </c>
      <c r="E358" s="10">
        <v>45667.758888888893</v>
      </c>
      <c r="F358" s="10">
        <v>45667.760416666657</v>
      </c>
      <c r="G358" s="3" t="s">
        <v>1333</v>
      </c>
      <c r="H358" s="10">
        <v>45667.777002314811</v>
      </c>
      <c r="I358" s="10">
        <v>45667.81925925926</v>
      </c>
      <c r="J358" s="10">
        <v>45667.820104166669</v>
      </c>
      <c r="K358" s="11">
        <f t="shared" si="10"/>
        <v>2.1203703705396038E-2</v>
      </c>
      <c r="L358" s="11">
        <f t="shared" si="11"/>
        <v>5.8842592603468802E-2</v>
      </c>
    </row>
    <row r="359" spans="1:12" x14ac:dyDescent="0.25">
      <c r="A359" s="3" t="s">
        <v>1358</v>
      </c>
      <c r="B359" s="3" t="s">
        <v>235</v>
      </c>
      <c r="C359" s="10">
        <v>45667.735196759262</v>
      </c>
      <c r="D359" s="10">
        <v>45667.737685185188</v>
      </c>
      <c r="E359" s="10">
        <v>45667.760416666657</v>
      </c>
      <c r="F359" s="10">
        <v>45667.762766203698</v>
      </c>
      <c r="G359" s="3" t="s">
        <v>1359</v>
      </c>
      <c r="H359" s="10">
        <v>45667.764930555553</v>
      </c>
      <c r="I359" s="10">
        <v>45667.803888888891</v>
      </c>
      <c r="J359" s="10">
        <v>45667.804780092592</v>
      </c>
      <c r="K359" s="11">
        <f t="shared" si="10"/>
        <v>2.2731481469236314E-2</v>
      </c>
      <c r="L359" s="11">
        <f t="shared" si="11"/>
        <v>4.112268519384088E-2</v>
      </c>
    </row>
    <row r="360" spans="1:12" x14ac:dyDescent="0.25">
      <c r="A360" s="3" t="s">
        <v>1361</v>
      </c>
      <c r="B360" s="3" t="s">
        <v>235</v>
      </c>
      <c r="C360" s="10">
        <v>45667.735196759262</v>
      </c>
      <c r="D360" s="10">
        <v>45667.737685185188</v>
      </c>
      <c r="E360" s="10">
        <v>45667.762766203698</v>
      </c>
      <c r="F360" s="10">
        <v>45667.764467592591</v>
      </c>
      <c r="G360" s="3" t="s">
        <v>1362</v>
      </c>
      <c r="H360" s="10">
        <v>45667.772245370368</v>
      </c>
      <c r="I360" s="10">
        <v>45667.807071759264</v>
      </c>
      <c r="J360" s="10">
        <v>45667.807928240742</v>
      </c>
      <c r="K360" s="11">
        <f t="shared" si="10"/>
        <v>2.5081018509808928E-2</v>
      </c>
      <c r="L360" s="11">
        <f t="shared" si="11"/>
        <v>4.260416667239042E-2</v>
      </c>
    </row>
    <row r="361" spans="1:12" x14ac:dyDescent="0.25">
      <c r="A361" s="3" t="s">
        <v>1364</v>
      </c>
      <c r="B361" s="3" t="s">
        <v>235</v>
      </c>
      <c r="C361" s="10">
        <v>45667.735196759262</v>
      </c>
      <c r="D361" s="10">
        <v>45667.737685185188</v>
      </c>
      <c r="E361" s="10">
        <v>45667.764467592591</v>
      </c>
      <c r="F361" s="10">
        <v>45667.766469907408</v>
      </c>
      <c r="G361" s="3" t="s">
        <v>1365</v>
      </c>
      <c r="H361" s="10">
        <v>45669.756030092591</v>
      </c>
      <c r="I361" s="10">
        <v>45669.803460648152</v>
      </c>
      <c r="J361" s="10">
        <v>45669.804583333331</v>
      </c>
      <c r="K361" s="11">
        <f t="shared" si="10"/>
        <v>2.6782407403516117E-2</v>
      </c>
      <c r="L361" s="11">
        <f t="shared" si="11"/>
        <v>2.0369907407439314</v>
      </c>
    </row>
    <row r="362" spans="1:12" x14ac:dyDescent="0.25">
      <c r="A362" s="3" t="s">
        <v>1367</v>
      </c>
      <c r="B362" s="3" t="s">
        <v>235</v>
      </c>
      <c r="C362" s="10">
        <v>45667.735196759262</v>
      </c>
      <c r="D362" s="10">
        <v>45667.737685185188</v>
      </c>
      <c r="E362" s="10">
        <v>45667.766469907408</v>
      </c>
      <c r="F362" s="10">
        <v>45667.76834490741</v>
      </c>
      <c r="G362" s="3" t="s">
        <v>1362</v>
      </c>
      <c r="H362" s="10">
        <v>45667.772245370368</v>
      </c>
      <c r="I362" s="10">
        <v>45667.807071759264</v>
      </c>
      <c r="J362" s="10">
        <v>45667.807928240742</v>
      </c>
      <c r="K362" s="11">
        <f t="shared" si="10"/>
        <v>2.8784722220734693E-2</v>
      </c>
      <c r="L362" s="11">
        <f t="shared" si="11"/>
        <v>3.8726851853425615E-2</v>
      </c>
    </row>
    <row r="363" spans="1:12" x14ac:dyDescent="0.25">
      <c r="A363" s="3" t="s">
        <v>1369</v>
      </c>
      <c r="B363" s="3" t="s">
        <v>235</v>
      </c>
      <c r="C363" s="10">
        <v>45667.735196759262</v>
      </c>
      <c r="D363" s="10">
        <v>45667.737685185188</v>
      </c>
      <c r="E363" s="10">
        <v>45667.76834490741</v>
      </c>
      <c r="F363" s="10">
        <v>45667.769814814812</v>
      </c>
      <c r="G363" s="3" t="s">
        <v>1333</v>
      </c>
      <c r="H363" s="10">
        <v>45667.777002314811</v>
      </c>
      <c r="I363" s="10">
        <v>45667.81925925926</v>
      </c>
      <c r="J363" s="10">
        <v>45667.820104166669</v>
      </c>
      <c r="K363" s="11">
        <f t="shared" si="10"/>
        <v>3.0659722222480923E-2</v>
      </c>
      <c r="L363" s="11">
        <f t="shared" si="11"/>
        <v>4.9444444448454306E-2</v>
      </c>
    </row>
    <row r="364" spans="1:12" x14ac:dyDescent="0.25">
      <c r="A364" s="3" t="s">
        <v>1371</v>
      </c>
      <c r="B364" s="3" t="s">
        <v>235</v>
      </c>
      <c r="C364" s="10">
        <v>45667.735196759262</v>
      </c>
      <c r="D364" s="10">
        <v>45667.737685185188</v>
      </c>
      <c r="E364" s="10">
        <v>45667.769814814812</v>
      </c>
      <c r="F364" s="10">
        <v>45667.771296296298</v>
      </c>
      <c r="G364" s="3" t="s">
        <v>1333</v>
      </c>
      <c r="H364" s="10">
        <v>45667.777002314811</v>
      </c>
      <c r="I364" s="10">
        <v>45667.81925925926</v>
      </c>
      <c r="J364" s="10">
        <v>45667.820104166669</v>
      </c>
      <c r="K364" s="11">
        <f t="shared" si="10"/>
        <v>3.2129629624250811E-2</v>
      </c>
      <c r="L364" s="11">
        <f t="shared" si="11"/>
        <v>4.7962962962628808E-2</v>
      </c>
    </row>
    <row r="365" spans="1:12" x14ac:dyDescent="0.25">
      <c r="A365" s="3" t="s">
        <v>1373</v>
      </c>
      <c r="B365" s="3" t="s">
        <v>235</v>
      </c>
      <c r="C365" s="10">
        <v>45667.735196759262</v>
      </c>
      <c r="D365" s="10">
        <v>45667.737685185188</v>
      </c>
      <c r="E365" s="10">
        <v>45667.771296296298</v>
      </c>
      <c r="F365" s="10">
        <v>45667.772430555553</v>
      </c>
      <c r="G365" s="3" t="s">
        <v>1290</v>
      </c>
      <c r="H365" s="10">
        <v>45670.401736111111</v>
      </c>
      <c r="I365" s="10">
        <v>45670.437557870369</v>
      </c>
      <c r="J365" s="10">
        <v>45670.438252314823</v>
      </c>
      <c r="K365" s="11">
        <f t="shared" si="10"/>
        <v>3.3611111110076308E-2</v>
      </c>
      <c r="L365" s="11">
        <f t="shared" si="11"/>
        <v>2.6651273148163455</v>
      </c>
    </row>
    <row r="366" spans="1:12" x14ac:dyDescent="0.25">
      <c r="A366" s="3" t="s">
        <v>1375</v>
      </c>
      <c r="B366" s="3" t="s">
        <v>235</v>
      </c>
      <c r="C366" s="10">
        <v>45667.735196759262</v>
      </c>
      <c r="D366" s="10">
        <v>45667.737685185188</v>
      </c>
      <c r="E366" s="10">
        <v>45667.772430555553</v>
      </c>
      <c r="F366" s="10">
        <v>45667.774317129632</v>
      </c>
      <c r="G366" s="3" t="s">
        <v>1376</v>
      </c>
      <c r="H366" s="10">
        <v>45671.436562499999</v>
      </c>
      <c r="I366" s="10">
        <v>45671.47991898148</v>
      </c>
      <c r="J366" s="10">
        <v>45671.480578703697</v>
      </c>
      <c r="K366" s="11">
        <f t="shared" si="10"/>
        <v>3.474537036527181E-2</v>
      </c>
      <c r="L366" s="11">
        <f t="shared" si="11"/>
        <v>3.705601851848769</v>
      </c>
    </row>
    <row r="367" spans="1:12" x14ac:dyDescent="0.25">
      <c r="A367" s="3" t="s">
        <v>1378</v>
      </c>
      <c r="B367" s="3" t="s">
        <v>235</v>
      </c>
      <c r="C367" s="10">
        <v>45667.735196759262</v>
      </c>
      <c r="D367" s="10">
        <v>45667.737685185188</v>
      </c>
      <c r="E367" s="10">
        <v>45667.774317129632</v>
      </c>
      <c r="F367" s="10">
        <v>45667.776041666657</v>
      </c>
      <c r="G367" s="3" t="s">
        <v>1298</v>
      </c>
      <c r="H367" s="10">
        <v>45667.870625000003</v>
      </c>
      <c r="I367" s="10">
        <v>45667.892222222217</v>
      </c>
      <c r="J367" s="10">
        <v>45667.89303240741</v>
      </c>
      <c r="K367" s="11">
        <f t="shared" si="10"/>
        <v>3.6631944443797693E-2</v>
      </c>
      <c r="L367" s="11">
        <f t="shared" si="11"/>
        <v>0.11618055556027684</v>
      </c>
    </row>
    <row r="368" spans="1:12" x14ac:dyDescent="0.25">
      <c r="A368" s="3" t="s">
        <v>1380</v>
      </c>
      <c r="B368" s="3" t="s">
        <v>235</v>
      </c>
      <c r="C368" s="10">
        <v>45667.735196759262</v>
      </c>
      <c r="D368" s="10">
        <v>45667.737685185188</v>
      </c>
      <c r="E368" s="10">
        <v>45667.776041666657</v>
      </c>
      <c r="F368" s="10">
        <v>45667.777314814812</v>
      </c>
      <c r="G368" s="3" t="s">
        <v>1381</v>
      </c>
      <c r="H368" s="10">
        <v>45667.868784722217</v>
      </c>
      <c r="I368" s="10">
        <v>45667.889178240737</v>
      </c>
      <c r="J368" s="10">
        <v>45667.889872685177</v>
      </c>
      <c r="K368" s="11">
        <f t="shared" si="10"/>
        <v>3.8356481469236314E-2</v>
      </c>
      <c r="L368" s="11">
        <f t="shared" si="11"/>
        <v>0.11186342592554865</v>
      </c>
    </row>
    <row r="369" spans="1:12" x14ac:dyDescent="0.25">
      <c r="A369" s="3" t="s">
        <v>1383</v>
      </c>
      <c r="B369" s="3" t="s">
        <v>235</v>
      </c>
      <c r="C369" s="10">
        <v>45667.735196759262</v>
      </c>
      <c r="D369" s="10">
        <v>45667.737685185188</v>
      </c>
      <c r="E369" s="10">
        <v>45667.777314814812</v>
      </c>
      <c r="F369" s="10">
        <v>45667.779398148137</v>
      </c>
      <c r="G369" s="3" t="s">
        <v>1328</v>
      </c>
      <c r="H369" s="10">
        <v>45667.78633101852</v>
      </c>
      <c r="I369" s="10">
        <v>45667.830381944441</v>
      </c>
      <c r="J369" s="10">
        <v>45667.831261574072</v>
      </c>
      <c r="K369" s="11">
        <f t="shared" si="10"/>
        <v>3.9629629623959772E-2</v>
      </c>
      <c r="L369" s="11">
        <f t="shared" si="11"/>
        <v>5.098379630362615E-2</v>
      </c>
    </row>
    <row r="370" spans="1:12" x14ac:dyDescent="0.25">
      <c r="A370" s="3" t="s">
        <v>1385</v>
      </c>
      <c r="B370" s="3" t="s">
        <v>236</v>
      </c>
      <c r="C370" s="10">
        <v>45667.841099537043</v>
      </c>
      <c r="D370" s="10">
        <v>45667.843391203707</v>
      </c>
      <c r="E370" s="10">
        <v>45667.856990740736</v>
      </c>
      <c r="F370" s="10">
        <v>45667.858425925922</v>
      </c>
      <c r="G370" s="3" t="s">
        <v>1381</v>
      </c>
      <c r="H370" s="10">
        <v>45667.868784722217</v>
      </c>
      <c r="I370" s="10">
        <v>45667.889178240737</v>
      </c>
      <c r="J370" s="10">
        <v>45667.889872685177</v>
      </c>
      <c r="K370" s="11">
        <f t="shared" si="10"/>
        <v>1.359953702922212E-2</v>
      </c>
      <c r="L370" s="11">
        <f t="shared" si="11"/>
        <v>3.0752314814890269E-2</v>
      </c>
    </row>
    <row r="371" spans="1:12" x14ac:dyDescent="0.25">
      <c r="A371" s="3" t="s">
        <v>1387</v>
      </c>
      <c r="B371" s="3" t="s">
        <v>236</v>
      </c>
      <c r="C371" s="10">
        <v>45667.841099537043</v>
      </c>
      <c r="D371" s="10">
        <v>45667.843391203707</v>
      </c>
      <c r="E371" s="10">
        <v>45667.858425925922</v>
      </c>
      <c r="F371" s="10">
        <v>45667.860335648147</v>
      </c>
      <c r="G371" s="3" t="s">
        <v>1376</v>
      </c>
      <c r="H371" s="10">
        <v>45671.436562499999</v>
      </c>
      <c r="I371" s="10">
        <v>45671.47991898148</v>
      </c>
      <c r="J371" s="10">
        <v>45671.480578703697</v>
      </c>
      <c r="K371" s="11">
        <f t="shared" si="10"/>
        <v>1.5034722215204965E-2</v>
      </c>
      <c r="L371" s="11">
        <f t="shared" si="11"/>
        <v>3.6195833333331393</v>
      </c>
    </row>
    <row r="372" spans="1:12" x14ac:dyDescent="0.25">
      <c r="A372" s="3" t="s">
        <v>1389</v>
      </c>
      <c r="B372" s="3" t="s">
        <v>236</v>
      </c>
      <c r="C372" s="10">
        <v>45667.841099537043</v>
      </c>
      <c r="D372" s="10">
        <v>45667.843391203707</v>
      </c>
      <c r="E372" s="10">
        <v>45667.860335648147</v>
      </c>
      <c r="F372" s="10">
        <v>45667.861851851849</v>
      </c>
      <c r="G372" s="3" t="s">
        <v>1390</v>
      </c>
      <c r="H372" s="10">
        <v>45670.660173611112</v>
      </c>
      <c r="I372" s="10">
        <v>45670.682766203703</v>
      </c>
      <c r="J372" s="10">
        <v>45670.683587962973</v>
      </c>
      <c r="K372" s="11">
        <f t="shared" si="10"/>
        <v>1.6944444440014195E-2</v>
      </c>
      <c r="L372" s="11">
        <f t="shared" si="11"/>
        <v>2.8209143518542987</v>
      </c>
    </row>
    <row r="373" spans="1:12" x14ac:dyDescent="0.25">
      <c r="A373" s="3" t="s">
        <v>1392</v>
      </c>
      <c r="B373" s="3" t="s">
        <v>236</v>
      </c>
      <c r="C373" s="10">
        <v>45667.841099537043</v>
      </c>
      <c r="D373" s="10">
        <v>45667.843391203707</v>
      </c>
      <c r="E373" s="10">
        <v>45667.861851851849</v>
      </c>
      <c r="F373" s="10">
        <v>45667.863587962973</v>
      </c>
      <c r="G373" s="3" t="s">
        <v>1393</v>
      </c>
      <c r="H373" s="10">
        <v>45670.117569444446</v>
      </c>
      <c r="I373" s="10">
        <v>45670.150868055563</v>
      </c>
      <c r="J373" s="10">
        <v>45670.151898148149</v>
      </c>
      <c r="K373" s="11">
        <f t="shared" si="10"/>
        <v>1.8460648141626734E-2</v>
      </c>
      <c r="L373" s="11">
        <f t="shared" si="11"/>
        <v>2.2872800925906631</v>
      </c>
    </row>
    <row r="374" spans="1:12" x14ac:dyDescent="0.25">
      <c r="A374" s="3" t="s">
        <v>1395</v>
      </c>
      <c r="B374" s="3" t="s">
        <v>236</v>
      </c>
      <c r="C374" s="10">
        <v>45667.841099537043</v>
      </c>
      <c r="D374" s="10">
        <v>45667.843391203707</v>
      </c>
      <c r="E374" s="10">
        <v>45667.863587962973</v>
      </c>
      <c r="F374" s="10">
        <v>45667.864884259259</v>
      </c>
      <c r="G374" s="3" t="s">
        <v>1381</v>
      </c>
      <c r="H374" s="10">
        <v>45667.868784722217</v>
      </c>
      <c r="I374" s="10">
        <v>45667.889178240737</v>
      </c>
      <c r="J374" s="10">
        <v>45667.889872685177</v>
      </c>
      <c r="K374" s="11">
        <f t="shared" si="10"/>
        <v>2.0196759265672881E-2</v>
      </c>
      <c r="L374" s="11">
        <f t="shared" si="11"/>
        <v>2.4293981477967463E-2</v>
      </c>
    </row>
    <row r="375" spans="1:12" x14ac:dyDescent="0.25">
      <c r="A375" s="3" t="s">
        <v>1397</v>
      </c>
      <c r="B375" s="3" t="s">
        <v>236</v>
      </c>
      <c r="C375" s="10">
        <v>45667.841099537043</v>
      </c>
      <c r="D375" s="10">
        <v>45667.843391203707</v>
      </c>
      <c r="E375" s="10">
        <v>45667.864884259259</v>
      </c>
      <c r="F375" s="10">
        <v>45667.866701388892</v>
      </c>
      <c r="G375" s="3" t="s">
        <v>1298</v>
      </c>
      <c r="H375" s="10">
        <v>45667.870625000003</v>
      </c>
      <c r="I375" s="10">
        <v>45667.892222222217</v>
      </c>
      <c r="J375" s="10">
        <v>45667.89303240741</v>
      </c>
      <c r="K375" s="11">
        <f t="shared" si="10"/>
        <v>2.1493055552127771E-2</v>
      </c>
      <c r="L375" s="11">
        <f t="shared" si="11"/>
        <v>2.5520833325572312E-2</v>
      </c>
    </row>
    <row r="376" spans="1:12" x14ac:dyDescent="0.25">
      <c r="A376" s="3" t="s">
        <v>1399</v>
      </c>
      <c r="B376" s="3" t="s">
        <v>236</v>
      </c>
      <c r="C376" s="10">
        <v>45667.841099537043</v>
      </c>
      <c r="D376" s="10">
        <v>45667.843391203707</v>
      </c>
      <c r="E376" s="10">
        <v>45667.866701388892</v>
      </c>
      <c r="F376" s="10">
        <v>45667.868449074071</v>
      </c>
      <c r="G376" s="3" t="s">
        <v>1400</v>
      </c>
      <c r="H376" s="10">
        <v>45670.349606481483</v>
      </c>
      <c r="I376" s="10">
        <v>45670.381458333337</v>
      </c>
      <c r="J376" s="10">
        <v>45670.382349537038</v>
      </c>
      <c r="K376" s="11">
        <f t="shared" si="10"/>
        <v>2.3310185184527654E-2</v>
      </c>
      <c r="L376" s="11">
        <f t="shared" si="11"/>
        <v>2.513009259266255</v>
      </c>
    </row>
    <row r="377" spans="1:12" x14ac:dyDescent="0.25">
      <c r="A377" s="3" t="s">
        <v>1402</v>
      </c>
      <c r="B377" s="3" t="s">
        <v>236</v>
      </c>
      <c r="C377" s="10">
        <v>45667.841099537043</v>
      </c>
      <c r="D377" s="10">
        <v>45667.843391203707</v>
      </c>
      <c r="E377" s="10">
        <v>45667.868449074071</v>
      </c>
      <c r="F377" s="10">
        <v>45667.870520833327</v>
      </c>
      <c r="G377" s="3" t="s">
        <v>1403</v>
      </c>
      <c r="H377" s="10">
        <v>45668.22388888889</v>
      </c>
      <c r="I377" s="10">
        <v>45668.243854166663</v>
      </c>
      <c r="J377" s="10">
        <v>45668.244664351849</v>
      </c>
      <c r="K377" s="11">
        <f t="shared" si="10"/>
        <v>2.5057870363525581E-2</v>
      </c>
      <c r="L377" s="11">
        <f t="shared" si="11"/>
        <v>0.37333333333663177</v>
      </c>
    </row>
    <row r="378" spans="1:12" x14ac:dyDescent="0.25">
      <c r="A378" s="3" t="s">
        <v>1405</v>
      </c>
      <c r="B378" s="3" t="s">
        <v>237</v>
      </c>
      <c r="C378" s="10">
        <v>45668.206817129627</v>
      </c>
      <c r="D378" s="10">
        <v>45668.20925925926</v>
      </c>
      <c r="E378" s="10">
        <v>45668.217928240738</v>
      </c>
      <c r="F378" s="10">
        <v>45668.219965277778</v>
      </c>
      <c r="G378" s="3" t="s">
        <v>1403</v>
      </c>
      <c r="H378" s="10">
        <v>45668.22388888889</v>
      </c>
      <c r="I378" s="10">
        <v>45668.243854166663</v>
      </c>
      <c r="J378" s="10">
        <v>45668.244664351849</v>
      </c>
      <c r="K378" s="11">
        <f t="shared" si="10"/>
        <v>8.6689814779674634E-3</v>
      </c>
      <c r="L378" s="11">
        <f t="shared" si="11"/>
        <v>2.3888888885267079E-2</v>
      </c>
    </row>
    <row r="379" spans="1:12" x14ac:dyDescent="0.25">
      <c r="A379" s="3" t="s">
        <v>1407</v>
      </c>
      <c r="B379" s="3" t="s">
        <v>237</v>
      </c>
      <c r="C379" s="10">
        <v>45668.206817129627</v>
      </c>
      <c r="D379" s="10">
        <v>45668.20925925926</v>
      </c>
      <c r="E379" s="10">
        <v>45668.219965277778</v>
      </c>
      <c r="F379" s="10">
        <v>45668.221990740742</v>
      </c>
      <c r="G379" s="3" t="s">
        <v>1365</v>
      </c>
      <c r="H379" s="10">
        <v>45669.756030092591</v>
      </c>
      <c r="I379" s="10">
        <v>45669.803460648152</v>
      </c>
      <c r="J379" s="10">
        <v>45669.804583333331</v>
      </c>
      <c r="K379" s="11">
        <f t="shared" si="10"/>
        <v>1.0706018518249039E-2</v>
      </c>
      <c r="L379" s="11">
        <f t="shared" si="11"/>
        <v>1.5814699074107921</v>
      </c>
    </row>
    <row r="380" spans="1:12" x14ac:dyDescent="0.25">
      <c r="A380" s="3" t="s">
        <v>1409</v>
      </c>
      <c r="B380" s="3" t="s">
        <v>237</v>
      </c>
      <c r="C380" s="10">
        <v>45668.206817129627</v>
      </c>
      <c r="D380" s="10">
        <v>45668.20925925926</v>
      </c>
      <c r="E380" s="10">
        <v>45668.221990740742</v>
      </c>
      <c r="F380" s="10">
        <v>45668.223923611113</v>
      </c>
      <c r="G380" s="3" t="s">
        <v>1410</v>
      </c>
      <c r="H380" s="10">
        <v>45668.2262962963</v>
      </c>
      <c r="I380" s="10">
        <v>45668.279745370368</v>
      </c>
      <c r="J380" s="10">
        <v>45668.280868055554</v>
      </c>
      <c r="K380" s="11">
        <f t="shared" si="10"/>
        <v>1.2731481481750961E-2</v>
      </c>
      <c r="L380" s="11">
        <f t="shared" si="11"/>
        <v>5.5821759255195502E-2</v>
      </c>
    </row>
    <row r="381" spans="1:12" x14ac:dyDescent="0.25">
      <c r="A381" s="3" t="s">
        <v>1412</v>
      </c>
      <c r="B381" s="3" t="s">
        <v>238</v>
      </c>
      <c r="C381" s="10">
        <v>45668.228726851848</v>
      </c>
      <c r="D381" s="10">
        <v>45668.231203703697</v>
      </c>
      <c r="E381" s="10">
        <v>45668.241168981483</v>
      </c>
      <c r="F381" s="10">
        <v>45668.243252314824</v>
      </c>
      <c r="G381" s="3" t="s">
        <v>1365</v>
      </c>
      <c r="H381" s="10">
        <v>45669.756030092591</v>
      </c>
      <c r="I381" s="10">
        <v>45669.803460648152</v>
      </c>
      <c r="J381" s="10">
        <v>45669.804583333331</v>
      </c>
      <c r="K381" s="11">
        <f t="shared" si="10"/>
        <v>9.9652777862502262E-3</v>
      </c>
      <c r="L381" s="11">
        <f t="shared" si="11"/>
        <v>1.5602083333287737</v>
      </c>
    </row>
    <row r="382" spans="1:12" x14ac:dyDescent="0.25">
      <c r="A382" s="3" t="s">
        <v>1414</v>
      </c>
      <c r="B382" s="3" t="s">
        <v>238</v>
      </c>
      <c r="C382" s="10">
        <v>45668.228726851848</v>
      </c>
      <c r="D382" s="10">
        <v>45668.231203703697</v>
      </c>
      <c r="E382" s="10">
        <v>45668.243252314824</v>
      </c>
      <c r="F382" s="10">
        <v>45668.24523148148</v>
      </c>
      <c r="G382" s="3" t="s">
        <v>1415</v>
      </c>
      <c r="H382" s="10">
        <v>45668.247407407413</v>
      </c>
      <c r="I382" s="10">
        <v>45668.267951388887</v>
      </c>
      <c r="J382" s="10">
        <v>45668.268738425933</v>
      </c>
      <c r="K382" s="11">
        <f t="shared" si="10"/>
        <v>1.2048611126374453E-2</v>
      </c>
      <c r="L382" s="11">
        <f t="shared" si="11"/>
        <v>2.2719907407008577E-2</v>
      </c>
    </row>
    <row r="383" spans="1:12" x14ac:dyDescent="0.25">
      <c r="A383" s="3" t="s">
        <v>1417</v>
      </c>
      <c r="B383" s="3" t="s">
        <v>238</v>
      </c>
      <c r="C383" s="10">
        <v>45668.228726851848</v>
      </c>
      <c r="D383" s="10">
        <v>45668.231203703697</v>
      </c>
      <c r="E383" s="10">
        <v>45668.24523148148</v>
      </c>
      <c r="F383" s="10">
        <v>45668.247060185182</v>
      </c>
      <c r="G383" s="3" t="s">
        <v>1418</v>
      </c>
      <c r="H383" s="10">
        <v>45668.249444444453</v>
      </c>
      <c r="I383" s="10">
        <v>45668.290879629632</v>
      </c>
      <c r="J383" s="10">
        <v>45668.291851851849</v>
      </c>
      <c r="K383" s="11">
        <f t="shared" si="10"/>
        <v>1.4027777782757767E-2</v>
      </c>
      <c r="L383" s="11">
        <f t="shared" si="11"/>
        <v>4.3819444450491574E-2</v>
      </c>
    </row>
    <row r="384" spans="1:12" x14ac:dyDescent="0.25">
      <c r="A384" s="3" t="s">
        <v>1420</v>
      </c>
      <c r="B384" s="3" t="s">
        <v>238</v>
      </c>
      <c r="C384" s="10">
        <v>45668.228726851848</v>
      </c>
      <c r="D384" s="10">
        <v>45668.231203703697</v>
      </c>
      <c r="E384" s="10">
        <v>45668.247060185182</v>
      </c>
      <c r="F384" s="10">
        <v>45668.249108796299</v>
      </c>
      <c r="G384" s="3" t="s">
        <v>1365</v>
      </c>
      <c r="H384" s="10">
        <v>45669.756030092591</v>
      </c>
      <c r="I384" s="10">
        <v>45669.803460648152</v>
      </c>
      <c r="J384" s="10">
        <v>45669.804583333331</v>
      </c>
      <c r="K384" s="11">
        <f t="shared" si="10"/>
        <v>1.5856481484661344E-2</v>
      </c>
      <c r="L384" s="11">
        <f t="shared" si="11"/>
        <v>1.5543518518534256</v>
      </c>
    </row>
    <row r="385" spans="1:12" x14ac:dyDescent="0.25">
      <c r="A385" s="3" t="s">
        <v>1422</v>
      </c>
      <c r="B385" s="3" t="s">
        <v>239</v>
      </c>
      <c r="C385" s="10">
        <v>45669.737129629633</v>
      </c>
      <c r="D385" s="10">
        <v>45669.739560185182</v>
      </c>
      <c r="E385" s="10">
        <v>45669.749745370369</v>
      </c>
      <c r="F385" s="10">
        <v>45669.752106481479</v>
      </c>
      <c r="G385" s="3" t="s">
        <v>1365</v>
      </c>
      <c r="H385" s="10">
        <v>45669.756030092591</v>
      </c>
      <c r="I385" s="10">
        <v>45669.803460648152</v>
      </c>
      <c r="J385" s="10">
        <v>45669.804583333331</v>
      </c>
      <c r="K385" s="11">
        <f t="shared" si="10"/>
        <v>1.0185185186855961E-2</v>
      </c>
      <c r="L385" s="11">
        <f t="shared" si="11"/>
        <v>5.1354166673263535E-2</v>
      </c>
    </row>
    <row r="386" spans="1:12" x14ac:dyDescent="0.25">
      <c r="A386" s="3" t="s">
        <v>1424</v>
      </c>
      <c r="B386" s="3" t="s">
        <v>239</v>
      </c>
      <c r="C386" s="10">
        <v>45669.737129629633</v>
      </c>
      <c r="D386" s="10">
        <v>45669.739560185182</v>
      </c>
      <c r="E386" s="10">
        <v>45669.752106481479</v>
      </c>
      <c r="F386" s="10">
        <v>45669.754131944443</v>
      </c>
      <c r="G386" s="3" t="s">
        <v>1425</v>
      </c>
      <c r="H386" s="10">
        <v>45669.756493055553</v>
      </c>
      <c r="I386" s="10">
        <v>45669.818414351852</v>
      </c>
      <c r="J386" s="10">
        <v>45669.819652777784</v>
      </c>
      <c r="K386" s="11">
        <f t="shared" ref="K386:K449" si="12">IF(AND(ISNUMBER(D386),ISNUMBER(E386)),(E386-D386),"")</f>
        <v>1.2546296296932269E-2</v>
      </c>
      <c r="L386" s="11">
        <f t="shared" ref="L386:L449" si="13">IF(AND(ISNUMBER(F386),ISNUMBER(I386)),(I386-F386),"")</f>
        <v>6.4282407409336884E-2</v>
      </c>
    </row>
    <row r="387" spans="1:12" x14ac:dyDescent="0.25">
      <c r="A387" s="3" t="s">
        <v>1427</v>
      </c>
      <c r="B387" s="3" t="s">
        <v>239</v>
      </c>
      <c r="C387" s="10">
        <v>45669.737129629633</v>
      </c>
      <c r="D387" s="10">
        <v>45669.739560185182</v>
      </c>
      <c r="E387" s="10">
        <v>45669.754131944443</v>
      </c>
      <c r="F387" s="10">
        <v>45669.755891203713</v>
      </c>
      <c r="G387" s="3" t="s">
        <v>1428</v>
      </c>
      <c r="H387" s="10">
        <v>45671.650451388887</v>
      </c>
      <c r="I387" s="10">
        <v>45671.67769675926</v>
      </c>
      <c r="J387" s="10">
        <v>45671.678564814807</v>
      </c>
      <c r="K387" s="11">
        <f t="shared" si="12"/>
        <v>1.4571759260434192E-2</v>
      </c>
      <c r="L387" s="11">
        <f t="shared" si="13"/>
        <v>1.921805555546598</v>
      </c>
    </row>
    <row r="388" spans="1:12" x14ac:dyDescent="0.25">
      <c r="A388" s="3" t="s">
        <v>1430</v>
      </c>
      <c r="B388" s="3" t="s">
        <v>240</v>
      </c>
      <c r="C388" s="10">
        <v>45669.834988425922</v>
      </c>
      <c r="D388" s="10">
        <v>45669.837060185193</v>
      </c>
      <c r="E388" s="10">
        <v>45669.843460648153</v>
      </c>
      <c r="F388" s="10">
        <v>45669.844953703701</v>
      </c>
      <c r="G388" s="3" t="s">
        <v>1431</v>
      </c>
      <c r="H388" s="10">
        <v>45669.847129629627</v>
      </c>
      <c r="I388" s="10">
        <v>45669.866550925923</v>
      </c>
      <c r="J388" s="10">
        <v>45669.8672337963</v>
      </c>
      <c r="K388" s="11">
        <f t="shared" si="12"/>
        <v>6.4004629603005014E-3</v>
      </c>
      <c r="L388" s="11">
        <f t="shared" si="13"/>
        <v>2.159722222131677E-2</v>
      </c>
    </row>
    <row r="389" spans="1:12" x14ac:dyDescent="0.25">
      <c r="A389" s="3" t="s">
        <v>1433</v>
      </c>
      <c r="B389" s="3" t="s">
        <v>240</v>
      </c>
      <c r="C389" s="10">
        <v>45669.834988425922</v>
      </c>
      <c r="D389" s="10">
        <v>45669.837060185193</v>
      </c>
      <c r="E389" s="10">
        <v>45669.844953703701</v>
      </c>
      <c r="F389" s="10">
        <v>45669.847175925926</v>
      </c>
      <c r="G389" s="3" t="s">
        <v>1434</v>
      </c>
      <c r="H389" s="10">
        <v>45669.849537037036</v>
      </c>
      <c r="I389" s="10">
        <v>45669.867893518523</v>
      </c>
      <c r="J389" s="10">
        <v>45669.868634259263</v>
      </c>
      <c r="K389" s="11">
        <f t="shared" si="12"/>
        <v>7.8935185083537363E-3</v>
      </c>
      <c r="L389" s="11">
        <f t="shared" si="13"/>
        <v>2.0717592597065959E-2</v>
      </c>
    </row>
    <row r="390" spans="1:12" x14ac:dyDescent="0.25">
      <c r="A390" s="3" t="s">
        <v>1436</v>
      </c>
      <c r="B390" s="3" t="s">
        <v>241</v>
      </c>
      <c r="C390" s="10">
        <v>45670.103425925918</v>
      </c>
      <c r="D390" s="10">
        <v>45670.105439814812</v>
      </c>
      <c r="E390" s="10">
        <v>45670.111585648148</v>
      </c>
      <c r="F390" s="10">
        <v>45670.113657407397</v>
      </c>
      <c r="G390" s="3" t="s">
        <v>1393</v>
      </c>
      <c r="H390" s="10">
        <v>45670.117569444446</v>
      </c>
      <c r="I390" s="10">
        <v>45670.150868055563</v>
      </c>
      <c r="J390" s="10">
        <v>45670.151898148149</v>
      </c>
      <c r="K390" s="11">
        <f t="shared" si="12"/>
        <v>6.1458333366317675E-3</v>
      </c>
      <c r="L390" s="11">
        <f t="shared" si="13"/>
        <v>3.721064816636499E-2</v>
      </c>
    </row>
    <row r="391" spans="1:12" x14ac:dyDescent="0.25">
      <c r="A391" s="3" t="s">
        <v>1438</v>
      </c>
      <c r="B391" s="3" t="s">
        <v>241</v>
      </c>
      <c r="C391" s="10">
        <v>45670.103425925918</v>
      </c>
      <c r="D391" s="10">
        <v>45670.105439814812</v>
      </c>
      <c r="E391" s="10">
        <v>45670.113657407397</v>
      </c>
      <c r="F391" s="10">
        <v>45670.114942129629</v>
      </c>
      <c r="G391" s="3" t="s">
        <v>1439</v>
      </c>
      <c r="H391" s="10">
        <v>45670.405671296299</v>
      </c>
      <c r="I391" s="10">
        <v>45670.449386574073</v>
      </c>
      <c r="J391" s="10">
        <v>45670.450104166674</v>
      </c>
      <c r="K391" s="11">
        <f t="shared" si="12"/>
        <v>8.2175925854244269E-3</v>
      </c>
      <c r="L391" s="11">
        <f t="shared" si="13"/>
        <v>0.33444444444467081</v>
      </c>
    </row>
    <row r="392" spans="1:12" x14ac:dyDescent="0.25">
      <c r="A392" s="3" t="s">
        <v>1441</v>
      </c>
      <c r="B392" s="3" t="s">
        <v>242</v>
      </c>
      <c r="C392" s="10">
        <v>45670.18650462963</v>
      </c>
      <c r="D392" s="10">
        <v>45670.188796296286</v>
      </c>
      <c r="E392" s="10">
        <v>45670.194872685177</v>
      </c>
      <c r="F392" s="10">
        <v>45670.197557870371</v>
      </c>
      <c r="G392" s="3" t="s">
        <v>1442</v>
      </c>
      <c r="H392" s="10">
        <v>45670.199953703697</v>
      </c>
      <c r="I392" s="10">
        <v>45670.25309027778</v>
      </c>
      <c r="J392" s="10">
        <v>45670.254293981481</v>
      </c>
      <c r="K392" s="11">
        <f t="shared" si="12"/>
        <v>6.0763888905057684E-3</v>
      </c>
      <c r="L392" s="11">
        <f t="shared" si="13"/>
        <v>5.5532407408463769E-2</v>
      </c>
    </row>
    <row r="393" spans="1:12" x14ac:dyDescent="0.25">
      <c r="A393" s="3" t="s">
        <v>1444</v>
      </c>
      <c r="B393" s="3" t="s">
        <v>243</v>
      </c>
      <c r="C393" s="10">
        <v>45670.25335648148</v>
      </c>
      <c r="D393" s="10">
        <v>45670.255636574067</v>
      </c>
      <c r="E393" s="10">
        <v>45670.261678240742</v>
      </c>
      <c r="F393" s="10">
        <v>45670.264363425929</v>
      </c>
      <c r="G393" s="3" t="s">
        <v>1445</v>
      </c>
      <c r="H393" s="10">
        <v>45670.266527777778</v>
      </c>
      <c r="I393" s="10">
        <v>45670.319131944438</v>
      </c>
      <c r="J393" s="10">
        <v>45670.3203125</v>
      </c>
      <c r="K393" s="11">
        <f t="shared" si="12"/>
        <v>6.0416666747187264E-3</v>
      </c>
      <c r="L393" s="11">
        <f t="shared" si="13"/>
        <v>5.4768518508353736E-2</v>
      </c>
    </row>
    <row r="394" spans="1:12" x14ac:dyDescent="0.25">
      <c r="A394" s="3" t="s">
        <v>1447</v>
      </c>
      <c r="B394" s="3" t="s">
        <v>244</v>
      </c>
      <c r="C394" s="10">
        <v>45670.293182870373</v>
      </c>
      <c r="D394" s="10">
        <v>45670.295254629629</v>
      </c>
      <c r="E394" s="10">
        <v>45670.300555555557</v>
      </c>
      <c r="F394" s="10">
        <v>45670.302719907413</v>
      </c>
      <c r="G394" s="3" t="s">
        <v>1448</v>
      </c>
      <c r="H394" s="10">
        <v>45670.304884259262</v>
      </c>
      <c r="I394" s="10">
        <v>45670.341400462959</v>
      </c>
      <c r="J394" s="10">
        <v>45670.342465277783</v>
      </c>
      <c r="K394" s="11">
        <f t="shared" si="12"/>
        <v>5.3009259281679988E-3</v>
      </c>
      <c r="L394" s="11">
        <f t="shared" si="13"/>
        <v>3.8680555546307005E-2</v>
      </c>
    </row>
    <row r="395" spans="1:12" x14ac:dyDescent="0.25">
      <c r="A395" s="3" t="s">
        <v>1450</v>
      </c>
      <c r="B395" s="3" t="s">
        <v>245</v>
      </c>
      <c r="C395" s="10">
        <v>45670.302118055559</v>
      </c>
      <c r="D395" s="10">
        <v>45670.304189814808</v>
      </c>
      <c r="E395" s="10">
        <v>45670.311018518521</v>
      </c>
      <c r="F395" s="10">
        <v>45670.313831018517</v>
      </c>
      <c r="G395" s="3" t="s">
        <v>1451</v>
      </c>
      <c r="H395" s="10">
        <v>45670.315983796303</v>
      </c>
      <c r="I395" s="10">
        <v>45670.386608796303</v>
      </c>
      <c r="J395" s="10">
        <v>45670.388067129628</v>
      </c>
      <c r="K395" s="11">
        <f t="shared" si="12"/>
        <v>6.8287037138361484E-3</v>
      </c>
      <c r="L395" s="11">
        <f t="shared" si="13"/>
        <v>7.2777777786541265E-2</v>
      </c>
    </row>
    <row r="396" spans="1:12" x14ac:dyDescent="0.25">
      <c r="A396" s="3" t="s">
        <v>1453</v>
      </c>
      <c r="B396" s="3" t="s">
        <v>246</v>
      </c>
      <c r="C396" s="10">
        <v>45670.304513888892</v>
      </c>
      <c r="D396" s="10">
        <v>45670.307256944441</v>
      </c>
      <c r="E396" s="10">
        <v>45670.328912037039</v>
      </c>
      <c r="F396" s="10">
        <v>45670.330520833333</v>
      </c>
      <c r="G396" s="3" t="s">
        <v>1264</v>
      </c>
      <c r="H396" s="10">
        <v>45671.397326388891</v>
      </c>
      <c r="I396" s="10">
        <v>45671.458148148151</v>
      </c>
      <c r="J396" s="10">
        <v>45671.459537037037</v>
      </c>
      <c r="K396" s="11">
        <f t="shared" si="12"/>
        <v>2.1655092597939074E-2</v>
      </c>
      <c r="L396" s="11">
        <f t="shared" si="13"/>
        <v>1.1276273148178007</v>
      </c>
    </row>
    <row r="397" spans="1:12" x14ac:dyDescent="0.25">
      <c r="A397" s="3" t="s">
        <v>1455</v>
      </c>
      <c r="B397" s="3" t="s">
        <v>246</v>
      </c>
      <c r="C397" s="10">
        <v>45670.304513888892</v>
      </c>
      <c r="D397" s="10">
        <v>45670.307256944441</v>
      </c>
      <c r="E397" s="10">
        <v>45670.330520833333</v>
      </c>
      <c r="F397" s="10">
        <v>45670.332037037027</v>
      </c>
      <c r="G397" s="3" t="s">
        <v>1456</v>
      </c>
      <c r="H397" s="10">
        <v>45670.413645833331</v>
      </c>
      <c r="I397" s="10">
        <v>45670.48196759259</v>
      </c>
      <c r="J397" s="10">
        <v>45670.48296296296</v>
      </c>
      <c r="K397" s="11">
        <f t="shared" si="12"/>
        <v>2.326388889196096E-2</v>
      </c>
      <c r="L397" s="11">
        <f t="shared" si="13"/>
        <v>0.14993055556260515</v>
      </c>
    </row>
    <row r="398" spans="1:12" x14ac:dyDescent="0.25">
      <c r="A398" s="3" t="s">
        <v>1458</v>
      </c>
      <c r="B398" s="3" t="s">
        <v>246</v>
      </c>
      <c r="C398" s="10">
        <v>45670.304513888892</v>
      </c>
      <c r="D398" s="10">
        <v>45670.307256944441</v>
      </c>
      <c r="E398" s="10">
        <v>45670.332037037027</v>
      </c>
      <c r="F398" s="10">
        <v>45670.333333333343</v>
      </c>
      <c r="G398" s="3" t="s">
        <v>1439</v>
      </c>
      <c r="H398" s="10">
        <v>45670.405671296299</v>
      </c>
      <c r="I398" s="10">
        <v>45670.449386574073</v>
      </c>
      <c r="J398" s="10">
        <v>45670.450104166674</v>
      </c>
      <c r="K398" s="11">
        <f t="shared" si="12"/>
        <v>2.4780092586297542E-2</v>
      </c>
      <c r="L398" s="11">
        <f t="shared" si="13"/>
        <v>0.11605324073025258</v>
      </c>
    </row>
    <row r="399" spans="1:12" x14ac:dyDescent="0.25">
      <c r="A399" s="3" t="s">
        <v>1460</v>
      </c>
      <c r="B399" s="3" t="s">
        <v>246</v>
      </c>
      <c r="C399" s="10">
        <v>45670.304513888892</v>
      </c>
      <c r="D399" s="10">
        <v>45670.307256944441</v>
      </c>
      <c r="E399" s="10">
        <v>45670.333333333343</v>
      </c>
      <c r="F399" s="10">
        <v>45670.334976851853</v>
      </c>
      <c r="G399" s="3" t="s">
        <v>1390</v>
      </c>
      <c r="H399" s="10">
        <v>45670.660173611112</v>
      </c>
      <c r="I399" s="10">
        <v>45670.682766203703</v>
      </c>
      <c r="J399" s="10">
        <v>45670.683587962973</v>
      </c>
      <c r="K399" s="11">
        <f t="shared" si="12"/>
        <v>2.6076388901856262E-2</v>
      </c>
      <c r="L399" s="11">
        <f t="shared" si="13"/>
        <v>0.34778935185022419</v>
      </c>
    </row>
    <row r="400" spans="1:12" x14ac:dyDescent="0.25">
      <c r="A400" s="3" t="s">
        <v>1462</v>
      </c>
      <c r="B400" s="3" t="s">
        <v>246</v>
      </c>
      <c r="C400" s="10">
        <v>45670.304513888892</v>
      </c>
      <c r="D400" s="10">
        <v>45670.307256944441</v>
      </c>
      <c r="E400" s="10">
        <v>45670.334976851853</v>
      </c>
      <c r="F400" s="10">
        <v>45670.336967592593</v>
      </c>
      <c r="G400" s="3" t="s">
        <v>1463</v>
      </c>
      <c r="H400" s="10">
        <v>45671.758935185193</v>
      </c>
      <c r="I400" s="10">
        <v>45671.798344907409</v>
      </c>
      <c r="J400" s="10">
        <v>45671.799166666657</v>
      </c>
      <c r="K400" s="11">
        <f t="shared" si="12"/>
        <v>2.771990741166519E-2</v>
      </c>
      <c r="L400" s="11">
        <f t="shared" si="13"/>
        <v>1.4613773148157634</v>
      </c>
    </row>
    <row r="401" spans="1:12" x14ac:dyDescent="0.25">
      <c r="A401" s="3" t="s">
        <v>1465</v>
      </c>
      <c r="B401" s="3" t="s">
        <v>246</v>
      </c>
      <c r="C401" s="10">
        <v>45670.304513888892</v>
      </c>
      <c r="D401" s="10">
        <v>45670.307256944441</v>
      </c>
      <c r="E401" s="10">
        <v>45670.336967592593</v>
      </c>
      <c r="F401" s="10">
        <v>45670.338703703703</v>
      </c>
      <c r="G401" s="3" t="s">
        <v>1466</v>
      </c>
      <c r="H401" s="10">
        <v>45670.413414351853</v>
      </c>
      <c r="I401" s="10">
        <v>45670.46769675926</v>
      </c>
      <c r="J401" s="10">
        <v>45670.468634259261</v>
      </c>
      <c r="K401" s="11">
        <f t="shared" si="12"/>
        <v>2.9710648152104113E-2</v>
      </c>
      <c r="L401" s="11">
        <f t="shared" si="13"/>
        <v>0.1289930555576575</v>
      </c>
    </row>
    <row r="402" spans="1:12" x14ac:dyDescent="0.25">
      <c r="A402" s="3" t="s">
        <v>1468</v>
      </c>
      <c r="B402" s="3" t="s">
        <v>246</v>
      </c>
      <c r="C402" s="10">
        <v>45670.304513888892</v>
      </c>
      <c r="D402" s="10">
        <v>45670.307256944441</v>
      </c>
      <c r="E402" s="10">
        <v>45670.338703703703</v>
      </c>
      <c r="F402" s="10">
        <v>45670.340451388889</v>
      </c>
      <c r="G402" s="3" t="s">
        <v>1400</v>
      </c>
      <c r="H402" s="10">
        <v>45670.349606481483</v>
      </c>
      <c r="I402" s="10">
        <v>45670.381458333337</v>
      </c>
      <c r="J402" s="10">
        <v>45670.382349537038</v>
      </c>
      <c r="K402" s="11">
        <f t="shared" si="12"/>
        <v>3.1446759261598345E-2</v>
      </c>
      <c r="L402" s="11">
        <f t="shared" si="13"/>
        <v>4.1006944447872229E-2</v>
      </c>
    </row>
    <row r="403" spans="1:12" x14ac:dyDescent="0.25">
      <c r="A403" s="3" t="s">
        <v>1470</v>
      </c>
      <c r="B403" s="3" t="s">
        <v>246</v>
      </c>
      <c r="C403" s="10">
        <v>45670.304513888892</v>
      </c>
      <c r="D403" s="10">
        <v>45670.307256944441</v>
      </c>
      <c r="E403" s="10">
        <v>45670.340451388889</v>
      </c>
      <c r="F403" s="10">
        <v>45670.342361111107</v>
      </c>
      <c r="G403" s="3" t="s">
        <v>1471</v>
      </c>
      <c r="H403" s="10">
        <v>45671.296840277777</v>
      </c>
      <c r="I403" s="10">
        <v>45671.331099537027</v>
      </c>
      <c r="J403" s="10">
        <v>45671.331921296303</v>
      </c>
      <c r="K403" s="11">
        <f t="shared" si="12"/>
        <v>3.3194444447872229E-2</v>
      </c>
      <c r="L403" s="11">
        <f t="shared" si="13"/>
        <v>0.98873842592001893</v>
      </c>
    </row>
    <row r="404" spans="1:12" x14ac:dyDescent="0.25">
      <c r="A404" s="3" t="s">
        <v>1473</v>
      </c>
      <c r="B404" s="3" t="s">
        <v>246</v>
      </c>
      <c r="C404" s="10">
        <v>45670.304513888892</v>
      </c>
      <c r="D404" s="10">
        <v>45670.307256944441</v>
      </c>
      <c r="E404" s="10">
        <v>45670.342361111107</v>
      </c>
      <c r="F404" s="10">
        <v>45670.343773148154</v>
      </c>
      <c r="G404" s="3" t="s">
        <v>1456</v>
      </c>
      <c r="H404" s="10">
        <v>45670.413645833331</v>
      </c>
      <c r="I404" s="10">
        <v>45670.48196759259</v>
      </c>
      <c r="J404" s="10">
        <v>45670.48296296296</v>
      </c>
      <c r="K404" s="11">
        <f t="shared" si="12"/>
        <v>3.5104166665405501E-2</v>
      </c>
      <c r="L404" s="11">
        <f t="shared" si="13"/>
        <v>0.13819444443652174</v>
      </c>
    </row>
    <row r="405" spans="1:12" x14ac:dyDescent="0.25">
      <c r="A405" s="3" t="s">
        <v>1475</v>
      </c>
      <c r="B405" s="3" t="s">
        <v>246</v>
      </c>
      <c r="C405" s="10">
        <v>45670.304513888892</v>
      </c>
      <c r="D405" s="10">
        <v>45670.307256944441</v>
      </c>
      <c r="E405" s="10">
        <v>45670.343773148154</v>
      </c>
      <c r="F405" s="10">
        <v>45670.345706018517</v>
      </c>
      <c r="G405" s="3" t="s">
        <v>1400</v>
      </c>
      <c r="H405" s="10">
        <v>45670.349606481483</v>
      </c>
      <c r="I405" s="10">
        <v>45670.381458333337</v>
      </c>
      <c r="J405" s="10">
        <v>45670.382349537038</v>
      </c>
      <c r="K405" s="11">
        <f t="shared" si="12"/>
        <v>3.6516203712380957E-2</v>
      </c>
      <c r="L405" s="11">
        <f t="shared" si="13"/>
        <v>3.5752314819546882E-2</v>
      </c>
    </row>
    <row r="406" spans="1:12" x14ac:dyDescent="0.25">
      <c r="A406" s="3" t="s">
        <v>1477</v>
      </c>
      <c r="B406" s="3" t="s">
        <v>246</v>
      </c>
      <c r="C406" s="10">
        <v>45670.304513888892</v>
      </c>
      <c r="D406" s="10">
        <v>45670.307256944441</v>
      </c>
      <c r="E406" s="10">
        <v>45670.345706018517</v>
      </c>
      <c r="F406" s="10">
        <v>45670.34746527778</v>
      </c>
      <c r="G406" s="3" t="s">
        <v>1428</v>
      </c>
      <c r="H406" s="10">
        <v>45671.650451388887</v>
      </c>
      <c r="I406" s="10">
        <v>45671.67769675926</v>
      </c>
      <c r="J406" s="10">
        <v>45671.678564814807</v>
      </c>
      <c r="K406" s="11">
        <f t="shared" si="12"/>
        <v>3.8449074076197576E-2</v>
      </c>
      <c r="L406" s="11">
        <f t="shared" si="13"/>
        <v>1.3302314814791316</v>
      </c>
    </row>
    <row r="407" spans="1:12" x14ac:dyDescent="0.25">
      <c r="A407" s="3" t="s">
        <v>1479</v>
      </c>
      <c r="B407" s="3" t="s">
        <v>246</v>
      </c>
      <c r="C407" s="10">
        <v>45670.304513888892</v>
      </c>
      <c r="D407" s="10">
        <v>45670.307256944441</v>
      </c>
      <c r="E407" s="10">
        <v>45670.34746527778</v>
      </c>
      <c r="F407" s="10">
        <v>45670.34920138889</v>
      </c>
      <c r="G407" s="3" t="s">
        <v>1466</v>
      </c>
      <c r="H407" s="10">
        <v>45670.413414351853</v>
      </c>
      <c r="I407" s="10">
        <v>45670.46769675926</v>
      </c>
      <c r="J407" s="10">
        <v>45670.468634259261</v>
      </c>
      <c r="K407" s="11">
        <f t="shared" si="12"/>
        <v>4.0208333339251112E-2</v>
      </c>
      <c r="L407" s="11">
        <f t="shared" si="13"/>
        <v>0.1184953703705105</v>
      </c>
    </row>
    <row r="408" spans="1:12" x14ac:dyDescent="0.25">
      <c r="A408" s="3" t="s">
        <v>1481</v>
      </c>
      <c r="B408" s="3" t="s">
        <v>246</v>
      </c>
      <c r="C408" s="10">
        <v>45670.304513888892</v>
      </c>
      <c r="D408" s="10">
        <v>45670.307256944441</v>
      </c>
      <c r="E408" s="10">
        <v>45670.34920138889</v>
      </c>
      <c r="F408" s="10">
        <v>45670.350381944438</v>
      </c>
      <c r="G408" s="3" t="s">
        <v>1290</v>
      </c>
      <c r="H408" s="10">
        <v>45670.401736111111</v>
      </c>
      <c r="I408" s="10">
        <v>45670.437557870369</v>
      </c>
      <c r="J408" s="10">
        <v>45670.438252314823</v>
      </c>
      <c r="K408" s="11">
        <f t="shared" si="12"/>
        <v>4.1944444448745344E-2</v>
      </c>
      <c r="L408" s="11">
        <f t="shared" si="13"/>
        <v>8.7175925931660458E-2</v>
      </c>
    </row>
    <row r="409" spans="1:12" x14ac:dyDescent="0.25">
      <c r="A409" s="3" t="s">
        <v>1483</v>
      </c>
      <c r="B409" s="3" t="s">
        <v>246</v>
      </c>
      <c r="C409" s="10">
        <v>45670.304513888892</v>
      </c>
      <c r="D409" s="10">
        <v>45670.307256944441</v>
      </c>
      <c r="E409" s="10">
        <v>45670.350381944438</v>
      </c>
      <c r="F409" s="10">
        <v>45670.351666666669</v>
      </c>
      <c r="G409" s="3" t="s">
        <v>1439</v>
      </c>
      <c r="H409" s="10">
        <v>45670.405671296299</v>
      </c>
      <c r="I409" s="10">
        <v>45670.449386574073</v>
      </c>
      <c r="J409" s="10">
        <v>45670.450104166674</v>
      </c>
      <c r="K409" s="11">
        <f t="shared" si="12"/>
        <v>4.312499999650754E-2</v>
      </c>
      <c r="L409" s="11">
        <f t="shared" si="13"/>
        <v>9.7719907404098194E-2</v>
      </c>
    </row>
    <row r="410" spans="1:12" x14ac:dyDescent="0.25">
      <c r="A410" s="3" t="s">
        <v>1485</v>
      </c>
      <c r="B410" s="3" t="s">
        <v>247</v>
      </c>
      <c r="C410" s="10">
        <v>45670.375069444453</v>
      </c>
      <c r="D410" s="10">
        <v>45670.377569444441</v>
      </c>
      <c r="E410" s="10">
        <v>45670.385243055563</v>
      </c>
      <c r="F410" s="10">
        <v>45670.387881944444</v>
      </c>
      <c r="G410" s="3" t="s">
        <v>1486</v>
      </c>
      <c r="H410" s="10">
        <v>45670.390243055554</v>
      </c>
      <c r="I410" s="10">
        <v>45670.43954861111</v>
      </c>
      <c r="J410" s="10">
        <v>45670.440694444442</v>
      </c>
      <c r="K410" s="11">
        <f t="shared" si="12"/>
        <v>7.673611122299917E-3</v>
      </c>
      <c r="L410" s="11">
        <f t="shared" si="13"/>
        <v>5.1666666666278616E-2</v>
      </c>
    </row>
    <row r="411" spans="1:12" x14ac:dyDescent="0.25">
      <c r="A411" s="3" t="s">
        <v>1488</v>
      </c>
      <c r="B411" s="3" t="s">
        <v>247</v>
      </c>
      <c r="C411" s="10">
        <v>45670.375069444453</v>
      </c>
      <c r="D411" s="10">
        <v>45670.377569444441</v>
      </c>
      <c r="E411" s="10">
        <v>45670.387881944444</v>
      </c>
      <c r="F411" s="10">
        <v>45670.389386574083</v>
      </c>
      <c r="G411" s="3" t="s">
        <v>1139</v>
      </c>
      <c r="H411" s="10">
        <v>45670.393287037034</v>
      </c>
      <c r="I411" s="10">
        <v>45670.425902777781</v>
      </c>
      <c r="J411" s="10">
        <v>45670.426874999997</v>
      </c>
      <c r="K411" s="11">
        <f t="shared" si="12"/>
        <v>1.0312500002328306E-2</v>
      </c>
      <c r="L411" s="11">
        <f t="shared" si="13"/>
        <v>3.6516203697829042E-2</v>
      </c>
    </row>
    <row r="412" spans="1:12" x14ac:dyDescent="0.25">
      <c r="A412" s="3" t="s">
        <v>1490</v>
      </c>
      <c r="B412" s="3" t="s">
        <v>248</v>
      </c>
      <c r="C412" s="10">
        <v>45670.37604166667</v>
      </c>
      <c r="D412" s="10">
        <v>45670.378229166658</v>
      </c>
      <c r="E412" s="10">
        <v>45670.395138888889</v>
      </c>
      <c r="F412" s="10">
        <v>45670.39702546296</v>
      </c>
      <c r="G412" s="3" t="s">
        <v>1376</v>
      </c>
      <c r="H412" s="10">
        <v>45671.436562499999</v>
      </c>
      <c r="I412" s="10">
        <v>45671.47991898148</v>
      </c>
      <c r="J412" s="10">
        <v>45671.480578703697</v>
      </c>
      <c r="K412" s="11">
        <f t="shared" si="12"/>
        <v>1.690972223150311E-2</v>
      </c>
      <c r="L412" s="11">
        <f t="shared" si="13"/>
        <v>1.0828935185199953</v>
      </c>
    </row>
    <row r="413" spans="1:12" x14ac:dyDescent="0.25">
      <c r="A413" s="3" t="s">
        <v>1492</v>
      </c>
      <c r="B413" s="3" t="s">
        <v>248</v>
      </c>
      <c r="C413" s="10">
        <v>45670.37604166667</v>
      </c>
      <c r="D413" s="10">
        <v>45670.378229166658</v>
      </c>
      <c r="E413" s="10">
        <v>45670.39702546296</v>
      </c>
      <c r="F413" s="10">
        <v>45670.3981712963</v>
      </c>
      <c r="G413" s="3" t="s">
        <v>1290</v>
      </c>
      <c r="H413" s="10">
        <v>45670.401736111111</v>
      </c>
      <c r="I413" s="10">
        <v>45670.437557870369</v>
      </c>
      <c r="J413" s="10">
        <v>45670.438252314823</v>
      </c>
      <c r="K413" s="11">
        <f t="shared" si="12"/>
        <v>1.8796296302753035E-2</v>
      </c>
      <c r="L413" s="11">
        <f t="shared" si="13"/>
        <v>3.9386574069794733E-2</v>
      </c>
    </row>
    <row r="414" spans="1:12" x14ac:dyDescent="0.25">
      <c r="A414" s="3" t="s">
        <v>1494</v>
      </c>
      <c r="B414" s="3" t="s">
        <v>248</v>
      </c>
      <c r="C414" s="10">
        <v>45670.37604166667</v>
      </c>
      <c r="D414" s="10">
        <v>45670.378229166658</v>
      </c>
      <c r="E414" s="10">
        <v>45670.3981712963</v>
      </c>
      <c r="F414" s="10">
        <v>45670.399525462963</v>
      </c>
      <c r="G414" s="3" t="s">
        <v>1439</v>
      </c>
      <c r="H414" s="10">
        <v>45670.405671296299</v>
      </c>
      <c r="I414" s="10">
        <v>45670.449386574073</v>
      </c>
      <c r="J414" s="10">
        <v>45670.450104166674</v>
      </c>
      <c r="K414" s="11">
        <f t="shared" si="12"/>
        <v>1.9942129642004147E-2</v>
      </c>
      <c r="L414" s="11">
        <f t="shared" si="13"/>
        <v>4.9861111110658385E-2</v>
      </c>
    </row>
    <row r="415" spans="1:12" x14ac:dyDescent="0.25">
      <c r="A415" s="3" t="s">
        <v>1496</v>
      </c>
      <c r="B415" s="3" t="s">
        <v>248</v>
      </c>
      <c r="C415" s="10">
        <v>45670.37604166667</v>
      </c>
      <c r="D415" s="10">
        <v>45670.378229166658</v>
      </c>
      <c r="E415" s="10">
        <v>45670.399525462963</v>
      </c>
      <c r="F415" s="10">
        <v>45670.40121527778</v>
      </c>
      <c r="G415" s="3" t="s">
        <v>1466</v>
      </c>
      <c r="H415" s="10">
        <v>45670.413414351853</v>
      </c>
      <c r="I415" s="10">
        <v>45670.46769675926</v>
      </c>
      <c r="J415" s="10">
        <v>45670.468634259261</v>
      </c>
      <c r="K415" s="11">
        <f t="shared" si="12"/>
        <v>2.1296296305081341E-2</v>
      </c>
      <c r="L415" s="11">
        <f t="shared" si="13"/>
        <v>6.6481481480877846E-2</v>
      </c>
    </row>
    <row r="416" spans="1:12" x14ac:dyDescent="0.25">
      <c r="A416" s="3" t="s">
        <v>1498</v>
      </c>
      <c r="B416" s="3" t="s">
        <v>248</v>
      </c>
      <c r="C416" s="10">
        <v>45670.37604166667</v>
      </c>
      <c r="D416" s="10">
        <v>45670.378229166658</v>
      </c>
      <c r="E416" s="10">
        <v>45670.40121527778</v>
      </c>
      <c r="F416" s="10">
        <v>45670.402361111112</v>
      </c>
      <c r="G416" s="3" t="s">
        <v>1499</v>
      </c>
      <c r="H416" s="10">
        <v>45670.615787037037</v>
      </c>
      <c r="I416" s="10">
        <v>45670.684074074074</v>
      </c>
      <c r="J416" s="10">
        <v>45670.685439814813</v>
      </c>
      <c r="K416" s="11">
        <f t="shared" si="12"/>
        <v>2.2986111122008879E-2</v>
      </c>
      <c r="L416" s="11">
        <f t="shared" si="13"/>
        <v>0.28171296296204673</v>
      </c>
    </row>
    <row r="417" spans="1:12" x14ac:dyDescent="0.25">
      <c r="A417" s="3" t="s">
        <v>1501</v>
      </c>
      <c r="B417" s="3" t="s">
        <v>248</v>
      </c>
      <c r="C417" s="10">
        <v>45670.37604166667</v>
      </c>
      <c r="D417" s="10">
        <v>45670.378229166658</v>
      </c>
      <c r="E417" s="10">
        <v>45670.402361111112</v>
      </c>
      <c r="F417" s="10">
        <v>45670.403611111113</v>
      </c>
      <c r="G417" s="3" t="s">
        <v>1502</v>
      </c>
      <c r="H417" s="10">
        <v>45670.524826388893</v>
      </c>
      <c r="I417" s="10">
        <v>45670.583726851852</v>
      </c>
      <c r="J417" s="10">
        <v>45670.585046296299</v>
      </c>
      <c r="K417" s="11">
        <f t="shared" si="12"/>
        <v>2.4131944453984033E-2</v>
      </c>
      <c r="L417" s="11">
        <f t="shared" si="13"/>
        <v>0.18011574073898373</v>
      </c>
    </row>
    <row r="418" spans="1:12" x14ac:dyDescent="0.25">
      <c r="A418" s="3" t="s">
        <v>1504</v>
      </c>
      <c r="B418" s="3" t="s">
        <v>248</v>
      </c>
      <c r="C418" s="10">
        <v>45670.37604166667</v>
      </c>
      <c r="D418" s="10">
        <v>45670.378229166658</v>
      </c>
      <c r="E418" s="10">
        <v>45670.403611111113</v>
      </c>
      <c r="F418" s="10">
        <v>45670.405219907407</v>
      </c>
      <c r="G418" s="3" t="s">
        <v>1456</v>
      </c>
      <c r="H418" s="10">
        <v>45670.413645833331</v>
      </c>
      <c r="I418" s="10">
        <v>45670.48196759259</v>
      </c>
      <c r="J418" s="10">
        <v>45670.48296296296</v>
      </c>
      <c r="K418" s="11">
        <f t="shared" si="12"/>
        <v>2.5381944455148187E-2</v>
      </c>
      <c r="L418" s="11">
        <f t="shared" si="13"/>
        <v>7.6747685183363501E-2</v>
      </c>
    </row>
    <row r="419" spans="1:12" x14ac:dyDescent="0.25">
      <c r="A419" s="3" t="s">
        <v>1506</v>
      </c>
      <c r="B419" s="3" t="s">
        <v>248</v>
      </c>
      <c r="C419" s="10">
        <v>45670.37604166667</v>
      </c>
      <c r="D419" s="10">
        <v>45670.378229166658</v>
      </c>
      <c r="E419" s="10">
        <v>45670.405219907407</v>
      </c>
      <c r="F419" s="10">
        <v>45670.407129629632</v>
      </c>
      <c r="G419" s="3" t="s">
        <v>1466</v>
      </c>
      <c r="H419" s="10">
        <v>45670.413414351853</v>
      </c>
      <c r="I419" s="10">
        <v>45670.46769675926</v>
      </c>
      <c r="J419" s="10">
        <v>45670.468634259261</v>
      </c>
      <c r="K419" s="11">
        <f t="shared" si="12"/>
        <v>2.6990740749170072E-2</v>
      </c>
      <c r="L419" s="11">
        <f t="shared" si="13"/>
        <v>6.0567129628907423E-2</v>
      </c>
    </row>
    <row r="420" spans="1:12" x14ac:dyDescent="0.25">
      <c r="A420" s="3" t="s">
        <v>1508</v>
      </c>
      <c r="B420" s="3" t="s">
        <v>248</v>
      </c>
      <c r="C420" s="10">
        <v>45670.37604166667</v>
      </c>
      <c r="D420" s="10">
        <v>45670.378229166658</v>
      </c>
      <c r="E420" s="10">
        <v>45670.407129629632</v>
      </c>
      <c r="F420" s="10">
        <v>45670.40902777778</v>
      </c>
      <c r="G420" s="3" t="s">
        <v>1471</v>
      </c>
      <c r="H420" s="10">
        <v>45671.296840277777</v>
      </c>
      <c r="I420" s="10">
        <v>45671.331099537027</v>
      </c>
      <c r="J420" s="10">
        <v>45671.331921296303</v>
      </c>
      <c r="K420" s="11">
        <f t="shared" si="12"/>
        <v>2.8900462973979302E-2</v>
      </c>
      <c r="L420" s="11">
        <f t="shared" si="13"/>
        <v>0.92207175924704643</v>
      </c>
    </row>
    <row r="421" spans="1:12" x14ac:dyDescent="0.25">
      <c r="A421" s="3" t="s">
        <v>1510</v>
      </c>
      <c r="B421" s="3" t="s">
        <v>248</v>
      </c>
      <c r="C421" s="10">
        <v>45670.37604166667</v>
      </c>
      <c r="D421" s="10">
        <v>45670.378229166658</v>
      </c>
      <c r="E421" s="10">
        <v>45670.40902777778</v>
      </c>
      <c r="F421" s="10">
        <v>45670.41101851852</v>
      </c>
      <c r="G421" s="3" t="s">
        <v>1463</v>
      </c>
      <c r="H421" s="10">
        <v>45671.758935185193</v>
      </c>
      <c r="I421" s="10">
        <v>45671.798344907409</v>
      </c>
      <c r="J421" s="10">
        <v>45671.799166666657</v>
      </c>
      <c r="K421" s="11">
        <f t="shared" si="12"/>
        <v>3.0798611122008879E-2</v>
      </c>
      <c r="L421" s="11">
        <f t="shared" si="13"/>
        <v>1.3873263888890506</v>
      </c>
    </row>
    <row r="422" spans="1:12" x14ac:dyDescent="0.25">
      <c r="A422" s="3" t="s">
        <v>1512</v>
      </c>
      <c r="B422" s="3" t="s">
        <v>249</v>
      </c>
      <c r="C422" s="10">
        <v>45670.419004629628</v>
      </c>
      <c r="D422" s="10">
        <v>45670.421539351853</v>
      </c>
      <c r="E422" s="10">
        <v>45670.430833333332</v>
      </c>
      <c r="F422" s="10">
        <v>45670.433368055557</v>
      </c>
      <c r="G422" s="3" t="s">
        <v>1513</v>
      </c>
      <c r="H422" s="10">
        <v>45670.440520833326</v>
      </c>
      <c r="I422" s="10">
        <v>45670.497569444437</v>
      </c>
      <c r="J422" s="10">
        <v>45670.498738425929</v>
      </c>
      <c r="K422" s="11">
        <f t="shared" si="12"/>
        <v>9.29398147854954E-3</v>
      </c>
      <c r="L422" s="11">
        <f t="shared" si="13"/>
        <v>6.4201388879155274E-2</v>
      </c>
    </row>
    <row r="423" spans="1:12" x14ac:dyDescent="0.25">
      <c r="A423" s="3" t="s">
        <v>1515</v>
      </c>
      <c r="B423" s="3" t="s">
        <v>249</v>
      </c>
      <c r="C423" s="10">
        <v>45670.419004629628</v>
      </c>
      <c r="D423" s="10">
        <v>45670.421539351853</v>
      </c>
      <c r="E423" s="10">
        <v>45670.433368055557</v>
      </c>
      <c r="F423" s="10">
        <v>45670.435150462959</v>
      </c>
      <c r="G423" s="3" t="s">
        <v>1516</v>
      </c>
      <c r="H423" s="10">
        <v>45670.6875</v>
      </c>
      <c r="I423" s="10">
        <v>45670.723715277767</v>
      </c>
      <c r="J423" s="10">
        <v>45670.724687499998</v>
      </c>
      <c r="K423" s="11">
        <f t="shared" si="12"/>
        <v>1.1828703703940846E-2</v>
      </c>
      <c r="L423" s="11">
        <f t="shared" si="13"/>
        <v>0.28856481480761431</v>
      </c>
    </row>
    <row r="424" spans="1:12" x14ac:dyDescent="0.25">
      <c r="A424" s="3" t="s">
        <v>1518</v>
      </c>
      <c r="B424" s="3" t="s">
        <v>249</v>
      </c>
      <c r="C424" s="10">
        <v>45670.419004629628</v>
      </c>
      <c r="D424" s="10">
        <v>45670.421539351853</v>
      </c>
      <c r="E424" s="10">
        <v>45670.435150462959</v>
      </c>
      <c r="F424" s="10">
        <v>45670.436631944453</v>
      </c>
      <c r="G424" s="3" t="s">
        <v>1502</v>
      </c>
      <c r="H424" s="10">
        <v>45670.524826388893</v>
      </c>
      <c r="I424" s="10">
        <v>45670.583726851852</v>
      </c>
      <c r="J424" s="10">
        <v>45670.585046296299</v>
      </c>
      <c r="K424" s="11">
        <f t="shared" si="12"/>
        <v>1.3611111106001772E-2</v>
      </c>
      <c r="L424" s="11">
        <f t="shared" si="13"/>
        <v>0.14709490739915054</v>
      </c>
    </row>
    <row r="425" spans="1:12" x14ac:dyDescent="0.25">
      <c r="A425" s="3" t="s">
        <v>1520</v>
      </c>
      <c r="B425" s="3" t="s">
        <v>250</v>
      </c>
      <c r="C425" s="10">
        <v>45670.51152777778</v>
      </c>
      <c r="D425" s="10">
        <v>45670.513657407413</v>
      </c>
      <c r="E425" s="10">
        <v>45670.519108796303</v>
      </c>
      <c r="F425" s="10">
        <v>45670.520902777767</v>
      </c>
      <c r="G425" s="3" t="s">
        <v>1502</v>
      </c>
      <c r="H425" s="10">
        <v>45670.524826388893</v>
      </c>
      <c r="I425" s="10">
        <v>45670.583726851852</v>
      </c>
      <c r="J425" s="10">
        <v>45670.585046296299</v>
      </c>
      <c r="K425" s="11">
        <f t="shared" si="12"/>
        <v>5.4513888899236917E-3</v>
      </c>
      <c r="L425" s="11">
        <f t="shared" si="13"/>
        <v>6.2824074084346648E-2</v>
      </c>
    </row>
    <row r="426" spans="1:12" x14ac:dyDescent="0.25">
      <c r="A426" s="3" t="s">
        <v>1522</v>
      </c>
      <c r="B426" s="3" t="s">
        <v>251</v>
      </c>
      <c r="C426" s="10">
        <v>45670.602002314823</v>
      </c>
      <c r="D426" s="10">
        <v>45670.604490740741</v>
      </c>
      <c r="E426" s="10">
        <v>45670.611400462964</v>
      </c>
      <c r="F426" s="10">
        <v>45670.613425925927</v>
      </c>
      <c r="G426" s="3" t="s">
        <v>1499</v>
      </c>
      <c r="H426" s="10">
        <v>45670.615787037037</v>
      </c>
      <c r="I426" s="10">
        <v>45670.684074074074</v>
      </c>
      <c r="J426" s="10">
        <v>45670.685439814813</v>
      </c>
      <c r="K426" s="11">
        <f t="shared" si="12"/>
        <v>6.9097222221898846E-3</v>
      </c>
      <c r="L426" s="11">
        <f t="shared" si="13"/>
        <v>7.0648148146574385E-2</v>
      </c>
    </row>
    <row r="427" spans="1:12" x14ac:dyDescent="0.25">
      <c r="A427" s="3" t="s">
        <v>1524</v>
      </c>
      <c r="B427" s="3" t="s">
        <v>252</v>
      </c>
      <c r="C427" s="10">
        <v>45670.615451388891</v>
      </c>
      <c r="D427" s="10">
        <v>45670.617893518523</v>
      </c>
      <c r="E427" s="10">
        <v>45670.634432870371</v>
      </c>
      <c r="F427" s="10">
        <v>45670.635740740741</v>
      </c>
      <c r="G427" s="3" t="s">
        <v>1525</v>
      </c>
      <c r="H427" s="10">
        <v>45671.29824074074</v>
      </c>
      <c r="I427" s="10">
        <v>45671.326701388891</v>
      </c>
      <c r="J427" s="10">
        <v>45671.327361111107</v>
      </c>
      <c r="K427" s="11">
        <f t="shared" si="12"/>
        <v>1.653935184731381E-2</v>
      </c>
      <c r="L427" s="11">
        <f t="shared" si="13"/>
        <v>0.69096064814948477</v>
      </c>
    </row>
    <row r="428" spans="1:12" x14ac:dyDescent="0.25">
      <c r="A428" s="3" t="s">
        <v>1527</v>
      </c>
      <c r="B428" s="3" t="s">
        <v>252</v>
      </c>
      <c r="C428" s="10">
        <v>45670.615451388891</v>
      </c>
      <c r="D428" s="10">
        <v>45670.617893518523</v>
      </c>
      <c r="E428" s="10">
        <v>45670.635740740741</v>
      </c>
      <c r="F428" s="10">
        <v>45670.637928240743</v>
      </c>
      <c r="G428" s="3" t="s">
        <v>1528</v>
      </c>
      <c r="H428" s="10">
        <v>45670.645543981482</v>
      </c>
      <c r="I428" s="10">
        <v>45670.664756944447</v>
      </c>
      <c r="J428" s="10">
        <v>45670.665497685193</v>
      </c>
      <c r="K428" s="11">
        <f t="shared" si="12"/>
        <v>1.784722221782431E-2</v>
      </c>
      <c r="L428" s="11">
        <f t="shared" si="13"/>
        <v>2.6828703703358769E-2</v>
      </c>
    </row>
    <row r="429" spans="1:12" x14ac:dyDescent="0.25">
      <c r="A429" s="3" t="s">
        <v>1530</v>
      </c>
      <c r="B429" s="3" t="s">
        <v>252</v>
      </c>
      <c r="C429" s="10">
        <v>45670.615451388891</v>
      </c>
      <c r="D429" s="10">
        <v>45670.617893518523</v>
      </c>
      <c r="E429" s="10">
        <v>45670.637928240743</v>
      </c>
      <c r="F429" s="10">
        <v>45670.639606481483</v>
      </c>
      <c r="G429" s="3" t="s">
        <v>1264</v>
      </c>
      <c r="H429" s="10">
        <v>45671.397326388891</v>
      </c>
      <c r="I429" s="10">
        <v>45671.458148148151</v>
      </c>
      <c r="J429" s="10">
        <v>45671.459537037037</v>
      </c>
      <c r="K429" s="11">
        <f t="shared" si="12"/>
        <v>2.0034722219861578E-2</v>
      </c>
      <c r="L429" s="11">
        <f t="shared" si="13"/>
        <v>0.81854166666744277</v>
      </c>
    </row>
    <row r="430" spans="1:12" x14ac:dyDescent="0.25">
      <c r="A430" s="3" t="s">
        <v>1532</v>
      </c>
      <c r="B430" s="3" t="s">
        <v>252</v>
      </c>
      <c r="C430" s="10">
        <v>45670.615451388891</v>
      </c>
      <c r="D430" s="10">
        <v>45670.617893518523</v>
      </c>
      <c r="E430" s="10">
        <v>45670.639606481483</v>
      </c>
      <c r="F430" s="10">
        <v>45670.641643518517</v>
      </c>
      <c r="G430" s="3" t="s">
        <v>1528</v>
      </c>
      <c r="H430" s="10">
        <v>45670.645543981482</v>
      </c>
      <c r="I430" s="10">
        <v>45670.664756944447</v>
      </c>
      <c r="J430" s="10">
        <v>45670.665497685193</v>
      </c>
      <c r="K430" s="11">
        <f t="shared" si="12"/>
        <v>2.1712962960009463E-2</v>
      </c>
      <c r="L430" s="11">
        <f t="shared" si="13"/>
        <v>2.3113425930205267E-2</v>
      </c>
    </row>
    <row r="431" spans="1:12" x14ac:dyDescent="0.25">
      <c r="A431" s="3" t="s">
        <v>1534</v>
      </c>
      <c r="B431" s="3" t="s">
        <v>252</v>
      </c>
      <c r="C431" s="10">
        <v>45670.615451388891</v>
      </c>
      <c r="D431" s="10">
        <v>45670.617893518523</v>
      </c>
      <c r="E431" s="10">
        <v>45670.641643518517</v>
      </c>
      <c r="F431" s="10">
        <v>45670.64340277778</v>
      </c>
      <c r="G431" s="3" t="s">
        <v>1428</v>
      </c>
      <c r="H431" s="10">
        <v>45671.650451388887</v>
      </c>
      <c r="I431" s="10">
        <v>45671.67769675926</v>
      </c>
      <c r="J431" s="10">
        <v>45671.678564814807</v>
      </c>
      <c r="K431" s="11">
        <f t="shared" si="12"/>
        <v>2.3749999993015081E-2</v>
      </c>
      <c r="L431" s="11">
        <f t="shared" si="13"/>
        <v>1.0342939814800047</v>
      </c>
    </row>
    <row r="432" spans="1:12" x14ac:dyDescent="0.25">
      <c r="A432" s="3" t="s">
        <v>1536</v>
      </c>
      <c r="B432" s="3" t="s">
        <v>252</v>
      </c>
      <c r="C432" s="10">
        <v>45670.615451388891</v>
      </c>
      <c r="D432" s="10">
        <v>45670.617893518523</v>
      </c>
      <c r="E432" s="10">
        <v>45670.64340277778</v>
      </c>
      <c r="F432" s="10">
        <v>45670.645312499997</v>
      </c>
      <c r="G432" s="3" t="s">
        <v>1376</v>
      </c>
      <c r="H432" s="10">
        <v>45671.436562499999</v>
      </c>
      <c r="I432" s="10">
        <v>45671.47991898148</v>
      </c>
      <c r="J432" s="10">
        <v>45671.480578703697</v>
      </c>
      <c r="K432" s="11">
        <f t="shared" si="12"/>
        <v>2.5509259256068617E-2</v>
      </c>
      <c r="L432" s="11">
        <f t="shared" si="13"/>
        <v>0.83460648148320615</v>
      </c>
    </row>
    <row r="433" spans="1:12" x14ac:dyDescent="0.25">
      <c r="A433" s="3" t="s">
        <v>1538</v>
      </c>
      <c r="B433" s="3" t="s">
        <v>252</v>
      </c>
      <c r="C433" s="10">
        <v>45670.615451388891</v>
      </c>
      <c r="D433" s="10">
        <v>45670.617893518523</v>
      </c>
      <c r="E433" s="10">
        <v>45670.645312499997</v>
      </c>
      <c r="F433" s="10">
        <v>45670.647048611107</v>
      </c>
      <c r="G433" s="3" t="s">
        <v>1539</v>
      </c>
      <c r="H433" s="10">
        <v>45671.117708333331</v>
      </c>
      <c r="I433" s="10">
        <v>45671.140231481477</v>
      </c>
      <c r="J433" s="10">
        <v>45671.141122685192</v>
      </c>
      <c r="K433" s="11">
        <f t="shared" si="12"/>
        <v>2.7418981473601889E-2</v>
      </c>
      <c r="L433" s="11">
        <f t="shared" si="13"/>
        <v>0.49318287037021946</v>
      </c>
    </row>
    <row r="434" spans="1:12" x14ac:dyDescent="0.25">
      <c r="A434" s="3" t="s">
        <v>1541</v>
      </c>
      <c r="B434" s="3" t="s">
        <v>252</v>
      </c>
      <c r="C434" s="10">
        <v>45670.615451388891</v>
      </c>
      <c r="D434" s="10">
        <v>45670.617893518523</v>
      </c>
      <c r="E434" s="10">
        <v>45670.647048611107</v>
      </c>
      <c r="F434" s="10">
        <v>45670.649097222216</v>
      </c>
      <c r="G434" s="3" t="s">
        <v>1542</v>
      </c>
      <c r="H434" s="10">
        <v>45672.122870370367</v>
      </c>
      <c r="I434" s="10">
        <v>45672.155173611107</v>
      </c>
      <c r="J434" s="10">
        <v>45672.156134259261</v>
      </c>
      <c r="K434" s="11">
        <f t="shared" si="12"/>
        <v>2.9155092583096121E-2</v>
      </c>
      <c r="L434" s="11">
        <f t="shared" si="13"/>
        <v>1.5060763888905058</v>
      </c>
    </row>
    <row r="435" spans="1:12" x14ac:dyDescent="0.25">
      <c r="A435" s="3" t="s">
        <v>1544</v>
      </c>
      <c r="B435" s="3" t="s">
        <v>252</v>
      </c>
      <c r="C435" s="10">
        <v>45670.615451388891</v>
      </c>
      <c r="D435" s="10">
        <v>45670.617893518523</v>
      </c>
      <c r="E435" s="10">
        <v>45670.649097222216</v>
      </c>
      <c r="F435" s="10">
        <v>45670.651053240741</v>
      </c>
      <c r="G435" s="3" t="s">
        <v>1463</v>
      </c>
      <c r="H435" s="10">
        <v>45671.758935185193</v>
      </c>
      <c r="I435" s="10">
        <v>45671.798344907409</v>
      </c>
      <c r="J435" s="10">
        <v>45671.799166666657</v>
      </c>
      <c r="K435" s="11">
        <f t="shared" si="12"/>
        <v>3.120370369288139E-2</v>
      </c>
      <c r="L435" s="11">
        <f t="shared" si="13"/>
        <v>1.1472916666680248</v>
      </c>
    </row>
    <row r="436" spans="1:12" x14ac:dyDescent="0.25">
      <c r="A436" s="3" t="s">
        <v>1546</v>
      </c>
      <c r="B436" s="3" t="s">
        <v>252</v>
      </c>
      <c r="C436" s="10">
        <v>45670.615451388891</v>
      </c>
      <c r="D436" s="10">
        <v>45670.617893518523</v>
      </c>
      <c r="E436" s="10">
        <v>45670.651053240741</v>
      </c>
      <c r="F436" s="10">
        <v>45670.653032407397</v>
      </c>
      <c r="G436" s="3" t="s">
        <v>1471</v>
      </c>
      <c r="H436" s="10">
        <v>45671.296840277777</v>
      </c>
      <c r="I436" s="10">
        <v>45671.331099537027</v>
      </c>
      <c r="J436" s="10">
        <v>45671.331921296303</v>
      </c>
      <c r="K436" s="11">
        <f t="shared" si="12"/>
        <v>3.3159722217533272E-2</v>
      </c>
      <c r="L436" s="11">
        <f t="shared" si="13"/>
        <v>0.67806712962919846</v>
      </c>
    </row>
    <row r="437" spans="1:12" x14ac:dyDescent="0.25">
      <c r="A437" s="3" t="s">
        <v>1548</v>
      </c>
      <c r="B437" s="3" t="s">
        <v>252</v>
      </c>
      <c r="C437" s="10">
        <v>45670.615451388891</v>
      </c>
      <c r="D437" s="10">
        <v>45670.617893518523</v>
      </c>
      <c r="E437" s="10">
        <v>45670.653032407397</v>
      </c>
      <c r="F437" s="10">
        <v>45670.654537037037</v>
      </c>
      <c r="G437" s="3" t="s">
        <v>1390</v>
      </c>
      <c r="H437" s="10">
        <v>45670.660173611112</v>
      </c>
      <c r="I437" s="10">
        <v>45670.682766203703</v>
      </c>
      <c r="J437" s="10">
        <v>45670.683587962973</v>
      </c>
      <c r="K437" s="11">
        <f t="shared" si="12"/>
        <v>3.5138888873916585E-2</v>
      </c>
      <c r="L437" s="11">
        <f t="shared" si="13"/>
        <v>2.8229166666278616E-2</v>
      </c>
    </row>
    <row r="438" spans="1:12" x14ac:dyDescent="0.25">
      <c r="A438" s="3" t="s">
        <v>1550</v>
      </c>
      <c r="B438" s="3" t="s">
        <v>253</v>
      </c>
      <c r="C438" s="10">
        <v>45670.639421296299</v>
      </c>
      <c r="D438" s="10">
        <v>45670.641481481478</v>
      </c>
      <c r="E438" s="10">
        <v>45670.655405092592</v>
      </c>
      <c r="F438" s="10">
        <v>45670.657638888893</v>
      </c>
      <c r="G438" s="3" t="s">
        <v>1551</v>
      </c>
      <c r="H438" s="10">
        <v>45670.66033564815</v>
      </c>
      <c r="I438" s="10">
        <v>45670.734768518523</v>
      </c>
      <c r="J438" s="10">
        <v>45670.736168981479</v>
      </c>
      <c r="K438" s="11">
        <f t="shared" si="12"/>
        <v>1.3923611113568768E-2</v>
      </c>
      <c r="L438" s="11">
        <f t="shared" si="13"/>
        <v>7.7129629629780538E-2</v>
      </c>
    </row>
    <row r="439" spans="1:12" x14ac:dyDescent="0.25">
      <c r="A439" s="3" t="s">
        <v>1553</v>
      </c>
      <c r="B439" s="3" t="s">
        <v>254</v>
      </c>
      <c r="C439" s="10">
        <v>45670.667164351849</v>
      </c>
      <c r="D439" s="10">
        <v>45670.669652777768</v>
      </c>
      <c r="E439" s="10">
        <v>45670.677662037036</v>
      </c>
      <c r="F439" s="10">
        <v>45670.679722222223</v>
      </c>
      <c r="G439" s="3" t="s">
        <v>1516</v>
      </c>
      <c r="H439" s="10">
        <v>45670.6875</v>
      </c>
      <c r="I439" s="10">
        <v>45670.723715277767</v>
      </c>
      <c r="J439" s="10">
        <v>45670.724687499998</v>
      </c>
      <c r="K439" s="11">
        <f t="shared" si="12"/>
        <v>8.0092592688743025E-3</v>
      </c>
      <c r="L439" s="11">
        <f t="shared" si="13"/>
        <v>4.3993055543978699E-2</v>
      </c>
    </row>
    <row r="440" spans="1:12" x14ac:dyDescent="0.25">
      <c r="A440" s="3" t="s">
        <v>1555</v>
      </c>
      <c r="B440" s="3" t="s">
        <v>254</v>
      </c>
      <c r="C440" s="10">
        <v>45670.667164351849</v>
      </c>
      <c r="D440" s="10">
        <v>45670.669652777768</v>
      </c>
      <c r="E440" s="10">
        <v>45670.679722222223</v>
      </c>
      <c r="F440" s="10">
        <v>45670.682245370372</v>
      </c>
      <c r="G440" s="3" t="s">
        <v>1556</v>
      </c>
      <c r="H440" s="10">
        <v>45670.686030092591</v>
      </c>
      <c r="I440" s="10">
        <v>45670.726782407408</v>
      </c>
      <c r="J440" s="10">
        <v>45670.727812500001</v>
      </c>
      <c r="K440" s="11">
        <f t="shared" si="12"/>
        <v>1.0069444455439225E-2</v>
      </c>
      <c r="L440" s="11">
        <f t="shared" si="13"/>
        <v>4.4537037036207039E-2</v>
      </c>
    </row>
    <row r="441" spans="1:12" x14ac:dyDescent="0.25">
      <c r="A441" s="3" t="s">
        <v>1558</v>
      </c>
      <c r="B441" s="3" t="s">
        <v>255</v>
      </c>
      <c r="C441" s="10">
        <v>45670.726840277777</v>
      </c>
      <c r="D441" s="10">
        <v>45670.728865740741</v>
      </c>
      <c r="E441" s="10">
        <v>45670.733935185177</v>
      </c>
      <c r="F441" s="10">
        <v>45670.735486111109</v>
      </c>
      <c r="G441" s="3" t="s">
        <v>1559</v>
      </c>
      <c r="H441" s="10">
        <v>45670.737881944442</v>
      </c>
      <c r="I441" s="10">
        <v>45670.77103009259</v>
      </c>
      <c r="J441" s="10">
        <v>45670.771932870368</v>
      </c>
      <c r="K441" s="11">
        <f t="shared" si="12"/>
        <v>5.0694444362306967E-3</v>
      </c>
      <c r="L441" s="11">
        <f t="shared" si="13"/>
        <v>3.5543981481168885E-2</v>
      </c>
    </row>
    <row r="442" spans="1:12" x14ac:dyDescent="0.25">
      <c r="A442" s="3" t="s">
        <v>1561</v>
      </c>
      <c r="B442" s="3" t="s">
        <v>256</v>
      </c>
      <c r="C442" s="10">
        <v>45670.877766203703</v>
      </c>
      <c r="D442" s="10">
        <v>45670.880254629628</v>
      </c>
      <c r="E442" s="10">
        <v>45670.887175925927</v>
      </c>
      <c r="F442" s="10">
        <v>45670.889201388891</v>
      </c>
      <c r="G442" s="3" t="s">
        <v>1562</v>
      </c>
      <c r="H442" s="10">
        <v>45670.891597222217</v>
      </c>
      <c r="I442" s="10">
        <v>45670.960011574083</v>
      </c>
      <c r="J442" s="10">
        <v>45670.961377314823</v>
      </c>
      <c r="K442" s="11">
        <f t="shared" si="12"/>
        <v>6.921296298969537E-3</v>
      </c>
      <c r="L442" s="11">
        <f t="shared" si="13"/>
        <v>7.0810185192385688E-2</v>
      </c>
    </row>
    <row r="443" spans="1:12" x14ac:dyDescent="0.25">
      <c r="A443" s="3" t="s">
        <v>1564</v>
      </c>
      <c r="B443" s="3" t="s">
        <v>257</v>
      </c>
      <c r="C443" s="10">
        <v>45671.102476851847</v>
      </c>
      <c r="D443" s="10">
        <v>45671.104409722233</v>
      </c>
      <c r="E443" s="10">
        <v>45671.112210648149</v>
      </c>
      <c r="F443" s="10">
        <v>45671.11414351852</v>
      </c>
      <c r="G443" s="3" t="s">
        <v>1539</v>
      </c>
      <c r="H443" s="10">
        <v>45671.117708333331</v>
      </c>
      <c r="I443" s="10">
        <v>45671.140231481477</v>
      </c>
      <c r="J443" s="10">
        <v>45671.141122685192</v>
      </c>
      <c r="K443" s="11">
        <f t="shared" si="12"/>
        <v>7.80092591594439E-3</v>
      </c>
      <c r="L443" s="11">
        <f t="shared" si="13"/>
        <v>2.6087962956808042E-2</v>
      </c>
    </row>
    <row r="444" spans="1:12" x14ac:dyDescent="0.25">
      <c r="A444" s="3" t="s">
        <v>1566</v>
      </c>
      <c r="B444" s="3" t="s">
        <v>257</v>
      </c>
      <c r="C444" s="10">
        <v>45671.102476851847</v>
      </c>
      <c r="D444" s="10">
        <v>45671.104409722233</v>
      </c>
      <c r="E444" s="10">
        <v>45671.11414351852</v>
      </c>
      <c r="F444" s="10">
        <v>45671.115416666667</v>
      </c>
      <c r="G444" s="3" t="s">
        <v>1567</v>
      </c>
      <c r="H444" s="10">
        <v>45671.761597222219</v>
      </c>
      <c r="I444" s="10">
        <v>45671.794722222221</v>
      </c>
      <c r="J444" s="10">
        <v>45671.79550925926</v>
      </c>
      <c r="K444" s="11">
        <f t="shared" si="12"/>
        <v>9.7337962870369665E-3</v>
      </c>
      <c r="L444" s="11">
        <f t="shared" si="13"/>
        <v>0.67930555555358296</v>
      </c>
    </row>
    <row r="445" spans="1:12" x14ac:dyDescent="0.25">
      <c r="A445" s="3" t="s">
        <v>1569</v>
      </c>
      <c r="B445" s="3" t="s">
        <v>257</v>
      </c>
      <c r="C445" s="10">
        <v>45671.102476851847</v>
      </c>
      <c r="D445" s="10">
        <v>45671.104409722233</v>
      </c>
      <c r="E445" s="10">
        <v>45671.115416666667</v>
      </c>
      <c r="F445" s="10">
        <v>45671.117361111108</v>
      </c>
      <c r="G445" s="3" t="s">
        <v>1542</v>
      </c>
      <c r="H445" s="10">
        <v>45672.122870370367</v>
      </c>
      <c r="I445" s="10">
        <v>45672.155173611107</v>
      </c>
      <c r="J445" s="10">
        <v>45672.156134259261</v>
      </c>
      <c r="K445" s="11">
        <f t="shared" si="12"/>
        <v>1.1006944434484467E-2</v>
      </c>
      <c r="L445" s="11">
        <f t="shared" si="13"/>
        <v>1.0378124999988358</v>
      </c>
    </row>
    <row r="446" spans="1:12" x14ac:dyDescent="0.25">
      <c r="A446" s="3" t="s">
        <v>1571</v>
      </c>
      <c r="B446" s="3" t="s">
        <v>257</v>
      </c>
      <c r="C446" s="10">
        <v>45671.102476851847</v>
      </c>
      <c r="D446" s="10">
        <v>45671.104409722233</v>
      </c>
      <c r="E446" s="10">
        <v>45671.117361111108</v>
      </c>
      <c r="F446" s="10">
        <v>45671.11928240741</v>
      </c>
      <c r="G446" s="3" t="s">
        <v>1376</v>
      </c>
      <c r="H446" s="10">
        <v>45671.436562499999</v>
      </c>
      <c r="I446" s="10">
        <v>45671.47991898148</v>
      </c>
      <c r="J446" s="10">
        <v>45671.480578703697</v>
      </c>
      <c r="K446" s="11">
        <f t="shared" si="12"/>
        <v>1.2951388875080738E-2</v>
      </c>
      <c r="L446" s="11">
        <f t="shared" si="13"/>
        <v>0.36063657407066785</v>
      </c>
    </row>
    <row r="447" spans="1:12" x14ac:dyDescent="0.25">
      <c r="A447" s="3" t="s">
        <v>1573</v>
      </c>
      <c r="B447" s="3" t="s">
        <v>258</v>
      </c>
      <c r="C447" s="10">
        <v>45671.270497685182</v>
      </c>
      <c r="D447" s="10">
        <v>45671.272777777784</v>
      </c>
      <c r="E447" s="10">
        <v>45671.278912037043</v>
      </c>
      <c r="F447" s="10">
        <v>45671.280729166669</v>
      </c>
      <c r="G447" s="3" t="s">
        <v>1574</v>
      </c>
      <c r="H447" s="10">
        <v>45671.283101851863</v>
      </c>
      <c r="I447" s="10">
        <v>45671.335532407407</v>
      </c>
      <c r="J447" s="10">
        <v>45671.336689814823</v>
      </c>
      <c r="K447" s="11">
        <f t="shared" si="12"/>
        <v>6.1342592598521151E-3</v>
      </c>
      <c r="L447" s="11">
        <f t="shared" si="13"/>
        <v>5.4803240738692693E-2</v>
      </c>
    </row>
    <row r="448" spans="1:12" x14ac:dyDescent="0.25">
      <c r="A448" s="3" t="s">
        <v>1576</v>
      </c>
      <c r="B448" s="3" t="s">
        <v>259</v>
      </c>
      <c r="C448" s="10">
        <v>45671.276365740741</v>
      </c>
      <c r="D448" s="10">
        <v>45671.278356481482</v>
      </c>
      <c r="E448" s="10">
        <v>45671.290833333333</v>
      </c>
      <c r="F448" s="10">
        <v>45671.292939814812</v>
      </c>
      <c r="G448" s="3" t="s">
        <v>1471</v>
      </c>
      <c r="H448" s="10">
        <v>45671.296840277777</v>
      </c>
      <c r="I448" s="10">
        <v>45671.331099537027</v>
      </c>
      <c r="J448" s="10">
        <v>45671.331921296303</v>
      </c>
      <c r="K448" s="11">
        <f t="shared" si="12"/>
        <v>1.247685185080627E-2</v>
      </c>
      <c r="L448" s="11">
        <f t="shared" si="13"/>
        <v>3.8159722214913927E-2</v>
      </c>
    </row>
    <row r="449" spans="1:12" x14ac:dyDescent="0.25">
      <c r="A449" s="3" t="s">
        <v>1578</v>
      </c>
      <c r="B449" s="3" t="s">
        <v>259</v>
      </c>
      <c r="C449" s="10">
        <v>45671.276365740741</v>
      </c>
      <c r="D449" s="10">
        <v>45671.278356481482</v>
      </c>
      <c r="E449" s="10">
        <v>45671.292939814812</v>
      </c>
      <c r="F449" s="10">
        <v>45671.294317129628</v>
      </c>
      <c r="G449" s="3" t="s">
        <v>1525</v>
      </c>
      <c r="H449" s="10">
        <v>45671.29824074074</v>
      </c>
      <c r="I449" s="10">
        <v>45671.326701388891</v>
      </c>
      <c r="J449" s="10">
        <v>45671.327361111107</v>
      </c>
      <c r="K449" s="11">
        <f t="shared" si="12"/>
        <v>1.4583333329937886E-2</v>
      </c>
      <c r="L449" s="11">
        <f t="shared" si="13"/>
        <v>3.238425926247146E-2</v>
      </c>
    </row>
    <row r="450" spans="1:12" x14ac:dyDescent="0.25">
      <c r="A450" s="3" t="s">
        <v>1580</v>
      </c>
      <c r="B450" s="3" t="s">
        <v>259</v>
      </c>
      <c r="C450" s="10">
        <v>45671.276365740741</v>
      </c>
      <c r="D450" s="10">
        <v>45671.278356481482</v>
      </c>
      <c r="E450" s="10">
        <v>45671.294317129628</v>
      </c>
      <c r="F450" s="10">
        <v>45671.296400462961</v>
      </c>
      <c r="G450" s="3" t="s">
        <v>1581</v>
      </c>
      <c r="H450" s="10">
        <v>45671.425115740742</v>
      </c>
      <c r="I450" s="10">
        <v>45671.469201388893</v>
      </c>
      <c r="J450" s="10">
        <v>45671.470138888893</v>
      </c>
      <c r="K450" s="11">
        <f t="shared" ref="K450:K513" si="14">IF(AND(ISNUMBER(D450),ISNUMBER(E450)),(E450-D450),"")</f>
        <v>1.5960648146574385E-2</v>
      </c>
      <c r="L450" s="11">
        <f t="shared" ref="L450:L513" si="15">IF(AND(ISNUMBER(F450),ISNUMBER(I450)),(I450-F450),"")</f>
        <v>0.17280092593136942</v>
      </c>
    </row>
    <row r="451" spans="1:12" x14ac:dyDescent="0.25">
      <c r="A451" s="3" t="s">
        <v>1583</v>
      </c>
      <c r="B451" s="3" t="s">
        <v>259</v>
      </c>
      <c r="C451" s="10">
        <v>45671.276365740741</v>
      </c>
      <c r="D451" s="10">
        <v>45671.278356481482</v>
      </c>
      <c r="E451" s="10">
        <v>45671.296400462961</v>
      </c>
      <c r="F451" s="10">
        <v>45671.298113425917</v>
      </c>
      <c r="G451" s="3" t="s">
        <v>1584</v>
      </c>
      <c r="H451" s="10">
        <v>45671.430405092593</v>
      </c>
      <c r="I451" s="10">
        <v>45671.457303240742</v>
      </c>
      <c r="J451" s="10">
        <v>45671.458148148151</v>
      </c>
      <c r="K451" s="11">
        <f t="shared" si="14"/>
        <v>1.8043981479422655E-2</v>
      </c>
      <c r="L451" s="11">
        <f t="shared" si="15"/>
        <v>0.15918981482536765</v>
      </c>
    </row>
    <row r="452" spans="1:12" x14ac:dyDescent="0.25">
      <c r="A452" s="3" t="s">
        <v>1586</v>
      </c>
      <c r="B452" s="3" t="s">
        <v>259</v>
      </c>
      <c r="C452" s="10">
        <v>45671.276365740741</v>
      </c>
      <c r="D452" s="10">
        <v>45671.278356481482</v>
      </c>
      <c r="E452" s="10">
        <v>45671.298113425917</v>
      </c>
      <c r="F452" s="10">
        <v>45671.299421296288</v>
      </c>
      <c r="G452" s="3" t="s">
        <v>1567</v>
      </c>
      <c r="H452" s="10">
        <v>45671.761597222219</v>
      </c>
      <c r="I452" s="10">
        <v>45671.794722222221</v>
      </c>
      <c r="J452" s="10">
        <v>45671.79550925926</v>
      </c>
      <c r="K452" s="11">
        <f t="shared" si="14"/>
        <v>1.9756944435357582E-2</v>
      </c>
      <c r="L452" s="11">
        <f t="shared" si="15"/>
        <v>0.49530092593340669</v>
      </c>
    </row>
    <row r="453" spans="1:12" x14ac:dyDescent="0.25">
      <c r="A453" s="3" t="s">
        <v>1588</v>
      </c>
      <c r="B453" s="3" t="s">
        <v>259</v>
      </c>
      <c r="C453" s="10">
        <v>45671.276365740741</v>
      </c>
      <c r="D453" s="10">
        <v>45671.278356481482</v>
      </c>
      <c r="E453" s="10">
        <v>45671.299421296288</v>
      </c>
      <c r="F453" s="10">
        <v>45671.301446759258</v>
      </c>
      <c r="G453" s="3" t="s">
        <v>1581</v>
      </c>
      <c r="H453" s="10">
        <v>45671.425115740742</v>
      </c>
      <c r="I453" s="10">
        <v>45671.469201388893</v>
      </c>
      <c r="J453" s="10">
        <v>45671.470138888893</v>
      </c>
      <c r="K453" s="11">
        <f t="shared" si="14"/>
        <v>2.1064814805868082E-2</v>
      </c>
      <c r="L453" s="11">
        <f t="shared" si="15"/>
        <v>0.16775462963414611</v>
      </c>
    </row>
    <row r="454" spans="1:12" x14ac:dyDescent="0.25">
      <c r="A454" s="3" t="s">
        <v>1590</v>
      </c>
      <c r="B454" s="3" t="s">
        <v>259</v>
      </c>
      <c r="C454" s="10">
        <v>45671.276365740741</v>
      </c>
      <c r="D454" s="10">
        <v>45671.278356481482</v>
      </c>
      <c r="E454" s="10">
        <v>45671.301446759258</v>
      </c>
      <c r="F454" s="10">
        <v>45671.303194444437</v>
      </c>
      <c r="G454" s="3" t="s">
        <v>1584</v>
      </c>
      <c r="H454" s="10">
        <v>45671.430405092593</v>
      </c>
      <c r="I454" s="10">
        <v>45671.457303240742</v>
      </c>
      <c r="J454" s="10">
        <v>45671.458148148151</v>
      </c>
      <c r="K454" s="11">
        <f t="shared" si="14"/>
        <v>2.3090277776645962E-2</v>
      </c>
      <c r="L454" s="11">
        <f t="shared" si="15"/>
        <v>0.15410879630508134</v>
      </c>
    </row>
    <row r="455" spans="1:12" x14ac:dyDescent="0.25">
      <c r="A455" s="3" t="s">
        <v>1592</v>
      </c>
      <c r="B455" s="3" t="s">
        <v>260</v>
      </c>
      <c r="C455" s="10">
        <v>45671.305347222216</v>
      </c>
      <c r="D455" s="10">
        <v>45671.307430555556</v>
      </c>
      <c r="E455" s="10">
        <v>45671.312719907408</v>
      </c>
      <c r="F455" s="10">
        <v>45671.31490740741</v>
      </c>
      <c r="G455" s="3" t="s">
        <v>1593</v>
      </c>
      <c r="H455" s="10">
        <v>45671.329664351862</v>
      </c>
      <c r="I455" s="10">
        <v>45671.368449074071</v>
      </c>
      <c r="J455" s="10">
        <v>45671.369456018518</v>
      </c>
      <c r="K455" s="11">
        <f t="shared" si="14"/>
        <v>5.2893518513883464E-3</v>
      </c>
      <c r="L455" s="11">
        <f t="shared" si="15"/>
        <v>5.3541666660748888E-2</v>
      </c>
    </row>
    <row r="456" spans="1:12" x14ac:dyDescent="0.25">
      <c r="A456" s="3" t="s">
        <v>1595</v>
      </c>
      <c r="B456" s="3" t="s">
        <v>261</v>
      </c>
      <c r="C456" s="10">
        <v>45671.333680555559</v>
      </c>
      <c r="D456" s="10">
        <v>45671.336168981477</v>
      </c>
      <c r="E456" s="10">
        <v>45671.342604166668</v>
      </c>
      <c r="F456" s="10">
        <v>45671.34474537037</v>
      </c>
      <c r="G456" s="3" t="s">
        <v>1596</v>
      </c>
      <c r="H456" s="10">
        <v>45671.347118055557</v>
      </c>
      <c r="I456" s="10">
        <v>45671.415659722217</v>
      </c>
      <c r="J456" s="10">
        <v>45671.416990740741</v>
      </c>
      <c r="K456" s="11">
        <f t="shared" si="14"/>
        <v>6.4351851906394586E-3</v>
      </c>
      <c r="L456" s="11">
        <f t="shared" si="15"/>
        <v>7.0914351847022772E-2</v>
      </c>
    </row>
    <row r="457" spans="1:12" x14ac:dyDescent="0.25">
      <c r="A457" s="3" t="s">
        <v>1628</v>
      </c>
      <c r="B457" s="3" t="s">
        <v>263</v>
      </c>
      <c r="C457" s="10">
        <v>45671.378171296303</v>
      </c>
      <c r="D457" s="10">
        <v>45671.380671296298</v>
      </c>
      <c r="E457" s="10">
        <v>45671.389224537037</v>
      </c>
      <c r="F457" s="10">
        <v>45671.391238425917</v>
      </c>
      <c r="G457" s="3" t="s">
        <v>1629</v>
      </c>
      <c r="H457" s="10">
        <v>45671.399039351847</v>
      </c>
      <c r="I457" s="10">
        <v>45671.423090277778</v>
      </c>
      <c r="J457" s="10">
        <v>45671.423761574071</v>
      </c>
      <c r="K457" s="11">
        <f t="shared" si="14"/>
        <v>8.55324073927477E-3</v>
      </c>
      <c r="L457" s="11">
        <f t="shared" si="15"/>
        <v>3.1851851861574687E-2</v>
      </c>
    </row>
    <row r="458" spans="1:12" x14ac:dyDescent="0.25">
      <c r="A458" s="3" t="s">
        <v>1631</v>
      </c>
      <c r="B458" s="3" t="s">
        <v>263</v>
      </c>
      <c r="C458" s="10">
        <v>45671.378171296303</v>
      </c>
      <c r="D458" s="10">
        <v>45671.380671296298</v>
      </c>
      <c r="E458" s="10">
        <v>45671.391238425917</v>
      </c>
      <c r="F458" s="10">
        <v>45671.393425925933</v>
      </c>
      <c r="G458" s="3" t="s">
        <v>1264</v>
      </c>
      <c r="H458" s="10">
        <v>45671.397326388891</v>
      </c>
      <c r="I458" s="10">
        <v>45671.458148148151</v>
      </c>
      <c r="J458" s="10">
        <v>45671.459537037037</v>
      </c>
      <c r="K458" s="11">
        <f t="shared" si="14"/>
        <v>1.0567129618721083E-2</v>
      </c>
      <c r="L458" s="11">
        <f t="shared" si="15"/>
        <v>6.472222221782431E-2</v>
      </c>
    </row>
    <row r="459" spans="1:12" x14ac:dyDescent="0.25">
      <c r="A459" s="3" t="s">
        <v>1633</v>
      </c>
      <c r="B459" s="3" t="s">
        <v>263</v>
      </c>
      <c r="C459" s="10">
        <v>45671.378171296303</v>
      </c>
      <c r="D459" s="10">
        <v>45671.380671296298</v>
      </c>
      <c r="E459" s="10">
        <v>45671.393425925933</v>
      </c>
      <c r="F459" s="10">
        <v>45671.395462962973</v>
      </c>
      <c r="G459" s="3" t="s">
        <v>1629</v>
      </c>
      <c r="H459" s="10">
        <v>45671.399039351847</v>
      </c>
      <c r="I459" s="10">
        <v>45671.423090277778</v>
      </c>
      <c r="J459" s="10">
        <v>45671.423761574071</v>
      </c>
      <c r="K459" s="11">
        <f t="shared" si="14"/>
        <v>1.2754629635310266E-2</v>
      </c>
      <c r="L459" s="11">
        <f t="shared" si="15"/>
        <v>2.7627314804703929E-2</v>
      </c>
    </row>
    <row r="460" spans="1:12" x14ac:dyDescent="0.25">
      <c r="A460" s="3" t="s">
        <v>1598</v>
      </c>
      <c r="B460" s="3" t="s">
        <v>262</v>
      </c>
      <c r="C460" s="10">
        <v>45671.375034722223</v>
      </c>
      <c r="D460" s="10">
        <v>45671.377557870372</v>
      </c>
      <c r="E460" s="10">
        <v>45671.398333333331</v>
      </c>
      <c r="F460" s="10">
        <v>45671.400034722217</v>
      </c>
      <c r="G460" s="3" t="s">
        <v>1584</v>
      </c>
      <c r="H460" s="10">
        <v>45671.430405092593</v>
      </c>
      <c r="I460" s="10">
        <v>45671.457303240742</v>
      </c>
      <c r="J460" s="10">
        <v>45671.458148148151</v>
      </c>
      <c r="K460" s="11">
        <f t="shared" si="14"/>
        <v>2.0775462959136348E-2</v>
      </c>
      <c r="L460" s="11">
        <f t="shared" si="15"/>
        <v>5.7268518525233958E-2</v>
      </c>
    </row>
    <row r="461" spans="1:12" x14ac:dyDescent="0.25">
      <c r="A461" s="3" t="s">
        <v>1600</v>
      </c>
      <c r="B461" s="3" t="s">
        <v>262</v>
      </c>
      <c r="C461" s="10">
        <v>45671.375034722223</v>
      </c>
      <c r="D461" s="10">
        <v>45671.377557870372</v>
      </c>
      <c r="E461" s="10">
        <v>45671.400034722217</v>
      </c>
      <c r="F461" s="10">
        <v>45671.401180555556</v>
      </c>
      <c r="G461" s="3" t="s">
        <v>1601</v>
      </c>
      <c r="H461" s="10">
        <v>45671.651412037027</v>
      </c>
      <c r="I461" s="10">
        <v>45671.692488425928</v>
      </c>
      <c r="J461" s="10">
        <v>45671.69326388889</v>
      </c>
      <c r="K461" s="11">
        <f t="shared" si="14"/>
        <v>2.247685184556758E-2</v>
      </c>
      <c r="L461" s="11">
        <f t="shared" si="15"/>
        <v>0.29130787037138361</v>
      </c>
    </row>
    <row r="462" spans="1:12" x14ac:dyDescent="0.25">
      <c r="A462" s="3" t="s">
        <v>1603</v>
      </c>
      <c r="B462" s="3" t="s">
        <v>262</v>
      </c>
      <c r="C462" s="10">
        <v>45671.375034722223</v>
      </c>
      <c r="D462" s="10">
        <v>45671.377557870372</v>
      </c>
      <c r="E462" s="10">
        <v>45671.401180555556</v>
      </c>
      <c r="F462" s="10">
        <v>45671.403090277781</v>
      </c>
      <c r="G462" s="3" t="s">
        <v>1376</v>
      </c>
      <c r="H462" s="10">
        <v>45671.436562499999</v>
      </c>
      <c r="I462" s="10">
        <v>45671.47991898148</v>
      </c>
      <c r="J462" s="10">
        <v>45671.480578703697</v>
      </c>
      <c r="K462" s="11">
        <f t="shared" si="14"/>
        <v>2.3622685184818693E-2</v>
      </c>
      <c r="L462" s="11">
        <f t="shared" si="15"/>
        <v>7.6828703698993195E-2</v>
      </c>
    </row>
    <row r="463" spans="1:12" x14ac:dyDescent="0.25">
      <c r="A463" s="3" t="s">
        <v>1605</v>
      </c>
      <c r="B463" s="3" t="s">
        <v>262</v>
      </c>
      <c r="C463" s="10">
        <v>45671.375034722223</v>
      </c>
      <c r="D463" s="10">
        <v>45671.377557870372</v>
      </c>
      <c r="E463" s="10">
        <v>45671.403090277781</v>
      </c>
      <c r="F463" s="10">
        <v>45671.405300925922</v>
      </c>
      <c r="G463" s="3" t="s">
        <v>1581</v>
      </c>
      <c r="H463" s="10">
        <v>45671.425115740742</v>
      </c>
      <c r="I463" s="10">
        <v>45671.469201388893</v>
      </c>
      <c r="J463" s="10">
        <v>45671.470138888893</v>
      </c>
      <c r="K463" s="11">
        <f t="shared" si="14"/>
        <v>2.5532407409627922E-2</v>
      </c>
      <c r="L463" s="11">
        <f t="shared" si="15"/>
        <v>6.3900462970195804E-2</v>
      </c>
    </row>
    <row r="464" spans="1:12" x14ac:dyDescent="0.25">
      <c r="A464" s="3" t="s">
        <v>1607</v>
      </c>
      <c r="B464" s="3" t="s">
        <v>262</v>
      </c>
      <c r="C464" s="10">
        <v>45671.375034722223</v>
      </c>
      <c r="D464" s="10">
        <v>45671.377557870372</v>
      </c>
      <c r="E464" s="10">
        <v>45671.405300925922</v>
      </c>
      <c r="F464" s="10">
        <v>45671.407060185193</v>
      </c>
      <c r="G464" s="3" t="s">
        <v>1608</v>
      </c>
      <c r="H464" s="10">
        <v>45672.117048611108</v>
      </c>
      <c r="I464" s="10">
        <v>45672.154178240737</v>
      </c>
      <c r="J464" s="10">
        <v>45672.155173611107</v>
      </c>
      <c r="K464" s="11">
        <f t="shared" si="14"/>
        <v>2.774305555067258E-2</v>
      </c>
      <c r="L464" s="11">
        <f t="shared" si="15"/>
        <v>0.7471180555439787</v>
      </c>
    </row>
    <row r="465" spans="1:12" x14ac:dyDescent="0.25">
      <c r="A465" s="3" t="s">
        <v>1610</v>
      </c>
      <c r="B465" s="3" t="s">
        <v>262</v>
      </c>
      <c r="C465" s="10">
        <v>45671.375034722223</v>
      </c>
      <c r="D465" s="10">
        <v>45671.377557870372</v>
      </c>
      <c r="E465" s="10">
        <v>45671.407060185193</v>
      </c>
      <c r="F465" s="10">
        <v>45671.40898148148</v>
      </c>
      <c r="G465" s="3" t="s">
        <v>1542</v>
      </c>
      <c r="H465" s="10">
        <v>45672.122870370367</v>
      </c>
      <c r="I465" s="10">
        <v>45672.155173611107</v>
      </c>
      <c r="J465" s="10">
        <v>45672.156134259261</v>
      </c>
      <c r="K465" s="11">
        <f t="shared" si="14"/>
        <v>2.9502314821002074E-2</v>
      </c>
      <c r="L465" s="11">
        <f t="shared" si="15"/>
        <v>0.74619212962716119</v>
      </c>
    </row>
    <row r="466" spans="1:12" x14ac:dyDescent="0.25">
      <c r="A466" s="3" t="s">
        <v>1612</v>
      </c>
      <c r="B466" s="3" t="s">
        <v>262</v>
      </c>
      <c r="C466" s="10">
        <v>45671.375034722223</v>
      </c>
      <c r="D466" s="10">
        <v>45671.377557870372</v>
      </c>
      <c r="E466" s="10">
        <v>45671.40898148148</v>
      </c>
      <c r="F466" s="10">
        <v>45671.410462962973</v>
      </c>
      <c r="G466" s="3" t="s">
        <v>1613</v>
      </c>
      <c r="H466" s="10">
        <v>45671.648634259262</v>
      </c>
      <c r="I466" s="10">
        <v>45671.667812500003</v>
      </c>
      <c r="J466" s="10">
        <v>45671.668587962973</v>
      </c>
      <c r="K466" s="11">
        <f t="shared" si="14"/>
        <v>3.142361110803904E-2</v>
      </c>
      <c r="L466" s="11">
        <f t="shared" si="15"/>
        <v>0.25734953703067731</v>
      </c>
    </row>
    <row r="467" spans="1:12" x14ac:dyDescent="0.25">
      <c r="A467" s="3" t="s">
        <v>1615</v>
      </c>
      <c r="B467" s="3" t="s">
        <v>262</v>
      </c>
      <c r="C467" s="10">
        <v>45671.375034722223</v>
      </c>
      <c r="D467" s="10">
        <v>45671.377557870372</v>
      </c>
      <c r="E467" s="10">
        <v>45671.410462962973</v>
      </c>
      <c r="F467" s="10">
        <v>45671.411597222221</v>
      </c>
      <c r="G467" s="3" t="s">
        <v>1601</v>
      </c>
      <c r="H467" s="10">
        <v>45671.651412037027</v>
      </c>
      <c r="I467" s="10">
        <v>45671.692488425928</v>
      </c>
      <c r="J467" s="10">
        <v>45671.69326388889</v>
      </c>
      <c r="K467" s="11">
        <f t="shared" si="14"/>
        <v>3.2905092601140495E-2</v>
      </c>
      <c r="L467" s="11">
        <f t="shared" si="15"/>
        <v>0.28089120370714227</v>
      </c>
    </row>
    <row r="468" spans="1:12" x14ac:dyDescent="0.25">
      <c r="A468" s="3" t="s">
        <v>1617</v>
      </c>
      <c r="B468" s="3" t="s">
        <v>262</v>
      </c>
      <c r="C468" s="10">
        <v>45671.375034722223</v>
      </c>
      <c r="D468" s="10">
        <v>45671.377557870372</v>
      </c>
      <c r="E468" s="10">
        <v>45671.411597222221</v>
      </c>
      <c r="F468" s="10">
        <v>45671.413472222222</v>
      </c>
      <c r="G468" s="3" t="s">
        <v>1376</v>
      </c>
      <c r="H468" s="10">
        <v>45671.436562499999</v>
      </c>
      <c r="I468" s="10">
        <v>45671.47991898148</v>
      </c>
      <c r="J468" s="10">
        <v>45671.480578703697</v>
      </c>
      <c r="K468" s="11">
        <f t="shared" si="14"/>
        <v>3.403935184906004E-2</v>
      </c>
      <c r="L468" s="11">
        <f t="shared" si="15"/>
        <v>6.6446759257814847E-2</v>
      </c>
    </row>
    <row r="469" spans="1:12" x14ac:dyDescent="0.25">
      <c r="A469" s="3" t="s">
        <v>1619</v>
      </c>
      <c r="B469" s="3" t="s">
        <v>262</v>
      </c>
      <c r="C469" s="10">
        <v>45671.375034722223</v>
      </c>
      <c r="D469" s="10">
        <v>45671.377557870372</v>
      </c>
      <c r="E469" s="10">
        <v>45671.413472222222</v>
      </c>
      <c r="F469" s="10">
        <v>45671.415208333332</v>
      </c>
      <c r="G469" s="3" t="s">
        <v>1584</v>
      </c>
      <c r="H469" s="10">
        <v>45671.430405092593</v>
      </c>
      <c r="I469" s="10">
        <v>45671.457303240742</v>
      </c>
      <c r="J469" s="10">
        <v>45671.458148148151</v>
      </c>
      <c r="K469" s="11">
        <f t="shared" si="14"/>
        <v>3.591435185080627E-2</v>
      </c>
      <c r="L469" s="11">
        <f t="shared" si="15"/>
        <v>4.2094907410501037E-2</v>
      </c>
    </row>
    <row r="470" spans="1:12" x14ac:dyDescent="0.25">
      <c r="A470" s="3" t="s">
        <v>1621</v>
      </c>
      <c r="B470" s="3" t="s">
        <v>262</v>
      </c>
      <c r="C470" s="10">
        <v>45671.375034722223</v>
      </c>
      <c r="D470" s="10">
        <v>45671.377557870372</v>
      </c>
      <c r="E470" s="10">
        <v>45671.415208333332</v>
      </c>
      <c r="F470" s="10">
        <v>45671.416967592602</v>
      </c>
      <c r="G470" s="3" t="s">
        <v>1428</v>
      </c>
      <c r="H470" s="10">
        <v>45671.650451388887</v>
      </c>
      <c r="I470" s="10">
        <v>45671.67769675926</v>
      </c>
      <c r="J470" s="10">
        <v>45671.678564814807</v>
      </c>
      <c r="K470" s="11">
        <f t="shared" si="14"/>
        <v>3.7650462960300501E-2</v>
      </c>
      <c r="L470" s="11">
        <f t="shared" si="15"/>
        <v>0.26072916665725643</v>
      </c>
    </row>
    <row r="471" spans="1:12" x14ac:dyDescent="0.25">
      <c r="A471" s="3" t="s">
        <v>1623</v>
      </c>
      <c r="B471" s="3" t="s">
        <v>262</v>
      </c>
      <c r="C471" s="10">
        <v>45671.375034722223</v>
      </c>
      <c r="D471" s="10">
        <v>45671.377557870372</v>
      </c>
      <c r="E471" s="10">
        <v>45671.416967592602</v>
      </c>
      <c r="F471" s="10">
        <v>45671.41883101852</v>
      </c>
      <c r="G471" s="3" t="s">
        <v>1624</v>
      </c>
      <c r="H471" s="10">
        <v>45671.435810185183</v>
      </c>
      <c r="I471" s="10">
        <v>45671.572199074071</v>
      </c>
      <c r="J471" s="10">
        <v>45671.574189814812</v>
      </c>
      <c r="K471" s="11">
        <f t="shared" si="14"/>
        <v>3.9409722230629995E-2</v>
      </c>
      <c r="L471" s="11">
        <f t="shared" si="15"/>
        <v>0.15336805555125466</v>
      </c>
    </row>
    <row r="472" spans="1:12" x14ac:dyDescent="0.25">
      <c r="A472" s="3" t="s">
        <v>1626</v>
      </c>
      <c r="B472" s="3" t="s">
        <v>262</v>
      </c>
      <c r="C472" s="10">
        <v>45671.375034722223</v>
      </c>
      <c r="D472" s="10">
        <v>45671.377557870372</v>
      </c>
      <c r="E472" s="10">
        <v>45671.41883101852</v>
      </c>
      <c r="F472" s="10">
        <v>45671.420717592591</v>
      </c>
      <c r="G472" s="3" t="s">
        <v>1376</v>
      </c>
      <c r="H472" s="10">
        <v>45671.436562499999</v>
      </c>
      <c r="I472" s="10">
        <v>45671.47991898148</v>
      </c>
      <c r="J472" s="10">
        <v>45671.480578703697</v>
      </c>
      <c r="K472" s="11">
        <f t="shared" si="14"/>
        <v>4.1273148148320615E-2</v>
      </c>
      <c r="L472" s="11">
        <f t="shared" si="15"/>
        <v>5.9201388889050577E-2</v>
      </c>
    </row>
    <row r="473" spans="1:12" x14ac:dyDescent="0.25">
      <c r="A473" s="3" t="s">
        <v>1635</v>
      </c>
      <c r="B473" s="3" t="s">
        <v>264</v>
      </c>
      <c r="C473" s="10">
        <v>45671.409247685187</v>
      </c>
      <c r="D473" s="10">
        <v>45671.411851851852</v>
      </c>
      <c r="E473" s="10">
        <v>45671.421585648153</v>
      </c>
      <c r="F473" s="10">
        <v>45671.423101851848</v>
      </c>
      <c r="G473" s="3" t="s">
        <v>1613</v>
      </c>
      <c r="H473" s="10">
        <v>45671.648634259262</v>
      </c>
      <c r="I473" s="10">
        <v>45671.667812500003</v>
      </c>
      <c r="J473" s="10">
        <v>45671.668587962973</v>
      </c>
      <c r="K473" s="11">
        <f t="shared" si="14"/>
        <v>9.7337963015888818E-3</v>
      </c>
      <c r="L473" s="11">
        <f t="shared" si="15"/>
        <v>0.24471064815588761</v>
      </c>
    </row>
    <row r="474" spans="1:12" x14ac:dyDescent="0.25">
      <c r="A474" s="3" t="s">
        <v>1637</v>
      </c>
      <c r="B474" s="3" t="s">
        <v>264</v>
      </c>
      <c r="C474" s="10">
        <v>45671.409247685187</v>
      </c>
      <c r="D474" s="10">
        <v>45671.411851851852</v>
      </c>
      <c r="E474" s="10">
        <v>45671.423101851848</v>
      </c>
      <c r="F474" s="10">
        <v>45671.425416666672</v>
      </c>
      <c r="G474" s="3" t="s">
        <v>1624</v>
      </c>
      <c r="H474" s="10">
        <v>45671.435810185183</v>
      </c>
      <c r="I474" s="10">
        <v>45671.572199074071</v>
      </c>
      <c r="J474" s="10">
        <v>45671.574189814812</v>
      </c>
      <c r="K474" s="11">
        <f t="shared" si="14"/>
        <v>1.1249999995925464E-2</v>
      </c>
      <c r="L474" s="11">
        <f t="shared" si="15"/>
        <v>0.1467824073988595</v>
      </c>
    </row>
    <row r="475" spans="1:12" x14ac:dyDescent="0.25">
      <c r="A475" s="3" t="s">
        <v>1639</v>
      </c>
      <c r="B475" s="3" t="s">
        <v>265</v>
      </c>
      <c r="C475" s="10">
        <v>45671.535405092603</v>
      </c>
      <c r="D475" s="10">
        <v>45671.537685185183</v>
      </c>
      <c r="E475" s="10">
        <v>45671.543807870366</v>
      </c>
      <c r="F475" s="10">
        <v>45671.545844907407</v>
      </c>
      <c r="G475" s="3" t="s">
        <v>1640</v>
      </c>
      <c r="H475" s="10">
        <v>45671.54824074074</v>
      </c>
      <c r="I475" s="10">
        <v>45671.600775462961</v>
      </c>
      <c r="J475" s="10">
        <v>45671.601944444446</v>
      </c>
      <c r="K475" s="11">
        <f t="shared" si="14"/>
        <v>6.1226851830724627E-3</v>
      </c>
      <c r="L475" s="11">
        <f t="shared" si="15"/>
        <v>5.4930555554165039E-2</v>
      </c>
    </row>
    <row r="476" spans="1:12" x14ac:dyDescent="0.25">
      <c r="A476" s="3" t="s">
        <v>1642</v>
      </c>
      <c r="B476" s="3" t="s">
        <v>266</v>
      </c>
      <c r="C476" s="10">
        <v>45671.599606481483</v>
      </c>
      <c r="D476" s="10">
        <v>45671.601724537039</v>
      </c>
      <c r="E476" s="10">
        <v>45671.607152777768</v>
      </c>
      <c r="F476" s="10">
        <v>45671.609027777777</v>
      </c>
      <c r="G476" s="3" t="s">
        <v>1643</v>
      </c>
      <c r="H476" s="10">
        <v>45671.61142361111</v>
      </c>
      <c r="I476" s="10">
        <v>45671.651435185187</v>
      </c>
      <c r="J476" s="10">
        <v>45671.652442129627</v>
      </c>
      <c r="K476" s="11">
        <f t="shared" si="14"/>
        <v>5.4282407290884294E-3</v>
      </c>
      <c r="L476" s="11">
        <f t="shared" si="15"/>
        <v>4.2407407410792075E-2</v>
      </c>
    </row>
    <row r="477" spans="1:12" x14ac:dyDescent="0.25">
      <c r="A477" s="3" t="s">
        <v>1645</v>
      </c>
      <c r="B477" s="3" t="s">
        <v>267</v>
      </c>
      <c r="C477" s="10">
        <v>45671.619780092587</v>
      </c>
      <c r="D477" s="10">
        <v>45671.622291666667</v>
      </c>
      <c r="E477" s="10">
        <v>45671.641898148147</v>
      </c>
      <c r="F477" s="10">
        <v>45671.643159722233</v>
      </c>
      <c r="G477" s="3" t="s">
        <v>1567</v>
      </c>
      <c r="H477" s="10">
        <v>45671.761597222219</v>
      </c>
      <c r="I477" s="10">
        <v>45671.794722222221</v>
      </c>
      <c r="J477" s="10">
        <v>45671.79550925926</v>
      </c>
      <c r="K477" s="11">
        <f t="shared" si="14"/>
        <v>1.9606481480877846E-2</v>
      </c>
      <c r="L477" s="11">
        <f t="shared" si="15"/>
        <v>0.15156249998835847</v>
      </c>
    </row>
    <row r="478" spans="1:12" x14ac:dyDescent="0.25">
      <c r="A478" s="3" t="s">
        <v>1647</v>
      </c>
      <c r="B478" s="3" t="s">
        <v>267</v>
      </c>
      <c r="C478" s="10">
        <v>45671.619780092587</v>
      </c>
      <c r="D478" s="10">
        <v>45671.622291666667</v>
      </c>
      <c r="E478" s="10">
        <v>45671.643159722233</v>
      </c>
      <c r="F478" s="10">
        <v>45671.644733796304</v>
      </c>
      <c r="G478" s="3" t="s">
        <v>1613</v>
      </c>
      <c r="H478" s="10">
        <v>45671.648634259262</v>
      </c>
      <c r="I478" s="10">
        <v>45671.667812500003</v>
      </c>
      <c r="J478" s="10">
        <v>45671.668587962973</v>
      </c>
      <c r="K478" s="11">
        <f t="shared" si="14"/>
        <v>2.086805556609761E-2</v>
      </c>
      <c r="L478" s="11">
        <f t="shared" si="15"/>
        <v>2.307870369986631E-2</v>
      </c>
    </row>
    <row r="479" spans="1:12" x14ac:dyDescent="0.25">
      <c r="A479" s="3" t="s">
        <v>1649</v>
      </c>
      <c r="B479" s="3" t="s">
        <v>267</v>
      </c>
      <c r="C479" s="10">
        <v>45671.619780092587</v>
      </c>
      <c r="D479" s="10">
        <v>45671.622291666667</v>
      </c>
      <c r="E479" s="10">
        <v>45671.644733796304</v>
      </c>
      <c r="F479" s="10">
        <v>45671.646527777782</v>
      </c>
      <c r="G479" s="3" t="s">
        <v>1428</v>
      </c>
      <c r="H479" s="10">
        <v>45671.650451388887</v>
      </c>
      <c r="I479" s="10">
        <v>45671.67769675926</v>
      </c>
      <c r="J479" s="10">
        <v>45671.678564814807</v>
      </c>
      <c r="K479" s="11">
        <f t="shared" si="14"/>
        <v>2.2442129637056496E-2</v>
      </c>
      <c r="L479" s="11">
        <f t="shared" si="15"/>
        <v>3.1168981477094349E-2</v>
      </c>
    </row>
    <row r="480" spans="1:12" x14ac:dyDescent="0.25">
      <c r="A480" s="3" t="s">
        <v>1651</v>
      </c>
      <c r="B480" s="3" t="s">
        <v>267</v>
      </c>
      <c r="C480" s="10">
        <v>45671.619780092587</v>
      </c>
      <c r="D480" s="10">
        <v>45671.622291666667</v>
      </c>
      <c r="E480" s="10">
        <v>45671.646527777782</v>
      </c>
      <c r="F480" s="10">
        <v>45671.647847222222</v>
      </c>
      <c r="G480" s="3" t="s">
        <v>1601</v>
      </c>
      <c r="H480" s="10">
        <v>45671.651412037027</v>
      </c>
      <c r="I480" s="10">
        <v>45671.692488425928</v>
      </c>
      <c r="J480" s="10">
        <v>45671.69326388889</v>
      </c>
      <c r="K480" s="11">
        <f t="shared" si="14"/>
        <v>2.4236111115897074E-2</v>
      </c>
      <c r="L480" s="11">
        <f t="shared" si="15"/>
        <v>4.4641203705396038E-2</v>
      </c>
    </row>
    <row r="481" spans="1:12" x14ac:dyDescent="0.25">
      <c r="A481" s="3" t="s">
        <v>1653</v>
      </c>
      <c r="B481" s="3" t="s">
        <v>267</v>
      </c>
      <c r="C481" s="10">
        <v>45671.619780092587</v>
      </c>
      <c r="D481" s="10">
        <v>45671.622291666667</v>
      </c>
      <c r="E481" s="10">
        <v>45671.647847222222</v>
      </c>
      <c r="F481" s="10">
        <v>45671.649733796286</v>
      </c>
      <c r="G481" s="3" t="s">
        <v>1654</v>
      </c>
      <c r="H481" s="10">
        <v>45671.663807870369</v>
      </c>
      <c r="I481" s="10">
        <v>45671.703587962962</v>
      </c>
      <c r="J481" s="10">
        <v>45671.704305555562</v>
      </c>
      <c r="K481" s="11">
        <f t="shared" si="14"/>
        <v>2.5555555555911269E-2</v>
      </c>
      <c r="L481" s="11">
        <f t="shared" si="15"/>
        <v>5.3854166675591841E-2</v>
      </c>
    </row>
    <row r="482" spans="1:12" x14ac:dyDescent="0.25">
      <c r="A482" s="3" t="s">
        <v>1656</v>
      </c>
      <c r="B482" s="3" t="s">
        <v>267</v>
      </c>
      <c r="C482" s="10">
        <v>45671.619780092587</v>
      </c>
      <c r="D482" s="10">
        <v>45671.622291666667</v>
      </c>
      <c r="E482" s="10">
        <v>45671.649733796286</v>
      </c>
      <c r="F482" s="10">
        <v>45671.651319444441</v>
      </c>
      <c r="G482" s="3" t="s">
        <v>1657</v>
      </c>
      <c r="H482" s="10">
        <v>45671.654386574082</v>
      </c>
      <c r="I482" s="10">
        <v>45671.699930555558</v>
      </c>
      <c r="J482" s="10">
        <v>45671.700740740736</v>
      </c>
      <c r="K482" s="11">
        <f t="shared" si="14"/>
        <v>2.7442129619885236E-2</v>
      </c>
      <c r="L482" s="11">
        <f t="shared" si="15"/>
        <v>4.8611111116770189E-2</v>
      </c>
    </row>
    <row r="483" spans="1:12" x14ac:dyDescent="0.25">
      <c r="A483" s="3" t="s">
        <v>1659</v>
      </c>
      <c r="B483" s="3" t="s">
        <v>267</v>
      </c>
      <c r="C483" s="10">
        <v>45671.619780092587</v>
      </c>
      <c r="D483" s="10">
        <v>45671.622291666667</v>
      </c>
      <c r="E483" s="10">
        <v>45671.651319444441</v>
      </c>
      <c r="F483" s="10">
        <v>45671.653229166674</v>
      </c>
      <c r="G483" s="3" t="s">
        <v>1654</v>
      </c>
      <c r="H483" s="10">
        <v>45671.663807870369</v>
      </c>
      <c r="I483" s="10">
        <v>45671.703587962962</v>
      </c>
      <c r="J483" s="10">
        <v>45671.704305555562</v>
      </c>
      <c r="K483" s="11">
        <f t="shared" si="14"/>
        <v>2.9027777774899732E-2</v>
      </c>
      <c r="L483" s="11">
        <f t="shared" si="15"/>
        <v>5.0358796288492158E-2</v>
      </c>
    </row>
    <row r="484" spans="1:12" x14ac:dyDescent="0.25">
      <c r="A484" s="3" t="s">
        <v>1661</v>
      </c>
      <c r="B484" s="3" t="s">
        <v>267</v>
      </c>
      <c r="C484" s="10">
        <v>45671.619780092587</v>
      </c>
      <c r="D484" s="10">
        <v>45671.622291666667</v>
      </c>
      <c r="E484" s="10">
        <v>45671.653229166674</v>
      </c>
      <c r="F484" s="10">
        <v>45671.654490740737</v>
      </c>
      <c r="G484" s="3" t="s">
        <v>1567</v>
      </c>
      <c r="H484" s="10">
        <v>45671.761597222219</v>
      </c>
      <c r="I484" s="10">
        <v>45671.794722222221</v>
      </c>
      <c r="J484" s="10">
        <v>45671.79550925926</v>
      </c>
      <c r="K484" s="11">
        <f t="shared" si="14"/>
        <v>3.0937500006984919E-2</v>
      </c>
      <c r="L484" s="11">
        <f t="shared" si="15"/>
        <v>0.14023148148407927</v>
      </c>
    </row>
    <row r="485" spans="1:12" x14ac:dyDescent="0.25">
      <c r="A485" s="3" t="s">
        <v>1663</v>
      </c>
      <c r="B485" s="3" t="s">
        <v>267</v>
      </c>
      <c r="C485" s="10">
        <v>45671.619780092587</v>
      </c>
      <c r="D485" s="10">
        <v>45671.622291666667</v>
      </c>
      <c r="E485" s="10">
        <v>45671.654490740737</v>
      </c>
      <c r="F485" s="10">
        <v>45671.656377314823</v>
      </c>
      <c r="G485" s="3" t="s">
        <v>1654</v>
      </c>
      <c r="H485" s="10">
        <v>45671.663807870369</v>
      </c>
      <c r="I485" s="10">
        <v>45671.703587962962</v>
      </c>
      <c r="J485" s="10">
        <v>45671.704305555562</v>
      </c>
      <c r="K485" s="11">
        <f t="shared" si="14"/>
        <v>3.219907407037681E-2</v>
      </c>
      <c r="L485" s="11">
        <f t="shared" si="15"/>
        <v>4.7210648139298428E-2</v>
      </c>
    </row>
    <row r="486" spans="1:12" x14ac:dyDescent="0.25">
      <c r="A486" s="3" t="s">
        <v>1665</v>
      </c>
      <c r="B486" s="3" t="s">
        <v>267</v>
      </c>
      <c r="C486" s="10">
        <v>45671.619780092587</v>
      </c>
      <c r="D486" s="10">
        <v>45671.622291666667</v>
      </c>
      <c r="E486" s="10">
        <v>45671.656377314823</v>
      </c>
      <c r="F486" s="10">
        <v>45671.658414351848</v>
      </c>
      <c r="G486" s="3" t="s">
        <v>1654</v>
      </c>
      <c r="H486" s="10">
        <v>45671.663807870369</v>
      </c>
      <c r="I486" s="10">
        <v>45671.703587962962</v>
      </c>
      <c r="J486" s="10">
        <v>45671.704305555562</v>
      </c>
      <c r="K486" s="11">
        <f t="shared" si="14"/>
        <v>3.408564815617865E-2</v>
      </c>
      <c r="L486" s="11">
        <f t="shared" si="15"/>
        <v>4.5173611113568768E-2</v>
      </c>
    </row>
    <row r="487" spans="1:12" x14ac:dyDescent="0.25">
      <c r="A487" s="3" t="s">
        <v>1667</v>
      </c>
      <c r="B487" s="3" t="s">
        <v>267</v>
      </c>
      <c r="C487" s="10">
        <v>45671.619780092587</v>
      </c>
      <c r="D487" s="10">
        <v>45671.622291666667</v>
      </c>
      <c r="E487" s="10">
        <v>45671.658414351848</v>
      </c>
      <c r="F487" s="10">
        <v>45671.660462962973</v>
      </c>
      <c r="G487" s="3" t="s">
        <v>1668</v>
      </c>
      <c r="H487" s="10">
        <v>45672.331666666672</v>
      </c>
      <c r="I487" s="10">
        <v>45672.364421296297</v>
      </c>
      <c r="J487" s="10">
        <v>45672.365254629629</v>
      </c>
      <c r="K487" s="11">
        <f t="shared" si="14"/>
        <v>3.6122685181908309E-2</v>
      </c>
      <c r="L487" s="11">
        <f t="shared" si="15"/>
        <v>0.70395833332440816</v>
      </c>
    </row>
    <row r="488" spans="1:12" x14ac:dyDescent="0.25">
      <c r="A488" s="3" t="s">
        <v>1670</v>
      </c>
      <c r="B488" s="3" t="s">
        <v>268</v>
      </c>
      <c r="C488" s="10">
        <v>45671.644016203703</v>
      </c>
      <c r="D488" s="10">
        <v>45671.646006944437</v>
      </c>
      <c r="E488" s="10">
        <v>45671.66133101852</v>
      </c>
      <c r="F488" s="10">
        <v>45671.663425925923</v>
      </c>
      <c r="G488" s="3" t="s">
        <v>1671</v>
      </c>
      <c r="H488" s="10">
        <v>45671.66678240741</v>
      </c>
      <c r="I488" s="10">
        <v>45671.724247685182</v>
      </c>
      <c r="J488" s="10">
        <v>45671.725243055553</v>
      </c>
      <c r="K488" s="11">
        <f t="shared" si="14"/>
        <v>1.5324074083764572E-2</v>
      </c>
      <c r="L488" s="11">
        <f t="shared" si="15"/>
        <v>6.0821759259852115E-2</v>
      </c>
    </row>
    <row r="489" spans="1:12" x14ac:dyDescent="0.25">
      <c r="A489" s="3" t="s">
        <v>1673</v>
      </c>
      <c r="B489" s="3" t="s">
        <v>269</v>
      </c>
      <c r="C489" s="10">
        <v>45671.65216435185</v>
      </c>
      <c r="D489" s="10">
        <v>45671.65347222222</v>
      </c>
      <c r="E489" s="10">
        <v>45671.664293981477</v>
      </c>
      <c r="F489" s="10">
        <v>45671.666319444441</v>
      </c>
      <c r="G489" s="3" t="s">
        <v>1674</v>
      </c>
      <c r="H489" s="10">
        <v>45671.75608796296</v>
      </c>
      <c r="I489" s="10">
        <v>45671.774988425917</v>
      </c>
      <c r="J489" s="10">
        <v>45671.775821759264</v>
      </c>
      <c r="K489" s="11">
        <f t="shared" si="14"/>
        <v>1.0821759256941732E-2</v>
      </c>
      <c r="L489" s="11">
        <f t="shared" si="15"/>
        <v>0.10866898147651227</v>
      </c>
    </row>
    <row r="490" spans="1:12" x14ac:dyDescent="0.25">
      <c r="A490" s="3" t="s">
        <v>1702</v>
      </c>
      <c r="B490" s="3" t="s">
        <v>271</v>
      </c>
      <c r="C490" s="10">
        <v>45671.74459490741</v>
      </c>
      <c r="D490" s="10">
        <v>45671.74596064815</v>
      </c>
      <c r="E490" s="10">
        <v>45671.750104166669</v>
      </c>
      <c r="F490" s="10">
        <v>45671.752187500002</v>
      </c>
      <c r="G490" s="3" t="s">
        <v>1674</v>
      </c>
      <c r="H490" s="10">
        <v>45671.75608796296</v>
      </c>
      <c r="I490" s="10">
        <v>45671.774988425917</v>
      </c>
      <c r="J490" s="10">
        <v>45671.775821759264</v>
      </c>
      <c r="K490" s="11">
        <f t="shared" si="14"/>
        <v>4.1435185194131918E-3</v>
      </c>
      <c r="L490" s="11">
        <f t="shared" si="15"/>
        <v>2.2800925915362313E-2</v>
      </c>
    </row>
    <row r="491" spans="1:12" x14ac:dyDescent="0.25">
      <c r="A491" s="3" t="s">
        <v>1676</v>
      </c>
      <c r="B491" s="3" t="s">
        <v>270</v>
      </c>
      <c r="C491" s="10">
        <v>45671.730023148149</v>
      </c>
      <c r="D491" s="10">
        <v>45671.732743055552</v>
      </c>
      <c r="E491" s="10">
        <v>45671.753055555557</v>
      </c>
      <c r="F491" s="10">
        <v>45671.755046296297</v>
      </c>
      <c r="G491" s="3" t="s">
        <v>1463</v>
      </c>
      <c r="H491" s="10">
        <v>45671.758935185193</v>
      </c>
      <c r="I491" s="10">
        <v>45671.798344907409</v>
      </c>
      <c r="J491" s="10">
        <v>45671.799166666657</v>
      </c>
      <c r="K491" s="11">
        <f t="shared" si="14"/>
        <v>2.0312500004365575E-2</v>
      </c>
      <c r="L491" s="11">
        <f t="shared" si="15"/>
        <v>4.3298611111822538E-2</v>
      </c>
    </row>
    <row r="492" spans="1:12" x14ac:dyDescent="0.25">
      <c r="A492" s="3" t="s">
        <v>1678</v>
      </c>
      <c r="B492" s="3" t="s">
        <v>270</v>
      </c>
      <c r="C492" s="10">
        <v>45671.730023148149</v>
      </c>
      <c r="D492" s="10">
        <v>45671.732743055552</v>
      </c>
      <c r="E492" s="10">
        <v>45671.755046296297</v>
      </c>
      <c r="F492" s="10">
        <v>45671.756412037037</v>
      </c>
      <c r="G492" s="3" t="s">
        <v>1679</v>
      </c>
      <c r="H492" s="10">
        <v>45671.758576388893</v>
      </c>
      <c r="I492" s="10">
        <v>45671.778969907413</v>
      </c>
      <c r="J492" s="10">
        <v>45671.779687499999</v>
      </c>
      <c r="K492" s="11">
        <f t="shared" si="14"/>
        <v>2.2303240744804498E-2</v>
      </c>
      <c r="L492" s="11">
        <f t="shared" si="15"/>
        <v>2.2557870375749189E-2</v>
      </c>
    </row>
    <row r="493" spans="1:12" x14ac:dyDescent="0.25">
      <c r="A493" s="3" t="s">
        <v>1681</v>
      </c>
      <c r="B493" s="3" t="s">
        <v>270</v>
      </c>
      <c r="C493" s="10">
        <v>45671.730023148149</v>
      </c>
      <c r="D493" s="10">
        <v>45671.732743055552</v>
      </c>
      <c r="E493" s="10">
        <v>45671.756412037037</v>
      </c>
      <c r="F493" s="10">
        <v>45671.757685185177</v>
      </c>
      <c r="G493" s="3" t="s">
        <v>1567</v>
      </c>
      <c r="H493" s="10">
        <v>45671.761597222219</v>
      </c>
      <c r="I493" s="10">
        <v>45671.794722222221</v>
      </c>
      <c r="J493" s="10">
        <v>45671.79550925926</v>
      </c>
      <c r="K493" s="11">
        <f t="shared" si="14"/>
        <v>2.3668981484661344E-2</v>
      </c>
      <c r="L493" s="11">
        <f t="shared" si="15"/>
        <v>3.7037037043774035E-2</v>
      </c>
    </row>
    <row r="494" spans="1:12" x14ac:dyDescent="0.25">
      <c r="A494" s="3" t="s">
        <v>1683</v>
      </c>
      <c r="B494" s="3" t="s">
        <v>270</v>
      </c>
      <c r="C494" s="10">
        <v>45671.730023148149</v>
      </c>
      <c r="D494" s="10">
        <v>45671.732743055552</v>
      </c>
      <c r="E494" s="10">
        <v>45671.757685185177</v>
      </c>
      <c r="F494" s="10">
        <v>45671.759768518517</v>
      </c>
      <c r="G494" s="3" t="s">
        <v>1668</v>
      </c>
      <c r="H494" s="10">
        <v>45672.331666666672</v>
      </c>
      <c r="I494" s="10">
        <v>45672.364421296297</v>
      </c>
      <c r="J494" s="10">
        <v>45672.365254629629</v>
      </c>
      <c r="K494" s="11">
        <f t="shared" si="14"/>
        <v>2.4942129624832887E-2</v>
      </c>
      <c r="L494" s="11">
        <f t="shared" si="15"/>
        <v>0.60465277777984738</v>
      </c>
    </row>
    <row r="495" spans="1:12" x14ac:dyDescent="0.25">
      <c r="A495" s="3" t="s">
        <v>1685</v>
      </c>
      <c r="B495" s="3" t="s">
        <v>270</v>
      </c>
      <c r="C495" s="10">
        <v>45671.730023148149</v>
      </c>
      <c r="D495" s="10">
        <v>45671.732743055552</v>
      </c>
      <c r="E495" s="10">
        <v>45671.759768518517</v>
      </c>
      <c r="F495" s="10">
        <v>45671.761053240742</v>
      </c>
      <c r="G495" s="3" t="s">
        <v>1686</v>
      </c>
      <c r="H495" s="10">
        <v>45673.43310185185</v>
      </c>
      <c r="I495" s="10">
        <v>45673.598275462973</v>
      </c>
      <c r="J495" s="10">
        <v>45673.599432870367</v>
      </c>
      <c r="K495" s="11">
        <f t="shared" si="14"/>
        <v>2.7025462964957114E-2</v>
      </c>
      <c r="L495" s="11">
        <f t="shared" si="15"/>
        <v>1.8372222222315031</v>
      </c>
    </row>
    <row r="496" spans="1:12" x14ac:dyDescent="0.25">
      <c r="A496" s="3" t="s">
        <v>1688</v>
      </c>
      <c r="B496" s="3" t="s">
        <v>270</v>
      </c>
      <c r="C496" s="10">
        <v>45671.730023148149</v>
      </c>
      <c r="D496" s="10">
        <v>45671.732743055552</v>
      </c>
      <c r="E496" s="10">
        <v>45671.761053240742</v>
      </c>
      <c r="F496" s="10">
        <v>45671.762974537043</v>
      </c>
      <c r="G496" s="3" t="s">
        <v>1689</v>
      </c>
      <c r="H496" s="10">
        <v>45672.321018518523</v>
      </c>
      <c r="I496" s="10">
        <v>45672.34101851852</v>
      </c>
      <c r="J496" s="10">
        <v>45672.341666666667</v>
      </c>
      <c r="K496" s="11">
        <f t="shared" si="14"/>
        <v>2.8310185189184267E-2</v>
      </c>
      <c r="L496" s="11">
        <f t="shared" si="15"/>
        <v>0.57804398147709435</v>
      </c>
    </row>
    <row r="497" spans="1:12" x14ac:dyDescent="0.25">
      <c r="A497" s="3" t="s">
        <v>1691</v>
      </c>
      <c r="B497" s="3" t="s">
        <v>270</v>
      </c>
      <c r="C497" s="10">
        <v>45671.730023148149</v>
      </c>
      <c r="D497" s="10">
        <v>45671.732743055552</v>
      </c>
      <c r="E497" s="10">
        <v>45671.762974537043</v>
      </c>
      <c r="F497" s="10">
        <v>45671.764780092592</v>
      </c>
      <c r="G497" s="3" t="s">
        <v>1692</v>
      </c>
      <c r="H497" s="10">
        <v>45671.774791666663</v>
      </c>
      <c r="I497" s="10">
        <v>45671.819490740738</v>
      </c>
      <c r="J497" s="10">
        <v>45671.820393518523</v>
      </c>
      <c r="K497" s="11">
        <f t="shared" si="14"/>
        <v>3.0231481490773149E-2</v>
      </c>
      <c r="L497" s="11">
        <f t="shared" si="15"/>
        <v>5.4710648146283347E-2</v>
      </c>
    </row>
    <row r="498" spans="1:12" x14ac:dyDescent="0.25">
      <c r="A498" s="3" t="s">
        <v>1694</v>
      </c>
      <c r="B498" s="3" t="s">
        <v>270</v>
      </c>
      <c r="C498" s="10">
        <v>45671.730023148149</v>
      </c>
      <c r="D498" s="10">
        <v>45671.732743055552</v>
      </c>
      <c r="E498" s="10">
        <v>45671.764780092592</v>
      </c>
      <c r="F498" s="10">
        <v>45671.766759259262</v>
      </c>
      <c r="G498" s="3" t="s">
        <v>1695</v>
      </c>
      <c r="H498" s="10">
        <v>45671.770069444443</v>
      </c>
      <c r="I498" s="10">
        <v>45671.800046296303</v>
      </c>
      <c r="J498" s="10">
        <v>45671.800844907397</v>
      </c>
      <c r="K498" s="11">
        <f t="shared" si="14"/>
        <v>3.2037037039117422E-2</v>
      </c>
      <c r="L498" s="11">
        <f t="shared" si="15"/>
        <v>3.3287037040281575E-2</v>
      </c>
    </row>
    <row r="499" spans="1:12" x14ac:dyDescent="0.25">
      <c r="A499" s="3" t="s">
        <v>1697</v>
      </c>
      <c r="B499" s="3" t="s">
        <v>270</v>
      </c>
      <c r="C499" s="10">
        <v>45671.730023148149</v>
      </c>
      <c r="D499" s="10">
        <v>45671.732743055552</v>
      </c>
      <c r="E499" s="10">
        <v>45671.766759259262</v>
      </c>
      <c r="F499" s="10">
        <v>45671.768263888887</v>
      </c>
      <c r="G499" s="3" t="s">
        <v>1698</v>
      </c>
      <c r="H499" s="10">
        <v>45672.429166666669</v>
      </c>
      <c r="I499" s="10">
        <v>45672.450798611113</v>
      </c>
      <c r="J499" s="10">
        <v>45672.451597222222</v>
      </c>
      <c r="K499" s="11">
        <f t="shared" si="14"/>
        <v>3.401620371005265E-2</v>
      </c>
      <c r="L499" s="11">
        <f t="shared" si="15"/>
        <v>0.68253472222568234</v>
      </c>
    </row>
    <row r="500" spans="1:12" x14ac:dyDescent="0.25">
      <c r="A500" s="3" t="s">
        <v>1700</v>
      </c>
      <c r="B500" s="3" t="s">
        <v>270</v>
      </c>
      <c r="C500" s="10">
        <v>45671.730023148149</v>
      </c>
      <c r="D500" s="10">
        <v>45671.732743055552</v>
      </c>
      <c r="E500" s="10">
        <v>45671.768263888887</v>
      </c>
      <c r="F500" s="10">
        <v>45671.770138888889</v>
      </c>
      <c r="G500" s="3" t="s">
        <v>1692</v>
      </c>
      <c r="H500" s="10">
        <v>45671.774791666663</v>
      </c>
      <c r="I500" s="10">
        <v>45671.819490740738</v>
      </c>
      <c r="J500" s="10">
        <v>45671.820393518523</v>
      </c>
      <c r="K500" s="11">
        <f t="shared" si="14"/>
        <v>3.5520833334885538E-2</v>
      </c>
      <c r="L500" s="11">
        <f t="shared" si="15"/>
        <v>4.9351851848769002E-2</v>
      </c>
    </row>
    <row r="501" spans="1:12" x14ac:dyDescent="0.25">
      <c r="A501" s="3" t="s">
        <v>1704</v>
      </c>
      <c r="B501" s="3" t="s">
        <v>272</v>
      </c>
      <c r="C501" s="10">
        <v>45671.82476851852</v>
      </c>
      <c r="D501" s="10">
        <v>45671.826018518521</v>
      </c>
      <c r="E501" s="10">
        <v>45671.829814814817</v>
      </c>
      <c r="F501" s="10">
        <v>45671.831331018519</v>
      </c>
      <c r="G501" s="3" t="s">
        <v>1705</v>
      </c>
      <c r="H501" s="10">
        <v>45672.283796296288</v>
      </c>
      <c r="I501" s="10">
        <v>45672.339131944442</v>
      </c>
      <c r="J501" s="10">
        <v>45672.340324074074</v>
      </c>
      <c r="K501" s="11">
        <f t="shared" si="14"/>
        <v>3.796296296059154E-3</v>
      </c>
      <c r="L501" s="11">
        <f t="shared" si="15"/>
        <v>0.50780092592322035</v>
      </c>
    </row>
    <row r="502" spans="1:12" x14ac:dyDescent="0.25">
      <c r="A502" s="3" t="s">
        <v>1707</v>
      </c>
      <c r="B502" s="3" t="s">
        <v>273</v>
      </c>
      <c r="C502" s="10">
        <v>45672.09983796296</v>
      </c>
      <c r="D502" s="10">
        <v>45672.102152777778</v>
      </c>
      <c r="E502" s="10">
        <v>45672.111076388886</v>
      </c>
      <c r="F502" s="10">
        <v>45672.11314814815</v>
      </c>
      <c r="G502" s="3" t="s">
        <v>1608</v>
      </c>
      <c r="H502" s="10">
        <v>45672.117048611108</v>
      </c>
      <c r="I502" s="10">
        <v>45672.154178240737</v>
      </c>
      <c r="J502" s="10">
        <v>45672.155173611107</v>
      </c>
      <c r="K502" s="11">
        <f t="shared" si="14"/>
        <v>8.923611108912155E-3</v>
      </c>
      <c r="L502" s="11">
        <f t="shared" si="15"/>
        <v>4.1030092586879618E-2</v>
      </c>
    </row>
    <row r="503" spans="1:12" x14ac:dyDescent="0.25">
      <c r="A503" s="3" t="s">
        <v>1709</v>
      </c>
      <c r="B503" s="3" t="s">
        <v>273</v>
      </c>
      <c r="C503" s="10">
        <v>45672.09983796296</v>
      </c>
      <c r="D503" s="10">
        <v>45672.102152777778</v>
      </c>
      <c r="E503" s="10">
        <v>45672.11314814815</v>
      </c>
      <c r="F503" s="10">
        <v>45672.115127314813</v>
      </c>
      <c r="G503" s="3" t="s">
        <v>1689</v>
      </c>
      <c r="H503" s="10">
        <v>45672.321018518523</v>
      </c>
      <c r="I503" s="10">
        <v>45672.34101851852</v>
      </c>
      <c r="J503" s="10">
        <v>45672.341666666667</v>
      </c>
      <c r="K503" s="11">
        <f t="shared" si="14"/>
        <v>1.099537037225673E-2</v>
      </c>
      <c r="L503" s="11">
        <f t="shared" si="15"/>
        <v>0.22589120370685123</v>
      </c>
    </row>
    <row r="504" spans="1:12" x14ac:dyDescent="0.25">
      <c r="A504" s="3" t="s">
        <v>1711</v>
      </c>
      <c r="B504" s="3" t="s">
        <v>273</v>
      </c>
      <c r="C504" s="10">
        <v>45672.09983796296</v>
      </c>
      <c r="D504" s="10">
        <v>45672.102152777778</v>
      </c>
      <c r="E504" s="10">
        <v>45672.115127314813</v>
      </c>
      <c r="F504" s="10">
        <v>45672.116851851853</v>
      </c>
      <c r="G504" s="3" t="s">
        <v>1712</v>
      </c>
      <c r="H504" s="10">
        <v>45673.340532407397</v>
      </c>
      <c r="I504" s="10">
        <v>45673.360092592593</v>
      </c>
      <c r="J504" s="10">
        <v>45673.360937500001</v>
      </c>
      <c r="K504" s="11">
        <f t="shared" si="14"/>
        <v>1.2974537035916001E-2</v>
      </c>
      <c r="L504" s="11">
        <f t="shared" si="15"/>
        <v>1.2432407407395658</v>
      </c>
    </row>
    <row r="505" spans="1:12" x14ac:dyDescent="0.25">
      <c r="A505" s="3" t="s">
        <v>1714</v>
      </c>
      <c r="B505" s="3" t="s">
        <v>273</v>
      </c>
      <c r="C505" s="10">
        <v>45672.09983796296</v>
      </c>
      <c r="D505" s="10">
        <v>45672.102152777778</v>
      </c>
      <c r="E505" s="10">
        <v>45672.116851851853</v>
      </c>
      <c r="F505" s="10">
        <v>45672.118969907409</v>
      </c>
      <c r="G505" s="3" t="s">
        <v>1542</v>
      </c>
      <c r="H505" s="10">
        <v>45672.122870370367</v>
      </c>
      <c r="I505" s="10">
        <v>45672.155173611107</v>
      </c>
      <c r="J505" s="10">
        <v>45672.156134259261</v>
      </c>
      <c r="K505" s="11">
        <f t="shared" si="14"/>
        <v>1.4699074075906537E-2</v>
      </c>
      <c r="L505" s="11">
        <f t="shared" si="15"/>
        <v>3.6203703697538003E-2</v>
      </c>
    </row>
    <row r="506" spans="1:12" x14ac:dyDescent="0.25">
      <c r="A506" s="3" t="s">
        <v>1716</v>
      </c>
      <c r="B506" s="3" t="s">
        <v>274</v>
      </c>
      <c r="C506" s="10">
        <v>45672.191122685188</v>
      </c>
      <c r="D506" s="10">
        <v>45672.193923611107</v>
      </c>
      <c r="E506" s="10">
        <v>45672.201967592591</v>
      </c>
      <c r="F506" s="10">
        <v>45672.204884259263</v>
      </c>
      <c r="G506" s="3" t="s">
        <v>1717</v>
      </c>
      <c r="H506" s="10">
        <v>45672.207256944443</v>
      </c>
      <c r="I506" s="10">
        <v>45672.298703703702</v>
      </c>
      <c r="J506" s="10">
        <v>45672.300451388888</v>
      </c>
      <c r="K506" s="11">
        <f t="shared" si="14"/>
        <v>8.0439814846613444E-3</v>
      </c>
      <c r="L506" s="11">
        <f t="shared" si="15"/>
        <v>9.3819444438850041E-2</v>
      </c>
    </row>
    <row r="507" spans="1:12" x14ac:dyDescent="0.25">
      <c r="A507" s="3" t="s">
        <v>1719</v>
      </c>
      <c r="B507" s="3" t="s">
        <v>275</v>
      </c>
      <c r="C507" s="10">
        <v>45672.269918981481</v>
      </c>
      <c r="D507" s="10">
        <v>45672.272199074083</v>
      </c>
      <c r="E507" s="10">
        <v>45672.278090277781</v>
      </c>
      <c r="F507" s="10">
        <v>45672.279895833337</v>
      </c>
      <c r="G507" s="3" t="s">
        <v>1705</v>
      </c>
      <c r="H507" s="10">
        <v>45672.283796296288</v>
      </c>
      <c r="I507" s="10">
        <v>45672.339131944442</v>
      </c>
      <c r="J507" s="10">
        <v>45672.340324074074</v>
      </c>
      <c r="K507" s="11">
        <f t="shared" si="14"/>
        <v>5.8912036984111182E-3</v>
      </c>
      <c r="L507" s="11">
        <f t="shared" si="15"/>
        <v>5.9236111104837619E-2</v>
      </c>
    </row>
    <row r="508" spans="1:12" x14ac:dyDescent="0.25">
      <c r="A508" s="3" t="s">
        <v>1721</v>
      </c>
      <c r="B508" s="3" t="s">
        <v>276</v>
      </c>
      <c r="C508" s="10">
        <v>45672.296990740739</v>
      </c>
      <c r="D508" s="10">
        <v>45672.299525462957</v>
      </c>
      <c r="E508" s="10">
        <v>45672.315474537027</v>
      </c>
      <c r="F508" s="10">
        <v>45672.317453703698</v>
      </c>
      <c r="G508" s="3" t="s">
        <v>1689</v>
      </c>
      <c r="H508" s="10">
        <v>45672.321018518523</v>
      </c>
      <c r="I508" s="10">
        <v>45672.34101851852</v>
      </c>
      <c r="J508" s="10">
        <v>45672.341666666667</v>
      </c>
      <c r="K508" s="11">
        <f t="shared" si="14"/>
        <v>1.5949074069794733E-2</v>
      </c>
      <c r="L508" s="11">
        <f t="shared" si="15"/>
        <v>2.3564814822748303E-2</v>
      </c>
    </row>
    <row r="509" spans="1:12" x14ac:dyDescent="0.25">
      <c r="A509" s="3" t="s">
        <v>1723</v>
      </c>
      <c r="B509" s="3" t="s">
        <v>276</v>
      </c>
      <c r="C509" s="10">
        <v>45672.296990740739</v>
      </c>
      <c r="D509" s="10">
        <v>45672.299525462957</v>
      </c>
      <c r="E509" s="10">
        <v>45672.317453703698</v>
      </c>
      <c r="F509" s="10">
        <v>45672.319421296299</v>
      </c>
      <c r="G509" s="3" t="s">
        <v>1724</v>
      </c>
      <c r="H509" s="10">
        <v>45672.39162037037</v>
      </c>
      <c r="I509" s="10">
        <v>45672.413530092592</v>
      </c>
      <c r="J509" s="10">
        <v>45672.4143287037</v>
      </c>
      <c r="K509" s="11">
        <f t="shared" si="14"/>
        <v>1.7928240740729962E-2</v>
      </c>
      <c r="L509" s="11">
        <f t="shared" si="15"/>
        <v>9.4108796292857733E-2</v>
      </c>
    </row>
    <row r="510" spans="1:12" x14ac:dyDescent="0.25">
      <c r="A510" s="3" t="s">
        <v>1726</v>
      </c>
      <c r="B510" s="3" t="s">
        <v>276</v>
      </c>
      <c r="C510" s="10">
        <v>45672.296990740739</v>
      </c>
      <c r="D510" s="10">
        <v>45672.299525462957</v>
      </c>
      <c r="E510" s="10">
        <v>45672.319421296299</v>
      </c>
      <c r="F510" s="10">
        <v>45672.321203703701</v>
      </c>
      <c r="G510" s="3" t="s">
        <v>1727</v>
      </c>
      <c r="H510" s="10">
        <v>45672.669398148151</v>
      </c>
      <c r="I510" s="10">
        <v>45672.710856481477</v>
      </c>
      <c r="J510" s="10">
        <v>45672.711886574078</v>
      </c>
      <c r="K510" s="11">
        <f t="shared" si="14"/>
        <v>1.9895833342161495E-2</v>
      </c>
      <c r="L510" s="11">
        <f t="shared" si="15"/>
        <v>0.38965277777606389</v>
      </c>
    </row>
    <row r="511" spans="1:12" x14ac:dyDescent="0.25">
      <c r="A511" s="3" t="s">
        <v>1729</v>
      </c>
      <c r="B511" s="3" t="s">
        <v>276</v>
      </c>
      <c r="C511" s="10">
        <v>45672.296990740739</v>
      </c>
      <c r="D511" s="10">
        <v>45672.299525462957</v>
      </c>
      <c r="E511" s="10">
        <v>45672.321203703701</v>
      </c>
      <c r="F511" s="10">
        <v>45672.322916666657</v>
      </c>
      <c r="G511" s="3" t="s">
        <v>1712</v>
      </c>
      <c r="H511" s="10">
        <v>45673.340532407397</v>
      </c>
      <c r="I511" s="10">
        <v>45673.360092592593</v>
      </c>
      <c r="J511" s="10">
        <v>45673.360937500001</v>
      </c>
      <c r="K511" s="11">
        <f t="shared" si="14"/>
        <v>2.1678240744222421E-2</v>
      </c>
      <c r="L511" s="11">
        <f t="shared" si="15"/>
        <v>1.037175925936026</v>
      </c>
    </row>
    <row r="512" spans="1:12" x14ac:dyDescent="0.25">
      <c r="A512" s="3" t="s">
        <v>1731</v>
      </c>
      <c r="B512" s="3" t="s">
        <v>276</v>
      </c>
      <c r="C512" s="10">
        <v>45672.296990740739</v>
      </c>
      <c r="D512" s="10">
        <v>45672.299525462957</v>
      </c>
      <c r="E512" s="10">
        <v>45672.322916666657</v>
      </c>
      <c r="F512" s="10">
        <v>45672.324548611112</v>
      </c>
      <c r="G512" s="3" t="s">
        <v>1732</v>
      </c>
      <c r="H512" s="10">
        <v>45672.765289351853</v>
      </c>
      <c r="I512" s="10">
        <v>45672.79892361111</v>
      </c>
      <c r="J512" s="10">
        <v>45672.799803240741</v>
      </c>
      <c r="K512" s="11">
        <f t="shared" si="14"/>
        <v>2.3391203700157348E-2</v>
      </c>
      <c r="L512" s="11">
        <f t="shared" si="15"/>
        <v>0.47437499999796273</v>
      </c>
    </row>
    <row r="513" spans="1:12" x14ac:dyDescent="0.25">
      <c r="A513" s="3" t="s">
        <v>1734</v>
      </c>
      <c r="B513" s="3" t="s">
        <v>276</v>
      </c>
      <c r="C513" s="10">
        <v>45672.296990740739</v>
      </c>
      <c r="D513" s="10">
        <v>45672.299525462957</v>
      </c>
      <c r="E513" s="10">
        <v>45672.324548611112</v>
      </c>
      <c r="F513" s="10">
        <v>45672.325960648152</v>
      </c>
      <c r="G513" s="3" t="s">
        <v>1735</v>
      </c>
      <c r="H513" s="10">
        <v>45677.356562499997</v>
      </c>
      <c r="I513" s="10">
        <v>45677.741828703707</v>
      </c>
      <c r="J513" s="10">
        <v>45677.742604166669</v>
      </c>
      <c r="K513" s="11">
        <f t="shared" si="14"/>
        <v>2.5023148155014496E-2</v>
      </c>
      <c r="L513" s="11">
        <f t="shared" si="15"/>
        <v>5.4158680555556202</v>
      </c>
    </row>
    <row r="514" spans="1:12" x14ac:dyDescent="0.25">
      <c r="A514" s="3" t="s">
        <v>1737</v>
      </c>
      <c r="B514" s="3" t="s">
        <v>276</v>
      </c>
      <c r="C514" s="10">
        <v>45672.296990740739</v>
      </c>
      <c r="D514" s="10">
        <v>45672.299525462957</v>
      </c>
      <c r="E514" s="10">
        <v>45672.325960648152</v>
      </c>
      <c r="F514" s="10">
        <v>45672.328101851846</v>
      </c>
      <c r="G514" s="3" t="s">
        <v>1668</v>
      </c>
      <c r="H514" s="10">
        <v>45672.331666666672</v>
      </c>
      <c r="I514" s="10">
        <v>45672.364421296297</v>
      </c>
      <c r="J514" s="10">
        <v>45672.365254629629</v>
      </c>
      <c r="K514" s="11">
        <f t="shared" ref="K514:K577" si="16">IF(AND(ISNUMBER(D514),ISNUMBER(E514)),(E514-D514),"")</f>
        <v>2.6435185194713995E-2</v>
      </c>
      <c r="L514" s="11">
        <f t="shared" ref="L514:L577" si="17">IF(AND(ISNUMBER(F514),ISNUMBER(I514)),(I514-F514),"")</f>
        <v>3.6319444450782612E-2</v>
      </c>
    </row>
    <row r="515" spans="1:12" x14ac:dyDescent="0.25">
      <c r="A515" s="3" t="s">
        <v>1739</v>
      </c>
      <c r="B515" s="3" t="s">
        <v>276</v>
      </c>
      <c r="C515" s="10">
        <v>45672.296990740739</v>
      </c>
      <c r="D515" s="10">
        <v>45672.299525462957</v>
      </c>
      <c r="E515" s="10">
        <v>45672.328101851846</v>
      </c>
      <c r="F515" s="10">
        <v>45672.33016203704</v>
      </c>
      <c r="G515" s="3" t="s">
        <v>1724</v>
      </c>
      <c r="H515" s="10">
        <v>45672.39162037037</v>
      </c>
      <c r="I515" s="10">
        <v>45672.413530092592</v>
      </c>
      <c r="J515" s="10">
        <v>45672.4143287037</v>
      </c>
      <c r="K515" s="11">
        <f t="shared" si="16"/>
        <v>2.8576388889632653E-2</v>
      </c>
      <c r="L515" s="11">
        <f t="shared" si="17"/>
        <v>8.3368055551545694E-2</v>
      </c>
    </row>
    <row r="516" spans="1:12" x14ac:dyDescent="0.25">
      <c r="A516" s="3" t="s">
        <v>1741</v>
      </c>
      <c r="B516" s="3" t="s">
        <v>276</v>
      </c>
      <c r="C516" s="10">
        <v>45672.296990740739</v>
      </c>
      <c r="D516" s="10">
        <v>45672.299525462957</v>
      </c>
      <c r="E516" s="10">
        <v>45672.33016203704</v>
      </c>
      <c r="F516" s="10">
        <v>45672.331666666672</v>
      </c>
      <c r="G516" s="3" t="s">
        <v>1742</v>
      </c>
      <c r="H516" s="10">
        <v>45672.334641203714</v>
      </c>
      <c r="I516" s="10">
        <v>45672.359618055547</v>
      </c>
      <c r="J516" s="10">
        <v>45672.36041666667</v>
      </c>
      <c r="K516" s="11">
        <f t="shared" si="16"/>
        <v>3.0636574083473533E-2</v>
      </c>
      <c r="L516" s="11">
        <f t="shared" si="17"/>
        <v>2.7951388874498662E-2</v>
      </c>
    </row>
    <row r="517" spans="1:12" x14ac:dyDescent="0.25">
      <c r="A517" s="3" t="s">
        <v>1744</v>
      </c>
      <c r="B517" s="3" t="s">
        <v>277</v>
      </c>
      <c r="C517" s="10">
        <v>45672.311550925922</v>
      </c>
      <c r="D517" s="10">
        <v>45672.313298611109</v>
      </c>
      <c r="E517" s="10">
        <v>45672.332546296297</v>
      </c>
      <c r="F517" s="10">
        <v>45672.334826388891</v>
      </c>
      <c r="G517" s="3" t="s">
        <v>1745</v>
      </c>
      <c r="H517" s="10">
        <v>45672.337604166663</v>
      </c>
      <c r="I517" s="10">
        <v>45672.387372685182</v>
      </c>
      <c r="J517" s="10">
        <v>45672.388506944437</v>
      </c>
      <c r="K517" s="11">
        <f t="shared" si="16"/>
        <v>1.9247685188020114E-2</v>
      </c>
      <c r="L517" s="11">
        <f t="shared" si="17"/>
        <v>5.2546296290529426E-2</v>
      </c>
    </row>
    <row r="518" spans="1:12" x14ac:dyDescent="0.25">
      <c r="A518" s="3" t="s">
        <v>1747</v>
      </c>
      <c r="B518" s="3" t="s">
        <v>278</v>
      </c>
      <c r="C518" s="10">
        <v>45672.335405092592</v>
      </c>
      <c r="D518" s="10">
        <v>45672.337858796287</v>
      </c>
      <c r="E518" s="10">
        <v>45672.344317129631</v>
      </c>
      <c r="F518" s="10">
        <v>45672.34710648148</v>
      </c>
      <c r="G518" s="3" t="s">
        <v>1748</v>
      </c>
      <c r="H518" s="10">
        <v>45672.362546296303</v>
      </c>
      <c r="I518" s="10">
        <v>45672.429131944453</v>
      </c>
      <c r="J518" s="10">
        <v>45672.430532407408</v>
      </c>
      <c r="K518" s="11">
        <f t="shared" si="16"/>
        <v>6.4583333441987634E-3</v>
      </c>
      <c r="L518" s="11">
        <f t="shared" si="17"/>
        <v>8.202546297252411E-2</v>
      </c>
    </row>
    <row r="519" spans="1:12" x14ac:dyDescent="0.25">
      <c r="A519" s="3" t="s">
        <v>1750</v>
      </c>
      <c r="B519" s="3" t="s">
        <v>279</v>
      </c>
      <c r="C519" s="10">
        <v>45672.370324074072</v>
      </c>
      <c r="D519" s="10">
        <v>45672.372581018521</v>
      </c>
      <c r="E519" s="10">
        <v>45672.385763888888</v>
      </c>
      <c r="F519" s="10">
        <v>45672.387731481482</v>
      </c>
      <c r="G519" s="3" t="s">
        <v>1724</v>
      </c>
      <c r="H519" s="10">
        <v>45672.39162037037</v>
      </c>
      <c r="I519" s="10">
        <v>45672.413530092592</v>
      </c>
      <c r="J519" s="10">
        <v>45672.4143287037</v>
      </c>
      <c r="K519" s="11">
        <f t="shared" si="16"/>
        <v>1.318287036701804E-2</v>
      </c>
      <c r="L519" s="11">
        <f t="shared" si="17"/>
        <v>2.5798611110076308E-2</v>
      </c>
    </row>
    <row r="520" spans="1:12" x14ac:dyDescent="0.25">
      <c r="A520" s="3" t="s">
        <v>1752</v>
      </c>
      <c r="B520" s="3" t="s">
        <v>279</v>
      </c>
      <c r="C520" s="10">
        <v>45672.370324074072</v>
      </c>
      <c r="D520" s="10">
        <v>45672.372581018521</v>
      </c>
      <c r="E520" s="10">
        <v>45672.387731481482</v>
      </c>
      <c r="F520" s="10">
        <v>45672.389351851853</v>
      </c>
      <c r="G520" s="3" t="s">
        <v>1732</v>
      </c>
      <c r="H520" s="10">
        <v>45672.765289351853</v>
      </c>
      <c r="I520" s="10">
        <v>45672.79892361111</v>
      </c>
      <c r="J520" s="10">
        <v>45672.799803240741</v>
      </c>
      <c r="K520" s="11">
        <f t="shared" si="16"/>
        <v>1.5150462961173616E-2</v>
      </c>
      <c r="L520" s="11">
        <f t="shared" si="17"/>
        <v>0.40957175925723277</v>
      </c>
    </row>
    <row r="521" spans="1:12" x14ac:dyDescent="0.25">
      <c r="A521" s="3" t="s">
        <v>1754</v>
      </c>
      <c r="B521" s="3" t="s">
        <v>279</v>
      </c>
      <c r="C521" s="10">
        <v>45672.370324074072</v>
      </c>
      <c r="D521" s="10">
        <v>45672.372581018521</v>
      </c>
      <c r="E521" s="10">
        <v>45672.389351851853</v>
      </c>
      <c r="F521" s="10">
        <v>45672.390520833331</v>
      </c>
      <c r="G521" s="3" t="s">
        <v>1755</v>
      </c>
      <c r="H521" s="10">
        <v>45672.665578703702</v>
      </c>
      <c r="I521" s="10">
        <v>45672.685057870367</v>
      </c>
      <c r="J521" s="10">
        <v>45672.685752314806</v>
      </c>
      <c r="K521" s="11">
        <f t="shared" si="16"/>
        <v>1.6770833331975155E-2</v>
      </c>
      <c r="L521" s="11">
        <f t="shared" si="17"/>
        <v>0.29453703703620704</v>
      </c>
    </row>
    <row r="522" spans="1:12" x14ac:dyDescent="0.25">
      <c r="A522" s="3" t="s">
        <v>1757</v>
      </c>
      <c r="B522" s="3" t="s">
        <v>279</v>
      </c>
      <c r="C522" s="10">
        <v>45672.370324074072</v>
      </c>
      <c r="D522" s="10">
        <v>45672.372581018521</v>
      </c>
      <c r="E522" s="10">
        <v>45672.390520833331</v>
      </c>
      <c r="F522" s="10">
        <v>45672.39234953704</v>
      </c>
      <c r="G522" s="3" t="s">
        <v>1727</v>
      </c>
      <c r="H522" s="10">
        <v>45672.669398148151</v>
      </c>
      <c r="I522" s="10">
        <v>45672.710856481477</v>
      </c>
      <c r="J522" s="10">
        <v>45672.711886574078</v>
      </c>
      <c r="K522" s="11">
        <f t="shared" si="16"/>
        <v>1.7939814810233656E-2</v>
      </c>
      <c r="L522" s="11">
        <f t="shared" si="17"/>
        <v>0.31850694443710381</v>
      </c>
    </row>
    <row r="523" spans="1:12" x14ac:dyDescent="0.25">
      <c r="A523" s="3" t="s">
        <v>1759</v>
      </c>
      <c r="B523" s="3" t="s">
        <v>279</v>
      </c>
      <c r="C523" s="10">
        <v>45672.370324074072</v>
      </c>
      <c r="D523" s="10">
        <v>45672.372581018521</v>
      </c>
      <c r="E523" s="10">
        <v>45672.39234953704</v>
      </c>
      <c r="F523" s="10">
        <v>45672.393541666657</v>
      </c>
      <c r="G523" s="3" t="s">
        <v>1755</v>
      </c>
      <c r="H523" s="10">
        <v>45672.665578703702</v>
      </c>
      <c r="I523" s="10">
        <v>45672.685057870367</v>
      </c>
      <c r="J523" s="10">
        <v>45672.685752314806</v>
      </c>
      <c r="K523" s="11">
        <f t="shared" si="16"/>
        <v>1.9768518519413192E-2</v>
      </c>
      <c r="L523" s="11">
        <f t="shared" si="17"/>
        <v>0.29151620370976161</v>
      </c>
    </row>
    <row r="524" spans="1:12" x14ac:dyDescent="0.25">
      <c r="A524" s="3" t="s">
        <v>1761</v>
      </c>
      <c r="B524" s="3" t="s">
        <v>279</v>
      </c>
      <c r="C524" s="10">
        <v>45672.370324074072</v>
      </c>
      <c r="D524" s="10">
        <v>45672.372581018521</v>
      </c>
      <c r="E524" s="10">
        <v>45672.393541666657</v>
      </c>
      <c r="F524" s="10">
        <v>45672.395567129628</v>
      </c>
      <c r="G524" s="3" t="s">
        <v>1762</v>
      </c>
      <c r="H524" s="10">
        <v>45672.776562500003</v>
      </c>
      <c r="I524" s="10">
        <v>45672.808009259257</v>
      </c>
      <c r="J524" s="10">
        <v>45672.808692129627</v>
      </c>
      <c r="K524" s="11">
        <f t="shared" si="16"/>
        <v>2.0960648136679083E-2</v>
      </c>
      <c r="L524" s="11">
        <f t="shared" si="17"/>
        <v>0.41244212962919846</v>
      </c>
    </row>
    <row r="525" spans="1:12" x14ac:dyDescent="0.25">
      <c r="A525" s="3" t="s">
        <v>1764</v>
      </c>
      <c r="B525" s="3" t="s">
        <v>279</v>
      </c>
      <c r="C525" s="10">
        <v>45672.370324074072</v>
      </c>
      <c r="D525" s="10">
        <v>45672.372581018521</v>
      </c>
      <c r="E525" s="10">
        <v>45672.395567129628</v>
      </c>
      <c r="F525" s="10">
        <v>45672.397685185177</v>
      </c>
      <c r="G525" s="3" t="s">
        <v>1765</v>
      </c>
      <c r="H525" s="10">
        <v>45672.657430555562</v>
      </c>
      <c r="I525" s="10">
        <v>45672.691111111111</v>
      </c>
      <c r="J525" s="10">
        <v>45672.692048611112</v>
      </c>
      <c r="K525" s="11">
        <f t="shared" si="16"/>
        <v>2.2986111107456964E-2</v>
      </c>
      <c r="L525" s="11">
        <f t="shared" si="17"/>
        <v>0.29342592593457084</v>
      </c>
    </row>
    <row r="526" spans="1:12" x14ac:dyDescent="0.25">
      <c r="A526" s="3" t="s">
        <v>1767</v>
      </c>
      <c r="B526" s="3" t="s">
        <v>279</v>
      </c>
      <c r="C526" s="10">
        <v>45672.370324074072</v>
      </c>
      <c r="D526" s="10">
        <v>45672.372581018521</v>
      </c>
      <c r="E526" s="10">
        <v>45672.397685185177</v>
      </c>
      <c r="F526" s="10">
        <v>45672.399293981478</v>
      </c>
      <c r="G526" s="3" t="s">
        <v>1732</v>
      </c>
      <c r="H526" s="10">
        <v>45672.765289351853</v>
      </c>
      <c r="I526" s="10">
        <v>45672.79892361111</v>
      </c>
      <c r="J526" s="10">
        <v>45672.799803240741</v>
      </c>
      <c r="K526" s="11">
        <f t="shared" si="16"/>
        <v>2.5104166656092275E-2</v>
      </c>
      <c r="L526" s="11">
        <f t="shared" si="17"/>
        <v>0.39962962963181781</v>
      </c>
    </row>
    <row r="527" spans="1:12" x14ac:dyDescent="0.25">
      <c r="A527" s="3" t="s">
        <v>1769</v>
      </c>
      <c r="B527" s="3" t="s">
        <v>280</v>
      </c>
      <c r="C527" s="10">
        <v>45672.378738425927</v>
      </c>
      <c r="D527" s="10">
        <v>45672.38071759259</v>
      </c>
      <c r="E527" s="10">
        <v>45672.40016203704</v>
      </c>
      <c r="F527" s="10">
        <v>45672.402037037027</v>
      </c>
      <c r="G527" s="3" t="s">
        <v>1770</v>
      </c>
      <c r="H527" s="10">
        <v>45672.404398148137</v>
      </c>
      <c r="I527" s="10">
        <v>45672.459513888891</v>
      </c>
      <c r="J527" s="10">
        <v>45672.460717592592</v>
      </c>
      <c r="K527" s="11">
        <f t="shared" si="16"/>
        <v>1.9444444449618459E-2</v>
      </c>
      <c r="L527" s="11">
        <f t="shared" si="17"/>
        <v>5.7476851863611955E-2</v>
      </c>
    </row>
    <row r="528" spans="1:12" x14ac:dyDescent="0.25">
      <c r="A528" s="3" t="s">
        <v>1772</v>
      </c>
      <c r="B528" s="3" t="s">
        <v>280</v>
      </c>
      <c r="C528" s="10">
        <v>45672.378738425927</v>
      </c>
      <c r="D528" s="10">
        <v>45672.38071759259</v>
      </c>
      <c r="E528" s="10">
        <v>45672.402037037027</v>
      </c>
      <c r="F528" s="10">
        <v>45672.403634259259</v>
      </c>
      <c r="G528" s="3" t="s">
        <v>1698</v>
      </c>
      <c r="H528" s="10">
        <v>45672.429166666669</v>
      </c>
      <c r="I528" s="10">
        <v>45672.450798611113</v>
      </c>
      <c r="J528" s="10">
        <v>45672.451597222222</v>
      </c>
      <c r="K528" s="11">
        <f t="shared" si="16"/>
        <v>2.1319444436812773E-2</v>
      </c>
      <c r="L528" s="11">
        <f t="shared" si="17"/>
        <v>4.7164351854007691E-2</v>
      </c>
    </row>
    <row r="529" spans="1:12" x14ac:dyDescent="0.25">
      <c r="A529" s="3" t="s">
        <v>1774</v>
      </c>
      <c r="B529" s="3" t="s">
        <v>281</v>
      </c>
      <c r="C529" s="10">
        <v>45672.414571759262</v>
      </c>
      <c r="D529" s="10">
        <v>45672.41679398148</v>
      </c>
      <c r="E529" s="10">
        <v>45672.423726851863</v>
      </c>
      <c r="F529" s="10">
        <v>45672.425243055557</v>
      </c>
      <c r="G529" s="3" t="s">
        <v>1698</v>
      </c>
      <c r="H529" s="10">
        <v>45672.429166666669</v>
      </c>
      <c r="I529" s="10">
        <v>45672.450798611113</v>
      </c>
      <c r="J529" s="10">
        <v>45672.451597222222</v>
      </c>
      <c r="K529" s="11">
        <f t="shared" si="16"/>
        <v>6.932870383025147E-3</v>
      </c>
      <c r="L529" s="11">
        <f t="shared" si="17"/>
        <v>2.5555555555911269E-2</v>
      </c>
    </row>
    <row r="530" spans="1:12" x14ac:dyDescent="0.25">
      <c r="A530" s="3" t="s">
        <v>1776</v>
      </c>
      <c r="B530" s="3" t="s">
        <v>281</v>
      </c>
      <c r="C530" s="10">
        <v>45672.414571759262</v>
      </c>
      <c r="D530" s="10">
        <v>45672.41679398148</v>
      </c>
      <c r="E530" s="10">
        <v>45672.425243055557</v>
      </c>
      <c r="F530" s="10">
        <v>45672.427534722221</v>
      </c>
      <c r="G530" s="3" t="s">
        <v>1777</v>
      </c>
      <c r="H530" s="10">
        <v>45672.429722222223</v>
      </c>
      <c r="I530" s="10">
        <v>45672.475231481483</v>
      </c>
      <c r="J530" s="10">
        <v>45672.476354166669</v>
      </c>
      <c r="K530" s="11">
        <f t="shared" si="16"/>
        <v>8.449074077361729E-3</v>
      </c>
      <c r="L530" s="11">
        <f t="shared" si="17"/>
        <v>4.7696759262180422E-2</v>
      </c>
    </row>
    <row r="531" spans="1:12" x14ac:dyDescent="0.25">
      <c r="A531" s="3" t="s">
        <v>1779</v>
      </c>
      <c r="B531" s="3" t="s">
        <v>282</v>
      </c>
      <c r="C531" s="10">
        <v>45672.540914351863</v>
      </c>
      <c r="D531" s="10">
        <v>45672.54278935185</v>
      </c>
      <c r="E531" s="10">
        <v>45672.547372685192</v>
      </c>
      <c r="F531" s="10">
        <v>45672.549363425933</v>
      </c>
      <c r="G531" s="3" t="s">
        <v>1780</v>
      </c>
      <c r="H531" s="10">
        <v>45672.551747685182</v>
      </c>
      <c r="I531" s="10">
        <v>45672.573599537027</v>
      </c>
      <c r="J531" s="10">
        <v>45672.574421296304</v>
      </c>
      <c r="K531" s="11">
        <f t="shared" si="16"/>
        <v>4.5833333424525335E-3</v>
      </c>
      <c r="L531" s="11">
        <f t="shared" si="17"/>
        <v>2.4236111094069201E-2</v>
      </c>
    </row>
    <row r="532" spans="1:12" x14ac:dyDescent="0.25">
      <c r="A532" s="3" t="s">
        <v>1782</v>
      </c>
      <c r="B532" s="3" t="s">
        <v>283</v>
      </c>
      <c r="C532" s="10">
        <v>45672.627418981479</v>
      </c>
      <c r="D532" s="10">
        <v>45672.630208333343</v>
      </c>
      <c r="E532" s="10">
        <v>45672.647696759261</v>
      </c>
      <c r="F532" s="10">
        <v>45672.649328703701</v>
      </c>
      <c r="G532" s="3" t="s">
        <v>1732</v>
      </c>
      <c r="H532" s="10">
        <v>45672.765289351853</v>
      </c>
      <c r="I532" s="10">
        <v>45672.79892361111</v>
      </c>
      <c r="J532" s="10">
        <v>45672.799803240741</v>
      </c>
      <c r="K532" s="11">
        <f t="shared" si="16"/>
        <v>1.748842591769062E-2</v>
      </c>
      <c r="L532" s="11">
        <f t="shared" si="17"/>
        <v>0.14959490740875481</v>
      </c>
    </row>
    <row r="533" spans="1:12" x14ac:dyDescent="0.25">
      <c r="A533" s="3" t="s">
        <v>1784</v>
      </c>
      <c r="B533" s="3" t="s">
        <v>283</v>
      </c>
      <c r="C533" s="10">
        <v>45672.627418981479</v>
      </c>
      <c r="D533" s="10">
        <v>45672.630208333343</v>
      </c>
      <c r="E533" s="10">
        <v>45672.649328703701</v>
      </c>
      <c r="F533" s="10">
        <v>45672.651238425933</v>
      </c>
      <c r="G533" s="3" t="s">
        <v>1762</v>
      </c>
      <c r="H533" s="10">
        <v>45672.776562500003</v>
      </c>
      <c r="I533" s="10">
        <v>45672.808009259257</v>
      </c>
      <c r="J533" s="10">
        <v>45672.808692129627</v>
      </c>
      <c r="K533" s="11">
        <f t="shared" si="16"/>
        <v>1.9120370357995853E-2</v>
      </c>
      <c r="L533" s="11">
        <f t="shared" si="17"/>
        <v>0.15677083332411712</v>
      </c>
    </row>
    <row r="534" spans="1:12" x14ac:dyDescent="0.25">
      <c r="A534" s="3" t="s">
        <v>1786</v>
      </c>
      <c r="B534" s="3" t="s">
        <v>283</v>
      </c>
      <c r="C534" s="10">
        <v>45672.627418981479</v>
      </c>
      <c r="D534" s="10">
        <v>45672.630208333343</v>
      </c>
      <c r="E534" s="10">
        <v>45672.651238425933</v>
      </c>
      <c r="F534" s="10">
        <v>45672.653541666667</v>
      </c>
      <c r="G534" s="3" t="s">
        <v>1765</v>
      </c>
      <c r="H534" s="10">
        <v>45672.657430555562</v>
      </c>
      <c r="I534" s="10">
        <v>45672.691111111111</v>
      </c>
      <c r="J534" s="10">
        <v>45672.692048611112</v>
      </c>
      <c r="K534" s="11">
        <f t="shared" si="16"/>
        <v>2.103009259008104E-2</v>
      </c>
      <c r="L534" s="11">
        <f t="shared" si="17"/>
        <v>3.7569444444670808E-2</v>
      </c>
    </row>
    <row r="535" spans="1:12" x14ac:dyDescent="0.25">
      <c r="A535" s="3" t="s">
        <v>1788</v>
      </c>
      <c r="B535" s="3" t="s">
        <v>283</v>
      </c>
      <c r="C535" s="10">
        <v>45672.627418981479</v>
      </c>
      <c r="D535" s="10">
        <v>45672.630208333343</v>
      </c>
      <c r="E535" s="10">
        <v>45672.653541666667</v>
      </c>
      <c r="F535" s="10">
        <v>45672.655289351853</v>
      </c>
      <c r="G535" s="3" t="s">
        <v>1789</v>
      </c>
      <c r="H535" s="10">
        <v>45674.346782407411</v>
      </c>
      <c r="I535" s="10">
        <v>45674.928761574083</v>
      </c>
      <c r="J535" s="10">
        <v>45674.930115740739</v>
      </c>
      <c r="K535" s="11">
        <f t="shared" si="16"/>
        <v>2.3333333323535044E-2</v>
      </c>
      <c r="L535" s="11">
        <f t="shared" si="17"/>
        <v>2.273472222230339</v>
      </c>
    </row>
    <row r="536" spans="1:12" x14ac:dyDescent="0.25">
      <c r="A536" s="3" t="s">
        <v>1791</v>
      </c>
      <c r="B536" s="3" t="s">
        <v>283</v>
      </c>
      <c r="C536" s="10">
        <v>45672.627418981479</v>
      </c>
      <c r="D536" s="10">
        <v>45672.630208333343</v>
      </c>
      <c r="E536" s="10">
        <v>45672.655289351853</v>
      </c>
      <c r="F536" s="10">
        <v>45672.657430555562</v>
      </c>
      <c r="G536" s="3" t="s">
        <v>1792</v>
      </c>
      <c r="H536" s="10">
        <v>45672.763310185182</v>
      </c>
      <c r="I536" s="10">
        <v>45672.784456018519</v>
      </c>
      <c r="J536" s="10">
        <v>45672.785277777781</v>
      </c>
      <c r="K536" s="11">
        <f t="shared" si="16"/>
        <v>2.5081018509808928E-2</v>
      </c>
      <c r="L536" s="11">
        <f t="shared" si="17"/>
        <v>0.12702546295622597</v>
      </c>
    </row>
    <row r="537" spans="1:12" x14ac:dyDescent="0.25">
      <c r="A537" s="3" t="s">
        <v>1794</v>
      </c>
      <c r="B537" s="3" t="s">
        <v>283</v>
      </c>
      <c r="C537" s="10">
        <v>45672.627418981479</v>
      </c>
      <c r="D537" s="10">
        <v>45672.630208333343</v>
      </c>
      <c r="E537" s="10">
        <v>45672.657430555562</v>
      </c>
      <c r="F537" s="10">
        <v>45672.659050925933</v>
      </c>
      <c r="G537" s="3" t="s">
        <v>1732</v>
      </c>
      <c r="H537" s="10">
        <v>45672.765289351853</v>
      </c>
      <c r="I537" s="10">
        <v>45672.79892361111</v>
      </c>
      <c r="J537" s="10">
        <v>45672.799803240741</v>
      </c>
      <c r="K537" s="11">
        <f t="shared" si="16"/>
        <v>2.7222222219279502E-2</v>
      </c>
      <c r="L537" s="11">
        <f t="shared" si="17"/>
        <v>0.13987268517666962</v>
      </c>
    </row>
    <row r="538" spans="1:12" x14ac:dyDescent="0.25">
      <c r="A538" s="3" t="s">
        <v>1796</v>
      </c>
      <c r="B538" s="3" t="s">
        <v>283</v>
      </c>
      <c r="C538" s="10">
        <v>45672.627418981479</v>
      </c>
      <c r="D538" s="10">
        <v>45672.630208333343</v>
      </c>
      <c r="E538" s="10">
        <v>45672.659050925933</v>
      </c>
      <c r="F538" s="10">
        <v>45672.660763888889</v>
      </c>
      <c r="G538" s="3" t="s">
        <v>1712</v>
      </c>
      <c r="H538" s="10">
        <v>45673.340532407397</v>
      </c>
      <c r="I538" s="10">
        <v>45673.360092592593</v>
      </c>
      <c r="J538" s="10">
        <v>45673.360937500001</v>
      </c>
      <c r="K538" s="11">
        <f t="shared" si="16"/>
        <v>2.884259259008104E-2</v>
      </c>
      <c r="L538" s="11">
        <f t="shared" si="17"/>
        <v>0.69932870370394085</v>
      </c>
    </row>
    <row r="539" spans="1:12" x14ac:dyDescent="0.25">
      <c r="A539" s="3" t="s">
        <v>1798</v>
      </c>
      <c r="B539" s="3" t="s">
        <v>283</v>
      </c>
      <c r="C539" s="10">
        <v>45672.627418981479</v>
      </c>
      <c r="D539" s="10">
        <v>45672.630208333343</v>
      </c>
      <c r="E539" s="10">
        <v>45672.660763888889</v>
      </c>
      <c r="F539" s="10">
        <v>45672.66201388889</v>
      </c>
      <c r="G539" s="3" t="s">
        <v>1755</v>
      </c>
      <c r="H539" s="10">
        <v>45672.665578703702</v>
      </c>
      <c r="I539" s="10">
        <v>45672.685057870367</v>
      </c>
      <c r="J539" s="10">
        <v>45672.685752314806</v>
      </c>
      <c r="K539" s="11">
        <f t="shared" si="16"/>
        <v>3.0555555546015967E-2</v>
      </c>
      <c r="L539" s="11">
        <f t="shared" si="17"/>
        <v>2.304398147680331E-2</v>
      </c>
    </row>
    <row r="540" spans="1:12" x14ac:dyDescent="0.25">
      <c r="A540" s="3" t="s">
        <v>1800</v>
      </c>
      <c r="B540" s="3" t="s">
        <v>283</v>
      </c>
      <c r="C540" s="10">
        <v>45672.627418981479</v>
      </c>
      <c r="D540" s="10">
        <v>45672.630208333343</v>
      </c>
      <c r="E540" s="10">
        <v>45672.66201388889</v>
      </c>
      <c r="F540" s="10">
        <v>45672.663530092592</v>
      </c>
      <c r="G540" s="3" t="s">
        <v>1801</v>
      </c>
      <c r="H540" s="10">
        <v>45674.135879629634</v>
      </c>
      <c r="I540" s="10">
        <v>45674.370185185187</v>
      </c>
      <c r="J540" s="10">
        <v>45674.371041666673</v>
      </c>
      <c r="K540" s="11">
        <f t="shared" si="16"/>
        <v>3.180555554718012E-2</v>
      </c>
      <c r="L540" s="11">
        <f t="shared" si="17"/>
        <v>1.7066550925956108</v>
      </c>
    </row>
    <row r="541" spans="1:12" x14ac:dyDescent="0.25">
      <c r="A541" s="3" t="s">
        <v>1803</v>
      </c>
      <c r="B541" s="3" t="s">
        <v>283</v>
      </c>
      <c r="C541" s="10">
        <v>45672.627418981479</v>
      </c>
      <c r="D541" s="10">
        <v>45672.630208333343</v>
      </c>
      <c r="E541" s="10">
        <v>45672.663530092592</v>
      </c>
      <c r="F541" s="10">
        <v>45672.665509259263</v>
      </c>
      <c r="G541" s="3" t="s">
        <v>1727</v>
      </c>
      <c r="H541" s="10">
        <v>45672.669398148151</v>
      </c>
      <c r="I541" s="10">
        <v>45672.710856481477</v>
      </c>
      <c r="J541" s="10">
        <v>45672.711886574078</v>
      </c>
      <c r="K541" s="11">
        <f t="shared" si="16"/>
        <v>3.3321759248792659E-2</v>
      </c>
      <c r="L541" s="11">
        <f t="shared" si="17"/>
        <v>4.534722221433185E-2</v>
      </c>
    </row>
    <row r="542" spans="1:12" x14ac:dyDescent="0.25">
      <c r="A542" s="3" t="s">
        <v>1805</v>
      </c>
      <c r="B542" s="3" t="s">
        <v>284</v>
      </c>
      <c r="C542" s="10">
        <v>45672.647766203707</v>
      </c>
      <c r="D542" s="10">
        <v>45672.649178240739</v>
      </c>
      <c r="E542" s="10">
        <v>45672.666377314818</v>
      </c>
      <c r="F542" s="10">
        <v>45672.667847222219</v>
      </c>
      <c r="G542" s="3" t="s">
        <v>1806</v>
      </c>
      <c r="H542" s="10">
        <v>45672.670243055552</v>
      </c>
      <c r="I542" s="10">
        <v>45672.705879629633</v>
      </c>
      <c r="J542" s="10">
        <v>45672.706678240742</v>
      </c>
      <c r="K542" s="11">
        <f t="shared" si="16"/>
        <v>1.7199074078234844E-2</v>
      </c>
      <c r="L542" s="11">
        <f t="shared" si="17"/>
        <v>3.8032407413993496E-2</v>
      </c>
    </row>
    <row r="543" spans="1:12" x14ac:dyDescent="0.25">
      <c r="A543" s="3" t="s">
        <v>1808</v>
      </c>
      <c r="B543" s="3" t="s">
        <v>285</v>
      </c>
      <c r="C543" s="10">
        <v>45672.718310185177</v>
      </c>
      <c r="D543" s="10">
        <v>45672.720648148148</v>
      </c>
      <c r="E543" s="10">
        <v>45672.7268287037</v>
      </c>
      <c r="F543" s="10">
        <v>45672.728703703702</v>
      </c>
      <c r="G543" s="3" t="s">
        <v>1809</v>
      </c>
      <c r="H543" s="10">
        <v>45672.731099537043</v>
      </c>
      <c r="I543" s="10">
        <v>45672.788460648153</v>
      </c>
      <c r="J543" s="10">
        <v>45672.789675925917</v>
      </c>
      <c r="K543" s="11">
        <f t="shared" si="16"/>
        <v>6.1805555524188094E-3</v>
      </c>
      <c r="L543" s="11">
        <f t="shared" si="17"/>
        <v>5.9756944450782612E-2</v>
      </c>
    </row>
    <row r="544" spans="1:12" x14ac:dyDescent="0.25">
      <c r="A544" s="3" t="s">
        <v>1811</v>
      </c>
      <c r="B544" s="3" t="s">
        <v>286</v>
      </c>
      <c r="C544" s="10">
        <v>45672.735393518517</v>
      </c>
      <c r="D544" s="10">
        <v>45672.737673611111</v>
      </c>
      <c r="E544" s="10">
        <v>45672.754479166673</v>
      </c>
      <c r="F544" s="10">
        <v>45672.756388888891</v>
      </c>
      <c r="G544" s="3" t="s">
        <v>1762</v>
      </c>
      <c r="H544" s="10">
        <v>45672.776562500003</v>
      </c>
      <c r="I544" s="10">
        <v>45672.808009259257</v>
      </c>
      <c r="J544" s="10">
        <v>45672.808692129627</v>
      </c>
      <c r="K544" s="11">
        <f t="shared" si="16"/>
        <v>1.6805555562314112E-2</v>
      </c>
      <c r="L544" s="11">
        <f t="shared" si="17"/>
        <v>5.1620370366435964E-2</v>
      </c>
    </row>
    <row r="545" spans="1:12" x14ac:dyDescent="0.25">
      <c r="A545" s="3" t="s">
        <v>1813</v>
      </c>
      <c r="B545" s="3" t="s">
        <v>286</v>
      </c>
      <c r="C545" s="10">
        <v>45672.735393518517</v>
      </c>
      <c r="D545" s="10">
        <v>45672.737673611111</v>
      </c>
      <c r="E545" s="10">
        <v>45672.756388888891</v>
      </c>
      <c r="F545" s="10">
        <v>45672.757777777777</v>
      </c>
      <c r="G545" s="3" t="s">
        <v>1735</v>
      </c>
      <c r="H545" s="10">
        <v>45677.356562499997</v>
      </c>
      <c r="I545" s="10">
        <v>45677.741828703707</v>
      </c>
      <c r="J545" s="10">
        <v>45677.742604166669</v>
      </c>
      <c r="K545" s="11">
        <f t="shared" si="16"/>
        <v>1.8715277779847383E-2</v>
      </c>
      <c r="L545" s="11">
        <f t="shared" si="17"/>
        <v>4.9840509259302053</v>
      </c>
    </row>
    <row r="546" spans="1:12" x14ac:dyDescent="0.25">
      <c r="A546" s="3" t="s">
        <v>1815</v>
      </c>
      <c r="B546" s="3" t="s">
        <v>286</v>
      </c>
      <c r="C546" s="10">
        <v>45672.735393518517</v>
      </c>
      <c r="D546" s="10">
        <v>45672.737673611111</v>
      </c>
      <c r="E546" s="10">
        <v>45672.757777777777</v>
      </c>
      <c r="F546" s="10">
        <v>45672.759745370371</v>
      </c>
      <c r="G546" s="3" t="s">
        <v>1792</v>
      </c>
      <c r="H546" s="10">
        <v>45672.763310185182</v>
      </c>
      <c r="I546" s="10">
        <v>45672.784456018519</v>
      </c>
      <c r="J546" s="10">
        <v>45672.785277777781</v>
      </c>
      <c r="K546" s="11">
        <f t="shared" si="16"/>
        <v>2.0104166665987577E-2</v>
      </c>
      <c r="L546" s="11">
        <f t="shared" si="17"/>
        <v>2.47106481474475E-2</v>
      </c>
    </row>
    <row r="547" spans="1:12" x14ac:dyDescent="0.25">
      <c r="A547" s="3" t="s">
        <v>1817</v>
      </c>
      <c r="B547" s="3" t="s">
        <v>286</v>
      </c>
      <c r="C547" s="10">
        <v>45672.735393518517</v>
      </c>
      <c r="D547" s="10">
        <v>45672.737673611111</v>
      </c>
      <c r="E547" s="10">
        <v>45672.759745370371</v>
      </c>
      <c r="F547" s="10">
        <v>45672.761365740742</v>
      </c>
      <c r="G547" s="3" t="s">
        <v>1732</v>
      </c>
      <c r="H547" s="10">
        <v>45672.765289351853</v>
      </c>
      <c r="I547" s="10">
        <v>45672.79892361111</v>
      </c>
      <c r="J547" s="10">
        <v>45672.799803240741</v>
      </c>
      <c r="K547" s="11">
        <f t="shared" si="16"/>
        <v>2.2071759260143153E-2</v>
      </c>
      <c r="L547" s="11">
        <f t="shared" si="17"/>
        <v>3.7557870367891155E-2</v>
      </c>
    </row>
    <row r="548" spans="1:12" x14ac:dyDescent="0.25">
      <c r="A548" s="3" t="s">
        <v>1819</v>
      </c>
      <c r="B548" s="3" t="s">
        <v>286</v>
      </c>
      <c r="C548" s="10">
        <v>45672.735393518517</v>
      </c>
      <c r="D548" s="10">
        <v>45672.737673611111</v>
      </c>
      <c r="E548" s="10">
        <v>45672.761365740742</v>
      </c>
      <c r="F548" s="10">
        <v>45672.763425925928</v>
      </c>
      <c r="G548" s="3" t="s">
        <v>1820</v>
      </c>
      <c r="H548" s="10">
        <v>45673.428900462961</v>
      </c>
      <c r="I548" s="10">
        <v>45673.449386574073</v>
      </c>
      <c r="J548" s="10">
        <v>45673.450127314813</v>
      </c>
      <c r="K548" s="11">
        <f t="shared" si="16"/>
        <v>2.3692129630944692E-2</v>
      </c>
      <c r="L548" s="11">
        <f t="shared" si="17"/>
        <v>0.68596064814482816</v>
      </c>
    </row>
    <row r="549" spans="1:12" x14ac:dyDescent="0.25">
      <c r="A549" s="3" t="s">
        <v>1822</v>
      </c>
      <c r="B549" s="3" t="s">
        <v>286</v>
      </c>
      <c r="C549" s="10">
        <v>45672.735393518517</v>
      </c>
      <c r="D549" s="10">
        <v>45672.737673611111</v>
      </c>
      <c r="E549" s="10">
        <v>45672.763425925928</v>
      </c>
      <c r="F549" s="10">
        <v>45672.765393518523</v>
      </c>
      <c r="G549" s="3" t="s">
        <v>1823</v>
      </c>
      <c r="H549" s="10">
        <v>45673.327187499999</v>
      </c>
      <c r="I549" s="10">
        <v>45673.357129629629</v>
      </c>
      <c r="J549" s="10">
        <v>45673.357951388891</v>
      </c>
      <c r="K549" s="11">
        <f t="shared" si="16"/>
        <v>2.5752314817509614E-2</v>
      </c>
      <c r="L549" s="11">
        <f t="shared" si="17"/>
        <v>0.59173611110600177</v>
      </c>
    </row>
    <row r="550" spans="1:12" x14ac:dyDescent="0.25">
      <c r="A550" s="3" t="s">
        <v>1825</v>
      </c>
      <c r="B550" s="3" t="s">
        <v>286</v>
      </c>
      <c r="C550" s="10">
        <v>45672.735393518517</v>
      </c>
      <c r="D550" s="10">
        <v>45672.737673611111</v>
      </c>
      <c r="E550" s="10">
        <v>45672.765393518523</v>
      </c>
      <c r="F550" s="10">
        <v>45672.766585648147</v>
      </c>
      <c r="G550" s="3" t="s">
        <v>1826</v>
      </c>
      <c r="H550" s="10">
        <v>45673.124016203707</v>
      </c>
      <c r="I550" s="10">
        <v>45673.149942129632</v>
      </c>
      <c r="J550" s="10">
        <v>45673.150740740741</v>
      </c>
      <c r="K550" s="11">
        <f t="shared" si="16"/>
        <v>2.771990741166519E-2</v>
      </c>
      <c r="L550" s="11">
        <f t="shared" si="17"/>
        <v>0.38335648148495238</v>
      </c>
    </row>
    <row r="551" spans="1:12" x14ac:dyDescent="0.25">
      <c r="A551" s="3" t="s">
        <v>1828</v>
      </c>
      <c r="B551" s="3" t="s">
        <v>286</v>
      </c>
      <c r="C551" s="10">
        <v>45672.735393518517</v>
      </c>
      <c r="D551" s="10">
        <v>45672.737673611111</v>
      </c>
      <c r="E551" s="10">
        <v>45672.766585648147</v>
      </c>
      <c r="F551" s="10">
        <v>45672.768078703702</v>
      </c>
      <c r="G551" s="3" t="s">
        <v>1801</v>
      </c>
      <c r="H551" s="10">
        <v>45674.135879629634</v>
      </c>
      <c r="I551" s="10">
        <v>45674.370185185187</v>
      </c>
      <c r="J551" s="10">
        <v>45674.371041666673</v>
      </c>
      <c r="K551" s="11">
        <f t="shared" si="16"/>
        <v>2.8912037036207039E-2</v>
      </c>
      <c r="L551" s="11">
        <f t="shared" si="17"/>
        <v>1.6021064814849524</v>
      </c>
    </row>
    <row r="552" spans="1:12" x14ac:dyDescent="0.25">
      <c r="A552" s="3" t="s">
        <v>1830</v>
      </c>
      <c r="B552" s="3" t="s">
        <v>286</v>
      </c>
      <c r="C552" s="10">
        <v>45672.735393518517</v>
      </c>
      <c r="D552" s="10">
        <v>45672.737673611111</v>
      </c>
      <c r="E552" s="10">
        <v>45672.768078703702</v>
      </c>
      <c r="F552" s="10">
        <v>45672.769907407397</v>
      </c>
      <c r="G552" s="3" t="s">
        <v>1831</v>
      </c>
      <c r="H552" s="10">
        <v>45674.312847222223</v>
      </c>
      <c r="I552" s="10">
        <v>45674.462627314817</v>
      </c>
      <c r="J552" s="10">
        <v>45674.463449074072</v>
      </c>
      <c r="K552" s="11">
        <f t="shared" si="16"/>
        <v>3.0405092591536231E-2</v>
      </c>
      <c r="L552" s="11">
        <f t="shared" si="17"/>
        <v>1.6927199074198143</v>
      </c>
    </row>
    <row r="553" spans="1:12" x14ac:dyDescent="0.25">
      <c r="A553" s="3" t="s">
        <v>1833</v>
      </c>
      <c r="B553" s="3" t="s">
        <v>286</v>
      </c>
      <c r="C553" s="10">
        <v>45672.735393518517</v>
      </c>
      <c r="D553" s="10">
        <v>45672.737673611111</v>
      </c>
      <c r="E553" s="10">
        <v>45672.769907407397</v>
      </c>
      <c r="F553" s="10">
        <v>45672.771851851852</v>
      </c>
      <c r="G553" s="3" t="s">
        <v>1762</v>
      </c>
      <c r="H553" s="10">
        <v>45672.776562500003</v>
      </c>
      <c r="I553" s="10">
        <v>45672.808009259257</v>
      </c>
      <c r="J553" s="10">
        <v>45672.808692129627</v>
      </c>
      <c r="K553" s="11">
        <f t="shared" si="16"/>
        <v>3.2233796286163852E-2</v>
      </c>
      <c r="L553" s="11">
        <f t="shared" si="17"/>
        <v>3.6157407404971309E-2</v>
      </c>
    </row>
    <row r="554" spans="1:12" x14ac:dyDescent="0.25">
      <c r="A554" s="3" t="s">
        <v>1835</v>
      </c>
      <c r="B554" s="3" t="s">
        <v>286</v>
      </c>
      <c r="C554" s="10">
        <v>45672.735393518517</v>
      </c>
      <c r="D554" s="10">
        <v>45672.737673611111</v>
      </c>
      <c r="E554" s="10">
        <v>45672.771851851852</v>
      </c>
      <c r="F554" s="10">
        <v>45672.773182870369</v>
      </c>
      <c r="G554" s="3" t="s">
        <v>1836</v>
      </c>
      <c r="H554" s="10">
        <v>45673.428900462961</v>
      </c>
      <c r="I554" s="10">
        <v>45673.473969907413</v>
      </c>
      <c r="J554" s="10">
        <v>45673.474745370368</v>
      </c>
      <c r="K554" s="11">
        <f t="shared" si="16"/>
        <v>3.4178240741312038E-2</v>
      </c>
      <c r="L554" s="11">
        <f t="shared" si="17"/>
        <v>0.700787037043483</v>
      </c>
    </row>
    <row r="555" spans="1:12" x14ac:dyDescent="0.25">
      <c r="A555" s="3" t="s">
        <v>1838</v>
      </c>
      <c r="B555" s="3" t="s">
        <v>287</v>
      </c>
      <c r="C555" s="10">
        <v>45673.110509259262</v>
      </c>
      <c r="D555" s="10">
        <v>45673.112557870372</v>
      </c>
      <c r="E555" s="10">
        <v>45673.120162037027</v>
      </c>
      <c r="F555" s="10">
        <v>45673.121620370373</v>
      </c>
      <c r="G555" s="3" t="s">
        <v>1826</v>
      </c>
      <c r="H555" s="10">
        <v>45673.124016203707</v>
      </c>
      <c r="I555" s="10">
        <v>45673.149942129632</v>
      </c>
      <c r="J555" s="10">
        <v>45673.150740740741</v>
      </c>
      <c r="K555" s="11">
        <f t="shared" si="16"/>
        <v>7.6041666543460451E-3</v>
      </c>
      <c r="L555" s="11">
        <f t="shared" si="17"/>
        <v>2.8321759258687962E-2</v>
      </c>
    </row>
    <row r="556" spans="1:12" x14ac:dyDescent="0.25">
      <c r="A556" s="3" t="s">
        <v>1840</v>
      </c>
      <c r="B556" s="3" t="s">
        <v>287</v>
      </c>
      <c r="C556" s="10">
        <v>45673.110509259262</v>
      </c>
      <c r="D556" s="10">
        <v>45673.112557870372</v>
      </c>
      <c r="E556" s="10">
        <v>45673.121620370373</v>
      </c>
      <c r="F556" s="10">
        <v>45673.123402777783</v>
      </c>
      <c r="G556" s="3" t="s">
        <v>1712</v>
      </c>
      <c r="H556" s="10">
        <v>45673.340532407397</v>
      </c>
      <c r="I556" s="10">
        <v>45673.360092592593</v>
      </c>
      <c r="J556" s="10">
        <v>45673.360937500001</v>
      </c>
      <c r="K556" s="11">
        <f t="shared" si="16"/>
        <v>9.0625000011641532E-3</v>
      </c>
      <c r="L556" s="11">
        <f t="shared" si="17"/>
        <v>0.23668981481023366</v>
      </c>
    </row>
    <row r="557" spans="1:12" x14ac:dyDescent="0.25">
      <c r="A557" s="3" t="s">
        <v>1842</v>
      </c>
      <c r="B557" s="3" t="s">
        <v>287</v>
      </c>
      <c r="C557" s="10">
        <v>45673.110509259262</v>
      </c>
      <c r="D557" s="10">
        <v>45673.112557870372</v>
      </c>
      <c r="E557" s="10">
        <v>45673.123402777783</v>
      </c>
      <c r="F557" s="10">
        <v>45673.1253125</v>
      </c>
      <c r="G557" s="3" t="s">
        <v>1843</v>
      </c>
      <c r="H557" s="10">
        <v>45674.400000000001</v>
      </c>
      <c r="I557" s="10">
        <v>45675.328321759262</v>
      </c>
      <c r="J557" s="10">
        <v>45675.329074074078</v>
      </c>
      <c r="K557" s="11">
        <f t="shared" si="16"/>
        <v>1.0844907410501037E-2</v>
      </c>
      <c r="L557" s="11">
        <f t="shared" si="17"/>
        <v>2.2030092592613073</v>
      </c>
    </row>
    <row r="558" spans="1:12" x14ac:dyDescent="0.25">
      <c r="A558" s="3" t="s">
        <v>1845</v>
      </c>
      <c r="B558" s="3" t="s">
        <v>288</v>
      </c>
      <c r="C558" s="10">
        <v>45673.264710648153</v>
      </c>
      <c r="D558" s="10">
        <v>45673.26699074074</v>
      </c>
      <c r="E558" s="10">
        <v>45673.272800925923</v>
      </c>
      <c r="F558" s="10">
        <v>45673.274606481478</v>
      </c>
      <c r="G558" s="3" t="s">
        <v>1846</v>
      </c>
      <c r="H558" s="10">
        <v>45673.276979166672</v>
      </c>
      <c r="I558" s="10">
        <v>45673.329409722217</v>
      </c>
      <c r="J558" s="10">
        <v>45673.330567129633</v>
      </c>
      <c r="K558" s="11">
        <f t="shared" si="16"/>
        <v>5.8101851827814244E-3</v>
      </c>
      <c r="L558" s="11">
        <f t="shared" si="17"/>
        <v>5.4803240738692693E-2</v>
      </c>
    </row>
    <row r="559" spans="1:12" x14ac:dyDescent="0.25">
      <c r="A559" s="3" t="s">
        <v>1872</v>
      </c>
      <c r="B559" s="3" t="s">
        <v>290</v>
      </c>
      <c r="C559" s="10">
        <v>45673.301319444443</v>
      </c>
      <c r="D559" s="10">
        <v>45673.302766203713</v>
      </c>
      <c r="E559" s="10">
        <v>45673.307511574072</v>
      </c>
      <c r="F559" s="10">
        <v>45673.309699074067</v>
      </c>
      <c r="G559" s="3" t="s">
        <v>1873</v>
      </c>
      <c r="H559" s="10">
        <v>45673.312071759261</v>
      </c>
      <c r="I559" s="10">
        <v>45673.334780092591</v>
      </c>
      <c r="J559" s="10">
        <v>45673.335625</v>
      </c>
      <c r="K559" s="11">
        <f t="shared" si="16"/>
        <v>4.745370359160006E-3</v>
      </c>
      <c r="L559" s="11">
        <f t="shared" si="17"/>
        <v>2.5081018524360843E-2</v>
      </c>
    </row>
    <row r="560" spans="1:12" x14ac:dyDescent="0.25">
      <c r="A560" s="3" t="s">
        <v>1848</v>
      </c>
      <c r="B560" s="3" t="s">
        <v>289</v>
      </c>
      <c r="C560" s="10">
        <v>45673.301053240742</v>
      </c>
      <c r="D560" s="10">
        <v>45673.303553240738</v>
      </c>
      <c r="E560" s="10">
        <v>45673.319421296299</v>
      </c>
      <c r="F560" s="10">
        <v>45673.321111111109</v>
      </c>
      <c r="G560" s="3" t="s">
        <v>1849</v>
      </c>
      <c r="H560" s="10">
        <v>45673.86173611111</v>
      </c>
      <c r="I560" s="10">
        <v>45674.345208333332</v>
      </c>
      <c r="J560" s="10">
        <v>45674.346064814818</v>
      </c>
      <c r="K560" s="11">
        <f t="shared" si="16"/>
        <v>1.5868055561440997E-2</v>
      </c>
      <c r="L560" s="11">
        <f t="shared" si="17"/>
        <v>1.0240972222236451</v>
      </c>
    </row>
    <row r="561" spans="1:12" x14ac:dyDescent="0.25">
      <c r="A561" s="3" t="s">
        <v>1851</v>
      </c>
      <c r="B561" s="3" t="s">
        <v>289</v>
      </c>
      <c r="C561" s="10">
        <v>45673.301053240742</v>
      </c>
      <c r="D561" s="10">
        <v>45673.303553240738</v>
      </c>
      <c r="E561" s="10">
        <v>45673.321111111109</v>
      </c>
      <c r="F561" s="10">
        <v>45673.323263888888</v>
      </c>
      <c r="G561" s="3" t="s">
        <v>1823</v>
      </c>
      <c r="H561" s="10">
        <v>45673.327187499999</v>
      </c>
      <c r="I561" s="10">
        <v>45673.357129629629</v>
      </c>
      <c r="J561" s="10">
        <v>45673.357951388891</v>
      </c>
      <c r="K561" s="11">
        <f t="shared" si="16"/>
        <v>1.7557870371092577E-2</v>
      </c>
      <c r="L561" s="11">
        <f t="shared" si="17"/>
        <v>3.3865740741021E-2</v>
      </c>
    </row>
    <row r="562" spans="1:12" x14ac:dyDescent="0.25">
      <c r="A562" s="3" t="s">
        <v>1853</v>
      </c>
      <c r="B562" s="3" t="s">
        <v>289</v>
      </c>
      <c r="C562" s="10">
        <v>45673.301053240742</v>
      </c>
      <c r="D562" s="10">
        <v>45673.303553240738</v>
      </c>
      <c r="E562" s="10">
        <v>45673.323263888888</v>
      </c>
      <c r="F562" s="10">
        <v>45673.325173611112</v>
      </c>
      <c r="G562" s="3" t="s">
        <v>1843</v>
      </c>
      <c r="H562" s="10">
        <v>45674.400000000001</v>
      </c>
      <c r="I562" s="10">
        <v>45675.328321759262</v>
      </c>
      <c r="J562" s="10">
        <v>45675.329074074078</v>
      </c>
      <c r="K562" s="11">
        <f t="shared" si="16"/>
        <v>1.9710648150066845E-2</v>
      </c>
      <c r="L562" s="11">
        <f t="shared" si="17"/>
        <v>2.0031481481491937</v>
      </c>
    </row>
    <row r="563" spans="1:12" x14ac:dyDescent="0.25">
      <c r="A563" s="3" t="s">
        <v>1855</v>
      </c>
      <c r="B563" s="3" t="s">
        <v>289</v>
      </c>
      <c r="C563" s="10">
        <v>45673.301053240742</v>
      </c>
      <c r="D563" s="10">
        <v>45673.303553240738</v>
      </c>
      <c r="E563" s="10">
        <v>45673.325173611112</v>
      </c>
      <c r="F563" s="10">
        <v>45673.326458333337</v>
      </c>
      <c r="G563" s="3" t="s">
        <v>1686</v>
      </c>
      <c r="H563" s="10">
        <v>45673.43310185185</v>
      </c>
      <c r="I563" s="10">
        <v>45673.598275462973</v>
      </c>
      <c r="J563" s="10">
        <v>45673.599432870367</v>
      </c>
      <c r="K563" s="11">
        <f t="shared" si="16"/>
        <v>2.1620370374876074E-2</v>
      </c>
      <c r="L563" s="11">
        <f t="shared" si="17"/>
        <v>0.27181712963647442</v>
      </c>
    </row>
    <row r="564" spans="1:12" x14ac:dyDescent="0.25">
      <c r="A564" s="3" t="s">
        <v>1857</v>
      </c>
      <c r="B564" s="3" t="s">
        <v>289</v>
      </c>
      <c r="C564" s="10">
        <v>45673.301053240742</v>
      </c>
      <c r="D564" s="10">
        <v>45673.303553240738</v>
      </c>
      <c r="E564" s="10">
        <v>45673.326458333337</v>
      </c>
      <c r="F564" s="10">
        <v>45673.32775462963</v>
      </c>
      <c r="G564" s="3" t="s">
        <v>1836</v>
      </c>
      <c r="H564" s="10">
        <v>45673.428900462961</v>
      </c>
      <c r="I564" s="10">
        <v>45673.473969907413</v>
      </c>
      <c r="J564" s="10">
        <v>45673.474745370368</v>
      </c>
      <c r="K564" s="11">
        <f t="shared" si="16"/>
        <v>2.2905092599103227E-2</v>
      </c>
      <c r="L564" s="11">
        <f t="shared" si="17"/>
        <v>0.14621527778217569</v>
      </c>
    </row>
    <row r="565" spans="1:12" x14ac:dyDescent="0.25">
      <c r="A565" s="3" t="s">
        <v>1859</v>
      </c>
      <c r="B565" s="3" t="s">
        <v>289</v>
      </c>
      <c r="C565" s="10">
        <v>45673.301053240742</v>
      </c>
      <c r="D565" s="10">
        <v>45673.303553240738</v>
      </c>
      <c r="E565" s="10">
        <v>45673.32775462963</v>
      </c>
      <c r="F565" s="10">
        <v>45673.329108796293</v>
      </c>
      <c r="G565" s="3" t="s">
        <v>1686</v>
      </c>
      <c r="H565" s="10">
        <v>45673.43310185185</v>
      </c>
      <c r="I565" s="10">
        <v>45673.598275462973</v>
      </c>
      <c r="J565" s="10">
        <v>45673.599432870367</v>
      </c>
      <c r="K565" s="11">
        <f t="shared" si="16"/>
        <v>2.4201388892834075E-2</v>
      </c>
      <c r="L565" s="11">
        <f t="shared" si="17"/>
        <v>0.26916666667966638</v>
      </c>
    </row>
    <row r="566" spans="1:12" x14ac:dyDescent="0.25">
      <c r="A566" s="3" t="s">
        <v>1861</v>
      </c>
      <c r="B566" s="3" t="s">
        <v>289</v>
      </c>
      <c r="C566" s="10">
        <v>45673.301053240742</v>
      </c>
      <c r="D566" s="10">
        <v>45673.303553240738</v>
      </c>
      <c r="E566" s="10">
        <v>45673.329108796293</v>
      </c>
      <c r="F566" s="10">
        <v>45673.331157407411</v>
      </c>
      <c r="G566" s="3" t="s">
        <v>1820</v>
      </c>
      <c r="H566" s="10">
        <v>45673.428900462961</v>
      </c>
      <c r="I566" s="10">
        <v>45673.449386574073</v>
      </c>
      <c r="J566" s="10">
        <v>45673.450127314813</v>
      </c>
      <c r="K566" s="11">
        <f t="shared" si="16"/>
        <v>2.5555555555911269E-2</v>
      </c>
      <c r="L566" s="11">
        <f t="shared" si="17"/>
        <v>0.11822916666278616</v>
      </c>
    </row>
    <row r="567" spans="1:12" x14ac:dyDescent="0.25">
      <c r="A567" s="3" t="s">
        <v>1863</v>
      </c>
      <c r="B567" s="3" t="s">
        <v>289</v>
      </c>
      <c r="C567" s="10">
        <v>45673.301053240742</v>
      </c>
      <c r="D567" s="10">
        <v>45673.303553240738</v>
      </c>
      <c r="E567" s="10">
        <v>45673.331157407411</v>
      </c>
      <c r="F567" s="10">
        <v>45673.332916666674</v>
      </c>
      <c r="G567" s="3" t="s">
        <v>1831</v>
      </c>
      <c r="H567" s="10">
        <v>45674.312847222223</v>
      </c>
      <c r="I567" s="10">
        <v>45674.462627314817</v>
      </c>
      <c r="J567" s="10">
        <v>45674.463449074072</v>
      </c>
      <c r="K567" s="11">
        <f t="shared" si="16"/>
        <v>2.7604166672972497E-2</v>
      </c>
      <c r="L567" s="11">
        <f t="shared" si="17"/>
        <v>1.129710648143373</v>
      </c>
    </row>
    <row r="568" spans="1:12" x14ac:dyDescent="0.25">
      <c r="A568" s="3" t="s">
        <v>1865</v>
      </c>
      <c r="B568" s="3" t="s">
        <v>289</v>
      </c>
      <c r="C568" s="10">
        <v>45673.301053240742</v>
      </c>
      <c r="D568" s="10">
        <v>45673.303553240738</v>
      </c>
      <c r="E568" s="10">
        <v>45673.332916666674</v>
      </c>
      <c r="F568" s="10">
        <v>45673.334837962961</v>
      </c>
      <c r="G568" s="3" t="s">
        <v>1866</v>
      </c>
      <c r="H568" s="10">
        <v>45673.748645833337</v>
      </c>
      <c r="I568" s="10">
        <v>45673.88354166667</v>
      </c>
      <c r="J568" s="10">
        <v>45673.884212962963</v>
      </c>
      <c r="K568" s="11">
        <f t="shared" si="16"/>
        <v>2.9363425936026033E-2</v>
      </c>
      <c r="L568" s="11">
        <f t="shared" si="17"/>
        <v>0.54870370370917954</v>
      </c>
    </row>
    <row r="569" spans="1:12" x14ac:dyDescent="0.25">
      <c r="A569" s="3" t="s">
        <v>1868</v>
      </c>
      <c r="B569" s="3" t="s">
        <v>289</v>
      </c>
      <c r="C569" s="10">
        <v>45673.301053240742</v>
      </c>
      <c r="D569" s="10">
        <v>45673.303553240738</v>
      </c>
      <c r="E569" s="10">
        <v>45673.334837962961</v>
      </c>
      <c r="F569" s="10">
        <v>45673.336608796293</v>
      </c>
      <c r="G569" s="3" t="s">
        <v>1712</v>
      </c>
      <c r="H569" s="10">
        <v>45673.340532407397</v>
      </c>
      <c r="I569" s="10">
        <v>45673.360092592593</v>
      </c>
      <c r="J569" s="10">
        <v>45673.360937500001</v>
      </c>
      <c r="K569" s="11">
        <f t="shared" si="16"/>
        <v>3.1284722223063E-2</v>
      </c>
      <c r="L569" s="11">
        <f t="shared" si="17"/>
        <v>2.3483796299842652E-2</v>
      </c>
    </row>
    <row r="570" spans="1:12" x14ac:dyDescent="0.25">
      <c r="A570" s="3" t="s">
        <v>1870</v>
      </c>
      <c r="B570" s="3" t="s">
        <v>289</v>
      </c>
      <c r="C570" s="10">
        <v>45673.301053240742</v>
      </c>
      <c r="D570" s="10">
        <v>45673.303553240738</v>
      </c>
      <c r="E570" s="10">
        <v>45673.336608796293</v>
      </c>
      <c r="F570" s="10">
        <v>45673.33865740741</v>
      </c>
      <c r="G570" s="3" t="s">
        <v>1820</v>
      </c>
      <c r="H570" s="10">
        <v>45673.428900462961</v>
      </c>
      <c r="I570" s="10">
        <v>45673.449386574073</v>
      </c>
      <c r="J570" s="10">
        <v>45673.450127314813</v>
      </c>
      <c r="K570" s="11">
        <f t="shared" si="16"/>
        <v>3.3055555555620231E-2</v>
      </c>
      <c r="L570" s="11">
        <f t="shared" si="17"/>
        <v>0.11072916666307719</v>
      </c>
    </row>
    <row r="571" spans="1:12" x14ac:dyDescent="0.25">
      <c r="A571" s="3" t="s">
        <v>1875</v>
      </c>
      <c r="B571" s="3" t="s">
        <v>291</v>
      </c>
      <c r="C571" s="10">
        <v>45673.330833333333</v>
      </c>
      <c r="D571" s="10">
        <v>45673.332905092589</v>
      </c>
      <c r="E571" s="10">
        <v>45673.339525462958</v>
      </c>
      <c r="F571" s="10">
        <v>45673.341539351852</v>
      </c>
      <c r="G571" s="3" t="s">
        <v>1876</v>
      </c>
      <c r="H571" s="10">
        <v>45673.343935185178</v>
      </c>
      <c r="I571" s="10">
        <v>45673.414525462962</v>
      </c>
      <c r="J571" s="10">
        <v>45673.415902777779</v>
      </c>
      <c r="K571" s="11">
        <f t="shared" si="16"/>
        <v>6.6203703681821935E-3</v>
      </c>
      <c r="L571" s="11">
        <f t="shared" si="17"/>
        <v>7.2986111110367347E-2</v>
      </c>
    </row>
    <row r="572" spans="1:12" x14ac:dyDescent="0.25">
      <c r="A572" s="3" t="s">
        <v>1898</v>
      </c>
      <c r="B572" s="3" t="s">
        <v>293</v>
      </c>
      <c r="C572" s="10">
        <v>45673.376168981478</v>
      </c>
      <c r="D572" s="10">
        <v>45673.378217592603</v>
      </c>
      <c r="E572" s="10">
        <v>45673.386053240742</v>
      </c>
      <c r="F572" s="10">
        <v>45673.388194444437</v>
      </c>
      <c r="G572" s="3" t="s">
        <v>1899</v>
      </c>
      <c r="H572" s="10">
        <v>45673.390555555547</v>
      </c>
      <c r="I572" s="10">
        <v>45673.427615740737</v>
      </c>
      <c r="J572" s="10">
        <v>45673.42869212963</v>
      </c>
      <c r="K572" s="11">
        <f t="shared" si="16"/>
        <v>7.8356481390073895E-3</v>
      </c>
      <c r="L572" s="11">
        <f t="shared" si="17"/>
        <v>3.942129630013369E-2</v>
      </c>
    </row>
    <row r="573" spans="1:12" x14ac:dyDescent="0.25">
      <c r="A573" s="3" t="s">
        <v>1901</v>
      </c>
      <c r="B573" s="3" t="s">
        <v>293</v>
      </c>
      <c r="C573" s="10">
        <v>45673.376168981478</v>
      </c>
      <c r="D573" s="10">
        <v>45673.378217592603</v>
      </c>
      <c r="E573" s="10">
        <v>45673.388194444437</v>
      </c>
      <c r="F573" s="10">
        <v>45673.390497685177</v>
      </c>
      <c r="G573" s="3" t="s">
        <v>1902</v>
      </c>
      <c r="H573" s="10">
        <v>45673.39266203704</v>
      </c>
      <c r="I573" s="10">
        <v>45673.425659722219</v>
      </c>
      <c r="J573" s="10">
        <v>45673.426620370366</v>
      </c>
      <c r="K573" s="11">
        <f t="shared" si="16"/>
        <v>9.9768518339260481E-3</v>
      </c>
      <c r="L573" s="11">
        <f t="shared" si="17"/>
        <v>3.5162037042027805E-2</v>
      </c>
    </row>
    <row r="574" spans="1:12" x14ac:dyDescent="0.25">
      <c r="A574" s="3" t="s">
        <v>1878</v>
      </c>
      <c r="B574" s="3" t="s">
        <v>292</v>
      </c>
      <c r="C574" s="10">
        <v>45673.375405092593</v>
      </c>
      <c r="D574" s="10">
        <v>45673.377962962957</v>
      </c>
      <c r="E574" s="10">
        <v>45673.395011574074</v>
      </c>
      <c r="F574" s="10">
        <v>45673.396655092591</v>
      </c>
      <c r="G574" s="3" t="s">
        <v>1849</v>
      </c>
      <c r="H574" s="10">
        <v>45673.86173611111</v>
      </c>
      <c r="I574" s="10">
        <v>45674.345208333332</v>
      </c>
      <c r="J574" s="10">
        <v>45674.346064814818</v>
      </c>
      <c r="K574" s="11">
        <f t="shared" si="16"/>
        <v>1.7048611116479151E-2</v>
      </c>
      <c r="L574" s="11">
        <f t="shared" si="17"/>
        <v>0.94855324074160308</v>
      </c>
    </row>
    <row r="575" spans="1:12" x14ac:dyDescent="0.25">
      <c r="A575" s="3" t="s">
        <v>1880</v>
      </c>
      <c r="B575" s="3" t="s">
        <v>292</v>
      </c>
      <c r="C575" s="10">
        <v>45673.375405092593</v>
      </c>
      <c r="D575" s="10">
        <v>45673.377962962957</v>
      </c>
      <c r="E575" s="10">
        <v>45673.396655092591</v>
      </c>
      <c r="F575" s="10">
        <v>45673.398043981477</v>
      </c>
      <c r="G575" s="3" t="s">
        <v>1735</v>
      </c>
      <c r="H575" s="10">
        <v>45677.356562499997</v>
      </c>
      <c r="I575" s="10">
        <v>45677.741828703707</v>
      </c>
      <c r="J575" s="10">
        <v>45677.742604166669</v>
      </c>
      <c r="K575" s="11">
        <f t="shared" si="16"/>
        <v>1.8692129633564036E-2</v>
      </c>
      <c r="L575" s="11">
        <f t="shared" si="17"/>
        <v>4.343784722230339</v>
      </c>
    </row>
    <row r="576" spans="1:12" x14ac:dyDescent="0.25">
      <c r="A576" s="3" t="s">
        <v>1882</v>
      </c>
      <c r="B576" s="3" t="s">
        <v>292</v>
      </c>
      <c r="C576" s="10">
        <v>45673.375405092593</v>
      </c>
      <c r="D576" s="10">
        <v>45673.377962962957</v>
      </c>
      <c r="E576" s="10">
        <v>45673.398043981477</v>
      </c>
      <c r="F576" s="10">
        <v>45673.399791666663</v>
      </c>
      <c r="G576" s="3" t="s">
        <v>1789</v>
      </c>
      <c r="H576" s="10">
        <v>45674.346782407411</v>
      </c>
      <c r="I576" s="10">
        <v>45674.928761574083</v>
      </c>
      <c r="J576" s="10">
        <v>45674.930115740739</v>
      </c>
      <c r="K576" s="11">
        <f t="shared" si="16"/>
        <v>2.008101851970423E-2</v>
      </c>
      <c r="L576" s="11">
        <f t="shared" si="17"/>
        <v>1.5289699074201053</v>
      </c>
    </row>
    <row r="577" spans="1:12" x14ac:dyDescent="0.25">
      <c r="A577" s="3" t="s">
        <v>1884</v>
      </c>
      <c r="B577" s="3" t="s">
        <v>292</v>
      </c>
      <c r="C577" s="10">
        <v>45673.375405092593</v>
      </c>
      <c r="D577" s="10">
        <v>45673.377962962957</v>
      </c>
      <c r="E577" s="10">
        <v>45673.399791666663</v>
      </c>
      <c r="F577" s="10">
        <v>45673.401724537027</v>
      </c>
      <c r="G577" s="3" t="s">
        <v>1866</v>
      </c>
      <c r="H577" s="10">
        <v>45673.748645833337</v>
      </c>
      <c r="I577" s="10">
        <v>45673.88354166667</v>
      </c>
      <c r="J577" s="10">
        <v>45673.884212962963</v>
      </c>
      <c r="K577" s="11">
        <f t="shared" si="16"/>
        <v>2.1828703705978114E-2</v>
      </c>
      <c r="L577" s="11">
        <f t="shared" si="17"/>
        <v>0.48181712964287726</v>
      </c>
    </row>
    <row r="578" spans="1:12" x14ac:dyDescent="0.25">
      <c r="A578" s="3" t="s">
        <v>1886</v>
      </c>
      <c r="B578" s="3" t="s">
        <v>292</v>
      </c>
      <c r="C578" s="10">
        <v>45673.375405092593</v>
      </c>
      <c r="D578" s="10">
        <v>45673.377962962957</v>
      </c>
      <c r="E578" s="10">
        <v>45673.401724537027</v>
      </c>
      <c r="F578" s="10">
        <v>45673.403773148151</v>
      </c>
      <c r="G578" s="3" t="s">
        <v>1820</v>
      </c>
      <c r="H578" s="10">
        <v>45673.428900462961</v>
      </c>
      <c r="I578" s="10">
        <v>45673.449386574073</v>
      </c>
      <c r="J578" s="10">
        <v>45673.450127314813</v>
      </c>
      <c r="K578" s="11">
        <f t="shared" ref="K578:K641" si="18">IF(AND(ISNUMBER(D578),ISNUMBER(E578)),(E578-D578),"")</f>
        <v>2.3761574069794733E-2</v>
      </c>
      <c r="L578" s="11">
        <f t="shared" ref="L578:L641" si="19">IF(AND(ISNUMBER(F578),ISNUMBER(I578)),(I578-F578),"")</f>
        <v>4.5613425922056194E-2</v>
      </c>
    </row>
    <row r="579" spans="1:12" x14ac:dyDescent="0.25">
      <c r="A579" s="3" t="s">
        <v>1888</v>
      </c>
      <c r="B579" s="3" t="s">
        <v>292</v>
      </c>
      <c r="C579" s="10">
        <v>45673.375405092593</v>
      </c>
      <c r="D579" s="10">
        <v>45673.377962962957</v>
      </c>
      <c r="E579" s="10">
        <v>45673.403773148151</v>
      </c>
      <c r="F579" s="10">
        <v>45673.405115740738</v>
      </c>
      <c r="G579" s="3" t="s">
        <v>1836</v>
      </c>
      <c r="H579" s="10">
        <v>45673.428900462961</v>
      </c>
      <c r="I579" s="10">
        <v>45673.473969907413</v>
      </c>
      <c r="J579" s="10">
        <v>45673.474745370368</v>
      </c>
      <c r="K579" s="11">
        <f t="shared" si="18"/>
        <v>2.5810185194131918E-2</v>
      </c>
      <c r="L579" s="11">
        <f t="shared" si="19"/>
        <v>6.8854166675009765E-2</v>
      </c>
    </row>
    <row r="580" spans="1:12" x14ac:dyDescent="0.25">
      <c r="A580" s="3" t="s">
        <v>1890</v>
      </c>
      <c r="B580" s="3" t="s">
        <v>292</v>
      </c>
      <c r="C580" s="10">
        <v>45673.375405092593</v>
      </c>
      <c r="D580" s="10">
        <v>45673.377962962957</v>
      </c>
      <c r="E580" s="10">
        <v>45673.405115740738</v>
      </c>
      <c r="F580" s="10">
        <v>45673.407025462962</v>
      </c>
      <c r="G580" s="3" t="s">
        <v>1843</v>
      </c>
      <c r="H580" s="10">
        <v>45674.400000000001</v>
      </c>
      <c r="I580" s="10">
        <v>45675.328321759262</v>
      </c>
      <c r="J580" s="10">
        <v>45675.329074074078</v>
      </c>
      <c r="K580" s="11">
        <f t="shared" si="18"/>
        <v>2.715277778042946E-2</v>
      </c>
      <c r="L580" s="11">
        <f t="shared" si="19"/>
        <v>1.9212962962992606</v>
      </c>
    </row>
    <row r="581" spans="1:12" x14ac:dyDescent="0.25">
      <c r="A581" s="3" t="s">
        <v>1892</v>
      </c>
      <c r="B581" s="3" t="s">
        <v>292</v>
      </c>
      <c r="C581" s="10">
        <v>45673.375405092593</v>
      </c>
      <c r="D581" s="10">
        <v>45673.377962962957</v>
      </c>
      <c r="E581" s="10">
        <v>45673.407025462962</v>
      </c>
      <c r="F581" s="10">
        <v>45673.408541666657</v>
      </c>
      <c r="G581" s="3" t="s">
        <v>1801</v>
      </c>
      <c r="H581" s="10">
        <v>45674.135879629634</v>
      </c>
      <c r="I581" s="10">
        <v>45674.370185185187</v>
      </c>
      <c r="J581" s="10">
        <v>45674.371041666673</v>
      </c>
      <c r="K581" s="11">
        <f t="shared" si="18"/>
        <v>2.9062500005238689E-2</v>
      </c>
      <c r="L581" s="11">
        <f t="shared" si="19"/>
        <v>0.96164351853076369</v>
      </c>
    </row>
    <row r="582" spans="1:12" x14ac:dyDescent="0.25">
      <c r="A582" s="3" t="s">
        <v>1894</v>
      </c>
      <c r="B582" s="3" t="s">
        <v>292</v>
      </c>
      <c r="C582" s="10">
        <v>45673.375405092593</v>
      </c>
      <c r="D582" s="10">
        <v>45673.377962962957</v>
      </c>
      <c r="E582" s="10">
        <v>45673.408541666657</v>
      </c>
      <c r="F582" s="10">
        <v>45673.409918981481</v>
      </c>
      <c r="G582" s="3" t="s">
        <v>1686</v>
      </c>
      <c r="H582" s="10">
        <v>45673.43310185185</v>
      </c>
      <c r="I582" s="10">
        <v>45673.598275462973</v>
      </c>
      <c r="J582" s="10">
        <v>45673.599432870367</v>
      </c>
      <c r="K582" s="11">
        <f t="shared" si="18"/>
        <v>3.0578703699575271E-2</v>
      </c>
      <c r="L582" s="11">
        <f t="shared" si="19"/>
        <v>0.18835648149251938</v>
      </c>
    </row>
    <row r="583" spans="1:12" x14ac:dyDescent="0.25">
      <c r="A583" s="3" t="s">
        <v>1896</v>
      </c>
      <c r="B583" s="3" t="s">
        <v>292</v>
      </c>
      <c r="C583" s="10">
        <v>45673.375405092593</v>
      </c>
      <c r="D583" s="10">
        <v>45673.377962962957</v>
      </c>
      <c r="E583" s="10">
        <v>45673.409918981481</v>
      </c>
      <c r="F583" s="10">
        <v>45673.411550925928</v>
      </c>
      <c r="G583" s="3" t="s">
        <v>1686</v>
      </c>
      <c r="H583" s="10">
        <v>45673.43310185185</v>
      </c>
      <c r="I583" s="10">
        <v>45673.598275462973</v>
      </c>
      <c r="J583" s="10">
        <v>45673.599432870367</v>
      </c>
      <c r="K583" s="11">
        <f t="shared" si="18"/>
        <v>3.1956018523487728E-2</v>
      </c>
      <c r="L583" s="11">
        <f t="shared" si="19"/>
        <v>0.18672453704493819</v>
      </c>
    </row>
    <row r="584" spans="1:12" x14ac:dyDescent="0.25">
      <c r="A584" s="3" t="s">
        <v>1904</v>
      </c>
      <c r="B584" s="3" t="s">
        <v>294</v>
      </c>
      <c r="C584" s="10">
        <v>45673.441157407397</v>
      </c>
      <c r="D584" s="10">
        <v>45673.443576388891</v>
      </c>
      <c r="E584" s="10">
        <v>45673.45113425926</v>
      </c>
      <c r="F584" s="10">
        <v>45673.452314814807</v>
      </c>
      <c r="G584" s="3" t="s">
        <v>1905</v>
      </c>
      <c r="H584" s="10">
        <v>45674.318541666667</v>
      </c>
      <c r="I584" s="10">
        <v>45674.682870370372</v>
      </c>
      <c r="J584" s="10">
        <v>45674.683645833327</v>
      </c>
      <c r="K584" s="11">
        <f t="shared" si="18"/>
        <v>7.5578703690553084E-3</v>
      </c>
      <c r="L584" s="11">
        <f t="shared" si="19"/>
        <v>1.2305555555649335</v>
      </c>
    </row>
    <row r="585" spans="1:12" x14ac:dyDescent="0.25">
      <c r="A585" s="3" t="s">
        <v>1907</v>
      </c>
      <c r="B585" s="3" t="s">
        <v>294</v>
      </c>
      <c r="C585" s="10">
        <v>45673.441157407397</v>
      </c>
      <c r="D585" s="10">
        <v>45673.443576388891</v>
      </c>
      <c r="E585" s="10">
        <v>45673.452314814807</v>
      </c>
      <c r="F585" s="10">
        <v>45673.454780092587</v>
      </c>
      <c r="G585" s="3" t="s">
        <v>1908</v>
      </c>
      <c r="H585" s="10">
        <v>45673.457175925927</v>
      </c>
      <c r="I585" s="10">
        <v>45673.674733796302</v>
      </c>
      <c r="J585" s="10">
        <v>45673.676111111112</v>
      </c>
      <c r="K585" s="11">
        <f t="shared" si="18"/>
        <v>8.7384259168175049E-3</v>
      </c>
      <c r="L585" s="11">
        <f t="shared" si="19"/>
        <v>0.21995370371587342</v>
      </c>
    </row>
    <row r="586" spans="1:12" x14ac:dyDescent="0.25">
      <c r="A586" s="3" t="s">
        <v>1910</v>
      </c>
      <c r="B586" s="3" t="s">
        <v>295</v>
      </c>
      <c r="C586" s="10">
        <v>45673.532060185193</v>
      </c>
      <c r="D586" s="10">
        <v>45673.534050925933</v>
      </c>
      <c r="E586" s="10">
        <v>45673.539004629631</v>
      </c>
      <c r="F586" s="10">
        <v>45673.541388888887</v>
      </c>
      <c r="G586" s="3" t="s">
        <v>1911</v>
      </c>
      <c r="H586" s="10">
        <v>45673.54378472222</v>
      </c>
      <c r="I586" s="10">
        <v>45673.673101851848</v>
      </c>
      <c r="J586" s="10">
        <v>45673.674004629633</v>
      </c>
      <c r="K586" s="11">
        <f t="shared" si="18"/>
        <v>4.9537036975380033E-3</v>
      </c>
      <c r="L586" s="11">
        <f t="shared" si="19"/>
        <v>0.13171296296059154</v>
      </c>
    </row>
    <row r="587" spans="1:12" x14ac:dyDescent="0.25">
      <c r="A587" s="3" t="s">
        <v>1913</v>
      </c>
      <c r="B587" s="3" t="s">
        <v>296</v>
      </c>
      <c r="C587" s="10">
        <v>45673.604884259257</v>
      </c>
      <c r="D587" s="10">
        <v>45673.60701388889</v>
      </c>
      <c r="E587" s="10">
        <v>45673.612476851849</v>
      </c>
      <c r="F587" s="10">
        <v>45673.614259259259</v>
      </c>
      <c r="G587" s="3" t="s">
        <v>1914</v>
      </c>
      <c r="H587" s="10">
        <v>45673.616655092592</v>
      </c>
      <c r="I587" s="10">
        <v>45673.695844907408</v>
      </c>
      <c r="J587" s="10">
        <v>45673.696805555563</v>
      </c>
      <c r="K587" s="11">
        <f t="shared" si="18"/>
        <v>5.4629629594273865E-3</v>
      </c>
      <c r="L587" s="11">
        <f t="shared" si="19"/>
        <v>8.1585648149484769E-2</v>
      </c>
    </row>
    <row r="588" spans="1:12" x14ac:dyDescent="0.25">
      <c r="A588" s="3" t="s">
        <v>1916</v>
      </c>
      <c r="B588" s="3" t="s">
        <v>297</v>
      </c>
      <c r="C588" s="10">
        <v>45673.614374999997</v>
      </c>
      <c r="D588" s="10">
        <v>45673.616747685177</v>
      </c>
      <c r="E588" s="10">
        <v>45673.62877314815</v>
      </c>
      <c r="F588" s="10">
        <v>45673.630740740737</v>
      </c>
      <c r="G588" s="3" t="s">
        <v>1866</v>
      </c>
      <c r="H588" s="10">
        <v>45673.748645833337</v>
      </c>
      <c r="I588" s="10">
        <v>45673.88354166667</v>
      </c>
      <c r="J588" s="10">
        <v>45673.884212962963</v>
      </c>
      <c r="K588" s="11">
        <f t="shared" si="18"/>
        <v>1.2025462972815149E-2</v>
      </c>
      <c r="L588" s="11">
        <f t="shared" si="19"/>
        <v>0.25280092593311565</v>
      </c>
    </row>
    <row r="589" spans="1:12" x14ac:dyDescent="0.25">
      <c r="A589" s="3" t="s">
        <v>1918</v>
      </c>
      <c r="B589" s="3" t="s">
        <v>297</v>
      </c>
      <c r="C589" s="10">
        <v>45673.614374999997</v>
      </c>
      <c r="D589" s="10">
        <v>45673.616747685177</v>
      </c>
      <c r="E589" s="10">
        <v>45673.630740740737</v>
      </c>
      <c r="F589" s="10">
        <v>45673.632384259261</v>
      </c>
      <c r="G589" s="3" t="s">
        <v>1919</v>
      </c>
      <c r="H589" s="10">
        <v>45673.634560185194</v>
      </c>
      <c r="I589" s="10">
        <v>45673.712835648148</v>
      </c>
      <c r="J589" s="10">
        <v>45673.71365740741</v>
      </c>
      <c r="K589" s="11">
        <f t="shared" si="18"/>
        <v>1.3993055559694767E-2</v>
      </c>
      <c r="L589" s="11">
        <f t="shared" si="19"/>
        <v>8.0451388887013309E-2</v>
      </c>
    </row>
    <row r="590" spans="1:12" x14ac:dyDescent="0.25">
      <c r="A590" s="3" t="s">
        <v>1921</v>
      </c>
      <c r="B590" s="3" t="s">
        <v>297</v>
      </c>
      <c r="C590" s="10">
        <v>45673.614374999997</v>
      </c>
      <c r="D590" s="10">
        <v>45673.616747685177</v>
      </c>
      <c r="E590" s="10">
        <v>45673.632384259261</v>
      </c>
      <c r="F590" s="10">
        <v>45673.633993055562</v>
      </c>
      <c r="G590" s="3" t="s">
        <v>1849</v>
      </c>
      <c r="H590" s="10">
        <v>45673.86173611111</v>
      </c>
      <c r="I590" s="10">
        <v>45674.345208333332</v>
      </c>
      <c r="J590" s="10">
        <v>45674.346064814818</v>
      </c>
      <c r="K590" s="11">
        <f t="shared" si="18"/>
        <v>1.563657408405561E-2</v>
      </c>
      <c r="L590" s="11">
        <f t="shared" si="19"/>
        <v>0.71121527776995208</v>
      </c>
    </row>
    <row r="591" spans="1:12" x14ac:dyDescent="0.25">
      <c r="A591" s="3" t="s">
        <v>1923</v>
      </c>
      <c r="B591" s="3" t="s">
        <v>297</v>
      </c>
      <c r="C591" s="10">
        <v>45673.614374999997</v>
      </c>
      <c r="D591" s="10">
        <v>45673.616747685177</v>
      </c>
      <c r="E591" s="10">
        <v>45673.633993055562</v>
      </c>
      <c r="F591" s="10">
        <v>45673.635497685187</v>
      </c>
      <c r="G591" s="3" t="s">
        <v>1801</v>
      </c>
      <c r="H591" s="10">
        <v>45674.135879629634</v>
      </c>
      <c r="I591" s="10">
        <v>45674.370185185187</v>
      </c>
      <c r="J591" s="10">
        <v>45674.371041666673</v>
      </c>
      <c r="K591" s="11">
        <f t="shared" si="18"/>
        <v>1.7245370385353453E-2</v>
      </c>
      <c r="L591" s="11">
        <f t="shared" si="19"/>
        <v>0.73468750000029104</v>
      </c>
    </row>
    <row r="592" spans="1:12" x14ac:dyDescent="0.25">
      <c r="A592" s="3" t="s">
        <v>1925</v>
      </c>
      <c r="B592" s="3" t="s">
        <v>297</v>
      </c>
      <c r="C592" s="10">
        <v>45673.614374999997</v>
      </c>
      <c r="D592" s="10">
        <v>45673.616747685177</v>
      </c>
      <c r="E592" s="10">
        <v>45673.635497685187</v>
      </c>
      <c r="F592" s="10">
        <v>45673.637418981481</v>
      </c>
      <c r="G592" s="3" t="s">
        <v>1843</v>
      </c>
      <c r="H592" s="10">
        <v>45674.400000000001</v>
      </c>
      <c r="I592" s="10">
        <v>45675.328321759262</v>
      </c>
      <c r="J592" s="10">
        <v>45675.329074074078</v>
      </c>
      <c r="K592" s="11">
        <f t="shared" si="18"/>
        <v>1.8750000010186341E-2</v>
      </c>
      <c r="L592" s="11">
        <f t="shared" si="19"/>
        <v>1.6909027777801384</v>
      </c>
    </row>
    <row r="593" spans="1:12" x14ac:dyDescent="0.25">
      <c r="A593" s="3" t="s">
        <v>1927</v>
      </c>
      <c r="B593" s="3" t="s">
        <v>297</v>
      </c>
      <c r="C593" s="10">
        <v>45673.614374999997</v>
      </c>
      <c r="D593" s="10">
        <v>45673.616747685177</v>
      </c>
      <c r="E593" s="10">
        <v>45673.637418981481</v>
      </c>
      <c r="F593" s="10">
        <v>45673.639374999999</v>
      </c>
      <c r="G593" s="3" t="s">
        <v>1928</v>
      </c>
      <c r="H593" s="10">
        <v>45674.201273148137</v>
      </c>
      <c r="I593" s="10">
        <v>45674.478807870371</v>
      </c>
      <c r="J593" s="10">
        <v>45674.480694444443</v>
      </c>
      <c r="K593" s="11">
        <f t="shared" si="18"/>
        <v>2.0671296304499265E-2</v>
      </c>
      <c r="L593" s="11">
        <f t="shared" si="19"/>
        <v>0.83943287037254777</v>
      </c>
    </row>
    <row r="594" spans="1:12" x14ac:dyDescent="0.25">
      <c r="A594" s="3" t="s">
        <v>1930</v>
      </c>
      <c r="B594" s="3" t="s">
        <v>297</v>
      </c>
      <c r="C594" s="10">
        <v>45673.614374999997</v>
      </c>
      <c r="D594" s="10">
        <v>45673.616747685177</v>
      </c>
      <c r="E594" s="10">
        <v>45673.639374999999</v>
      </c>
      <c r="F594" s="10">
        <v>45673.640752314823</v>
      </c>
      <c r="G594" s="3" t="s">
        <v>1931</v>
      </c>
      <c r="H594" s="10">
        <v>45673.860497685193</v>
      </c>
      <c r="I594" s="10">
        <v>45674.300266203703</v>
      </c>
      <c r="J594" s="10">
        <v>45674.301064814812</v>
      </c>
      <c r="K594" s="11">
        <f t="shared" si="18"/>
        <v>2.2627314821875188E-2</v>
      </c>
      <c r="L594" s="11">
        <f t="shared" si="19"/>
        <v>0.65951388888061047</v>
      </c>
    </row>
    <row r="595" spans="1:12" x14ac:dyDescent="0.25">
      <c r="A595" s="3" t="s">
        <v>1933</v>
      </c>
      <c r="B595" s="3" t="s">
        <v>298</v>
      </c>
      <c r="C595" s="10">
        <v>45673.643576388888</v>
      </c>
      <c r="D595" s="10">
        <v>45673.644942129627</v>
      </c>
      <c r="E595" s="10">
        <v>45673.649016203701</v>
      </c>
      <c r="F595" s="10">
        <v>45673.651435185187</v>
      </c>
      <c r="G595" s="3" t="s">
        <v>1934</v>
      </c>
      <c r="H595" s="10">
        <v>45673.685219907413</v>
      </c>
      <c r="I595" s="10">
        <v>45673.77275462963</v>
      </c>
      <c r="J595" s="10">
        <v>45673.773576388892</v>
      </c>
      <c r="K595" s="11">
        <f t="shared" si="18"/>
        <v>4.0740740732871927E-3</v>
      </c>
      <c r="L595" s="11">
        <f t="shared" si="19"/>
        <v>0.12131944444263354</v>
      </c>
    </row>
    <row r="596" spans="1:12" x14ac:dyDescent="0.25">
      <c r="A596" s="3" t="s">
        <v>1936</v>
      </c>
      <c r="B596" s="3" t="s">
        <v>299</v>
      </c>
      <c r="C596" s="10">
        <v>45673.670590277783</v>
      </c>
      <c r="D596" s="10">
        <v>45673.672453703701</v>
      </c>
      <c r="E596" s="10">
        <v>45673.677974537037</v>
      </c>
      <c r="F596" s="10">
        <v>45673.679247685177</v>
      </c>
      <c r="G596" s="3" t="s">
        <v>1905</v>
      </c>
      <c r="H596" s="10">
        <v>45674.318541666667</v>
      </c>
      <c r="I596" s="10">
        <v>45674.682870370372</v>
      </c>
      <c r="J596" s="10">
        <v>45674.683645833327</v>
      </c>
      <c r="K596" s="11">
        <f t="shared" si="18"/>
        <v>5.5208333360496908E-3</v>
      </c>
      <c r="L596" s="11">
        <f t="shared" si="19"/>
        <v>1.0036226851952961</v>
      </c>
    </row>
    <row r="597" spans="1:12" x14ac:dyDescent="0.25">
      <c r="A597" s="3" t="s">
        <v>1938</v>
      </c>
      <c r="B597" s="3" t="s">
        <v>299</v>
      </c>
      <c r="C597" s="10">
        <v>45673.670590277783</v>
      </c>
      <c r="D597" s="10">
        <v>45673.672453703701</v>
      </c>
      <c r="E597" s="10">
        <v>45673.679247685177</v>
      </c>
      <c r="F597" s="10">
        <v>45673.681296296287</v>
      </c>
      <c r="G597" s="3" t="s">
        <v>1934</v>
      </c>
      <c r="H597" s="10">
        <v>45673.685219907413</v>
      </c>
      <c r="I597" s="10">
        <v>45673.77275462963</v>
      </c>
      <c r="J597" s="10">
        <v>45673.773576388892</v>
      </c>
      <c r="K597" s="11">
        <f t="shared" si="18"/>
        <v>6.7939814762212336E-3</v>
      </c>
      <c r="L597" s="11">
        <f t="shared" si="19"/>
        <v>9.1458333343325648E-2</v>
      </c>
    </row>
    <row r="598" spans="1:12" x14ac:dyDescent="0.25">
      <c r="A598" s="3" t="s">
        <v>1940</v>
      </c>
      <c r="B598" s="3" t="s">
        <v>300</v>
      </c>
      <c r="C598" s="10">
        <v>45673.726736111108</v>
      </c>
      <c r="D598" s="10">
        <v>45673.729490740741</v>
      </c>
      <c r="E598" s="10">
        <v>45673.741446759261</v>
      </c>
      <c r="F598" s="10">
        <v>45673.742754629631</v>
      </c>
      <c r="G598" s="3" t="s">
        <v>1931</v>
      </c>
      <c r="H598" s="10">
        <v>45673.860497685193</v>
      </c>
      <c r="I598" s="10">
        <v>45674.300266203703</v>
      </c>
      <c r="J598" s="10">
        <v>45674.301064814812</v>
      </c>
      <c r="K598" s="11">
        <f t="shared" si="18"/>
        <v>1.1956018519413192E-2</v>
      </c>
      <c r="L598" s="11">
        <f t="shared" si="19"/>
        <v>0.55751157407212304</v>
      </c>
    </row>
    <row r="599" spans="1:12" x14ac:dyDescent="0.25">
      <c r="A599" s="3" t="s">
        <v>1942</v>
      </c>
      <c r="B599" s="3" t="s">
        <v>300</v>
      </c>
      <c r="C599" s="10">
        <v>45673.726736111108</v>
      </c>
      <c r="D599" s="10">
        <v>45673.729490740741</v>
      </c>
      <c r="E599" s="10">
        <v>45673.742754629631</v>
      </c>
      <c r="F599" s="10">
        <v>45673.744722222233</v>
      </c>
      <c r="G599" s="3" t="s">
        <v>1866</v>
      </c>
      <c r="H599" s="10">
        <v>45673.748645833337</v>
      </c>
      <c r="I599" s="10">
        <v>45673.88354166667</v>
      </c>
      <c r="J599" s="10">
        <v>45673.884212962963</v>
      </c>
      <c r="K599" s="11">
        <f t="shared" si="18"/>
        <v>1.3263888889923692E-2</v>
      </c>
      <c r="L599" s="11">
        <f t="shared" si="19"/>
        <v>0.13881944443710381</v>
      </c>
    </row>
    <row r="600" spans="1:12" x14ac:dyDescent="0.25">
      <c r="A600" s="3" t="s">
        <v>1944</v>
      </c>
      <c r="B600" s="3" t="s">
        <v>300</v>
      </c>
      <c r="C600" s="10">
        <v>45673.726736111108</v>
      </c>
      <c r="D600" s="10">
        <v>45673.729490740741</v>
      </c>
      <c r="E600" s="10">
        <v>45673.744722222233</v>
      </c>
      <c r="F600" s="10">
        <v>45673.746828703697</v>
      </c>
      <c r="G600" s="3" t="s">
        <v>1945</v>
      </c>
      <c r="H600" s="10">
        <v>45673.748993055553</v>
      </c>
      <c r="I600" s="10">
        <v>45674.198506944442</v>
      </c>
      <c r="J600" s="10">
        <v>45674.199791666673</v>
      </c>
      <c r="K600" s="11">
        <f t="shared" si="18"/>
        <v>1.5231481491355225E-2</v>
      </c>
      <c r="L600" s="11">
        <f t="shared" si="19"/>
        <v>0.45167824074451346</v>
      </c>
    </row>
    <row r="601" spans="1:12" x14ac:dyDescent="0.25">
      <c r="A601" s="3" t="s">
        <v>1947</v>
      </c>
      <c r="B601" s="3" t="s">
        <v>300</v>
      </c>
      <c r="C601" s="10">
        <v>45673.726736111108</v>
      </c>
      <c r="D601" s="10">
        <v>45673.729490740741</v>
      </c>
      <c r="E601" s="10">
        <v>45673.746828703697</v>
      </c>
      <c r="F601" s="10">
        <v>45673.748842592591</v>
      </c>
      <c r="G601" s="3" t="s">
        <v>1928</v>
      </c>
      <c r="H601" s="10">
        <v>45674.201273148137</v>
      </c>
      <c r="I601" s="10">
        <v>45674.478807870371</v>
      </c>
      <c r="J601" s="10">
        <v>45674.480694444443</v>
      </c>
      <c r="K601" s="11">
        <f t="shared" si="18"/>
        <v>1.7337962955934927E-2</v>
      </c>
      <c r="L601" s="11">
        <f t="shared" si="19"/>
        <v>0.72996527778013842</v>
      </c>
    </row>
    <row r="602" spans="1:12" x14ac:dyDescent="0.25">
      <c r="A602" s="3" t="s">
        <v>1949</v>
      </c>
      <c r="B602" s="3" t="s">
        <v>300</v>
      </c>
      <c r="C602" s="10">
        <v>45673.726736111108</v>
      </c>
      <c r="D602" s="10">
        <v>45673.729490740741</v>
      </c>
      <c r="E602" s="10">
        <v>45673.748842592591</v>
      </c>
      <c r="F602" s="10">
        <v>45673.750127314823</v>
      </c>
      <c r="G602" s="3" t="s">
        <v>1950</v>
      </c>
      <c r="H602" s="10">
        <v>45674.281944444447</v>
      </c>
      <c r="I602" s="10">
        <v>45674.451261574082</v>
      </c>
      <c r="J602" s="10">
        <v>45674.452372685177</v>
      </c>
      <c r="K602" s="11">
        <f t="shared" si="18"/>
        <v>1.9351851849933155E-2</v>
      </c>
      <c r="L602" s="11">
        <f t="shared" si="19"/>
        <v>0.70113425925956108</v>
      </c>
    </row>
    <row r="603" spans="1:12" x14ac:dyDescent="0.25">
      <c r="A603" s="3" t="s">
        <v>1952</v>
      </c>
      <c r="B603" s="3" t="s">
        <v>301</v>
      </c>
      <c r="C603" s="10">
        <v>45673.835138888891</v>
      </c>
      <c r="D603" s="10">
        <v>45673.837245370371</v>
      </c>
      <c r="E603" s="10">
        <v>45673.848379629628</v>
      </c>
      <c r="F603" s="10">
        <v>45673.849768518521</v>
      </c>
      <c r="G603" s="3" t="s">
        <v>1735</v>
      </c>
      <c r="H603" s="10">
        <v>45677.356562499997</v>
      </c>
      <c r="I603" s="10">
        <v>45677.741828703707</v>
      </c>
      <c r="J603" s="10">
        <v>45677.742604166669</v>
      </c>
      <c r="K603" s="11">
        <f t="shared" si="18"/>
        <v>1.113425925723277E-2</v>
      </c>
      <c r="L603" s="11">
        <f t="shared" si="19"/>
        <v>3.8920601851859828</v>
      </c>
    </row>
    <row r="604" spans="1:12" x14ac:dyDescent="0.25">
      <c r="A604" s="3" t="s">
        <v>1954</v>
      </c>
      <c r="B604" s="3" t="s">
        <v>301</v>
      </c>
      <c r="C604" s="10">
        <v>45673.835138888891</v>
      </c>
      <c r="D604" s="10">
        <v>45673.837245370371</v>
      </c>
      <c r="E604" s="10">
        <v>45673.849768518521</v>
      </c>
      <c r="F604" s="10">
        <v>45673.852002314823</v>
      </c>
      <c r="G604" s="3" t="s">
        <v>1955</v>
      </c>
      <c r="H604" s="10">
        <v>45673.854398148149</v>
      </c>
      <c r="I604" s="10">
        <v>45674.218333333331</v>
      </c>
      <c r="J604" s="10">
        <v>45674.219085648147</v>
      </c>
      <c r="K604" s="11">
        <f t="shared" si="18"/>
        <v>1.2523148150648922E-2</v>
      </c>
      <c r="L604" s="11">
        <f t="shared" si="19"/>
        <v>0.36633101850748062</v>
      </c>
    </row>
    <row r="605" spans="1:12" x14ac:dyDescent="0.25">
      <c r="A605" s="3" t="s">
        <v>1957</v>
      </c>
      <c r="B605" s="3" t="s">
        <v>301</v>
      </c>
      <c r="C605" s="10">
        <v>45673.835138888891</v>
      </c>
      <c r="D605" s="10">
        <v>45673.837245370371</v>
      </c>
      <c r="E605" s="10">
        <v>45673.852002314823</v>
      </c>
      <c r="F605" s="10">
        <v>45673.853518518517</v>
      </c>
      <c r="G605" s="3" t="s">
        <v>1801</v>
      </c>
      <c r="H605" s="10">
        <v>45674.135879629634</v>
      </c>
      <c r="I605" s="10">
        <v>45674.370185185187</v>
      </c>
      <c r="J605" s="10">
        <v>45674.371041666673</v>
      </c>
      <c r="K605" s="11">
        <f t="shared" si="18"/>
        <v>1.4756944452528842E-2</v>
      </c>
      <c r="L605" s="11">
        <f t="shared" si="19"/>
        <v>0.51666666667006211</v>
      </c>
    </row>
    <row r="606" spans="1:12" x14ac:dyDescent="0.25">
      <c r="A606" s="3" t="s">
        <v>1959</v>
      </c>
      <c r="B606" s="3" t="s">
        <v>301</v>
      </c>
      <c r="C606" s="10">
        <v>45673.835138888891</v>
      </c>
      <c r="D606" s="10">
        <v>45673.837245370371</v>
      </c>
      <c r="E606" s="10">
        <v>45673.853518518517</v>
      </c>
      <c r="F606" s="10">
        <v>45673.855266203696</v>
      </c>
      <c r="G606" s="3" t="s">
        <v>1789</v>
      </c>
      <c r="H606" s="10">
        <v>45674.346782407411</v>
      </c>
      <c r="I606" s="10">
        <v>45674.928761574083</v>
      </c>
      <c r="J606" s="10">
        <v>45674.930115740739</v>
      </c>
      <c r="K606" s="11">
        <f t="shared" si="18"/>
        <v>1.6273148146865424E-2</v>
      </c>
      <c r="L606" s="11">
        <f t="shared" si="19"/>
        <v>1.0734953703868086</v>
      </c>
    </row>
    <row r="607" spans="1:12" x14ac:dyDescent="0.25">
      <c r="A607" s="3" t="s">
        <v>1961</v>
      </c>
      <c r="B607" s="3" t="s">
        <v>301</v>
      </c>
      <c r="C607" s="10">
        <v>45673.835138888891</v>
      </c>
      <c r="D607" s="10">
        <v>45673.837245370371</v>
      </c>
      <c r="E607" s="10">
        <v>45673.855266203696</v>
      </c>
      <c r="F607" s="10">
        <v>45673.856574074067</v>
      </c>
      <c r="G607" s="3" t="s">
        <v>1931</v>
      </c>
      <c r="H607" s="10">
        <v>45673.860497685193</v>
      </c>
      <c r="I607" s="10">
        <v>45674.300266203703</v>
      </c>
      <c r="J607" s="10">
        <v>45674.301064814812</v>
      </c>
      <c r="K607" s="11">
        <f t="shared" si="18"/>
        <v>1.802083332586335E-2</v>
      </c>
      <c r="L607" s="11">
        <f t="shared" si="19"/>
        <v>0.44369212963647442</v>
      </c>
    </row>
    <row r="608" spans="1:12" x14ac:dyDescent="0.25">
      <c r="A608" s="3" t="s">
        <v>1963</v>
      </c>
      <c r="B608" s="3" t="s">
        <v>301</v>
      </c>
      <c r="C608" s="10">
        <v>45673.835138888891</v>
      </c>
      <c r="D608" s="10">
        <v>45673.837245370371</v>
      </c>
      <c r="E608" s="10">
        <v>45673.856574074067</v>
      </c>
      <c r="F608" s="10">
        <v>45673.858194444438</v>
      </c>
      <c r="G608" s="3" t="s">
        <v>1849</v>
      </c>
      <c r="H608" s="10">
        <v>45673.86173611111</v>
      </c>
      <c r="I608" s="10">
        <v>45674.345208333332</v>
      </c>
      <c r="J608" s="10">
        <v>45674.346064814818</v>
      </c>
      <c r="K608" s="11">
        <f t="shared" si="18"/>
        <v>1.932870369637385E-2</v>
      </c>
      <c r="L608" s="11">
        <f t="shared" si="19"/>
        <v>0.4870138888945803</v>
      </c>
    </row>
    <row r="609" spans="1:12" x14ac:dyDescent="0.25">
      <c r="A609" s="3" t="s">
        <v>1965</v>
      </c>
      <c r="B609" s="3" t="s">
        <v>301</v>
      </c>
      <c r="C609" s="10">
        <v>45673.835138888891</v>
      </c>
      <c r="D609" s="10">
        <v>45673.837245370371</v>
      </c>
      <c r="E609" s="10">
        <v>45673.858194444438</v>
      </c>
      <c r="F609" s="10">
        <v>45673.859930555547</v>
      </c>
      <c r="G609" s="3" t="s">
        <v>1966</v>
      </c>
      <c r="H609" s="10">
        <v>45674.130474537043</v>
      </c>
      <c r="I609" s="10">
        <v>45674.357685185183</v>
      </c>
      <c r="J609" s="10">
        <v>45674.358657407407</v>
      </c>
      <c r="K609" s="11">
        <f t="shared" si="18"/>
        <v>2.0949074067175388E-2</v>
      </c>
      <c r="L609" s="11">
        <f t="shared" si="19"/>
        <v>0.49775462963589234</v>
      </c>
    </row>
    <row r="610" spans="1:12" x14ac:dyDescent="0.25">
      <c r="A610" s="3" t="s">
        <v>1968</v>
      </c>
      <c r="B610" s="3" t="s">
        <v>302</v>
      </c>
      <c r="C610" s="10">
        <v>45674.113958333342</v>
      </c>
      <c r="D610" s="10">
        <v>45674.116030092591</v>
      </c>
      <c r="E610" s="10">
        <v>45674.124525462961</v>
      </c>
      <c r="F610" s="10">
        <v>45674.126550925917</v>
      </c>
      <c r="G610" s="3" t="s">
        <v>1966</v>
      </c>
      <c r="H610" s="10">
        <v>45674.130474537043</v>
      </c>
      <c r="I610" s="10">
        <v>45674.357685185183</v>
      </c>
      <c r="J610" s="10">
        <v>45674.358657407407</v>
      </c>
      <c r="K610" s="11">
        <f t="shared" si="18"/>
        <v>8.4953703699284233E-3</v>
      </c>
      <c r="L610" s="11">
        <f t="shared" si="19"/>
        <v>0.23113425926567288</v>
      </c>
    </row>
    <row r="611" spans="1:12" x14ac:dyDescent="0.25">
      <c r="A611" s="3" t="s">
        <v>1970</v>
      </c>
      <c r="B611" s="3" t="s">
        <v>302</v>
      </c>
      <c r="C611" s="10">
        <v>45674.113958333342</v>
      </c>
      <c r="D611" s="10">
        <v>45674.116030092591</v>
      </c>
      <c r="E611" s="10">
        <v>45674.126550925917</v>
      </c>
      <c r="F611" s="10">
        <v>45674.128472222219</v>
      </c>
      <c r="G611" s="3" t="s">
        <v>1843</v>
      </c>
      <c r="H611" s="10">
        <v>45674.400000000001</v>
      </c>
      <c r="I611" s="10">
        <v>45675.328321759262</v>
      </c>
      <c r="J611" s="10">
        <v>45675.329074074078</v>
      </c>
      <c r="K611" s="11">
        <f t="shared" si="18"/>
        <v>1.0520833326154388E-2</v>
      </c>
      <c r="L611" s="11">
        <f t="shared" si="19"/>
        <v>1.1998495370426099</v>
      </c>
    </row>
    <row r="612" spans="1:12" x14ac:dyDescent="0.25">
      <c r="A612" s="3" t="s">
        <v>1972</v>
      </c>
      <c r="B612" s="3" t="s">
        <v>302</v>
      </c>
      <c r="C612" s="10">
        <v>45674.113958333342</v>
      </c>
      <c r="D612" s="10">
        <v>45674.116030092591</v>
      </c>
      <c r="E612" s="10">
        <v>45674.128472222219</v>
      </c>
      <c r="F612" s="10">
        <v>45674.13040509259</v>
      </c>
      <c r="G612" s="3" t="s">
        <v>1973</v>
      </c>
      <c r="H612" s="10">
        <v>45674.328287037039</v>
      </c>
      <c r="I612" s="10">
        <v>45674.765347222223</v>
      </c>
      <c r="J612" s="10">
        <v>45674.766215277778</v>
      </c>
      <c r="K612" s="11">
        <f t="shared" si="18"/>
        <v>1.244212962774327E-2</v>
      </c>
      <c r="L612" s="11">
        <f t="shared" si="19"/>
        <v>0.63494212963269092</v>
      </c>
    </row>
    <row r="613" spans="1:12" x14ac:dyDescent="0.25">
      <c r="A613" s="3" t="s">
        <v>1975</v>
      </c>
      <c r="B613" s="3" t="s">
        <v>302</v>
      </c>
      <c r="C613" s="10">
        <v>45674.113958333342</v>
      </c>
      <c r="D613" s="10">
        <v>45674.116030092591</v>
      </c>
      <c r="E613" s="10">
        <v>45674.13040509259</v>
      </c>
      <c r="F613" s="10">
        <v>45674.131956018522</v>
      </c>
      <c r="G613" s="3" t="s">
        <v>1801</v>
      </c>
      <c r="H613" s="10">
        <v>45674.135879629634</v>
      </c>
      <c r="I613" s="10">
        <v>45674.370185185187</v>
      </c>
      <c r="J613" s="10">
        <v>45674.371041666673</v>
      </c>
      <c r="K613" s="11">
        <f t="shared" si="18"/>
        <v>1.4374999998835847E-2</v>
      </c>
      <c r="L613" s="11">
        <f t="shared" si="19"/>
        <v>0.2382291666654055</v>
      </c>
    </row>
    <row r="614" spans="1:12" x14ac:dyDescent="0.25">
      <c r="A614" s="3" t="s">
        <v>1977</v>
      </c>
      <c r="B614" s="3" t="s">
        <v>303</v>
      </c>
      <c r="C614" s="10">
        <v>45674.184351851851</v>
      </c>
      <c r="D614" s="10">
        <v>45674.18712962963</v>
      </c>
      <c r="E614" s="10">
        <v>45674.194618055553</v>
      </c>
      <c r="F614" s="10">
        <v>45674.19771990741</v>
      </c>
      <c r="G614" s="3" t="s">
        <v>1928</v>
      </c>
      <c r="H614" s="10">
        <v>45674.201273148137</v>
      </c>
      <c r="I614" s="10">
        <v>45674.478807870371</v>
      </c>
      <c r="J614" s="10">
        <v>45674.480694444443</v>
      </c>
      <c r="K614" s="11">
        <f t="shared" si="18"/>
        <v>7.4884259229293093E-3</v>
      </c>
      <c r="L614" s="11">
        <f t="shared" si="19"/>
        <v>0.28108796296146465</v>
      </c>
    </row>
    <row r="615" spans="1:12" x14ac:dyDescent="0.25">
      <c r="A615" s="3" t="s">
        <v>1979</v>
      </c>
      <c r="B615" s="3" t="s">
        <v>304</v>
      </c>
      <c r="C615" s="10">
        <v>45674.269606481481</v>
      </c>
      <c r="D615" s="10">
        <v>45674.271886574083</v>
      </c>
      <c r="E615" s="10">
        <v>45674.277858796297</v>
      </c>
      <c r="F615" s="10">
        <v>45674.279780092591</v>
      </c>
      <c r="G615" s="3" t="s">
        <v>1950</v>
      </c>
      <c r="H615" s="10">
        <v>45674.281944444447</v>
      </c>
      <c r="I615" s="10">
        <v>45674.451261574082</v>
      </c>
      <c r="J615" s="10">
        <v>45674.452372685177</v>
      </c>
      <c r="K615" s="11">
        <f t="shared" si="18"/>
        <v>5.9722222140408121E-3</v>
      </c>
      <c r="L615" s="11">
        <f t="shared" si="19"/>
        <v>0.17148148149135523</v>
      </c>
    </row>
    <row r="616" spans="1:12" x14ac:dyDescent="0.25">
      <c r="A616" s="3" t="s">
        <v>1981</v>
      </c>
      <c r="B616" s="3" t="s">
        <v>305</v>
      </c>
      <c r="C616" s="10">
        <v>45674.289664351847</v>
      </c>
      <c r="D616" s="10">
        <v>45674.292395833327</v>
      </c>
      <c r="E616" s="10">
        <v>45674.307500000003</v>
      </c>
      <c r="F616" s="10">
        <v>45674.309293981481</v>
      </c>
      <c r="G616" s="3" t="s">
        <v>1831</v>
      </c>
      <c r="H616" s="10">
        <v>45674.312847222223</v>
      </c>
      <c r="I616" s="10">
        <v>45674.462627314817</v>
      </c>
      <c r="J616" s="10">
        <v>45674.463449074072</v>
      </c>
      <c r="K616" s="11">
        <f t="shared" si="18"/>
        <v>1.510416667588288E-2</v>
      </c>
      <c r="L616" s="11">
        <f t="shared" si="19"/>
        <v>0.15333333333546761</v>
      </c>
    </row>
    <row r="617" spans="1:12" x14ac:dyDescent="0.25">
      <c r="A617" s="3" t="s">
        <v>1983</v>
      </c>
      <c r="B617" s="3" t="s">
        <v>305</v>
      </c>
      <c r="C617" s="10">
        <v>45674.289664351847</v>
      </c>
      <c r="D617" s="10">
        <v>45674.292395833327</v>
      </c>
      <c r="E617" s="10">
        <v>45674.309293981481</v>
      </c>
      <c r="F617" s="10">
        <v>45674.311620370368</v>
      </c>
      <c r="G617" s="3" t="s">
        <v>1984</v>
      </c>
      <c r="H617" s="10">
        <v>45674.314016203702</v>
      </c>
      <c r="I617" s="10">
        <v>45674.571099537039</v>
      </c>
      <c r="J617" s="10">
        <v>45674.571932870371</v>
      </c>
      <c r="K617" s="11">
        <f t="shared" si="18"/>
        <v>1.6898148154723458E-2</v>
      </c>
      <c r="L617" s="11">
        <f t="shared" si="19"/>
        <v>0.25947916667064419</v>
      </c>
    </row>
    <row r="618" spans="1:12" x14ac:dyDescent="0.25">
      <c r="A618" s="3" t="s">
        <v>1986</v>
      </c>
      <c r="B618" s="3" t="s">
        <v>305</v>
      </c>
      <c r="C618" s="10">
        <v>45674.289664351847</v>
      </c>
      <c r="D618" s="10">
        <v>45674.292395833327</v>
      </c>
      <c r="E618" s="10">
        <v>45674.311620370368</v>
      </c>
      <c r="F618" s="10">
        <v>45674.313379629632</v>
      </c>
      <c r="G618" s="3" t="s">
        <v>1789</v>
      </c>
      <c r="H618" s="10">
        <v>45674.346782407411</v>
      </c>
      <c r="I618" s="10">
        <v>45674.928761574083</v>
      </c>
      <c r="J618" s="10">
        <v>45674.930115740739</v>
      </c>
      <c r="K618" s="11">
        <f t="shared" si="18"/>
        <v>1.9224537041736767E-2</v>
      </c>
      <c r="L618" s="11">
        <f t="shared" si="19"/>
        <v>0.61538194445165573</v>
      </c>
    </row>
    <row r="619" spans="1:12" x14ac:dyDescent="0.25">
      <c r="A619" s="3" t="s">
        <v>1988</v>
      </c>
      <c r="B619" s="3" t="s">
        <v>305</v>
      </c>
      <c r="C619" s="10">
        <v>45674.289664351847</v>
      </c>
      <c r="D619" s="10">
        <v>45674.292395833327</v>
      </c>
      <c r="E619" s="10">
        <v>45674.313379629632</v>
      </c>
      <c r="F619" s="10">
        <v>45674.314618055563</v>
      </c>
      <c r="G619" s="3" t="s">
        <v>1905</v>
      </c>
      <c r="H619" s="10">
        <v>45674.318541666667</v>
      </c>
      <c r="I619" s="10">
        <v>45674.682870370372</v>
      </c>
      <c r="J619" s="10">
        <v>45674.683645833327</v>
      </c>
      <c r="K619" s="11">
        <f t="shared" si="18"/>
        <v>2.0983796304790303E-2</v>
      </c>
      <c r="L619" s="11">
        <f t="shared" si="19"/>
        <v>0.3682523148090695</v>
      </c>
    </row>
    <row r="620" spans="1:12" x14ac:dyDescent="0.25">
      <c r="A620" s="3" t="s">
        <v>1990</v>
      </c>
      <c r="B620" s="3" t="s">
        <v>305</v>
      </c>
      <c r="C620" s="10">
        <v>45674.289664351847</v>
      </c>
      <c r="D620" s="10">
        <v>45674.292395833327</v>
      </c>
      <c r="E620" s="10">
        <v>45674.314618055563</v>
      </c>
      <c r="F620" s="10">
        <v>45674.316238425927</v>
      </c>
      <c r="G620" s="3" t="s">
        <v>1991</v>
      </c>
      <c r="H620" s="10">
        <v>45674.385949074072</v>
      </c>
      <c r="I620" s="10">
        <v>45675.296180555553</v>
      </c>
      <c r="J620" s="10">
        <v>45675.297337962962</v>
      </c>
      <c r="K620" s="11">
        <f t="shared" si="18"/>
        <v>2.2222222236450762E-2</v>
      </c>
      <c r="L620" s="11">
        <f t="shared" si="19"/>
        <v>0.97994212962657912</v>
      </c>
    </row>
    <row r="621" spans="1:12" x14ac:dyDescent="0.25">
      <c r="A621" s="3" t="s">
        <v>1993</v>
      </c>
      <c r="B621" s="3" t="s">
        <v>305</v>
      </c>
      <c r="C621" s="10">
        <v>45674.289664351847</v>
      </c>
      <c r="D621" s="10">
        <v>45674.292395833327</v>
      </c>
      <c r="E621" s="10">
        <v>45674.316238425927</v>
      </c>
      <c r="F621" s="10">
        <v>45674.318287037036</v>
      </c>
      <c r="G621" s="3" t="s">
        <v>1994</v>
      </c>
      <c r="H621" s="10">
        <v>45674.40152777778</v>
      </c>
      <c r="I621" s="10">
        <v>45676.779965277783</v>
      </c>
      <c r="J621" s="10">
        <v>45676.780763888892</v>
      </c>
      <c r="K621" s="11">
        <f t="shared" si="18"/>
        <v>2.3842592599976342E-2</v>
      </c>
      <c r="L621" s="11">
        <f t="shared" si="19"/>
        <v>2.4616782407465507</v>
      </c>
    </row>
    <row r="622" spans="1:12" x14ac:dyDescent="0.25">
      <c r="A622" s="3" t="s">
        <v>1996</v>
      </c>
      <c r="B622" s="3" t="s">
        <v>305</v>
      </c>
      <c r="C622" s="10">
        <v>45674.289664351847</v>
      </c>
      <c r="D622" s="10">
        <v>45674.292395833327</v>
      </c>
      <c r="E622" s="10">
        <v>45674.318287037036</v>
      </c>
      <c r="F622" s="10">
        <v>45674.320231481477</v>
      </c>
      <c r="G622" s="3" t="s">
        <v>1997</v>
      </c>
      <c r="H622" s="10">
        <v>45674.760775462957</v>
      </c>
      <c r="I622" s="10">
        <v>45677.276192129633</v>
      </c>
      <c r="J622" s="10">
        <v>45677.277002314811</v>
      </c>
      <c r="K622" s="11">
        <f t="shared" si="18"/>
        <v>2.5891203709761612E-2</v>
      </c>
      <c r="L622" s="11">
        <f t="shared" si="19"/>
        <v>2.9559606481561786</v>
      </c>
    </row>
    <row r="623" spans="1:12" x14ac:dyDescent="0.25">
      <c r="A623" s="3" t="s">
        <v>1999</v>
      </c>
      <c r="B623" s="3" t="s">
        <v>305</v>
      </c>
      <c r="C623" s="10">
        <v>45674.289664351847</v>
      </c>
      <c r="D623" s="10">
        <v>45674.292395833327</v>
      </c>
      <c r="E623" s="10">
        <v>45674.320231481477</v>
      </c>
      <c r="F623" s="10">
        <v>45674.322418981479</v>
      </c>
      <c r="G623" s="3" t="s">
        <v>1973</v>
      </c>
      <c r="H623" s="10">
        <v>45674.328287037039</v>
      </c>
      <c r="I623" s="10">
        <v>45674.765347222223</v>
      </c>
      <c r="J623" s="10">
        <v>45674.766215277778</v>
      </c>
      <c r="K623" s="11">
        <f t="shared" si="18"/>
        <v>2.7835648150357883E-2</v>
      </c>
      <c r="L623" s="11">
        <f t="shared" si="19"/>
        <v>0.44292824074364034</v>
      </c>
    </row>
    <row r="624" spans="1:12" x14ac:dyDescent="0.25">
      <c r="A624" s="3" t="s">
        <v>2001</v>
      </c>
      <c r="B624" s="3" t="s">
        <v>305</v>
      </c>
      <c r="C624" s="10">
        <v>45674.289664351847</v>
      </c>
      <c r="D624" s="10">
        <v>45674.292395833327</v>
      </c>
      <c r="E624" s="10">
        <v>45674.322418981479</v>
      </c>
      <c r="F624" s="10">
        <v>45674.324363425927</v>
      </c>
      <c r="G624" s="3" t="s">
        <v>1973</v>
      </c>
      <c r="H624" s="10">
        <v>45674.328287037039</v>
      </c>
      <c r="I624" s="10">
        <v>45674.765347222223</v>
      </c>
      <c r="J624" s="10">
        <v>45674.766215277778</v>
      </c>
      <c r="K624" s="11">
        <f t="shared" si="18"/>
        <v>3.0023148152395152E-2</v>
      </c>
      <c r="L624" s="11">
        <f t="shared" si="19"/>
        <v>0.44098379629576812</v>
      </c>
    </row>
    <row r="625" spans="1:12" x14ac:dyDescent="0.25">
      <c r="A625" s="3" t="s">
        <v>2003</v>
      </c>
      <c r="B625" s="3" t="s">
        <v>306</v>
      </c>
      <c r="C625" s="10">
        <v>45674.31145833333</v>
      </c>
      <c r="D625" s="10">
        <v>45674.313402777778</v>
      </c>
      <c r="E625" s="10">
        <v>45674.325162037043</v>
      </c>
      <c r="F625" s="10">
        <v>45674.327164351853</v>
      </c>
      <c r="G625" s="3" t="s">
        <v>2004</v>
      </c>
      <c r="H625" s="10">
        <v>45674.329525462963</v>
      </c>
      <c r="I625" s="10">
        <v>45674.819120370368</v>
      </c>
      <c r="J625" s="10">
        <v>45674.820451388892</v>
      </c>
      <c r="K625" s="11">
        <f t="shared" si="18"/>
        <v>1.1759259265090805E-2</v>
      </c>
      <c r="L625" s="11">
        <f t="shared" si="19"/>
        <v>0.49195601851533866</v>
      </c>
    </row>
    <row r="626" spans="1:12" x14ac:dyDescent="0.25">
      <c r="A626" s="3" t="s">
        <v>2006</v>
      </c>
      <c r="B626" s="3" t="s">
        <v>307</v>
      </c>
      <c r="C626" s="10">
        <v>45674.332280092603</v>
      </c>
      <c r="D626" s="10">
        <v>45674.334537037037</v>
      </c>
      <c r="E626" s="10">
        <v>45674.340509259258</v>
      </c>
      <c r="F626" s="10">
        <v>45674.342893518522</v>
      </c>
      <c r="G626" s="3" t="s">
        <v>1789</v>
      </c>
      <c r="H626" s="10">
        <v>45674.346782407411</v>
      </c>
      <c r="I626" s="10">
        <v>45674.928761574083</v>
      </c>
      <c r="J626" s="10">
        <v>45674.930115740739</v>
      </c>
      <c r="K626" s="11">
        <f t="shared" si="18"/>
        <v>5.9722222213167697E-3</v>
      </c>
      <c r="L626" s="11">
        <f t="shared" si="19"/>
        <v>0.58586805556114996</v>
      </c>
    </row>
    <row r="627" spans="1:12" x14ac:dyDescent="0.25">
      <c r="A627" s="3" t="s">
        <v>2033</v>
      </c>
      <c r="B627" s="3" t="s">
        <v>309</v>
      </c>
      <c r="C627" s="10">
        <v>45674.366412037038</v>
      </c>
      <c r="D627" s="10">
        <v>45674.368784722217</v>
      </c>
      <c r="E627" s="10">
        <v>45674.375914351847</v>
      </c>
      <c r="F627" s="10">
        <v>45674.377442129633</v>
      </c>
      <c r="G627" s="3" t="s">
        <v>2034</v>
      </c>
      <c r="H627" s="10">
        <v>45674.379837962973</v>
      </c>
      <c r="I627" s="10">
        <v>45675.066516203697</v>
      </c>
      <c r="J627" s="10">
        <v>45675.067384259259</v>
      </c>
      <c r="K627" s="11">
        <f t="shared" si="18"/>
        <v>7.1296296300715767E-3</v>
      </c>
      <c r="L627" s="11">
        <f t="shared" si="19"/>
        <v>0.68907407406368293</v>
      </c>
    </row>
    <row r="628" spans="1:12" x14ac:dyDescent="0.25">
      <c r="A628" s="3" t="s">
        <v>2008</v>
      </c>
      <c r="B628" s="3" t="s">
        <v>308</v>
      </c>
      <c r="C628" s="10">
        <v>45674.3594212963</v>
      </c>
      <c r="D628" s="10">
        <v>45674.361875000002</v>
      </c>
      <c r="E628" s="10">
        <v>45674.379745370366</v>
      </c>
      <c r="F628" s="10">
        <v>45674.38144675926</v>
      </c>
      <c r="G628" s="3" t="s">
        <v>2009</v>
      </c>
      <c r="H628" s="10">
        <v>45679.314988425933</v>
      </c>
      <c r="I628" s="10">
        <v>45680.325706018521</v>
      </c>
      <c r="J628" s="10">
        <v>45680.326550925929</v>
      </c>
      <c r="K628" s="11">
        <f t="shared" si="18"/>
        <v>1.7870370364107657E-2</v>
      </c>
      <c r="L628" s="11">
        <f t="shared" si="19"/>
        <v>5.9442592592604342</v>
      </c>
    </row>
    <row r="629" spans="1:12" x14ac:dyDescent="0.25">
      <c r="A629" s="3" t="s">
        <v>2011</v>
      </c>
      <c r="B629" s="3" t="s">
        <v>308</v>
      </c>
      <c r="C629" s="10">
        <v>45674.3594212963</v>
      </c>
      <c r="D629" s="10">
        <v>45674.361875000002</v>
      </c>
      <c r="E629" s="10">
        <v>45674.38144675926</v>
      </c>
      <c r="F629" s="10">
        <v>45674.383553240739</v>
      </c>
      <c r="G629" s="3" t="s">
        <v>1991</v>
      </c>
      <c r="H629" s="10">
        <v>45674.385949074072</v>
      </c>
      <c r="I629" s="10">
        <v>45675.296180555553</v>
      </c>
      <c r="J629" s="10">
        <v>45675.297337962962</v>
      </c>
      <c r="K629" s="11">
        <f t="shared" si="18"/>
        <v>1.9571759257814847E-2</v>
      </c>
      <c r="L629" s="11">
        <f t="shared" si="19"/>
        <v>0.91262731481401715</v>
      </c>
    </row>
    <row r="630" spans="1:12" x14ac:dyDescent="0.25">
      <c r="A630" s="3" t="s">
        <v>2013</v>
      </c>
      <c r="B630" s="3" t="s">
        <v>308</v>
      </c>
      <c r="C630" s="10">
        <v>45674.3594212963</v>
      </c>
      <c r="D630" s="10">
        <v>45674.361875000002</v>
      </c>
      <c r="E630" s="10">
        <v>45674.383553240739</v>
      </c>
      <c r="F630" s="10">
        <v>45674.385034722232</v>
      </c>
      <c r="G630" s="3" t="s">
        <v>2014</v>
      </c>
      <c r="H630" s="10">
        <v>45679.751226851848</v>
      </c>
      <c r="I630" s="10">
        <v>45680.67150462963</v>
      </c>
      <c r="J630" s="10">
        <v>45680.672326388893</v>
      </c>
      <c r="K630" s="11">
        <f t="shared" si="18"/>
        <v>2.1678240736946464E-2</v>
      </c>
      <c r="L630" s="11">
        <f t="shared" si="19"/>
        <v>6.2864699073979864</v>
      </c>
    </row>
    <row r="631" spans="1:12" x14ac:dyDescent="0.25">
      <c r="A631" s="3" t="s">
        <v>2016</v>
      </c>
      <c r="B631" s="3" t="s">
        <v>308</v>
      </c>
      <c r="C631" s="10">
        <v>45674.3594212963</v>
      </c>
      <c r="D631" s="10">
        <v>45674.361875000002</v>
      </c>
      <c r="E631" s="10">
        <v>45674.385034722232</v>
      </c>
      <c r="F631" s="10">
        <v>45674.386956018519</v>
      </c>
      <c r="G631" s="3" t="s">
        <v>1997</v>
      </c>
      <c r="H631" s="10">
        <v>45674.760775462957</v>
      </c>
      <c r="I631" s="10">
        <v>45677.276192129633</v>
      </c>
      <c r="J631" s="10">
        <v>45677.277002314811</v>
      </c>
      <c r="K631" s="11">
        <f t="shared" si="18"/>
        <v>2.3159722230047919E-2</v>
      </c>
      <c r="L631" s="11">
        <f t="shared" si="19"/>
        <v>2.8892361111138598</v>
      </c>
    </row>
    <row r="632" spans="1:12" x14ac:dyDescent="0.25">
      <c r="A632" s="3" t="s">
        <v>2018</v>
      </c>
      <c r="B632" s="3" t="s">
        <v>308</v>
      </c>
      <c r="C632" s="10">
        <v>45674.3594212963</v>
      </c>
      <c r="D632" s="10">
        <v>45674.361875000002</v>
      </c>
      <c r="E632" s="10">
        <v>45674.386956018519</v>
      </c>
      <c r="F632" s="10">
        <v>45674.389027777783</v>
      </c>
      <c r="G632" s="3" t="s">
        <v>2019</v>
      </c>
      <c r="H632" s="10">
        <v>45674.660185185188</v>
      </c>
      <c r="I632" s="10">
        <v>45677.160983796297</v>
      </c>
      <c r="J632" s="10">
        <v>45677.162002314813</v>
      </c>
      <c r="K632" s="11">
        <f t="shared" si="18"/>
        <v>2.5081018517084885E-2</v>
      </c>
      <c r="L632" s="11">
        <f t="shared" si="19"/>
        <v>2.7719560185141745</v>
      </c>
    </row>
    <row r="633" spans="1:12" x14ac:dyDescent="0.25">
      <c r="A633" s="3" t="s">
        <v>2021</v>
      </c>
      <c r="B633" s="3" t="s">
        <v>308</v>
      </c>
      <c r="C633" s="10">
        <v>45674.3594212963</v>
      </c>
      <c r="D633" s="10">
        <v>45674.361875000002</v>
      </c>
      <c r="E633" s="10">
        <v>45674.389027777783</v>
      </c>
      <c r="F633" s="10">
        <v>45674.390381944453</v>
      </c>
      <c r="G633" s="3" t="s">
        <v>1735</v>
      </c>
      <c r="H633" s="10">
        <v>45677.356562499997</v>
      </c>
      <c r="I633" s="10">
        <v>45677.741828703707</v>
      </c>
      <c r="J633" s="10">
        <v>45677.742604166669</v>
      </c>
      <c r="K633" s="11">
        <f t="shared" si="18"/>
        <v>2.715277778042946E-2</v>
      </c>
      <c r="L633" s="11">
        <f t="shared" si="19"/>
        <v>3.3514467592540313</v>
      </c>
    </row>
    <row r="634" spans="1:12" x14ac:dyDescent="0.25">
      <c r="A634" s="3" t="s">
        <v>2023</v>
      </c>
      <c r="B634" s="3" t="s">
        <v>308</v>
      </c>
      <c r="C634" s="10">
        <v>45674.3594212963</v>
      </c>
      <c r="D634" s="10">
        <v>45674.361875000002</v>
      </c>
      <c r="E634" s="10">
        <v>45674.390381944453</v>
      </c>
      <c r="F634" s="10">
        <v>45674.391967592594</v>
      </c>
      <c r="G634" s="3" t="s">
        <v>2024</v>
      </c>
      <c r="H634" s="10">
        <v>45676.857858796298</v>
      </c>
      <c r="I634" s="10">
        <v>45677.559664351851</v>
      </c>
      <c r="J634" s="10">
        <v>45677.56050925926</v>
      </c>
      <c r="K634" s="11">
        <f t="shared" si="18"/>
        <v>2.8506944450782612E-2</v>
      </c>
      <c r="L634" s="11">
        <f t="shared" si="19"/>
        <v>3.1676967592575238</v>
      </c>
    </row>
    <row r="635" spans="1:12" x14ac:dyDescent="0.25">
      <c r="A635" s="3" t="s">
        <v>2026</v>
      </c>
      <c r="B635" s="3" t="s">
        <v>308</v>
      </c>
      <c r="C635" s="10">
        <v>45674.3594212963</v>
      </c>
      <c r="D635" s="10">
        <v>45674.361875000002</v>
      </c>
      <c r="E635" s="10">
        <v>45674.391967592594</v>
      </c>
      <c r="F635" s="10">
        <v>45674.39403935185</v>
      </c>
      <c r="G635" s="3" t="s">
        <v>1994</v>
      </c>
      <c r="H635" s="10">
        <v>45674.40152777778</v>
      </c>
      <c r="I635" s="10">
        <v>45676.779965277783</v>
      </c>
      <c r="J635" s="10">
        <v>45676.780763888892</v>
      </c>
      <c r="K635" s="11">
        <f t="shared" si="18"/>
        <v>3.0092592591245193E-2</v>
      </c>
      <c r="L635" s="11">
        <f t="shared" si="19"/>
        <v>2.3859259259334067</v>
      </c>
    </row>
    <row r="636" spans="1:12" x14ac:dyDescent="0.25">
      <c r="A636" s="3" t="s">
        <v>2028</v>
      </c>
      <c r="B636" s="3" t="s">
        <v>308</v>
      </c>
      <c r="C636" s="10">
        <v>45674.3594212963</v>
      </c>
      <c r="D636" s="10">
        <v>45674.361875000002</v>
      </c>
      <c r="E636" s="10">
        <v>45674.39403935185</v>
      </c>
      <c r="F636" s="10">
        <v>45674.39607638889</v>
      </c>
      <c r="G636" s="3" t="s">
        <v>1843</v>
      </c>
      <c r="H636" s="10">
        <v>45674.400000000001</v>
      </c>
      <c r="I636" s="10">
        <v>45675.328321759262</v>
      </c>
      <c r="J636" s="10">
        <v>45675.329074074078</v>
      </c>
      <c r="K636" s="11">
        <f t="shared" si="18"/>
        <v>3.216435184731381E-2</v>
      </c>
      <c r="L636" s="11">
        <f t="shared" si="19"/>
        <v>0.93224537037167465</v>
      </c>
    </row>
    <row r="637" spans="1:12" x14ac:dyDescent="0.25">
      <c r="A637" s="3" t="s">
        <v>2030</v>
      </c>
      <c r="B637" s="3" t="s">
        <v>308</v>
      </c>
      <c r="C637" s="10">
        <v>45674.3594212963</v>
      </c>
      <c r="D637" s="10">
        <v>45674.361875000002</v>
      </c>
      <c r="E637" s="10">
        <v>45674.39607638889</v>
      </c>
      <c r="F637" s="10">
        <v>45674.397951388892</v>
      </c>
      <c r="G637" s="3" t="s">
        <v>1994</v>
      </c>
      <c r="H637" s="10">
        <v>45674.40152777778</v>
      </c>
      <c r="I637" s="10">
        <v>45676.779965277783</v>
      </c>
      <c r="J637" s="10">
        <v>45676.780763888892</v>
      </c>
      <c r="K637" s="11">
        <f t="shared" si="18"/>
        <v>3.4201388887595385E-2</v>
      </c>
      <c r="L637" s="11">
        <f t="shared" si="19"/>
        <v>2.3820138888913789</v>
      </c>
    </row>
    <row r="638" spans="1:12" x14ac:dyDescent="0.25">
      <c r="A638" s="3" t="s">
        <v>2036</v>
      </c>
      <c r="B638" s="3" t="s">
        <v>310</v>
      </c>
      <c r="C638" s="10">
        <v>45674.423032407409</v>
      </c>
      <c r="D638" s="10">
        <v>45674.42564814815</v>
      </c>
      <c r="E638" s="10">
        <v>45674.434305555558</v>
      </c>
      <c r="F638" s="10">
        <v>45674.435474537036</v>
      </c>
      <c r="G638" s="3" t="s">
        <v>2037</v>
      </c>
      <c r="H638" s="10">
        <v>45674.741562499999</v>
      </c>
      <c r="I638" s="10">
        <v>45677.253784722219</v>
      </c>
      <c r="J638" s="10">
        <v>45677.254942129628</v>
      </c>
      <c r="K638" s="11">
        <f t="shared" si="18"/>
        <v>8.6574074084637687E-3</v>
      </c>
      <c r="L638" s="11">
        <f t="shared" si="19"/>
        <v>2.8183101851827814</v>
      </c>
    </row>
    <row r="639" spans="1:12" x14ac:dyDescent="0.25">
      <c r="A639" s="3" t="s">
        <v>2040</v>
      </c>
      <c r="B639" s="3" t="s">
        <v>311</v>
      </c>
      <c r="C639" s="10">
        <v>45674.53434027778</v>
      </c>
      <c r="D639" s="10">
        <v>45674.536481481482</v>
      </c>
      <c r="E639" s="10">
        <v>45674.541956018518</v>
      </c>
      <c r="F639" s="10">
        <v>45674.543749999997</v>
      </c>
      <c r="G639" s="3" t="s">
        <v>2041</v>
      </c>
      <c r="H639" s="10">
        <v>45674.54614583333</v>
      </c>
      <c r="I639" s="10">
        <v>45676.89707175926</v>
      </c>
      <c r="J639" s="10">
        <v>45676.898043981477</v>
      </c>
      <c r="K639" s="11">
        <f t="shared" si="18"/>
        <v>5.4745370362070389E-3</v>
      </c>
      <c r="L639" s="11">
        <f t="shared" si="19"/>
        <v>2.3533217592630535</v>
      </c>
    </row>
    <row r="640" spans="1:12" x14ac:dyDescent="0.25">
      <c r="A640" s="3" t="s">
        <v>2043</v>
      </c>
      <c r="B640" s="3" t="s">
        <v>312</v>
      </c>
      <c r="C640" s="10">
        <v>45674.647650462961</v>
      </c>
      <c r="D640" s="10">
        <v>45674.649745370371</v>
      </c>
      <c r="E640" s="10">
        <v>45674.655312499999</v>
      </c>
      <c r="F640" s="10">
        <v>45674.657824074071</v>
      </c>
      <c r="G640" s="3" t="s">
        <v>2019</v>
      </c>
      <c r="H640" s="10">
        <v>45674.660185185188</v>
      </c>
      <c r="I640" s="10">
        <v>45677.160983796297</v>
      </c>
      <c r="J640" s="10">
        <v>45677.162002314813</v>
      </c>
      <c r="K640" s="11">
        <f t="shared" si="18"/>
        <v>5.5671296286163852E-3</v>
      </c>
      <c r="L640" s="11">
        <f t="shared" si="19"/>
        <v>2.5031597222259734</v>
      </c>
    </row>
    <row r="641" spans="1:12" x14ac:dyDescent="0.25">
      <c r="A641" s="3" t="s">
        <v>2045</v>
      </c>
      <c r="B641" s="3" t="s">
        <v>313</v>
      </c>
      <c r="C641" s="10">
        <v>45674.729085648149</v>
      </c>
      <c r="D641" s="10">
        <v>45674.731377314813</v>
      </c>
      <c r="E641" s="10">
        <v>45674.737337962957</v>
      </c>
      <c r="F641" s="10">
        <v>45674.739166666674</v>
      </c>
      <c r="G641" s="3" t="s">
        <v>2037</v>
      </c>
      <c r="H641" s="10">
        <v>45674.741562499999</v>
      </c>
      <c r="I641" s="10">
        <v>45677.253784722219</v>
      </c>
      <c r="J641" s="10">
        <v>45677.254942129628</v>
      </c>
      <c r="K641" s="11">
        <f t="shared" si="18"/>
        <v>5.9606481445371173E-3</v>
      </c>
      <c r="L641" s="11">
        <f t="shared" si="19"/>
        <v>2.5146180555457249</v>
      </c>
    </row>
    <row r="642" spans="1:12" x14ac:dyDescent="0.25">
      <c r="A642" s="3" t="s">
        <v>2047</v>
      </c>
      <c r="B642" s="3" t="s">
        <v>314</v>
      </c>
      <c r="C642" s="10">
        <v>45674.749756944453</v>
      </c>
      <c r="D642" s="10">
        <v>45674.751597222217</v>
      </c>
      <c r="E642" s="10">
        <v>45674.756203703713</v>
      </c>
      <c r="F642" s="10">
        <v>45674.758379629631</v>
      </c>
      <c r="G642" s="3" t="s">
        <v>1997</v>
      </c>
      <c r="H642" s="10">
        <v>45674.760775462957</v>
      </c>
      <c r="I642" s="10">
        <v>45677.276192129633</v>
      </c>
      <c r="J642" s="10">
        <v>45677.277002314811</v>
      </c>
      <c r="K642" s="11">
        <f t="shared" ref="K642:K705" si="20">IF(AND(ISNUMBER(D642),ISNUMBER(E642)),(E642-D642),"")</f>
        <v>4.6064814960118383E-3</v>
      </c>
      <c r="L642" s="11">
        <f t="shared" ref="L642:L705" si="21">IF(AND(ISNUMBER(F642),ISNUMBER(I642)),(I642-F642),"")</f>
        <v>2.5178125000020373</v>
      </c>
    </row>
    <row r="643" spans="1:12" x14ac:dyDescent="0.25">
      <c r="A643" s="3" t="s">
        <v>2049</v>
      </c>
      <c r="B643" s="3" t="s">
        <v>315</v>
      </c>
      <c r="C643" s="10">
        <v>45674.837546296287</v>
      </c>
      <c r="D643" s="10">
        <v>45674.839930555558</v>
      </c>
      <c r="E643" s="10">
        <v>45674.853275462963</v>
      </c>
      <c r="F643" s="10">
        <v>45674.855300925927</v>
      </c>
      <c r="G643" s="3" t="s">
        <v>2050</v>
      </c>
      <c r="H643" s="10">
        <v>45677.20207175926</v>
      </c>
      <c r="I643" s="10">
        <v>45677.723263888889</v>
      </c>
      <c r="J643" s="10">
        <v>45677.724537037036</v>
      </c>
      <c r="K643" s="11">
        <f t="shared" si="20"/>
        <v>1.3344907405553386E-2</v>
      </c>
      <c r="L643" s="11">
        <f t="shared" si="21"/>
        <v>2.8679629629623378</v>
      </c>
    </row>
    <row r="644" spans="1:12" x14ac:dyDescent="0.25">
      <c r="A644" s="3" t="s">
        <v>2052</v>
      </c>
      <c r="B644" s="3" t="s">
        <v>315</v>
      </c>
      <c r="C644" s="10">
        <v>45674.837546296287</v>
      </c>
      <c r="D644" s="10">
        <v>45674.839930555558</v>
      </c>
      <c r="E644" s="10">
        <v>45674.855300925927</v>
      </c>
      <c r="F644" s="10">
        <v>45674.857071759259</v>
      </c>
      <c r="G644" s="3" t="s">
        <v>2053</v>
      </c>
      <c r="H644" s="10">
        <v>45675.038240740738</v>
      </c>
      <c r="I644" s="10">
        <v>45677.380057870367</v>
      </c>
      <c r="J644" s="10">
        <v>45677.380891203713</v>
      </c>
      <c r="K644" s="11">
        <f t="shared" si="20"/>
        <v>1.5370370369055308E-2</v>
      </c>
      <c r="L644" s="11">
        <f t="shared" si="21"/>
        <v>2.522986111107457</v>
      </c>
    </row>
    <row r="645" spans="1:12" x14ac:dyDescent="0.25">
      <c r="A645" s="3" t="s">
        <v>2055</v>
      </c>
      <c r="B645" s="3" t="s">
        <v>315</v>
      </c>
      <c r="C645" s="10">
        <v>45674.837546296287</v>
      </c>
      <c r="D645" s="10">
        <v>45674.839930555558</v>
      </c>
      <c r="E645" s="10">
        <v>45674.857071759259</v>
      </c>
      <c r="F645" s="10">
        <v>45674.859039351853</v>
      </c>
      <c r="G645" s="3" t="s">
        <v>2056</v>
      </c>
      <c r="H645" s="10">
        <v>45674.868159722217</v>
      </c>
      <c r="I645" s="10">
        <v>45677.351770833331</v>
      </c>
      <c r="J645" s="10">
        <v>45677.352719907409</v>
      </c>
      <c r="K645" s="11">
        <f t="shared" si="20"/>
        <v>1.714120370161254E-2</v>
      </c>
      <c r="L645" s="11">
        <f t="shared" si="21"/>
        <v>2.4927314814776764</v>
      </c>
    </row>
    <row r="646" spans="1:12" x14ac:dyDescent="0.25">
      <c r="A646" s="3" t="s">
        <v>2058</v>
      </c>
      <c r="B646" s="3" t="s">
        <v>315</v>
      </c>
      <c r="C646" s="10">
        <v>45674.837546296287</v>
      </c>
      <c r="D646" s="10">
        <v>45674.839930555558</v>
      </c>
      <c r="E646" s="10">
        <v>45674.859039351853</v>
      </c>
      <c r="F646" s="10">
        <v>45674.860405092593</v>
      </c>
      <c r="G646" s="3" t="s">
        <v>2059</v>
      </c>
      <c r="H646" s="10">
        <v>45677.338391203702</v>
      </c>
      <c r="I646" s="10">
        <v>45677.695671296293</v>
      </c>
      <c r="J646" s="10">
        <v>45677.696527777778</v>
      </c>
      <c r="K646" s="11">
        <f t="shared" si="20"/>
        <v>1.9108796295768116E-2</v>
      </c>
      <c r="L646" s="11">
        <f t="shared" si="21"/>
        <v>2.8352662036995753</v>
      </c>
    </row>
    <row r="647" spans="1:12" x14ac:dyDescent="0.25">
      <c r="A647" s="3" t="s">
        <v>2061</v>
      </c>
      <c r="B647" s="3" t="s">
        <v>315</v>
      </c>
      <c r="C647" s="10">
        <v>45674.837546296287</v>
      </c>
      <c r="D647" s="10">
        <v>45674.839930555558</v>
      </c>
      <c r="E647" s="10">
        <v>45674.860405092593</v>
      </c>
      <c r="F647" s="10">
        <v>45674.862337962957</v>
      </c>
      <c r="G647" s="3" t="s">
        <v>2062</v>
      </c>
      <c r="H647" s="10">
        <v>45676.854444444441</v>
      </c>
      <c r="I647" s="10">
        <v>45677.479861111111</v>
      </c>
      <c r="J647" s="10">
        <v>45677.480555555558</v>
      </c>
      <c r="K647" s="11">
        <f t="shared" si="20"/>
        <v>2.0474537035624962E-2</v>
      </c>
      <c r="L647" s="11">
        <f t="shared" si="21"/>
        <v>2.6175231481538503</v>
      </c>
    </row>
    <row r="648" spans="1:12" x14ac:dyDescent="0.25">
      <c r="A648" s="3" t="s">
        <v>2064</v>
      </c>
      <c r="B648" s="3" t="s">
        <v>315</v>
      </c>
      <c r="C648" s="10">
        <v>45674.837546296287</v>
      </c>
      <c r="D648" s="10">
        <v>45674.839930555558</v>
      </c>
      <c r="E648" s="10">
        <v>45674.862337962957</v>
      </c>
      <c r="F648" s="10">
        <v>45674.864618055559</v>
      </c>
      <c r="G648" s="3" t="s">
        <v>2056</v>
      </c>
      <c r="H648" s="10">
        <v>45674.868159722217</v>
      </c>
      <c r="I648" s="10">
        <v>45677.351770833331</v>
      </c>
      <c r="J648" s="10">
        <v>45677.352719907409</v>
      </c>
      <c r="K648" s="11">
        <f t="shared" si="20"/>
        <v>2.2407407399441581E-2</v>
      </c>
      <c r="L648" s="11">
        <f t="shared" si="21"/>
        <v>2.4871527777722804</v>
      </c>
    </row>
    <row r="649" spans="1:12" x14ac:dyDescent="0.25">
      <c r="A649" s="3" t="s">
        <v>2066</v>
      </c>
      <c r="B649" s="3" t="s">
        <v>315</v>
      </c>
      <c r="C649" s="10">
        <v>45674.837546296287</v>
      </c>
      <c r="D649" s="10">
        <v>45674.839930555558</v>
      </c>
      <c r="E649" s="10">
        <v>45674.864618055559</v>
      </c>
      <c r="F649" s="10">
        <v>45674.866122685176</v>
      </c>
      <c r="G649" s="3" t="s">
        <v>2014</v>
      </c>
      <c r="H649" s="10">
        <v>45679.751226851848</v>
      </c>
      <c r="I649" s="10">
        <v>45680.67150462963</v>
      </c>
      <c r="J649" s="10">
        <v>45680.672326388893</v>
      </c>
      <c r="K649" s="11">
        <f t="shared" si="20"/>
        <v>2.4687500001164153E-2</v>
      </c>
      <c r="L649" s="11">
        <f t="shared" si="21"/>
        <v>5.805381944453984</v>
      </c>
    </row>
    <row r="650" spans="1:12" x14ac:dyDescent="0.25">
      <c r="A650" s="3" t="s">
        <v>2069</v>
      </c>
      <c r="B650" s="3" t="s">
        <v>316</v>
      </c>
      <c r="C650" s="10">
        <v>45675.016168981478</v>
      </c>
      <c r="D650" s="10">
        <v>45675.018622685187</v>
      </c>
      <c r="E650" s="10">
        <v>45675.028946759259</v>
      </c>
      <c r="F650" s="10">
        <v>45675.031076388892</v>
      </c>
      <c r="G650" s="3" t="s">
        <v>2070</v>
      </c>
      <c r="H650" s="10">
        <v>45675.033229166656</v>
      </c>
      <c r="I650" s="10">
        <v>45677.35392361111</v>
      </c>
      <c r="J650" s="10">
        <v>45677.354872685188</v>
      </c>
      <c r="K650" s="11">
        <f t="shared" si="20"/>
        <v>1.0324074071832001E-2</v>
      </c>
      <c r="L650" s="11">
        <f t="shared" si="21"/>
        <v>2.3228472222181153</v>
      </c>
    </row>
    <row r="651" spans="1:12" x14ac:dyDescent="0.25">
      <c r="A651" s="3" t="s">
        <v>2072</v>
      </c>
      <c r="B651" s="3" t="s">
        <v>316</v>
      </c>
      <c r="C651" s="10">
        <v>45675.016168981478</v>
      </c>
      <c r="D651" s="10">
        <v>45675.018622685187</v>
      </c>
      <c r="E651" s="10">
        <v>45675.031076388892</v>
      </c>
      <c r="F651" s="10">
        <v>45675.032881944448</v>
      </c>
      <c r="G651" s="3" t="s">
        <v>2053</v>
      </c>
      <c r="H651" s="10">
        <v>45675.038240740738</v>
      </c>
      <c r="I651" s="10">
        <v>45677.380057870367</v>
      </c>
      <c r="J651" s="10">
        <v>45677.380891203713</v>
      </c>
      <c r="K651" s="11">
        <f t="shared" si="20"/>
        <v>1.2453703704522923E-2</v>
      </c>
      <c r="L651" s="11">
        <f t="shared" si="21"/>
        <v>2.3471759259191458</v>
      </c>
    </row>
    <row r="652" spans="1:12" x14ac:dyDescent="0.25">
      <c r="A652" s="3" t="s">
        <v>2075</v>
      </c>
      <c r="B652" s="3" t="s">
        <v>316</v>
      </c>
      <c r="C652" s="10">
        <v>45675.016168981478</v>
      </c>
      <c r="D652" s="10">
        <v>45675.018622685187</v>
      </c>
      <c r="E652" s="10">
        <v>45675.032881944448</v>
      </c>
      <c r="F652" s="10">
        <v>45675.034699074073</v>
      </c>
      <c r="G652" s="3" t="s">
        <v>2053</v>
      </c>
      <c r="H652" s="10">
        <v>45675.038240740738</v>
      </c>
      <c r="I652" s="10">
        <v>45677.380057870367</v>
      </c>
      <c r="J652" s="10">
        <v>45677.380891203713</v>
      </c>
      <c r="K652" s="11">
        <f t="shared" si="20"/>
        <v>1.4259259260143153E-2</v>
      </c>
      <c r="L652" s="11">
        <f t="shared" si="21"/>
        <v>2.3453587962940219</v>
      </c>
    </row>
    <row r="653" spans="1:12" x14ac:dyDescent="0.25">
      <c r="A653" s="3" t="s">
        <v>2077</v>
      </c>
      <c r="B653" s="3" t="s">
        <v>317</v>
      </c>
      <c r="C653" s="10">
        <v>45675.237893518519</v>
      </c>
      <c r="D653" s="10">
        <v>45675.240439814806</v>
      </c>
      <c r="E653" s="10">
        <v>45675.249259259261</v>
      </c>
      <c r="F653" s="10">
        <v>45675.251331018517</v>
      </c>
      <c r="G653" s="3" t="s">
        <v>2050</v>
      </c>
      <c r="H653" s="10">
        <v>45677.20207175926</v>
      </c>
      <c r="I653" s="10">
        <v>45677.723263888889</v>
      </c>
      <c r="J653" s="10">
        <v>45677.724537037036</v>
      </c>
      <c r="K653" s="11">
        <f t="shared" si="20"/>
        <v>8.8194444542750716E-3</v>
      </c>
      <c r="L653" s="11">
        <f t="shared" si="21"/>
        <v>2.4719328703722567</v>
      </c>
    </row>
    <row r="654" spans="1:12" x14ac:dyDescent="0.25">
      <c r="A654" s="3" t="s">
        <v>2079</v>
      </c>
      <c r="B654" s="3" t="s">
        <v>317</v>
      </c>
      <c r="C654" s="10">
        <v>45675.237893518519</v>
      </c>
      <c r="D654" s="10">
        <v>45675.240439814806</v>
      </c>
      <c r="E654" s="10">
        <v>45675.251331018517</v>
      </c>
      <c r="F654" s="10">
        <v>45675.25267361111</v>
      </c>
      <c r="G654" s="3" t="s">
        <v>2080</v>
      </c>
      <c r="H654" s="10">
        <v>45675.302858796298</v>
      </c>
      <c r="I654" s="10">
        <v>45677.406412037039</v>
      </c>
      <c r="J654" s="10">
        <v>45677.407141203701</v>
      </c>
      <c r="K654" s="11">
        <f t="shared" si="20"/>
        <v>1.0891203710343689E-2</v>
      </c>
      <c r="L654" s="11">
        <f t="shared" si="21"/>
        <v>2.153738425928168</v>
      </c>
    </row>
    <row r="655" spans="1:12" x14ac:dyDescent="0.25">
      <c r="A655" s="3" t="s">
        <v>2083</v>
      </c>
      <c r="B655" s="3" t="s">
        <v>318</v>
      </c>
      <c r="C655" s="10">
        <v>45675.268148148149</v>
      </c>
      <c r="D655" s="10">
        <v>45675.270335648151</v>
      </c>
      <c r="E655" s="10">
        <v>45675.286527777767</v>
      </c>
      <c r="F655" s="10">
        <v>45675.288634259261</v>
      </c>
      <c r="G655" s="3" t="s">
        <v>2050</v>
      </c>
      <c r="H655" s="10">
        <v>45677.20207175926</v>
      </c>
      <c r="I655" s="10">
        <v>45677.723263888889</v>
      </c>
      <c r="J655" s="10">
        <v>45677.724537037036</v>
      </c>
      <c r="K655" s="11">
        <f t="shared" si="20"/>
        <v>1.6192129616683815E-2</v>
      </c>
      <c r="L655" s="11">
        <f t="shared" si="21"/>
        <v>2.4346296296280343</v>
      </c>
    </row>
    <row r="656" spans="1:12" x14ac:dyDescent="0.25">
      <c r="A656" s="3" t="s">
        <v>2086</v>
      </c>
      <c r="B656" s="3" t="s">
        <v>318</v>
      </c>
      <c r="C656" s="10">
        <v>45675.268148148149</v>
      </c>
      <c r="D656" s="10">
        <v>45675.270335648151</v>
      </c>
      <c r="E656" s="10">
        <v>45675.288634259261</v>
      </c>
      <c r="F656" s="10">
        <v>45675.290578703702</v>
      </c>
      <c r="G656" s="3" t="s">
        <v>2087</v>
      </c>
      <c r="H656" s="10">
        <v>45676.746655092589</v>
      </c>
      <c r="I656" s="10">
        <v>45677.499895833331</v>
      </c>
      <c r="J656" s="10">
        <v>45677.501493055563</v>
      </c>
      <c r="K656" s="11">
        <f t="shared" si="20"/>
        <v>1.8298611110367347E-2</v>
      </c>
      <c r="L656" s="11">
        <f t="shared" si="21"/>
        <v>2.2093171296291985</v>
      </c>
    </row>
    <row r="657" spans="1:12" x14ac:dyDescent="0.25">
      <c r="A657" s="3" t="s">
        <v>2089</v>
      </c>
      <c r="B657" s="3" t="s">
        <v>318</v>
      </c>
      <c r="C657" s="10">
        <v>45675.268148148149</v>
      </c>
      <c r="D657" s="10">
        <v>45675.270335648151</v>
      </c>
      <c r="E657" s="10">
        <v>45675.290578703702</v>
      </c>
      <c r="F657" s="10">
        <v>45675.292534722219</v>
      </c>
      <c r="G657" s="3" t="s">
        <v>2090</v>
      </c>
      <c r="H657" s="10">
        <v>45677.409537037027</v>
      </c>
      <c r="I657" s="10">
        <v>45678.30972222222</v>
      </c>
      <c r="J657" s="10">
        <v>45678.310578703713</v>
      </c>
      <c r="K657" s="11">
        <f t="shared" si="20"/>
        <v>2.0243055550963618E-2</v>
      </c>
      <c r="L657" s="11">
        <f t="shared" si="21"/>
        <v>3.0171875000014552</v>
      </c>
    </row>
    <row r="658" spans="1:12" x14ac:dyDescent="0.25">
      <c r="A658" s="3" t="s">
        <v>2092</v>
      </c>
      <c r="B658" s="3" t="s">
        <v>318</v>
      </c>
      <c r="C658" s="10">
        <v>45675.268148148149</v>
      </c>
      <c r="D658" s="10">
        <v>45675.270335648151</v>
      </c>
      <c r="E658" s="10">
        <v>45675.292534722219</v>
      </c>
      <c r="F658" s="10">
        <v>45675.294490740736</v>
      </c>
      <c r="G658" s="3" t="s">
        <v>2093</v>
      </c>
      <c r="H658" s="10">
        <v>45677.397094907406</v>
      </c>
      <c r="I658" s="10">
        <v>45678.1641087963</v>
      </c>
      <c r="J658" s="10">
        <v>45678.164965277778</v>
      </c>
      <c r="K658" s="11">
        <f t="shared" si="20"/>
        <v>2.2199074068339542E-2</v>
      </c>
      <c r="L658" s="11">
        <f t="shared" si="21"/>
        <v>2.8696180555634783</v>
      </c>
    </row>
    <row r="659" spans="1:12" x14ac:dyDescent="0.25">
      <c r="A659" s="3" t="s">
        <v>2095</v>
      </c>
      <c r="B659" s="3" t="s">
        <v>318</v>
      </c>
      <c r="C659" s="10">
        <v>45675.268148148149</v>
      </c>
      <c r="D659" s="10">
        <v>45675.270335648151</v>
      </c>
      <c r="E659" s="10">
        <v>45675.294490740736</v>
      </c>
      <c r="F659" s="10">
        <v>45675.295798611107</v>
      </c>
      <c r="G659" s="3" t="s">
        <v>2059</v>
      </c>
      <c r="H659" s="10">
        <v>45677.338391203702</v>
      </c>
      <c r="I659" s="10">
        <v>45677.695671296293</v>
      </c>
      <c r="J659" s="10">
        <v>45677.696527777778</v>
      </c>
      <c r="K659" s="11">
        <f t="shared" si="20"/>
        <v>2.4155092585715465E-2</v>
      </c>
      <c r="L659" s="11">
        <f t="shared" si="21"/>
        <v>2.3998726851859828</v>
      </c>
    </row>
    <row r="660" spans="1:12" x14ac:dyDescent="0.25">
      <c r="A660" s="3" t="s">
        <v>2097</v>
      </c>
      <c r="B660" s="3" t="s">
        <v>318</v>
      </c>
      <c r="C660" s="10">
        <v>45675.268148148149</v>
      </c>
      <c r="D660" s="10">
        <v>45675.270335648151</v>
      </c>
      <c r="E660" s="10">
        <v>45675.295798611107</v>
      </c>
      <c r="F660" s="10">
        <v>45675.297766203701</v>
      </c>
      <c r="G660" s="3" t="s">
        <v>2062</v>
      </c>
      <c r="H660" s="10">
        <v>45676.854444444441</v>
      </c>
      <c r="I660" s="10">
        <v>45677.479861111111</v>
      </c>
      <c r="J660" s="10">
        <v>45677.480555555558</v>
      </c>
      <c r="K660" s="11">
        <f t="shared" si="20"/>
        <v>2.5462962956225965E-2</v>
      </c>
      <c r="L660" s="11">
        <f t="shared" si="21"/>
        <v>2.182094907409919</v>
      </c>
    </row>
    <row r="661" spans="1:12" x14ac:dyDescent="0.25">
      <c r="A661" s="3" t="s">
        <v>2100</v>
      </c>
      <c r="B661" s="3" t="s">
        <v>318</v>
      </c>
      <c r="C661" s="10">
        <v>45675.268148148149</v>
      </c>
      <c r="D661" s="10">
        <v>45675.270335648151</v>
      </c>
      <c r="E661" s="10">
        <v>45675.297766203701</v>
      </c>
      <c r="F661" s="10">
        <v>45675.298935185187</v>
      </c>
      <c r="G661" s="3" t="s">
        <v>2080</v>
      </c>
      <c r="H661" s="10">
        <v>45675.302858796298</v>
      </c>
      <c r="I661" s="10">
        <v>45677.406412037039</v>
      </c>
      <c r="J661" s="10">
        <v>45677.407141203701</v>
      </c>
      <c r="K661" s="11">
        <f t="shared" si="20"/>
        <v>2.7430555550381541E-2</v>
      </c>
      <c r="L661" s="11">
        <f t="shared" si="21"/>
        <v>2.1074768518519704</v>
      </c>
    </row>
    <row r="662" spans="1:12" x14ac:dyDescent="0.25">
      <c r="A662" s="3" t="s">
        <v>2103</v>
      </c>
      <c r="B662" s="3" t="s">
        <v>319</v>
      </c>
      <c r="C662" s="10">
        <v>45676.729710648149</v>
      </c>
      <c r="D662" s="10">
        <v>45676.732233796298</v>
      </c>
      <c r="E662" s="10">
        <v>45676.741423611107</v>
      </c>
      <c r="F662" s="10">
        <v>45676.744479166657</v>
      </c>
      <c r="G662" s="3" t="s">
        <v>2087</v>
      </c>
      <c r="H662" s="10">
        <v>45676.746655092589</v>
      </c>
      <c r="I662" s="10">
        <v>45677.499895833331</v>
      </c>
      <c r="J662" s="10">
        <v>45677.501493055563</v>
      </c>
      <c r="K662" s="11">
        <f t="shared" si="20"/>
        <v>9.1898148093605414E-3</v>
      </c>
      <c r="L662" s="11">
        <f t="shared" si="21"/>
        <v>0.75541666667413665</v>
      </c>
    </row>
    <row r="663" spans="1:12" x14ac:dyDescent="0.25">
      <c r="A663" s="3" t="s">
        <v>2105</v>
      </c>
      <c r="B663" s="3" t="s">
        <v>319</v>
      </c>
      <c r="C663" s="10">
        <v>45676.729710648149</v>
      </c>
      <c r="D663" s="10">
        <v>45676.732233796298</v>
      </c>
      <c r="E663" s="10">
        <v>45676.744479166657</v>
      </c>
      <c r="F663" s="10">
        <v>45676.746180555558</v>
      </c>
      <c r="G663" s="3" t="s">
        <v>2024</v>
      </c>
      <c r="H663" s="10">
        <v>45676.857858796298</v>
      </c>
      <c r="I663" s="10">
        <v>45677.559664351851</v>
      </c>
      <c r="J663" s="10">
        <v>45677.56050925926</v>
      </c>
      <c r="K663" s="11">
        <f t="shared" si="20"/>
        <v>1.2245370358868968E-2</v>
      </c>
      <c r="L663" s="11">
        <f t="shared" si="21"/>
        <v>0.81348379629343981</v>
      </c>
    </row>
    <row r="664" spans="1:12" x14ac:dyDescent="0.25">
      <c r="A664" s="3" t="s">
        <v>2107</v>
      </c>
      <c r="B664" s="3" t="s">
        <v>320</v>
      </c>
      <c r="C664" s="10">
        <v>45676.841828703713</v>
      </c>
      <c r="D664" s="10">
        <v>45676.843807870369</v>
      </c>
      <c r="E664" s="10">
        <v>45676.850092592591</v>
      </c>
      <c r="F664" s="10">
        <v>45676.852268518523</v>
      </c>
      <c r="G664" s="3" t="s">
        <v>2062</v>
      </c>
      <c r="H664" s="10">
        <v>45676.854444444441</v>
      </c>
      <c r="I664" s="10">
        <v>45677.479861111111</v>
      </c>
      <c r="J664" s="10">
        <v>45677.480555555558</v>
      </c>
      <c r="K664" s="11">
        <f t="shared" si="20"/>
        <v>6.284722221607808E-3</v>
      </c>
      <c r="L664" s="11">
        <f t="shared" si="21"/>
        <v>0.6275925925874617</v>
      </c>
    </row>
    <row r="665" spans="1:12" x14ac:dyDescent="0.25">
      <c r="A665" s="3" t="s">
        <v>2109</v>
      </c>
      <c r="B665" s="3" t="s">
        <v>320</v>
      </c>
      <c r="C665" s="10">
        <v>45676.841828703713</v>
      </c>
      <c r="D665" s="10">
        <v>45676.843807870369</v>
      </c>
      <c r="E665" s="10">
        <v>45676.852268518523</v>
      </c>
      <c r="F665" s="10">
        <v>45676.853935185187</v>
      </c>
      <c r="G665" s="3" t="s">
        <v>2024</v>
      </c>
      <c r="H665" s="10">
        <v>45676.857858796298</v>
      </c>
      <c r="I665" s="10">
        <v>45677.559664351851</v>
      </c>
      <c r="J665" s="10">
        <v>45677.56050925926</v>
      </c>
      <c r="K665" s="11">
        <f t="shared" si="20"/>
        <v>8.4606481541413814E-3</v>
      </c>
      <c r="L665" s="11">
        <f t="shared" si="21"/>
        <v>0.70572916666424135</v>
      </c>
    </row>
    <row r="666" spans="1:12" x14ac:dyDescent="0.25">
      <c r="A666" s="3" t="s">
        <v>2111</v>
      </c>
      <c r="B666" s="3" t="s">
        <v>321</v>
      </c>
      <c r="C666" s="10">
        <v>45677.102581018517</v>
      </c>
      <c r="D666" s="10">
        <v>45677.104780092603</v>
      </c>
      <c r="E666" s="10">
        <v>45677.113437499997</v>
      </c>
      <c r="F666" s="10">
        <v>45677.115381944437</v>
      </c>
      <c r="G666" s="3" t="s">
        <v>2093</v>
      </c>
      <c r="H666" s="10">
        <v>45677.397094907406</v>
      </c>
      <c r="I666" s="10">
        <v>45678.1641087963</v>
      </c>
      <c r="J666" s="10">
        <v>45678.164965277778</v>
      </c>
      <c r="K666" s="11">
        <f t="shared" si="20"/>
        <v>8.6574073939118534E-3</v>
      </c>
      <c r="L666" s="11">
        <f t="shared" si="21"/>
        <v>1.0487268518627388</v>
      </c>
    </row>
    <row r="667" spans="1:12" x14ac:dyDescent="0.25">
      <c r="A667" s="3" t="s">
        <v>2113</v>
      </c>
      <c r="B667" s="3" t="s">
        <v>321</v>
      </c>
      <c r="C667" s="10">
        <v>45677.102581018517</v>
      </c>
      <c r="D667" s="10">
        <v>45677.104780092603</v>
      </c>
      <c r="E667" s="10">
        <v>45677.115381944437</v>
      </c>
      <c r="F667" s="10">
        <v>45677.117013888892</v>
      </c>
      <c r="G667" s="3" t="s">
        <v>2114</v>
      </c>
      <c r="H667" s="10">
        <v>45677.119409722232</v>
      </c>
      <c r="I667" s="10">
        <v>45677.641446759262</v>
      </c>
      <c r="J667" s="10">
        <v>45677.642256944448</v>
      </c>
      <c r="K667" s="11">
        <f t="shared" si="20"/>
        <v>1.0601851834508125E-2</v>
      </c>
      <c r="L667" s="11">
        <f t="shared" si="21"/>
        <v>0.52443287037021946</v>
      </c>
    </row>
    <row r="668" spans="1:12" x14ac:dyDescent="0.25">
      <c r="A668" s="3" t="s">
        <v>2116</v>
      </c>
      <c r="B668" s="3" t="s">
        <v>321</v>
      </c>
      <c r="C668" s="10">
        <v>45677.102581018517</v>
      </c>
      <c r="D668" s="10">
        <v>45677.104780092603</v>
      </c>
      <c r="E668" s="10">
        <v>45677.117013888892</v>
      </c>
      <c r="F668" s="10">
        <v>45677.119004629632</v>
      </c>
      <c r="G668" s="3" t="s">
        <v>2090</v>
      </c>
      <c r="H668" s="10">
        <v>45677.409537037027</v>
      </c>
      <c r="I668" s="10">
        <v>45678.30972222222</v>
      </c>
      <c r="J668" s="10">
        <v>45678.310578703713</v>
      </c>
      <c r="K668" s="11">
        <f t="shared" si="20"/>
        <v>1.2233796289365273E-2</v>
      </c>
      <c r="L668" s="11">
        <f t="shared" si="21"/>
        <v>1.1907175925880438</v>
      </c>
    </row>
    <row r="669" spans="1:12" x14ac:dyDescent="0.25">
      <c r="A669" s="3" t="s">
        <v>2118</v>
      </c>
      <c r="B669" s="3" t="s">
        <v>321</v>
      </c>
      <c r="C669" s="10">
        <v>45677.102581018517</v>
      </c>
      <c r="D669" s="10">
        <v>45677.104780092603</v>
      </c>
      <c r="E669" s="10">
        <v>45677.119004629632</v>
      </c>
      <c r="F669" s="10">
        <v>45677.120995370373</v>
      </c>
      <c r="G669" s="3" t="s">
        <v>2119</v>
      </c>
      <c r="H669" s="10">
        <v>45677.541597222233</v>
      </c>
      <c r="I669" s="10">
        <v>45678.358749999999</v>
      </c>
      <c r="J669" s="10">
        <v>45678.359386574077</v>
      </c>
      <c r="K669" s="11">
        <f t="shared" si="20"/>
        <v>1.4224537029804196E-2</v>
      </c>
      <c r="L669" s="11">
        <f t="shared" si="21"/>
        <v>1.2377546296265791</v>
      </c>
    </row>
    <row r="670" spans="1:12" x14ac:dyDescent="0.25">
      <c r="A670" s="3" t="s">
        <v>2121</v>
      </c>
      <c r="B670" s="3" t="s">
        <v>322</v>
      </c>
      <c r="C670" s="10">
        <v>45677.188043981478</v>
      </c>
      <c r="D670" s="10">
        <v>45677.190393518518</v>
      </c>
      <c r="E670" s="10">
        <v>45677.196921296287</v>
      </c>
      <c r="F670" s="10">
        <v>45677.199675925927</v>
      </c>
      <c r="G670" s="3" t="s">
        <v>2050</v>
      </c>
      <c r="H670" s="10">
        <v>45677.20207175926</v>
      </c>
      <c r="I670" s="10">
        <v>45677.723263888889</v>
      </c>
      <c r="J670" s="10">
        <v>45677.724537037036</v>
      </c>
      <c r="K670" s="11">
        <f t="shared" si="20"/>
        <v>6.5277777684968896E-3</v>
      </c>
      <c r="L670" s="11">
        <f t="shared" si="21"/>
        <v>0.52358796296175569</v>
      </c>
    </row>
    <row r="671" spans="1:12" x14ac:dyDescent="0.25">
      <c r="A671" s="3" t="s">
        <v>2124</v>
      </c>
      <c r="B671" s="3" t="s">
        <v>324</v>
      </c>
      <c r="C671" s="10">
        <v>45677.302199074067</v>
      </c>
      <c r="D671" s="10">
        <v>45677.304560185177</v>
      </c>
      <c r="E671" s="10">
        <v>45677.330578703702</v>
      </c>
      <c r="F671" s="10">
        <v>45677.331793981481</v>
      </c>
      <c r="G671" s="3" t="s">
        <v>2125</v>
      </c>
      <c r="H671" s="10">
        <v>45677.333958333344</v>
      </c>
      <c r="I671" s="10">
        <v>45677.685416666667</v>
      </c>
      <c r="J671" s="10">
        <v>45677.686111111107</v>
      </c>
      <c r="K671" s="11">
        <f t="shared" si="20"/>
        <v>2.6018518525233958E-2</v>
      </c>
      <c r="L671" s="11">
        <f t="shared" si="21"/>
        <v>0.35362268518656492</v>
      </c>
    </row>
    <row r="672" spans="1:12" x14ac:dyDescent="0.25">
      <c r="A672" s="3" t="s">
        <v>2127</v>
      </c>
      <c r="B672" s="3" t="s">
        <v>324</v>
      </c>
      <c r="C672" s="10">
        <v>45677.302199074067</v>
      </c>
      <c r="D672" s="10">
        <v>45677.304560185177</v>
      </c>
      <c r="E672" s="10">
        <v>45677.331793981481</v>
      </c>
      <c r="F672" s="10">
        <v>45677.333611111113</v>
      </c>
      <c r="G672" s="3" t="s">
        <v>2090</v>
      </c>
      <c r="H672" s="10">
        <v>45677.409537037027</v>
      </c>
      <c r="I672" s="10">
        <v>45678.30972222222</v>
      </c>
      <c r="J672" s="10">
        <v>45678.310578703713</v>
      </c>
      <c r="K672" s="11">
        <f t="shared" si="20"/>
        <v>2.7233796303335112E-2</v>
      </c>
      <c r="L672" s="11">
        <f t="shared" si="21"/>
        <v>0.97611111110745696</v>
      </c>
    </row>
    <row r="673" spans="1:12" x14ac:dyDescent="0.25">
      <c r="A673" s="3" t="s">
        <v>2129</v>
      </c>
      <c r="B673" s="3" t="s">
        <v>324</v>
      </c>
      <c r="C673" s="10">
        <v>45677.302199074067</v>
      </c>
      <c r="D673" s="10">
        <v>45677.304560185177</v>
      </c>
      <c r="E673" s="10">
        <v>45677.333611111113</v>
      </c>
      <c r="F673" s="10">
        <v>45677.334849537037</v>
      </c>
      <c r="G673" s="3" t="s">
        <v>2059</v>
      </c>
      <c r="H673" s="10">
        <v>45677.338391203702</v>
      </c>
      <c r="I673" s="10">
        <v>45677.695671296293</v>
      </c>
      <c r="J673" s="10">
        <v>45677.696527777778</v>
      </c>
      <c r="K673" s="11">
        <f t="shared" si="20"/>
        <v>2.9050925935734995E-2</v>
      </c>
      <c r="L673" s="11">
        <f t="shared" si="21"/>
        <v>0.36082175925548654</v>
      </c>
    </row>
    <row r="674" spans="1:12" x14ac:dyDescent="0.25">
      <c r="A674" s="3" t="s">
        <v>2131</v>
      </c>
      <c r="B674" s="3" t="s">
        <v>324</v>
      </c>
      <c r="C674" s="10">
        <v>45677.302199074067</v>
      </c>
      <c r="D674" s="10">
        <v>45677.304560185177</v>
      </c>
      <c r="E674" s="10">
        <v>45677.334849537037</v>
      </c>
      <c r="F674" s="10">
        <v>45677.336423611108</v>
      </c>
      <c r="G674" s="3" t="s">
        <v>2009</v>
      </c>
      <c r="H674" s="10">
        <v>45679.314988425933</v>
      </c>
      <c r="I674" s="10">
        <v>45680.325706018521</v>
      </c>
      <c r="J674" s="10">
        <v>45680.326550925929</v>
      </c>
      <c r="K674" s="11">
        <f t="shared" si="20"/>
        <v>3.0289351860119496E-2</v>
      </c>
      <c r="L674" s="11">
        <f t="shared" si="21"/>
        <v>2.9892824074122473</v>
      </c>
    </row>
    <row r="675" spans="1:12" x14ac:dyDescent="0.25">
      <c r="A675" s="3" t="s">
        <v>2133</v>
      </c>
      <c r="B675" s="3" t="s">
        <v>324</v>
      </c>
      <c r="C675" s="10">
        <v>45677.302199074067</v>
      </c>
      <c r="D675" s="10">
        <v>45677.304560185177</v>
      </c>
      <c r="E675" s="10">
        <v>45677.336423611108</v>
      </c>
      <c r="F675" s="10">
        <v>45677.33834490741</v>
      </c>
      <c r="G675" s="3" t="s">
        <v>2134</v>
      </c>
      <c r="H675" s="10">
        <v>45677.890011574083</v>
      </c>
      <c r="I675" s="10">
        <v>45678.7109837963</v>
      </c>
      <c r="J675" s="10">
        <v>45678.712407407409</v>
      </c>
      <c r="K675" s="11">
        <f t="shared" si="20"/>
        <v>3.1863425931078382E-2</v>
      </c>
      <c r="L675" s="11">
        <f t="shared" si="21"/>
        <v>1.3726388888899237</v>
      </c>
    </row>
    <row r="676" spans="1:12" x14ac:dyDescent="0.25">
      <c r="A676" s="3" t="s">
        <v>2136</v>
      </c>
      <c r="B676" s="3" t="s">
        <v>324</v>
      </c>
      <c r="C676" s="10">
        <v>45677.302199074067</v>
      </c>
      <c r="D676" s="10">
        <v>45677.304560185177</v>
      </c>
      <c r="E676" s="10">
        <v>45677.33834490741</v>
      </c>
      <c r="F676" s="10">
        <v>45677.340150462973</v>
      </c>
      <c r="G676" s="3" t="s">
        <v>2137</v>
      </c>
      <c r="H676" s="10">
        <v>45678.142881944441</v>
      </c>
      <c r="I676" s="10">
        <v>45678.698703703703</v>
      </c>
      <c r="J676" s="10">
        <v>45678.69976851852</v>
      </c>
      <c r="K676" s="11">
        <f t="shared" si="20"/>
        <v>3.3784722232667264E-2</v>
      </c>
      <c r="L676" s="11">
        <f t="shared" si="21"/>
        <v>1.3585532407305436</v>
      </c>
    </row>
    <row r="677" spans="1:12" x14ac:dyDescent="0.25">
      <c r="A677" s="3" t="s">
        <v>2140</v>
      </c>
      <c r="B677" s="3" t="s">
        <v>324</v>
      </c>
      <c r="C677" s="10">
        <v>45677.302199074067</v>
      </c>
      <c r="D677" s="10">
        <v>45677.304560185177</v>
      </c>
      <c r="E677" s="10">
        <v>45677.340150462973</v>
      </c>
      <c r="F677" s="10">
        <v>45677.341921296298</v>
      </c>
      <c r="G677" s="3" t="s">
        <v>2119</v>
      </c>
      <c r="H677" s="10">
        <v>45677.541597222233</v>
      </c>
      <c r="I677" s="10">
        <v>45678.358749999999</v>
      </c>
      <c r="J677" s="10">
        <v>45678.359386574077</v>
      </c>
      <c r="K677" s="11">
        <f t="shared" si="20"/>
        <v>3.5590277795563452E-2</v>
      </c>
      <c r="L677" s="11">
        <f t="shared" si="21"/>
        <v>1.0168287037013215</v>
      </c>
    </row>
    <row r="678" spans="1:12" x14ac:dyDescent="0.25">
      <c r="A678" s="3" t="s">
        <v>2143</v>
      </c>
      <c r="B678" s="3" t="s">
        <v>324</v>
      </c>
      <c r="C678" s="10">
        <v>45677.302199074067</v>
      </c>
      <c r="D678" s="10">
        <v>45677.304560185177</v>
      </c>
      <c r="E678" s="10">
        <v>45677.341921296298</v>
      </c>
      <c r="F678" s="10">
        <v>45677.34375</v>
      </c>
      <c r="G678" s="3" t="s">
        <v>2090</v>
      </c>
      <c r="H678" s="10">
        <v>45677.409537037027</v>
      </c>
      <c r="I678" s="10">
        <v>45678.30972222222</v>
      </c>
      <c r="J678" s="10">
        <v>45678.310578703713</v>
      </c>
      <c r="K678" s="11">
        <f t="shared" si="20"/>
        <v>3.7361111120844726E-2</v>
      </c>
      <c r="L678" s="11">
        <f t="shared" si="21"/>
        <v>0.96597222222044365</v>
      </c>
    </row>
    <row r="679" spans="1:12" x14ac:dyDescent="0.25">
      <c r="A679" s="3" t="s">
        <v>2145</v>
      </c>
      <c r="B679" s="3" t="s">
        <v>324</v>
      </c>
      <c r="C679" s="10">
        <v>45677.302199074067</v>
      </c>
      <c r="D679" s="10">
        <v>45677.304560185177</v>
      </c>
      <c r="E679" s="10">
        <v>45677.34375</v>
      </c>
      <c r="F679" s="10">
        <v>45677.345393518517</v>
      </c>
      <c r="G679" s="3" t="s">
        <v>2146</v>
      </c>
      <c r="H679" s="10">
        <v>45677.662523148138</v>
      </c>
      <c r="I679" s="10">
        <v>45678.426261574074</v>
      </c>
      <c r="J679" s="10">
        <v>45678.427118055559</v>
      </c>
      <c r="K679" s="11">
        <f t="shared" si="20"/>
        <v>3.9189814822748303E-2</v>
      </c>
      <c r="L679" s="11">
        <f t="shared" si="21"/>
        <v>1.0808680555564933</v>
      </c>
    </row>
    <row r="680" spans="1:12" x14ac:dyDescent="0.25">
      <c r="A680" s="3" t="s">
        <v>2149</v>
      </c>
      <c r="B680" s="3" t="s">
        <v>324</v>
      </c>
      <c r="C680" s="10">
        <v>45677.302199074067</v>
      </c>
      <c r="D680" s="10">
        <v>45677.304560185177</v>
      </c>
      <c r="E680" s="10">
        <v>45677.345393518517</v>
      </c>
      <c r="F680" s="10">
        <v>45677.346863425933</v>
      </c>
      <c r="G680" s="3" t="s">
        <v>2150</v>
      </c>
      <c r="H680" s="10">
        <v>45677.613344907397</v>
      </c>
      <c r="I680" s="10">
        <v>45678.455543981479</v>
      </c>
      <c r="J680" s="10">
        <v>45678.457037037027</v>
      </c>
      <c r="K680" s="11">
        <f t="shared" si="20"/>
        <v>4.0833333339833189E-2</v>
      </c>
      <c r="L680" s="11">
        <f t="shared" si="21"/>
        <v>1.108680555546016</v>
      </c>
    </row>
    <row r="681" spans="1:12" x14ac:dyDescent="0.25">
      <c r="A681" s="3" t="s">
        <v>2152</v>
      </c>
      <c r="B681" s="3" t="s">
        <v>324</v>
      </c>
      <c r="C681" s="10">
        <v>45677.302199074067</v>
      </c>
      <c r="D681" s="10">
        <v>45677.304560185177</v>
      </c>
      <c r="E681" s="10">
        <v>45677.346863425933</v>
      </c>
      <c r="F681" s="10">
        <v>45677.348749999997</v>
      </c>
      <c r="G681" s="3" t="s">
        <v>2134</v>
      </c>
      <c r="H681" s="10">
        <v>45677.890011574083</v>
      </c>
      <c r="I681" s="10">
        <v>45678.7109837963</v>
      </c>
      <c r="J681" s="10">
        <v>45678.712407407409</v>
      </c>
      <c r="K681" s="11">
        <f t="shared" si="20"/>
        <v>4.2303240756154992E-2</v>
      </c>
      <c r="L681" s="11">
        <f t="shared" si="21"/>
        <v>1.362233796302462</v>
      </c>
    </row>
    <row r="682" spans="1:12" x14ac:dyDescent="0.25">
      <c r="A682" s="3" t="s">
        <v>2154</v>
      </c>
      <c r="B682" s="3" t="s">
        <v>324</v>
      </c>
      <c r="C682" s="10">
        <v>45677.302199074067</v>
      </c>
      <c r="D682" s="10">
        <v>45677.304560185177</v>
      </c>
      <c r="E682" s="10">
        <v>45677.348749999997</v>
      </c>
      <c r="F682" s="10">
        <v>45677.350555555553</v>
      </c>
      <c r="G682" s="3" t="s">
        <v>2090</v>
      </c>
      <c r="H682" s="10">
        <v>45677.409537037027</v>
      </c>
      <c r="I682" s="10">
        <v>45678.30972222222</v>
      </c>
      <c r="J682" s="10">
        <v>45678.310578703713</v>
      </c>
      <c r="K682" s="11">
        <f t="shared" si="20"/>
        <v>4.4189814820128959E-2</v>
      </c>
      <c r="L682" s="11">
        <f t="shared" si="21"/>
        <v>0.95916666666744277</v>
      </c>
    </row>
    <row r="683" spans="1:12" x14ac:dyDescent="0.25">
      <c r="A683" s="3" t="s">
        <v>2156</v>
      </c>
      <c r="B683" s="3" t="s">
        <v>324</v>
      </c>
      <c r="C683" s="10">
        <v>45677.302199074067</v>
      </c>
      <c r="D683" s="10">
        <v>45677.304560185177</v>
      </c>
      <c r="E683" s="10">
        <v>45677.350555555553</v>
      </c>
      <c r="F683" s="10">
        <v>45677.351863425924</v>
      </c>
      <c r="G683" s="3" t="s">
        <v>1735</v>
      </c>
      <c r="H683" s="10">
        <v>45677.356562499997</v>
      </c>
      <c r="I683" s="10">
        <v>45677.741828703707</v>
      </c>
      <c r="J683" s="10">
        <v>45677.742604166669</v>
      </c>
      <c r="K683" s="11">
        <f t="shared" si="20"/>
        <v>4.5995370375749189E-2</v>
      </c>
      <c r="L683" s="11">
        <f t="shared" si="21"/>
        <v>0.38996527778363088</v>
      </c>
    </row>
    <row r="684" spans="1:12" x14ac:dyDescent="0.25">
      <c r="A684" s="3" t="s">
        <v>2186</v>
      </c>
      <c r="B684" s="3" t="s">
        <v>328</v>
      </c>
      <c r="C684" s="10">
        <v>45677.374374999999</v>
      </c>
      <c r="D684" s="10">
        <v>45677.376423611109</v>
      </c>
      <c r="E684" s="10">
        <v>45677.384131944447</v>
      </c>
      <c r="F684" s="10">
        <v>45677.385555555556</v>
      </c>
      <c r="G684" s="3" t="s">
        <v>2187</v>
      </c>
      <c r="H684" s="10">
        <v>45677.38795138889</v>
      </c>
      <c r="I684" s="10">
        <v>45677.914629629631</v>
      </c>
      <c r="J684" s="10">
        <v>45677.91542824074</v>
      </c>
      <c r="K684" s="11">
        <f t="shared" si="20"/>
        <v>7.708333338086959E-3</v>
      </c>
      <c r="L684" s="11">
        <f t="shared" si="21"/>
        <v>0.52907407407474238</v>
      </c>
    </row>
    <row r="685" spans="1:12" x14ac:dyDescent="0.25">
      <c r="A685" s="3" t="s">
        <v>2160</v>
      </c>
      <c r="B685" s="3" t="s">
        <v>327</v>
      </c>
      <c r="C685" s="10">
        <v>45677.363888888889</v>
      </c>
      <c r="D685" s="10">
        <v>45677.366689814808</v>
      </c>
      <c r="E685" s="10">
        <v>45677.388541666667</v>
      </c>
      <c r="F685" s="10">
        <v>45677.390370370369</v>
      </c>
      <c r="G685" s="3" t="s">
        <v>2146</v>
      </c>
      <c r="H685" s="10">
        <v>45677.662523148138</v>
      </c>
      <c r="I685" s="10">
        <v>45678.426261574074</v>
      </c>
      <c r="J685" s="10">
        <v>45678.427118055559</v>
      </c>
      <c r="K685" s="11">
        <f t="shared" si="20"/>
        <v>2.1851851859537419E-2</v>
      </c>
      <c r="L685" s="11">
        <f t="shared" si="21"/>
        <v>1.0358912037045229</v>
      </c>
    </row>
    <row r="686" spans="1:12" x14ac:dyDescent="0.25">
      <c r="A686" s="3" t="s">
        <v>2162</v>
      </c>
      <c r="B686" s="3" t="s">
        <v>327</v>
      </c>
      <c r="C686" s="10">
        <v>45677.363888888889</v>
      </c>
      <c r="D686" s="10">
        <v>45677.366689814808</v>
      </c>
      <c r="E686" s="10">
        <v>45677.390370370369</v>
      </c>
      <c r="F686" s="10">
        <v>45677.392465277779</v>
      </c>
      <c r="G686" s="3" t="s">
        <v>2134</v>
      </c>
      <c r="H686" s="10">
        <v>45677.890011574083</v>
      </c>
      <c r="I686" s="10">
        <v>45678.7109837963</v>
      </c>
      <c r="J686" s="10">
        <v>45678.712407407409</v>
      </c>
      <c r="K686" s="11">
        <f t="shared" si="20"/>
        <v>2.3680555561440997E-2</v>
      </c>
      <c r="L686" s="11">
        <f t="shared" si="21"/>
        <v>1.3185185185211594</v>
      </c>
    </row>
    <row r="687" spans="1:12" x14ac:dyDescent="0.25">
      <c r="A687" s="3" t="s">
        <v>2164</v>
      </c>
      <c r="B687" s="3" t="s">
        <v>327</v>
      </c>
      <c r="C687" s="10">
        <v>45677.363888888889</v>
      </c>
      <c r="D687" s="10">
        <v>45677.366689814808</v>
      </c>
      <c r="E687" s="10">
        <v>45677.392465277779</v>
      </c>
      <c r="F687" s="10">
        <v>45677.394699074073</v>
      </c>
      <c r="G687" s="3" t="s">
        <v>2093</v>
      </c>
      <c r="H687" s="10">
        <v>45677.397094907406</v>
      </c>
      <c r="I687" s="10">
        <v>45678.1641087963</v>
      </c>
      <c r="J687" s="10">
        <v>45678.164965277778</v>
      </c>
      <c r="K687" s="11">
        <f t="shared" si="20"/>
        <v>2.5775462971068919E-2</v>
      </c>
      <c r="L687" s="11">
        <f t="shared" si="21"/>
        <v>0.76940972222655546</v>
      </c>
    </row>
    <row r="688" spans="1:12" x14ac:dyDescent="0.25">
      <c r="A688" s="3" t="s">
        <v>2166</v>
      </c>
      <c r="B688" s="3" t="s">
        <v>327</v>
      </c>
      <c r="C688" s="10">
        <v>45677.363888888889</v>
      </c>
      <c r="D688" s="10">
        <v>45677.366689814808</v>
      </c>
      <c r="E688" s="10">
        <v>45677.394699074073</v>
      </c>
      <c r="F688" s="10">
        <v>45677.396608796298</v>
      </c>
      <c r="G688" s="3" t="s">
        <v>2119</v>
      </c>
      <c r="H688" s="10">
        <v>45677.541597222233</v>
      </c>
      <c r="I688" s="10">
        <v>45678.358749999999</v>
      </c>
      <c r="J688" s="10">
        <v>45678.359386574077</v>
      </c>
      <c r="K688" s="11">
        <f t="shared" si="20"/>
        <v>2.8009259265672881E-2</v>
      </c>
      <c r="L688" s="11">
        <f t="shared" si="21"/>
        <v>0.9621412037013215</v>
      </c>
    </row>
    <row r="689" spans="1:12" x14ac:dyDescent="0.25">
      <c r="A689" s="3" t="s">
        <v>2168</v>
      </c>
      <c r="B689" s="3" t="s">
        <v>327</v>
      </c>
      <c r="C689" s="10">
        <v>45677.363888888889</v>
      </c>
      <c r="D689" s="10">
        <v>45677.366689814808</v>
      </c>
      <c r="E689" s="10">
        <v>45677.396608796298</v>
      </c>
      <c r="F689" s="10">
        <v>45677.398611111108</v>
      </c>
      <c r="G689" s="3" t="s">
        <v>2090</v>
      </c>
      <c r="H689" s="10">
        <v>45677.409537037027</v>
      </c>
      <c r="I689" s="10">
        <v>45678.30972222222</v>
      </c>
      <c r="J689" s="10">
        <v>45678.310578703713</v>
      </c>
      <c r="K689" s="11">
        <f t="shared" si="20"/>
        <v>2.9918981490482111E-2</v>
      </c>
      <c r="L689" s="11">
        <f t="shared" si="21"/>
        <v>0.91111111111240461</v>
      </c>
    </row>
    <row r="690" spans="1:12" x14ac:dyDescent="0.25">
      <c r="A690" s="3" t="s">
        <v>2171</v>
      </c>
      <c r="B690" s="3" t="s">
        <v>327</v>
      </c>
      <c r="C690" s="10">
        <v>45677.363888888889</v>
      </c>
      <c r="D690" s="10">
        <v>45677.366689814808</v>
      </c>
      <c r="E690" s="10">
        <v>45677.398611111108</v>
      </c>
      <c r="F690" s="10">
        <v>45677.400555555563</v>
      </c>
      <c r="G690" s="3" t="s">
        <v>2137</v>
      </c>
      <c r="H690" s="10">
        <v>45678.142881944441</v>
      </c>
      <c r="I690" s="10">
        <v>45678.698703703703</v>
      </c>
      <c r="J690" s="10">
        <v>45678.69976851852</v>
      </c>
      <c r="K690" s="11">
        <f t="shared" si="20"/>
        <v>3.1921296300424729E-2</v>
      </c>
      <c r="L690" s="11">
        <f t="shared" si="21"/>
        <v>1.2981481481401715</v>
      </c>
    </row>
    <row r="691" spans="1:12" x14ac:dyDescent="0.25">
      <c r="A691" s="3" t="s">
        <v>2173</v>
      </c>
      <c r="B691" s="3" t="s">
        <v>327</v>
      </c>
      <c r="C691" s="10">
        <v>45677.363888888889</v>
      </c>
      <c r="D691" s="10">
        <v>45677.366689814808</v>
      </c>
      <c r="E691" s="10">
        <v>45677.400555555563</v>
      </c>
      <c r="F691" s="10">
        <v>45677.40184027778</v>
      </c>
      <c r="G691" s="3" t="s">
        <v>2174</v>
      </c>
      <c r="H691" s="10">
        <v>45679.754247685189</v>
      </c>
      <c r="I691" s="10">
        <v>45680.700879629629</v>
      </c>
      <c r="J691" s="10">
        <v>45680.701678240737</v>
      </c>
      <c r="K691" s="11">
        <f t="shared" si="20"/>
        <v>3.3865740755572915E-2</v>
      </c>
      <c r="L691" s="11">
        <f t="shared" si="21"/>
        <v>3.299039351848478</v>
      </c>
    </row>
    <row r="692" spans="1:12" x14ac:dyDescent="0.25">
      <c r="A692" s="3" t="s">
        <v>2177</v>
      </c>
      <c r="B692" s="3" t="s">
        <v>327</v>
      </c>
      <c r="C692" s="10">
        <v>45677.363888888889</v>
      </c>
      <c r="D692" s="10">
        <v>45677.366689814808</v>
      </c>
      <c r="E692" s="10">
        <v>45677.40184027778</v>
      </c>
      <c r="F692" s="10">
        <v>45677.403599537043</v>
      </c>
      <c r="G692" s="3" t="s">
        <v>2146</v>
      </c>
      <c r="H692" s="10">
        <v>45677.662523148138</v>
      </c>
      <c r="I692" s="10">
        <v>45678.426261574074</v>
      </c>
      <c r="J692" s="10">
        <v>45678.427118055559</v>
      </c>
      <c r="K692" s="11">
        <f t="shared" si="20"/>
        <v>3.515046297252411E-2</v>
      </c>
      <c r="L692" s="11">
        <f t="shared" si="21"/>
        <v>1.0226620370303863</v>
      </c>
    </row>
    <row r="693" spans="1:12" x14ac:dyDescent="0.25">
      <c r="A693" s="3" t="s">
        <v>2179</v>
      </c>
      <c r="B693" s="3" t="s">
        <v>327</v>
      </c>
      <c r="C693" s="10">
        <v>45677.363888888889</v>
      </c>
      <c r="D693" s="10">
        <v>45677.366689814808</v>
      </c>
      <c r="E693" s="10">
        <v>45677.403599537043</v>
      </c>
      <c r="F693" s="10">
        <v>45677.405613425923</v>
      </c>
      <c r="G693" s="3" t="s">
        <v>2090</v>
      </c>
      <c r="H693" s="10">
        <v>45677.409537037027</v>
      </c>
      <c r="I693" s="10">
        <v>45678.30972222222</v>
      </c>
      <c r="J693" s="10">
        <v>45678.310578703713</v>
      </c>
      <c r="K693" s="11">
        <f t="shared" si="20"/>
        <v>3.6909722235577647E-2</v>
      </c>
      <c r="L693" s="11">
        <f t="shared" si="21"/>
        <v>0.90410879629780538</v>
      </c>
    </row>
    <row r="694" spans="1:12" x14ac:dyDescent="0.25">
      <c r="A694" s="3" t="s">
        <v>2181</v>
      </c>
      <c r="B694" s="3" t="s">
        <v>327</v>
      </c>
      <c r="C694" s="10">
        <v>45677.363888888889</v>
      </c>
      <c r="D694" s="10">
        <v>45677.366689814808</v>
      </c>
      <c r="E694" s="10">
        <v>45677.405613425923</v>
      </c>
      <c r="F694" s="10">
        <v>45677.407581018517</v>
      </c>
      <c r="G694" s="3" t="s">
        <v>2182</v>
      </c>
      <c r="H694" s="10">
        <v>45678.327696759261</v>
      </c>
      <c r="I694" s="10">
        <v>45679.143310185187</v>
      </c>
      <c r="J694" s="10">
        <v>45679.144120370373</v>
      </c>
      <c r="K694" s="11">
        <f t="shared" si="20"/>
        <v>3.8923611115023959E-2</v>
      </c>
      <c r="L694" s="11">
        <f t="shared" si="21"/>
        <v>1.7357291666703532</v>
      </c>
    </row>
    <row r="695" spans="1:12" x14ac:dyDescent="0.25">
      <c r="A695" s="3" t="s">
        <v>2189</v>
      </c>
      <c r="B695" s="3" t="s">
        <v>329</v>
      </c>
      <c r="C695" s="10">
        <v>45677.439837962957</v>
      </c>
      <c r="D695" s="10">
        <v>45677.442164351851</v>
      </c>
      <c r="E695" s="10">
        <v>45677.450439814813</v>
      </c>
      <c r="F695" s="10">
        <v>45677.451898148152</v>
      </c>
      <c r="G695" s="3" t="s">
        <v>2190</v>
      </c>
      <c r="H695" s="10">
        <v>45677.456990740742</v>
      </c>
      <c r="I695" s="10">
        <v>45678.34516203704</v>
      </c>
      <c r="J695" s="10">
        <v>45678.346018518518</v>
      </c>
      <c r="K695" s="11">
        <f t="shared" si="20"/>
        <v>8.2754629620467313E-3</v>
      </c>
      <c r="L695" s="11">
        <f t="shared" si="21"/>
        <v>0.89326388888730435</v>
      </c>
    </row>
    <row r="696" spans="1:12" x14ac:dyDescent="0.25">
      <c r="A696" s="3" t="s">
        <v>2192</v>
      </c>
      <c r="B696" s="3" t="s">
        <v>329</v>
      </c>
      <c r="C696" s="10">
        <v>45677.439837962957</v>
      </c>
      <c r="D696" s="10">
        <v>45677.442164351851</v>
      </c>
      <c r="E696" s="10">
        <v>45677.451898148152</v>
      </c>
      <c r="F696" s="10">
        <v>45677.453067129631</v>
      </c>
      <c r="G696" s="3" t="s">
        <v>2190</v>
      </c>
      <c r="H696" s="10">
        <v>45677.456990740742</v>
      </c>
      <c r="I696" s="10">
        <v>45678.34516203704</v>
      </c>
      <c r="J696" s="10">
        <v>45678.346018518518</v>
      </c>
      <c r="K696" s="11">
        <f t="shared" si="20"/>
        <v>9.7337963015888818E-3</v>
      </c>
      <c r="L696" s="11">
        <f t="shared" si="21"/>
        <v>0.89209490740904585</v>
      </c>
    </row>
    <row r="697" spans="1:12" x14ac:dyDescent="0.25">
      <c r="A697" s="3" t="s">
        <v>2194</v>
      </c>
      <c r="B697" s="3" t="s">
        <v>329</v>
      </c>
      <c r="C697" s="10">
        <v>45677.439837962957</v>
      </c>
      <c r="D697" s="10">
        <v>45677.442164351851</v>
      </c>
      <c r="E697" s="10">
        <v>45677.453067129631</v>
      </c>
      <c r="F697" s="10">
        <v>45677.45511574074</v>
      </c>
      <c r="G697" s="3" t="s">
        <v>2195</v>
      </c>
      <c r="H697" s="10">
        <v>45677.457476851851</v>
      </c>
      <c r="I697" s="10">
        <v>45678.36142361111</v>
      </c>
      <c r="J697" s="10">
        <v>45678.362291666657</v>
      </c>
      <c r="K697" s="11">
        <f t="shared" si="20"/>
        <v>1.0902777779847383E-2</v>
      </c>
      <c r="L697" s="11">
        <f t="shared" si="21"/>
        <v>0.90630787036934635</v>
      </c>
    </row>
    <row r="698" spans="1:12" x14ac:dyDescent="0.25">
      <c r="A698" s="3" t="s">
        <v>2197</v>
      </c>
      <c r="B698" s="3" t="s">
        <v>330</v>
      </c>
      <c r="C698" s="10">
        <v>45677.530717592592</v>
      </c>
      <c r="D698" s="10">
        <v>45677.532546296286</v>
      </c>
      <c r="E698" s="10">
        <v>45677.537083333344</v>
      </c>
      <c r="F698" s="10">
        <v>45677.539201388892</v>
      </c>
      <c r="G698" s="3" t="s">
        <v>2119</v>
      </c>
      <c r="H698" s="10">
        <v>45677.541597222233</v>
      </c>
      <c r="I698" s="10">
        <v>45678.358749999999</v>
      </c>
      <c r="J698" s="10">
        <v>45678.359386574077</v>
      </c>
      <c r="K698" s="11">
        <f t="shared" si="20"/>
        <v>4.5370370571617968E-3</v>
      </c>
      <c r="L698" s="11">
        <f t="shared" si="21"/>
        <v>0.81954861110716593</v>
      </c>
    </row>
    <row r="699" spans="1:12" x14ac:dyDescent="0.25">
      <c r="A699" s="3" t="s">
        <v>2199</v>
      </c>
      <c r="B699" s="3" t="s">
        <v>331</v>
      </c>
      <c r="C699" s="10">
        <v>45677.599351851852</v>
      </c>
      <c r="D699" s="10">
        <v>45677.601840277777</v>
      </c>
      <c r="E699" s="10">
        <v>45677.608472222222</v>
      </c>
      <c r="F699" s="10">
        <v>45677.610949074071</v>
      </c>
      <c r="G699" s="3" t="s">
        <v>2150</v>
      </c>
      <c r="H699" s="10">
        <v>45677.613344907397</v>
      </c>
      <c r="I699" s="10">
        <v>45678.455543981479</v>
      </c>
      <c r="J699" s="10">
        <v>45678.457037037027</v>
      </c>
      <c r="K699" s="11">
        <f t="shared" si="20"/>
        <v>6.6319444449618459E-3</v>
      </c>
      <c r="L699" s="11">
        <f t="shared" si="21"/>
        <v>0.84459490740846377</v>
      </c>
    </row>
    <row r="700" spans="1:12" x14ac:dyDescent="0.25">
      <c r="A700" s="3" t="s">
        <v>2201</v>
      </c>
      <c r="B700" s="3" t="s">
        <v>332</v>
      </c>
      <c r="C700" s="10">
        <v>45677.629826388889</v>
      </c>
      <c r="D700" s="10">
        <v>45677.632118055553</v>
      </c>
      <c r="E700" s="10">
        <v>45677.648298611108</v>
      </c>
      <c r="F700" s="10">
        <v>45677.649814814817</v>
      </c>
      <c r="G700" s="3" t="s">
        <v>2014</v>
      </c>
      <c r="H700" s="10">
        <v>45679.751226851848</v>
      </c>
      <c r="I700" s="10">
        <v>45680.67150462963</v>
      </c>
      <c r="J700" s="10">
        <v>45680.672326388893</v>
      </c>
      <c r="K700" s="11">
        <f t="shared" si="20"/>
        <v>1.6180555554456078E-2</v>
      </c>
      <c r="L700" s="11">
        <f t="shared" si="21"/>
        <v>3.0216898148137261</v>
      </c>
    </row>
    <row r="701" spans="1:12" x14ac:dyDescent="0.25">
      <c r="A701" s="3" t="s">
        <v>2203</v>
      </c>
      <c r="B701" s="3" t="s">
        <v>332</v>
      </c>
      <c r="C701" s="10">
        <v>45677.629826388889</v>
      </c>
      <c r="D701" s="10">
        <v>45677.632118055553</v>
      </c>
      <c r="E701" s="10">
        <v>45677.649814814817</v>
      </c>
      <c r="F701" s="10">
        <v>45677.651770833327</v>
      </c>
      <c r="G701" s="3" t="s">
        <v>2204</v>
      </c>
      <c r="H701" s="10">
        <v>45678.335370370369</v>
      </c>
      <c r="I701" s="10">
        <v>45679.22378472222</v>
      </c>
      <c r="J701" s="10">
        <v>45679.224594907413</v>
      </c>
      <c r="K701" s="11">
        <f t="shared" si="20"/>
        <v>1.7696759263344575E-2</v>
      </c>
      <c r="L701" s="11">
        <f t="shared" si="21"/>
        <v>1.5720138888937072</v>
      </c>
    </row>
    <row r="702" spans="1:12" x14ac:dyDescent="0.25">
      <c r="A702" s="3" t="s">
        <v>2206</v>
      </c>
      <c r="B702" s="3" t="s">
        <v>332</v>
      </c>
      <c r="C702" s="10">
        <v>45677.629826388889</v>
      </c>
      <c r="D702" s="10">
        <v>45677.632118055553</v>
      </c>
      <c r="E702" s="10">
        <v>45677.651770833327</v>
      </c>
      <c r="F702" s="10">
        <v>45677.653692129628</v>
      </c>
      <c r="G702" s="3" t="s">
        <v>2137</v>
      </c>
      <c r="H702" s="10">
        <v>45678.142881944441</v>
      </c>
      <c r="I702" s="10">
        <v>45678.698703703703</v>
      </c>
      <c r="J702" s="10">
        <v>45678.69976851852</v>
      </c>
      <c r="K702" s="11">
        <f t="shared" si="20"/>
        <v>1.9652777773444541E-2</v>
      </c>
      <c r="L702" s="11">
        <f t="shared" si="21"/>
        <v>1.0450115740750334</v>
      </c>
    </row>
    <row r="703" spans="1:12" x14ac:dyDescent="0.25">
      <c r="A703" s="3" t="s">
        <v>2209</v>
      </c>
      <c r="B703" s="3" t="s">
        <v>332</v>
      </c>
      <c r="C703" s="10">
        <v>45677.629826388889</v>
      </c>
      <c r="D703" s="10">
        <v>45677.632118055553</v>
      </c>
      <c r="E703" s="10">
        <v>45677.653692129628</v>
      </c>
      <c r="F703" s="10">
        <v>45677.654976851853</v>
      </c>
      <c r="G703" s="3" t="s">
        <v>2174</v>
      </c>
      <c r="H703" s="10">
        <v>45679.754247685189</v>
      </c>
      <c r="I703" s="10">
        <v>45680.700879629629</v>
      </c>
      <c r="J703" s="10">
        <v>45680.701678240737</v>
      </c>
      <c r="K703" s="11">
        <f t="shared" si="20"/>
        <v>2.1574074075033423E-2</v>
      </c>
      <c r="L703" s="11">
        <f t="shared" si="21"/>
        <v>3.0459027777760639</v>
      </c>
    </row>
    <row r="704" spans="1:12" x14ac:dyDescent="0.25">
      <c r="A704" s="3" t="s">
        <v>2211</v>
      </c>
      <c r="B704" s="3" t="s">
        <v>332</v>
      </c>
      <c r="C704" s="10">
        <v>45677.629826388889</v>
      </c>
      <c r="D704" s="10">
        <v>45677.632118055553</v>
      </c>
      <c r="E704" s="10">
        <v>45677.654976851853</v>
      </c>
      <c r="F704" s="10">
        <v>45677.656736111108</v>
      </c>
      <c r="G704" s="3" t="s">
        <v>2146</v>
      </c>
      <c r="H704" s="10">
        <v>45677.662523148138</v>
      </c>
      <c r="I704" s="10">
        <v>45678.426261574074</v>
      </c>
      <c r="J704" s="10">
        <v>45678.427118055559</v>
      </c>
      <c r="K704" s="11">
        <f t="shared" si="20"/>
        <v>2.2858796299260575E-2</v>
      </c>
      <c r="L704" s="11">
        <f t="shared" si="21"/>
        <v>0.76952546296524815</v>
      </c>
    </row>
    <row r="705" spans="1:12" x14ac:dyDescent="0.25">
      <c r="A705" s="3" t="s">
        <v>2213</v>
      </c>
      <c r="B705" s="3" t="s">
        <v>332</v>
      </c>
      <c r="C705" s="10">
        <v>45677.629826388889</v>
      </c>
      <c r="D705" s="10">
        <v>45677.632118055553</v>
      </c>
      <c r="E705" s="10">
        <v>45677.656736111108</v>
      </c>
      <c r="F705" s="10">
        <v>45677.658599537041</v>
      </c>
      <c r="G705" s="3" t="s">
        <v>2146</v>
      </c>
      <c r="H705" s="10">
        <v>45677.662523148138</v>
      </c>
      <c r="I705" s="10">
        <v>45678.426261574074</v>
      </c>
      <c r="J705" s="10">
        <v>45678.427118055559</v>
      </c>
      <c r="K705" s="11">
        <f t="shared" si="20"/>
        <v>2.4618055555038154E-2</v>
      </c>
      <c r="L705" s="11">
        <f t="shared" si="21"/>
        <v>0.76766203703300562</v>
      </c>
    </row>
    <row r="706" spans="1:12" x14ac:dyDescent="0.25">
      <c r="A706" s="3" t="s">
        <v>2215</v>
      </c>
      <c r="B706" s="3" t="s">
        <v>332</v>
      </c>
      <c r="C706" s="10">
        <v>45677.629826388889</v>
      </c>
      <c r="D706" s="10">
        <v>45677.632118055553</v>
      </c>
      <c r="E706" s="10">
        <v>45677.658599537041</v>
      </c>
      <c r="F706" s="10">
        <v>45677.660509259258</v>
      </c>
      <c r="G706" s="3" t="s">
        <v>2216</v>
      </c>
      <c r="H706" s="10">
        <v>45678.402199074073</v>
      </c>
      <c r="I706" s="10">
        <v>45679.360856481479</v>
      </c>
      <c r="J706" s="10">
        <v>45679.361504629633</v>
      </c>
      <c r="K706" s="11">
        <f t="shared" ref="K706:K769" si="22">IF(AND(ISNUMBER(D706),ISNUMBER(E706)),(E706-D706),"")</f>
        <v>2.6481481487280689E-2</v>
      </c>
      <c r="L706" s="11">
        <f t="shared" ref="L706:L769" si="23">IF(AND(ISNUMBER(F706),ISNUMBER(I706)),(I706-F706),"")</f>
        <v>1.7003472222204437</v>
      </c>
    </row>
    <row r="707" spans="1:12" x14ac:dyDescent="0.25">
      <c r="A707" s="3" t="s">
        <v>2218</v>
      </c>
      <c r="B707" s="3" t="s">
        <v>332</v>
      </c>
      <c r="C707" s="10">
        <v>45677.629826388889</v>
      </c>
      <c r="D707" s="10">
        <v>45677.632118055553</v>
      </c>
      <c r="E707" s="10">
        <v>45677.660509259258</v>
      </c>
      <c r="F707" s="10">
        <v>45677.662453703713</v>
      </c>
      <c r="G707" s="3" t="s">
        <v>2137</v>
      </c>
      <c r="H707" s="10">
        <v>45678.142881944441</v>
      </c>
      <c r="I707" s="10">
        <v>45678.698703703703</v>
      </c>
      <c r="J707" s="10">
        <v>45678.69976851852</v>
      </c>
      <c r="K707" s="11">
        <f t="shared" si="22"/>
        <v>2.8391203704813961E-2</v>
      </c>
      <c r="L707" s="11">
        <f t="shared" si="23"/>
        <v>1.0362499999901047</v>
      </c>
    </row>
    <row r="708" spans="1:12" x14ac:dyDescent="0.25">
      <c r="A708" s="3" t="s">
        <v>2220</v>
      </c>
      <c r="B708" s="3" t="s">
        <v>332</v>
      </c>
      <c r="C708" s="10">
        <v>45677.629826388889</v>
      </c>
      <c r="D708" s="10">
        <v>45677.632118055553</v>
      </c>
      <c r="E708" s="10">
        <v>45677.662453703713</v>
      </c>
      <c r="F708" s="10">
        <v>45677.664375</v>
      </c>
      <c r="G708" s="3" t="s">
        <v>2216</v>
      </c>
      <c r="H708" s="10">
        <v>45678.402199074073</v>
      </c>
      <c r="I708" s="10">
        <v>45679.360856481479</v>
      </c>
      <c r="J708" s="10">
        <v>45679.361504629633</v>
      </c>
      <c r="K708" s="11">
        <f t="shared" si="22"/>
        <v>3.0335648159962147E-2</v>
      </c>
      <c r="L708" s="11">
        <f t="shared" si="23"/>
        <v>1.6964814814782585</v>
      </c>
    </row>
    <row r="709" spans="1:12" x14ac:dyDescent="0.25">
      <c r="A709" s="3" t="s">
        <v>2222</v>
      </c>
      <c r="B709" s="3" t="s">
        <v>333</v>
      </c>
      <c r="C709" s="10">
        <v>45677.657442129632</v>
      </c>
      <c r="D709" s="10">
        <v>45677.659131944441</v>
      </c>
      <c r="E709" s="10">
        <v>45677.666701388887</v>
      </c>
      <c r="F709" s="10">
        <v>45677.66814814815</v>
      </c>
      <c r="G709" s="3" t="s">
        <v>2223</v>
      </c>
      <c r="H709" s="10">
        <v>45677.670520833337</v>
      </c>
      <c r="I709" s="10">
        <v>45678.464849537027</v>
      </c>
      <c r="J709" s="10">
        <v>45678.465671296297</v>
      </c>
      <c r="K709" s="11">
        <f t="shared" si="22"/>
        <v>7.5694444458349608E-3</v>
      </c>
      <c r="L709" s="11">
        <f t="shared" si="23"/>
        <v>0.79670138887740904</v>
      </c>
    </row>
    <row r="710" spans="1:12" x14ac:dyDescent="0.25">
      <c r="A710" s="3" t="s">
        <v>2227</v>
      </c>
      <c r="B710" s="3" t="s">
        <v>335</v>
      </c>
      <c r="C710" s="10">
        <v>45677.707835648151</v>
      </c>
      <c r="D710" s="10">
        <v>45677.710173611107</v>
      </c>
      <c r="E710" s="10">
        <v>45677.716331018521</v>
      </c>
      <c r="F710" s="10">
        <v>45677.718217592592</v>
      </c>
      <c r="G710" s="3" t="s">
        <v>2228</v>
      </c>
      <c r="H710" s="10">
        <v>45677.720613425918</v>
      </c>
      <c r="I710" s="10">
        <v>45678.672418981478</v>
      </c>
      <c r="J710" s="10">
        <v>45678.673634259263</v>
      </c>
      <c r="K710" s="11">
        <f t="shared" si="22"/>
        <v>6.1574074134114198E-3</v>
      </c>
      <c r="L710" s="11">
        <f t="shared" si="23"/>
        <v>0.95420138888584916</v>
      </c>
    </row>
    <row r="711" spans="1:12" x14ac:dyDescent="0.25">
      <c r="A711" s="3" t="s">
        <v>2230</v>
      </c>
      <c r="B711" s="3" t="s">
        <v>336</v>
      </c>
      <c r="C711" s="10">
        <v>45677.875381944446</v>
      </c>
      <c r="D711" s="10">
        <v>45677.877893518518</v>
      </c>
      <c r="E711" s="10">
        <v>45677.884699074071</v>
      </c>
      <c r="F711" s="10">
        <v>45677.887615740743</v>
      </c>
      <c r="G711" s="3" t="s">
        <v>2134</v>
      </c>
      <c r="H711" s="10">
        <v>45677.890011574083</v>
      </c>
      <c r="I711" s="10">
        <v>45678.7109837963</v>
      </c>
      <c r="J711" s="10">
        <v>45678.712407407409</v>
      </c>
      <c r="K711" s="11">
        <f t="shared" si="22"/>
        <v>6.805555553000886E-3</v>
      </c>
      <c r="L711" s="11">
        <f t="shared" si="23"/>
        <v>0.82336805555678438</v>
      </c>
    </row>
    <row r="712" spans="1:12" x14ac:dyDescent="0.25">
      <c r="A712" s="3" t="s">
        <v>2232</v>
      </c>
      <c r="B712" s="3" t="s">
        <v>337</v>
      </c>
      <c r="C712" s="10">
        <v>45678.117129629631</v>
      </c>
      <c r="D712" s="10">
        <v>45678.119456018518</v>
      </c>
      <c r="E712" s="10">
        <v>45678.129560185182</v>
      </c>
      <c r="F712" s="10">
        <v>45678.131469907406</v>
      </c>
      <c r="G712" s="3" t="s">
        <v>2216</v>
      </c>
      <c r="H712" s="10">
        <v>45678.402199074073</v>
      </c>
      <c r="I712" s="10">
        <v>45679.360856481479</v>
      </c>
      <c r="J712" s="10">
        <v>45679.361504629633</v>
      </c>
      <c r="K712" s="11">
        <f t="shared" si="22"/>
        <v>1.0104166663950309E-2</v>
      </c>
      <c r="L712" s="11">
        <f t="shared" si="23"/>
        <v>1.229386574072123</v>
      </c>
    </row>
    <row r="713" spans="1:12" x14ac:dyDescent="0.25">
      <c r="A713" s="3" t="s">
        <v>2234</v>
      </c>
      <c r="B713" s="3" t="s">
        <v>337</v>
      </c>
      <c r="C713" s="10">
        <v>45678.117129629631</v>
      </c>
      <c r="D713" s="10">
        <v>45678.119456018518</v>
      </c>
      <c r="E713" s="10">
        <v>45678.131469907406</v>
      </c>
      <c r="F713" s="10">
        <v>45678.133449074077</v>
      </c>
      <c r="G713" s="3" t="s">
        <v>2137</v>
      </c>
      <c r="H713" s="10">
        <v>45678.142881944441</v>
      </c>
      <c r="I713" s="10">
        <v>45678.698703703703</v>
      </c>
      <c r="J713" s="10">
        <v>45678.69976851852</v>
      </c>
      <c r="K713" s="11">
        <f t="shared" si="22"/>
        <v>1.2013888888759539E-2</v>
      </c>
      <c r="L713" s="11">
        <f t="shared" si="23"/>
        <v>0.56525462962599704</v>
      </c>
    </row>
    <row r="714" spans="1:12" x14ac:dyDescent="0.25">
      <c r="A714" s="3" t="s">
        <v>2236</v>
      </c>
      <c r="B714" s="3" t="s">
        <v>337</v>
      </c>
      <c r="C714" s="10">
        <v>45678.117129629631</v>
      </c>
      <c r="D714" s="10">
        <v>45678.119456018518</v>
      </c>
      <c r="E714" s="10">
        <v>45678.133449074077</v>
      </c>
      <c r="F714" s="10">
        <v>45678.134652777779</v>
      </c>
      <c r="G714" s="3" t="s">
        <v>2237</v>
      </c>
      <c r="H714" s="10">
        <v>45678.394826388889</v>
      </c>
      <c r="I714" s="10">
        <v>45679.347581018519</v>
      </c>
      <c r="J714" s="10">
        <v>45679.348368055558</v>
      </c>
      <c r="K714" s="11">
        <f t="shared" si="22"/>
        <v>1.3993055559694767E-2</v>
      </c>
      <c r="L714" s="11">
        <f t="shared" si="23"/>
        <v>1.2129282407404389</v>
      </c>
    </row>
    <row r="715" spans="1:12" x14ac:dyDescent="0.25">
      <c r="A715" s="3" t="s">
        <v>2239</v>
      </c>
      <c r="B715" s="3" t="s">
        <v>337</v>
      </c>
      <c r="C715" s="10">
        <v>45678.117129629631</v>
      </c>
      <c r="D715" s="10">
        <v>45678.119456018518</v>
      </c>
      <c r="E715" s="10">
        <v>45678.134652777779</v>
      </c>
      <c r="F715" s="10">
        <v>45678.136608796303</v>
      </c>
      <c r="G715" s="3" t="s">
        <v>2182</v>
      </c>
      <c r="H715" s="10">
        <v>45678.327696759261</v>
      </c>
      <c r="I715" s="10">
        <v>45679.143310185187</v>
      </c>
      <c r="J715" s="10">
        <v>45679.144120370373</v>
      </c>
      <c r="K715" s="11">
        <f t="shared" si="22"/>
        <v>1.5196759261016268E-2</v>
      </c>
      <c r="L715" s="11">
        <f t="shared" si="23"/>
        <v>1.0067013888838119</v>
      </c>
    </row>
    <row r="716" spans="1:12" x14ac:dyDescent="0.25">
      <c r="A716" s="3" t="s">
        <v>2241</v>
      </c>
      <c r="B716" s="3" t="s">
        <v>337</v>
      </c>
      <c r="C716" s="10">
        <v>45678.117129629631</v>
      </c>
      <c r="D716" s="10">
        <v>45678.119456018518</v>
      </c>
      <c r="E716" s="10">
        <v>45678.136608796303</v>
      </c>
      <c r="F716" s="10">
        <v>45678.138958333337</v>
      </c>
      <c r="G716" s="3" t="s">
        <v>2137</v>
      </c>
      <c r="H716" s="10">
        <v>45678.142881944441</v>
      </c>
      <c r="I716" s="10">
        <v>45678.698703703703</v>
      </c>
      <c r="J716" s="10">
        <v>45678.69976851852</v>
      </c>
      <c r="K716" s="11">
        <f t="shared" si="22"/>
        <v>1.715277778566815E-2</v>
      </c>
      <c r="L716" s="11">
        <f t="shared" si="23"/>
        <v>0.559745370366727</v>
      </c>
    </row>
    <row r="717" spans="1:12" x14ac:dyDescent="0.25">
      <c r="A717" s="3" t="s">
        <v>2243</v>
      </c>
      <c r="B717" s="3" t="s">
        <v>338</v>
      </c>
      <c r="C717" s="10">
        <v>45678.274814814817</v>
      </c>
      <c r="D717" s="10">
        <v>45678.276944444442</v>
      </c>
      <c r="E717" s="10">
        <v>45678.282453703701</v>
      </c>
      <c r="F717" s="10">
        <v>45678.28434027778</v>
      </c>
      <c r="G717" s="3" t="s">
        <v>2244</v>
      </c>
      <c r="H717" s="10">
        <v>45678.286712962959</v>
      </c>
      <c r="I717" s="10">
        <v>45678.919907407413</v>
      </c>
      <c r="J717" s="10">
        <v>45678.920925925922</v>
      </c>
      <c r="K717" s="11">
        <f t="shared" si="22"/>
        <v>5.5092592592700385E-3</v>
      </c>
      <c r="L717" s="11">
        <f t="shared" si="23"/>
        <v>0.635567129633273</v>
      </c>
    </row>
    <row r="718" spans="1:12" x14ac:dyDescent="0.25">
      <c r="A718" s="3" t="s">
        <v>2246</v>
      </c>
      <c r="B718" s="3" t="s">
        <v>339</v>
      </c>
      <c r="C718" s="10">
        <v>45678.300358796303</v>
      </c>
      <c r="D718" s="10">
        <v>45678.302858796298</v>
      </c>
      <c r="E718" s="10">
        <v>45678.318622685183</v>
      </c>
      <c r="F718" s="10">
        <v>45678.319907407407</v>
      </c>
      <c r="G718" s="3" t="s">
        <v>2247</v>
      </c>
      <c r="H718" s="10">
        <v>45678.631504629629</v>
      </c>
      <c r="I718" s="10">
        <v>45679.463449074072</v>
      </c>
      <c r="J718" s="10">
        <v>45679.464224537027</v>
      </c>
      <c r="K718" s="11">
        <f t="shared" si="22"/>
        <v>1.5763888884976041E-2</v>
      </c>
      <c r="L718" s="11">
        <f t="shared" si="23"/>
        <v>1.1435416666645324</v>
      </c>
    </row>
    <row r="719" spans="1:12" x14ac:dyDescent="0.25">
      <c r="A719" s="3" t="s">
        <v>2249</v>
      </c>
      <c r="B719" s="3" t="s">
        <v>339</v>
      </c>
      <c r="C719" s="10">
        <v>45678.300358796303</v>
      </c>
      <c r="D719" s="10">
        <v>45678.302858796298</v>
      </c>
      <c r="E719" s="10">
        <v>45678.319907407407</v>
      </c>
      <c r="F719" s="10">
        <v>45678.321192129632</v>
      </c>
      <c r="G719" s="3" t="s">
        <v>2174</v>
      </c>
      <c r="H719" s="10">
        <v>45679.754247685189</v>
      </c>
      <c r="I719" s="10">
        <v>45680.700879629629</v>
      </c>
      <c r="J719" s="10">
        <v>45680.701678240737</v>
      </c>
      <c r="K719" s="11">
        <f t="shared" si="22"/>
        <v>1.7048611109203193E-2</v>
      </c>
      <c r="L719" s="11">
        <f t="shared" si="23"/>
        <v>2.3796874999970896</v>
      </c>
    </row>
    <row r="720" spans="1:12" x14ac:dyDescent="0.25">
      <c r="A720" s="3" t="s">
        <v>2251</v>
      </c>
      <c r="B720" s="3" t="s">
        <v>339</v>
      </c>
      <c r="C720" s="10">
        <v>45678.300358796303</v>
      </c>
      <c r="D720" s="10">
        <v>45678.302858796298</v>
      </c>
      <c r="E720" s="10">
        <v>45678.321192129632</v>
      </c>
      <c r="F720" s="10">
        <v>45678.323113425933</v>
      </c>
      <c r="G720" s="3" t="s">
        <v>2252</v>
      </c>
      <c r="H720" s="10">
        <v>45679.418935185182</v>
      </c>
      <c r="I720" s="10">
        <v>45680.47625</v>
      </c>
      <c r="J720" s="10">
        <v>45680.47693287037</v>
      </c>
      <c r="K720" s="11">
        <f t="shared" si="22"/>
        <v>1.8333333333430346E-2</v>
      </c>
      <c r="L720" s="11">
        <f t="shared" si="23"/>
        <v>2.1531365740665933</v>
      </c>
    </row>
    <row r="721" spans="1:12" x14ac:dyDescent="0.25">
      <c r="A721" s="3" t="s">
        <v>2254</v>
      </c>
      <c r="B721" s="3" t="s">
        <v>339</v>
      </c>
      <c r="C721" s="10">
        <v>45678.300358796303</v>
      </c>
      <c r="D721" s="10">
        <v>45678.302858796298</v>
      </c>
      <c r="E721" s="10">
        <v>45678.323113425933</v>
      </c>
      <c r="F721" s="10">
        <v>45678.325300925928</v>
      </c>
      <c r="G721" s="3" t="s">
        <v>2182</v>
      </c>
      <c r="H721" s="10">
        <v>45678.327696759261</v>
      </c>
      <c r="I721" s="10">
        <v>45679.143310185187</v>
      </c>
      <c r="J721" s="10">
        <v>45679.144120370373</v>
      </c>
      <c r="K721" s="11">
        <f t="shared" si="22"/>
        <v>2.0254629635019228E-2</v>
      </c>
      <c r="L721" s="11">
        <f t="shared" si="23"/>
        <v>0.81800925925927004</v>
      </c>
    </row>
    <row r="722" spans="1:12" x14ac:dyDescent="0.25">
      <c r="A722" s="3" t="s">
        <v>2256</v>
      </c>
      <c r="B722" s="3" t="s">
        <v>339</v>
      </c>
      <c r="C722" s="10">
        <v>45678.300358796303</v>
      </c>
      <c r="D722" s="10">
        <v>45678.302858796298</v>
      </c>
      <c r="E722" s="10">
        <v>45678.325300925928</v>
      </c>
      <c r="F722" s="10">
        <v>45678.327025462961</v>
      </c>
      <c r="G722" s="3" t="s">
        <v>2009</v>
      </c>
      <c r="H722" s="10">
        <v>45679.314988425933</v>
      </c>
      <c r="I722" s="10">
        <v>45680.325706018521</v>
      </c>
      <c r="J722" s="10">
        <v>45680.326550925929</v>
      </c>
      <c r="K722" s="11">
        <f t="shared" si="22"/>
        <v>2.2442129629780538E-2</v>
      </c>
      <c r="L722" s="11">
        <f t="shared" si="23"/>
        <v>1.9986805555599858</v>
      </c>
    </row>
    <row r="723" spans="1:12" x14ac:dyDescent="0.25">
      <c r="A723" s="3" t="s">
        <v>2259</v>
      </c>
      <c r="B723" s="3" t="s">
        <v>339</v>
      </c>
      <c r="C723" s="10">
        <v>45678.300358796303</v>
      </c>
      <c r="D723" s="10">
        <v>45678.302858796298</v>
      </c>
      <c r="E723" s="10">
        <v>45678.327025462961</v>
      </c>
      <c r="F723" s="10">
        <v>45678.329050925917</v>
      </c>
      <c r="G723" s="3" t="s">
        <v>2260</v>
      </c>
      <c r="H723" s="10">
        <v>45679.204131944447</v>
      </c>
      <c r="I723" s="10">
        <v>45680.195567129631</v>
      </c>
      <c r="J723" s="10">
        <v>45680.196909722217</v>
      </c>
      <c r="K723" s="11">
        <f t="shared" si="22"/>
        <v>2.4166666662495118E-2</v>
      </c>
      <c r="L723" s="11">
        <f t="shared" si="23"/>
        <v>1.8665162037141272</v>
      </c>
    </row>
    <row r="724" spans="1:12" x14ac:dyDescent="0.25">
      <c r="A724" s="3" t="s">
        <v>2262</v>
      </c>
      <c r="B724" s="3" t="s">
        <v>339</v>
      </c>
      <c r="C724" s="10">
        <v>45678.300358796303</v>
      </c>
      <c r="D724" s="10">
        <v>45678.302858796298</v>
      </c>
      <c r="E724" s="10">
        <v>45678.329050925917</v>
      </c>
      <c r="F724" s="10">
        <v>45678.330787037034</v>
      </c>
      <c r="G724" s="3" t="s">
        <v>2009</v>
      </c>
      <c r="H724" s="10">
        <v>45679.314988425933</v>
      </c>
      <c r="I724" s="10">
        <v>45680.325706018521</v>
      </c>
      <c r="J724" s="10">
        <v>45680.326550925929</v>
      </c>
      <c r="K724" s="11">
        <f t="shared" si="22"/>
        <v>2.6192129618721083E-2</v>
      </c>
      <c r="L724" s="11">
        <f t="shared" si="23"/>
        <v>1.9949189814869897</v>
      </c>
    </row>
    <row r="725" spans="1:12" x14ac:dyDescent="0.25">
      <c r="A725" s="3" t="s">
        <v>2264</v>
      </c>
      <c r="B725" s="3" t="s">
        <v>339</v>
      </c>
      <c r="C725" s="10">
        <v>45678.300358796303</v>
      </c>
      <c r="D725" s="10">
        <v>45678.302858796298</v>
      </c>
      <c r="E725" s="10">
        <v>45678.330787037034</v>
      </c>
      <c r="F725" s="10">
        <v>45678.332974537043</v>
      </c>
      <c r="G725" s="3" t="s">
        <v>2204</v>
      </c>
      <c r="H725" s="10">
        <v>45678.335370370369</v>
      </c>
      <c r="I725" s="10">
        <v>45679.22378472222</v>
      </c>
      <c r="J725" s="10">
        <v>45679.224594907413</v>
      </c>
      <c r="K725" s="11">
        <f t="shared" si="22"/>
        <v>2.7928240735491272E-2</v>
      </c>
      <c r="L725" s="11">
        <f t="shared" si="23"/>
        <v>0.89081018517754273</v>
      </c>
    </row>
    <row r="726" spans="1:12" x14ac:dyDescent="0.25">
      <c r="A726" s="3" t="s">
        <v>2268</v>
      </c>
      <c r="B726" s="3" t="s">
        <v>341</v>
      </c>
      <c r="C726" s="10">
        <v>45678.314085648148</v>
      </c>
      <c r="D726" s="10">
        <v>45678.31585648148</v>
      </c>
      <c r="E726" s="10">
        <v>45678.33384259259</v>
      </c>
      <c r="F726" s="10">
        <v>45678.336400462962</v>
      </c>
      <c r="G726" s="3" t="s">
        <v>2269</v>
      </c>
      <c r="H726" s="10">
        <v>45678.338796296302</v>
      </c>
      <c r="I726" s="10">
        <v>45679.335833333331</v>
      </c>
      <c r="J726" s="10">
        <v>45679.337164351848</v>
      </c>
      <c r="K726" s="11">
        <f t="shared" si="22"/>
        <v>1.7986111110076308E-2</v>
      </c>
      <c r="L726" s="11">
        <f t="shared" si="23"/>
        <v>0.99943287036876427</v>
      </c>
    </row>
    <row r="727" spans="1:12" x14ac:dyDescent="0.25">
      <c r="A727" s="3" t="s">
        <v>2289</v>
      </c>
      <c r="B727" s="3" t="s">
        <v>343</v>
      </c>
      <c r="C727" s="10">
        <v>45678.376006944447</v>
      </c>
      <c r="D727" s="10">
        <v>45678.377430555563</v>
      </c>
      <c r="E727" s="10">
        <v>45678.383032407408</v>
      </c>
      <c r="F727" s="10">
        <v>45678.385104166657</v>
      </c>
      <c r="G727" s="3" t="s">
        <v>2290</v>
      </c>
      <c r="H727" s="10">
        <v>45678.440324074072</v>
      </c>
      <c r="I727" s="10">
        <v>45679.44189814815</v>
      </c>
      <c r="J727" s="10">
        <v>45679.443506944437</v>
      </c>
      <c r="K727" s="11">
        <f t="shared" si="22"/>
        <v>5.6018518444034271E-3</v>
      </c>
      <c r="L727" s="11">
        <f t="shared" si="23"/>
        <v>1.0567939814936835</v>
      </c>
    </row>
    <row r="728" spans="1:12" x14ac:dyDescent="0.25">
      <c r="A728" s="3" t="s">
        <v>2292</v>
      </c>
      <c r="B728" s="3" t="s">
        <v>343</v>
      </c>
      <c r="C728" s="10">
        <v>45678.376006944447</v>
      </c>
      <c r="D728" s="10">
        <v>45678.377430555563</v>
      </c>
      <c r="E728" s="10">
        <v>45678.385104166657</v>
      </c>
      <c r="F728" s="10">
        <v>45678.386284722219</v>
      </c>
      <c r="G728" s="3" t="s">
        <v>2237</v>
      </c>
      <c r="H728" s="10">
        <v>45678.394826388889</v>
      </c>
      <c r="I728" s="10">
        <v>45679.347581018519</v>
      </c>
      <c r="J728" s="10">
        <v>45679.348368055558</v>
      </c>
      <c r="K728" s="11">
        <f t="shared" si="22"/>
        <v>7.6736110931960866E-3</v>
      </c>
      <c r="L728" s="11">
        <f t="shared" si="23"/>
        <v>0.96129629630013369</v>
      </c>
    </row>
    <row r="729" spans="1:12" x14ac:dyDescent="0.25">
      <c r="A729" s="3" t="s">
        <v>2271</v>
      </c>
      <c r="B729" s="3" t="s">
        <v>342</v>
      </c>
      <c r="C729" s="10">
        <v>45678.365624999999</v>
      </c>
      <c r="D729" s="10">
        <v>45678.368298611109</v>
      </c>
      <c r="E729" s="10">
        <v>45678.387152777781</v>
      </c>
      <c r="F729" s="10">
        <v>45678.388437499998</v>
      </c>
      <c r="G729" s="3" t="s">
        <v>2174</v>
      </c>
      <c r="H729" s="10">
        <v>45679.754247685189</v>
      </c>
      <c r="I729" s="10">
        <v>45680.700879629629</v>
      </c>
      <c r="J729" s="10">
        <v>45680.701678240737</v>
      </c>
      <c r="K729" s="11">
        <f t="shared" si="22"/>
        <v>1.8854166672099382E-2</v>
      </c>
      <c r="L729" s="11">
        <f t="shared" si="23"/>
        <v>2.3124421296306537</v>
      </c>
    </row>
    <row r="730" spans="1:12" x14ac:dyDescent="0.25">
      <c r="A730" s="3" t="s">
        <v>2273</v>
      </c>
      <c r="B730" s="3" t="s">
        <v>342</v>
      </c>
      <c r="C730" s="10">
        <v>45678.365624999999</v>
      </c>
      <c r="D730" s="10">
        <v>45678.368298611109</v>
      </c>
      <c r="E730" s="10">
        <v>45678.388437499998</v>
      </c>
      <c r="F730" s="10">
        <v>45678.389722222222</v>
      </c>
      <c r="G730" s="3" t="s">
        <v>2237</v>
      </c>
      <c r="H730" s="10">
        <v>45678.394826388889</v>
      </c>
      <c r="I730" s="10">
        <v>45679.347581018519</v>
      </c>
      <c r="J730" s="10">
        <v>45679.348368055558</v>
      </c>
      <c r="K730" s="11">
        <f t="shared" si="22"/>
        <v>2.0138888889050577E-2</v>
      </c>
      <c r="L730" s="11">
        <f t="shared" si="23"/>
        <v>0.95785879629693227</v>
      </c>
    </row>
    <row r="731" spans="1:12" x14ac:dyDescent="0.25">
      <c r="A731" s="3" t="s">
        <v>2275</v>
      </c>
      <c r="B731" s="3" t="s">
        <v>342</v>
      </c>
      <c r="C731" s="10">
        <v>45678.365624999999</v>
      </c>
      <c r="D731" s="10">
        <v>45678.368298611109</v>
      </c>
      <c r="E731" s="10">
        <v>45678.389722222222</v>
      </c>
      <c r="F731" s="10">
        <v>45678.3909375</v>
      </c>
      <c r="G731" s="3" t="s">
        <v>2237</v>
      </c>
      <c r="H731" s="10">
        <v>45678.394826388889</v>
      </c>
      <c r="I731" s="10">
        <v>45679.347581018519</v>
      </c>
      <c r="J731" s="10">
        <v>45679.348368055558</v>
      </c>
      <c r="K731" s="11">
        <f t="shared" si="22"/>
        <v>2.142361111327773E-2</v>
      </c>
      <c r="L731" s="11">
        <f t="shared" si="23"/>
        <v>0.95664351851883112</v>
      </c>
    </row>
    <row r="732" spans="1:12" x14ac:dyDescent="0.25">
      <c r="A732" s="3" t="s">
        <v>2277</v>
      </c>
      <c r="B732" s="3" t="s">
        <v>342</v>
      </c>
      <c r="C732" s="10">
        <v>45678.365624999999</v>
      </c>
      <c r="D732" s="10">
        <v>45678.368298611109</v>
      </c>
      <c r="E732" s="10">
        <v>45678.3909375</v>
      </c>
      <c r="F732" s="10">
        <v>45678.393020833333</v>
      </c>
      <c r="G732" s="3" t="s">
        <v>2216</v>
      </c>
      <c r="H732" s="10">
        <v>45678.402199074073</v>
      </c>
      <c r="I732" s="10">
        <v>45679.360856481479</v>
      </c>
      <c r="J732" s="10">
        <v>45679.361504629633</v>
      </c>
      <c r="K732" s="11">
        <f t="shared" si="22"/>
        <v>2.2638888891378883E-2</v>
      </c>
      <c r="L732" s="11">
        <f t="shared" si="23"/>
        <v>0.96783564814541023</v>
      </c>
    </row>
    <row r="733" spans="1:12" x14ac:dyDescent="0.25">
      <c r="A733" s="3" t="s">
        <v>2280</v>
      </c>
      <c r="B733" s="3" t="s">
        <v>342</v>
      </c>
      <c r="C733" s="10">
        <v>45678.365624999999</v>
      </c>
      <c r="D733" s="10">
        <v>45678.368298611109</v>
      </c>
      <c r="E733" s="10">
        <v>45678.393020833333</v>
      </c>
      <c r="F733" s="10">
        <v>45678.394953703697</v>
      </c>
      <c r="G733" s="3" t="s">
        <v>2281</v>
      </c>
      <c r="H733" s="10">
        <v>45678.397349537037</v>
      </c>
      <c r="I733" s="10">
        <v>45679.343645833331</v>
      </c>
      <c r="J733" s="10">
        <v>45679.344409722216</v>
      </c>
      <c r="K733" s="11">
        <f t="shared" si="22"/>
        <v>2.4722222224227153E-2</v>
      </c>
      <c r="L733" s="11">
        <f t="shared" si="23"/>
        <v>0.94869212963385507</v>
      </c>
    </row>
    <row r="734" spans="1:12" x14ac:dyDescent="0.25">
      <c r="A734" s="3" t="s">
        <v>2283</v>
      </c>
      <c r="B734" s="3" t="s">
        <v>342</v>
      </c>
      <c r="C734" s="10">
        <v>45678.365624999999</v>
      </c>
      <c r="D734" s="10">
        <v>45678.368298611109</v>
      </c>
      <c r="E734" s="10">
        <v>45678.394953703697</v>
      </c>
      <c r="F734" s="10">
        <v>45678.39634259259</v>
      </c>
      <c r="G734" s="3" t="s">
        <v>2247</v>
      </c>
      <c r="H734" s="10">
        <v>45678.631504629629</v>
      </c>
      <c r="I734" s="10">
        <v>45679.463449074072</v>
      </c>
      <c r="J734" s="10">
        <v>45679.464224537027</v>
      </c>
      <c r="K734" s="11">
        <f t="shared" si="22"/>
        <v>2.6655092588043772E-2</v>
      </c>
      <c r="L734" s="11">
        <f t="shared" si="23"/>
        <v>1.0671064814814599</v>
      </c>
    </row>
    <row r="735" spans="1:12" x14ac:dyDescent="0.25">
      <c r="A735" s="3" t="s">
        <v>2285</v>
      </c>
      <c r="B735" s="3" t="s">
        <v>342</v>
      </c>
      <c r="C735" s="10">
        <v>45678.365624999999</v>
      </c>
      <c r="D735" s="10">
        <v>45678.368298611109</v>
      </c>
      <c r="E735" s="10">
        <v>45678.39634259259</v>
      </c>
      <c r="F735" s="10">
        <v>45678.398275462961</v>
      </c>
      <c r="G735" s="3" t="s">
        <v>2216</v>
      </c>
      <c r="H735" s="10">
        <v>45678.402199074073</v>
      </c>
      <c r="I735" s="10">
        <v>45679.360856481479</v>
      </c>
      <c r="J735" s="10">
        <v>45679.361504629633</v>
      </c>
      <c r="K735" s="11">
        <f t="shared" si="22"/>
        <v>2.8043981481459923E-2</v>
      </c>
      <c r="L735" s="11">
        <f t="shared" si="23"/>
        <v>0.96258101851708489</v>
      </c>
    </row>
    <row r="736" spans="1:12" x14ac:dyDescent="0.25">
      <c r="A736" s="3" t="s">
        <v>2287</v>
      </c>
      <c r="B736" s="3" t="s">
        <v>342</v>
      </c>
      <c r="C736" s="10">
        <v>45678.365624999999</v>
      </c>
      <c r="D736" s="10">
        <v>45678.368298611109</v>
      </c>
      <c r="E736" s="10">
        <v>45678.398275462961</v>
      </c>
      <c r="F736" s="10">
        <v>45678.400185185194</v>
      </c>
      <c r="G736" s="3" t="s">
        <v>2252</v>
      </c>
      <c r="H736" s="10">
        <v>45679.418935185182</v>
      </c>
      <c r="I736" s="10">
        <v>45680.47625</v>
      </c>
      <c r="J736" s="10">
        <v>45680.47693287037</v>
      </c>
      <c r="K736" s="11">
        <f t="shared" si="22"/>
        <v>2.99768518525525E-2</v>
      </c>
      <c r="L736" s="11">
        <f t="shared" si="23"/>
        <v>2.0760648148061591</v>
      </c>
    </row>
    <row r="737" spans="1:12" x14ac:dyDescent="0.25">
      <c r="A737" s="3" t="s">
        <v>2294</v>
      </c>
      <c r="B737" s="3" t="s">
        <v>344</v>
      </c>
      <c r="C737" s="10">
        <v>45678.418726851851</v>
      </c>
      <c r="D737" s="10">
        <v>45678.421284722222</v>
      </c>
      <c r="E737" s="10">
        <v>45678.430474537039</v>
      </c>
      <c r="F737" s="10">
        <v>45678.433055555557</v>
      </c>
      <c r="G737" s="3" t="s">
        <v>2290</v>
      </c>
      <c r="H737" s="10">
        <v>45678.440324074072</v>
      </c>
      <c r="I737" s="10">
        <v>45679.44189814815</v>
      </c>
      <c r="J737" s="10">
        <v>45679.443506944437</v>
      </c>
      <c r="K737" s="11">
        <f t="shared" si="22"/>
        <v>9.189814816636499E-3</v>
      </c>
      <c r="L737" s="11">
        <f t="shared" si="23"/>
        <v>1.0088425925932825</v>
      </c>
    </row>
    <row r="738" spans="1:12" x14ac:dyDescent="0.25">
      <c r="A738" s="3" t="s">
        <v>2296</v>
      </c>
      <c r="B738" s="3" t="s">
        <v>344</v>
      </c>
      <c r="C738" s="10">
        <v>45678.418726851851</v>
      </c>
      <c r="D738" s="10">
        <v>45678.421284722222</v>
      </c>
      <c r="E738" s="10">
        <v>45678.433055555557</v>
      </c>
      <c r="F738" s="10">
        <v>45678.434270833342</v>
      </c>
      <c r="G738" s="3" t="s">
        <v>2297</v>
      </c>
      <c r="H738" s="10">
        <v>45678.634826388887</v>
      </c>
      <c r="I738" s="10">
        <v>45679.580023148148</v>
      </c>
      <c r="J738" s="10">
        <v>45679.580891203703</v>
      </c>
      <c r="K738" s="11">
        <f t="shared" si="22"/>
        <v>1.1770833334594499E-2</v>
      </c>
      <c r="L738" s="11">
        <f t="shared" si="23"/>
        <v>1.145752314805577</v>
      </c>
    </row>
    <row r="739" spans="1:12" x14ac:dyDescent="0.25">
      <c r="A739" s="3" t="s">
        <v>2299</v>
      </c>
      <c r="B739" s="3" t="s">
        <v>344</v>
      </c>
      <c r="C739" s="10">
        <v>45678.418726851851</v>
      </c>
      <c r="D739" s="10">
        <v>45678.421284722222</v>
      </c>
      <c r="E739" s="10">
        <v>45678.434270833342</v>
      </c>
      <c r="F739" s="10">
        <v>45678.436400462961</v>
      </c>
      <c r="G739" s="3" t="s">
        <v>2290</v>
      </c>
      <c r="H739" s="10">
        <v>45678.440324074072</v>
      </c>
      <c r="I739" s="10">
        <v>45679.44189814815</v>
      </c>
      <c r="J739" s="10">
        <v>45679.443506944437</v>
      </c>
      <c r="K739" s="11">
        <f t="shared" si="22"/>
        <v>1.2986111119971611E-2</v>
      </c>
      <c r="L739" s="11">
        <f t="shared" si="23"/>
        <v>1.0054976851897663</v>
      </c>
    </row>
    <row r="740" spans="1:12" x14ac:dyDescent="0.25">
      <c r="A740" s="3" t="s">
        <v>2301</v>
      </c>
      <c r="B740" s="3" t="s">
        <v>345</v>
      </c>
      <c r="C740" s="10">
        <v>45678.602129629631</v>
      </c>
      <c r="D740" s="10">
        <v>45678.604641203703</v>
      </c>
      <c r="E740" s="10">
        <v>45678.611354166656</v>
      </c>
      <c r="F740" s="10">
        <v>45678.614201388889</v>
      </c>
      <c r="G740" s="3" t="s">
        <v>2302</v>
      </c>
      <c r="H740" s="10">
        <v>45678.616377314807</v>
      </c>
      <c r="I740" s="10">
        <v>45679.489745370367</v>
      </c>
      <c r="J740" s="10">
        <v>45679.491215277783</v>
      </c>
      <c r="K740" s="11">
        <f t="shared" si="22"/>
        <v>6.7129629533155821E-3</v>
      </c>
      <c r="L740" s="11">
        <f t="shared" si="23"/>
        <v>0.87554398147767643</v>
      </c>
    </row>
    <row r="741" spans="1:12" x14ac:dyDescent="0.25">
      <c r="A741" s="3" t="s">
        <v>2304</v>
      </c>
      <c r="B741" s="3" t="s">
        <v>346</v>
      </c>
      <c r="C741" s="10">
        <v>45678.608634259261</v>
      </c>
      <c r="D741" s="10">
        <v>45678.611134259263</v>
      </c>
      <c r="E741" s="10">
        <v>45678.626701388886</v>
      </c>
      <c r="F741" s="10">
        <v>45678.627962962957</v>
      </c>
      <c r="G741" s="3" t="s">
        <v>2247</v>
      </c>
      <c r="H741" s="10">
        <v>45678.631504629629</v>
      </c>
      <c r="I741" s="10">
        <v>45679.463449074072</v>
      </c>
      <c r="J741" s="10">
        <v>45679.464224537027</v>
      </c>
      <c r="K741" s="11">
        <f t="shared" si="22"/>
        <v>1.5567129623377696E-2</v>
      </c>
      <c r="L741" s="11">
        <f t="shared" si="23"/>
        <v>0.83548611111473292</v>
      </c>
    </row>
    <row r="742" spans="1:12" x14ac:dyDescent="0.25">
      <c r="A742" s="3" t="s">
        <v>2306</v>
      </c>
      <c r="B742" s="3" t="s">
        <v>346</v>
      </c>
      <c r="C742" s="10">
        <v>45678.608634259261</v>
      </c>
      <c r="D742" s="10">
        <v>45678.611134259263</v>
      </c>
      <c r="E742" s="10">
        <v>45678.627962962957</v>
      </c>
      <c r="F742" s="10">
        <v>45678.629444444443</v>
      </c>
      <c r="G742" s="3" t="s">
        <v>2014</v>
      </c>
      <c r="H742" s="10">
        <v>45679.751226851848</v>
      </c>
      <c r="I742" s="10">
        <v>45680.67150462963</v>
      </c>
      <c r="J742" s="10">
        <v>45680.672326388893</v>
      </c>
      <c r="K742" s="11">
        <f t="shared" si="22"/>
        <v>1.6828703694045544E-2</v>
      </c>
      <c r="L742" s="11">
        <f t="shared" si="23"/>
        <v>2.042060185187438</v>
      </c>
    </row>
    <row r="743" spans="1:12" x14ac:dyDescent="0.25">
      <c r="A743" s="3" t="s">
        <v>2308</v>
      </c>
      <c r="B743" s="3" t="s">
        <v>346</v>
      </c>
      <c r="C743" s="10">
        <v>45678.608634259261</v>
      </c>
      <c r="D743" s="10">
        <v>45678.611134259263</v>
      </c>
      <c r="E743" s="10">
        <v>45678.629444444443</v>
      </c>
      <c r="F743" s="10">
        <v>45678.631168981483</v>
      </c>
      <c r="G743" s="3" t="s">
        <v>2309</v>
      </c>
      <c r="H743" s="10">
        <v>45678.638495370367</v>
      </c>
      <c r="I743" s="10">
        <v>45679.663611111107</v>
      </c>
      <c r="J743" s="10">
        <v>45679.664444444446</v>
      </c>
      <c r="K743" s="11">
        <f t="shared" si="22"/>
        <v>1.8310185179871041E-2</v>
      </c>
      <c r="L743" s="11">
        <f t="shared" si="23"/>
        <v>1.0324421296245418</v>
      </c>
    </row>
    <row r="744" spans="1:12" x14ac:dyDescent="0.25">
      <c r="A744" s="3" t="s">
        <v>2311</v>
      </c>
      <c r="B744" s="3" t="s">
        <v>346</v>
      </c>
      <c r="C744" s="10">
        <v>45678.608634259261</v>
      </c>
      <c r="D744" s="10">
        <v>45678.611134259263</v>
      </c>
      <c r="E744" s="10">
        <v>45678.631168981483</v>
      </c>
      <c r="F744" s="10">
        <v>45678.632662037038</v>
      </c>
      <c r="G744" s="3" t="s">
        <v>2297</v>
      </c>
      <c r="H744" s="10">
        <v>45678.634826388887</v>
      </c>
      <c r="I744" s="10">
        <v>45679.580023148148</v>
      </c>
      <c r="J744" s="10">
        <v>45679.580891203703</v>
      </c>
      <c r="K744" s="11">
        <f t="shared" si="22"/>
        <v>2.0034722219861578E-2</v>
      </c>
      <c r="L744" s="11">
        <f t="shared" si="23"/>
        <v>0.94736111110978527</v>
      </c>
    </row>
    <row r="745" spans="1:12" x14ac:dyDescent="0.25">
      <c r="A745" s="3" t="s">
        <v>2313</v>
      </c>
      <c r="B745" s="3" t="s">
        <v>346</v>
      </c>
      <c r="C745" s="10">
        <v>45678.608634259261</v>
      </c>
      <c r="D745" s="10">
        <v>45678.611134259263</v>
      </c>
      <c r="E745" s="10">
        <v>45678.632662037038</v>
      </c>
      <c r="F745" s="10">
        <v>45678.634606481479</v>
      </c>
      <c r="G745" s="3" t="s">
        <v>2309</v>
      </c>
      <c r="H745" s="10">
        <v>45678.638495370367</v>
      </c>
      <c r="I745" s="10">
        <v>45679.663611111107</v>
      </c>
      <c r="J745" s="10">
        <v>45679.664444444446</v>
      </c>
      <c r="K745" s="11">
        <f t="shared" si="22"/>
        <v>2.1527777775190771E-2</v>
      </c>
      <c r="L745" s="11">
        <f t="shared" si="23"/>
        <v>1.0290046296286164</v>
      </c>
    </row>
    <row r="746" spans="1:12" x14ac:dyDescent="0.25">
      <c r="A746" s="3" t="s">
        <v>2315</v>
      </c>
      <c r="B746" s="3" t="s">
        <v>346</v>
      </c>
      <c r="C746" s="10">
        <v>45678.608634259261</v>
      </c>
      <c r="D746" s="10">
        <v>45678.611134259263</v>
      </c>
      <c r="E746" s="10">
        <v>45678.634606481479</v>
      </c>
      <c r="F746" s="10">
        <v>45678.636481481481</v>
      </c>
      <c r="G746" s="3" t="s">
        <v>2252</v>
      </c>
      <c r="H746" s="10">
        <v>45679.418935185182</v>
      </c>
      <c r="I746" s="10">
        <v>45680.47625</v>
      </c>
      <c r="J746" s="10">
        <v>45680.47693287037</v>
      </c>
      <c r="K746" s="11">
        <f t="shared" si="22"/>
        <v>2.3472222215787042E-2</v>
      </c>
      <c r="L746" s="11">
        <f t="shared" si="23"/>
        <v>1.8397685185191222</v>
      </c>
    </row>
    <row r="747" spans="1:12" x14ac:dyDescent="0.25">
      <c r="A747" s="3" t="s">
        <v>2317</v>
      </c>
      <c r="B747" s="3" t="s">
        <v>346</v>
      </c>
      <c r="C747" s="10">
        <v>45678.608634259261</v>
      </c>
      <c r="D747" s="10">
        <v>45678.611134259263</v>
      </c>
      <c r="E747" s="10">
        <v>45678.636481481481</v>
      </c>
      <c r="F747" s="10">
        <v>45678.638518518521</v>
      </c>
      <c r="G747" s="3" t="s">
        <v>2318</v>
      </c>
      <c r="H747" s="10">
        <v>45678.6408912037</v>
      </c>
      <c r="I747" s="10">
        <v>45679.779537037037</v>
      </c>
      <c r="J747" s="10">
        <v>45679.780613425923</v>
      </c>
      <c r="K747" s="11">
        <f t="shared" si="22"/>
        <v>2.5347222217533272E-2</v>
      </c>
      <c r="L747" s="11">
        <f t="shared" si="23"/>
        <v>1.1410185185159207</v>
      </c>
    </row>
    <row r="748" spans="1:12" x14ac:dyDescent="0.25">
      <c r="A748" s="3" t="s">
        <v>2320</v>
      </c>
      <c r="B748" s="3" t="s">
        <v>346</v>
      </c>
      <c r="C748" s="10">
        <v>45678.608634259261</v>
      </c>
      <c r="D748" s="10">
        <v>45678.611134259263</v>
      </c>
      <c r="E748" s="10">
        <v>45678.638518518521</v>
      </c>
      <c r="F748" s="10">
        <v>45678.640231481477</v>
      </c>
      <c r="G748" s="3" t="s">
        <v>2009</v>
      </c>
      <c r="H748" s="10">
        <v>45679.314988425933</v>
      </c>
      <c r="I748" s="10">
        <v>45680.325706018521</v>
      </c>
      <c r="J748" s="10">
        <v>45680.326550925929</v>
      </c>
      <c r="K748" s="11">
        <f t="shared" si="22"/>
        <v>2.7384259257814847E-2</v>
      </c>
      <c r="L748" s="11">
        <f t="shared" si="23"/>
        <v>1.685474537043774</v>
      </c>
    </row>
    <row r="749" spans="1:12" x14ac:dyDescent="0.25">
      <c r="A749" s="3" t="s">
        <v>2322</v>
      </c>
      <c r="B749" s="3" t="s">
        <v>347</v>
      </c>
      <c r="C749" s="10">
        <v>45678.625428240739</v>
      </c>
      <c r="D749" s="10">
        <v>45678.627314814818</v>
      </c>
      <c r="E749" s="10">
        <v>45678.641099537039</v>
      </c>
      <c r="F749" s="10">
        <v>45678.64329861111</v>
      </c>
      <c r="G749" s="3" t="s">
        <v>2323</v>
      </c>
      <c r="H749" s="10">
        <v>45678.645682870367</v>
      </c>
      <c r="I749" s="10">
        <v>45679.784803240742</v>
      </c>
      <c r="J749" s="10">
        <v>45679.78564814815</v>
      </c>
      <c r="K749" s="11">
        <f t="shared" si="22"/>
        <v>1.378472222131677E-2</v>
      </c>
      <c r="L749" s="11">
        <f t="shared" si="23"/>
        <v>1.1415046296315268</v>
      </c>
    </row>
    <row r="750" spans="1:12" x14ac:dyDescent="0.25">
      <c r="A750" s="3" t="s">
        <v>2325</v>
      </c>
      <c r="B750" s="3" t="s">
        <v>348</v>
      </c>
      <c r="C750" s="10">
        <v>45678.868263888893</v>
      </c>
      <c r="D750" s="10">
        <v>45678.870289351849</v>
      </c>
      <c r="E750" s="10">
        <v>45678.875428240739</v>
      </c>
      <c r="F750" s="10">
        <v>45678.87777777778</v>
      </c>
      <c r="G750" s="3" t="s">
        <v>2326</v>
      </c>
      <c r="H750" s="10">
        <v>45678.880173611113</v>
      </c>
      <c r="I750" s="10">
        <v>45679.797881944447</v>
      </c>
      <c r="J750" s="10">
        <v>45679.798854166656</v>
      </c>
      <c r="K750" s="11">
        <f t="shared" si="22"/>
        <v>5.1388888896326534E-3</v>
      </c>
      <c r="L750" s="11">
        <f t="shared" si="23"/>
        <v>0.92010416666744277</v>
      </c>
    </row>
    <row r="751" spans="1:12" x14ac:dyDescent="0.25">
      <c r="A751" s="3" t="s">
        <v>2328</v>
      </c>
      <c r="B751" s="3" t="s">
        <v>349</v>
      </c>
      <c r="C751" s="10">
        <v>45679.102962962963</v>
      </c>
      <c r="D751" s="10">
        <v>45679.105243055557</v>
      </c>
      <c r="E751" s="10">
        <v>45679.114537037043</v>
      </c>
      <c r="F751" s="10">
        <v>45679.115833333337</v>
      </c>
      <c r="G751" s="3" t="s">
        <v>2329</v>
      </c>
      <c r="H751" s="10">
        <v>45679.121203703697</v>
      </c>
      <c r="I751" s="10">
        <v>45679.904062499998</v>
      </c>
      <c r="J751" s="10">
        <v>45679.905034722222</v>
      </c>
      <c r="K751" s="11">
        <f t="shared" si="22"/>
        <v>9.2939814858254977E-3</v>
      </c>
      <c r="L751" s="11">
        <f t="shared" si="23"/>
        <v>0.78822916666103993</v>
      </c>
    </row>
    <row r="752" spans="1:12" x14ac:dyDescent="0.25">
      <c r="A752" s="3" t="s">
        <v>2331</v>
      </c>
      <c r="B752" s="3" t="s">
        <v>349</v>
      </c>
      <c r="C752" s="10">
        <v>45679.102962962963</v>
      </c>
      <c r="D752" s="10">
        <v>45679.105243055557</v>
      </c>
      <c r="E752" s="10">
        <v>45679.115833333337</v>
      </c>
      <c r="F752" s="10">
        <v>45679.117291666669</v>
      </c>
      <c r="G752" s="3" t="s">
        <v>2329</v>
      </c>
      <c r="H752" s="10">
        <v>45679.121203703697</v>
      </c>
      <c r="I752" s="10">
        <v>45679.904062499998</v>
      </c>
      <c r="J752" s="10">
        <v>45679.905034722222</v>
      </c>
      <c r="K752" s="11">
        <f t="shared" si="22"/>
        <v>1.0590277779556345E-2</v>
      </c>
      <c r="L752" s="11">
        <f t="shared" si="23"/>
        <v>0.78677083332877373</v>
      </c>
    </row>
    <row r="753" spans="1:12" x14ac:dyDescent="0.25">
      <c r="A753" s="3" t="s">
        <v>2333</v>
      </c>
      <c r="B753" s="3" t="s">
        <v>349</v>
      </c>
      <c r="C753" s="10">
        <v>45679.102962962963</v>
      </c>
      <c r="D753" s="10">
        <v>45679.105243055557</v>
      </c>
      <c r="E753" s="10">
        <v>45679.117291666669</v>
      </c>
      <c r="F753" s="10">
        <v>45679.11928240741</v>
      </c>
      <c r="G753" s="3" t="s">
        <v>2334</v>
      </c>
      <c r="H753" s="10">
        <v>45679.406851851847</v>
      </c>
      <c r="I753" s="10">
        <v>45680.361111111109</v>
      </c>
      <c r="J753" s="10">
        <v>45680.361921296288</v>
      </c>
      <c r="K753" s="11">
        <f t="shared" si="22"/>
        <v>1.2048611111822538E-2</v>
      </c>
      <c r="L753" s="11">
        <f t="shared" si="23"/>
        <v>1.2418287036998663</v>
      </c>
    </row>
    <row r="754" spans="1:12" x14ac:dyDescent="0.25">
      <c r="A754" s="3" t="s">
        <v>2336</v>
      </c>
      <c r="B754" s="3" t="s">
        <v>349</v>
      </c>
      <c r="C754" s="10">
        <v>45679.102962962963</v>
      </c>
      <c r="D754" s="10">
        <v>45679.105243055557</v>
      </c>
      <c r="E754" s="10">
        <v>45679.11928240741</v>
      </c>
      <c r="F754" s="10">
        <v>45679.12127314815</v>
      </c>
      <c r="G754" s="3" t="s">
        <v>2337</v>
      </c>
      <c r="H754" s="10">
        <v>45679.41238425926</v>
      </c>
      <c r="I754" s="10">
        <v>45680.397314814807</v>
      </c>
      <c r="J754" s="10">
        <v>45680.398125</v>
      </c>
      <c r="K754" s="11">
        <f t="shared" si="22"/>
        <v>1.4039351852261461E-2</v>
      </c>
      <c r="L754" s="11">
        <f t="shared" si="23"/>
        <v>1.2760416666569654</v>
      </c>
    </row>
    <row r="755" spans="1:12" x14ac:dyDescent="0.25">
      <c r="A755" s="3" t="s">
        <v>2339</v>
      </c>
      <c r="B755" s="3" t="s">
        <v>350</v>
      </c>
      <c r="C755" s="10">
        <v>45679.189895833333</v>
      </c>
      <c r="D755" s="10">
        <v>45679.192337962973</v>
      </c>
      <c r="E755" s="10">
        <v>45679.198900462958</v>
      </c>
      <c r="F755" s="10">
        <v>45679.201736111107</v>
      </c>
      <c r="G755" s="3" t="s">
        <v>2260</v>
      </c>
      <c r="H755" s="10">
        <v>45679.204131944447</v>
      </c>
      <c r="I755" s="10">
        <v>45680.195567129631</v>
      </c>
      <c r="J755" s="10">
        <v>45680.196909722217</v>
      </c>
      <c r="K755" s="11">
        <f t="shared" si="22"/>
        <v>6.5624999842839316E-3</v>
      </c>
      <c r="L755" s="11">
        <f t="shared" si="23"/>
        <v>0.99383101852436084</v>
      </c>
    </row>
    <row r="756" spans="1:12" x14ac:dyDescent="0.25">
      <c r="A756" s="3" t="s">
        <v>2341</v>
      </c>
      <c r="B756" s="3" t="s">
        <v>351</v>
      </c>
      <c r="C756" s="10">
        <v>45679.264374999999</v>
      </c>
      <c r="D756" s="10">
        <v>45679.266643518517</v>
      </c>
      <c r="E756" s="10">
        <v>45679.272650462961</v>
      </c>
      <c r="F756" s="10">
        <v>45679.275243055563</v>
      </c>
      <c r="G756" s="3" t="s">
        <v>2342</v>
      </c>
      <c r="H756" s="10">
        <v>45679.277638888889</v>
      </c>
      <c r="I756" s="10">
        <v>45680.324479166673</v>
      </c>
      <c r="J756" s="10">
        <v>45680.325706018521</v>
      </c>
      <c r="K756" s="11">
        <f t="shared" si="22"/>
        <v>6.0069444443797693E-3</v>
      </c>
      <c r="L756" s="11">
        <f t="shared" si="23"/>
        <v>1.0492361111100763</v>
      </c>
    </row>
    <row r="757" spans="1:12" x14ac:dyDescent="0.25">
      <c r="A757" s="3" t="s">
        <v>2344</v>
      </c>
      <c r="B757" s="3" t="s">
        <v>352</v>
      </c>
      <c r="C757" s="10">
        <v>45679.281840277778</v>
      </c>
      <c r="D757" s="10">
        <v>45679.284513888888</v>
      </c>
      <c r="E757" s="10">
        <v>45679.302291666667</v>
      </c>
      <c r="F757" s="10">
        <v>45679.303831018522</v>
      </c>
      <c r="G757" s="3" t="s">
        <v>2345</v>
      </c>
      <c r="H757" s="10">
        <v>45679.413761574076</v>
      </c>
      <c r="I757" s="10">
        <v>45680.437685185178</v>
      </c>
      <c r="J757" s="10">
        <v>45680.438414351847</v>
      </c>
      <c r="K757" s="11">
        <f t="shared" si="22"/>
        <v>1.7777777778974269E-2</v>
      </c>
      <c r="L757" s="11">
        <f t="shared" si="23"/>
        <v>1.1338541666555102</v>
      </c>
    </row>
    <row r="758" spans="1:12" x14ac:dyDescent="0.25">
      <c r="A758" s="3" t="s">
        <v>2347</v>
      </c>
      <c r="B758" s="3" t="s">
        <v>352</v>
      </c>
      <c r="C758" s="10">
        <v>45679.281840277778</v>
      </c>
      <c r="D758" s="10">
        <v>45679.284513888888</v>
      </c>
      <c r="E758" s="10">
        <v>45679.303831018522</v>
      </c>
      <c r="F758" s="10">
        <v>45679.305787037039</v>
      </c>
      <c r="G758" s="3" t="s">
        <v>2337</v>
      </c>
      <c r="H758" s="10">
        <v>45679.41238425926</v>
      </c>
      <c r="I758" s="10">
        <v>45680.397314814807</v>
      </c>
      <c r="J758" s="10">
        <v>45680.398125</v>
      </c>
      <c r="K758" s="11">
        <f t="shared" si="22"/>
        <v>1.9317129634146113E-2</v>
      </c>
      <c r="L758" s="11">
        <f t="shared" si="23"/>
        <v>1.0915277777676238</v>
      </c>
    </row>
    <row r="759" spans="1:12" x14ac:dyDescent="0.25">
      <c r="A759" s="3" t="s">
        <v>2349</v>
      </c>
      <c r="B759" s="3" t="s">
        <v>352</v>
      </c>
      <c r="C759" s="10">
        <v>45679.281840277778</v>
      </c>
      <c r="D759" s="10">
        <v>45679.284513888888</v>
      </c>
      <c r="E759" s="10">
        <v>45679.305787037039</v>
      </c>
      <c r="F759" s="10">
        <v>45679.30740740741</v>
      </c>
      <c r="G759" s="3" t="s">
        <v>2350</v>
      </c>
      <c r="H759" s="10">
        <v>45680.746504629627</v>
      </c>
      <c r="I759" s="10">
        <v>45681.757233796299</v>
      </c>
      <c r="J759" s="10">
        <v>45681.7580787037</v>
      </c>
      <c r="K759" s="11">
        <f t="shared" si="22"/>
        <v>2.1273148151522037E-2</v>
      </c>
      <c r="L759" s="11">
        <f t="shared" si="23"/>
        <v>2.4498263888890506</v>
      </c>
    </row>
    <row r="760" spans="1:12" x14ac:dyDescent="0.25">
      <c r="A760" s="3" t="s">
        <v>2352</v>
      </c>
      <c r="B760" s="3" t="s">
        <v>352</v>
      </c>
      <c r="C760" s="10">
        <v>45679.281840277778</v>
      </c>
      <c r="D760" s="10">
        <v>45679.284513888888</v>
      </c>
      <c r="E760" s="10">
        <v>45679.30740740741</v>
      </c>
      <c r="F760" s="10">
        <v>45679.309328703697</v>
      </c>
      <c r="G760" s="3" t="s">
        <v>2252</v>
      </c>
      <c r="H760" s="10">
        <v>45679.418935185182</v>
      </c>
      <c r="I760" s="10">
        <v>45680.47625</v>
      </c>
      <c r="J760" s="10">
        <v>45680.47693287037</v>
      </c>
      <c r="K760" s="11">
        <f t="shared" si="22"/>
        <v>2.2893518522323575E-2</v>
      </c>
      <c r="L760" s="11">
        <f t="shared" si="23"/>
        <v>1.166921296302462</v>
      </c>
    </row>
    <row r="761" spans="1:12" x14ac:dyDescent="0.25">
      <c r="A761" s="3" t="s">
        <v>2354</v>
      </c>
      <c r="B761" s="3" t="s">
        <v>352</v>
      </c>
      <c r="C761" s="10">
        <v>45679.281840277778</v>
      </c>
      <c r="D761" s="10">
        <v>45679.284513888888</v>
      </c>
      <c r="E761" s="10">
        <v>45679.309328703697</v>
      </c>
      <c r="F761" s="10">
        <v>45679.311064814807</v>
      </c>
      <c r="G761" s="3" t="s">
        <v>2009</v>
      </c>
      <c r="H761" s="10">
        <v>45679.314988425933</v>
      </c>
      <c r="I761" s="10">
        <v>45680.325706018521</v>
      </c>
      <c r="J761" s="10">
        <v>45680.326550925929</v>
      </c>
      <c r="K761" s="11">
        <f t="shared" si="22"/>
        <v>2.4814814809360541E-2</v>
      </c>
      <c r="L761" s="11">
        <f t="shared" si="23"/>
        <v>1.0146412037138361</v>
      </c>
    </row>
    <row r="762" spans="1:12" x14ac:dyDescent="0.25">
      <c r="A762" s="3" t="s">
        <v>2356</v>
      </c>
      <c r="B762" s="3" t="s">
        <v>352</v>
      </c>
      <c r="C762" s="10">
        <v>45679.281840277778</v>
      </c>
      <c r="D762" s="10">
        <v>45679.284513888888</v>
      </c>
      <c r="E762" s="10">
        <v>45679.311064814807</v>
      </c>
      <c r="F762" s="10">
        <v>45679.313032407408</v>
      </c>
      <c r="G762" s="3" t="s">
        <v>2337</v>
      </c>
      <c r="H762" s="10">
        <v>45679.41238425926</v>
      </c>
      <c r="I762" s="10">
        <v>45680.397314814807</v>
      </c>
      <c r="J762" s="10">
        <v>45680.398125</v>
      </c>
      <c r="K762" s="11">
        <f t="shared" si="22"/>
        <v>2.6550925918854773E-2</v>
      </c>
      <c r="L762" s="11">
        <f t="shared" si="23"/>
        <v>1.0842824073988595</v>
      </c>
    </row>
    <row r="763" spans="1:12" x14ac:dyDescent="0.25">
      <c r="A763" s="3" t="s">
        <v>2358</v>
      </c>
      <c r="B763" s="3" t="s">
        <v>352</v>
      </c>
      <c r="C763" s="10">
        <v>45679.281840277778</v>
      </c>
      <c r="D763" s="10">
        <v>45679.284513888888</v>
      </c>
      <c r="E763" s="10">
        <v>45679.313032407408</v>
      </c>
      <c r="F763" s="10">
        <v>45679.315057870372</v>
      </c>
      <c r="G763" s="3" t="s">
        <v>2359</v>
      </c>
      <c r="H763" s="10">
        <v>45680.274560185193</v>
      </c>
      <c r="I763" s="10">
        <v>45681.326018518521</v>
      </c>
      <c r="J763" s="10">
        <v>45681.326851851853</v>
      </c>
      <c r="K763" s="11">
        <f t="shared" si="22"/>
        <v>2.8518518520286307E-2</v>
      </c>
      <c r="L763" s="11">
        <f t="shared" si="23"/>
        <v>2.0109606481491937</v>
      </c>
    </row>
    <row r="764" spans="1:12" x14ac:dyDescent="0.25">
      <c r="A764" s="3" t="s">
        <v>2362</v>
      </c>
      <c r="B764" s="3" t="s">
        <v>352</v>
      </c>
      <c r="C764" s="10">
        <v>45679.281840277778</v>
      </c>
      <c r="D764" s="10">
        <v>45679.284513888888</v>
      </c>
      <c r="E764" s="10">
        <v>45679.315057870372</v>
      </c>
      <c r="F764" s="10">
        <v>45679.316990740743</v>
      </c>
      <c r="G764" s="3" t="s">
        <v>2252</v>
      </c>
      <c r="H764" s="10">
        <v>45679.418935185182</v>
      </c>
      <c r="I764" s="10">
        <v>45680.47625</v>
      </c>
      <c r="J764" s="10">
        <v>45680.47693287037</v>
      </c>
      <c r="K764" s="11">
        <f t="shared" si="22"/>
        <v>3.054398148378823E-2</v>
      </c>
      <c r="L764" s="11">
        <f t="shared" si="23"/>
        <v>1.1592592592569417</v>
      </c>
    </row>
    <row r="765" spans="1:12" x14ac:dyDescent="0.25">
      <c r="A765" s="3" t="s">
        <v>2364</v>
      </c>
      <c r="B765" s="3" t="s">
        <v>352</v>
      </c>
      <c r="C765" s="10">
        <v>45679.281840277778</v>
      </c>
      <c r="D765" s="10">
        <v>45679.284513888888</v>
      </c>
      <c r="E765" s="10">
        <v>45679.316990740743</v>
      </c>
      <c r="F765" s="10">
        <v>45679.319016203714</v>
      </c>
      <c r="G765" s="3" t="s">
        <v>2359</v>
      </c>
      <c r="H765" s="10">
        <v>45680.274560185193</v>
      </c>
      <c r="I765" s="10">
        <v>45681.326018518521</v>
      </c>
      <c r="J765" s="10">
        <v>45681.326851851853</v>
      </c>
      <c r="K765" s="11">
        <f t="shared" si="22"/>
        <v>3.2476851854880806E-2</v>
      </c>
      <c r="L765" s="11">
        <f t="shared" si="23"/>
        <v>2.0070023148073233</v>
      </c>
    </row>
    <row r="766" spans="1:12" x14ac:dyDescent="0.25">
      <c r="A766" s="3" t="s">
        <v>2366</v>
      </c>
      <c r="B766" s="3" t="s">
        <v>352</v>
      </c>
      <c r="C766" s="10">
        <v>45679.281840277778</v>
      </c>
      <c r="D766" s="10">
        <v>45679.284513888888</v>
      </c>
      <c r="E766" s="10">
        <v>45679.319016203714</v>
      </c>
      <c r="F766" s="10">
        <v>45679.320763888893</v>
      </c>
      <c r="G766" s="3" t="s">
        <v>2367</v>
      </c>
      <c r="H766" s="10">
        <v>45679.862800925926</v>
      </c>
      <c r="I766" s="10">
        <v>45680.900706018518</v>
      </c>
      <c r="J766" s="10">
        <v>45680.90148148148</v>
      </c>
      <c r="K766" s="11">
        <f t="shared" si="22"/>
        <v>3.4502314825658686E-2</v>
      </c>
      <c r="L766" s="11">
        <f t="shared" si="23"/>
        <v>1.5799421296251239</v>
      </c>
    </row>
    <row r="767" spans="1:12" x14ac:dyDescent="0.25">
      <c r="A767" s="3" t="s">
        <v>2371</v>
      </c>
      <c r="B767" s="3" t="s">
        <v>355</v>
      </c>
      <c r="C767" s="10">
        <v>45679.348773148151</v>
      </c>
      <c r="D767" s="10">
        <v>45679.351134259261</v>
      </c>
      <c r="E767" s="10">
        <v>45679.358217592591</v>
      </c>
      <c r="F767" s="10">
        <v>45679.359606481477</v>
      </c>
      <c r="G767" s="3" t="s">
        <v>2372</v>
      </c>
      <c r="H767" s="10">
        <v>45679.365127314813</v>
      </c>
      <c r="I767" s="10">
        <v>45680.367951388893</v>
      </c>
      <c r="J767" s="10">
        <v>45680.369189814817</v>
      </c>
      <c r="K767" s="11">
        <f t="shared" si="22"/>
        <v>7.0833333302289248E-3</v>
      </c>
      <c r="L767" s="11">
        <f t="shared" si="23"/>
        <v>1.0083449074154487</v>
      </c>
    </row>
    <row r="768" spans="1:12" x14ac:dyDescent="0.25">
      <c r="A768" s="3" t="s">
        <v>2374</v>
      </c>
      <c r="B768" s="3" t="s">
        <v>355</v>
      </c>
      <c r="C768" s="10">
        <v>45679.348773148151</v>
      </c>
      <c r="D768" s="10">
        <v>45679.351134259261</v>
      </c>
      <c r="E768" s="10">
        <v>45679.359606481477</v>
      </c>
      <c r="F768" s="10">
        <v>45679.361226851863</v>
      </c>
      <c r="G768" s="3" t="s">
        <v>2372</v>
      </c>
      <c r="H768" s="10">
        <v>45679.365127314813</v>
      </c>
      <c r="I768" s="10">
        <v>45680.367951388893</v>
      </c>
      <c r="J768" s="10">
        <v>45680.369189814817</v>
      </c>
      <c r="K768" s="11">
        <f t="shared" si="22"/>
        <v>8.4722222163691185E-3</v>
      </c>
      <c r="L768" s="11">
        <f t="shared" si="23"/>
        <v>1.0067245370300952</v>
      </c>
    </row>
    <row r="769" spans="1:12" x14ac:dyDescent="0.25">
      <c r="A769" s="3" t="s">
        <v>2376</v>
      </c>
      <c r="B769" s="3" t="s">
        <v>356</v>
      </c>
      <c r="C769" s="10">
        <v>45679.37909722222</v>
      </c>
      <c r="D769" s="10">
        <v>45679.381874999999</v>
      </c>
      <c r="E769" s="10">
        <v>45679.400254629632</v>
      </c>
      <c r="F769" s="10">
        <v>45679.40216435185</v>
      </c>
      <c r="G769" s="3" t="s">
        <v>2252</v>
      </c>
      <c r="H769" s="10">
        <v>45679.418935185182</v>
      </c>
      <c r="I769" s="10">
        <v>45680.47625</v>
      </c>
      <c r="J769" s="10">
        <v>45680.47693287037</v>
      </c>
      <c r="K769" s="11">
        <f t="shared" si="22"/>
        <v>1.8379629633272998E-2</v>
      </c>
      <c r="L769" s="11">
        <f t="shared" si="23"/>
        <v>1.0740856481497758</v>
      </c>
    </row>
    <row r="770" spans="1:12" x14ac:dyDescent="0.25">
      <c r="A770" s="3" t="s">
        <v>2378</v>
      </c>
      <c r="B770" s="3" t="s">
        <v>356</v>
      </c>
      <c r="C770" s="10">
        <v>45679.37909722222</v>
      </c>
      <c r="D770" s="10">
        <v>45679.381874999999</v>
      </c>
      <c r="E770" s="10">
        <v>45679.40216435185</v>
      </c>
      <c r="F770" s="10">
        <v>45679.404456018521</v>
      </c>
      <c r="G770" s="3" t="s">
        <v>2334</v>
      </c>
      <c r="H770" s="10">
        <v>45679.406851851847</v>
      </c>
      <c r="I770" s="10">
        <v>45680.361111111109</v>
      </c>
      <c r="J770" s="10">
        <v>45680.361921296288</v>
      </c>
      <c r="K770" s="11">
        <f t="shared" ref="K770:K833" si="24">IF(AND(ISNUMBER(D770),ISNUMBER(E770)),(E770-D770),"")</f>
        <v>2.028935185080627E-2</v>
      </c>
      <c r="L770" s="11">
        <f t="shared" ref="L770:L833" si="25">IF(AND(ISNUMBER(F770),ISNUMBER(I770)),(I770-F770),"")</f>
        <v>0.95665509258833481</v>
      </c>
    </row>
    <row r="771" spans="1:12" x14ac:dyDescent="0.25">
      <c r="A771" s="3" t="s">
        <v>2380</v>
      </c>
      <c r="B771" s="3" t="s">
        <v>356</v>
      </c>
      <c r="C771" s="10">
        <v>45679.37909722222</v>
      </c>
      <c r="D771" s="10">
        <v>45679.381874999999</v>
      </c>
      <c r="E771" s="10">
        <v>45679.404456018521</v>
      </c>
      <c r="F771" s="10">
        <v>45679.4065162037</v>
      </c>
      <c r="G771" s="3" t="s">
        <v>2337</v>
      </c>
      <c r="H771" s="10">
        <v>45679.41238425926</v>
      </c>
      <c r="I771" s="10">
        <v>45680.397314814807</v>
      </c>
      <c r="J771" s="10">
        <v>45680.398125</v>
      </c>
      <c r="K771" s="11">
        <f t="shared" si="24"/>
        <v>2.2581018522032537E-2</v>
      </c>
      <c r="L771" s="11">
        <f t="shared" si="25"/>
        <v>0.99079861110658385</v>
      </c>
    </row>
    <row r="772" spans="1:12" x14ac:dyDescent="0.25">
      <c r="A772" s="3" t="s">
        <v>2382</v>
      </c>
      <c r="B772" s="3" t="s">
        <v>356</v>
      </c>
      <c r="C772" s="10">
        <v>45679.37909722222</v>
      </c>
      <c r="D772" s="10">
        <v>45679.381874999999</v>
      </c>
      <c r="E772" s="10">
        <v>45679.4065162037</v>
      </c>
      <c r="F772" s="10">
        <v>45679.408460648148</v>
      </c>
      <c r="G772" s="3" t="s">
        <v>2337</v>
      </c>
      <c r="H772" s="10">
        <v>45679.41238425926</v>
      </c>
      <c r="I772" s="10">
        <v>45680.397314814807</v>
      </c>
      <c r="J772" s="10">
        <v>45680.398125</v>
      </c>
      <c r="K772" s="11">
        <f t="shared" si="24"/>
        <v>2.4641203701321501E-2</v>
      </c>
      <c r="L772" s="11">
        <f t="shared" si="25"/>
        <v>0.98885416665871162</v>
      </c>
    </row>
    <row r="773" spans="1:12" x14ac:dyDescent="0.25">
      <c r="A773" s="3" t="s">
        <v>2384</v>
      </c>
      <c r="B773" s="3" t="s">
        <v>356</v>
      </c>
      <c r="C773" s="10">
        <v>45679.37909722222</v>
      </c>
      <c r="D773" s="10">
        <v>45679.381874999999</v>
      </c>
      <c r="E773" s="10">
        <v>45679.408460648148</v>
      </c>
      <c r="F773" s="10">
        <v>45679.409872685188</v>
      </c>
      <c r="G773" s="3" t="s">
        <v>2345</v>
      </c>
      <c r="H773" s="10">
        <v>45679.413761574076</v>
      </c>
      <c r="I773" s="10">
        <v>45680.437685185178</v>
      </c>
      <c r="J773" s="10">
        <v>45680.438414351847</v>
      </c>
      <c r="K773" s="11">
        <f t="shared" si="24"/>
        <v>2.658564814919373E-2</v>
      </c>
      <c r="L773" s="11">
        <f t="shared" si="25"/>
        <v>1.0278124999895226</v>
      </c>
    </row>
    <row r="774" spans="1:12" x14ac:dyDescent="0.25">
      <c r="A774" s="3" t="s">
        <v>2386</v>
      </c>
      <c r="B774" s="3" t="s">
        <v>356</v>
      </c>
      <c r="C774" s="10">
        <v>45679.37909722222</v>
      </c>
      <c r="D774" s="10">
        <v>45679.381874999999</v>
      </c>
      <c r="E774" s="10">
        <v>45679.409872685188</v>
      </c>
      <c r="F774" s="10">
        <v>45679.411481481482</v>
      </c>
      <c r="G774" s="3" t="s">
        <v>2350</v>
      </c>
      <c r="H774" s="10">
        <v>45680.746504629627</v>
      </c>
      <c r="I774" s="10">
        <v>45681.757233796299</v>
      </c>
      <c r="J774" s="10">
        <v>45681.7580787037</v>
      </c>
      <c r="K774" s="11">
        <f t="shared" si="24"/>
        <v>2.7997685188893229E-2</v>
      </c>
      <c r="L774" s="11">
        <f t="shared" si="25"/>
        <v>2.3457523148172186</v>
      </c>
    </row>
    <row r="775" spans="1:12" x14ac:dyDescent="0.25">
      <c r="A775" s="3" t="s">
        <v>2388</v>
      </c>
      <c r="B775" s="3" t="s">
        <v>356</v>
      </c>
      <c r="C775" s="10">
        <v>45679.37909722222</v>
      </c>
      <c r="D775" s="10">
        <v>45679.381874999999</v>
      </c>
      <c r="E775" s="10">
        <v>45679.411481481482</v>
      </c>
      <c r="F775" s="10">
        <v>45679.412997685176</v>
      </c>
      <c r="G775" s="3" t="s">
        <v>2014</v>
      </c>
      <c r="H775" s="10">
        <v>45679.751226851848</v>
      </c>
      <c r="I775" s="10">
        <v>45680.67150462963</v>
      </c>
      <c r="J775" s="10">
        <v>45680.672326388893</v>
      </c>
      <c r="K775" s="11">
        <f t="shared" si="24"/>
        <v>2.9606481482915115E-2</v>
      </c>
      <c r="L775" s="11">
        <f t="shared" si="25"/>
        <v>1.258506944453984</v>
      </c>
    </row>
    <row r="776" spans="1:12" x14ac:dyDescent="0.25">
      <c r="A776" s="3" t="s">
        <v>2390</v>
      </c>
      <c r="B776" s="3" t="s">
        <v>356</v>
      </c>
      <c r="C776" s="10">
        <v>45679.37909722222</v>
      </c>
      <c r="D776" s="10">
        <v>45679.381874999999</v>
      </c>
      <c r="E776" s="10">
        <v>45679.412997685176</v>
      </c>
      <c r="F776" s="10">
        <v>45679.415046296293</v>
      </c>
      <c r="G776" s="3" t="s">
        <v>2252</v>
      </c>
      <c r="H776" s="10">
        <v>45679.418935185182</v>
      </c>
      <c r="I776" s="10">
        <v>45680.47625</v>
      </c>
      <c r="J776" s="10">
        <v>45680.47693287037</v>
      </c>
      <c r="K776" s="11">
        <f t="shared" si="24"/>
        <v>3.1122685177251697E-2</v>
      </c>
      <c r="L776" s="11">
        <f t="shared" si="25"/>
        <v>1.0612037037062692</v>
      </c>
    </row>
    <row r="777" spans="1:12" x14ac:dyDescent="0.25">
      <c r="A777" s="3" t="s">
        <v>2392</v>
      </c>
      <c r="B777" s="3" t="s">
        <v>356</v>
      </c>
      <c r="C777" s="10">
        <v>45679.37909722222</v>
      </c>
      <c r="D777" s="10">
        <v>45679.381874999999</v>
      </c>
      <c r="E777" s="10">
        <v>45679.415046296293</v>
      </c>
      <c r="F777" s="10">
        <v>45679.417083333326</v>
      </c>
      <c r="G777" s="3" t="s">
        <v>2393</v>
      </c>
      <c r="H777" s="10">
        <v>45679.760601851849</v>
      </c>
      <c r="I777" s="10">
        <v>45680.80133101852</v>
      </c>
      <c r="J777" s="10">
        <v>45680.802557870367</v>
      </c>
      <c r="K777" s="11">
        <f t="shared" si="24"/>
        <v>3.3171296294312924E-2</v>
      </c>
      <c r="L777" s="11">
        <f t="shared" si="25"/>
        <v>1.3842476851932588</v>
      </c>
    </row>
    <row r="778" spans="1:12" x14ac:dyDescent="0.25">
      <c r="A778" s="3" t="s">
        <v>2395</v>
      </c>
      <c r="B778" s="3" t="s">
        <v>356</v>
      </c>
      <c r="C778" s="10">
        <v>45679.37909722222</v>
      </c>
      <c r="D778" s="10">
        <v>45679.381874999999</v>
      </c>
      <c r="E778" s="10">
        <v>45679.417083333326</v>
      </c>
      <c r="F778" s="10">
        <v>45679.418900462973</v>
      </c>
      <c r="G778" s="3" t="s">
        <v>2396</v>
      </c>
      <c r="H778" s="10">
        <v>45679.868159722217</v>
      </c>
      <c r="I778" s="10">
        <v>45681.152511574073</v>
      </c>
      <c r="J778" s="10">
        <v>45681.153275462973</v>
      </c>
      <c r="K778" s="11">
        <f t="shared" si="24"/>
        <v>3.5208333327318542E-2</v>
      </c>
      <c r="L778" s="11">
        <f t="shared" si="25"/>
        <v>1.73361111109989</v>
      </c>
    </row>
    <row r="779" spans="1:12" x14ac:dyDescent="0.25">
      <c r="A779" s="3" t="s">
        <v>2398</v>
      </c>
      <c r="B779" s="3" t="s">
        <v>357</v>
      </c>
      <c r="C779" s="10">
        <v>45679.432384259257</v>
      </c>
      <c r="D779" s="10">
        <v>45679.435011574067</v>
      </c>
      <c r="E779" s="10">
        <v>45679.441967592589</v>
      </c>
      <c r="F779" s="10">
        <v>45679.444131944438</v>
      </c>
      <c r="G779" s="3" t="s">
        <v>2399</v>
      </c>
      <c r="H779" s="10">
        <v>45679.446504629632</v>
      </c>
      <c r="I779" s="10">
        <v>45680.692442129628</v>
      </c>
      <c r="J779" s="10">
        <v>45680.69394675926</v>
      </c>
      <c r="K779" s="11">
        <f t="shared" si="24"/>
        <v>6.9560185220325366E-3</v>
      </c>
      <c r="L779" s="11">
        <f t="shared" si="25"/>
        <v>1.2483101851903484</v>
      </c>
    </row>
    <row r="780" spans="1:12" x14ac:dyDescent="0.25">
      <c r="A780" s="3" t="s">
        <v>2401</v>
      </c>
      <c r="B780" s="3" t="s">
        <v>358</v>
      </c>
      <c r="C780" s="10">
        <v>45679.541504629633</v>
      </c>
      <c r="D780" s="10">
        <v>45679.542800925927</v>
      </c>
      <c r="E780" s="10">
        <v>45679.546666666669</v>
      </c>
      <c r="F780" s="10">
        <v>45679.548217592594</v>
      </c>
      <c r="G780" s="3" t="s">
        <v>2402</v>
      </c>
      <c r="H780" s="10">
        <v>45679.745300925933</v>
      </c>
      <c r="I780" s="10">
        <v>45680.707488425927</v>
      </c>
      <c r="J780" s="10">
        <v>45680.708854166667</v>
      </c>
      <c r="K780" s="11">
        <f t="shared" si="24"/>
        <v>3.8657407421851531E-3</v>
      </c>
      <c r="L780" s="11">
        <f t="shared" si="25"/>
        <v>1.1592708333337214</v>
      </c>
    </row>
    <row r="781" spans="1:12" x14ac:dyDescent="0.25">
      <c r="A781" s="3" t="s">
        <v>2404</v>
      </c>
      <c r="B781" s="3" t="s">
        <v>359</v>
      </c>
      <c r="C781" s="10">
        <v>45679.633287037039</v>
      </c>
      <c r="D781" s="10">
        <v>45679.634652777779</v>
      </c>
      <c r="E781" s="10">
        <v>45679.638773148137</v>
      </c>
      <c r="F781" s="10">
        <v>45679.640393518523</v>
      </c>
      <c r="G781" s="3" t="s">
        <v>2402</v>
      </c>
      <c r="H781" s="10">
        <v>45679.745300925933</v>
      </c>
      <c r="I781" s="10">
        <v>45680.707488425927</v>
      </c>
      <c r="J781" s="10">
        <v>45680.708854166667</v>
      </c>
      <c r="K781" s="11">
        <f t="shared" si="24"/>
        <v>4.1203703585779294E-3</v>
      </c>
      <c r="L781" s="11">
        <f t="shared" si="25"/>
        <v>1.0670949074046803</v>
      </c>
    </row>
    <row r="782" spans="1:12" x14ac:dyDescent="0.25">
      <c r="A782" s="3" t="s">
        <v>2428</v>
      </c>
      <c r="B782" s="3" t="s">
        <v>361</v>
      </c>
      <c r="C782" s="10">
        <v>45679.731099537043</v>
      </c>
      <c r="D782" s="10">
        <v>45679.733437499999</v>
      </c>
      <c r="E782" s="10">
        <v>45679.739502314813</v>
      </c>
      <c r="F782" s="10">
        <v>45679.741377314807</v>
      </c>
      <c r="G782" s="3" t="s">
        <v>2402</v>
      </c>
      <c r="H782" s="10">
        <v>45679.745300925933</v>
      </c>
      <c r="I782" s="10">
        <v>45680.707488425927</v>
      </c>
      <c r="J782" s="10">
        <v>45680.708854166667</v>
      </c>
      <c r="K782" s="11">
        <f t="shared" si="24"/>
        <v>6.064814813726116E-3</v>
      </c>
      <c r="L782" s="11">
        <f t="shared" si="25"/>
        <v>0.96611111111997161</v>
      </c>
    </row>
    <row r="783" spans="1:12" x14ac:dyDescent="0.25">
      <c r="A783" s="3" t="s">
        <v>2406</v>
      </c>
      <c r="B783" s="3" t="s">
        <v>360</v>
      </c>
      <c r="C783" s="10">
        <v>45679.722812499997</v>
      </c>
      <c r="D783" s="10">
        <v>45679.725335648152</v>
      </c>
      <c r="E783" s="10">
        <v>45679.744444444441</v>
      </c>
      <c r="F783" s="10">
        <v>45679.746180555558</v>
      </c>
      <c r="G783" s="3" t="s">
        <v>2396</v>
      </c>
      <c r="H783" s="10">
        <v>45679.868159722217</v>
      </c>
      <c r="I783" s="10">
        <v>45681.152511574073</v>
      </c>
      <c r="J783" s="10">
        <v>45681.153275462973</v>
      </c>
      <c r="K783" s="11">
        <f t="shared" si="24"/>
        <v>1.9108796288492158E-2</v>
      </c>
      <c r="L783" s="11">
        <f t="shared" si="25"/>
        <v>1.4063310185156297</v>
      </c>
    </row>
    <row r="784" spans="1:12" x14ac:dyDescent="0.25">
      <c r="A784" s="3" t="s">
        <v>2408</v>
      </c>
      <c r="B784" s="3" t="s">
        <v>360</v>
      </c>
      <c r="C784" s="10">
        <v>45679.722812499997</v>
      </c>
      <c r="D784" s="10">
        <v>45679.725335648152</v>
      </c>
      <c r="E784" s="10">
        <v>45679.746180555558</v>
      </c>
      <c r="F784" s="10">
        <v>45679.747662037043</v>
      </c>
      <c r="G784" s="3" t="s">
        <v>2014</v>
      </c>
      <c r="H784" s="10">
        <v>45679.751226851848</v>
      </c>
      <c r="I784" s="10">
        <v>45680.67150462963</v>
      </c>
      <c r="J784" s="10">
        <v>45680.672326388893</v>
      </c>
      <c r="K784" s="11">
        <f t="shared" si="24"/>
        <v>2.0844907405262347E-2</v>
      </c>
      <c r="L784" s="11">
        <f t="shared" si="25"/>
        <v>0.92384259258687962</v>
      </c>
    </row>
    <row r="785" spans="1:12" x14ac:dyDescent="0.25">
      <c r="A785" s="3" t="s">
        <v>2410</v>
      </c>
      <c r="B785" s="3" t="s">
        <v>360</v>
      </c>
      <c r="C785" s="10">
        <v>45679.722812499997</v>
      </c>
      <c r="D785" s="10">
        <v>45679.725335648152</v>
      </c>
      <c r="E785" s="10">
        <v>45679.747662037043</v>
      </c>
      <c r="F785" s="10">
        <v>45679.748877314807</v>
      </c>
      <c r="G785" s="3" t="s">
        <v>2411</v>
      </c>
      <c r="H785" s="10">
        <v>45680.127245370371</v>
      </c>
      <c r="I785" s="10">
        <v>45681.220405092587</v>
      </c>
      <c r="J785" s="10">
        <v>45681.22115740741</v>
      </c>
      <c r="K785" s="11">
        <f t="shared" si="24"/>
        <v>2.2326388891087845E-2</v>
      </c>
      <c r="L785" s="11">
        <f t="shared" si="25"/>
        <v>1.4715277777795563</v>
      </c>
    </row>
    <row r="786" spans="1:12" x14ac:dyDescent="0.25">
      <c r="A786" s="3" t="s">
        <v>2413</v>
      </c>
      <c r="B786" s="3" t="s">
        <v>360</v>
      </c>
      <c r="C786" s="10">
        <v>45679.722812499997</v>
      </c>
      <c r="D786" s="10">
        <v>45679.725335648152</v>
      </c>
      <c r="E786" s="10">
        <v>45679.748877314807</v>
      </c>
      <c r="F786" s="10">
        <v>45679.750324074077</v>
      </c>
      <c r="G786" s="3" t="s">
        <v>2174</v>
      </c>
      <c r="H786" s="10">
        <v>45679.754247685189</v>
      </c>
      <c r="I786" s="10">
        <v>45680.700879629629</v>
      </c>
      <c r="J786" s="10">
        <v>45680.701678240737</v>
      </c>
      <c r="K786" s="11">
        <f t="shared" si="24"/>
        <v>2.3541666654637083E-2</v>
      </c>
      <c r="L786" s="11">
        <f t="shared" si="25"/>
        <v>0.95055555555154569</v>
      </c>
    </row>
    <row r="787" spans="1:12" x14ac:dyDescent="0.25">
      <c r="A787" s="3" t="s">
        <v>2415</v>
      </c>
      <c r="B787" s="3" t="s">
        <v>360</v>
      </c>
      <c r="C787" s="10">
        <v>45679.722812499997</v>
      </c>
      <c r="D787" s="10">
        <v>45679.725335648152</v>
      </c>
      <c r="E787" s="10">
        <v>45679.750324074077</v>
      </c>
      <c r="F787" s="10">
        <v>45679.752314814818</v>
      </c>
      <c r="G787" s="3" t="s">
        <v>2359</v>
      </c>
      <c r="H787" s="10">
        <v>45680.274560185193</v>
      </c>
      <c r="I787" s="10">
        <v>45681.326018518521</v>
      </c>
      <c r="J787" s="10">
        <v>45681.326851851853</v>
      </c>
      <c r="K787" s="11">
        <f t="shared" si="24"/>
        <v>2.4988425924675539E-2</v>
      </c>
      <c r="L787" s="11">
        <f t="shared" si="25"/>
        <v>1.5737037037033588</v>
      </c>
    </row>
    <row r="788" spans="1:12" x14ac:dyDescent="0.25">
      <c r="A788" s="3" t="s">
        <v>2417</v>
      </c>
      <c r="B788" s="3" t="s">
        <v>360</v>
      </c>
      <c r="C788" s="10">
        <v>45679.722812499997</v>
      </c>
      <c r="D788" s="10">
        <v>45679.725335648152</v>
      </c>
      <c r="E788" s="10">
        <v>45679.752314814818</v>
      </c>
      <c r="F788" s="10">
        <v>45679.754050925927</v>
      </c>
      <c r="G788" s="3" t="s">
        <v>2367</v>
      </c>
      <c r="H788" s="10">
        <v>45679.862800925926</v>
      </c>
      <c r="I788" s="10">
        <v>45680.900706018518</v>
      </c>
      <c r="J788" s="10">
        <v>45680.90148148148</v>
      </c>
      <c r="K788" s="11">
        <f t="shared" si="24"/>
        <v>2.6979166665114462E-2</v>
      </c>
      <c r="L788" s="11">
        <f t="shared" si="25"/>
        <v>1.1466550925906631</v>
      </c>
    </row>
    <row r="789" spans="1:12" x14ac:dyDescent="0.25">
      <c r="A789" s="3" t="s">
        <v>2419</v>
      </c>
      <c r="B789" s="3" t="s">
        <v>360</v>
      </c>
      <c r="C789" s="10">
        <v>45679.722812499997</v>
      </c>
      <c r="D789" s="10">
        <v>45679.725335648152</v>
      </c>
      <c r="E789" s="10">
        <v>45679.754050925927</v>
      </c>
      <c r="F789" s="10">
        <v>45679.755636574067</v>
      </c>
      <c r="G789" s="3" t="s">
        <v>2350</v>
      </c>
      <c r="H789" s="10">
        <v>45680.746504629627</v>
      </c>
      <c r="I789" s="10">
        <v>45681.757233796299</v>
      </c>
      <c r="J789" s="10">
        <v>45681.7580787037</v>
      </c>
      <c r="K789" s="11">
        <f t="shared" si="24"/>
        <v>2.8715277774608694E-2</v>
      </c>
      <c r="L789" s="11">
        <f t="shared" si="25"/>
        <v>2.0015972222317941</v>
      </c>
    </row>
    <row r="790" spans="1:12" x14ac:dyDescent="0.25">
      <c r="A790" s="3" t="s">
        <v>2421</v>
      </c>
      <c r="B790" s="3" t="s">
        <v>360</v>
      </c>
      <c r="C790" s="10">
        <v>45679.722812499997</v>
      </c>
      <c r="D790" s="10">
        <v>45679.725335648152</v>
      </c>
      <c r="E790" s="10">
        <v>45679.755636574067</v>
      </c>
      <c r="F790" s="10">
        <v>45679.758206018523</v>
      </c>
      <c r="G790" s="3" t="s">
        <v>2393</v>
      </c>
      <c r="H790" s="10">
        <v>45679.760601851849</v>
      </c>
      <c r="I790" s="10">
        <v>45680.80133101852</v>
      </c>
      <c r="J790" s="10">
        <v>45680.802557870367</v>
      </c>
      <c r="K790" s="11">
        <f t="shared" si="24"/>
        <v>3.0300925915071275E-2</v>
      </c>
      <c r="L790" s="11">
        <f t="shared" si="25"/>
        <v>1.0431249999965075</v>
      </c>
    </row>
    <row r="791" spans="1:12" x14ac:dyDescent="0.25">
      <c r="A791" s="3" t="s">
        <v>2423</v>
      </c>
      <c r="B791" s="3" t="s">
        <v>360</v>
      </c>
      <c r="C791" s="10">
        <v>45679.722812499997</v>
      </c>
      <c r="D791" s="10">
        <v>45679.725335648152</v>
      </c>
      <c r="E791" s="10">
        <v>45679.758206018523</v>
      </c>
      <c r="F791" s="10">
        <v>45679.759942129633</v>
      </c>
      <c r="G791" s="3" t="s">
        <v>2367</v>
      </c>
      <c r="H791" s="10">
        <v>45679.862800925926</v>
      </c>
      <c r="I791" s="10">
        <v>45680.900706018518</v>
      </c>
      <c r="J791" s="10">
        <v>45680.90148148148</v>
      </c>
      <c r="K791" s="11">
        <f t="shared" si="24"/>
        <v>3.2870370370801538E-2</v>
      </c>
      <c r="L791" s="11">
        <f t="shared" si="25"/>
        <v>1.140763888884976</v>
      </c>
    </row>
    <row r="792" spans="1:12" x14ac:dyDescent="0.25">
      <c r="A792" s="3" t="s">
        <v>2425</v>
      </c>
      <c r="B792" s="3" t="s">
        <v>360</v>
      </c>
      <c r="C792" s="10">
        <v>45679.722812499997</v>
      </c>
      <c r="D792" s="10">
        <v>45679.725335648152</v>
      </c>
      <c r="E792" s="10">
        <v>45679.759942129633</v>
      </c>
      <c r="F792" s="10">
        <v>45679.76121527778</v>
      </c>
      <c r="G792" s="3" t="s">
        <v>2426</v>
      </c>
      <c r="H792" s="10">
        <v>45680.413055555553</v>
      </c>
      <c r="I792" s="10">
        <v>45681.427210648151</v>
      </c>
      <c r="J792" s="10">
        <v>45681.428113425929</v>
      </c>
      <c r="K792" s="11">
        <f t="shared" si="24"/>
        <v>3.460648148029577E-2</v>
      </c>
      <c r="L792" s="11">
        <f t="shared" si="25"/>
        <v>1.6659953703710926</v>
      </c>
    </row>
    <row r="793" spans="1:12" x14ac:dyDescent="0.25">
      <c r="A793" s="3" t="s">
        <v>2431</v>
      </c>
      <c r="B793" s="3" t="s">
        <v>363</v>
      </c>
      <c r="C793" s="10">
        <v>45679.835023148153</v>
      </c>
      <c r="D793" s="10">
        <v>45679.83730324074</v>
      </c>
      <c r="E793" s="10">
        <v>45679.849988425929</v>
      </c>
      <c r="F793" s="10">
        <v>45679.852118055547</v>
      </c>
      <c r="G793" s="3" t="s">
        <v>2432</v>
      </c>
      <c r="H793" s="10">
        <v>45679.859618055547</v>
      </c>
      <c r="I793" s="10">
        <v>45680.771435185183</v>
      </c>
      <c r="J793" s="10">
        <v>45680.772233796299</v>
      </c>
      <c r="K793" s="11">
        <f t="shared" si="24"/>
        <v>1.2685185189184267E-2</v>
      </c>
      <c r="L793" s="11">
        <f t="shared" si="25"/>
        <v>0.9193171296356013</v>
      </c>
    </row>
    <row r="794" spans="1:12" x14ac:dyDescent="0.25">
      <c r="A794" s="3" t="s">
        <v>2434</v>
      </c>
      <c r="B794" s="3" t="s">
        <v>363</v>
      </c>
      <c r="C794" s="10">
        <v>45679.835023148153</v>
      </c>
      <c r="D794" s="10">
        <v>45679.83730324074</v>
      </c>
      <c r="E794" s="10">
        <v>45679.852118055547</v>
      </c>
      <c r="F794" s="10">
        <v>45679.853738425933</v>
      </c>
      <c r="G794" s="3" t="s">
        <v>2350</v>
      </c>
      <c r="H794" s="10">
        <v>45680.746504629627</v>
      </c>
      <c r="I794" s="10">
        <v>45681.757233796299</v>
      </c>
      <c r="J794" s="10">
        <v>45681.7580787037</v>
      </c>
      <c r="K794" s="11">
        <f t="shared" si="24"/>
        <v>1.4814814807323273E-2</v>
      </c>
      <c r="L794" s="11">
        <f t="shared" si="25"/>
        <v>1.903495370366727</v>
      </c>
    </row>
    <row r="795" spans="1:12" x14ac:dyDescent="0.25">
      <c r="A795" s="3" t="s">
        <v>2436</v>
      </c>
      <c r="B795" s="3" t="s">
        <v>363</v>
      </c>
      <c r="C795" s="10">
        <v>45679.835023148153</v>
      </c>
      <c r="D795" s="10">
        <v>45679.83730324074</v>
      </c>
      <c r="E795" s="10">
        <v>45679.853738425933</v>
      </c>
      <c r="F795" s="10">
        <v>45679.855694444443</v>
      </c>
      <c r="G795" s="3" t="s">
        <v>2432</v>
      </c>
      <c r="H795" s="10">
        <v>45679.859618055547</v>
      </c>
      <c r="I795" s="10">
        <v>45680.771435185183</v>
      </c>
      <c r="J795" s="10">
        <v>45680.772233796299</v>
      </c>
      <c r="K795" s="11">
        <f t="shared" si="24"/>
        <v>1.6435185192676727E-2</v>
      </c>
      <c r="L795" s="11">
        <f t="shared" si="25"/>
        <v>0.91574074074014788</v>
      </c>
    </row>
    <row r="796" spans="1:12" x14ac:dyDescent="0.25">
      <c r="A796" s="3" t="s">
        <v>2438</v>
      </c>
      <c r="B796" s="3" t="s">
        <v>363</v>
      </c>
      <c r="C796" s="10">
        <v>45679.835023148153</v>
      </c>
      <c r="D796" s="10">
        <v>45679.83730324074</v>
      </c>
      <c r="E796" s="10">
        <v>45679.855694444443</v>
      </c>
      <c r="F796" s="10">
        <v>45679.85701388889</v>
      </c>
      <c r="G796" s="3" t="s">
        <v>2426</v>
      </c>
      <c r="H796" s="10">
        <v>45680.413055555553</v>
      </c>
      <c r="I796" s="10">
        <v>45681.427210648151</v>
      </c>
      <c r="J796" s="10">
        <v>45681.428113425929</v>
      </c>
      <c r="K796" s="11">
        <f t="shared" si="24"/>
        <v>1.8391203702776693E-2</v>
      </c>
      <c r="L796" s="11">
        <f t="shared" si="25"/>
        <v>1.5701967592613073</v>
      </c>
    </row>
    <row r="797" spans="1:12" x14ac:dyDescent="0.25">
      <c r="A797" s="3" t="s">
        <v>2440</v>
      </c>
      <c r="B797" s="3" t="s">
        <v>363</v>
      </c>
      <c r="C797" s="10">
        <v>45679.835023148153</v>
      </c>
      <c r="D797" s="10">
        <v>45679.83730324074</v>
      </c>
      <c r="E797" s="10">
        <v>45679.85701388889</v>
      </c>
      <c r="F797" s="10">
        <v>45679.858877314808</v>
      </c>
      <c r="G797" s="3" t="s">
        <v>2367</v>
      </c>
      <c r="H797" s="10">
        <v>45679.862800925926</v>
      </c>
      <c r="I797" s="10">
        <v>45680.900706018518</v>
      </c>
      <c r="J797" s="10">
        <v>45680.90148148148</v>
      </c>
      <c r="K797" s="11">
        <f t="shared" si="24"/>
        <v>1.9710648150066845E-2</v>
      </c>
      <c r="L797" s="11">
        <f t="shared" si="25"/>
        <v>1.0418287037100527</v>
      </c>
    </row>
    <row r="798" spans="1:12" x14ac:dyDescent="0.25">
      <c r="A798" s="3" t="s">
        <v>2442</v>
      </c>
      <c r="B798" s="3" t="s">
        <v>363</v>
      </c>
      <c r="C798" s="10">
        <v>45679.835023148153</v>
      </c>
      <c r="D798" s="10">
        <v>45679.83730324074</v>
      </c>
      <c r="E798" s="10">
        <v>45679.858877314808</v>
      </c>
      <c r="F798" s="10">
        <v>45679.860868055563</v>
      </c>
      <c r="G798" s="3" t="s">
        <v>2443</v>
      </c>
      <c r="H798" s="10">
        <v>45680.420763888891</v>
      </c>
      <c r="I798" s="10">
        <v>45681.583912037036</v>
      </c>
      <c r="J798" s="10">
        <v>45681.584872685176</v>
      </c>
      <c r="K798" s="11">
        <f t="shared" si="24"/>
        <v>2.1574074067757465E-2</v>
      </c>
      <c r="L798" s="11">
        <f t="shared" si="25"/>
        <v>1.7230439814738929</v>
      </c>
    </row>
    <row r="799" spans="1:12" x14ac:dyDescent="0.25">
      <c r="A799" s="3" t="s">
        <v>2445</v>
      </c>
      <c r="B799" s="3" t="s">
        <v>363</v>
      </c>
      <c r="C799" s="10">
        <v>45679.835023148153</v>
      </c>
      <c r="D799" s="10">
        <v>45679.83730324074</v>
      </c>
      <c r="E799" s="10">
        <v>45679.860868055563</v>
      </c>
      <c r="F799" s="10">
        <v>45679.862476851849</v>
      </c>
      <c r="G799" s="3" t="s">
        <v>2350</v>
      </c>
      <c r="H799" s="10">
        <v>45680.746504629627</v>
      </c>
      <c r="I799" s="10">
        <v>45681.757233796299</v>
      </c>
      <c r="J799" s="10">
        <v>45681.7580787037</v>
      </c>
      <c r="K799" s="11">
        <f t="shared" si="24"/>
        <v>2.3564814822748303E-2</v>
      </c>
      <c r="L799" s="11">
        <f t="shared" si="25"/>
        <v>1.8947569444499095</v>
      </c>
    </row>
    <row r="800" spans="1:12" x14ac:dyDescent="0.25">
      <c r="A800" s="3" t="s">
        <v>2447</v>
      </c>
      <c r="B800" s="3" t="s">
        <v>363</v>
      </c>
      <c r="C800" s="10">
        <v>45679.835023148153</v>
      </c>
      <c r="D800" s="10">
        <v>45679.83730324074</v>
      </c>
      <c r="E800" s="10">
        <v>45679.862476851849</v>
      </c>
      <c r="F800" s="10">
        <v>45679.864236111112</v>
      </c>
      <c r="G800" s="3" t="s">
        <v>2396</v>
      </c>
      <c r="H800" s="10">
        <v>45679.868159722217</v>
      </c>
      <c r="I800" s="10">
        <v>45681.152511574073</v>
      </c>
      <c r="J800" s="10">
        <v>45681.153275462973</v>
      </c>
      <c r="K800" s="11">
        <f t="shared" si="24"/>
        <v>2.5173611109494232E-2</v>
      </c>
      <c r="L800" s="11">
        <f t="shared" si="25"/>
        <v>1.2882754629608826</v>
      </c>
    </row>
    <row r="801" spans="1:12" x14ac:dyDescent="0.25">
      <c r="A801" s="3" t="s">
        <v>2449</v>
      </c>
      <c r="B801" s="3" t="s">
        <v>364</v>
      </c>
      <c r="C801" s="10">
        <v>45680.112175925933</v>
      </c>
      <c r="D801" s="10">
        <v>45680.114490740743</v>
      </c>
      <c r="E801" s="10">
        <v>45680.123437499999</v>
      </c>
      <c r="F801" s="10">
        <v>45680.124849537038</v>
      </c>
      <c r="G801" s="3" t="s">
        <v>2411</v>
      </c>
      <c r="H801" s="10">
        <v>45680.127245370371</v>
      </c>
      <c r="I801" s="10">
        <v>45681.220405092587</v>
      </c>
      <c r="J801" s="10">
        <v>45681.22115740741</v>
      </c>
      <c r="K801" s="11">
        <f t="shared" si="24"/>
        <v>8.9467592551955022E-3</v>
      </c>
      <c r="L801" s="11">
        <f t="shared" si="25"/>
        <v>1.0955555555483443</v>
      </c>
    </row>
    <row r="802" spans="1:12" x14ac:dyDescent="0.25">
      <c r="A802" s="3" t="s">
        <v>2451</v>
      </c>
      <c r="B802" s="3" t="s">
        <v>364</v>
      </c>
      <c r="C802" s="10">
        <v>45680.112175925933</v>
      </c>
      <c r="D802" s="10">
        <v>45680.114490740743</v>
      </c>
      <c r="E802" s="10">
        <v>45680.124849537038</v>
      </c>
      <c r="F802" s="10">
        <v>45680.127013888887</v>
      </c>
      <c r="G802" s="3" t="s">
        <v>2452</v>
      </c>
      <c r="H802" s="10">
        <v>45680.129201388889</v>
      </c>
      <c r="I802" s="10">
        <v>45681.288055555553</v>
      </c>
      <c r="J802" s="10">
        <v>45681.288842592592</v>
      </c>
      <c r="K802" s="11">
        <f t="shared" si="24"/>
        <v>1.0358796294895001E-2</v>
      </c>
      <c r="L802" s="11">
        <f t="shared" si="25"/>
        <v>1.1610416666662786</v>
      </c>
    </row>
    <row r="803" spans="1:12" x14ac:dyDescent="0.25">
      <c r="A803" s="3" t="s">
        <v>2454</v>
      </c>
      <c r="B803" s="3" t="s">
        <v>364</v>
      </c>
      <c r="C803" s="10">
        <v>45680.112175925933</v>
      </c>
      <c r="D803" s="10">
        <v>45680.114490740743</v>
      </c>
      <c r="E803" s="10">
        <v>45680.127013888887</v>
      </c>
      <c r="F803" s="10">
        <v>45680.128935185188</v>
      </c>
      <c r="G803" s="3" t="s">
        <v>2455</v>
      </c>
      <c r="H803" s="10">
        <v>45680.375810185193</v>
      </c>
      <c r="I803" s="10">
        <v>45681.363518518519</v>
      </c>
      <c r="J803" s="10">
        <v>45681.364328703698</v>
      </c>
      <c r="K803" s="11">
        <f t="shared" si="24"/>
        <v>1.2523148143372964E-2</v>
      </c>
      <c r="L803" s="11">
        <f t="shared" si="25"/>
        <v>1.234583333331102</v>
      </c>
    </row>
    <row r="804" spans="1:12" x14ac:dyDescent="0.25">
      <c r="A804" s="3" t="s">
        <v>2457</v>
      </c>
      <c r="B804" s="3" t="s">
        <v>364</v>
      </c>
      <c r="C804" s="10">
        <v>45680.112175925933</v>
      </c>
      <c r="D804" s="10">
        <v>45680.114490740743</v>
      </c>
      <c r="E804" s="10">
        <v>45680.128935185188</v>
      </c>
      <c r="F804" s="10">
        <v>45680.130208333343</v>
      </c>
      <c r="G804" s="3" t="s">
        <v>2458</v>
      </c>
      <c r="H804" s="10">
        <v>45680.303344907406</v>
      </c>
      <c r="I804" s="10">
        <v>45681.334999999999</v>
      </c>
      <c r="J804" s="10">
        <v>45681.335729166669</v>
      </c>
      <c r="K804" s="11">
        <f t="shared" si="24"/>
        <v>1.4444444444961846E-2</v>
      </c>
      <c r="L804" s="11">
        <f t="shared" si="25"/>
        <v>1.2047916666560923</v>
      </c>
    </row>
    <row r="805" spans="1:12" x14ac:dyDescent="0.25">
      <c r="A805" s="3" t="s">
        <v>2460</v>
      </c>
      <c r="B805" s="3" t="s">
        <v>365</v>
      </c>
      <c r="C805" s="10">
        <v>45680.263206018521</v>
      </c>
      <c r="D805" s="10">
        <v>45680.265127314808</v>
      </c>
      <c r="E805" s="10">
        <v>45680.269861111112</v>
      </c>
      <c r="F805" s="10">
        <v>45680.272175925929</v>
      </c>
      <c r="G805" s="3" t="s">
        <v>2359</v>
      </c>
      <c r="H805" s="10">
        <v>45680.274560185193</v>
      </c>
      <c r="I805" s="10">
        <v>45681.326018518521</v>
      </c>
      <c r="J805" s="10">
        <v>45681.326851851853</v>
      </c>
      <c r="K805" s="11">
        <f t="shared" si="24"/>
        <v>4.7337963042082265E-3</v>
      </c>
      <c r="L805" s="11">
        <f t="shared" si="25"/>
        <v>1.0538425925915362</v>
      </c>
    </row>
    <row r="806" spans="1:12" x14ac:dyDescent="0.25">
      <c r="A806" s="3" t="s">
        <v>2463</v>
      </c>
      <c r="B806" s="3" t="s">
        <v>366</v>
      </c>
      <c r="C806" s="10">
        <v>45680.281458333331</v>
      </c>
      <c r="D806" s="10">
        <v>45680.283645833333</v>
      </c>
      <c r="E806" s="10">
        <v>45680.296226851853</v>
      </c>
      <c r="F806" s="10">
        <v>45680.298171296286</v>
      </c>
      <c r="G806" s="3" t="s">
        <v>2464</v>
      </c>
      <c r="H806" s="10">
        <v>45680.453865740739</v>
      </c>
      <c r="I806" s="10">
        <v>45681.686168981483</v>
      </c>
      <c r="J806" s="10">
        <v>45681.687650462962</v>
      </c>
      <c r="K806" s="11">
        <f t="shared" si="24"/>
        <v>1.2581018519995268E-2</v>
      </c>
      <c r="L806" s="11">
        <f t="shared" si="25"/>
        <v>1.3879976851967513</v>
      </c>
    </row>
    <row r="807" spans="1:12" x14ac:dyDescent="0.25">
      <c r="A807" s="3" t="s">
        <v>2466</v>
      </c>
      <c r="B807" s="3" t="s">
        <v>366</v>
      </c>
      <c r="C807" s="10">
        <v>45680.281458333331</v>
      </c>
      <c r="D807" s="10">
        <v>45680.283645833333</v>
      </c>
      <c r="E807" s="10">
        <v>45680.298171296286</v>
      </c>
      <c r="F807" s="10">
        <v>45680.299421296288</v>
      </c>
      <c r="G807" s="3" t="s">
        <v>2458</v>
      </c>
      <c r="H807" s="10">
        <v>45680.303344907406</v>
      </c>
      <c r="I807" s="10">
        <v>45681.334999999999</v>
      </c>
      <c r="J807" s="10">
        <v>45681.335729166669</v>
      </c>
      <c r="K807" s="11">
        <f t="shared" si="24"/>
        <v>1.4525462953315582E-2</v>
      </c>
      <c r="L807" s="11">
        <f t="shared" si="25"/>
        <v>1.0355787037115078</v>
      </c>
    </row>
    <row r="808" spans="1:12" x14ac:dyDescent="0.25">
      <c r="A808" s="3" t="s">
        <v>2468</v>
      </c>
      <c r="B808" s="3" t="s">
        <v>366</v>
      </c>
      <c r="C808" s="10">
        <v>45680.281458333331</v>
      </c>
      <c r="D808" s="10">
        <v>45680.283645833333</v>
      </c>
      <c r="E808" s="10">
        <v>45680.299421296288</v>
      </c>
      <c r="F808" s="10">
        <v>45680.301446759258</v>
      </c>
      <c r="G808" s="3" t="s">
        <v>2469</v>
      </c>
      <c r="H808" s="10">
        <v>45680.414918981478</v>
      </c>
      <c r="I808" s="10">
        <v>45681.4534375</v>
      </c>
      <c r="J808" s="10">
        <v>45681.454201388893</v>
      </c>
      <c r="K808" s="11">
        <f t="shared" si="24"/>
        <v>1.5775462954479735E-2</v>
      </c>
      <c r="L808" s="11">
        <f t="shared" si="25"/>
        <v>1.1519907407418941</v>
      </c>
    </row>
    <row r="809" spans="1:12" x14ac:dyDescent="0.25">
      <c r="A809" s="3" t="s">
        <v>2471</v>
      </c>
      <c r="B809" s="3" t="s">
        <v>366</v>
      </c>
      <c r="C809" s="10">
        <v>45680.281458333331</v>
      </c>
      <c r="D809" s="10">
        <v>45680.283645833333</v>
      </c>
      <c r="E809" s="10">
        <v>45680.301446759258</v>
      </c>
      <c r="F809" s="10">
        <v>45680.302789351852</v>
      </c>
      <c r="G809" s="3" t="s">
        <v>2426</v>
      </c>
      <c r="H809" s="10">
        <v>45680.413055555553</v>
      </c>
      <c r="I809" s="10">
        <v>45681.427210648151</v>
      </c>
      <c r="J809" s="10">
        <v>45681.428113425929</v>
      </c>
      <c r="K809" s="11">
        <f t="shared" si="24"/>
        <v>1.7800925925257616E-2</v>
      </c>
      <c r="L809" s="11">
        <f t="shared" si="25"/>
        <v>1.1244212962992606</v>
      </c>
    </row>
    <row r="810" spans="1:12" x14ac:dyDescent="0.25">
      <c r="A810" s="3" t="s">
        <v>2473</v>
      </c>
      <c r="B810" s="3" t="s">
        <v>366</v>
      </c>
      <c r="C810" s="10">
        <v>45680.281458333331</v>
      </c>
      <c r="D810" s="10">
        <v>45680.283645833333</v>
      </c>
      <c r="E810" s="10">
        <v>45680.302789351852</v>
      </c>
      <c r="F810" s="10">
        <v>45680.304791666669</v>
      </c>
      <c r="G810" s="3" t="s">
        <v>2443</v>
      </c>
      <c r="H810" s="10">
        <v>45680.420763888891</v>
      </c>
      <c r="I810" s="10">
        <v>45681.583912037036</v>
      </c>
      <c r="J810" s="10">
        <v>45681.584872685176</v>
      </c>
      <c r="K810" s="11">
        <f t="shared" si="24"/>
        <v>1.9143518518831115E-2</v>
      </c>
      <c r="L810" s="11">
        <f t="shared" si="25"/>
        <v>1.2791203703673091</v>
      </c>
    </row>
    <row r="811" spans="1:12" x14ac:dyDescent="0.25">
      <c r="A811" s="3" t="s">
        <v>2476</v>
      </c>
      <c r="B811" s="3" t="s">
        <v>366</v>
      </c>
      <c r="C811" s="10">
        <v>45680.281458333331</v>
      </c>
      <c r="D811" s="10">
        <v>45680.283645833333</v>
      </c>
      <c r="E811" s="10">
        <v>45680.302789351852</v>
      </c>
      <c r="F811" s="10">
        <v>45680.304791666669</v>
      </c>
      <c r="G811" s="3" t="s">
        <v>2443</v>
      </c>
      <c r="H811" s="10">
        <v>45680.420763888891</v>
      </c>
      <c r="I811" s="10">
        <v>45681.583912037036</v>
      </c>
      <c r="J811" s="10">
        <v>45681.584872685176</v>
      </c>
      <c r="K811" s="11">
        <f t="shared" si="24"/>
        <v>1.9143518518831115E-2</v>
      </c>
      <c r="L811" s="11">
        <f t="shared" si="25"/>
        <v>1.2791203703673091</v>
      </c>
    </row>
    <row r="812" spans="1:12" x14ac:dyDescent="0.25">
      <c r="A812" s="3" t="s">
        <v>2480</v>
      </c>
      <c r="B812" s="3" t="s">
        <v>369</v>
      </c>
      <c r="C812" s="10">
        <v>45680.361284722218</v>
      </c>
      <c r="D812" s="10">
        <v>45680.363796296297</v>
      </c>
      <c r="E812" s="10">
        <v>45680.371157407397</v>
      </c>
      <c r="F812" s="10">
        <v>45680.373449074083</v>
      </c>
      <c r="G812" s="3" t="s">
        <v>2455</v>
      </c>
      <c r="H812" s="10">
        <v>45680.375810185193</v>
      </c>
      <c r="I812" s="10">
        <v>45681.363518518519</v>
      </c>
      <c r="J812" s="10">
        <v>45681.364328703698</v>
      </c>
      <c r="K812" s="11">
        <f t="shared" si="24"/>
        <v>7.3611111001810059E-3</v>
      </c>
      <c r="L812" s="11">
        <f t="shared" si="25"/>
        <v>0.99006944443681277</v>
      </c>
    </row>
    <row r="813" spans="1:12" x14ac:dyDescent="0.25">
      <c r="A813" s="3" t="s">
        <v>2482</v>
      </c>
      <c r="B813" s="3" t="s">
        <v>369</v>
      </c>
      <c r="C813" s="10">
        <v>45680.361284722218</v>
      </c>
      <c r="D813" s="10">
        <v>45680.363796296297</v>
      </c>
      <c r="E813" s="10">
        <v>45680.373449074083</v>
      </c>
      <c r="F813" s="10">
        <v>45680.375648148147</v>
      </c>
      <c r="G813" s="3" t="s">
        <v>2483</v>
      </c>
      <c r="H813" s="10">
        <v>45680.37804398148</v>
      </c>
      <c r="I813" s="10">
        <v>45681.415949074071</v>
      </c>
      <c r="J813" s="10">
        <v>45681.417048611111</v>
      </c>
      <c r="K813" s="11">
        <f t="shared" si="24"/>
        <v>9.6527777859591879E-3</v>
      </c>
      <c r="L813" s="11">
        <f t="shared" si="25"/>
        <v>1.0403009259243845</v>
      </c>
    </row>
    <row r="814" spans="1:12" x14ac:dyDescent="0.25">
      <c r="A814" s="3" t="s">
        <v>2485</v>
      </c>
      <c r="B814" s="3" t="s">
        <v>370</v>
      </c>
      <c r="C814" s="10">
        <v>45680.376377314817</v>
      </c>
      <c r="D814" s="10">
        <v>45680.378784722219</v>
      </c>
      <c r="E814" s="10">
        <v>45680.398518518523</v>
      </c>
      <c r="F814" s="10">
        <v>45680.399675925917</v>
      </c>
      <c r="G814" s="3" t="s">
        <v>2486</v>
      </c>
      <c r="H814" s="10">
        <v>45681.135034722232</v>
      </c>
      <c r="I814" s="10">
        <v>45684.153437499997</v>
      </c>
      <c r="J814" s="10">
        <v>45684.154236111113</v>
      </c>
      <c r="K814" s="11">
        <f t="shared" si="24"/>
        <v>1.973379630362615E-2</v>
      </c>
      <c r="L814" s="11">
        <f t="shared" si="25"/>
        <v>3.7537615740802721</v>
      </c>
    </row>
    <row r="815" spans="1:12" x14ac:dyDescent="0.25">
      <c r="A815" s="3" t="s">
        <v>2488</v>
      </c>
      <c r="B815" s="3" t="s">
        <v>370</v>
      </c>
      <c r="C815" s="10">
        <v>45680.376377314817</v>
      </c>
      <c r="D815" s="10">
        <v>45680.378784722219</v>
      </c>
      <c r="E815" s="10">
        <v>45680.399675925917</v>
      </c>
      <c r="F815" s="10">
        <v>45680.401400462957</v>
      </c>
      <c r="G815" s="3" t="s">
        <v>2489</v>
      </c>
      <c r="H815" s="10">
        <v>45681.199571759258</v>
      </c>
      <c r="I815" s="10">
        <v>45684.220891203702</v>
      </c>
      <c r="J815" s="10">
        <v>45684.221712962957</v>
      </c>
      <c r="K815" s="11">
        <f t="shared" si="24"/>
        <v>2.0891203697829042E-2</v>
      </c>
      <c r="L815" s="11">
        <f t="shared" si="25"/>
        <v>3.8194907407450955</v>
      </c>
    </row>
    <row r="816" spans="1:12" x14ac:dyDescent="0.25">
      <c r="A816" s="3" t="s">
        <v>2491</v>
      </c>
      <c r="B816" s="3" t="s">
        <v>370</v>
      </c>
      <c r="C816" s="10">
        <v>45680.376377314817</v>
      </c>
      <c r="D816" s="10">
        <v>45680.378784722219</v>
      </c>
      <c r="E816" s="10">
        <v>45680.401400462957</v>
      </c>
      <c r="F816" s="10">
        <v>45680.402569444443</v>
      </c>
      <c r="G816" s="3" t="s">
        <v>2486</v>
      </c>
      <c r="H816" s="10">
        <v>45681.135034722232</v>
      </c>
      <c r="I816" s="10">
        <v>45684.153437499997</v>
      </c>
      <c r="J816" s="10">
        <v>45684.154236111113</v>
      </c>
      <c r="K816" s="11">
        <f t="shared" si="24"/>
        <v>2.2615740737819578E-2</v>
      </c>
      <c r="L816" s="11">
        <f t="shared" si="25"/>
        <v>3.7508680555547471</v>
      </c>
    </row>
    <row r="817" spans="1:12" x14ac:dyDescent="0.25">
      <c r="A817" s="3" t="s">
        <v>2493</v>
      </c>
      <c r="B817" s="3" t="s">
        <v>370</v>
      </c>
      <c r="C817" s="10">
        <v>45680.376377314817</v>
      </c>
      <c r="D817" s="10">
        <v>45680.378784722219</v>
      </c>
      <c r="E817" s="10">
        <v>45680.402569444443</v>
      </c>
      <c r="F817" s="10">
        <v>45680.404166666667</v>
      </c>
      <c r="G817" s="3" t="s">
        <v>2350</v>
      </c>
      <c r="H817" s="10">
        <v>45680.746504629627</v>
      </c>
      <c r="I817" s="10">
        <v>45681.757233796299</v>
      </c>
      <c r="J817" s="10">
        <v>45681.7580787037</v>
      </c>
      <c r="K817" s="11">
        <f t="shared" si="24"/>
        <v>2.3784722223354038E-2</v>
      </c>
      <c r="L817" s="11">
        <f t="shared" si="25"/>
        <v>1.3530671296321088</v>
      </c>
    </row>
    <row r="818" spans="1:12" x14ac:dyDescent="0.25">
      <c r="A818" s="3" t="s">
        <v>2495</v>
      </c>
      <c r="B818" s="3" t="s">
        <v>370</v>
      </c>
      <c r="C818" s="10">
        <v>45680.376377314817</v>
      </c>
      <c r="D818" s="10">
        <v>45680.378784722219</v>
      </c>
      <c r="E818" s="10">
        <v>45680.404166666667</v>
      </c>
      <c r="F818" s="10">
        <v>45680.405752314808</v>
      </c>
      <c r="G818" s="3" t="s">
        <v>2350</v>
      </c>
      <c r="H818" s="10">
        <v>45680.746504629627</v>
      </c>
      <c r="I818" s="10">
        <v>45681.757233796299</v>
      </c>
      <c r="J818" s="10">
        <v>45681.7580787037</v>
      </c>
      <c r="K818" s="11">
        <f t="shared" si="24"/>
        <v>2.5381944447872229E-2</v>
      </c>
      <c r="L818" s="11">
        <f t="shared" si="25"/>
        <v>1.3514814814916463</v>
      </c>
    </row>
    <row r="819" spans="1:12" x14ac:dyDescent="0.25">
      <c r="A819" s="3" t="s">
        <v>2497</v>
      </c>
      <c r="B819" s="3" t="s">
        <v>370</v>
      </c>
      <c r="C819" s="10">
        <v>45680.376377314817</v>
      </c>
      <c r="D819" s="10">
        <v>45680.378784722219</v>
      </c>
      <c r="E819" s="10">
        <v>45680.405752314808</v>
      </c>
      <c r="F819" s="10">
        <v>45680.407789351862</v>
      </c>
      <c r="G819" s="3" t="s">
        <v>2469</v>
      </c>
      <c r="H819" s="10">
        <v>45680.414918981478</v>
      </c>
      <c r="I819" s="10">
        <v>45681.4534375</v>
      </c>
      <c r="J819" s="10">
        <v>45681.454201388893</v>
      </c>
      <c r="K819" s="11">
        <f t="shared" si="24"/>
        <v>2.696759258833481E-2</v>
      </c>
      <c r="L819" s="11">
        <f t="shared" si="25"/>
        <v>1.0456481481378432</v>
      </c>
    </row>
    <row r="820" spans="1:12" x14ac:dyDescent="0.25">
      <c r="A820" s="3" t="s">
        <v>2499</v>
      </c>
      <c r="B820" s="3" t="s">
        <v>370</v>
      </c>
      <c r="C820" s="10">
        <v>45680.376377314817</v>
      </c>
      <c r="D820" s="10">
        <v>45680.378784722219</v>
      </c>
      <c r="E820" s="10">
        <v>45680.407789351862</v>
      </c>
      <c r="F820" s="10">
        <v>45680.409131944441</v>
      </c>
      <c r="G820" s="3" t="s">
        <v>2426</v>
      </c>
      <c r="H820" s="10">
        <v>45680.413055555553</v>
      </c>
      <c r="I820" s="10">
        <v>45681.427210648151</v>
      </c>
      <c r="J820" s="10">
        <v>45681.428113425929</v>
      </c>
      <c r="K820" s="11">
        <f t="shared" si="24"/>
        <v>2.90046296431683E-2</v>
      </c>
      <c r="L820" s="11">
        <f t="shared" si="25"/>
        <v>1.0180787037097616</v>
      </c>
    </row>
    <row r="821" spans="1:12" x14ac:dyDescent="0.25">
      <c r="A821" s="3" t="s">
        <v>2501</v>
      </c>
      <c r="B821" s="3" t="s">
        <v>370</v>
      </c>
      <c r="C821" s="10">
        <v>45680.376377314817</v>
      </c>
      <c r="D821" s="10">
        <v>45680.378784722219</v>
      </c>
      <c r="E821" s="10">
        <v>45680.409131944441</v>
      </c>
      <c r="F821" s="10">
        <v>45680.411030092589</v>
      </c>
      <c r="G821" s="3" t="s">
        <v>2469</v>
      </c>
      <c r="H821" s="10">
        <v>45680.414918981478</v>
      </c>
      <c r="I821" s="10">
        <v>45681.4534375</v>
      </c>
      <c r="J821" s="10">
        <v>45681.454201388893</v>
      </c>
      <c r="K821" s="11">
        <f t="shared" si="24"/>
        <v>3.0347222222189885E-2</v>
      </c>
      <c r="L821" s="11">
        <f t="shared" si="25"/>
        <v>1.0424074074107921</v>
      </c>
    </row>
    <row r="822" spans="1:12" x14ac:dyDescent="0.25">
      <c r="A822" s="3" t="s">
        <v>2503</v>
      </c>
      <c r="B822" s="3" t="s">
        <v>370</v>
      </c>
      <c r="C822" s="10">
        <v>45680.376377314817</v>
      </c>
      <c r="D822" s="10">
        <v>45680.378784722219</v>
      </c>
      <c r="E822" s="10">
        <v>45680.411030092589</v>
      </c>
      <c r="F822" s="10">
        <v>45680.413032407407</v>
      </c>
      <c r="G822" s="3" t="s">
        <v>2504</v>
      </c>
      <c r="H822" s="10">
        <v>45681.398414351846</v>
      </c>
      <c r="I822" s="10">
        <v>45684.370625000003</v>
      </c>
      <c r="J822" s="10">
        <v>45684.371539351851</v>
      </c>
      <c r="K822" s="11">
        <f t="shared" si="24"/>
        <v>3.2245370370219462E-2</v>
      </c>
      <c r="L822" s="11">
        <f t="shared" si="25"/>
        <v>3.9575925925964839</v>
      </c>
    </row>
    <row r="823" spans="1:12" x14ac:dyDescent="0.25">
      <c r="A823" s="3" t="s">
        <v>2506</v>
      </c>
      <c r="B823" s="3" t="s">
        <v>370</v>
      </c>
      <c r="C823" s="10">
        <v>45680.376377314817</v>
      </c>
      <c r="D823" s="10">
        <v>45680.378784722219</v>
      </c>
      <c r="E823" s="10">
        <v>45680.413032407407</v>
      </c>
      <c r="F823" s="10">
        <v>45680.415277777778</v>
      </c>
      <c r="G823" s="3" t="s">
        <v>2443</v>
      </c>
      <c r="H823" s="10">
        <v>45680.420763888891</v>
      </c>
      <c r="I823" s="10">
        <v>45681.583912037036</v>
      </c>
      <c r="J823" s="10">
        <v>45681.584872685176</v>
      </c>
      <c r="K823" s="11">
        <f t="shared" si="24"/>
        <v>3.4247685187438037E-2</v>
      </c>
      <c r="L823" s="11">
        <f t="shared" si="25"/>
        <v>1.1686342592583969</v>
      </c>
    </row>
    <row r="824" spans="1:12" x14ac:dyDescent="0.25">
      <c r="A824" s="3" t="s">
        <v>2508</v>
      </c>
      <c r="B824" s="3" t="s">
        <v>370</v>
      </c>
      <c r="C824" s="10">
        <v>45680.376377314817</v>
      </c>
      <c r="D824" s="10">
        <v>45680.378784722219</v>
      </c>
      <c r="E824" s="10">
        <v>45680.415277777778</v>
      </c>
      <c r="F824" s="10">
        <v>45680.417210648149</v>
      </c>
      <c r="G824" s="3" t="s">
        <v>2443</v>
      </c>
      <c r="H824" s="10">
        <v>45680.420763888891</v>
      </c>
      <c r="I824" s="10">
        <v>45681.583912037036</v>
      </c>
      <c r="J824" s="10">
        <v>45681.584872685176</v>
      </c>
      <c r="K824" s="11">
        <f t="shared" si="24"/>
        <v>3.6493055558821652E-2</v>
      </c>
      <c r="L824" s="11">
        <f t="shared" si="25"/>
        <v>1.1667013888873043</v>
      </c>
    </row>
    <row r="825" spans="1:12" x14ac:dyDescent="0.25">
      <c r="A825" s="3" t="s">
        <v>2511</v>
      </c>
      <c r="B825" s="3" t="s">
        <v>371</v>
      </c>
      <c r="C825" s="10">
        <v>45680.43478009259</v>
      </c>
      <c r="D825" s="10">
        <v>45680.437407407408</v>
      </c>
      <c r="E825" s="10">
        <v>45680.448634259257</v>
      </c>
      <c r="F825" s="10">
        <v>45680.451493055552</v>
      </c>
      <c r="G825" s="3" t="s">
        <v>2464</v>
      </c>
      <c r="H825" s="10">
        <v>45680.453865740739</v>
      </c>
      <c r="I825" s="10">
        <v>45681.686168981483</v>
      </c>
      <c r="J825" s="10">
        <v>45681.687650462962</v>
      </c>
      <c r="K825" s="11">
        <f t="shared" si="24"/>
        <v>1.1226851849642117E-2</v>
      </c>
      <c r="L825" s="11">
        <f t="shared" si="25"/>
        <v>1.2346759259307873</v>
      </c>
    </row>
    <row r="826" spans="1:12" x14ac:dyDescent="0.25">
      <c r="A826" s="3" t="s">
        <v>2514</v>
      </c>
      <c r="B826" s="3" t="s">
        <v>371</v>
      </c>
      <c r="C826" s="10">
        <v>45680.43478009259</v>
      </c>
      <c r="D826" s="10">
        <v>45680.437407407408</v>
      </c>
      <c r="E826" s="10">
        <v>45680.448634259257</v>
      </c>
      <c r="F826" s="10">
        <v>45680.451493055552</v>
      </c>
      <c r="G826" s="3" t="s">
        <v>2464</v>
      </c>
      <c r="H826" s="10">
        <v>45680.453865740739</v>
      </c>
      <c r="I826" s="10">
        <v>45681.686168981483</v>
      </c>
      <c r="J826" s="10">
        <v>45681.687650462962</v>
      </c>
      <c r="K826" s="11">
        <f t="shared" si="24"/>
        <v>1.1226851849642117E-2</v>
      </c>
      <c r="L826" s="11">
        <f t="shared" si="25"/>
        <v>1.2346759259307873</v>
      </c>
    </row>
    <row r="827" spans="1:12" x14ac:dyDescent="0.25">
      <c r="A827" s="3" t="s">
        <v>2517</v>
      </c>
      <c r="B827" s="3" t="s">
        <v>371</v>
      </c>
      <c r="C827" s="10">
        <v>45680.43478009259</v>
      </c>
      <c r="D827" s="10">
        <v>45680.437407407408</v>
      </c>
      <c r="E827" s="10">
        <v>45680.448634259257</v>
      </c>
      <c r="F827" s="10">
        <v>45680.451493055552</v>
      </c>
      <c r="G827" s="3" t="s">
        <v>2464</v>
      </c>
      <c r="H827" s="10">
        <v>45680.453865740739</v>
      </c>
      <c r="I827" s="10">
        <v>45681.686168981483</v>
      </c>
      <c r="J827" s="10">
        <v>45681.687650462962</v>
      </c>
      <c r="K827" s="11">
        <f t="shared" si="24"/>
        <v>1.1226851849642117E-2</v>
      </c>
      <c r="L827" s="11">
        <f t="shared" si="25"/>
        <v>1.2346759259307873</v>
      </c>
    </row>
    <row r="828" spans="1:12" x14ac:dyDescent="0.25">
      <c r="A828" s="3" t="s">
        <v>2519</v>
      </c>
      <c r="B828" s="3" t="s">
        <v>372</v>
      </c>
      <c r="C828" s="10">
        <v>45680.601944444446</v>
      </c>
      <c r="D828" s="10">
        <v>45680.604456018518</v>
      </c>
      <c r="E828" s="10">
        <v>45680.610983796287</v>
      </c>
      <c r="F828" s="10">
        <v>45680.613252314812</v>
      </c>
      <c r="G828" s="3" t="s">
        <v>2520</v>
      </c>
      <c r="H828" s="10">
        <v>45680.615624999999</v>
      </c>
      <c r="I828" s="10">
        <v>45681.719548611109</v>
      </c>
      <c r="J828" s="10">
        <v>45681.720949074072</v>
      </c>
      <c r="K828" s="11">
        <f t="shared" si="24"/>
        <v>6.5277777684968896E-3</v>
      </c>
      <c r="L828" s="11">
        <f t="shared" si="25"/>
        <v>1.1062962962969323</v>
      </c>
    </row>
    <row r="829" spans="1:12" x14ac:dyDescent="0.25">
      <c r="A829" s="3" t="s">
        <v>2522</v>
      </c>
      <c r="B829" s="3" t="s">
        <v>373</v>
      </c>
      <c r="C829" s="10">
        <v>45680.611550925933</v>
      </c>
      <c r="D829" s="10">
        <v>45680.613437499997</v>
      </c>
      <c r="E829" s="10">
        <v>45680.626909722218</v>
      </c>
      <c r="F829" s="10">
        <v>45680.628842592603</v>
      </c>
      <c r="G829" s="3" t="s">
        <v>2523</v>
      </c>
      <c r="H829" s="10">
        <v>45680.738263888888</v>
      </c>
      <c r="I829" s="10">
        <v>45681.677071759259</v>
      </c>
      <c r="J829" s="10">
        <v>45681.677754629629</v>
      </c>
      <c r="K829" s="11">
        <f t="shared" si="24"/>
        <v>1.3472222221025731E-2</v>
      </c>
      <c r="L829" s="11">
        <f t="shared" si="25"/>
        <v>1.0482291666558012</v>
      </c>
    </row>
    <row r="830" spans="1:12" x14ac:dyDescent="0.25">
      <c r="A830" s="3" t="s">
        <v>2525</v>
      </c>
      <c r="B830" s="3" t="s">
        <v>373</v>
      </c>
      <c r="C830" s="10">
        <v>45680.611550925933</v>
      </c>
      <c r="D830" s="10">
        <v>45680.613437499997</v>
      </c>
      <c r="E830" s="10">
        <v>45680.628842592603</v>
      </c>
      <c r="F830" s="10">
        <v>45680.630798611113</v>
      </c>
      <c r="G830" s="3" t="s">
        <v>2526</v>
      </c>
      <c r="H830" s="10">
        <v>45681.742638888893</v>
      </c>
      <c r="I830" s="10">
        <v>45684.692256944443</v>
      </c>
      <c r="J830" s="10">
        <v>45684.693333333344</v>
      </c>
      <c r="K830" s="11">
        <f t="shared" si="24"/>
        <v>1.5405092606670223E-2</v>
      </c>
      <c r="L830" s="11">
        <f t="shared" si="25"/>
        <v>4.0614583333299379</v>
      </c>
    </row>
    <row r="831" spans="1:12" x14ac:dyDescent="0.25">
      <c r="A831" s="3" t="s">
        <v>2528</v>
      </c>
      <c r="B831" s="3" t="s">
        <v>373</v>
      </c>
      <c r="C831" s="10">
        <v>45680.611550925933</v>
      </c>
      <c r="D831" s="10">
        <v>45680.613437499997</v>
      </c>
      <c r="E831" s="10">
        <v>45680.630798611113</v>
      </c>
      <c r="F831" s="10">
        <v>45680.632685185177</v>
      </c>
      <c r="G831" s="3" t="s">
        <v>2523</v>
      </c>
      <c r="H831" s="10">
        <v>45680.738263888888</v>
      </c>
      <c r="I831" s="10">
        <v>45681.677071759259</v>
      </c>
      <c r="J831" s="10">
        <v>45681.677754629629</v>
      </c>
      <c r="K831" s="11">
        <f t="shared" si="24"/>
        <v>1.7361111116770189E-2</v>
      </c>
      <c r="L831" s="11">
        <f t="shared" si="25"/>
        <v>1.0443865740817273</v>
      </c>
    </row>
    <row r="832" spans="1:12" x14ac:dyDescent="0.25">
      <c r="A832" s="3" t="s">
        <v>2530</v>
      </c>
      <c r="B832" s="3" t="s">
        <v>373</v>
      </c>
      <c r="C832" s="10">
        <v>45680.611550925933</v>
      </c>
      <c r="D832" s="10">
        <v>45680.613437499997</v>
      </c>
      <c r="E832" s="10">
        <v>45680.632685185177</v>
      </c>
      <c r="F832" s="10">
        <v>45680.634409722217</v>
      </c>
      <c r="G832" s="3" t="s">
        <v>2489</v>
      </c>
      <c r="H832" s="10">
        <v>45681.199571759258</v>
      </c>
      <c r="I832" s="10">
        <v>45684.220891203702</v>
      </c>
      <c r="J832" s="10">
        <v>45684.221712962957</v>
      </c>
      <c r="K832" s="11">
        <f t="shared" si="24"/>
        <v>1.9247685180744156E-2</v>
      </c>
      <c r="L832" s="11">
        <f t="shared" si="25"/>
        <v>3.5864814814849524</v>
      </c>
    </row>
    <row r="833" spans="1:12" x14ac:dyDescent="0.25">
      <c r="A833" s="3" t="s">
        <v>2532</v>
      </c>
      <c r="B833" s="3" t="s">
        <v>373</v>
      </c>
      <c r="C833" s="10">
        <v>45680.611550925933</v>
      </c>
      <c r="D833" s="10">
        <v>45680.613437499997</v>
      </c>
      <c r="E833" s="10">
        <v>45680.634409722217</v>
      </c>
      <c r="F833" s="10">
        <v>45680.636354166672</v>
      </c>
      <c r="G833" s="3" t="s">
        <v>2523</v>
      </c>
      <c r="H833" s="10">
        <v>45680.738263888888</v>
      </c>
      <c r="I833" s="10">
        <v>45681.677071759259</v>
      </c>
      <c r="J833" s="10">
        <v>45681.677754629629</v>
      </c>
      <c r="K833" s="11">
        <f t="shared" si="24"/>
        <v>2.0972222220734693E-2</v>
      </c>
      <c r="L833" s="11">
        <f t="shared" si="25"/>
        <v>1.0407175925865886</v>
      </c>
    </row>
    <row r="834" spans="1:12" x14ac:dyDescent="0.25">
      <c r="A834" s="3" t="s">
        <v>2534</v>
      </c>
      <c r="B834" s="3" t="s">
        <v>373</v>
      </c>
      <c r="C834" s="10">
        <v>45680.611550925933</v>
      </c>
      <c r="D834" s="10">
        <v>45680.613437499997</v>
      </c>
      <c r="E834" s="10">
        <v>45680.636354166672</v>
      </c>
      <c r="F834" s="10">
        <v>45680.638229166667</v>
      </c>
      <c r="G834" s="3" t="s">
        <v>2535</v>
      </c>
      <c r="H834" s="10">
        <v>45681.378692129627</v>
      </c>
      <c r="I834" s="10">
        <v>45684.344849537039</v>
      </c>
      <c r="J834" s="10">
        <v>45684.345497685194</v>
      </c>
      <c r="K834" s="11">
        <f t="shared" ref="K834:K897" si="26">IF(AND(ISNUMBER(D834),ISNUMBER(E834)),(E834-D834),"")</f>
        <v>2.291666667588288E-2</v>
      </c>
      <c r="L834" s="11">
        <f t="shared" ref="L834:L897" si="27">IF(AND(ISNUMBER(F834),ISNUMBER(I834)),(I834-F834),"")</f>
        <v>3.7066203703725478</v>
      </c>
    </row>
    <row r="835" spans="1:12" x14ac:dyDescent="0.25">
      <c r="A835" s="3" t="s">
        <v>2543</v>
      </c>
      <c r="B835" s="3" t="s">
        <v>376</v>
      </c>
      <c r="C835" s="10">
        <v>45680.708553240736</v>
      </c>
      <c r="D835" s="10">
        <v>45680.710914351846</v>
      </c>
      <c r="E835" s="10">
        <v>45680.728530092587</v>
      </c>
      <c r="F835" s="10">
        <v>45680.730497685188</v>
      </c>
      <c r="G835" s="3" t="s">
        <v>2544</v>
      </c>
      <c r="H835" s="10">
        <v>45681.129108796304</v>
      </c>
      <c r="I835" s="10">
        <v>45683.789201388892</v>
      </c>
      <c r="J835" s="10">
        <v>45683.790127314824</v>
      </c>
      <c r="K835" s="11">
        <f t="shared" si="26"/>
        <v>1.7615740740438923E-2</v>
      </c>
      <c r="L835" s="11">
        <f t="shared" si="27"/>
        <v>3.0587037037039408</v>
      </c>
    </row>
    <row r="836" spans="1:12" x14ac:dyDescent="0.25">
      <c r="A836" s="3" t="s">
        <v>2546</v>
      </c>
      <c r="B836" s="3" t="s">
        <v>376</v>
      </c>
      <c r="C836" s="10">
        <v>45680.708553240736</v>
      </c>
      <c r="D836" s="10">
        <v>45680.710914351846</v>
      </c>
      <c r="E836" s="10">
        <v>45680.730497685188</v>
      </c>
      <c r="F836" s="10">
        <v>45680.732407407413</v>
      </c>
      <c r="G836" s="3" t="s">
        <v>2535</v>
      </c>
      <c r="H836" s="10">
        <v>45681.378692129627</v>
      </c>
      <c r="I836" s="10">
        <v>45684.344849537039</v>
      </c>
      <c r="J836" s="10">
        <v>45684.345497685194</v>
      </c>
      <c r="K836" s="11">
        <f t="shared" si="26"/>
        <v>1.9583333341870457E-2</v>
      </c>
      <c r="L836" s="11">
        <f t="shared" si="27"/>
        <v>3.6124421296262881</v>
      </c>
    </row>
    <row r="837" spans="1:12" x14ac:dyDescent="0.25">
      <c r="A837" s="3" t="s">
        <v>2548</v>
      </c>
      <c r="B837" s="3" t="s">
        <v>376</v>
      </c>
      <c r="C837" s="10">
        <v>45680.708553240736</v>
      </c>
      <c r="D837" s="10">
        <v>45680.710914351846</v>
      </c>
      <c r="E837" s="10">
        <v>45680.732407407413</v>
      </c>
      <c r="F837" s="10">
        <v>45680.734375</v>
      </c>
      <c r="G837" s="3" t="s">
        <v>2523</v>
      </c>
      <c r="H837" s="10">
        <v>45680.738263888888</v>
      </c>
      <c r="I837" s="10">
        <v>45681.677071759259</v>
      </c>
      <c r="J837" s="10">
        <v>45681.677754629629</v>
      </c>
      <c r="K837" s="11">
        <f t="shared" si="26"/>
        <v>2.1493055566679686E-2</v>
      </c>
      <c r="L837" s="11">
        <f t="shared" si="27"/>
        <v>0.942696759258979</v>
      </c>
    </row>
    <row r="838" spans="1:12" x14ac:dyDescent="0.25">
      <c r="A838" s="3" t="s">
        <v>2550</v>
      </c>
      <c r="B838" s="3" t="s">
        <v>376</v>
      </c>
      <c r="C838" s="10">
        <v>45680.708553240736</v>
      </c>
      <c r="D838" s="10">
        <v>45680.710914351846</v>
      </c>
      <c r="E838" s="10">
        <v>45680.734375</v>
      </c>
      <c r="F838" s="10">
        <v>45680.735567129632</v>
      </c>
      <c r="G838" s="3" t="s">
        <v>2486</v>
      </c>
      <c r="H838" s="10">
        <v>45681.135034722232</v>
      </c>
      <c r="I838" s="10">
        <v>45684.153437499997</v>
      </c>
      <c r="J838" s="10">
        <v>45684.154236111113</v>
      </c>
      <c r="K838" s="11">
        <f t="shared" si="26"/>
        <v>2.3460648153559305E-2</v>
      </c>
      <c r="L838" s="11">
        <f t="shared" si="27"/>
        <v>3.4178703703655628</v>
      </c>
    </row>
    <row r="839" spans="1:12" x14ac:dyDescent="0.25">
      <c r="A839" s="3" t="s">
        <v>2552</v>
      </c>
      <c r="B839" s="3" t="s">
        <v>376</v>
      </c>
      <c r="C839" s="10">
        <v>45680.708553240736</v>
      </c>
      <c r="D839" s="10">
        <v>45680.710914351846</v>
      </c>
      <c r="E839" s="10">
        <v>45680.735567129632</v>
      </c>
      <c r="F839" s="10">
        <v>45680.737187500003</v>
      </c>
      <c r="G839" s="3" t="s">
        <v>2350</v>
      </c>
      <c r="H839" s="10">
        <v>45680.746504629627</v>
      </c>
      <c r="I839" s="10">
        <v>45681.757233796299</v>
      </c>
      <c r="J839" s="10">
        <v>45681.7580787037</v>
      </c>
      <c r="K839" s="11">
        <f t="shared" si="26"/>
        <v>2.4652777785377111E-2</v>
      </c>
      <c r="L839" s="11">
        <f t="shared" si="27"/>
        <v>1.0200462962966412</v>
      </c>
    </row>
    <row r="840" spans="1:12" x14ac:dyDescent="0.25">
      <c r="A840" s="3" t="s">
        <v>2554</v>
      </c>
      <c r="B840" s="3" t="s">
        <v>376</v>
      </c>
      <c r="C840" s="10">
        <v>45680.708553240736</v>
      </c>
      <c r="D840" s="10">
        <v>45680.710914351846</v>
      </c>
      <c r="E840" s="10">
        <v>45680.737187500003</v>
      </c>
      <c r="F840" s="10">
        <v>45680.738935185182</v>
      </c>
      <c r="G840" s="3" t="s">
        <v>2489</v>
      </c>
      <c r="H840" s="10">
        <v>45681.199571759258</v>
      </c>
      <c r="I840" s="10">
        <v>45684.220891203702</v>
      </c>
      <c r="J840" s="10">
        <v>45684.221712962957</v>
      </c>
      <c r="K840" s="11">
        <f t="shared" si="26"/>
        <v>2.627314815617865E-2</v>
      </c>
      <c r="L840" s="11">
        <f t="shared" si="27"/>
        <v>3.4819560185205773</v>
      </c>
    </row>
    <row r="841" spans="1:12" x14ac:dyDescent="0.25">
      <c r="A841" s="3" t="s">
        <v>2556</v>
      </c>
      <c r="B841" s="3" t="s">
        <v>376</v>
      </c>
      <c r="C841" s="10">
        <v>45680.708553240736</v>
      </c>
      <c r="D841" s="10">
        <v>45680.710914351846</v>
      </c>
      <c r="E841" s="10">
        <v>45680.738935185182</v>
      </c>
      <c r="F841" s="10">
        <v>45680.740960648152</v>
      </c>
      <c r="G841" s="3" t="s">
        <v>2504</v>
      </c>
      <c r="H841" s="10">
        <v>45681.398414351846</v>
      </c>
      <c r="I841" s="10">
        <v>45684.370625000003</v>
      </c>
      <c r="J841" s="10">
        <v>45684.371539351851</v>
      </c>
      <c r="K841" s="11">
        <f t="shared" si="26"/>
        <v>2.8020833335176576E-2</v>
      </c>
      <c r="L841" s="11">
        <f t="shared" si="27"/>
        <v>3.6296643518508063</v>
      </c>
    </row>
    <row r="842" spans="1:12" x14ac:dyDescent="0.25">
      <c r="A842" s="3" t="s">
        <v>2558</v>
      </c>
      <c r="B842" s="3" t="s">
        <v>376</v>
      </c>
      <c r="C842" s="10">
        <v>45680.708553240736</v>
      </c>
      <c r="D842" s="10">
        <v>45680.710914351846</v>
      </c>
      <c r="E842" s="10">
        <v>45680.740960648152</v>
      </c>
      <c r="F842" s="10">
        <v>45680.742581018523</v>
      </c>
      <c r="G842" s="3" t="s">
        <v>2350</v>
      </c>
      <c r="H842" s="10">
        <v>45680.746504629627</v>
      </c>
      <c r="I842" s="10">
        <v>45681.757233796299</v>
      </c>
      <c r="J842" s="10">
        <v>45681.7580787037</v>
      </c>
      <c r="K842" s="11">
        <f t="shared" si="26"/>
        <v>3.0046296305954456E-2</v>
      </c>
      <c r="L842" s="11">
        <f t="shared" si="27"/>
        <v>1.0146527777760639</v>
      </c>
    </row>
    <row r="843" spans="1:12" x14ac:dyDescent="0.25">
      <c r="A843" s="3" t="s">
        <v>2560</v>
      </c>
      <c r="B843" s="3" t="s">
        <v>376</v>
      </c>
      <c r="C843" s="10">
        <v>45680.708553240736</v>
      </c>
      <c r="D843" s="10">
        <v>45680.710914351846</v>
      </c>
      <c r="E843" s="10">
        <v>45680.742581018523</v>
      </c>
      <c r="F843" s="10">
        <v>45680.743738425917</v>
      </c>
      <c r="G843" s="3" t="s">
        <v>2486</v>
      </c>
      <c r="H843" s="10">
        <v>45681.135034722232</v>
      </c>
      <c r="I843" s="10">
        <v>45684.153437499997</v>
      </c>
      <c r="J843" s="10">
        <v>45684.154236111113</v>
      </c>
      <c r="K843" s="11">
        <f t="shared" si="26"/>
        <v>3.1666666676755995E-2</v>
      </c>
      <c r="L843" s="11">
        <f t="shared" si="27"/>
        <v>3.4096990740799811</v>
      </c>
    </row>
    <row r="844" spans="1:12" x14ac:dyDescent="0.25">
      <c r="A844" s="3" t="s">
        <v>2562</v>
      </c>
      <c r="B844" s="3" t="s">
        <v>376</v>
      </c>
      <c r="C844" s="10">
        <v>45680.708553240736</v>
      </c>
      <c r="D844" s="10">
        <v>45680.710914351846</v>
      </c>
      <c r="E844" s="10">
        <v>45680.743738425917</v>
      </c>
      <c r="F844" s="10">
        <v>45680.745648148149</v>
      </c>
      <c r="G844" s="3" t="s">
        <v>2563</v>
      </c>
      <c r="H844" s="10">
        <v>45681.645370370366</v>
      </c>
      <c r="I844" s="10">
        <v>45684.557592592602</v>
      </c>
      <c r="J844" s="10">
        <v>45684.558217592603</v>
      </c>
      <c r="K844" s="11">
        <f t="shared" si="26"/>
        <v>3.2824074070958886E-2</v>
      </c>
      <c r="L844" s="11">
        <f t="shared" si="27"/>
        <v>3.8119444444528199</v>
      </c>
    </row>
    <row r="845" spans="1:12" x14ac:dyDescent="0.25">
      <c r="A845" s="3" t="s">
        <v>2565</v>
      </c>
      <c r="B845" s="3" t="s">
        <v>376</v>
      </c>
      <c r="C845" s="10">
        <v>45680.708553240736</v>
      </c>
      <c r="D845" s="10">
        <v>45680.710914351846</v>
      </c>
      <c r="E845" s="10">
        <v>45680.745648148149</v>
      </c>
      <c r="F845" s="10">
        <v>45680.747164351851</v>
      </c>
      <c r="G845" s="3" t="s">
        <v>2566</v>
      </c>
      <c r="H845" s="10">
        <v>45680.749525462961</v>
      </c>
      <c r="I845" s="10">
        <v>45681.762407407397</v>
      </c>
      <c r="J845" s="10">
        <v>45681.763101851851</v>
      </c>
      <c r="K845" s="11">
        <f t="shared" si="26"/>
        <v>3.4733796303044073E-2</v>
      </c>
      <c r="L845" s="11">
        <f t="shared" si="27"/>
        <v>1.015243055546307</v>
      </c>
    </row>
    <row r="846" spans="1:12" x14ac:dyDescent="0.25">
      <c r="A846" s="3" t="s">
        <v>2568</v>
      </c>
      <c r="B846" s="3" t="s">
        <v>376</v>
      </c>
      <c r="C846" s="10">
        <v>45680.708553240736</v>
      </c>
      <c r="D846" s="10">
        <v>45680.710914351846</v>
      </c>
      <c r="E846" s="10">
        <v>45680.747164351851</v>
      </c>
      <c r="F846" s="10">
        <v>45680.74832175926</v>
      </c>
      <c r="G846" s="3" t="s">
        <v>2486</v>
      </c>
      <c r="H846" s="10">
        <v>45681.135034722232</v>
      </c>
      <c r="I846" s="10">
        <v>45684.153437499997</v>
      </c>
      <c r="J846" s="10">
        <v>45684.154236111113</v>
      </c>
      <c r="K846" s="11">
        <f t="shared" si="26"/>
        <v>3.6250000004656613E-2</v>
      </c>
      <c r="L846" s="11">
        <f t="shared" si="27"/>
        <v>3.4051157407375285</v>
      </c>
    </row>
    <row r="847" spans="1:12" x14ac:dyDescent="0.25">
      <c r="A847" s="3" t="s">
        <v>2570</v>
      </c>
      <c r="B847" s="3" t="s">
        <v>377</v>
      </c>
      <c r="C847" s="10">
        <v>45680.733252314807</v>
      </c>
      <c r="D847" s="10">
        <v>45680.734594907408</v>
      </c>
      <c r="E847" s="10">
        <v>45680.749189814807</v>
      </c>
      <c r="F847" s="10">
        <v>45680.751122685193</v>
      </c>
      <c r="G847" s="3" t="s">
        <v>2571</v>
      </c>
      <c r="H847" s="10">
        <v>45680.884675925918</v>
      </c>
      <c r="I847" s="10">
        <v>45682.11478009259</v>
      </c>
      <c r="J847" s="10">
        <v>45682.115636574083</v>
      </c>
      <c r="K847" s="11">
        <f t="shared" si="26"/>
        <v>1.4594907399441581E-2</v>
      </c>
      <c r="L847" s="11">
        <f t="shared" si="27"/>
        <v>1.3636574073971133</v>
      </c>
    </row>
    <row r="848" spans="1:12" x14ac:dyDescent="0.25">
      <c r="A848" s="3" t="s">
        <v>2573</v>
      </c>
      <c r="B848" s="3" t="s">
        <v>378</v>
      </c>
      <c r="C848" s="10">
        <v>45680.873379629629</v>
      </c>
      <c r="D848" s="10">
        <v>45680.875173611108</v>
      </c>
      <c r="E848" s="10">
        <v>45680.879467592589</v>
      </c>
      <c r="F848" s="10">
        <v>45680.881122685183</v>
      </c>
      <c r="G848" s="3" t="s">
        <v>2571</v>
      </c>
      <c r="H848" s="10">
        <v>45680.884675925918</v>
      </c>
      <c r="I848" s="10">
        <v>45682.11478009259</v>
      </c>
      <c r="J848" s="10">
        <v>45682.115636574083</v>
      </c>
      <c r="K848" s="11">
        <f t="shared" si="26"/>
        <v>4.2939814811688848E-3</v>
      </c>
      <c r="L848" s="11">
        <f t="shared" si="27"/>
        <v>1.2336574074070086</v>
      </c>
    </row>
    <row r="849" spans="1:12" x14ac:dyDescent="0.25">
      <c r="A849" s="3" t="s">
        <v>2575</v>
      </c>
      <c r="B849" s="3" t="s">
        <v>379</v>
      </c>
      <c r="C849" s="10">
        <v>45681.110520833332</v>
      </c>
      <c r="D849" s="10">
        <v>45681.11278935185</v>
      </c>
      <c r="E849" s="10">
        <v>45681.122465277767</v>
      </c>
      <c r="F849" s="10">
        <v>45681.124409722222</v>
      </c>
      <c r="G849" s="3" t="s">
        <v>2535</v>
      </c>
      <c r="H849" s="10">
        <v>45681.378692129627</v>
      </c>
      <c r="I849" s="10">
        <v>45684.344849537039</v>
      </c>
      <c r="J849" s="10">
        <v>45684.345497685194</v>
      </c>
      <c r="K849" s="11">
        <f t="shared" si="26"/>
        <v>9.6759259176906198E-3</v>
      </c>
      <c r="L849" s="11">
        <f t="shared" si="27"/>
        <v>3.2204398148169275</v>
      </c>
    </row>
    <row r="850" spans="1:12" x14ac:dyDescent="0.25">
      <c r="A850" s="3" t="s">
        <v>2577</v>
      </c>
      <c r="B850" s="3" t="s">
        <v>379</v>
      </c>
      <c r="C850" s="10">
        <v>45681.110520833332</v>
      </c>
      <c r="D850" s="10">
        <v>45681.11278935185</v>
      </c>
      <c r="E850" s="10">
        <v>45681.124409722222</v>
      </c>
      <c r="F850" s="10">
        <v>45681.126712962963</v>
      </c>
      <c r="G850" s="3" t="s">
        <v>2544</v>
      </c>
      <c r="H850" s="10">
        <v>45681.129108796304</v>
      </c>
      <c r="I850" s="10">
        <v>45683.789201388892</v>
      </c>
      <c r="J850" s="10">
        <v>45683.790127314824</v>
      </c>
      <c r="K850" s="11">
        <f t="shared" si="26"/>
        <v>1.1620370372838806E-2</v>
      </c>
      <c r="L850" s="11">
        <f t="shared" si="27"/>
        <v>2.6624884259290411</v>
      </c>
    </row>
    <row r="851" spans="1:12" x14ac:dyDescent="0.25">
      <c r="A851" s="3" t="s">
        <v>2579</v>
      </c>
      <c r="B851" s="3" t="s">
        <v>379</v>
      </c>
      <c r="C851" s="10">
        <v>45681.110520833332</v>
      </c>
      <c r="D851" s="10">
        <v>45681.11278935185</v>
      </c>
      <c r="E851" s="10">
        <v>45681.126712962963</v>
      </c>
      <c r="F851" s="10">
        <v>45681.127916666657</v>
      </c>
      <c r="G851" s="3" t="s">
        <v>2486</v>
      </c>
      <c r="H851" s="10">
        <v>45681.135034722232</v>
      </c>
      <c r="I851" s="10">
        <v>45684.153437499997</v>
      </c>
      <c r="J851" s="10">
        <v>45684.154236111113</v>
      </c>
      <c r="K851" s="11">
        <f t="shared" si="26"/>
        <v>1.3923611113568768E-2</v>
      </c>
      <c r="L851" s="11">
        <f t="shared" si="27"/>
        <v>3.0255208333401242</v>
      </c>
    </row>
    <row r="852" spans="1:12" x14ac:dyDescent="0.25">
      <c r="A852" s="3" t="s">
        <v>2581</v>
      </c>
      <c r="B852" s="3" t="s">
        <v>379</v>
      </c>
      <c r="C852" s="10">
        <v>45681.110520833332</v>
      </c>
      <c r="D852" s="10">
        <v>45681.11278935185</v>
      </c>
      <c r="E852" s="10">
        <v>45681.127916666657</v>
      </c>
      <c r="F852" s="10">
        <v>45681.129861111112</v>
      </c>
      <c r="G852" s="3" t="s">
        <v>2526</v>
      </c>
      <c r="H852" s="10">
        <v>45681.742638888893</v>
      </c>
      <c r="I852" s="10">
        <v>45684.692256944443</v>
      </c>
      <c r="J852" s="10">
        <v>45684.693333333344</v>
      </c>
      <c r="K852" s="11">
        <f t="shared" si="26"/>
        <v>1.5127314807614312E-2</v>
      </c>
      <c r="L852" s="11">
        <f t="shared" si="27"/>
        <v>3.562395833330811</v>
      </c>
    </row>
    <row r="853" spans="1:12" x14ac:dyDescent="0.25">
      <c r="A853" s="3" t="s">
        <v>2583</v>
      </c>
      <c r="B853" s="3" t="s">
        <v>379</v>
      </c>
      <c r="C853" s="10">
        <v>45681.110520833332</v>
      </c>
      <c r="D853" s="10">
        <v>45681.11278935185</v>
      </c>
      <c r="E853" s="10">
        <v>45681.129861111112</v>
      </c>
      <c r="F853" s="10">
        <v>45681.131111111114</v>
      </c>
      <c r="G853" s="3" t="s">
        <v>2486</v>
      </c>
      <c r="H853" s="10">
        <v>45681.135034722232</v>
      </c>
      <c r="I853" s="10">
        <v>45684.153437499997</v>
      </c>
      <c r="J853" s="10">
        <v>45684.154236111113</v>
      </c>
      <c r="K853" s="11">
        <f t="shared" si="26"/>
        <v>1.7071759262762498E-2</v>
      </c>
      <c r="L853" s="11">
        <f t="shared" si="27"/>
        <v>3.0223263888838119</v>
      </c>
    </row>
    <row r="854" spans="1:12" x14ac:dyDescent="0.25">
      <c r="A854" s="3" t="s">
        <v>2585</v>
      </c>
      <c r="B854" s="3" t="s">
        <v>380</v>
      </c>
      <c r="C854" s="10">
        <v>45681.188773148147</v>
      </c>
      <c r="D854" s="10">
        <v>45681.190636574072</v>
      </c>
      <c r="E854" s="10">
        <v>45681.195185185177</v>
      </c>
      <c r="F854" s="10">
        <v>45681.197175925918</v>
      </c>
      <c r="G854" s="3" t="s">
        <v>2489</v>
      </c>
      <c r="H854" s="10">
        <v>45681.199571759258</v>
      </c>
      <c r="I854" s="10">
        <v>45684.220891203702</v>
      </c>
      <c r="J854" s="10">
        <v>45684.221712962957</v>
      </c>
      <c r="K854" s="11">
        <f t="shared" si="26"/>
        <v>4.5486111048376188E-3</v>
      </c>
      <c r="L854" s="11">
        <f t="shared" si="27"/>
        <v>3.023715277784504</v>
      </c>
    </row>
    <row r="855" spans="1:12" x14ac:dyDescent="0.25">
      <c r="A855" s="3" t="s">
        <v>2587</v>
      </c>
      <c r="B855" s="3" t="s">
        <v>381</v>
      </c>
      <c r="C855" s="10">
        <v>45681.257708333331</v>
      </c>
      <c r="D855" s="10">
        <v>45681.259988425933</v>
      </c>
      <c r="E855" s="10">
        <v>45681.265775462962</v>
      </c>
      <c r="F855" s="10">
        <v>45681.267592592587</v>
      </c>
      <c r="G855" s="3" t="s">
        <v>2588</v>
      </c>
      <c r="H855" s="10">
        <v>45681.269988425927</v>
      </c>
      <c r="I855" s="10">
        <v>45684.337754629632</v>
      </c>
      <c r="J855" s="10">
        <v>45684.338912037027</v>
      </c>
      <c r="K855" s="11">
        <f t="shared" si="26"/>
        <v>5.7870370292221196E-3</v>
      </c>
      <c r="L855" s="11">
        <f t="shared" si="27"/>
        <v>3.0701620370455203</v>
      </c>
    </row>
    <row r="856" spans="1:12" x14ac:dyDescent="0.25">
      <c r="A856" s="3" t="s">
        <v>2590</v>
      </c>
      <c r="B856" s="3" t="s">
        <v>382</v>
      </c>
      <c r="C856" s="10">
        <v>45681.289340277777</v>
      </c>
      <c r="D856" s="10">
        <v>45681.291493055563</v>
      </c>
      <c r="E856" s="10">
        <v>45681.296956018523</v>
      </c>
      <c r="F856" s="10">
        <v>45681.299201388887</v>
      </c>
      <c r="G856" s="3" t="s">
        <v>2591</v>
      </c>
      <c r="H856" s="10">
        <v>45681.30159722222</v>
      </c>
      <c r="I856" s="10">
        <v>45684.365081018521</v>
      </c>
      <c r="J856" s="10">
        <v>45684.36614583333</v>
      </c>
      <c r="K856" s="11">
        <f t="shared" si="26"/>
        <v>5.4629629594273865E-3</v>
      </c>
      <c r="L856" s="11">
        <f t="shared" si="27"/>
        <v>3.0658796296338551</v>
      </c>
    </row>
    <row r="857" spans="1:12" x14ac:dyDescent="0.25">
      <c r="A857" s="3" t="s">
        <v>2593</v>
      </c>
      <c r="B857" s="3" t="s">
        <v>383</v>
      </c>
      <c r="C857" s="10">
        <v>45681.299884259257</v>
      </c>
      <c r="D857" s="10">
        <v>45681.302418981482</v>
      </c>
      <c r="E857" s="10">
        <v>45681.320787037039</v>
      </c>
      <c r="F857" s="10">
        <v>45681.322002314817</v>
      </c>
      <c r="G857" s="3" t="s">
        <v>2594</v>
      </c>
      <c r="H857" s="10">
        <v>45681.42696759259</v>
      </c>
      <c r="I857" s="10">
        <v>45684.389398148152</v>
      </c>
      <c r="J857" s="10">
        <v>45684.390185185177</v>
      </c>
      <c r="K857" s="11">
        <f t="shared" si="26"/>
        <v>1.8368055556493346E-2</v>
      </c>
      <c r="L857" s="11">
        <f t="shared" si="27"/>
        <v>3.0673958333354676</v>
      </c>
    </row>
    <row r="858" spans="1:12" x14ac:dyDescent="0.25">
      <c r="A858" s="3" t="s">
        <v>2596</v>
      </c>
      <c r="B858" s="3" t="s">
        <v>383</v>
      </c>
      <c r="C858" s="10">
        <v>45681.299884259257</v>
      </c>
      <c r="D858" s="10">
        <v>45681.302418981482</v>
      </c>
      <c r="E858" s="10">
        <v>45681.322002314817</v>
      </c>
      <c r="F858" s="10">
        <v>45681.323958333327</v>
      </c>
      <c r="G858" s="3" t="s">
        <v>2526</v>
      </c>
      <c r="H858" s="10">
        <v>45681.742638888893</v>
      </c>
      <c r="I858" s="10">
        <v>45684.692256944443</v>
      </c>
      <c r="J858" s="10">
        <v>45684.693333333344</v>
      </c>
      <c r="K858" s="11">
        <f t="shared" si="26"/>
        <v>1.9583333334594499E-2</v>
      </c>
      <c r="L858" s="11">
        <f t="shared" si="27"/>
        <v>3.3682986111161881</v>
      </c>
    </row>
    <row r="859" spans="1:12" x14ac:dyDescent="0.25">
      <c r="A859" s="3" t="s">
        <v>2601</v>
      </c>
      <c r="B859" s="3" t="s">
        <v>383</v>
      </c>
      <c r="C859" s="10">
        <v>45681.299884259257</v>
      </c>
      <c r="D859" s="10">
        <v>45681.302418981482</v>
      </c>
      <c r="E859" s="10">
        <v>45681.323958333327</v>
      </c>
      <c r="F859" s="10">
        <v>45681.325138888889</v>
      </c>
      <c r="G859" s="3" t="s">
        <v>2594</v>
      </c>
      <c r="H859" s="10">
        <v>45681.42696759259</v>
      </c>
      <c r="I859" s="10">
        <v>45684.389398148152</v>
      </c>
      <c r="J859" s="10">
        <v>45684.390185185177</v>
      </c>
      <c r="K859" s="11">
        <f t="shared" si="26"/>
        <v>2.1539351844694465E-2</v>
      </c>
      <c r="L859" s="11">
        <f t="shared" si="27"/>
        <v>3.0642592592630535</v>
      </c>
    </row>
    <row r="860" spans="1:12" x14ac:dyDescent="0.25">
      <c r="A860" s="3" t="s">
        <v>2604</v>
      </c>
      <c r="B860" s="3" t="s">
        <v>383</v>
      </c>
      <c r="C860" s="10">
        <v>45681.299884259257</v>
      </c>
      <c r="D860" s="10">
        <v>45681.302418981482</v>
      </c>
      <c r="E860" s="10">
        <v>45681.325138888889</v>
      </c>
      <c r="F860" s="10">
        <v>45681.32708333333</v>
      </c>
      <c r="G860" s="3" t="s">
        <v>2526</v>
      </c>
      <c r="H860" s="10">
        <v>45681.742638888893</v>
      </c>
      <c r="I860" s="10">
        <v>45684.692256944443</v>
      </c>
      <c r="J860" s="10">
        <v>45684.693333333344</v>
      </c>
      <c r="K860" s="11">
        <f t="shared" si="26"/>
        <v>2.2719907407008577E-2</v>
      </c>
      <c r="L860" s="11">
        <f t="shared" si="27"/>
        <v>3.3651736111132777</v>
      </c>
    </row>
    <row r="861" spans="1:12" x14ac:dyDescent="0.25">
      <c r="A861" s="3" t="s">
        <v>2607</v>
      </c>
      <c r="B861" s="3" t="s">
        <v>383</v>
      </c>
      <c r="C861" s="10">
        <v>45681.299884259257</v>
      </c>
      <c r="D861" s="10">
        <v>45681.302418981482</v>
      </c>
      <c r="E861" s="10">
        <v>45681.32708333333</v>
      </c>
      <c r="F861" s="10">
        <v>45681.328842592593</v>
      </c>
      <c r="G861" s="3" t="s">
        <v>2608</v>
      </c>
      <c r="H861" s="10">
        <v>45684.286666666667</v>
      </c>
      <c r="I861" s="10">
        <v>45685.375138888892</v>
      </c>
      <c r="J861" s="10">
        <v>45685.376342592594</v>
      </c>
      <c r="K861" s="11">
        <f t="shared" si="26"/>
        <v>2.4664351847604848E-2</v>
      </c>
      <c r="L861" s="11">
        <f t="shared" si="27"/>
        <v>4.0462962962992606</v>
      </c>
    </row>
    <row r="862" spans="1:12" x14ac:dyDescent="0.25">
      <c r="A862" s="3" t="s">
        <v>2612</v>
      </c>
      <c r="B862" s="3" t="s">
        <v>383</v>
      </c>
      <c r="C862" s="10">
        <v>45681.299884259257</v>
      </c>
      <c r="D862" s="10">
        <v>45681.302418981482</v>
      </c>
      <c r="E862" s="10">
        <v>45681.328842592593</v>
      </c>
      <c r="F862" s="10">
        <v>45681.330509259264</v>
      </c>
      <c r="G862" s="3" t="s">
        <v>2613</v>
      </c>
      <c r="H862" s="10">
        <v>45683.762430555558</v>
      </c>
      <c r="I862" s="10">
        <v>45684.911157407398</v>
      </c>
      <c r="J862" s="10">
        <v>45684.912083333344</v>
      </c>
      <c r="K862" s="11">
        <f t="shared" si="26"/>
        <v>2.6423611110658385E-2</v>
      </c>
      <c r="L862" s="11">
        <f t="shared" si="27"/>
        <v>3.5806481481340597</v>
      </c>
    </row>
    <row r="863" spans="1:12" x14ac:dyDescent="0.25">
      <c r="A863" s="3" t="s">
        <v>2616</v>
      </c>
      <c r="B863" s="3" t="s">
        <v>385</v>
      </c>
      <c r="C863" s="10">
        <v>45681.365115740737</v>
      </c>
      <c r="D863" s="10">
        <v>45681.367048611108</v>
      </c>
      <c r="E863" s="10">
        <v>45681.372974537036</v>
      </c>
      <c r="F863" s="10">
        <v>45681.374189814807</v>
      </c>
      <c r="G863" s="3" t="s">
        <v>2594</v>
      </c>
      <c r="H863" s="10">
        <v>45681.42696759259</v>
      </c>
      <c r="I863" s="10">
        <v>45684.389398148152</v>
      </c>
      <c r="J863" s="10">
        <v>45684.390185185177</v>
      </c>
      <c r="K863" s="11">
        <f t="shared" si="26"/>
        <v>5.9259259287500754E-3</v>
      </c>
      <c r="L863" s="11">
        <f t="shared" si="27"/>
        <v>3.0152083333450719</v>
      </c>
    </row>
    <row r="864" spans="1:12" x14ac:dyDescent="0.25">
      <c r="A864" s="3" t="s">
        <v>2618</v>
      </c>
      <c r="B864" s="3" t="s">
        <v>385</v>
      </c>
      <c r="C864" s="10">
        <v>45681.365115740737</v>
      </c>
      <c r="D864" s="10">
        <v>45681.367048611108</v>
      </c>
      <c r="E864" s="10">
        <v>45681.374189814807</v>
      </c>
      <c r="F864" s="10">
        <v>45681.376319444447</v>
      </c>
      <c r="G864" s="3" t="s">
        <v>2535</v>
      </c>
      <c r="H864" s="10">
        <v>45681.378692129627</v>
      </c>
      <c r="I864" s="10">
        <v>45684.344849537039</v>
      </c>
      <c r="J864" s="10">
        <v>45684.345497685194</v>
      </c>
      <c r="K864" s="11">
        <f t="shared" si="26"/>
        <v>7.1412036995752715E-3</v>
      </c>
      <c r="L864" s="11">
        <f t="shared" si="27"/>
        <v>2.9685300925921183</v>
      </c>
    </row>
    <row r="865" spans="1:12" x14ac:dyDescent="0.25">
      <c r="A865" s="3" t="s">
        <v>2620</v>
      </c>
      <c r="B865" s="3" t="s">
        <v>386</v>
      </c>
      <c r="C865" s="10">
        <v>45681.37537037037</v>
      </c>
      <c r="D865" s="10">
        <v>45681.377256944441</v>
      </c>
      <c r="E865" s="10">
        <v>45681.390763888892</v>
      </c>
      <c r="F865" s="10">
        <v>45681.391921296286</v>
      </c>
      <c r="G865" s="3" t="s">
        <v>2594</v>
      </c>
      <c r="H865" s="10">
        <v>45681.42696759259</v>
      </c>
      <c r="I865" s="10">
        <v>45684.389398148152</v>
      </c>
      <c r="J865" s="10">
        <v>45684.390185185177</v>
      </c>
      <c r="K865" s="11">
        <f t="shared" si="26"/>
        <v>1.3506944451364689E-2</v>
      </c>
      <c r="L865" s="11">
        <f t="shared" si="27"/>
        <v>2.9974768518659403</v>
      </c>
    </row>
    <row r="866" spans="1:12" x14ac:dyDescent="0.25">
      <c r="A866" s="3" t="s">
        <v>2622</v>
      </c>
      <c r="B866" s="3" t="s">
        <v>386</v>
      </c>
      <c r="C866" s="10">
        <v>45681.37537037037</v>
      </c>
      <c r="D866" s="10">
        <v>45681.377256944441</v>
      </c>
      <c r="E866" s="10">
        <v>45681.391921296286</v>
      </c>
      <c r="F866" s="10">
        <v>45681.393645833326</v>
      </c>
      <c r="G866" s="3" t="s">
        <v>2608</v>
      </c>
      <c r="H866" s="10">
        <v>45684.286666666667</v>
      </c>
      <c r="I866" s="10">
        <v>45685.375138888892</v>
      </c>
      <c r="J866" s="10">
        <v>45685.376342592594</v>
      </c>
      <c r="K866" s="11">
        <f t="shared" si="26"/>
        <v>1.466435184556758E-2</v>
      </c>
      <c r="L866" s="11">
        <f t="shared" si="27"/>
        <v>3.9814930555658066</v>
      </c>
    </row>
    <row r="867" spans="1:12" x14ac:dyDescent="0.25">
      <c r="A867" s="3" t="s">
        <v>2624</v>
      </c>
      <c r="B867" s="3" t="s">
        <v>386</v>
      </c>
      <c r="C867" s="10">
        <v>45681.37537037037</v>
      </c>
      <c r="D867" s="10">
        <v>45681.377256944441</v>
      </c>
      <c r="E867" s="10">
        <v>45681.393645833326</v>
      </c>
      <c r="F867" s="10">
        <v>45681.396018518521</v>
      </c>
      <c r="G867" s="3" t="s">
        <v>2504</v>
      </c>
      <c r="H867" s="10">
        <v>45681.398414351846</v>
      </c>
      <c r="I867" s="10">
        <v>45684.370625000003</v>
      </c>
      <c r="J867" s="10">
        <v>45684.371539351851</v>
      </c>
      <c r="K867" s="11">
        <f t="shared" si="26"/>
        <v>1.6388888885558117E-2</v>
      </c>
      <c r="L867" s="11">
        <f t="shared" si="27"/>
        <v>2.9746064814826241</v>
      </c>
    </row>
    <row r="868" spans="1:12" x14ac:dyDescent="0.25">
      <c r="A868" s="3" t="s">
        <v>2627</v>
      </c>
      <c r="B868" s="3" t="s">
        <v>386</v>
      </c>
      <c r="C868" s="10">
        <v>45681.37537037037</v>
      </c>
      <c r="D868" s="10">
        <v>45681.377256944441</v>
      </c>
      <c r="E868" s="10">
        <v>45681.396018518521</v>
      </c>
      <c r="F868" s="10">
        <v>45681.397152777783</v>
      </c>
      <c r="G868" s="3" t="s">
        <v>2594</v>
      </c>
      <c r="H868" s="10">
        <v>45681.42696759259</v>
      </c>
      <c r="I868" s="10">
        <v>45684.389398148152</v>
      </c>
      <c r="J868" s="10">
        <v>45684.390185185177</v>
      </c>
      <c r="K868" s="11">
        <f t="shared" si="26"/>
        <v>1.8761574079690035E-2</v>
      </c>
      <c r="L868" s="11">
        <f t="shared" si="27"/>
        <v>2.9922453703693463</v>
      </c>
    </row>
    <row r="869" spans="1:12" x14ac:dyDescent="0.25">
      <c r="A869" s="3" t="s">
        <v>2630</v>
      </c>
      <c r="B869" s="3" t="s">
        <v>386</v>
      </c>
      <c r="C869" s="10">
        <v>45681.37537037037</v>
      </c>
      <c r="D869" s="10">
        <v>45681.377256944441</v>
      </c>
      <c r="E869" s="10">
        <v>45681.397152777783</v>
      </c>
      <c r="F869" s="10">
        <v>45681.399039351847</v>
      </c>
      <c r="G869" s="3" t="s">
        <v>2631</v>
      </c>
      <c r="H869" s="10">
        <v>45684.389710648153</v>
      </c>
      <c r="I869" s="10">
        <v>45685.369837962957</v>
      </c>
      <c r="J869" s="10">
        <v>45685.370671296303</v>
      </c>
      <c r="K869" s="11">
        <f t="shared" si="26"/>
        <v>1.9895833342161495E-2</v>
      </c>
      <c r="L869" s="11">
        <f t="shared" si="27"/>
        <v>3.9707986111097853</v>
      </c>
    </row>
    <row r="870" spans="1:12" x14ac:dyDescent="0.25">
      <c r="A870" s="3" t="s">
        <v>2634</v>
      </c>
      <c r="B870" s="3" t="s">
        <v>387</v>
      </c>
      <c r="C870" s="10">
        <v>45681.410937499997</v>
      </c>
      <c r="D870" s="10">
        <v>45681.413541666669</v>
      </c>
      <c r="E870" s="10">
        <v>45681.421805555547</v>
      </c>
      <c r="F870" s="10">
        <v>45681.423078703701</v>
      </c>
      <c r="G870" s="3" t="s">
        <v>2594</v>
      </c>
      <c r="H870" s="10">
        <v>45681.42696759259</v>
      </c>
      <c r="I870" s="10">
        <v>45684.389398148152</v>
      </c>
      <c r="J870" s="10">
        <v>45684.390185185177</v>
      </c>
      <c r="K870" s="11">
        <f t="shared" si="26"/>
        <v>8.2638888779911213E-3</v>
      </c>
      <c r="L870" s="11">
        <f t="shared" si="27"/>
        <v>2.9663194444510737</v>
      </c>
    </row>
    <row r="871" spans="1:12" x14ac:dyDescent="0.25">
      <c r="A871" s="3" t="s">
        <v>2637</v>
      </c>
      <c r="B871" s="3" t="s">
        <v>388</v>
      </c>
      <c r="C871" s="10">
        <v>45681.542303240742</v>
      </c>
      <c r="D871" s="10">
        <v>45681.544305555559</v>
      </c>
      <c r="E871" s="10">
        <v>45681.549386574072</v>
      </c>
      <c r="F871" s="10">
        <v>45681.551481481481</v>
      </c>
      <c r="G871" s="3" t="s">
        <v>2638</v>
      </c>
      <c r="H871" s="10">
        <v>45681.553877314807</v>
      </c>
      <c r="I871" s="10">
        <v>45684.423414351862</v>
      </c>
      <c r="J871" s="10">
        <v>45684.424421296288</v>
      </c>
      <c r="K871" s="11">
        <f t="shared" si="26"/>
        <v>5.0810185130103491E-3</v>
      </c>
      <c r="L871" s="11">
        <f t="shared" si="27"/>
        <v>2.8719328703809879</v>
      </c>
    </row>
    <row r="872" spans="1:12" x14ac:dyDescent="0.25">
      <c r="A872" s="3" t="s">
        <v>2640</v>
      </c>
      <c r="B872" s="3" t="s">
        <v>389</v>
      </c>
      <c r="C872" s="10">
        <v>45681.602708333332</v>
      </c>
      <c r="D872" s="10">
        <v>45681.604988425926</v>
      </c>
      <c r="E872" s="10">
        <v>45681.611030092587</v>
      </c>
      <c r="F872" s="10">
        <v>45681.613634259258</v>
      </c>
      <c r="G872" s="3" t="s">
        <v>2641</v>
      </c>
      <c r="H872" s="10">
        <v>45681.616006944438</v>
      </c>
      <c r="I872" s="10">
        <v>45684.50509259259</v>
      </c>
      <c r="J872" s="10">
        <v>45684.506331018521</v>
      </c>
      <c r="K872" s="11">
        <f t="shared" si="26"/>
        <v>6.0416666601668112E-3</v>
      </c>
      <c r="L872" s="11">
        <f t="shared" si="27"/>
        <v>2.8914583333316841</v>
      </c>
    </row>
    <row r="873" spans="1:12" x14ac:dyDescent="0.25">
      <c r="A873" s="3" t="s">
        <v>2643</v>
      </c>
      <c r="B873" s="3" t="s">
        <v>390</v>
      </c>
      <c r="C873" s="10">
        <v>45681.619803240741</v>
      </c>
      <c r="D873" s="10">
        <v>45681.622118055559</v>
      </c>
      <c r="E873" s="10">
        <v>45681.63652777778</v>
      </c>
      <c r="F873" s="10">
        <v>45681.637870370367</v>
      </c>
      <c r="G873" s="3" t="s">
        <v>2644</v>
      </c>
      <c r="H873" s="10">
        <v>45684.12835648148</v>
      </c>
      <c r="I873" s="10">
        <v>45685.174675925933</v>
      </c>
      <c r="J873" s="10">
        <v>45685.175740740742</v>
      </c>
      <c r="K873" s="11">
        <f t="shared" si="26"/>
        <v>1.4409722221898846E-2</v>
      </c>
      <c r="L873" s="11">
        <f t="shared" si="27"/>
        <v>3.5368055555663886</v>
      </c>
    </row>
    <row r="874" spans="1:12" x14ac:dyDescent="0.25">
      <c r="A874" s="3" t="s">
        <v>2646</v>
      </c>
      <c r="B874" s="3" t="s">
        <v>390</v>
      </c>
      <c r="C874" s="10">
        <v>45681.619803240741</v>
      </c>
      <c r="D874" s="10">
        <v>45681.622118055559</v>
      </c>
      <c r="E874" s="10">
        <v>45681.637870370367</v>
      </c>
      <c r="F874" s="10">
        <v>45681.639120370368</v>
      </c>
      <c r="G874" s="3" t="s">
        <v>2647</v>
      </c>
      <c r="H874" s="10">
        <v>45684.20108796296</v>
      </c>
      <c r="I874" s="10">
        <v>45685.33425925926</v>
      </c>
      <c r="J874" s="10">
        <v>45685.335416666669</v>
      </c>
      <c r="K874" s="11">
        <f t="shared" si="26"/>
        <v>1.5752314808196388E-2</v>
      </c>
      <c r="L874" s="11">
        <f t="shared" si="27"/>
        <v>3.695138888891961</v>
      </c>
    </row>
    <row r="875" spans="1:12" x14ac:dyDescent="0.25">
      <c r="A875" s="3" t="s">
        <v>2649</v>
      </c>
      <c r="B875" s="3" t="s">
        <v>390</v>
      </c>
      <c r="C875" s="10">
        <v>45681.619803240741</v>
      </c>
      <c r="D875" s="10">
        <v>45681.622118055559</v>
      </c>
      <c r="E875" s="10">
        <v>45681.639120370368</v>
      </c>
      <c r="F875" s="10">
        <v>45681.641087962962</v>
      </c>
      <c r="G875" s="3" t="s">
        <v>2526</v>
      </c>
      <c r="H875" s="10">
        <v>45681.742638888893</v>
      </c>
      <c r="I875" s="10">
        <v>45684.692256944443</v>
      </c>
      <c r="J875" s="10">
        <v>45684.693333333344</v>
      </c>
      <c r="K875" s="11">
        <f t="shared" si="26"/>
        <v>1.7002314809360541E-2</v>
      </c>
      <c r="L875" s="11">
        <f t="shared" si="27"/>
        <v>3.0511689814811689</v>
      </c>
    </row>
    <row r="876" spans="1:12" x14ac:dyDescent="0.25">
      <c r="A876" s="3" t="s">
        <v>2651</v>
      </c>
      <c r="B876" s="3" t="s">
        <v>390</v>
      </c>
      <c r="C876" s="10">
        <v>45681.619803240741</v>
      </c>
      <c r="D876" s="10">
        <v>45681.622118055559</v>
      </c>
      <c r="E876" s="10">
        <v>45681.641087962962</v>
      </c>
      <c r="F876" s="10">
        <v>45681.643194444441</v>
      </c>
      <c r="G876" s="3" t="s">
        <v>2563</v>
      </c>
      <c r="H876" s="10">
        <v>45681.645370370366</v>
      </c>
      <c r="I876" s="10">
        <v>45684.557592592602</v>
      </c>
      <c r="J876" s="10">
        <v>45684.558217592603</v>
      </c>
      <c r="K876" s="11">
        <f t="shared" si="26"/>
        <v>1.8969907403516117E-2</v>
      </c>
      <c r="L876" s="11">
        <f t="shared" si="27"/>
        <v>2.9143981481611263</v>
      </c>
    </row>
    <row r="877" spans="1:12" x14ac:dyDescent="0.25">
      <c r="A877" s="3" t="s">
        <v>2653</v>
      </c>
      <c r="B877" s="3" t="s">
        <v>390</v>
      </c>
      <c r="C877" s="10">
        <v>45681.619803240741</v>
      </c>
      <c r="D877" s="10">
        <v>45681.622118055559</v>
      </c>
      <c r="E877" s="10">
        <v>45681.643194444441</v>
      </c>
      <c r="F877" s="10">
        <v>45681.645104166673</v>
      </c>
      <c r="G877" s="3" t="s">
        <v>2631</v>
      </c>
      <c r="H877" s="10">
        <v>45684.389710648153</v>
      </c>
      <c r="I877" s="10">
        <v>45685.369837962957</v>
      </c>
      <c r="J877" s="10">
        <v>45685.370671296303</v>
      </c>
      <c r="K877" s="11">
        <f t="shared" si="26"/>
        <v>2.1076388882647734E-2</v>
      </c>
      <c r="L877" s="11">
        <f t="shared" si="27"/>
        <v>3.7247337962835445</v>
      </c>
    </row>
    <row r="878" spans="1:12" x14ac:dyDescent="0.25">
      <c r="A878" s="3" t="s">
        <v>2655</v>
      </c>
      <c r="B878" s="3" t="s">
        <v>390</v>
      </c>
      <c r="C878" s="10">
        <v>45681.619803240741</v>
      </c>
      <c r="D878" s="10">
        <v>45681.622118055559</v>
      </c>
      <c r="E878" s="10">
        <v>45681.645104166673</v>
      </c>
      <c r="F878" s="10">
        <v>45681.647060185183</v>
      </c>
      <c r="G878" s="3" t="s">
        <v>2526</v>
      </c>
      <c r="H878" s="10">
        <v>45681.742638888893</v>
      </c>
      <c r="I878" s="10">
        <v>45684.692256944443</v>
      </c>
      <c r="J878" s="10">
        <v>45684.693333333344</v>
      </c>
      <c r="K878" s="11">
        <f t="shared" si="26"/>
        <v>2.2986111114732921E-2</v>
      </c>
      <c r="L878" s="11">
        <f t="shared" si="27"/>
        <v>3.0451967592598521</v>
      </c>
    </row>
    <row r="879" spans="1:12" x14ac:dyDescent="0.25">
      <c r="A879" s="3" t="s">
        <v>2658</v>
      </c>
      <c r="B879" s="3" t="s">
        <v>390</v>
      </c>
      <c r="C879" s="10">
        <v>45681.619803240741</v>
      </c>
      <c r="D879" s="10">
        <v>45681.622118055559</v>
      </c>
      <c r="E879" s="10">
        <v>45681.647060185183</v>
      </c>
      <c r="F879" s="10">
        <v>45681.648819444446</v>
      </c>
      <c r="G879" s="3" t="s">
        <v>2608</v>
      </c>
      <c r="H879" s="10">
        <v>45684.286666666667</v>
      </c>
      <c r="I879" s="10">
        <v>45685.375138888892</v>
      </c>
      <c r="J879" s="10">
        <v>45685.376342592594</v>
      </c>
      <c r="K879" s="11">
        <f t="shared" si="26"/>
        <v>2.4942129624832887E-2</v>
      </c>
      <c r="L879" s="11">
        <f t="shared" si="27"/>
        <v>3.726319444445835</v>
      </c>
    </row>
    <row r="880" spans="1:12" x14ac:dyDescent="0.25">
      <c r="A880" s="3" t="s">
        <v>2664</v>
      </c>
      <c r="B880" s="3" t="s">
        <v>393</v>
      </c>
      <c r="C880" s="10">
        <v>45681.729166666657</v>
      </c>
      <c r="D880" s="10">
        <v>45681.730636574073</v>
      </c>
      <c r="E880" s="10">
        <v>45681.735300925917</v>
      </c>
      <c r="F880" s="10">
        <v>45681.736932870372</v>
      </c>
      <c r="G880" s="3" t="s">
        <v>2665</v>
      </c>
      <c r="H880" s="10">
        <v>45681.739305555559</v>
      </c>
      <c r="I880" s="10">
        <v>45684.634618055563</v>
      </c>
      <c r="J880" s="10">
        <v>45684.635416666657</v>
      </c>
      <c r="K880" s="11">
        <f t="shared" si="26"/>
        <v>4.6643518435303122E-3</v>
      </c>
      <c r="L880" s="11">
        <f t="shared" si="27"/>
        <v>2.8976851851912215</v>
      </c>
    </row>
    <row r="881" spans="1:12" x14ac:dyDescent="0.25">
      <c r="A881" s="3" t="s">
        <v>2662</v>
      </c>
      <c r="B881" s="3" t="s">
        <v>392</v>
      </c>
      <c r="C881" s="10">
        <v>45681.728472222218</v>
      </c>
      <c r="D881" s="10">
        <v>45681.73060185185</v>
      </c>
      <c r="E881" s="10">
        <v>45681.737812500003</v>
      </c>
      <c r="F881" s="10">
        <v>45681.740266203713</v>
      </c>
      <c r="G881" s="3" t="s">
        <v>2526</v>
      </c>
      <c r="H881" s="10">
        <v>45681.742638888893</v>
      </c>
      <c r="I881" s="10">
        <v>45684.692256944443</v>
      </c>
      <c r="J881" s="10">
        <v>45684.693333333344</v>
      </c>
      <c r="K881" s="11">
        <f t="shared" si="26"/>
        <v>7.2106481529772282E-3</v>
      </c>
      <c r="L881" s="11">
        <f t="shared" si="27"/>
        <v>2.9519907407302526</v>
      </c>
    </row>
    <row r="882" spans="1:12" x14ac:dyDescent="0.25">
      <c r="A882" s="3" t="s">
        <v>2667</v>
      </c>
      <c r="B882" s="3" t="s">
        <v>394</v>
      </c>
      <c r="C882" s="10">
        <v>45682.069756944453</v>
      </c>
      <c r="D882" s="10">
        <v>45682.072256944448</v>
      </c>
      <c r="E882" s="10">
        <v>45682.082777777781</v>
      </c>
      <c r="F882" s="10">
        <v>45682.08489583333</v>
      </c>
      <c r="G882" s="3" t="s">
        <v>2668</v>
      </c>
      <c r="H882" s="10">
        <v>45682.087291666663</v>
      </c>
      <c r="I882" s="10">
        <v>45684.746932870366</v>
      </c>
      <c r="J882" s="10">
        <v>45684.748252314806</v>
      </c>
      <c r="K882" s="11">
        <f t="shared" si="26"/>
        <v>1.0520833333430346E-2</v>
      </c>
      <c r="L882" s="11">
        <f t="shared" si="27"/>
        <v>2.6620370370364981</v>
      </c>
    </row>
    <row r="883" spans="1:12" x14ac:dyDescent="0.25">
      <c r="A883" s="3" t="s">
        <v>2670</v>
      </c>
      <c r="B883" s="3" t="s">
        <v>394</v>
      </c>
      <c r="C883" s="10">
        <v>45682.069756944453</v>
      </c>
      <c r="D883" s="10">
        <v>45682.072256944448</v>
      </c>
      <c r="E883" s="10">
        <v>45682.08489583333</v>
      </c>
      <c r="F883" s="10">
        <v>45682.086527777778</v>
      </c>
      <c r="G883" s="3" t="s">
        <v>2613</v>
      </c>
      <c r="H883" s="10">
        <v>45683.762430555558</v>
      </c>
      <c r="I883" s="10">
        <v>45684.911157407398</v>
      </c>
      <c r="J883" s="10">
        <v>45684.912083333344</v>
      </c>
      <c r="K883" s="11">
        <f t="shared" si="26"/>
        <v>1.2638888882065658E-2</v>
      </c>
      <c r="L883" s="11">
        <f t="shared" si="27"/>
        <v>2.8246296296201763</v>
      </c>
    </row>
    <row r="884" spans="1:12" x14ac:dyDescent="0.25">
      <c r="A884" s="3" t="s">
        <v>2672</v>
      </c>
      <c r="B884" s="3" t="s">
        <v>394</v>
      </c>
      <c r="C884" s="10">
        <v>45682.069756944453</v>
      </c>
      <c r="D884" s="10">
        <v>45682.072256944448</v>
      </c>
      <c r="E884" s="10">
        <v>45682.086527777778</v>
      </c>
      <c r="F884" s="10">
        <v>45682.088738425933</v>
      </c>
      <c r="G884" s="3" t="s">
        <v>2673</v>
      </c>
      <c r="H884" s="10">
        <v>45682.091134259259</v>
      </c>
      <c r="I884" s="10">
        <v>45684.768518518518</v>
      </c>
      <c r="J884" s="10">
        <v>45684.769259259258</v>
      </c>
      <c r="K884" s="11">
        <f t="shared" si="26"/>
        <v>1.4270833329646848E-2</v>
      </c>
      <c r="L884" s="11">
        <f t="shared" si="27"/>
        <v>2.6797800925851334</v>
      </c>
    </row>
    <row r="885" spans="1:12" x14ac:dyDescent="0.25">
      <c r="A885" s="3" t="s">
        <v>2675</v>
      </c>
      <c r="B885" s="3" t="s">
        <v>395</v>
      </c>
      <c r="C885" s="10">
        <v>45683.740358796298</v>
      </c>
      <c r="D885" s="10">
        <v>45683.742812500001</v>
      </c>
      <c r="E885" s="10">
        <v>45683.75304398148</v>
      </c>
      <c r="F885" s="10">
        <v>45683.75472222222</v>
      </c>
      <c r="G885" s="3" t="s">
        <v>2613</v>
      </c>
      <c r="H885" s="10">
        <v>45683.762430555558</v>
      </c>
      <c r="I885" s="10">
        <v>45684.911157407398</v>
      </c>
      <c r="J885" s="10">
        <v>45684.912083333344</v>
      </c>
      <c r="K885" s="11">
        <f t="shared" si="26"/>
        <v>1.0231481479422655E-2</v>
      </c>
      <c r="L885" s="11">
        <f t="shared" si="27"/>
        <v>1.1564351851775427</v>
      </c>
    </row>
    <row r="886" spans="1:12" x14ac:dyDescent="0.25">
      <c r="A886" s="3" t="s">
        <v>2677</v>
      </c>
      <c r="B886" s="3" t="s">
        <v>395</v>
      </c>
      <c r="C886" s="10">
        <v>45683.740358796298</v>
      </c>
      <c r="D886" s="10">
        <v>45683.742812500001</v>
      </c>
      <c r="E886" s="10">
        <v>45683.75472222222</v>
      </c>
      <c r="F886" s="10">
        <v>45683.757222222222</v>
      </c>
      <c r="G886" s="3" t="s">
        <v>2678</v>
      </c>
      <c r="H886" s="10">
        <v>45683.759583333333</v>
      </c>
      <c r="I886" s="10">
        <v>45684.835335648153</v>
      </c>
      <c r="J886" s="10">
        <v>45684.83693287037</v>
      </c>
      <c r="K886" s="11">
        <f t="shared" si="26"/>
        <v>1.190972221957054E-2</v>
      </c>
      <c r="L886" s="11">
        <f t="shared" si="27"/>
        <v>1.0781134259304963</v>
      </c>
    </row>
    <row r="887" spans="1:12" x14ac:dyDescent="0.25">
      <c r="A887" s="3" t="s">
        <v>2680</v>
      </c>
      <c r="B887" s="3" t="s">
        <v>395</v>
      </c>
      <c r="C887" s="10">
        <v>45683.740358796298</v>
      </c>
      <c r="D887" s="10">
        <v>45683.742812500001</v>
      </c>
      <c r="E887" s="10">
        <v>45683.757222222222</v>
      </c>
      <c r="F887" s="10">
        <v>45683.75886574074</v>
      </c>
      <c r="G887" s="3" t="s">
        <v>2613</v>
      </c>
      <c r="H887" s="10">
        <v>45683.762430555558</v>
      </c>
      <c r="I887" s="10">
        <v>45684.911157407398</v>
      </c>
      <c r="J887" s="10">
        <v>45684.912083333344</v>
      </c>
      <c r="K887" s="11">
        <f t="shared" si="26"/>
        <v>1.4409722221898846E-2</v>
      </c>
      <c r="L887" s="11">
        <f t="shared" si="27"/>
        <v>1.1522916666581295</v>
      </c>
    </row>
    <row r="888" spans="1:12" x14ac:dyDescent="0.25">
      <c r="A888" s="3" t="s">
        <v>2682</v>
      </c>
      <c r="B888" s="3" t="s">
        <v>396</v>
      </c>
      <c r="C888" s="10">
        <v>45684.108055555553</v>
      </c>
      <c r="D888" s="10">
        <v>45684.110243055547</v>
      </c>
      <c r="E888" s="10">
        <v>45684.11922453704</v>
      </c>
      <c r="F888" s="10">
        <v>45684.121168981481</v>
      </c>
      <c r="G888" s="3" t="s">
        <v>2631</v>
      </c>
      <c r="H888" s="10">
        <v>45684.389710648153</v>
      </c>
      <c r="I888" s="10">
        <v>45685.369837962957</v>
      </c>
      <c r="J888" s="10">
        <v>45685.370671296303</v>
      </c>
      <c r="K888" s="11">
        <f t="shared" si="26"/>
        <v>8.981481492810417E-3</v>
      </c>
      <c r="L888" s="11">
        <f t="shared" si="27"/>
        <v>1.2486689814759302</v>
      </c>
    </row>
    <row r="889" spans="1:12" x14ac:dyDescent="0.25">
      <c r="A889" s="3" t="s">
        <v>2684</v>
      </c>
      <c r="B889" s="3" t="s">
        <v>396</v>
      </c>
      <c r="C889" s="10">
        <v>45684.108055555553</v>
      </c>
      <c r="D889" s="10">
        <v>45684.110243055547</v>
      </c>
      <c r="E889" s="10">
        <v>45684.121168981481</v>
      </c>
      <c r="F889" s="10">
        <v>45684.123136574082</v>
      </c>
      <c r="G889" s="3" t="s">
        <v>2685</v>
      </c>
      <c r="H889" s="10">
        <v>45684.611678240741</v>
      </c>
      <c r="I889" s="10">
        <v>45685.521655092591</v>
      </c>
      <c r="J889" s="10">
        <v>45685.523078703707</v>
      </c>
      <c r="K889" s="11">
        <f t="shared" si="26"/>
        <v>1.0925925933406688E-2</v>
      </c>
      <c r="L889" s="11">
        <f t="shared" si="27"/>
        <v>1.3985185185083537</v>
      </c>
    </row>
    <row r="890" spans="1:12" x14ac:dyDescent="0.25">
      <c r="A890" s="3" t="s">
        <v>2687</v>
      </c>
      <c r="B890" s="3" t="s">
        <v>396</v>
      </c>
      <c r="C890" s="10">
        <v>45684.108055555553</v>
      </c>
      <c r="D890" s="10">
        <v>45684.110243055547</v>
      </c>
      <c r="E890" s="10">
        <v>45684.123136574082</v>
      </c>
      <c r="F890" s="10">
        <v>45684.124803240738</v>
      </c>
      <c r="G890" s="3" t="s">
        <v>2644</v>
      </c>
      <c r="H890" s="10">
        <v>45684.12835648148</v>
      </c>
      <c r="I890" s="10">
        <v>45685.174675925933</v>
      </c>
      <c r="J890" s="10">
        <v>45685.175740740742</v>
      </c>
      <c r="K890" s="11">
        <f t="shared" si="26"/>
        <v>1.2893518534838222E-2</v>
      </c>
      <c r="L890" s="11">
        <f t="shared" si="27"/>
        <v>1.049872685194714</v>
      </c>
    </row>
    <row r="891" spans="1:12" x14ac:dyDescent="0.25">
      <c r="A891" s="3" t="s">
        <v>2689</v>
      </c>
      <c r="B891" s="3" t="s">
        <v>396</v>
      </c>
      <c r="C891" s="10">
        <v>45684.108055555553</v>
      </c>
      <c r="D891" s="10">
        <v>45684.110243055547</v>
      </c>
      <c r="E891" s="10">
        <v>45684.124803240738</v>
      </c>
      <c r="F891" s="10">
        <v>45684.126770833333</v>
      </c>
      <c r="G891" s="3" t="s">
        <v>2690</v>
      </c>
      <c r="H891" s="10">
        <v>45685.134421296287</v>
      </c>
      <c r="I891" s="10">
        <v>45686.152291666673</v>
      </c>
      <c r="J891" s="10">
        <v>45686.153078703697</v>
      </c>
      <c r="K891" s="11">
        <f t="shared" si="26"/>
        <v>1.4560185190930497E-2</v>
      </c>
      <c r="L891" s="11">
        <f t="shared" si="27"/>
        <v>2.0255208333401242</v>
      </c>
    </row>
    <row r="892" spans="1:12" x14ac:dyDescent="0.25">
      <c r="A892" s="3" t="s">
        <v>2692</v>
      </c>
      <c r="B892" s="3" t="s">
        <v>397</v>
      </c>
      <c r="C892" s="10">
        <v>45684.188576388893</v>
      </c>
      <c r="D892" s="10">
        <v>45684.19085648148</v>
      </c>
      <c r="E892" s="10">
        <v>45684.196898148148</v>
      </c>
      <c r="F892" s="10">
        <v>45684.19871527778</v>
      </c>
      <c r="G892" s="3" t="s">
        <v>2647</v>
      </c>
      <c r="H892" s="10">
        <v>45684.20108796296</v>
      </c>
      <c r="I892" s="10">
        <v>45685.33425925926</v>
      </c>
      <c r="J892" s="10">
        <v>45685.335416666669</v>
      </c>
      <c r="K892" s="11">
        <f t="shared" si="26"/>
        <v>6.0416666674427688E-3</v>
      </c>
      <c r="L892" s="11">
        <f t="shared" si="27"/>
        <v>1.1355439814797137</v>
      </c>
    </row>
    <row r="893" spans="1:12" x14ac:dyDescent="0.25">
      <c r="A893" s="3" t="s">
        <v>2694</v>
      </c>
      <c r="B893" s="3" t="s">
        <v>398</v>
      </c>
      <c r="C893" s="10">
        <v>45684.273912037039</v>
      </c>
      <c r="D893" s="10">
        <v>45684.27615740741</v>
      </c>
      <c r="E893" s="10">
        <v>45684.282118055547</v>
      </c>
      <c r="F893" s="10">
        <v>45684.284490740742</v>
      </c>
      <c r="G893" s="3" t="s">
        <v>2608</v>
      </c>
      <c r="H893" s="10">
        <v>45684.286666666667</v>
      </c>
      <c r="I893" s="10">
        <v>45685.375138888892</v>
      </c>
      <c r="J893" s="10">
        <v>45685.376342592594</v>
      </c>
      <c r="K893" s="11">
        <f t="shared" si="26"/>
        <v>5.9606481372611597E-3</v>
      </c>
      <c r="L893" s="11">
        <f t="shared" si="27"/>
        <v>1.0906481481506489</v>
      </c>
    </row>
    <row r="894" spans="1:12" x14ac:dyDescent="0.25">
      <c r="A894" s="3" t="s">
        <v>2696</v>
      </c>
      <c r="B894" s="3" t="s">
        <v>399</v>
      </c>
      <c r="C894" s="10">
        <v>45684.296446759261</v>
      </c>
      <c r="D894" s="10">
        <v>45684.298958333333</v>
      </c>
      <c r="E894" s="10">
        <v>45684.31454861111</v>
      </c>
      <c r="F894" s="10">
        <v>45684.315706018519</v>
      </c>
      <c r="G894" s="3" t="s">
        <v>2697</v>
      </c>
      <c r="H894" s="10">
        <v>45684.452337962961</v>
      </c>
      <c r="I894" s="10">
        <v>45685.461956018517</v>
      </c>
      <c r="J894" s="10">
        <v>45685.463333333333</v>
      </c>
      <c r="K894" s="11">
        <f t="shared" si="26"/>
        <v>1.5590277776937E-2</v>
      </c>
      <c r="L894" s="11">
        <f t="shared" si="27"/>
        <v>1.1462499999979627</v>
      </c>
    </row>
    <row r="895" spans="1:12" x14ac:dyDescent="0.25">
      <c r="A895" s="3" t="s">
        <v>2699</v>
      </c>
      <c r="B895" s="3" t="s">
        <v>399</v>
      </c>
      <c r="C895" s="10">
        <v>45684.296446759261</v>
      </c>
      <c r="D895" s="10">
        <v>45684.298958333333</v>
      </c>
      <c r="E895" s="10">
        <v>45684.315706018519</v>
      </c>
      <c r="F895" s="10">
        <v>45684.317685185182</v>
      </c>
      <c r="G895" s="3" t="s">
        <v>2685</v>
      </c>
      <c r="H895" s="10">
        <v>45684.611678240741</v>
      </c>
      <c r="I895" s="10">
        <v>45685.521655092591</v>
      </c>
      <c r="J895" s="10">
        <v>45685.523078703707</v>
      </c>
      <c r="K895" s="11">
        <f t="shared" si="26"/>
        <v>1.6747685185691807E-2</v>
      </c>
      <c r="L895" s="11">
        <f t="shared" si="27"/>
        <v>1.2039699074084638</v>
      </c>
    </row>
    <row r="896" spans="1:12" x14ac:dyDescent="0.25">
      <c r="A896" s="3" t="s">
        <v>2703</v>
      </c>
      <c r="B896" s="3" t="s">
        <v>399</v>
      </c>
      <c r="C896" s="10">
        <v>45684.296446759261</v>
      </c>
      <c r="D896" s="10">
        <v>45684.298958333333</v>
      </c>
      <c r="E896" s="10">
        <v>45684.317685185182</v>
      </c>
      <c r="F896" s="10">
        <v>45684.319780092592</v>
      </c>
      <c r="G896" s="3" t="s">
        <v>2704</v>
      </c>
      <c r="H896" s="10">
        <v>45684.322175925918</v>
      </c>
      <c r="I896" s="10">
        <v>45685.348171296297</v>
      </c>
      <c r="J896" s="10">
        <v>45685.348796296297</v>
      </c>
      <c r="K896" s="11">
        <f t="shared" si="26"/>
        <v>1.8726851849351078E-2</v>
      </c>
      <c r="L896" s="11">
        <f t="shared" si="27"/>
        <v>1.028391203704814</v>
      </c>
    </row>
    <row r="897" spans="1:12" x14ac:dyDescent="0.25">
      <c r="A897" s="3" t="s">
        <v>2706</v>
      </c>
      <c r="B897" s="3" t="s">
        <v>399</v>
      </c>
      <c r="C897" s="10">
        <v>45684.296446759261</v>
      </c>
      <c r="D897" s="10">
        <v>45684.298958333333</v>
      </c>
      <c r="E897" s="10">
        <v>45684.319780092592</v>
      </c>
      <c r="F897" s="10">
        <v>45684.321412037039</v>
      </c>
      <c r="G897" s="3" t="s">
        <v>2707</v>
      </c>
      <c r="H897" s="10">
        <v>45685.283113425918</v>
      </c>
      <c r="I897" s="10">
        <v>45686.240671296298</v>
      </c>
      <c r="J897" s="10">
        <v>45686.241944444453</v>
      </c>
      <c r="K897" s="11">
        <f t="shared" si="26"/>
        <v>2.0821759258979E-2</v>
      </c>
      <c r="L897" s="11">
        <f t="shared" si="27"/>
        <v>1.919259259258979</v>
      </c>
    </row>
    <row r="898" spans="1:12" x14ac:dyDescent="0.25">
      <c r="A898" s="3" t="s">
        <v>2713</v>
      </c>
      <c r="B898" s="3" t="s">
        <v>402</v>
      </c>
      <c r="C898" s="10">
        <v>45684.353043981479</v>
      </c>
      <c r="D898" s="10">
        <v>45684.355555555558</v>
      </c>
      <c r="E898" s="10">
        <v>45684.375798611109</v>
      </c>
      <c r="F898" s="10">
        <v>45684.37699074074</v>
      </c>
      <c r="G898" s="3" t="s">
        <v>2697</v>
      </c>
      <c r="H898" s="10">
        <v>45684.452337962961</v>
      </c>
      <c r="I898" s="10">
        <v>45685.461956018517</v>
      </c>
      <c r="J898" s="10">
        <v>45685.463333333333</v>
      </c>
      <c r="K898" s="11">
        <f t="shared" ref="K898:K961" si="28">IF(AND(ISNUMBER(D898),ISNUMBER(E898)),(E898-D898),"")</f>
        <v>2.0243055550963618E-2</v>
      </c>
      <c r="L898" s="11">
        <f t="shared" ref="L898:L961" si="29">IF(AND(ISNUMBER(F898),ISNUMBER(I898)),(I898-F898),"")</f>
        <v>1.0849652777760639</v>
      </c>
    </row>
    <row r="899" spans="1:12" x14ac:dyDescent="0.25">
      <c r="A899" s="3" t="s">
        <v>2715</v>
      </c>
      <c r="B899" s="3" t="s">
        <v>402</v>
      </c>
      <c r="C899" s="10">
        <v>45684.353043981479</v>
      </c>
      <c r="D899" s="10">
        <v>45684.355555555558</v>
      </c>
      <c r="E899" s="10">
        <v>45684.37699074074</v>
      </c>
      <c r="F899" s="10">
        <v>45684.378912037027</v>
      </c>
      <c r="G899" s="3" t="s">
        <v>2716</v>
      </c>
      <c r="H899" s="10">
        <v>45684.752835648149</v>
      </c>
      <c r="I899" s="10">
        <v>45685.707268518519</v>
      </c>
      <c r="J899" s="10">
        <v>45685.708368055559</v>
      </c>
      <c r="K899" s="11">
        <f t="shared" si="28"/>
        <v>2.1435185182781424E-2</v>
      </c>
      <c r="L899" s="11">
        <f t="shared" si="29"/>
        <v>1.3283564814919373</v>
      </c>
    </row>
    <row r="900" spans="1:12" x14ac:dyDescent="0.25">
      <c r="A900" s="3" t="s">
        <v>2718</v>
      </c>
      <c r="B900" s="3" t="s">
        <v>402</v>
      </c>
      <c r="C900" s="10">
        <v>45684.353043981479</v>
      </c>
      <c r="D900" s="10">
        <v>45684.355555555558</v>
      </c>
      <c r="E900" s="10">
        <v>45684.378912037027</v>
      </c>
      <c r="F900" s="10">
        <v>45684.380069444444</v>
      </c>
      <c r="G900" s="3" t="s">
        <v>2697</v>
      </c>
      <c r="H900" s="10">
        <v>45684.452337962961</v>
      </c>
      <c r="I900" s="10">
        <v>45685.461956018517</v>
      </c>
      <c r="J900" s="10">
        <v>45685.463333333333</v>
      </c>
      <c r="K900" s="11">
        <f t="shared" si="28"/>
        <v>2.3356481469818391E-2</v>
      </c>
      <c r="L900" s="11">
        <f t="shared" si="29"/>
        <v>1.0818865740729962</v>
      </c>
    </row>
    <row r="901" spans="1:12" x14ac:dyDescent="0.25">
      <c r="A901" s="3" t="s">
        <v>2720</v>
      </c>
      <c r="B901" s="3" t="s">
        <v>402</v>
      </c>
      <c r="C901" s="10">
        <v>45684.353043981479</v>
      </c>
      <c r="D901" s="10">
        <v>45684.355555555558</v>
      </c>
      <c r="E901" s="10">
        <v>45684.380069444444</v>
      </c>
      <c r="F901" s="10">
        <v>45684.382002314807</v>
      </c>
      <c r="G901" s="3" t="s">
        <v>2685</v>
      </c>
      <c r="H901" s="10">
        <v>45684.611678240741</v>
      </c>
      <c r="I901" s="10">
        <v>45685.521655092591</v>
      </c>
      <c r="J901" s="10">
        <v>45685.523078703707</v>
      </c>
      <c r="K901" s="11">
        <f t="shared" si="28"/>
        <v>2.4513888885849155E-2</v>
      </c>
      <c r="L901" s="11">
        <f t="shared" si="29"/>
        <v>1.1396527777833398</v>
      </c>
    </row>
    <row r="902" spans="1:12" x14ac:dyDescent="0.25">
      <c r="A902" s="3" t="s">
        <v>2722</v>
      </c>
      <c r="B902" s="3" t="s">
        <v>402</v>
      </c>
      <c r="C902" s="10">
        <v>45684.353043981479</v>
      </c>
      <c r="D902" s="10">
        <v>45684.355555555558</v>
      </c>
      <c r="E902" s="10">
        <v>45684.382002314807</v>
      </c>
      <c r="F902" s="10">
        <v>45684.384259259263</v>
      </c>
      <c r="G902" s="3" t="s">
        <v>2631</v>
      </c>
      <c r="H902" s="10">
        <v>45684.389710648153</v>
      </c>
      <c r="I902" s="10">
        <v>45685.369837962957</v>
      </c>
      <c r="J902" s="10">
        <v>45685.370671296303</v>
      </c>
      <c r="K902" s="11">
        <f t="shared" si="28"/>
        <v>2.6446759249665774E-2</v>
      </c>
      <c r="L902" s="11">
        <f t="shared" si="29"/>
        <v>0.98557870369404554</v>
      </c>
    </row>
    <row r="903" spans="1:12" x14ac:dyDescent="0.25">
      <c r="A903" s="3" t="s">
        <v>2726</v>
      </c>
      <c r="B903" s="3" t="s">
        <v>402</v>
      </c>
      <c r="C903" s="10">
        <v>45684.353043981479</v>
      </c>
      <c r="D903" s="10">
        <v>45684.355555555558</v>
      </c>
      <c r="E903" s="10">
        <v>45684.384259259263</v>
      </c>
      <c r="F903" s="10">
        <v>45684.386145833327</v>
      </c>
      <c r="G903" s="3" t="s">
        <v>2631</v>
      </c>
      <c r="H903" s="10">
        <v>45684.389710648153</v>
      </c>
      <c r="I903" s="10">
        <v>45685.369837962957</v>
      </c>
      <c r="J903" s="10">
        <v>45685.370671296303</v>
      </c>
      <c r="K903" s="11">
        <f t="shared" si="28"/>
        <v>2.8703703705104999E-2</v>
      </c>
      <c r="L903" s="11">
        <f t="shared" si="29"/>
        <v>0.98369212963007158</v>
      </c>
    </row>
    <row r="904" spans="1:12" x14ac:dyDescent="0.25">
      <c r="A904" s="3" t="s">
        <v>2728</v>
      </c>
      <c r="B904" s="3" t="s">
        <v>402</v>
      </c>
      <c r="C904" s="10">
        <v>45684.353043981479</v>
      </c>
      <c r="D904" s="10">
        <v>45684.355555555558</v>
      </c>
      <c r="E904" s="10">
        <v>45684.386145833327</v>
      </c>
      <c r="F904" s="10">
        <v>45684.387743055559</v>
      </c>
      <c r="G904" s="3" t="s">
        <v>2707</v>
      </c>
      <c r="H904" s="10">
        <v>45685.283113425918</v>
      </c>
      <c r="I904" s="10">
        <v>45686.240671296298</v>
      </c>
      <c r="J904" s="10">
        <v>45686.241944444453</v>
      </c>
      <c r="K904" s="11">
        <f t="shared" si="28"/>
        <v>3.0590277769078966E-2</v>
      </c>
      <c r="L904" s="11">
        <f t="shared" si="29"/>
        <v>1.8529282407398568</v>
      </c>
    </row>
    <row r="905" spans="1:12" x14ac:dyDescent="0.25">
      <c r="A905" s="3" t="s">
        <v>2730</v>
      </c>
      <c r="B905" s="3" t="s">
        <v>402</v>
      </c>
      <c r="C905" s="10">
        <v>45684.353043981479</v>
      </c>
      <c r="D905" s="10">
        <v>45684.355555555558</v>
      </c>
      <c r="E905" s="10">
        <v>45684.387743055559</v>
      </c>
      <c r="F905" s="10">
        <v>45684.388935185183</v>
      </c>
      <c r="G905" s="3" t="s">
        <v>2697</v>
      </c>
      <c r="H905" s="10">
        <v>45684.452337962961</v>
      </c>
      <c r="I905" s="10">
        <v>45685.461956018517</v>
      </c>
      <c r="J905" s="10">
        <v>45685.463333333333</v>
      </c>
      <c r="K905" s="11">
        <f t="shared" si="28"/>
        <v>3.2187500000873115E-2</v>
      </c>
      <c r="L905" s="11">
        <f t="shared" si="29"/>
        <v>1.0730208333334303</v>
      </c>
    </row>
    <row r="906" spans="1:12" x14ac:dyDescent="0.25">
      <c r="A906" s="3" t="s">
        <v>2733</v>
      </c>
      <c r="B906" s="3" t="s">
        <v>402</v>
      </c>
      <c r="C906" s="10">
        <v>45684.353043981479</v>
      </c>
      <c r="D906" s="10">
        <v>45684.355555555558</v>
      </c>
      <c r="E906" s="10">
        <v>45684.388935185183</v>
      </c>
      <c r="F906" s="10">
        <v>45684.390856481477</v>
      </c>
      <c r="G906" s="3" t="s">
        <v>2690</v>
      </c>
      <c r="H906" s="10">
        <v>45685.134421296287</v>
      </c>
      <c r="I906" s="10">
        <v>45686.152291666673</v>
      </c>
      <c r="J906" s="10">
        <v>45686.153078703697</v>
      </c>
      <c r="K906" s="11">
        <f t="shared" si="28"/>
        <v>3.3379629625414964E-2</v>
      </c>
      <c r="L906" s="11">
        <f t="shared" si="29"/>
        <v>1.7614351851952961</v>
      </c>
    </row>
    <row r="907" spans="1:12" x14ac:dyDescent="0.25">
      <c r="A907" s="3" t="s">
        <v>2737</v>
      </c>
      <c r="B907" s="3" t="s">
        <v>404</v>
      </c>
      <c r="C907" s="10">
        <v>45684.437118055554</v>
      </c>
      <c r="D907" s="10">
        <v>45684.439722222232</v>
      </c>
      <c r="E907" s="10">
        <v>45684.447905092587</v>
      </c>
      <c r="F907" s="10">
        <v>45684.449942129628</v>
      </c>
      <c r="G907" s="3" t="s">
        <v>2697</v>
      </c>
      <c r="H907" s="10">
        <v>45684.452337962961</v>
      </c>
      <c r="I907" s="10">
        <v>45685.461956018517</v>
      </c>
      <c r="J907" s="10">
        <v>45685.463333333333</v>
      </c>
      <c r="K907" s="11">
        <f t="shared" si="28"/>
        <v>8.1828703550854698E-3</v>
      </c>
      <c r="L907" s="11">
        <f t="shared" si="29"/>
        <v>1.0120138888887595</v>
      </c>
    </row>
    <row r="908" spans="1:12" x14ac:dyDescent="0.25">
      <c r="A908" s="3" t="s">
        <v>2739</v>
      </c>
      <c r="B908" s="3" t="s">
        <v>404</v>
      </c>
      <c r="C908" s="10">
        <v>45684.437118055554</v>
      </c>
      <c r="D908" s="10">
        <v>45684.439722222232</v>
      </c>
      <c r="E908" s="10">
        <v>45684.449942129628</v>
      </c>
      <c r="F908" s="10">
        <v>45684.452025462961</v>
      </c>
      <c r="G908" s="3" t="s">
        <v>2740</v>
      </c>
      <c r="H908" s="10">
        <v>45684.678819444453</v>
      </c>
      <c r="I908" s="10">
        <v>45685.570752314823</v>
      </c>
      <c r="J908" s="10">
        <v>45685.571527777778</v>
      </c>
      <c r="K908" s="11">
        <f t="shared" si="28"/>
        <v>1.0219907395367045E-2</v>
      </c>
      <c r="L908" s="11">
        <f t="shared" si="29"/>
        <v>1.1187268518624478</v>
      </c>
    </row>
    <row r="909" spans="1:12" x14ac:dyDescent="0.25">
      <c r="A909" s="3" t="s">
        <v>2742</v>
      </c>
      <c r="B909" s="3" t="s">
        <v>405</v>
      </c>
      <c r="C909" s="10">
        <v>45684.528611111113</v>
      </c>
      <c r="D909" s="10">
        <v>45684.530694444453</v>
      </c>
      <c r="E909" s="10">
        <v>45684.536064814813</v>
      </c>
      <c r="F909" s="10">
        <v>45684.538240740738</v>
      </c>
      <c r="G909" s="3" t="s">
        <v>2743</v>
      </c>
      <c r="H909" s="10">
        <v>45684.540636574071</v>
      </c>
      <c r="I909" s="10">
        <v>45685.450543981482</v>
      </c>
      <c r="J909" s="10">
        <v>45685.451631944437</v>
      </c>
      <c r="K909" s="11">
        <f t="shared" si="28"/>
        <v>5.3703703597420827E-3</v>
      </c>
      <c r="L909" s="11">
        <f t="shared" si="29"/>
        <v>0.91230324074422242</v>
      </c>
    </row>
    <row r="910" spans="1:12" x14ac:dyDescent="0.25">
      <c r="A910" s="3" t="s">
        <v>2745</v>
      </c>
      <c r="B910" s="3" t="s">
        <v>406</v>
      </c>
      <c r="C910" s="10">
        <v>45684.597511574073</v>
      </c>
      <c r="D910" s="10">
        <v>45684.599988425929</v>
      </c>
      <c r="E910" s="10">
        <v>45684.60670138889</v>
      </c>
      <c r="F910" s="10">
        <v>45684.609502314823</v>
      </c>
      <c r="G910" s="3" t="s">
        <v>2685</v>
      </c>
      <c r="H910" s="10">
        <v>45684.611678240741</v>
      </c>
      <c r="I910" s="10">
        <v>45685.521655092591</v>
      </c>
      <c r="J910" s="10">
        <v>45685.523078703707</v>
      </c>
      <c r="K910" s="11">
        <f t="shared" si="28"/>
        <v>6.7129629605915397E-3</v>
      </c>
      <c r="L910" s="11">
        <f t="shared" si="29"/>
        <v>0.91215277776791481</v>
      </c>
    </row>
    <row r="911" spans="1:12" x14ac:dyDescent="0.25">
      <c r="A911" s="3" t="s">
        <v>2747</v>
      </c>
      <c r="B911" s="3" t="s">
        <v>407</v>
      </c>
      <c r="C911" s="10">
        <v>45684.643055555563</v>
      </c>
      <c r="D911" s="10">
        <v>45684.644305555557</v>
      </c>
      <c r="E911" s="10">
        <v>45684.648090277777</v>
      </c>
      <c r="F911" s="10">
        <v>45684.650173611109</v>
      </c>
      <c r="G911" s="3" t="s">
        <v>2748</v>
      </c>
      <c r="H911" s="10">
        <v>45684.681550925918</v>
      </c>
      <c r="I911" s="10">
        <v>45685.663553240738</v>
      </c>
      <c r="J911" s="10">
        <v>45685.664814814823</v>
      </c>
      <c r="K911" s="11">
        <f t="shared" si="28"/>
        <v>3.7847222192795016E-3</v>
      </c>
      <c r="L911" s="11">
        <f t="shared" si="29"/>
        <v>1.0133796296286164</v>
      </c>
    </row>
    <row r="912" spans="1:12" x14ac:dyDescent="0.25">
      <c r="A912" s="3" t="s">
        <v>2750</v>
      </c>
      <c r="B912" s="3" t="s">
        <v>408</v>
      </c>
      <c r="C912" s="10">
        <v>45684.662835648152</v>
      </c>
      <c r="D912" s="10">
        <v>45684.665312500001</v>
      </c>
      <c r="E912" s="10">
        <v>45684.673078703701</v>
      </c>
      <c r="F912" s="10">
        <v>45684.675254629627</v>
      </c>
      <c r="G912" s="3" t="s">
        <v>2740</v>
      </c>
      <c r="H912" s="10">
        <v>45684.678819444453</v>
      </c>
      <c r="I912" s="10">
        <v>45685.570752314823</v>
      </c>
      <c r="J912" s="10">
        <v>45685.571527777778</v>
      </c>
      <c r="K912" s="11">
        <f t="shared" si="28"/>
        <v>7.7662037001573481E-3</v>
      </c>
      <c r="L912" s="11">
        <f t="shared" si="29"/>
        <v>0.89549768519646022</v>
      </c>
    </row>
    <row r="913" spans="1:12" x14ac:dyDescent="0.25">
      <c r="A913" s="3" t="s">
        <v>2752</v>
      </c>
      <c r="B913" s="3" t="s">
        <v>408</v>
      </c>
      <c r="C913" s="10">
        <v>45684.662835648152</v>
      </c>
      <c r="D913" s="10">
        <v>45684.665312500001</v>
      </c>
      <c r="E913" s="10">
        <v>45684.675254629627</v>
      </c>
      <c r="F913" s="10">
        <v>45684.67765046296</v>
      </c>
      <c r="G913" s="3" t="s">
        <v>2748</v>
      </c>
      <c r="H913" s="10">
        <v>45684.681550925918</v>
      </c>
      <c r="I913" s="10">
        <v>45685.663553240738</v>
      </c>
      <c r="J913" s="10">
        <v>45685.664814814823</v>
      </c>
      <c r="K913" s="11">
        <f t="shared" si="28"/>
        <v>9.9421296254149638E-3</v>
      </c>
      <c r="L913" s="11">
        <f t="shared" si="29"/>
        <v>0.98590277777839219</v>
      </c>
    </row>
    <row r="914" spans="1:12" x14ac:dyDescent="0.25">
      <c r="A914" s="3" t="s">
        <v>2754</v>
      </c>
      <c r="B914" s="3" t="s">
        <v>409</v>
      </c>
      <c r="C914" s="10">
        <v>45684.730185185188</v>
      </c>
      <c r="D914" s="10">
        <v>45684.732314814813</v>
      </c>
      <c r="E914" s="10">
        <v>45684.737847222219</v>
      </c>
      <c r="F914" s="10">
        <v>45684.739733796298</v>
      </c>
      <c r="G914" s="3" t="s">
        <v>2755</v>
      </c>
      <c r="H914" s="10">
        <v>45684.742129629631</v>
      </c>
      <c r="I914" s="10">
        <v>45685.674317129633</v>
      </c>
      <c r="J914" s="10">
        <v>45685.675335648149</v>
      </c>
      <c r="K914" s="11">
        <f t="shared" si="28"/>
        <v>5.5324074055533856E-3</v>
      </c>
      <c r="L914" s="11">
        <f t="shared" si="29"/>
        <v>0.93458333333546761</v>
      </c>
    </row>
    <row r="915" spans="1:12" x14ac:dyDescent="0.25">
      <c r="A915" s="3" t="s">
        <v>2757</v>
      </c>
      <c r="B915" s="3" t="s">
        <v>410</v>
      </c>
      <c r="C915" s="10">
        <v>45684.736273148148</v>
      </c>
      <c r="D915" s="10">
        <v>45684.73846064815</v>
      </c>
      <c r="E915" s="10">
        <v>45684.747870370367</v>
      </c>
      <c r="F915" s="10">
        <v>45684.750439814823</v>
      </c>
      <c r="G915" s="3" t="s">
        <v>2716</v>
      </c>
      <c r="H915" s="10">
        <v>45684.752835648149</v>
      </c>
      <c r="I915" s="10">
        <v>45685.707268518519</v>
      </c>
      <c r="J915" s="10">
        <v>45685.708368055559</v>
      </c>
      <c r="K915" s="11">
        <f t="shared" si="28"/>
        <v>9.4097222172422335E-3</v>
      </c>
      <c r="L915" s="11">
        <f t="shared" si="29"/>
        <v>0.95682870369637385</v>
      </c>
    </row>
    <row r="916" spans="1:12" x14ac:dyDescent="0.25">
      <c r="A916" s="3" t="s">
        <v>2759</v>
      </c>
      <c r="B916" s="3" t="s">
        <v>410</v>
      </c>
      <c r="C916" s="10">
        <v>45684.736273148148</v>
      </c>
      <c r="D916" s="10">
        <v>45684.73846064815</v>
      </c>
      <c r="E916" s="10">
        <v>45684.750439814823</v>
      </c>
      <c r="F916" s="10">
        <v>45684.752523148149</v>
      </c>
      <c r="G916" s="3" t="s">
        <v>2690</v>
      </c>
      <c r="H916" s="10">
        <v>45685.134421296287</v>
      </c>
      <c r="I916" s="10">
        <v>45686.152291666673</v>
      </c>
      <c r="J916" s="10">
        <v>45686.153078703697</v>
      </c>
      <c r="K916" s="11">
        <f t="shared" si="28"/>
        <v>1.1979166672972497E-2</v>
      </c>
      <c r="L916" s="11">
        <f t="shared" si="29"/>
        <v>1.3997685185240698</v>
      </c>
    </row>
    <row r="917" spans="1:12" x14ac:dyDescent="0.25">
      <c r="A917" s="3" t="s">
        <v>2761</v>
      </c>
      <c r="B917" s="3" t="s">
        <v>410</v>
      </c>
      <c r="C917" s="10">
        <v>45684.736273148148</v>
      </c>
      <c r="D917" s="10">
        <v>45684.73846064815</v>
      </c>
      <c r="E917" s="10">
        <v>45684.752523148149</v>
      </c>
      <c r="F917" s="10">
        <v>45684.753854166673</v>
      </c>
      <c r="G917" s="3" t="s">
        <v>2762</v>
      </c>
      <c r="H917" s="10">
        <v>45684.889363425929</v>
      </c>
      <c r="I917" s="10">
        <v>45685.901018518518</v>
      </c>
      <c r="J917" s="10">
        <v>45685.902488425927</v>
      </c>
      <c r="K917" s="11">
        <f t="shared" si="28"/>
        <v>1.4062499998544808E-2</v>
      </c>
      <c r="L917" s="11">
        <f t="shared" si="29"/>
        <v>1.1471643518452765</v>
      </c>
    </row>
    <row r="918" spans="1:12" x14ac:dyDescent="0.25">
      <c r="A918" s="3" t="s">
        <v>2764</v>
      </c>
      <c r="B918" s="3" t="s">
        <v>411</v>
      </c>
      <c r="C918" s="10">
        <v>45684.87395833333</v>
      </c>
      <c r="D918" s="10">
        <v>45684.876469907409</v>
      </c>
      <c r="E918" s="10">
        <v>45684.883310185192</v>
      </c>
      <c r="F918" s="10">
        <v>45684.885462962957</v>
      </c>
      <c r="G918" s="3" t="s">
        <v>2762</v>
      </c>
      <c r="H918" s="10">
        <v>45684.889363425929</v>
      </c>
      <c r="I918" s="10">
        <v>45685.901018518518</v>
      </c>
      <c r="J918" s="10">
        <v>45685.902488425927</v>
      </c>
      <c r="K918" s="11">
        <f t="shared" si="28"/>
        <v>6.8402777833398432E-3</v>
      </c>
      <c r="L918" s="11">
        <f t="shared" si="29"/>
        <v>1.01555555556115</v>
      </c>
    </row>
    <row r="919" spans="1:12" x14ac:dyDescent="0.25">
      <c r="A919" s="3" t="s">
        <v>2766</v>
      </c>
      <c r="B919" s="3" t="s">
        <v>412</v>
      </c>
      <c r="C919" s="10">
        <v>45685.119618055563</v>
      </c>
      <c r="D919" s="10">
        <v>45685.121550925927</v>
      </c>
      <c r="E919" s="10">
        <v>45685.128530092603</v>
      </c>
      <c r="F919" s="10">
        <v>45685.130497685182</v>
      </c>
      <c r="G919" s="3" t="s">
        <v>2690</v>
      </c>
      <c r="H919" s="10">
        <v>45685.134421296287</v>
      </c>
      <c r="I919" s="10">
        <v>45686.152291666673</v>
      </c>
      <c r="J919" s="10">
        <v>45686.153078703697</v>
      </c>
      <c r="K919" s="11">
        <f t="shared" si="28"/>
        <v>6.9791666755918413E-3</v>
      </c>
      <c r="L919" s="11">
        <f t="shared" si="29"/>
        <v>1.0217939814901911</v>
      </c>
    </row>
    <row r="920" spans="1:12" x14ac:dyDescent="0.25">
      <c r="A920" s="3" t="s">
        <v>2768</v>
      </c>
      <c r="B920" s="3" t="s">
        <v>412</v>
      </c>
      <c r="C920" s="10">
        <v>45685.119618055563</v>
      </c>
      <c r="D920" s="10">
        <v>45685.121550925927</v>
      </c>
      <c r="E920" s="10">
        <v>45685.130497685182</v>
      </c>
      <c r="F920" s="10">
        <v>45685.131863425922</v>
      </c>
      <c r="G920" s="3" t="s">
        <v>2769</v>
      </c>
      <c r="H920" s="10">
        <v>45685.134039351848</v>
      </c>
      <c r="I920" s="10">
        <v>45685.904999999999</v>
      </c>
      <c r="J920" s="10">
        <v>45685.905706018522</v>
      </c>
      <c r="K920" s="11">
        <f t="shared" si="28"/>
        <v>8.9467592551955022E-3</v>
      </c>
      <c r="L920" s="11">
        <f t="shared" si="29"/>
        <v>0.77313657407648861</v>
      </c>
    </row>
    <row r="921" spans="1:12" x14ac:dyDescent="0.25">
      <c r="A921" s="3" t="s">
        <v>2771</v>
      </c>
      <c r="B921" s="3" t="s">
        <v>412</v>
      </c>
      <c r="C921" s="10">
        <v>45685.119618055563</v>
      </c>
      <c r="D921" s="10">
        <v>45685.121550925927</v>
      </c>
      <c r="E921" s="10">
        <v>45685.131863425922</v>
      </c>
      <c r="F921" s="10">
        <v>45685.133819444447</v>
      </c>
      <c r="G921" s="3" t="s">
        <v>2772</v>
      </c>
      <c r="H921" s="10">
        <v>45686.401030092587</v>
      </c>
      <c r="I921" s="10">
        <v>45687.36755787037</v>
      </c>
      <c r="J921" s="10">
        <v>45687.368368055562</v>
      </c>
      <c r="K921" s="11">
        <f t="shared" si="28"/>
        <v>1.0312499995052349E-2</v>
      </c>
      <c r="L921" s="11">
        <f t="shared" si="29"/>
        <v>2.2337384259226383</v>
      </c>
    </row>
    <row r="922" spans="1:12" x14ac:dyDescent="0.25">
      <c r="A922" s="3" t="s">
        <v>2774</v>
      </c>
      <c r="B922" s="3" t="s">
        <v>413</v>
      </c>
      <c r="C922" s="10">
        <v>45685.270173611112</v>
      </c>
      <c r="D922" s="10">
        <v>45685.272453703707</v>
      </c>
      <c r="E922" s="10">
        <v>45685.278483796297</v>
      </c>
      <c r="F922" s="10">
        <v>45685.280752314808</v>
      </c>
      <c r="G922" s="3" t="s">
        <v>2707</v>
      </c>
      <c r="H922" s="10">
        <v>45685.283113425918</v>
      </c>
      <c r="I922" s="10">
        <v>45686.240671296298</v>
      </c>
      <c r="J922" s="10">
        <v>45686.241944444453</v>
      </c>
      <c r="K922" s="11">
        <f t="shared" si="28"/>
        <v>6.0300925906631164E-3</v>
      </c>
      <c r="L922" s="11">
        <f t="shared" si="29"/>
        <v>0.95991898149077315</v>
      </c>
    </row>
    <row r="923" spans="1:12" x14ac:dyDescent="0.25">
      <c r="A923" s="3" t="s">
        <v>2776</v>
      </c>
      <c r="B923" s="3" t="s">
        <v>414</v>
      </c>
      <c r="C923" s="10">
        <v>45685.29991898148</v>
      </c>
      <c r="D923" s="10">
        <v>45685.302199074067</v>
      </c>
      <c r="E923" s="10">
        <v>45685.314733796287</v>
      </c>
      <c r="F923" s="10">
        <v>45685.31591435185</v>
      </c>
      <c r="G923" s="3" t="s">
        <v>2777</v>
      </c>
      <c r="H923" s="10">
        <v>45685.41201388889</v>
      </c>
      <c r="I923" s="10">
        <v>45686.341319444437</v>
      </c>
      <c r="J923" s="10">
        <v>45686.342037037037</v>
      </c>
      <c r="K923" s="11">
        <f t="shared" si="28"/>
        <v>1.2534722220152617E-2</v>
      </c>
      <c r="L923" s="11">
        <f t="shared" si="29"/>
        <v>1.0254050925868796</v>
      </c>
    </row>
    <row r="924" spans="1:12" x14ac:dyDescent="0.25">
      <c r="A924" s="3" t="s">
        <v>2779</v>
      </c>
      <c r="B924" s="3" t="s">
        <v>414</v>
      </c>
      <c r="C924" s="10">
        <v>45685.29991898148</v>
      </c>
      <c r="D924" s="10">
        <v>45685.302199074067</v>
      </c>
      <c r="E924" s="10">
        <v>45685.31591435185</v>
      </c>
      <c r="F924" s="10">
        <v>45685.317094907397</v>
      </c>
      <c r="G924" s="3" t="s">
        <v>2777</v>
      </c>
      <c r="H924" s="10">
        <v>45685.41201388889</v>
      </c>
      <c r="I924" s="10">
        <v>45686.341319444437</v>
      </c>
      <c r="J924" s="10">
        <v>45686.342037037037</v>
      </c>
      <c r="K924" s="11">
        <f t="shared" si="28"/>
        <v>1.3715277782466728E-2</v>
      </c>
      <c r="L924" s="11">
        <f t="shared" si="29"/>
        <v>1.0242245370391174</v>
      </c>
    </row>
    <row r="925" spans="1:12" x14ac:dyDescent="0.25">
      <c r="A925" s="3" t="s">
        <v>2781</v>
      </c>
      <c r="B925" s="3" t="s">
        <v>414</v>
      </c>
      <c r="C925" s="10">
        <v>45685.29991898148</v>
      </c>
      <c r="D925" s="10">
        <v>45685.302199074067</v>
      </c>
      <c r="E925" s="10">
        <v>45685.317094907397</v>
      </c>
      <c r="F925" s="10">
        <v>45685.318692129629</v>
      </c>
      <c r="G925" s="3" t="s">
        <v>2782</v>
      </c>
      <c r="H925" s="10">
        <v>45685.415185185193</v>
      </c>
      <c r="I925" s="10">
        <v>45686.378969907397</v>
      </c>
      <c r="J925" s="10">
        <v>45686.379791666674</v>
      </c>
      <c r="K925" s="11">
        <f t="shared" si="28"/>
        <v>1.4895833330228925E-2</v>
      </c>
      <c r="L925" s="11">
        <f t="shared" si="29"/>
        <v>1.0602777777676238</v>
      </c>
    </row>
    <row r="926" spans="1:12" x14ac:dyDescent="0.25">
      <c r="A926" s="3" t="s">
        <v>2784</v>
      </c>
      <c r="B926" s="3" t="s">
        <v>414</v>
      </c>
      <c r="C926" s="10">
        <v>45685.29991898148</v>
      </c>
      <c r="D926" s="10">
        <v>45685.302199074067</v>
      </c>
      <c r="E926" s="10">
        <v>45685.318692129629</v>
      </c>
      <c r="F926" s="10">
        <v>45685.319965277777</v>
      </c>
      <c r="G926" s="3" t="s">
        <v>2785</v>
      </c>
      <c r="H926" s="10">
        <v>45687.34039351852</v>
      </c>
      <c r="I926" s="10">
        <v>45688.325277777767</v>
      </c>
      <c r="J926" s="10">
        <v>45688.326157407413</v>
      </c>
      <c r="K926" s="11">
        <f t="shared" si="28"/>
        <v>1.6493055562023073E-2</v>
      </c>
      <c r="L926" s="11">
        <f t="shared" si="29"/>
        <v>3.0053124999903957</v>
      </c>
    </row>
    <row r="927" spans="1:12" x14ac:dyDescent="0.25">
      <c r="A927" s="3" t="s">
        <v>2787</v>
      </c>
      <c r="B927" s="3" t="s">
        <v>414</v>
      </c>
      <c r="C927" s="10">
        <v>45685.29991898148</v>
      </c>
      <c r="D927" s="10">
        <v>45685.302199074067</v>
      </c>
      <c r="E927" s="10">
        <v>45685.319965277777</v>
      </c>
      <c r="F927" s="10">
        <v>45685.322083333333</v>
      </c>
      <c r="G927" s="3" t="s">
        <v>2788</v>
      </c>
      <c r="H927" s="10">
        <v>45685.327893518523</v>
      </c>
      <c r="I927" s="10">
        <v>45686.292326388888</v>
      </c>
      <c r="J927" s="10">
        <v>45686.292974537027</v>
      </c>
      <c r="K927" s="11">
        <f t="shared" si="28"/>
        <v>1.7766203709470574E-2</v>
      </c>
      <c r="L927" s="11">
        <f t="shared" si="29"/>
        <v>0.97024305555532919</v>
      </c>
    </row>
    <row r="928" spans="1:12" x14ac:dyDescent="0.25">
      <c r="A928" s="3" t="s">
        <v>2791</v>
      </c>
      <c r="B928" s="3" t="s">
        <v>414</v>
      </c>
      <c r="C928" s="10">
        <v>45685.29991898148</v>
      </c>
      <c r="D928" s="10">
        <v>45685.302199074067</v>
      </c>
      <c r="E928" s="10">
        <v>45685.322083333333</v>
      </c>
      <c r="F928" s="10">
        <v>45685.323993055557</v>
      </c>
      <c r="G928" s="3" t="s">
        <v>2788</v>
      </c>
      <c r="H928" s="10">
        <v>45685.327893518523</v>
      </c>
      <c r="I928" s="10">
        <v>45686.292326388888</v>
      </c>
      <c r="J928" s="10">
        <v>45686.292974537027</v>
      </c>
      <c r="K928" s="11">
        <f t="shared" si="28"/>
        <v>1.9884259265381843E-2</v>
      </c>
      <c r="L928" s="11">
        <f t="shared" si="29"/>
        <v>0.96833333333051996</v>
      </c>
    </row>
    <row r="929" spans="1:12" x14ac:dyDescent="0.25">
      <c r="A929" s="3" t="s">
        <v>2824</v>
      </c>
      <c r="B929" s="3" t="s">
        <v>418</v>
      </c>
      <c r="C929" s="10">
        <v>45685.37877314815</v>
      </c>
      <c r="D929" s="10">
        <v>45685.380879629629</v>
      </c>
      <c r="E929" s="10">
        <v>45685.387395833342</v>
      </c>
      <c r="F929" s="10">
        <v>45685.389444444438</v>
      </c>
      <c r="G929" s="3" t="s">
        <v>2798</v>
      </c>
      <c r="H929" s="10">
        <v>45685.453252314823</v>
      </c>
      <c r="I929" s="10">
        <v>45686.442870370367</v>
      </c>
      <c r="J929" s="10">
        <v>45686.443715277783</v>
      </c>
      <c r="K929" s="11">
        <f t="shared" si="28"/>
        <v>6.5162037135451101E-3</v>
      </c>
      <c r="L929" s="11">
        <f t="shared" si="29"/>
        <v>1.0534259259293322</v>
      </c>
    </row>
    <row r="930" spans="1:12" x14ac:dyDescent="0.25">
      <c r="A930" s="3" t="s">
        <v>2826</v>
      </c>
      <c r="B930" s="3" t="s">
        <v>418</v>
      </c>
      <c r="C930" s="10">
        <v>45685.37877314815</v>
      </c>
      <c r="D930" s="10">
        <v>45685.380879629629</v>
      </c>
      <c r="E930" s="10">
        <v>45685.389444444438</v>
      </c>
      <c r="F930" s="10">
        <v>45685.391712962963</v>
      </c>
      <c r="G930" s="3" t="s">
        <v>2827</v>
      </c>
      <c r="H930" s="10">
        <v>45685.394108796303</v>
      </c>
      <c r="I930" s="10">
        <v>45686.342685185176</v>
      </c>
      <c r="J930" s="10">
        <v>45686.343576388892</v>
      </c>
      <c r="K930" s="11">
        <f t="shared" si="28"/>
        <v>8.5648148087784648E-3</v>
      </c>
      <c r="L930" s="11">
        <f t="shared" si="29"/>
        <v>0.95097222221374977</v>
      </c>
    </row>
    <row r="931" spans="1:12" x14ac:dyDescent="0.25">
      <c r="A931" s="3" t="s">
        <v>2795</v>
      </c>
      <c r="B931" s="3" t="s">
        <v>417</v>
      </c>
      <c r="C931" s="10">
        <v>45685.364895833343</v>
      </c>
      <c r="D931" s="10">
        <v>45685.367395833331</v>
      </c>
      <c r="E931" s="10">
        <v>45685.392592592587</v>
      </c>
      <c r="F931" s="10">
        <v>45685.393807870372</v>
      </c>
      <c r="G931" s="3" t="s">
        <v>2777</v>
      </c>
      <c r="H931" s="10">
        <v>45685.41201388889</v>
      </c>
      <c r="I931" s="10">
        <v>45686.341319444437</v>
      </c>
      <c r="J931" s="10">
        <v>45686.342037037037</v>
      </c>
      <c r="K931" s="11">
        <f t="shared" si="28"/>
        <v>2.5196759255777579E-2</v>
      </c>
      <c r="L931" s="11">
        <f t="shared" si="29"/>
        <v>0.94751157406426501</v>
      </c>
    </row>
    <row r="932" spans="1:12" x14ac:dyDescent="0.25">
      <c r="A932" s="3" t="s">
        <v>2797</v>
      </c>
      <c r="B932" s="3" t="s">
        <v>417</v>
      </c>
      <c r="C932" s="10">
        <v>45685.364895833343</v>
      </c>
      <c r="D932" s="10">
        <v>45685.367395833331</v>
      </c>
      <c r="E932" s="10">
        <v>45685.393807870372</v>
      </c>
      <c r="F932" s="10">
        <v>45685.395694444444</v>
      </c>
      <c r="G932" s="3" t="s">
        <v>2798</v>
      </c>
      <c r="H932" s="10">
        <v>45685.453252314823</v>
      </c>
      <c r="I932" s="10">
        <v>45686.442870370367</v>
      </c>
      <c r="J932" s="10">
        <v>45686.443715277783</v>
      </c>
      <c r="K932" s="11">
        <f t="shared" si="28"/>
        <v>2.641203704115469E-2</v>
      </c>
      <c r="L932" s="11">
        <f t="shared" si="29"/>
        <v>1.0471759259235114</v>
      </c>
    </row>
    <row r="933" spans="1:12" x14ac:dyDescent="0.25">
      <c r="A933" s="3" t="s">
        <v>2800</v>
      </c>
      <c r="B933" s="3" t="s">
        <v>417</v>
      </c>
      <c r="C933" s="10">
        <v>45685.364895833343</v>
      </c>
      <c r="D933" s="10">
        <v>45685.367395833331</v>
      </c>
      <c r="E933" s="10">
        <v>45685.395694444444</v>
      </c>
      <c r="F933" s="10">
        <v>45685.396828703713</v>
      </c>
      <c r="G933" s="3" t="s">
        <v>2777</v>
      </c>
      <c r="H933" s="10">
        <v>45685.41201388889</v>
      </c>
      <c r="I933" s="10">
        <v>45686.341319444437</v>
      </c>
      <c r="J933" s="10">
        <v>45686.342037037037</v>
      </c>
      <c r="K933" s="11">
        <f t="shared" si="28"/>
        <v>2.8298611112404615E-2</v>
      </c>
      <c r="L933" s="11">
        <f t="shared" si="29"/>
        <v>0.94449074072326766</v>
      </c>
    </row>
    <row r="934" spans="1:12" x14ac:dyDescent="0.25">
      <c r="A934" s="3" t="s">
        <v>2802</v>
      </c>
      <c r="B934" s="3" t="s">
        <v>417</v>
      </c>
      <c r="C934" s="10">
        <v>45685.364895833343</v>
      </c>
      <c r="D934" s="10">
        <v>45685.367395833331</v>
      </c>
      <c r="E934" s="10">
        <v>45685.396828703713</v>
      </c>
      <c r="F934" s="10">
        <v>45685.39875</v>
      </c>
      <c r="G934" s="3" t="s">
        <v>2803</v>
      </c>
      <c r="H934" s="10">
        <v>45686.317476851851</v>
      </c>
      <c r="I934" s="10">
        <v>45687.368368055562</v>
      </c>
      <c r="J934" s="10">
        <v>45687.369826388887</v>
      </c>
      <c r="K934" s="11">
        <f t="shared" si="28"/>
        <v>2.9432870382152032E-2</v>
      </c>
      <c r="L934" s="11">
        <f t="shared" si="29"/>
        <v>1.9696180555620231</v>
      </c>
    </row>
    <row r="935" spans="1:12" x14ac:dyDescent="0.25">
      <c r="A935" s="3" t="s">
        <v>2805</v>
      </c>
      <c r="B935" s="3" t="s">
        <v>417</v>
      </c>
      <c r="C935" s="10">
        <v>45685.364895833343</v>
      </c>
      <c r="D935" s="10">
        <v>45685.367395833331</v>
      </c>
      <c r="E935" s="10">
        <v>45685.39875</v>
      </c>
      <c r="F935" s="10">
        <v>45685.400034722217</v>
      </c>
      <c r="G935" s="3" t="s">
        <v>2785</v>
      </c>
      <c r="H935" s="10">
        <v>45687.34039351852</v>
      </c>
      <c r="I935" s="10">
        <v>45688.325277777767</v>
      </c>
      <c r="J935" s="10">
        <v>45688.326157407413</v>
      </c>
      <c r="K935" s="11">
        <f t="shared" si="28"/>
        <v>3.1354166669188999E-2</v>
      </c>
      <c r="L935" s="11">
        <f t="shared" si="29"/>
        <v>2.9252430555497995</v>
      </c>
    </row>
    <row r="936" spans="1:12" x14ac:dyDescent="0.25">
      <c r="A936" s="3" t="s">
        <v>2807</v>
      </c>
      <c r="B936" s="3" t="s">
        <v>417</v>
      </c>
      <c r="C936" s="10">
        <v>45685.364895833343</v>
      </c>
      <c r="D936" s="10">
        <v>45685.367395833331</v>
      </c>
      <c r="E936" s="10">
        <v>45685.400034722217</v>
      </c>
      <c r="F936" s="10">
        <v>45685.401967592603</v>
      </c>
      <c r="G936" s="3" t="s">
        <v>2772</v>
      </c>
      <c r="H936" s="10">
        <v>45686.401030092587</v>
      </c>
      <c r="I936" s="10">
        <v>45687.36755787037</v>
      </c>
      <c r="J936" s="10">
        <v>45687.368368055562</v>
      </c>
      <c r="K936" s="11">
        <f t="shared" si="28"/>
        <v>3.2638888886140194E-2</v>
      </c>
      <c r="L936" s="11">
        <f t="shared" si="29"/>
        <v>1.9655902777667507</v>
      </c>
    </row>
    <row r="937" spans="1:12" x14ac:dyDescent="0.25">
      <c r="A937" s="3" t="s">
        <v>2809</v>
      </c>
      <c r="B937" s="3" t="s">
        <v>417</v>
      </c>
      <c r="C937" s="10">
        <v>45685.364895833343</v>
      </c>
      <c r="D937" s="10">
        <v>45685.367395833331</v>
      </c>
      <c r="E937" s="10">
        <v>45685.401967592603</v>
      </c>
      <c r="F937" s="10">
        <v>45685.403958333343</v>
      </c>
      <c r="G937" s="3" t="s">
        <v>2810</v>
      </c>
      <c r="H937" s="10">
        <v>45685.632013888891</v>
      </c>
      <c r="I937" s="10">
        <v>45686.678206018521</v>
      </c>
      <c r="J937" s="10">
        <v>45686.678865740738</v>
      </c>
      <c r="K937" s="11">
        <f t="shared" si="28"/>
        <v>3.4571759271784686E-2</v>
      </c>
      <c r="L937" s="11">
        <f t="shared" si="29"/>
        <v>1.2742476851781248</v>
      </c>
    </row>
    <row r="938" spans="1:12" x14ac:dyDescent="0.25">
      <c r="A938" s="3" t="s">
        <v>2812</v>
      </c>
      <c r="B938" s="3" t="s">
        <v>417</v>
      </c>
      <c r="C938" s="10">
        <v>45685.364895833343</v>
      </c>
      <c r="D938" s="10">
        <v>45685.367395833331</v>
      </c>
      <c r="E938" s="10">
        <v>45685.403958333343</v>
      </c>
      <c r="F938" s="10">
        <v>45685.405104166668</v>
      </c>
      <c r="G938" s="3" t="s">
        <v>2777</v>
      </c>
      <c r="H938" s="10">
        <v>45685.41201388889</v>
      </c>
      <c r="I938" s="10">
        <v>45686.341319444437</v>
      </c>
      <c r="J938" s="10">
        <v>45686.342037037037</v>
      </c>
      <c r="K938" s="11">
        <f t="shared" si="28"/>
        <v>3.6562500012223609E-2</v>
      </c>
      <c r="L938" s="11">
        <f t="shared" si="29"/>
        <v>0.93621527776849689</v>
      </c>
    </row>
    <row r="939" spans="1:12" x14ac:dyDescent="0.25">
      <c r="A939" s="3" t="s">
        <v>2814</v>
      </c>
      <c r="B939" s="3" t="s">
        <v>417</v>
      </c>
      <c r="C939" s="10">
        <v>45685.364895833343</v>
      </c>
      <c r="D939" s="10">
        <v>45685.367395833331</v>
      </c>
      <c r="E939" s="10">
        <v>45685.405104166668</v>
      </c>
      <c r="F939" s="10">
        <v>45685.40697916667</v>
      </c>
      <c r="G939" s="3" t="s">
        <v>2810</v>
      </c>
      <c r="H939" s="10">
        <v>45685.632013888891</v>
      </c>
      <c r="I939" s="10">
        <v>45686.678206018521</v>
      </c>
      <c r="J939" s="10">
        <v>45686.678865740738</v>
      </c>
      <c r="K939" s="11">
        <f t="shared" si="28"/>
        <v>3.7708333336922806E-2</v>
      </c>
      <c r="L939" s="11">
        <f t="shared" si="29"/>
        <v>1.2712268518516794</v>
      </c>
    </row>
    <row r="940" spans="1:12" x14ac:dyDescent="0.25">
      <c r="A940" s="3" t="s">
        <v>2817</v>
      </c>
      <c r="B940" s="3" t="s">
        <v>417</v>
      </c>
      <c r="C940" s="10">
        <v>45685.364895833343</v>
      </c>
      <c r="D940" s="10">
        <v>45685.367395833331</v>
      </c>
      <c r="E940" s="10">
        <v>45685.40697916667</v>
      </c>
      <c r="F940" s="10">
        <v>45685.408125000002</v>
      </c>
      <c r="G940" s="3" t="s">
        <v>2777</v>
      </c>
      <c r="H940" s="10">
        <v>45685.41201388889</v>
      </c>
      <c r="I940" s="10">
        <v>45686.341319444437</v>
      </c>
      <c r="J940" s="10">
        <v>45686.342037037037</v>
      </c>
      <c r="K940" s="11">
        <f t="shared" si="28"/>
        <v>3.9583333338669036E-2</v>
      </c>
      <c r="L940" s="11">
        <f t="shared" si="29"/>
        <v>0.93319444443477551</v>
      </c>
    </row>
    <row r="941" spans="1:12" x14ac:dyDescent="0.25">
      <c r="A941" s="3" t="s">
        <v>2819</v>
      </c>
      <c r="B941" s="3" t="s">
        <v>417</v>
      </c>
      <c r="C941" s="10">
        <v>45685.364895833343</v>
      </c>
      <c r="D941" s="10">
        <v>45685.367395833331</v>
      </c>
      <c r="E941" s="10">
        <v>45685.408125000002</v>
      </c>
      <c r="F941" s="10">
        <v>45685.410057870373</v>
      </c>
      <c r="G941" s="3" t="s">
        <v>2772</v>
      </c>
      <c r="H941" s="10">
        <v>45686.401030092587</v>
      </c>
      <c r="I941" s="10">
        <v>45687.36755787037</v>
      </c>
      <c r="J941" s="10">
        <v>45687.368368055562</v>
      </c>
      <c r="K941" s="11">
        <f t="shared" si="28"/>
        <v>4.072916667064419E-2</v>
      </c>
      <c r="L941" s="11">
        <f t="shared" si="29"/>
        <v>1.9574999999967986</v>
      </c>
    </row>
    <row r="942" spans="1:12" x14ac:dyDescent="0.25">
      <c r="A942" s="3" t="s">
        <v>2822</v>
      </c>
      <c r="B942" s="3" t="s">
        <v>417</v>
      </c>
      <c r="C942" s="10">
        <v>45685.364895833343</v>
      </c>
      <c r="D942" s="10">
        <v>45685.367395833331</v>
      </c>
      <c r="E942" s="10">
        <v>45685.410057870373</v>
      </c>
      <c r="F942" s="10">
        <v>45685.411631944437</v>
      </c>
      <c r="G942" s="3" t="s">
        <v>2782</v>
      </c>
      <c r="H942" s="10">
        <v>45685.415185185193</v>
      </c>
      <c r="I942" s="10">
        <v>45686.378969907397</v>
      </c>
      <c r="J942" s="10">
        <v>45686.379791666674</v>
      </c>
      <c r="K942" s="11">
        <f t="shared" si="28"/>
        <v>4.2662037041736767E-2</v>
      </c>
      <c r="L942" s="11">
        <f t="shared" si="29"/>
        <v>0.9673379629603005</v>
      </c>
    </row>
    <row r="943" spans="1:12" x14ac:dyDescent="0.25">
      <c r="A943" s="3" t="s">
        <v>2829</v>
      </c>
      <c r="B943" s="3" t="s">
        <v>419</v>
      </c>
      <c r="C943" s="10">
        <v>45685.437291666669</v>
      </c>
      <c r="D943" s="10">
        <v>45685.439513888887</v>
      </c>
      <c r="E943" s="10">
        <v>45685.447581018518</v>
      </c>
      <c r="F943" s="10">
        <v>45685.449699074074</v>
      </c>
      <c r="G943" s="3" t="s">
        <v>2798</v>
      </c>
      <c r="H943" s="10">
        <v>45685.453252314823</v>
      </c>
      <c r="I943" s="10">
        <v>45686.442870370367</v>
      </c>
      <c r="J943" s="10">
        <v>45686.443715277783</v>
      </c>
      <c r="K943" s="11">
        <f t="shared" si="28"/>
        <v>8.0671296309446916E-3</v>
      </c>
      <c r="L943" s="11">
        <f t="shared" si="29"/>
        <v>0.99317129629343981</v>
      </c>
    </row>
    <row r="944" spans="1:12" x14ac:dyDescent="0.25">
      <c r="A944" s="3" t="s">
        <v>2831</v>
      </c>
      <c r="B944" s="3" t="s">
        <v>419</v>
      </c>
      <c r="C944" s="10">
        <v>45685.437291666669</v>
      </c>
      <c r="D944" s="10">
        <v>45685.439513888887</v>
      </c>
      <c r="E944" s="10">
        <v>45685.449699074074</v>
      </c>
      <c r="F944" s="10">
        <v>45685.451666666668</v>
      </c>
      <c r="G944" s="3" t="s">
        <v>2803</v>
      </c>
      <c r="H944" s="10">
        <v>45686.317476851851</v>
      </c>
      <c r="I944" s="10">
        <v>45687.368368055562</v>
      </c>
      <c r="J944" s="10">
        <v>45687.369826388887</v>
      </c>
      <c r="K944" s="11">
        <f t="shared" si="28"/>
        <v>1.0185185186855961E-2</v>
      </c>
      <c r="L944" s="11">
        <f t="shared" si="29"/>
        <v>1.9167013888945803</v>
      </c>
    </row>
    <row r="945" spans="1:12" x14ac:dyDescent="0.25">
      <c r="A945" s="3" t="s">
        <v>2833</v>
      </c>
      <c r="B945" s="3" t="s">
        <v>419</v>
      </c>
      <c r="C945" s="10">
        <v>45685.437291666669</v>
      </c>
      <c r="D945" s="10">
        <v>45685.439513888887</v>
      </c>
      <c r="E945" s="10">
        <v>45685.451666666668</v>
      </c>
      <c r="F945" s="10">
        <v>45685.453692129631</v>
      </c>
      <c r="G945" s="3" t="s">
        <v>2834</v>
      </c>
      <c r="H945" s="10">
        <v>45685.456087962957</v>
      </c>
      <c r="I945" s="10">
        <v>45686.476886574077</v>
      </c>
      <c r="J945" s="10">
        <v>45686.477824074071</v>
      </c>
      <c r="K945" s="11">
        <f t="shared" si="28"/>
        <v>1.2152777781011537E-2</v>
      </c>
      <c r="L945" s="11">
        <f t="shared" si="29"/>
        <v>1.023194444445835</v>
      </c>
    </row>
    <row r="946" spans="1:12" x14ac:dyDescent="0.25">
      <c r="A946" s="3" t="s">
        <v>2836</v>
      </c>
      <c r="B946" s="3" t="s">
        <v>420</v>
      </c>
      <c r="C946" s="10">
        <v>45685.538668981477</v>
      </c>
      <c r="D946" s="10">
        <v>45685.540937500002</v>
      </c>
      <c r="E946" s="10">
        <v>45685.546712962961</v>
      </c>
      <c r="F946" s="10">
        <v>45685.548518518517</v>
      </c>
      <c r="G946" s="3" t="s">
        <v>2837</v>
      </c>
      <c r="H946" s="10">
        <v>45685.55091435185</v>
      </c>
      <c r="I946" s="10">
        <v>45686.606689814813</v>
      </c>
      <c r="J946" s="10">
        <v>45686.607835648138</v>
      </c>
      <c r="K946" s="11">
        <f t="shared" si="28"/>
        <v>5.7754629597184248E-3</v>
      </c>
      <c r="L946" s="11">
        <f t="shared" si="29"/>
        <v>1.0581712962957681</v>
      </c>
    </row>
    <row r="947" spans="1:12" x14ac:dyDescent="0.25">
      <c r="A947" s="3" t="s">
        <v>2839</v>
      </c>
      <c r="B947" s="3" t="s">
        <v>421</v>
      </c>
      <c r="C947" s="10">
        <v>45685.593784722223</v>
      </c>
      <c r="D947" s="10">
        <v>45685.596273148149</v>
      </c>
      <c r="E947" s="10">
        <v>45685.603101851862</v>
      </c>
      <c r="F947" s="10">
        <v>45685.605995370373</v>
      </c>
      <c r="G947" s="3" t="s">
        <v>2840</v>
      </c>
      <c r="H947" s="10">
        <v>45685.60837962963</v>
      </c>
      <c r="I947" s="10">
        <v>45686.684039351851</v>
      </c>
      <c r="J947" s="10">
        <v>45686.685439814813</v>
      </c>
      <c r="K947" s="11">
        <f t="shared" si="28"/>
        <v>6.8287037138361484E-3</v>
      </c>
      <c r="L947" s="11">
        <f t="shared" si="29"/>
        <v>1.0780439814770943</v>
      </c>
    </row>
    <row r="948" spans="1:12" x14ac:dyDescent="0.25">
      <c r="A948" s="3" t="s">
        <v>2842</v>
      </c>
      <c r="B948" s="3" t="s">
        <v>422</v>
      </c>
      <c r="C948" s="10">
        <v>45685.600902777784</v>
      </c>
      <c r="D948" s="10">
        <v>45685.603344907409</v>
      </c>
      <c r="E948" s="10">
        <v>45685.620486111111</v>
      </c>
      <c r="F948" s="10">
        <v>45685.62226851852</v>
      </c>
      <c r="G948" s="3" t="s">
        <v>2843</v>
      </c>
      <c r="H948" s="10">
        <v>45686.644490740742</v>
      </c>
      <c r="I948" s="10">
        <v>45687.633773148147</v>
      </c>
      <c r="J948" s="10">
        <v>45687.634571759263</v>
      </c>
      <c r="K948" s="11">
        <f t="shared" si="28"/>
        <v>1.714120370161254E-2</v>
      </c>
      <c r="L948" s="11">
        <f t="shared" si="29"/>
        <v>2.0115046296268702</v>
      </c>
    </row>
    <row r="949" spans="1:12" x14ac:dyDescent="0.25">
      <c r="A949" s="3" t="s">
        <v>2845</v>
      </c>
      <c r="B949" s="3" t="s">
        <v>422</v>
      </c>
      <c r="C949" s="10">
        <v>45685.600902777784</v>
      </c>
      <c r="D949" s="10">
        <v>45685.603344907409</v>
      </c>
      <c r="E949" s="10">
        <v>45685.62226851852</v>
      </c>
      <c r="F949" s="10">
        <v>45685.624189814807</v>
      </c>
      <c r="G949" s="3" t="s">
        <v>2772</v>
      </c>
      <c r="H949" s="10">
        <v>45686.401030092587</v>
      </c>
      <c r="I949" s="10">
        <v>45687.36755787037</v>
      </c>
      <c r="J949" s="10">
        <v>45687.368368055562</v>
      </c>
      <c r="K949" s="11">
        <f t="shared" si="28"/>
        <v>1.8923611110949423E-2</v>
      </c>
      <c r="L949" s="11">
        <f t="shared" si="29"/>
        <v>1.7433680555623141</v>
      </c>
    </row>
    <row r="950" spans="1:12" x14ac:dyDescent="0.25">
      <c r="A950" s="3" t="s">
        <v>2847</v>
      </c>
      <c r="B950" s="3" t="s">
        <v>422</v>
      </c>
      <c r="C950" s="10">
        <v>45685.600902777784</v>
      </c>
      <c r="D950" s="10">
        <v>45685.603344907409</v>
      </c>
      <c r="E950" s="10">
        <v>45685.624189814807</v>
      </c>
      <c r="F950" s="10">
        <v>45685.626122685193</v>
      </c>
      <c r="G950" s="3" t="s">
        <v>2772</v>
      </c>
      <c r="H950" s="10">
        <v>45686.401030092587</v>
      </c>
      <c r="I950" s="10">
        <v>45687.36755787037</v>
      </c>
      <c r="J950" s="10">
        <v>45687.368368055562</v>
      </c>
      <c r="K950" s="11">
        <f t="shared" si="28"/>
        <v>2.084490739798639E-2</v>
      </c>
      <c r="L950" s="11">
        <f t="shared" si="29"/>
        <v>1.7414351851766696</v>
      </c>
    </row>
    <row r="951" spans="1:12" x14ac:dyDescent="0.25">
      <c r="A951" s="3" t="s">
        <v>2849</v>
      </c>
      <c r="B951" s="3" t="s">
        <v>422</v>
      </c>
      <c r="C951" s="10">
        <v>45685.600902777784</v>
      </c>
      <c r="D951" s="10">
        <v>45685.603344907409</v>
      </c>
      <c r="E951" s="10">
        <v>45685.626122685193</v>
      </c>
      <c r="F951" s="10">
        <v>45685.62809027778</v>
      </c>
      <c r="G951" s="3" t="s">
        <v>2810</v>
      </c>
      <c r="H951" s="10">
        <v>45685.632013888891</v>
      </c>
      <c r="I951" s="10">
        <v>45686.678206018521</v>
      </c>
      <c r="J951" s="10">
        <v>45686.678865740738</v>
      </c>
      <c r="K951" s="11">
        <f t="shared" si="28"/>
        <v>2.2777777783630881E-2</v>
      </c>
      <c r="L951" s="11">
        <f t="shared" si="29"/>
        <v>1.0501157407416031</v>
      </c>
    </row>
    <row r="952" spans="1:12" x14ac:dyDescent="0.25">
      <c r="A952" s="3" t="s">
        <v>2852</v>
      </c>
      <c r="B952" s="3" t="s">
        <v>422</v>
      </c>
      <c r="C952" s="10">
        <v>45685.600902777784</v>
      </c>
      <c r="D952" s="10">
        <v>45685.603344907409</v>
      </c>
      <c r="E952" s="10">
        <v>45685.62809027778</v>
      </c>
      <c r="F952" s="10">
        <v>45685.629675925928</v>
      </c>
      <c r="G952" s="3" t="s">
        <v>2853</v>
      </c>
      <c r="H952" s="10">
        <v>45686.273009259261</v>
      </c>
      <c r="I952" s="10">
        <v>45687.325578703712</v>
      </c>
      <c r="J952" s="10">
        <v>45687.326863425929</v>
      </c>
      <c r="K952" s="11">
        <f t="shared" si="28"/>
        <v>2.47453703705105E-2</v>
      </c>
      <c r="L952" s="11">
        <f t="shared" si="29"/>
        <v>1.695902777784795</v>
      </c>
    </row>
    <row r="953" spans="1:12" x14ac:dyDescent="0.25">
      <c r="A953" s="3" t="s">
        <v>2855</v>
      </c>
      <c r="B953" s="3" t="s">
        <v>422</v>
      </c>
      <c r="C953" s="10">
        <v>45685.600902777784</v>
      </c>
      <c r="D953" s="10">
        <v>45685.603344907409</v>
      </c>
      <c r="E953" s="10">
        <v>45685.629675925928</v>
      </c>
      <c r="F953" s="10">
        <v>45685.63082175926</v>
      </c>
      <c r="G953" s="3" t="s">
        <v>2856</v>
      </c>
      <c r="H953" s="10">
        <v>45685.636134259257</v>
      </c>
      <c r="I953" s="10">
        <v>45686.69226851852</v>
      </c>
      <c r="J953" s="10">
        <v>45686.693101851852</v>
      </c>
      <c r="K953" s="11">
        <f t="shared" si="28"/>
        <v>2.6331018518249039E-2</v>
      </c>
      <c r="L953" s="11">
        <f t="shared" si="29"/>
        <v>1.0614467592604342</v>
      </c>
    </row>
    <row r="954" spans="1:12" x14ac:dyDescent="0.25">
      <c r="A954" s="3" t="s">
        <v>2858</v>
      </c>
      <c r="B954" s="3" t="s">
        <v>422</v>
      </c>
      <c r="C954" s="10">
        <v>45685.600902777784</v>
      </c>
      <c r="D954" s="10">
        <v>45685.603344907409</v>
      </c>
      <c r="E954" s="10">
        <v>45685.63082175926</v>
      </c>
      <c r="F954" s="10">
        <v>45685.632233796299</v>
      </c>
      <c r="G954" s="3" t="s">
        <v>2856</v>
      </c>
      <c r="H954" s="10">
        <v>45685.636134259257</v>
      </c>
      <c r="I954" s="10">
        <v>45686.69226851852</v>
      </c>
      <c r="J954" s="10">
        <v>45686.693101851852</v>
      </c>
      <c r="K954" s="11">
        <f t="shared" si="28"/>
        <v>2.7476851850224193E-2</v>
      </c>
      <c r="L954" s="11">
        <f t="shared" si="29"/>
        <v>1.0600347222207347</v>
      </c>
    </row>
    <row r="955" spans="1:12" x14ac:dyDescent="0.25">
      <c r="A955" s="3" t="s">
        <v>2862</v>
      </c>
      <c r="B955" s="3" t="s">
        <v>424</v>
      </c>
      <c r="C955" s="10">
        <v>45685.811574074083</v>
      </c>
      <c r="D955" s="10">
        <v>45685.813703703701</v>
      </c>
      <c r="E955" s="10">
        <v>45685.819166666668</v>
      </c>
      <c r="F955" s="10">
        <v>45685.821388888893</v>
      </c>
      <c r="G955" s="3" t="s">
        <v>2863</v>
      </c>
      <c r="H955" s="10">
        <v>45685.823761574073</v>
      </c>
      <c r="I955" s="10">
        <v>45686.780624999999</v>
      </c>
      <c r="J955" s="10">
        <v>45686.781666666669</v>
      </c>
      <c r="K955" s="11">
        <f t="shared" si="28"/>
        <v>5.4629629667033441E-3</v>
      </c>
      <c r="L955" s="11">
        <f t="shared" si="29"/>
        <v>0.95923611110629281</v>
      </c>
    </row>
    <row r="956" spans="1:12" x14ac:dyDescent="0.25">
      <c r="A956" s="3" t="s">
        <v>2865</v>
      </c>
      <c r="B956" s="3" t="s">
        <v>425</v>
      </c>
      <c r="C956" s="10">
        <v>45685.874062499999</v>
      </c>
      <c r="D956" s="10">
        <v>45685.876574074071</v>
      </c>
      <c r="E956" s="10">
        <v>45685.883344907408</v>
      </c>
      <c r="F956" s="10">
        <v>45685.885613425933</v>
      </c>
      <c r="G956" s="3" t="s">
        <v>2866</v>
      </c>
      <c r="H956" s="10">
        <v>45685.887986111113</v>
      </c>
      <c r="I956" s="10">
        <v>45686.842106481483</v>
      </c>
      <c r="J956" s="10">
        <v>45686.843506944453</v>
      </c>
      <c r="K956" s="11">
        <f t="shared" si="28"/>
        <v>6.7708333372138441E-3</v>
      </c>
      <c r="L956" s="11">
        <f t="shared" si="29"/>
        <v>0.95649305554979946</v>
      </c>
    </row>
    <row r="957" spans="1:12" x14ac:dyDescent="0.25">
      <c r="A957" s="3" t="s">
        <v>2868</v>
      </c>
      <c r="B957" s="3" t="s">
        <v>426</v>
      </c>
      <c r="C957" s="10">
        <v>45686.113530092603</v>
      </c>
      <c r="D957" s="10">
        <v>45686.115717592591</v>
      </c>
      <c r="E957" s="10">
        <v>45686.124421296299</v>
      </c>
      <c r="F957" s="10">
        <v>45686.126342592594</v>
      </c>
      <c r="G957" s="3" t="s">
        <v>2869</v>
      </c>
      <c r="H957" s="10">
        <v>45686.322754629633</v>
      </c>
      <c r="I957" s="10">
        <v>45687.36445601852</v>
      </c>
      <c r="J957" s="10">
        <v>45687.365127314813</v>
      </c>
      <c r="K957" s="11">
        <f t="shared" si="28"/>
        <v>8.7037037083064206E-3</v>
      </c>
      <c r="L957" s="11">
        <f t="shared" si="29"/>
        <v>1.2381134259267128</v>
      </c>
    </row>
    <row r="958" spans="1:12" x14ac:dyDescent="0.25">
      <c r="A958" s="3" t="s">
        <v>2871</v>
      </c>
      <c r="B958" s="3" t="s">
        <v>426</v>
      </c>
      <c r="C958" s="10">
        <v>45686.113530092603</v>
      </c>
      <c r="D958" s="10">
        <v>45686.115717592591</v>
      </c>
      <c r="E958" s="10">
        <v>45686.126342592594</v>
      </c>
      <c r="F958" s="10">
        <v>45686.127847222233</v>
      </c>
      <c r="G958" s="3" t="s">
        <v>2872</v>
      </c>
      <c r="H958" s="10">
        <v>45686.130243055559</v>
      </c>
      <c r="I958" s="10">
        <v>45686.907604166663</v>
      </c>
      <c r="J958" s="10">
        <v>45686.908460648148</v>
      </c>
      <c r="K958" s="11">
        <f t="shared" si="28"/>
        <v>1.0625000002619345E-2</v>
      </c>
      <c r="L958" s="11">
        <f t="shared" si="29"/>
        <v>0.77975694443011889</v>
      </c>
    </row>
    <row r="959" spans="1:12" x14ac:dyDescent="0.25">
      <c r="A959" s="3" t="s">
        <v>2874</v>
      </c>
      <c r="B959" s="3" t="s">
        <v>426</v>
      </c>
      <c r="C959" s="10">
        <v>45686.113530092603</v>
      </c>
      <c r="D959" s="10">
        <v>45686.115717592591</v>
      </c>
      <c r="E959" s="10">
        <v>45686.127847222233</v>
      </c>
      <c r="F959" s="10">
        <v>45686.129895833343</v>
      </c>
      <c r="G959" s="3" t="s">
        <v>2772</v>
      </c>
      <c r="H959" s="10">
        <v>45686.401030092587</v>
      </c>
      <c r="I959" s="10">
        <v>45687.36755787037</v>
      </c>
      <c r="J959" s="10">
        <v>45687.368368055562</v>
      </c>
      <c r="K959" s="11">
        <f t="shared" si="28"/>
        <v>1.2129629642004147E-2</v>
      </c>
      <c r="L959" s="11">
        <f t="shared" si="29"/>
        <v>1.2376620370268938</v>
      </c>
    </row>
    <row r="960" spans="1:12" x14ac:dyDescent="0.25">
      <c r="A960" s="3" t="s">
        <v>2876</v>
      </c>
      <c r="B960" s="3" t="s">
        <v>426</v>
      </c>
      <c r="C960" s="10">
        <v>45686.113530092603</v>
      </c>
      <c r="D960" s="10">
        <v>45686.115717592591</v>
      </c>
      <c r="E960" s="10">
        <v>45686.129895833343</v>
      </c>
      <c r="F960" s="10">
        <v>45686.13181712963</v>
      </c>
      <c r="G960" s="3" t="s">
        <v>2869</v>
      </c>
      <c r="H960" s="10">
        <v>45686.322754629633</v>
      </c>
      <c r="I960" s="10">
        <v>45687.36445601852</v>
      </c>
      <c r="J960" s="10">
        <v>45687.365127314813</v>
      </c>
      <c r="K960" s="11">
        <f t="shared" si="28"/>
        <v>1.4178240751789417E-2</v>
      </c>
      <c r="L960" s="11">
        <f t="shared" si="29"/>
        <v>1.2326388888905058</v>
      </c>
    </row>
    <row r="961" spans="1:12" x14ac:dyDescent="0.25">
      <c r="A961" s="3" t="s">
        <v>2878</v>
      </c>
      <c r="B961" s="3" t="s">
        <v>427</v>
      </c>
      <c r="C961" s="10">
        <v>45686.179548611108</v>
      </c>
      <c r="D961" s="10">
        <v>45686.181388888886</v>
      </c>
      <c r="E961" s="10">
        <v>45686.185879629629</v>
      </c>
      <c r="F961" s="10">
        <v>45686.187372685177</v>
      </c>
      <c r="G961" s="3" t="s">
        <v>2879</v>
      </c>
      <c r="H961" s="10">
        <v>45686.189733796287</v>
      </c>
      <c r="I961" s="10">
        <v>45687.151701388888</v>
      </c>
      <c r="J961" s="10">
        <v>45687.152372685188</v>
      </c>
      <c r="K961" s="11">
        <f t="shared" si="28"/>
        <v>4.4907407427672297E-3</v>
      </c>
      <c r="L961" s="11">
        <f t="shared" si="29"/>
        <v>0.96432870371063473</v>
      </c>
    </row>
    <row r="962" spans="1:12" x14ac:dyDescent="0.25">
      <c r="A962" s="3" t="s">
        <v>2881</v>
      </c>
      <c r="B962" s="3" t="s">
        <v>428</v>
      </c>
      <c r="C962" s="10">
        <v>45686.260104166657</v>
      </c>
      <c r="D962" s="10">
        <v>45686.262384259258</v>
      </c>
      <c r="E962" s="10">
        <v>45686.26834490741</v>
      </c>
      <c r="F962" s="10">
        <v>45686.270613425928</v>
      </c>
      <c r="G962" s="3" t="s">
        <v>2853</v>
      </c>
      <c r="H962" s="10">
        <v>45686.273009259261</v>
      </c>
      <c r="I962" s="10">
        <v>45687.325578703712</v>
      </c>
      <c r="J962" s="10">
        <v>45687.326863425929</v>
      </c>
      <c r="K962" s="11">
        <f t="shared" ref="K962:K1025" si="30">IF(AND(ISNUMBER(D962),ISNUMBER(E962)),(E962-D962),"")</f>
        <v>5.9606481518130749E-3</v>
      </c>
      <c r="L962" s="11">
        <f t="shared" ref="L962:L1025" si="31">IF(AND(ISNUMBER(F962),ISNUMBER(I962)),(I962-F962),"")</f>
        <v>1.054965277784504</v>
      </c>
    </row>
    <row r="963" spans="1:12" x14ac:dyDescent="0.25">
      <c r="A963" s="3" t="s">
        <v>2883</v>
      </c>
      <c r="B963" s="3" t="s">
        <v>429</v>
      </c>
      <c r="C963" s="10">
        <v>45686.302986111114</v>
      </c>
      <c r="D963" s="10">
        <v>45686.305497685193</v>
      </c>
      <c r="E963" s="10">
        <v>45686.312268518523</v>
      </c>
      <c r="F963" s="10">
        <v>45686.315104166657</v>
      </c>
      <c r="G963" s="3" t="s">
        <v>2803</v>
      </c>
      <c r="H963" s="10">
        <v>45686.317476851851</v>
      </c>
      <c r="I963" s="10">
        <v>45687.368368055562</v>
      </c>
      <c r="J963" s="10">
        <v>45687.369826388887</v>
      </c>
      <c r="K963" s="11">
        <f t="shared" si="30"/>
        <v>6.7708333299378864E-3</v>
      </c>
      <c r="L963" s="11">
        <f t="shared" si="31"/>
        <v>1.0532638889053487</v>
      </c>
    </row>
    <row r="964" spans="1:12" x14ac:dyDescent="0.25">
      <c r="A964" s="3" t="s">
        <v>2885</v>
      </c>
      <c r="B964" s="3" t="s">
        <v>430</v>
      </c>
      <c r="C964" s="10">
        <v>45686.312106481477</v>
      </c>
      <c r="D964" s="10">
        <v>45686.31355324074</v>
      </c>
      <c r="E964" s="10">
        <v>45686.318229166667</v>
      </c>
      <c r="F964" s="10">
        <v>45686.320381944453</v>
      </c>
      <c r="G964" s="3" t="s">
        <v>2869</v>
      </c>
      <c r="H964" s="10">
        <v>45686.322754629633</v>
      </c>
      <c r="I964" s="10">
        <v>45687.36445601852</v>
      </c>
      <c r="J964" s="10">
        <v>45687.365127314813</v>
      </c>
      <c r="K964" s="11">
        <f t="shared" si="30"/>
        <v>4.6759259275859222E-3</v>
      </c>
      <c r="L964" s="11">
        <f t="shared" si="31"/>
        <v>1.0440740740668844</v>
      </c>
    </row>
    <row r="965" spans="1:12" x14ac:dyDescent="0.25">
      <c r="A965" s="3" t="s">
        <v>2887</v>
      </c>
      <c r="B965" s="3" t="s">
        <v>431</v>
      </c>
      <c r="C965" s="10">
        <v>45686.346250000002</v>
      </c>
      <c r="D965" s="10">
        <v>45686.348020833328</v>
      </c>
      <c r="E965" s="10">
        <v>45686.353298611109</v>
      </c>
      <c r="F965" s="10">
        <v>45686.355254629627</v>
      </c>
      <c r="G965" s="3" t="s">
        <v>2888</v>
      </c>
      <c r="H965" s="10">
        <v>45687.368773148148</v>
      </c>
      <c r="I965" s="10">
        <v>45688.369166666656</v>
      </c>
      <c r="J965" s="10">
        <v>45688.369988425933</v>
      </c>
      <c r="K965" s="11">
        <f t="shared" si="30"/>
        <v>5.2777777818846516E-3</v>
      </c>
      <c r="L965" s="11">
        <f t="shared" si="31"/>
        <v>2.0139120370295132</v>
      </c>
    </row>
    <row r="966" spans="1:12" x14ac:dyDescent="0.25">
      <c r="A966" s="3" t="s">
        <v>2890</v>
      </c>
      <c r="B966" s="3" t="s">
        <v>431</v>
      </c>
      <c r="C966" s="10">
        <v>45686.346250000002</v>
      </c>
      <c r="D966" s="10">
        <v>45686.348020833328</v>
      </c>
      <c r="E966" s="10">
        <v>45686.355254629627</v>
      </c>
      <c r="F966" s="10">
        <v>45686.356527777767</v>
      </c>
      <c r="G966" s="3" t="s">
        <v>2891</v>
      </c>
      <c r="H966" s="10">
        <v>45686.403865740736</v>
      </c>
      <c r="I966" s="10">
        <v>45687.412939814807</v>
      </c>
      <c r="J966" s="10">
        <v>45687.413981481477</v>
      </c>
      <c r="K966" s="11">
        <f t="shared" si="30"/>
        <v>7.2337962992605753E-3</v>
      </c>
      <c r="L966" s="11">
        <f t="shared" si="31"/>
        <v>1.0564120370399905</v>
      </c>
    </row>
    <row r="967" spans="1:12" x14ac:dyDescent="0.25">
      <c r="A967" s="3" t="s">
        <v>2893</v>
      </c>
      <c r="B967" s="3" t="s">
        <v>432</v>
      </c>
      <c r="C967" s="10">
        <v>45686.37605324074</v>
      </c>
      <c r="D967" s="10">
        <v>45686.378657407397</v>
      </c>
      <c r="E967" s="10">
        <v>45686.395138888889</v>
      </c>
      <c r="F967" s="10">
        <v>45686.397106481483</v>
      </c>
      <c r="G967" s="3" t="s">
        <v>2772</v>
      </c>
      <c r="H967" s="10">
        <v>45686.401030092587</v>
      </c>
      <c r="I967" s="10">
        <v>45687.36755787037</v>
      </c>
      <c r="J967" s="10">
        <v>45687.368368055562</v>
      </c>
      <c r="K967" s="11">
        <f t="shared" si="30"/>
        <v>1.6481481492519379E-2</v>
      </c>
      <c r="L967" s="11">
        <f t="shared" si="31"/>
        <v>0.97045138888643123</v>
      </c>
    </row>
    <row r="968" spans="1:12" x14ac:dyDescent="0.25">
      <c r="A968" s="3" t="s">
        <v>2895</v>
      </c>
      <c r="B968" s="3" t="s">
        <v>432</v>
      </c>
      <c r="C968" s="10">
        <v>45686.37605324074</v>
      </c>
      <c r="D968" s="10">
        <v>45686.378657407397</v>
      </c>
      <c r="E968" s="10">
        <v>45686.397106481483</v>
      </c>
      <c r="F968" s="10">
        <v>45686.398379629631</v>
      </c>
      <c r="G968" s="3" t="s">
        <v>2785</v>
      </c>
      <c r="H968" s="10">
        <v>45687.34039351852</v>
      </c>
      <c r="I968" s="10">
        <v>45688.325277777767</v>
      </c>
      <c r="J968" s="10">
        <v>45688.326157407413</v>
      </c>
      <c r="K968" s="11">
        <f t="shared" si="30"/>
        <v>1.8449074086674955E-2</v>
      </c>
      <c r="L968" s="11">
        <f t="shared" si="31"/>
        <v>1.926898148136388</v>
      </c>
    </row>
    <row r="969" spans="1:12" x14ac:dyDescent="0.25">
      <c r="A969" s="3" t="s">
        <v>2898</v>
      </c>
      <c r="B969" s="3" t="s">
        <v>432</v>
      </c>
      <c r="C969" s="10">
        <v>45686.37605324074</v>
      </c>
      <c r="D969" s="10">
        <v>45686.378657407397</v>
      </c>
      <c r="E969" s="10">
        <v>45686.398379629631</v>
      </c>
      <c r="F969" s="10">
        <v>45686.399942129632</v>
      </c>
      <c r="G969" s="3" t="s">
        <v>2891</v>
      </c>
      <c r="H969" s="10">
        <v>45686.403865740736</v>
      </c>
      <c r="I969" s="10">
        <v>45687.412939814807</v>
      </c>
      <c r="J969" s="10">
        <v>45687.413981481477</v>
      </c>
      <c r="K969" s="11">
        <f t="shared" si="30"/>
        <v>1.9722222234122455E-2</v>
      </c>
      <c r="L969" s="11">
        <f t="shared" si="31"/>
        <v>1.0129976851749234</v>
      </c>
    </row>
    <row r="970" spans="1:12" x14ac:dyDescent="0.25">
      <c r="A970" s="3" t="s">
        <v>2901</v>
      </c>
      <c r="B970" s="3" t="s">
        <v>432</v>
      </c>
      <c r="C970" s="10">
        <v>45686.37605324074</v>
      </c>
      <c r="D970" s="10">
        <v>45686.378657407397</v>
      </c>
      <c r="E970" s="10">
        <v>45686.399942129632</v>
      </c>
      <c r="F970" s="10">
        <v>45686.401655092603</v>
      </c>
      <c r="G970" s="3" t="s">
        <v>2902</v>
      </c>
      <c r="H970" s="10">
        <v>45687.346678240741</v>
      </c>
      <c r="I970" s="10">
        <v>45688.405370370368</v>
      </c>
      <c r="J970" s="10">
        <v>45688.406944444447</v>
      </c>
      <c r="K970" s="11">
        <f t="shared" si="30"/>
        <v>2.1284722235577647E-2</v>
      </c>
      <c r="L970" s="11">
        <f t="shared" si="31"/>
        <v>2.0037152777658775</v>
      </c>
    </row>
    <row r="971" spans="1:12" x14ac:dyDescent="0.25">
      <c r="A971" s="3" t="s">
        <v>2904</v>
      </c>
      <c r="B971" s="3" t="s">
        <v>432</v>
      </c>
      <c r="C971" s="10">
        <v>45686.37605324074</v>
      </c>
      <c r="D971" s="10">
        <v>45686.378657407397</v>
      </c>
      <c r="E971" s="10">
        <v>45686.401655092603</v>
      </c>
      <c r="F971" s="10">
        <v>45686.403611111113</v>
      </c>
      <c r="G971" s="3" t="s">
        <v>2888</v>
      </c>
      <c r="H971" s="10">
        <v>45687.368773148148</v>
      </c>
      <c r="I971" s="10">
        <v>45688.369166666656</v>
      </c>
      <c r="J971" s="10">
        <v>45688.369988425933</v>
      </c>
      <c r="K971" s="11">
        <f t="shared" si="30"/>
        <v>2.2997685206064489E-2</v>
      </c>
      <c r="L971" s="11">
        <f t="shared" si="31"/>
        <v>1.9655555555436877</v>
      </c>
    </row>
    <row r="972" spans="1:12" x14ac:dyDescent="0.25">
      <c r="A972" s="3" t="s">
        <v>2907</v>
      </c>
      <c r="B972" s="3" t="s">
        <v>432</v>
      </c>
      <c r="C972" s="10">
        <v>45686.37605324074</v>
      </c>
      <c r="D972" s="10">
        <v>45686.378657407397</v>
      </c>
      <c r="E972" s="10">
        <v>45686.403611111113</v>
      </c>
      <c r="F972" s="10">
        <v>45686.405578703707</v>
      </c>
      <c r="G972" s="3" t="s">
        <v>2908</v>
      </c>
      <c r="H972" s="10">
        <v>45688.334548611107</v>
      </c>
      <c r="I972" s="10">
        <v>45688.884293981479</v>
      </c>
      <c r="J972" s="10">
        <v>45688.885115740741</v>
      </c>
      <c r="K972" s="11">
        <f t="shared" si="30"/>
        <v>2.4953703716164455E-2</v>
      </c>
      <c r="L972" s="11">
        <f t="shared" si="31"/>
        <v>2.4787152777716983</v>
      </c>
    </row>
    <row r="973" spans="1:12" x14ac:dyDescent="0.25">
      <c r="A973" s="3" t="s">
        <v>2910</v>
      </c>
      <c r="B973" s="3" t="s">
        <v>432</v>
      </c>
      <c r="C973" s="10">
        <v>45686.37605324074</v>
      </c>
      <c r="D973" s="10">
        <v>45686.378657407397</v>
      </c>
      <c r="E973" s="10">
        <v>45686.405578703707</v>
      </c>
      <c r="F973" s="10">
        <v>45686.407349537039</v>
      </c>
      <c r="G973" s="3" t="s">
        <v>2843</v>
      </c>
      <c r="H973" s="10">
        <v>45686.644490740742</v>
      </c>
      <c r="I973" s="10">
        <v>45687.633773148147</v>
      </c>
      <c r="J973" s="10">
        <v>45687.634571759263</v>
      </c>
      <c r="K973" s="11">
        <f t="shared" si="30"/>
        <v>2.6921296310320031E-2</v>
      </c>
      <c r="L973" s="11">
        <f t="shared" si="31"/>
        <v>1.226423611107748</v>
      </c>
    </row>
    <row r="974" spans="1:12" x14ac:dyDescent="0.25">
      <c r="A974" s="3" t="s">
        <v>2912</v>
      </c>
      <c r="B974" s="3" t="s">
        <v>433</v>
      </c>
      <c r="C974" s="10">
        <v>45686.437384259261</v>
      </c>
      <c r="D974" s="10">
        <v>45686.43953703704</v>
      </c>
      <c r="E974" s="10">
        <v>45686.446053240739</v>
      </c>
      <c r="F974" s="10">
        <v>45686.448020833333</v>
      </c>
      <c r="G974" s="3" t="s">
        <v>2888</v>
      </c>
      <c r="H974" s="10">
        <v>45687.368773148148</v>
      </c>
      <c r="I974" s="10">
        <v>45688.369166666656</v>
      </c>
      <c r="J974" s="10">
        <v>45688.369988425933</v>
      </c>
      <c r="K974" s="11">
        <f t="shared" si="30"/>
        <v>6.5162036989931948E-3</v>
      </c>
      <c r="L974" s="11">
        <f t="shared" si="31"/>
        <v>1.921145833322953</v>
      </c>
    </row>
    <row r="975" spans="1:12" x14ac:dyDescent="0.25">
      <c r="A975" s="3" t="s">
        <v>2914</v>
      </c>
      <c r="B975" s="3" t="s">
        <v>433</v>
      </c>
      <c r="C975" s="10">
        <v>45686.437384259261</v>
      </c>
      <c r="D975" s="10">
        <v>45686.43953703704</v>
      </c>
      <c r="E975" s="10">
        <v>45686.448020833333</v>
      </c>
      <c r="F975" s="10">
        <v>45686.449652777781</v>
      </c>
      <c r="G975" s="3" t="s">
        <v>2915</v>
      </c>
      <c r="H975" s="10">
        <v>45686.452048611107</v>
      </c>
      <c r="I975" s="10">
        <v>45687.444571759261</v>
      </c>
      <c r="J975" s="10">
        <v>45687.445543981477</v>
      </c>
      <c r="K975" s="11">
        <f t="shared" si="30"/>
        <v>8.4837962931487709E-3</v>
      </c>
      <c r="L975" s="11">
        <f t="shared" si="31"/>
        <v>0.99491898147971369</v>
      </c>
    </row>
    <row r="976" spans="1:12" x14ac:dyDescent="0.25">
      <c r="A976" s="3" t="s">
        <v>2917</v>
      </c>
      <c r="B976" s="3" t="s">
        <v>434</v>
      </c>
      <c r="C976" s="10">
        <v>45686.544652777768</v>
      </c>
      <c r="D976" s="10">
        <v>45686.546840277777</v>
      </c>
      <c r="E976" s="10">
        <v>45686.552557870367</v>
      </c>
      <c r="F976" s="10">
        <v>45686.554282407407</v>
      </c>
      <c r="G976" s="3" t="s">
        <v>2918</v>
      </c>
      <c r="H976" s="10">
        <v>45686.556655092587</v>
      </c>
      <c r="I976" s="10">
        <v>45687.470289351862</v>
      </c>
      <c r="J976" s="10">
        <v>45687.471354166657</v>
      </c>
      <c r="K976" s="11">
        <f t="shared" si="30"/>
        <v>5.7175925903720781E-3</v>
      </c>
      <c r="L976" s="11">
        <f t="shared" si="31"/>
        <v>0.91600694445514819</v>
      </c>
    </row>
    <row r="977" spans="1:12" x14ac:dyDescent="0.25">
      <c r="A977" s="3" t="s">
        <v>2920</v>
      </c>
      <c r="B977" s="3" t="s">
        <v>435</v>
      </c>
      <c r="C977" s="10">
        <v>45686.603356481479</v>
      </c>
      <c r="D977" s="10">
        <v>45686.605868055558</v>
      </c>
      <c r="E977" s="10">
        <v>45686.612581018519</v>
      </c>
      <c r="F977" s="10">
        <v>45686.614629629628</v>
      </c>
      <c r="G977" s="3" t="s">
        <v>2921</v>
      </c>
      <c r="H977" s="10">
        <v>45686.617002314822</v>
      </c>
      <c r="I977" s="10">
        <v>45687.620081018518</v>
      </c>
      <c r="J977" s="10">
        <v>45687.621469907397</v>
      </c>
      <c r="K977" s="11">
        <f t="shared" si="30"/>
        <v>6.7129629605915397E-3</v>
      </c>
      <c r="L977" s="11">
        <f t="shared" si="31"/>
        <v>1.0054513888899237</v>
      </c>
    </row>
    <row r="978" spans="1:12" x14ac:dyDescent="0.25">
      <c r="A978" s="3" t="s">
        <v>2923</v>
      </c>
      <c r="B978" s="3" t="s">
        <v>436</v>
      </c>
      <c r="C978" s="10">
        <v>45686.617928240739</v>
      </c>
      <c r="D978" s="10">
        <v>45686.620682870373</v>
      </c>
      <c r="E978" s="10">
        <v>45686.638761574082</v>
      </c>
      <c r="F978" s="10">
        <v>45686.6405787037</v>
      </c>
      <c r="G978" s="3" t="s">
        <v>2843</v>
      </c>
      <c r="H978" s="10">
        <v>45686.644490740742</v>
      </c>
      <c r="I978" s="10">
        <v>45687.633773148147</v>
      </c>
      <c r="J978" s="10">
        <v>45687.634571759263</v>
      </c>
      <c r="K978" s="11">
        <f t="shared" si="30"/>
        <v>1.8078703709761612E-2</v>
      </c>
      <c r="L978" s="11">
        <f t="shared" si="31"/>
        <v>0.99319444444699911</v>
      </c>
    </row>
    <row r="979" spans="1:12" x14ac:dyDescent="0.25">
      <c r="A979" s="3" t="s">
        <v>2925</v>
      </c>
      <c r="B979" s="3" t="s">
        <v>436</v>
      </c>
      <c r="C979" s="10">
        <v>45686.617928240739</v>
      </c>
      <c r="D979" s="10">
        <v>45686.620682870373</v>
      </c>
      <c r="E979" s="10">
        <v>45686.6405787037</v>
      </c>
      <c r="F979" s="10">
        <v>45686.642650462964</v>
      </c>
      <c r="G979" s="3" t="s">
        <v>2926</v>
      </c>
      <c r="H979" s="10">
        <v>45686.658263888887</v>
      </c>
      <c r="I979" s="10">
        <v>45687.668935185182</v>
      </c>
      <c r="J979" s="10">
        <v>45687.669594907413</v>
      </c>
      <c r="K979" s="11">
        <f t="shared" si="30"/>
        <v>1.989583332760958E-2</v>
      </c>
      <c r="L979" s="11">
        <f t="shared" si="31"/>
        <v>1.0262847222184064</v>
      </c>
    </row>
    <row r="980" spans="1:12" x14ac:dyDescent="0.25">
      <c r="A980" s="3" t="s">
        <v>2928</v>
      </c>
      <c r="B980" s="3" t="s">
        <v>436</v>
      </c>
      <c r="C980" s="10">
        <v>45686.617928240739</v>
      </c>
      <c r="D980" s="10">
        <v>45686.620682870373</v>
      </c>
      <c r="E980" s="10">
        <v>45686.642650462964</v>
      </c>
      <c r="F980" s="10">
        <v>45686.643923611111</v>
      </c>
      <c r="G980" s="3" t="s">
        <v>2785</v>
      </c>
      <c r="H980" s="10">
        <v>45687.34039351852</v>
      </c>
      <c r="I980" s="10">
        <v>45688.325277777767</v>
      </c>
      <c r="J980" s="10">
        <v>45688.326157407413</v>
      </c>
      <c r="K980" s="11">
        <f t="shared" si="30"/>
        <v>2.1967592590954155E-2</v>
      </c>
      <c r="L980" s="11">
        <f t="shared" si="31"/>
        <v>1.6813541666560923</v>
      </c>
    </row>
    <row r="981" spans="1:12" x14ac:dyDescent="0.25">
      <c r="A981" s="3" t="s">
        <v>2930</v>
      </c>
      <c r="B981" s="3" t="s">
        <v>436</v>
      </c>
      <c r="C981" s="10">
        <v>45686.617928240739</v>
      </c>
      <c r="D981" s="10">
        <v>45686.620682870373</v>
      </c>
      <c r="E981" s="10">
        <v>45686.643923611111</v>
      </c>
      <c r="F981" s="10">
        <v>45686.645648148151</v>
      </c>
      <c r="G981" s="3" t="s">
        <v>2931</v>
      </c>
      <c r="H981" s="10">
        <v>45687.649236111109</v>
      </c>
      <c r="I981" s="10">
        <v>45688.554756944453</v>
      </c>
      <c r="J981" s="10">
        <v>45688.55568287037</v>
      </c>
      <c r="K981" s="11">
        <f t="shared" si="30"/>
        <v>2.3240740738401655E-2</v>
      </c>
      <c r="L981" s="11">
        <f t="shared" si="31"/>
        <v>1.909108796302462</v>
      </c>
    </row>
    <row r="982" spans="1:12" x14ac:dyDescent="0.25">
      <c r="A982" s="3" t="s">
        <v>2933</v>
      </c>
      <c r="B982" s="3" t="s">
        <v>436</v>
      </c>
      <c r="C982" s="10">
        <v>45686.617928240739</v>
      </c>
      <c r="D982" s="10">
        <v>45686.620682870373</v>
      </c>
      <c r="E982" s="10">
        <v>45686.645648148151</v>
      </c>
      <c r="F982" s="10">
        <v>45686.647569444453</v>
      </c>
      <c r="G982" s="3" t="s">
        <v>2934</v>
      </c>
      <c r="H982" s="10">
        <v>45687.129016203697</v>
      </c>
      <c r="I982" s="10">
        <v>45687.882418981477</v>
      </c>
      <c r="J982" s="10">
        <v>45687.883032407408</v>
      </c>
      <c r="K982" s="11">
        <f t="shared" si="30"/>
        <v>2.4965277778392192E-2</v>
      </c>
      <c r="L982" s="11">
        <f t="shared" si="31"/>
        <v>1.2348495370242745</v>
      </c>
    </row>
    <row r="983" spans="1:12" x14ac:dyDescent="0.25">
      <c r="A983" s="3" t="s">
        <v>2936</v>
      </c>
      <c r="B983" s="3" t="s">
        <v>436</v>
      </c>
      <c r="C983" s="10">
        <v>45686.617928240739</v>
      </c>
      <c r="D983" s="10">
        <v>45686.620682870373</v>
      </c>
      <c r="E983" s="10">
        <v>45686.647569444453</v>
      </c>
      <c r="F983" s="10">
        <v>45686.649212962962</v>
      </c>
      <c r="G983" s="3" t="s">
        <v>2937</v>
      </c>
      <c r="H983" s="10">
        <v>45686.765879629631</v>
      </c>
      <c r="I983" s="10">
        <v>45687.76489583333</v>
      </c>
      <c r="J983" s="10">
        <v>45687.765868055547</v>
      </c>
      <c r="K983" s="11">
        <f t="shared" si="30"/>
        <v>2.6886574079981074E-2</v>
      </c>
      <c r="L983" s="11">
        <f t="shared" si="31"/>
        <v>1.1156828703678912</v>
      </c>
    </row>
    <row r="984" spans="1:12" x14ac:dyDescent="0.25">
      <c r="A984" s="3" t="s">
        <v>2939</v>
      </c>
      <c r="B984" s="3" t="s">
        <v>436</v>
      </c>
      <c r="C984" s="10">
        <v>45686.617928240739</v>
      </c>
      <c r="D984" s="10">
        <v>45686.620682870373</v>
      </c>
      <c r="E984" s="10">
        <v>45686.649212962962</v>
      </c>
      <c r="F984" s="10">
        <v>45686.651273148149</v>
      </c>
      <c r="G984" s="3" t="s">
        <v>2908</v>
      </c>
      <c r="H984" s="10">
        <v>45688.334548611107</v>
      </c>
      <c r="I984" s="10">
        <v>45688.884293981479</v>
      </c>
      <c r="J984" s="10">
        <v>45688.885115740741</v>
      </c>
      <c r="K984" s="11">
        <f t="shared" si="30"/>
        <v>2.8530092589790002E-2</v>
      </c>
      <c r="L984" s="11">
        <f t="shared" si="31"/>
        <v>2.2330208333296468</v>
      </c>
    </row>
    <row r="985" spans="1:12" x14ac:dyDescent="0.25">
      <c r="A985" s="3" t="s">
        <v>2941</v>
      </c>
      <c r="B985" s="3" t="s">
        <v>436</v>
      </c>
      <c r="C985" s="10">
        <v>45686.617928240739</v>
      </c>
      <c r="D985" s="10">
        <v>45686.620682870373</v>
      </c>
      <c r="E985" s="10">
        <v>45686.651273148149</v>
      </c>
      <c r="F985" s="10">
        <v>45686.652766203697</v>
      </c>
      <c r="G985" s="3" t="s">
        <v>2937</v>
      </c>
      <c r="H985" s="10">
        <v>45686.765879629631</v>
      </c>
      <c r="I985" s="10">
        <v>45687.76489583333</v>
      </c>
      <c r="J985" s="10">
        <v>45687.765868055547</v>
      </c>
      <c r="K985" s="11">
        <f t="shared" si="30"/>
        <v>3.0590277776354924E-2</v>
      </c>
      <c r="L985" s="11">
        <f t="shared" si="31"/>
        <v>1.112129629633273</v>
      </c>
    </row>
    <row r="986" spans="1:12" x14ac:dyDescent="0.25">
      <c r="A986" s="3" t="s">
        <v>2945</v>
      </c>
      <c r="B986" s="3" t="s">
        <v>436</v>
      </c>
      <c r="C986" s="10">
        <v>45686.617928240739</v>
      </c>
      <c r="D986" s="10">
        <v>45686.620682870373</v>
      </c>
      <c r="E986" s="10">
        <v>45686.652766203697</v>
      </c>
      <c r="F986" s="10">
        <v>45686.654722222222</v>
      </c>
      <c r="G986" s="3" t="s">
        <v>2926</v>
      </c>
      <c r="H986" s="10">
        <v>45686.658263888887</v>
      </c>
      <c r="I986" s="10">
        <v>45687.668935185182</v>
      </c>
      <c r="J986" s="10">
        <v>45687.669594907413</v>
      </c>
      <c r="K986" s="11">
        <f t="shared" si="30"/>
        <v>3.2083333324408159E-2</v>
      </c>
      <c r="L986" s="11">
        <f t="shared" si="31"/>
        <v>1.0142129629603005</v>
      </c>
    </row>
    <row r="987" spans="1:12" x14ac:dyDescent="0.25">
      <c r="A987" s="3" t="s">
        <v>2948</v>
      </c>
      <c r="B987" s="3" t="s">
        <v>438</v>
      </c>
      <c r="C987" s="10">
        <v>45686.728506944448</v>
      </c>
      <c r="D987" s="10">
        <v>45686.730798611112</v>
      </c>
      <c r="E987" s="10">
        <v>45686.736666666657</v>
      </c>
      <c r="F987" s="10">
        <v>45686.738495370373</v>
      </c>
      <c r="G987" s="3" t="s">
        <v>2949</v>
      </c>
      <c r="H987" s="10">
        <v>45686.740856481483</v>
      </c>
      <c r="I987" s="10">
        <v>45687.708495370367</v>
      </c>
      <c r="J987" s="10">
        <v>45687.709664351853</v>
      </c>
      <c r="K987" s="11">
        <f t="shared" si="30"/>
        <v>5.8680555448518135E-3</v>
      </c>
      <c r="L987" s="11">
        <f t="shared" si="31"/>
        <v>0.9699999999938882</v>
      </c>
    </row>
    <row r="988" spans="1:12" x14ac:dyDescent="0.25">
      <c r="A988" s="3" t="s">
        <v>2951</v>
      </c>
      <c r="B988" s="3" t="s">
        <v>439</v>
      </c>
      <c r="C988" s="10">
        <v>45686.733310185176</v>
      </c>
      <c r="D988" s="10">
        <v>45686.735335648147</v>
      </c>
      <c r="E988" s="10">
        <v>45686.753240740742</v>
      </c>
      <c r="F988" s="10">
        <v>45686.755243055559</v>
      </c>
      <c r="G988" s="3"/>
      <c r="H988" s="10"/>
      <c r="I988" s="10"/>
      <c r="J988" s="10"/>
      <c r="K988" s="11">
        <f t="shared" si="30"/>
        <v>1.7905092594446614E-2</v>
      </c>
      <c r="L988" s="11" t="str">
        <f t="shared" si="31"/>
        <v/>
      </c>
    </row>
    <row r="989" spans="1:12" x14ac:dyDescent="0.25">
      <c r="A989" s="3" t="s">
        <v>2952</v>
      </c>
      <c r="B989" s="3" t="s">
        <v>439</v>
      </c>
      <c r="C989" s="10">
        <v>45686.733310185176</v>
      </c>
      <c r="D989" s="10">
        <v>45686.735335648147</v>
      </c>
      <c r="E989" s="10">
        <v>45686.755243055559</v>
      </c>
      <c r="F989" s="10">
        <v>45686.756493055553</v>
      </c>
      <c r="G989" s="3" t="s">
        <v>2785</v>
      </c>
      <c r="H989" s="10">
        <v>45687.34039351852</v>
      </c>
      <c r="I989" s="10">
        <v>45688.325277777767</v>
      </c>
      <c r="J989" s="10">
        <v>45688.326157407413</v>
      </c>
      <c r="K989" s="11">
        <f t="shared" si="30"/>
        <v>1.990740741166519E-2</v>
      </c>
      <c r="L989" s="11">
        <f t="shared" si="31"/>
        <v>1.5687847222143319</v>
      </c>
    </row>
    <row r="990" spans="1:12" x14ac:dyDescent="0.25">
      <c r="A990" s="3" t="s">
        <v>2954</v>
      </c>
      <c r="B990" s="3" t="s">
        <v>439</v>
      </c>
      <c r="C990" s="10">
        <v>45686.733310185176</v>
      </c>
      <c r="D990" s="10">
        <v>45686.735335648147</v>
      </c>
      <c r="E990" s="10">
        <v>45686.756493055553</v>
      </c>
      <c r="F990" s="10">
        <v>45686.758402777778</v>
      </c>
      <c r="G990" s="3" t="s">
        <v>2955</v>
      </c>
      <c r="H990" s="10">
        <v>45687.33184027778</v>
      </c>
      <c r="I990" s="10">
        <v>45688.24591435185</v>
      </c>
      <c r="J990" s="10">
        <v>45688.246990740743</v>
      </c>
      <c r="K990" s="11">
        <f t="shared" si="30"/>
        <v>2.1157407405553386E-2</v>
      </c>
      <c r="L990" s="11">
        <f t="shared" si="31"/>
        <v>1.4875115740724141</v>
      </c>
    </row>
    <row r="991" spans="1:12" x14ac:dyDescent="0.25">
      <c r="A991" s="3" t="s">
        <v>2957</v>
      </c>
      <c r="B991" s="3" t="s">
        <v>439</v>
      </c>
      <c r="C991" s="10">
        <v>45686.733310185176</v>
      </c>
      <c r="D991" s="10">
        <v>45686.735335648147</v>
      </c>
      <c r="E991" s="10">
        <v>45686.758402777778</v>
      </c>
      <c r="F991" s="10">
        <v>45686.760324074072</v>
      </c>
      <c r="G991" s="3" t="s">
        <v>2888</v>
      </c>
      <c r="H991" s="10">
        <v>45687.368773148148</v>
      </c>
      <c r="I991" s="10">
        <v>45688.369166666656</v>
      </c>
      <c r="J991" s="10">
        <v>45688.369988425933</v>
      </c>
      <c r="K991" s="11">
        <f t="shared" si="30"/>
        <v>2.3067129630362615E-2</v>
      </c>
      <c r="L991" s="11">
        <f t="shared" si="31"/>
        <v>1.6088425925845513</v>
      </c>
    </row>
    <row r="992" spans="1:12" x14ac:dyDescent="0.25">
      <c r="A992" s="3" t="s">
        <v>2959</v>
      </c>
      <c r="B992" s="3" t="s">
        <v>439</v>
      </c>
      <c r="C992" s="10">
        <v>45686.733310185176</v>
      </c>
      <c r="D992" s="10">
        <v>45686.735335648147</v>
      </c>
      <c r="E992" s="10">
        <v>45686.760324074072</v>
      </c>
      <c r="F992" s="10">
        <v>45686.761967592603</v>
      </c>
      <c r="G992" s="3" t="s">
        <v>2937</v>
      </c>
      <c r="H992" s="10">
        <v>45686.765879629631</v>
      </c>
      <c r="I992" s="10">
        <v>45687.76489583333</v>
      </c>
      <c r="J992" s="10">
        <v>45687.765868055547</v>
      </c>
      <c r="K992" s="11">
        <f t="shared" si="30"/>
        <v>2.4988425924675539E-2</v>
      </c>
      <c r="L992" s="11">
        <f t="shared" si="31"/>
        <v>1.0029282407267601</v>
      </c>
    </row>
    <row r="993" spans="1:12" x14ac:dyDescent="0.25">
      <c r="A993" s="3" t="s">
        <v>2961</v>
      </c>
      <c r="B993" s="3" t="s">
        <v>439</v>
      </c>
      <c r="C993" s="10">
        <v>45686.733310185176</v>
      </c>
      <c r="D993" s="10">
        <v>45686.735335648147</v>
      </c>
      <c r="E993" s="10">
        <v>45686.761967592603</v>
      </c>
      <c r="F993" s="10">
        <v>45686.76394675926</v>
      </c>
      <c r="G993" s="3" t="s">
        <v>2955</v>
      </c>
      <c r="H993" s="10">
        <v>45687.33184027778</v>
      </c>
      <c r="I993" s="10">
        <v>45688.24591435185</v>
      </c>
      <c r="J993" s="10">
        <v>45688.246990740743</v>
      </c>
      <c r="K993" s="11">
        <f t="shared" si="30"/>
        <v>2.663194445631234E-2</v>
      </c>
      <c r="L993" s="11">
        <f t="shared" si="31"/>
        <v>1.481967592590081</v>
      </c>
    </row>
    <row r="994" spans="1:12" x14ac:dyDescent="0.25">
      <c r="A994" s="3" t="s">
        <v>2963</v>
      </c>
      <c r="B994" s="3" t="s">
        <v>439</v>
      </c>
      <c r="C994" s="10">
        <v>45686.733310185176</v>
      </c>
      <c r="D994" s="10">
        <v>45686.735335648147</v>
      </c>
      <c r="E994" s="10">
        <v>45686.76394675926</v>
      </c>
      <c r="F994" s="10">
        <v>45686.7658912037</v>
      </c>
      <c r="G994" s="3" t="s">
        <v>2934</v>
      </c>
      <c r="H994" s="10">
        <v>45687.129016203697</v>
      </c>
      <c r="I994" s="10">
        <v>45687.882418981477</v>
      </c>
      <c r="J994" s="10">
        <v>45687.883032407408</v>
      </c>
      <c r="K994" s="11">
        <f t="shared" si="30"/>
        <v>2.8611111112695653E-2</v>
      </c>
      <c r="L994" s="11">
        <f t="shared" si="31"/>
        <v>1.1165277777763549</v>
      </c>
    </row>
    <row r="995" spans="1:12" x14ac:dyDescent="0.25">
      <c r="A995" s="3" t="s">
        <v>2965</v>
      </c>
      <c r="B995" s="3" t="s">
        <v>439</v>
      </c>
      <c r="C995" s="10">
        <v>45686.733310185176</v>
      </c>
      <c r="D995" s="10">
        <v>45686.735335648147</v>
      </c>
      <c r="E995" s="10">
        <v>45686.7658912037</v>
      </c>
      <c r="F995" s="10">
        <v>45686.767534722218</v>
      </c>
      <c r="G995" s="3" t="s">
        <v>2902</v>
      </c>
      <c r="H995" s="10">
        <v>45687.346678240741</v>
      </c>
      <c r="I995" s="10">
        <v>45688.405370370368</v>
      </c>
      <c r="J995" s="10">
        <v>45688.406944444447</v>
      </c>
      <c r="K995" s="11">
        <f t="shared" si="30"/>
        <v>3.0555555553291924E-2</v>
      </c>
      <c r="L995" s="11">
        <f t="shared" si="31"/>
        <v>1.63783564815094</v>
      </c>
    </row>
    <row r="996" spans="1:12" x14ac:dyDescent="0.25">
      <c r="A996" s="3" t="s">
        <v>2967</v>
      </c>
      <c r="B996" s="3" t="s">
        <v>439</v>
      </c>
      <c r="C996" s="10">
        <v>45686.733310185176</v>
      </c>
      <c r="D996" s="10">
        <v>45686.735335648147</v>
      </c>
      <c r="E996" s="10">
        <v>45686.767534722218</v>
      </c>
      <c r="F996" s="10">
        <v>45686.769467592603</v>
      </c>
      <c r="G996" s="3" t="s">
        <v>2934</v>
      </c>
      <c r="H996" s="10">
        <v>45687.129016203697</v>
      </c>
      <c r="I996" s="10">
        <v>45687.882418981477</v>
      </c>
      <c r="J996" s="10">
        <v>45687.883032407408</v>
      </c>
      <c r="K996" s="11">
        <f t="shared" si="30"/>
        <v>3.219907407037681E-2</v>
      </c>
      <c r="L996" s="11">
        <f t="shared" si="31"/>
        <v>1.1129513888736255</v>
      </c>
    </row>
    <row r="997" spans="1:12" x14ac:dyDescent="0.25">
      <c r="A997" s="3" t="s">
        <v>2969</v>
      </c>
      <c r="B997" s="3" t="s">
        <v>439</v>
      </c>
      <c r="C997" s="10">
        <v>45686.733310185176</v>
      </c>
      <c r="D997" s="10">
        <v>45686.735335648147</v>
      </c>
      <c r="E997" s="10">
        <v>45686.769467592603</v>
      </c>
      <c r="F997" s="10">
        <v>45686.771168981482</v>
      </c>
      <c r="G997" s="3" t="s">
        <v>2931</v>
      </c>
      <c r="H997" s="10">
        <v>45687.649236111109</v>
      </c>
      <c r="I997" s="10">
        <v>45688.554756944453</v>
      </c>
      <c r="J997" s="10">
        <v>45688.55568287037</v>
      </c>
      <c r="K997" s="11">
        <f t="shared" si="30"/>
        <v>3.4131944456021301E-2</v>
      </c>
      <c r="L997" s="11">
        <f t="shared" si="31"/>
        <v>1.7835879629710689</v>
      </c>
    </row>
    <row r="998" spans="1:12" x14ac:dyDescent="0.25">
      <c r="A998" s="3" t="s">
        <v>2972</v>
      </c>
      <c r="B998" s="3" t="s">
        <v>440</v>
      </c>
      <c r="C998" s="10">
        <v>45686.865081018521</v>
      </c>
      <c r="D998" s="10">
        <v>45686.86755787037</v>
      </c>
      <c r="E998" s="10">
        <v>45686.874513888892</v>
      </c>
      <c r="F998" s="10">
        <v>45686.877083333333</v>
      </c>
      <c r="G998" s="3" t="s">
        <v>2973</v>
      </c>
      <c r="H998" s="10">
        <v>45686.879467592589</v>
      </c>
      <c r="I998" s="10">
        <v>45687.897326388891</v>
      </c>
      <c r="J998" s="10">
        <v>45687.898715277777</v>
      </c>
      <c r="K998" s="11">
        <f t="shared" si="30"/>
        <v>6.9560185220325366E-3</v>
      </c>
      <c r="L998" s="11">
        <f t="shared" si="31"/>
        <v>1.0202430555582396</v>
      </c>
    </row>
    <row r="999" spans="1:12" x14ac:dyDescent="0.25">
      <c r="A999" s="3" t="s">
        <v>2975</v>
      </c>
      <c r="B999" s="3" t="s">
        <v>441</v>
      </c>
      <c r="C999" s="10">
        <v>45687.112384259257</v>
      </c>
      <c r="D999" s="10">
        <v>45687.114293981482</v>
      </c>
      <c r="E999" s="10">
        <v>45687.123171296298</v>
      </c>
      <c r="F999" s="10">
        <v>45687.125092592592</v>
      </c>
      <c r="G999" s="3" t="s">
        <v>2934</v>
      </c>
      <c r="H999" s="10">
        <v>45687.129016203697</v>
      </c>
      <c r="I999" s="10">
        <v>45687.882418981477</v>
      </c>
      <c r="J999" s="10">
        <v>45687.883032407408</v>
      </c>
      <c r="K999" s="11">
        <f t="shared" si="30"/>
        <v>8.8773148163454607E-3</v>
      </c>
      <c r="L999" s="11">
        <f t="shared" si="31"/>
        <v>0.75732638888439396</v>
      </c>
    </row>
    <row r="1000" spans="1:12" x14ac:dyDescent="0.25">
      <c r="A1000" s="3" t="s">
        <v>2977</v>
      </c>
      <c r="B1000" s="3" t="s">
        <v>441</v>
      </c>
      <c r="C1000" s="10">
        <v>45687.112384259257</v>
      </c>
      <c r="D1000" s="10">
        <v>45687.114293981482</v>
      </c>
      <c r="E1000" s="10">
        <v>45687.125092592592</v>
      </c>
      <c r="F1000" s="10">
        <v>45687.126898148148</v>
      </c>
      <c r="G1000" s="3" t="s">
        <v>2931</v>
      </c>
      <c r="H1000" s="10">
        <v>45687.649236111109</v>
      </c>
      <c r="I1000" s="10">
        <v>45688.554756944453</v>
      </c>
      <c r="J1000" s="10">
        <v>45688.55568287037</v>
      </c>
      <c r="K1000" s="11">
        <f t="shared" si="30"/>
        <v>1.0798611110658385E-2</v>
      </c>
      <c r="L1000" s="11">
        <f t="shared" si="31"/>
        <v>1.4278587963053724</v>
      </c>
    </row>
    <row r="1001" spans="1:12" x14ac:dyDescent="0.25">
      <c r="A1001" s="3" t="s">
        <v>2979</v>
      </c>
      <c r="B1001" s="3" t="s">
        <v>441</v>
      </c>
      <c r="C1001" s="10">
        <v>45687.112384259257</v>
      </c>
      <c r="D1001" s="10">
        <v>45687.114293981482</v>
      </c>
      <c r="E1001" s="10">
        <v>45687.126898148148</v>
      </c>
      <c r="F1001" s="10">
        <v>45687.128101851849</v>
      </c>
      <c r="G1001" s="3" t="s">
        <v>2980</v>
      </c>
      <c r="H1001" s="10">
        <v>45687.551423611112</v>
      </c>
      <c r="I1001" s="10">
        <v>45688.457662037043</v>
      </c>
      <c r="J1001" s="10">
        <v>45688.458796296298</v>
      </c>
      <c r="K1001" s="11">
        <f t="shared" si="30"/>
        <v>1.2604166666278616E-2</v>
      </c>
      <c r="L1001" s="11">
        <f t="shared" si="31"/>
        <v>1.3295601851932588</v>
      </c>
    </row>
    <row r="1002" spans="1:12" x14ac:dyDescent="0.25">
      <c r="A1002" s="3" t="s">
        <v>2982</v>
      </c>
      <c r="B1002" s="3" t="s">
        <v>441</v>
      </c>
      <c r="C1002" s="10">
        <v>45687.112384259257</v>
      </c>
      <c r="D1002" s="10">
        <v>45687.114293981482</v>
      </c>
      <c r="E1002" s="10">
        <v>45687.128101851849</v>
      </c>
      <c r="F1002" s="10">
        <v>45687.13</v>
      </c>
      <c r="G1002" s="3" t="s">
        <v>2983</v>
      </c>
      <c r="H1002" s="10">
        <v>45688.332187499997</v>
      </c>
      <c r="I1002" s="10">
        <v>45688.771377314813</v>
      </c>
      <c r="J1002" s="10">
        <v>45688.77202546296</v>
      </c>
      <c r="K1002" s="11">
        <f t="shared" si="30"/>
        <v>1.3807870367600117E-2</v>
      </c>
      <c r="L1002" s="11">
        <f t="shared" si="31"/>
        <v>1.6413773148160544</v>
      </c>
    </row>
    <row r="1003" spans="1:12" x14ac:dyDescent="0.25">
      <c r="A1003" s="3" t="s">
        <v>2985</v>
      </c>
      <c r="B1003" s="3" t="s">
        <v>441</v>
      </c>
      <c r="C1003" s="10">
        <v>45687.112384259257</v>
      </c>
      <c r="D1003" s="10">
        <v>45687.114293981482</v>
      </c>
      <c r="E1003" s="10">
        <v>45687.13</v>
      </c>
      <c r="F1003" s="10">
        <v>45687.13140046296</v>
      </c>
      <c r="G1003" s="3" t="s">
        <v>2986</v>
      </c>
      <c r="H1003" s="10">
        <v>45687.337280092594</v>
      </c>
      <c r="I1003" s="10">
        <v>45688.277361111112</v>
      </c>
      <c r="J1003" s="10">
        <v>45688.278090277781</v>
      </c>
      <c r="K1003" s="11">
        <f t="shared" si="30"/>
        <v>1.5706018515629694E-2</v>
      </c>
      <c r="L1003" s="11">
        <f t="shared" si="31"/>
        <v>1.145960648151231</v>
      </c>
    </row>
    <row r="1004" spans="1:12" x14ac:dyDescent="0.25">
      <c r="A1004" s="3" t="s">
        <v>2988</v>
      </c>
      <c r="B1004" s="3" t="s">
        <v>442</v>
      </c>
      <c r="C1004" s="10">
        <v>45687.261840277781</v>
      </c>
      <c r="D1004" s="10">
        <v>45687.264120370368</v>
      </c>
      <c r="E1004" s="10">
        <v>45687.270358796297</v>
      </c>
      <c r="F1004" s="10">
        <v>45687.272280092591</v>
      </c>
      <c r="G1004" s="3" t="s">
        <v>2989</v>
      </c>
      <c r="H1004" s="10">
        <v>45687.274675925917</v>
      </c>
      <c r="I1004" s="10">
        <v>45688.188703703701</v>
      </c>
      <c r="J1004" s="10">
        <v>45688.189814814818</v>
      </c>
      <c r="K1004" s="11">
        <f t="shared" si="30"/>
        <v>6.2384259290411137E-3</v>
      </c>
      <c r="L1004" s="11">
        <f t="shared" si="31"/>
        <v>0.91642361111007631</v>
      </c>
    </row>
    <row r="1005" spans="1:12" x14ac:dyDescent="0.25">
      <c r="A1005" s="3" t="s">
        <v>2992</v>
      </c>
      <c r="B1005" s="3" t="s">
        <v>444</v>
      </c>
      <c r="C1005" s="10">
        <v>45687.300046296303</v>
      </c>
      <c r="D1005" s="10">
        <v>45687.302418981482</v>
      </c>
      <c r="E1005" s="10">
        <v>45687.323888888888</v>
      </c>
      <c r="F1005" s="10">
        <v>45687.325682870367</v>
      </c>
      <c r="G1005" s="3" t="s">
        <v>2983</v>
      </c>
      <c r="H1005" s="10">
        <v>45688.332187499997</v>
      </c>
      <c r="I1005" s="10">
        <v>45688.771377314813</v>
      </c>
      <c r="J1005" s="10">
        <v>45688.77202546296</v>
      </c>
      <c r="K1005" s="11">
        <f t="shared" si="30"/>
        <v>2.1469907405844424E-2</v>
      </c>
      <c r="L1005" s="11">
        <f t="shared" si="31"/>
        <v>1.445694444446417</v>
      </c>
    </row>
    <row r="1006" spans="1:12" x14ac:dyDescent="0.25">
      <c r="A1006" s="3" t="s">
        <v>2994</v>
      </c>
      <c r="B1006" s="3" t="s">
        <v>444</v>
      </c>
      <c r="C1006" s="10">
        <v>45687.300046296303</v>
      </c>
      <c r="D1006" s="10">
        <v>45687.302418981482</v>
      </c>
      <c r="E1006" s="10">
        <v>45687.325682870367</v>
      </c>
      <c r="F1006" s="10">
        <v>45687.327916666669</v>
      </c>
      <c r="G1006" s="3" t="s">
        <v>2955</v>
      </c>
      <c r="H1006" s="10">
        <v>45687.33184027778</v>
      </c>
      <c r="I1006" s="10">
        <v>45688.24591435185</v>
      </c>
      <c r="J1006" s="10">
        <v>45688.246990740743</v>
      </c>
      <c r="K1006" s="11">
        <f t="shared" si="30"/>
        <v>2.3263888884685002E-2</v>
      </c>
      <c r="L1006" s="11">
        <f t="shared" si="31"/>
        <v>0.91799768518103519</v>
      </c>
    </row>
    <row r="1007" spans="1:12" x14ac:dyDescent="0.25">
      <c r="A1007" s="3" t="s">
        <v>2996</v>
      </c>
      <c r="B1007" s="3" t="s">
        <v>444</v>
      </c>
      <c r="C1007" s="10">
        <v>45687.300046296303</v>
      </c>
      <c r="D1007" s="10">
        <v>45687.302418981482</v>
      </c>
      <c r="E1007" s="10">
        <v>45687.327916666669</v>
      </c>
      <c r="F1007" s="10">
        <v>45687.32916666667</v>
      </c>
      <c r="G1007" s="3" t="s">
        <v>2986</v>
      </c>
      <c r="H1007" s="10">
        <v>45687.337280092594</v>
      </c>
      <c r="I1007" s="10">
        <v>45688.277361111112</v>
      </c>
      <c r="J1007" s="10">
        <v>45688.278090277781</v>
      </c>
      <c r="K1007" s="11">
        <f t="shared" si="30"/>
        <v>2.5497685186564922E-2</v>
      </c>
      <c r="L1007" s="11">
        <f t="shared" si="31"/>
        <v>0.94819444444146939</v>
      </c>
    </row>
    <row r="1008" spans="1:12" x14ac:dyDescent="0.25">
      <c r="A1008" s="3" t="s">
        <v>2999</v>
      </c>
      <c r="B1008" s="3" t="s">
        <v>444</v>
      </c>
      <c r="C1008" s="10">
        <v>45687.300046296303</v>
      </c>
      <c r="D1008" s="10">
        <v>45687.302418981482</v>
      </c>
      <c r="E1008" s="10">
        <v>45687.32916666667</v>
      </c>
      <c r="F1008" s="10">
        <v>45687.330775462957</v>
      </c>
      <c r="G1008" s="3" t="s">
        <v>3000</v>
      </c>
      <c r="H1008" s="10">
        <v>45688.676979166667</v>
      </c>
      <c r="I1008" s="10"/>
      <c r="J1008" s="10"/>
      <c r="K1008" s="11">
        <f t="shared" si="30"/>
        <v>2.6747685187729076E-2</v>
      </c>
      <c r="L1008" s="11" t="str">
        <f t="shared" si="31"/>
        <v/>
      </c>
    </row>
    <row r="1009" spans="1:12" x14ac:dyDescent="0.25">
      <c r="A1009" s="3" t="s">
        <v>3002</v>
      </c>
      <c r="B1009" s="3" t="s">
        <v>444</v>
      </c>
      <c r="C1009" s="10">
        <v>45687.300046296303</v>
      </c>
      <c r="D1009" s="10">
        <v>45687.302418981482</v>
      </c>
      <c r="E1009" s="10">
        <v>45687.330775462957</v>
      </c>
      <c r="F1009" s="10">
        <v>45687.332361111112</v>
      </c>
      <c r="G1009" s="3" t="s">
        <v>2931</v>
      </c>
      <c r="H1009" s="10">
        <v>45687.649236111109</v>
      </c>
      <c r="I1009" s="10">
        <v>45688.554756944453</v>
      </c>
      <c r="J1009" s="10">
        <v>45688.55568287037</v>
      </c>
      <c r="K1009" s="11">
        <f t="shared" si="30"/>
        <v>2.8356481474475004E-2</v>
      </c>
      <c r="L1009" s="11">
        <f t="shared" si="31"/>
        <v>1.2223958333415794</v>
      </c>
    </row>
    <row r="1010" spans="1:12" x14ac:dyDescent="0.25">
      <c r="A1010" s="3" t="s">
        <v>3004</v>
      </c>
      <c r="B1010" s="3" t="s">
        <v>444</v>
      </c>
      <c r="C1010" s="10">
        <v>45687.300046296303</v>
      </c>
      <c r="D1010" s="10">
        <v>45687.302418981482</v>
      </c>
      <c r="E1010" s="10">
        <v>45687.332361111112</v>
      </c>
      <c r="F1010" s="10">
        <v>45687.333715277768</v>
      </c>
      <c r="G1010" s="3" t="s">
        <v>2986</v>
      </c>
      <c r="H1010" s="10">
        <v>45687.337280092594</v>
      </c>
      <c r="I1010" s="10">
        <v>45688.277361111112</v>
      </c>
      <c r="J1010" s="10">
        <v>45688.278090277781</v>
      </c>
      <c r="K1010" s="11">
        <f t="shared" si="30"/>
        <v>2.99421296294895E-2</v>
      </c>
      <c r="L1010" s="11">
        <f t="shared" si="31"/>
        <v>0.94364583334390773</v>
      </c>
    </row>
    <row r="1011" spans="1:12" x14ac:dyDescent="0.25">
      <c r="A1011" s="3" t="s">
        <v>3007</v>
      </c>
      <c r="B1011" s="3" t="s">
        <v>444</v>
      </c>
      <c r="C1011" s="10">
        <v>45687.300046296303</v>
      </c>
      <c r="D1011" s="10">
        <v>45687.302418981482</v>
      </c>
      <c r="E1011" s="10">
        <v>45687.333715277768</v>
      </c>
      <c r="F1011" s="10">
        <v>45687.335601851853</v>
      </c>
      <c r="G1011" s="3"/>
      <c r="H1011" s="10"/>
      <c r="I1011" s="10"/>
      <c r="J1011" s="10"/>
      <c r="K1011" s="11">
        <f t="shared" si="30"/>
        <v>3.1296296285290737E-2</v>
      </c>
      <c r="L1011" s="11" t="str">
        <f t="shared" si="31"/>
        <v/>
      </c>
    </row>
    <row r="1012" spans="1:12" x14ac:dyDescent="0.25">
      <c r="A1012" s="3" t="s">
        <v>3008</v>
      </c>
      <c r="B1012" s="3" t="s">
        <v>444</v>
      </c>
      <c r="C1012" s="10">
        <v>45687.300046296303</v>
      </c>
      <c r="D1012" s="10">
        <v>45687.302418981482</v>
      </c>
      <c r="E1012" s="10">
        <v>45687.335601851853</v>
      </c>
      <c r="F1012" s="10">
        <v>45687.336840277778</v>
      </c>
      <c r="G1012" s="3" t="s">
        <v>2785</v>
      </c>
      <c r="H1012" s="10">
        <v>45687.34039351852</v>
      </c>
      <c r="I1012" s="10">
        <v>45688.325277777767</v>
      </c>
      <c r="J1012" s="10">
        <v>45688.326157407413</v>
      </c>
      <c r="K1012" s="11">
        <f t="shared" si="30"/>
        <v>3.3182870371092577E-2</v>
      </c>
      <c r="L1012" s="11">
        <f t="shared" si="31"/>
        <v>0.98843749998923158</v>
      </c>
    </row>
    <row r="1013" spans="1:12" x14ac:dyDescent="0.25">
      <c r="A1013" s="3" t="s">
        <v>3010</v>
      </c>
      <c r="B1013" s="3" t="s">
        <v>444</v>
      </c>
      <c r="C1013" s="10">
        <v>45687.300046296303</v>
      </c>
      <c r="D1013" s="10">
        <v>45687.302418981482</v>
      </c>
      <c r="E1013" s="10">
        <v>45687.336840277778</v>
      </c>
      <c r="F1013" s="10">
        <v>45687.337893518517</v>
      </c>
      <c r="G1013" s="3" t="s">
        <v>2980</v>
      </c>
      <c r="H1013" s="10">
        <v>45687.551423611112</v>
      </c>
      <c r="I1013" s="10">
        <v>45688.457662037043</v>
      </c>
      <c r="J1013" s="10">
        <v>45688.458796296298</v>
      </c>
      <c r="K1013" s="11">
        <f t="shared" si="30"/>
        <v>3.4421296295477077E-2</v>
      </c>
      <c r="L1013" s="11">
        <f t="shared" si="31"/>
        <v>1.119768518525234</v>
      </c>
    </row>
    <row r="1014" spans="1:12" x14ac:dyDescent="0.25">
      <c r="A1014" s="3" t="s">
        <v>3012</v>
      </c>
      <c r="B1014" s="3" t="s">
        <v>444</v>
      </c>
      <c r="C1014" s="10">
        <v>45687.300046296303</v>
      </c>
      <c r="D1014" s="10">
        <v>45687.302418981482</v>
      </c>
      <c r="E1014" s="10">
        <v>45687.337893518517</v>
      </c>
      <c r="F1014" s="10">
        <v>45687.339421296303</v>
      </c>
      <c r="G1014" s="3" t="s">
        <v>2902</v>
      </c>
      <c r="H1014" s="10">
        <v>45687.346678240741</v>
      </c>
      <c r="I1014" s="10">
        <v>45688.405370370368</v>
      </c>
      <c r="J1014" s="10">
        <v>45688.406944444447</v>
      </c>
      <c r="K1014" s="11">
        <f t="shared" si="30"/>
        <v>3.5474537035042886E-2</v>
      </c>
      <c r="L1014" s="11">
        <f t="shared" si="31"/>
        <v>1.0659490740654292</v>
      </c>
    </row>
    <row r="1015" spans="1:12" x14ac:dyDescent="0.25">
      <c r="A1015" s="3" t="s">
        <v>3014</v>
      </c>
      <c r="B1015" s="3" t="s">
        <v>445</v>
      </c>
      <c r="C1015" s="10">
        <v>45687.327488425923</v>
      </c>
      <c r="D1015" s="10">
        <v>45687.329965277779</v>
      </c>
      <c r="E1015" s="10">
        <v>45687.340300925927</v>
      </c>
      <c r="F1015" s="10">
        <v>45687.34275462963</v>
      </c>
      <c r="G1015" s="3" t="s">
        <v>2902</v>
      </c>
      <c r="H1015" s="10">
        <v>45687.346678240741</v>
      </c>
      <c r="I1015" s="10">
        <v>45688.405370370368</v>
      </c>
      <c r="J1015" s="10">
        <v>45688.406944444447</v>
      </c>
      <c r="K1015" s="11">
        <f t="shared" si="30"/>
        <v>1.0335648148611654E-2</v>
      </c>
      <c r="L1015" s="11">
        <f t="shared" si="31"/>
        <v>1.0626157407386927</v>
      </c>
    </row>
    <row r="1016" spans="1:12" x14ac:dyDescent="0.25">
      <c r="A1016" s="3" t="s">
        <v>3016</v>
      </c>
      <c r="B1016" s="3" t="s">
        <v>446</v>
      </c>
      <c r="C1016" s="10">
        <v>45687.348391203697</v>
      </c>
      <c r="D1016" s="10">
        <v>45687.350474537037</v>
      </c>
      <c r="E1016" s="10">
        <v>45687.358275462961</v>
      </c>
      <c r="F1016" s="10">
        <v>45687.360324074078</v>
      </c>
      <c r="G1016" s="3" t="s">
        <v>2888</v>
      </c>
      <c r="H1016" s="10">
        <v>45687.368773148148</v>
      </c>
      <c r="I1016" s="10">
        <v>45688.369166666656</v>
      </c>
      <c r="J1016" s="10">
        <v>45688.369988425933</v>
      </c>
      <c r="K1016" s="11">
        <f t="shared" si="30"/>
        <v>7.8009259232203476E-3</v>
      </c>
      <c r="L1016" s="11">
        <f t="shared" si="31"/>
        <v>1.0088425925787305</v>
      </c>
    </row>
    <row r="1017" spans="1:12" x14ac:dyDescent="0.25">
      <c r="A1017" s="3" t="s">
        <v>3019</v>
      </c>
      <c r="B1017" s="3" t="s">
        <v>446</v>
      </c>
      <c r="C1017" s="10">
        <v>45687.348391203697</v>
      </c>
      <c r="D1017" s="10">
        <v>45687.350474537037</v>
      </c>
      <c r="E1017" s="10">
        <v>45687.358275462961</v>
      </c>
      <c r="F1017" s="10">
        <v>45687.360324074078</v>
      </c>
      <c r="G1017" s="3" t="s">
        <v>2888</v>
      </c>
      <c r="H1017" s="10">
        <v>45687.368773148148</v>
      </c>
      <c r="I1017" s="10">
        <v>45688.369166666656</v>
      </c>
      <c r="J1017" s="10">
        <v>45688.369988425933</v>
      </c>
      <c r="K1017" s="11">
        <f t="shared" si="30"/>
        <v>7.8009259232203476E-3</v>
      </c>
      <c r="L1017" s="11">
        <f t="shared" si="31"/>
        <v>1.0088425925787305</v>
      </c>
    </row>
    <row r="1018" spans="1:12" x14ac:dyDescent="0.25">
      <c r="A1018" s="3" t="s">
        <v>3021</v>
      </c>
      <c r="B1018" s="3" t="s">
        <v>447</v>
      </c>
      <c r="C1018" s="10">
        <v>45687.380300925928</v>
      </c>
      <c r="D1018" s="10">
        <v>45687.382719907408</v>
      </c>
      <c r="E1018" s="10">
        <v>45687.39434027778</v>
      </c>
      <c r="F1018" s="10">
        <v>45687.396527777782</v>
      </c>
      <c r="G1018" s="3" t="s">
        <v>3022</v>
      </c>
      <c r="H1018" s="10">
        <v>45687.398680555547</v>
      </c>
      <c r="I1018" s="10">
        <v>45688.406944444447</v>
      </c>
      <c r="J1018" s="10">
        <v>45688.407650462963</v>
      </c>
      <c r="K1018" s="11">
        <f t="shared" si="30"/>
        <v>1.1620370372838806E-2</v>
      </c>
      <c r="L1018" s="11">
        <f t="shared" si="31"/>
        <v>1.0104166666642413</v>
      </c>
    </row>
    <row r="1019" spans="1:12" x14ac:dyDescent="0.25">
      <c r="A1019" s="3" t="s">
        <v>3024</v>
      </c>
      <c r="B1019" s="3" t="s">
        <v>447</v>
      </c>
      <c r="C1019" s="10">
        <v>45687.380300925928</v>
      </c>
      <c r="D1019" s="10">
        <v>45687.382719907408</v>
      </c>
      <c r="E1019" s="10">
        <v>45687.396527777782</v>
      </c>
      <c r="F1019" s="10">
        <v>45687.398506944453</v>
      </c>
      <c r="G1019" s="3" t="s">
        <v>2908</v>
      </c>
      <c r="H1019" s="10">
        <v>45688.334548611107</v>
      </c>
      <c r="I1019" s="10">
        <v>45688.884293981479</v>
      </c>
      <c r="J1019" s="10">
        <v>45688.885115740741</v>
      </c>
      <c r="K1019" s="11">
        <f t="shared" si="30"/>
        <v>1.3807870374876074E-2</v>
      </c>
      <c r="L1019" s="11">
        <f t="shared" si="31"/>
        <v>1.4857870370251476</v>
      </c>
    </row>
    <row r="1020" spans="1:12" x14ac:dyDescent="0.25">
      <c r="A1020" s="3" t="s">
        <v>3026</v>
      </c>
      <c r="B1020" s="3" t="s">
        <v>447</v>
      </c>
      <c r="C1020" s="10">
        <v>45687.380300925928</v>
      </c>
      <c r="D1020" s="10">
        <v>45687.382719907408</v>
      </c>
      <c r="E1020" s="10">
        <v>45687.398506944453</v>
      </c>
      <c r="F1020" s="10">
        <v>45687.40053240741</v>
      </c>
      <c r="G1020" s="3"/>
      <c r="H1020" s="10"/>
      <c r="I1020" s="10"/>
      <c r="J1020" s="10"/>
      <c r="K1020" s="11">
        <f t="shared" si="30"/>
        <v>1.5787037045811303E-2</v>
      </c>
      <c r="L1020" s="11" t="str">
        <f t="shared" si="31"/>
        <v/>
      </c>
    </row>
    <row r="1021" spans="1:12" x14ac:dyDescent="0.25">
      <c r="A1021" s="3" t="s">
        <v>3027</v>
      </c>
      <c r="B1021" s="3" t="s">
        <v>447</v>
      </c>
      <c r="C1021" s="10">
        <v>45687.380300925928</v>
      </c>
      <c r="D1021" s="10">
        <v>45687.382719907408</v>
      </c>
      <c r="E1021" s="10">
        <v>45687.40053240741</v>
      </c>
      <c r="F1021" s="10">
        <v>45687.402627314812</v>
      </c>
      <c r="G1021" s="3" t="s">
        <v>3028</v>
      </c>
      <c r="H1021" s="10">
        <v>45687.647789351853</v>
      </c>
      <c r="I1021" s="10">
        <v>45688.484467592592</v>
      </c>
      <c r="J1021" s="10">
        <v>45688.485358796293</v>
      </c>
      <c r="K1021" s="11">
        <f t="shared" si="30"/>
        <v>1.7812500002037268E-2</v>
      </c>
      <c r="L1021" s="11">
        <f t="shared" si="31"/>
        <v>1.0818402777804295</v>
      </c>
    </row>
    <row r="1022" spans="1:12" x14ac:dyDescent="0.25">
      <c r="A1022" s="3" t="s">
        <v>3030</v>
      </c>
      <c r="B1022" s="3" t="s">
        <v>447</v>
      </c>
      <c r="C1022" s="10">
        <v>45687.380300925928</v>
      </c>
      <c r="D1022" s="10">
        <v>45687.382719907408</v>
      </c>
      <c r="E1022" s="10">
        <v>45687.402627314812</v>
      </c>
      <c r="F1022" s="10">
        <v>45687.404594907413</v>
      </c>
      <c r="G1022" s="3" t="s">
        <v>2983</v>
      </c>
      <c r="H1022" s="10">
        <v>45688.332187499997</v>
      </c>
      <c r="I1022" s="10">
        <v>45688.771377314813</v>
      </c>
      <c r="J1022" s="10">
        <v>45688.77202546296</v>
      </c>
      <c r="K1022" s="11">
        <f t="shared" si="30"/>
        <v>1.9907407404389232E-2</v>
      </c>
      <c r="L1022" s="11">
        <f t="shared" si="31"/>
        <v>1.3667824074000237</v>
      </c>
    </row>
    <row r="1023" spans="1:12" x14ac:dyDescent="0.25">
      <c r="A1023" s="3" t="s">
        <v>3036</v>
      </c>
      <c r="B1023" s="3" t="s">
        <v>449</v>
      </c>
      <c r="C1023" s="10">
        <v>45687.539282407408</v>
      </c>
      <c r="D1023" s="10">
        <v>45687.541550925933</v>
      </c>
      <c r="E1023" s="10">
        <v>45687.547465277778</v>
      </c>
      <c r="F1023" s="10">
        <v>45687.549259259264</v>
      </c>
      <c r="G1023" s="3" t="s">
        <v>2980</v>
      </c>
      <c r="H1023" s="10">
        <v>45687.551423611112</v>
      </c>
      <c r="I1023" s="10">
        <v>45688.457662037043</v>
      </c>
      <c r="J1023" s="10">
        <v>45688.458796296298</v>
      </c>
      <c r="K1023" s="11">
        <f t="shared" si="30"/>
        <v>5.9143518446944654E-3</v>
      </c>
      <c r="L1023" s="11">
        <f t="shared" si="31"/>
        <v>0.90840277777897427</v>
      </c>
    </row>
    <row r="1024" spans="1:12" x14ac:dyDescent="0.25">
      <c r="A1024" s="3" t="s">
        <v>3039</v>
      </c>
      <c r="B1024" s="3" t="s">
        <v>451</v>
      </c>
      <c r="C1024" s="10">
        <v>45687.618969907409</v>
      </c>
      <c r="D1024" s="10">
        <v>45687.621180555558</v>
      </c>
      <c r="E1024" s="10">
        <v>45687.634201388893</v>
      </c>
      <c r="F1024" s="10">
        <v>45687.636145833327</v>
      </c>
      <c r="G1024" s="3" t="s">
        <v>2983</v>
      </c>
      <c r="H1024" s="10">
        <v>45688.332187499997</v>
      </c>
      <c r="I1024" s="10">
        <v>45688.771377314813</v>
      </c>
      <c r="J1024" s="10">
        <v>45688.77202546296</v>
      </c>
      <c r="K1024" s="11">
        <f t="shared" si="30"/>
        <v>1.3020833335758653E-2</v>
      </c>
      <c r="L1024" s="11">
        <f t="shared" si="31"/>
        <v>1.1352314814866986</v>
      </c>
    </row>
    <row r="1025" spans="1:12" x14ac:dyDescent="0.25">
      <c r="A1025" s="3" t="s">
        <v>3041</v>
      </c>
      <c r="B1025" s="3" t="s">
        <v>451</v>
      </c>
      <c r="C1025" s="10">
        <v>45687.618969907409</v>
      </c>
      <c r="D1025" s="10">
        <v>45687.621180555558</v>
      </c>
      <c r="E1025" s="10">
        <v>45687.636145833327</v>
      </c>
      <c r="F1025" s="10">
        <v>45687.637939814813</v>
      </c>
      <c r="G1025" s="3" t="s">
        <v>3000</v>
      </c>
      <c r="H1025" s="10">
        <v>45688.676979166667</v>
      </c>
      <c r="I1025" s="10"/>
      <c r="J1025" s="10"/>
      <c r="K1025" s="11">
        <f t="shared" si="30"/>
        <v>1.4965277769078966E-2</v>
      </c>
      <c r="L1025" s="11" t="str">
        <f t="shared" si="31"/>
        <v/>
      </c>
    </row>
    <row r="1026" spans="1:12" x14ac:dyDescent="0.25">
      <c r="A1026" s="3" t="s">
        <v>3043</v>
      </c>
      <c r="B1026" s="3" t="s">
        <v>451</v>
      </c>
      <c r="C1026" s="10">
        <v>45687.618969907409</v>
      </c>
      <c r="D1026" s="10">
        <v>45687.621180555558</v>
      </c>
      <c r="E1026" s="10">
        <v>45687.637939814813</v>
      </c>
      <c r="F1026" s="10">
        <v>45687.639884259261</v>
      </c>
      <c r="G1026" s="3" t="s">
        <v>2908</v>
      </c>
      <c r="H1026" s="10">
        <v>45688.334548611107</v>
      </c>
      <c r="I1026" s="10">
        <v>45688.884293981479</v>
      </c>
      <c r="J1026" s="10">
        <v>45688.885115740741</v>
      </c>
      <c r="K1026" s="11">
        <f t="shared" ref="K1026:K1089" si="32">IF(AND(ISNUMBER(D1026),ISNUMBER(E1026)),(E1026-D1026),"")</f>
        <v>1.6759259255195502E-2</v>
      </c>
      <c r="L1026" s="11">
        <f t="shared" ref="L1026:L1089" si="33">IF(AND(ISNUMBER(F1026),ISNUMBER(I1026)),(I1026-F1026),"")</f>
        <v>1.2444097222178243</v>
      </c>
    </row>
    <row r="1027" spans="1:12" x14ac:dyDescent="0.25">
      <c r="A1027" s="3" t="s">
        <v>3045</v>
      </c>
      <c r="B1027" s="3" t="s">
        <v>451</v>
      </c>
      <c r="C1027" s="10">
        <v>45687.618969907409</v>
      </c>
      <c r="D1027" s="10">
        <v>45687.621180555558</v>
      </c>
      <c r="E1027" s="10">
        <v>45687.639884259261</v>
      </c>
      <c r="F1027" s="10">
        <v>45687.641840277778</v>
      </c>
      <c r="G1027" s="3" t="s">
        <v>3028</v>
      </c>
      <c r="H1027" s="10">
        <v>45687.647789351853</v>
      </c>
      <c r="I1027" s="10">
        <v>45688.484467592592</v>
      </c>
      <c r="J1027" s="10">
        <v>45688.485358796293</v>
      </c>
      <c r="K1027" s="11">
        <f t="shared" si="32"/>
        <v>1.8703703703067731E-2</v>
      </c>
      <c r="L1027" s="11">
        <f t="shared" si="33"/>
        <v>0.84262731481430819</v>
      </c>
    </row>
    <row r="1028" spans="1:12" x14ac:dyDescent="0.25">
      <c r="A1028" s="3" t="s">
        <v>3047</v>
      </c>
      <c r="B1028" s="3" t="s">
        <v>451</v>
      </c>
      <c r="C1028" s="10">
        <v>45687.618969907409</v>
      </c>
      <c r="D1028" s="10">
        <v>45687.621180555558</v>
      </c>
      <c r="E1028" s="10">
        <v>45687.641840277778</v>
      </c>
      <c r="F1028" s="10">
        <v>45687.643888888888</v>
      </c>
      <c r="G1028" s="3" t="s">
        <v>3028</v>
      </c>
      <c r="H1028" s="10">
        <v>45687.647789351853</v>
      </c>
      <c r="I1028" s="10">
        <v>45688.484467592592</v>
      </c>
      <c r="J1028" s="10">
        <v>45688.485358796293</v>
      </c>
      <c r="K1028" s="11">
        <f t="shared" si="32"/>
        <v>2.0659722220443655E-2</v>
      </c>
      <c r="L1028" s="11">
        <f t="shared" si="33"/>
        <v>0.84057870370452292</v>
      </c>
    </row>
    <row r="1029" spans="1:12" x14ac:dyDescent="0.25">
      <c r="A1029" s="3" t="s">
        <v>3050</v>
      </c>
      <c r="B1029" s="3" t="s">
        <v>451</v>
      </c>
      <c r="C1029" s="10">
        <v>45687.618969907409</v>
      </c>
      <c r="D1029" s="10">
        <v>45687.621180555558</v>
      </c>
      <c r="E1029" s="10">
        <v>45687.643888888888</v>
      </c>
      <c r="F1029" s="10">
        <v>45687.645671296297</v>
      </c>
      <c r="G1029" s="3" t="s">
        <v>2931</v>
      </c>
      <c r="H1029" s="10">
        <v>45687.649236111109</v>
      </c>
      <c r="I1029" s="10">
        <v>45688.554756944453</v>
      </c>
      <c r="J1029" s="10">
        <v>45688.55568287037</v>
      </c>
      <c r="K1029" s="11">
        <f t="shared" si="32"/>
        <v>2.2708333330228925E-2</v>
      </c>
      <c r="L1029" s="11">
        <f t="shared" si="33"/>
        <v>0.90908564815617865</v>
      </c>
    </row>
    <row r="1030" spans="1:12" x14ac:dyDescent="0.25">
      <c r="A1030" s="3" t="s">
        <v>3052</v>
      </c>
      <c r="B1030" s="3" t="s">
        <v>451</v>
      </c>
      <c r="C1030" s="10">
        <v>45687.618969907409</v>
      </c>
      <c r="D1030" s="10">
        <v>45687.621180555558</v>
      </c>
      <c r="E1030" s="10">
        <v>45687.645671296297</v>
      </c>
      <c r="F1030" s="10">
        <v>45687.647673611107</v>
      </c>
      <c r="G1030" s="3" t="s">
        <v>3053</v>
      </c>
      <c r="H1030" s="10">
        <v>45687.865243055552</v>
      </c>
      <c r="I1030" s="10">
        <v>45688.723391203697</v>
      </c>
      <c r="J1030" s="10">
        <v>45688.724687499998</v>
      </c>
      <c r="K1030" s="11">
        <f t="shared" si="32"/>
        <v>2.4490740739565808E-2</v>
      </c>
      <c r="L1030" s="11">
        <f t="shared" si="33"/>
        <v>1.075717592590081</v>
      </c>
    </row>
    <row r="1031" spans="1:12" x14ac:dyDescent="0.25">
      <c r="A1031" s="3" t="s">
        <v>3055</v>
      </c>
      <c r="B1031" s="3" t="s">
        <v>452</v>
      </c>
      <c r="C1031" s="10">
        <v>45687.64775462963</v>
      </c>
      <c r="D1031" s="10">
        <v>45687.649004629631</v>
      </c>
      <c r="E1031" s="10">
        <v>45687.652789351851</v>
      </c>
      <c r="F1031" s="10">
        <v>45687.654305555552</v>
      </c>
      <c r="G1031" s="3" t="s">
        <v>3056</v>
      </c>
      <c r="H1031" s="10">
        <v>45687.833391203712</v>
      </c>
      <c r="I1031" s="10">
        <v>45688.633645833332</v>
      </c>
      <c r="J1031" s="10">
        <v>45688.63453703704</v>
      </c>
      <c r="K1031" s="11">
        <f t="shared" si="32"/>
        <v>3.7847222192795016E-3</v>
      </c>
      <c r="L1031" s="11">
        <f t="shared" si="33"/>
        <v>0.97934027777955635</v>
      </c>
    </row>
    <row r="1032" spans="1:12" x14ac:dyDescent="0.25">
      <c r="A1032" s="3" t="s">
        <v>3058</v>
      </c>
      <c r="B1032" s="3" t="s">
        <v>453</v>
      </c>
      <c r="C1032" s="10">
        <v>45687.723692129628</v>
      </c>
      <c r="D1032" s="10">
        <v>45687.725023148138</v>
      </c>
      <c r="E1032" s="10">
        <v>45687.729039351849</v>
      </c>
      <c r="F1032" s="10">
        <v>45687.730624999997</v>
      </c>
      <c r="G1032" s="3" t="s">
        <v>3056</v>
      </c>
      <c r="H1032" s="10">
        <v>45687.833391203712</v>
      </c>
      <c r="I1032" s="10">
        <v>45688.633645833332</v>
      </c>
      <c r="J1032" s="10">
        <v>45688.63453703704</v>
      </c>
      <c r="K1032" s="11">
        <f t="shared" si="32"/>
        <v>4.0162037112168036E-3</v>
      </c>
      <c r="L1032" s="11">
        <f t="shared" si="33"/>
        <v>0.90302083333517658</v>
      </c>
    </row>
    <row r="1033" spans="1:12" x14ac:dyDescent="0.25">
      <c r="A1033" s="3" t="s">
        <v>3060</v>
      </c>
      <c r="B1033" s="3" t="s">
        <v>454</v>
      </c>
      <c r="C1033" s="10">
        <v>45687.82130787037</v>
      </c>
      <c r="D1033" s="10">
        <v>45687.823206018518</v>
      </c>
      <c r="E1033" s="10">
        <v>45687.828032407408</v>
      </c>
      <c r="F1033" s="10">
        <v>45687.829467592594</v>
      </c>
      <c r="G1033" s="3" t="s">
        <v>3056</v>
      </c>
      <c r="H1033" s="10">
        <v>45687.833391203712</v>
      </c>
      <c r="I1033" s="10">
        <v>45688.633645833332</v>
      </c>
      <c r="J1033" s="10">
        <v>45688.63453703704</v>
      </c>
      <c r="K1033" s="11">
        <f t="shared" si="32"/>
        <v>4.8263888893416151E-3</v>
      </c>
      <c r="L1033" s="11">
        <f t="shared" si="33"/>
        <v>0.80417824073811062</v>
      </c>
    </row>
    <row r="1034" spans="1:12" x14ac:dyDescent="0.25">
      <c r="A1034" s="3" t="s">
        <v>3062</v>
      </c>
      <c r="B1034" s="3" t="s">
        <v>455</v>
      </c>
      <c r="C1034" s="10">
        <v>45687.850914351853</v>
      </c>
      <c r="D1034" s="10">
        <v>45687.853402777779</v>
      </c>
      <c r="E1034" s="10">
        <v>45687.860081018523</v>
      </c>
      <c r="F1034" s="10">
        <v>45687.862847222219</v>
      </c>
      <c r="G1034" s="3" t="s">
        <v>3053</v>
      </c>
      <c r="H1034" s="10">
        <v>45687.865243055552</v>
      </c>
      <c r="I1034" s="10">
        <v>45688.723391203697</v>
      </c>
      <c r="J1034" s="10">
        <v>45688.724687499998</v>
      </c>
      <c r="K1034" s="11">
        <f t="shared" si="32"/>
        <v>6.6782407448044978E-3</v>
      </c>
      <c r="L1034" s="11">
        <f t="shared" si="33"/>
        <v>0.8605439814782585</v>
      </c>
    </row>
    <row r="1035" spans="1:12" x14ac:dyDescent="0.25">
      <c r="A1035" s="3" t="s">
        <v>3064</v>
      </c>
      <c r="B1035" s="3" t="s">
        <v>456</v>
      </c>
      <c r="C1035" s="10">
        <v>45688.115636574083</v>
      </c>
      <c r="D1035" s="10">
        <v>45688.117685185192</v>
      </c>
      <c r="E1035" s="10">
        <v>45688.127662037034</v>
      </c>
      <c r="F1035" s="10">
        <v>45688.128819444442</v>
      </c>
      <c r="G1035" s="3" t="s">
        <v>3065</v>
      </c>
      <c r="H1035" s="10">
        <v>45688.602430555547</v>
      </c>
      <c r="I1035" s="10"/>
      <c r="J1035" s="10"/>
      <c r="K1035" s="11">
        <f t="shared" si="32"/>
        <v>9.9768518412020057E-3</v>
      </c>
      <c r="L1035" s="11" t="str">
        <f t="shared" si="33"/>
        <v/>
      </c>
    </row>
    <row r="1036" spans="1:12" x14ac:dyDescent="0.25">
      <c r="A1036" s="3" t="s">
        <v>3067</v>
      </c>
      <c r="B1036" s="3" t="s">
        <v>456</v>
      </c>
      <c r="C1036" s="10">
        <v>45688.115636574083</v>
      </c>
      <c r="D1036" s="10">
        <v>45688.117685185192</v>
      </c>
      <c r="E1036" s="10">
        <v>45688.128819444442</v>
      </c>
      <c r="F1036" s="10">
        <v>45688.130694444437</v>
      </c>
      <c r="G1036" s="3" t="s">
        <v>3068</v>
      </c>
      <c r="H1036" s="10">
        <v>45688.330277777779</v>
      </c>
      <c r="I1036" s="10">
        <v>45688.780856481477</v>
      </c>
      <c r="J1036" s="10">
        <v>45688.781886574077</v>
      </c>
      <c r="K1036" s="11">
        <f t="shared" si="32"/>
        <v>1.1134259249956813E-2</v>
      </c>
      <c r="L1036" s="11">
        <f t="shared" si="33"/>
        <v>0.65016203703999054</v>
      </c>
    </row>
    <row r="1037" spans="1:12" x14ac:dyDescent="0.25">
      <c r="A1037" s="3" t="s">
        <v>3070</v>
      </c>
      <c r="B1037" s="3" t="s">
        <v>456</v>
      </c>
      <c r="C1037" s="10">
        <v>45688.115636574083</v>
      </c>
      <c r="D1037" s="10">
        <v>45688.117685185192</v>
      </c>
      <c r="E1037" s="10">
        <v>45688.130694444437</v>
      </c>
      <c r="F1037" s="10">
        <v>45688.132291666669</v>
      </c>
      <c r="G1037" s="3" t="s">
        <v>3071</v>
      </c>
      <c r="H1037" s="10">
        <v>45688.683287037027</v>
      </c>
      <c r="I1037" s="10"/>
      <c r="J1037" s="10"/>
      <c r="K1037" s="11">
        <f t="shared" si="32"/>
        <v>1.3009259244427085E-2</v>
      </c>
      <c r="L1037" s="11" t="str">
        <f t="shared" si="33"/>
        <v/>
      </c>
    </row>
    <row r="1038" spans="1:12" x14ac:dyDescent="0.25">
      <c r="A1038" s="3" t="s">
        <v>3073</v>
      </c>
      <c r="B1038" s="3" t="s">
        <v>456</v>
      </c>
      <c r="C1038" s="10">
        <v>45688.115636574083</v>
      </c>
      <c r="D1038" s="10">
        <v>45688.117685185192</v>
      </c>
      <c r="E1038" s="10">
        <v>45688.132291666669</v>
      </c>
      <c r="F1038" s="10">
        <v>45688.133449074077</v>
      </c>
      <c r="G1038" s="3" t="s">
        <v>3065</v>
      </c>
      <c r="H1038" s="10">
        <v>45688.602430555547</v>
      </c>
      <c r="I1038" s="10"/>
      <c r="J1038" s="10"/>
      <c r="K1038" s="11">
        <f t="shared" si="32"/>
        <v>1.4606481476221234E-2</v>
      </c>
      <c r="L1038" s="11" t="str">
        <f t="shared" si="33"/>
        <v/>
      </c>
    </row>
    <row r="1039" spans="1:12" x14ac:dyDescent="0.25">
      <c r="A1039" s="3" t="s">
        <v>3075</v>
      </c>
      <c r="B1039" s="3" t="s">
        <v>456</v>
      </c>
      <c r="C1039" s="10">
        <v>45688.115636574083</v>
      </c>
      <c r="D1039" s="10">
        <v>45688.117685185192</v>
      </c>
      <c r="E1039" s="10">
        <v>45688.133449074077</v>
      </c>
      <c r="F1039" s="10">
        <v>45688.135405092587</v>
      </c>
      <c r="G1039" s="3" t="s">
        <v>2983</v>
      </c>
      <c r="H1039" s="10">
        <v>45688.332187499997</v>
      </c>
      <c r="I1039" s="10">
        <v>45688.771377314813</v>
      </c>
      <c r="J1039" s="10">
        <v>45688.77202546296</v>
      </c>
      <c r="K1039" s="11">
        <f t="shared" si="32"/>
        <v>1.5763888884976041E-2</v>
      </c>
      <c r="L1039" s="11">
        <f t="shared" si="33"/>
        <v>0.63597222222597338</v>
      </c>
    </row>
    <row r="1040" spans="1:12" x14ac:dyDescent="0.25">
      <c r="A1040" s="3" t="s">
        <v>3078</v>
      </c>
      <c r="B1040" s="3" t="s">
        <v>458</v>
      </c>
      <c r="C1040" s="10">
        <v>45688.247534722221</v>
      </c>
      <c r="D1040" s="10">
        <v>45688.249814814822</v>
      </c>
      <c r="E1040" s="10">
        <v>45688.256053240737</v>
      </c>
      <c r="F1040" s="10">
        <v>45688.257974537039</v>
      </c>
      <c r="G1040" s="3" t="s">
        <v>3079</v>
      </c>
      <c r="H1040" s="10">
        <v>45688.260138888887</v>
      </c>
      <c r="I1040" s="10">
        <v>45688.708240740743</v>
      </c>
      <c r="J1040" s="10">
        <v>45688.709363425929</v>
      </c>
      <c r="K1040" s="11">
        <f t="shared" si="32"/>
        <v>6.2384259144891985E-3</v>
      </c>
      <c r="L1040" s="11">
        <f t="shared" si="33"/>
        <v>0.45026620370481396</v>
      </c>
    </row>
    <row r="1041" spans="1:12" x14ac:dyDescent="0.25">
      <c r="A1041" s="3" t="s">
        <v>3081</v>
      </c>
      <c r="B1041" s="3" t="s">
        <v>459</v>
      </c>
      <c r="C1041" s="10">
        <v>45688.291192129633</v>
      </c>
      <c r="D1041" s="10">
        <v>45688.292951388888</v>
      </c>
      <c r="E1041" s="10">
        <v>45688.2971875</v>
      </c>
      <c r="F1041" s="10">
        <v>45688.29923611111</v>
      </c>
      <c r="G1041" s="3" t="s">
        <v>3082</v>
      </c>
      <c r="H1041" s="10">
        <v>45688.32099537037</v>
      </c>
      <c r="I1041" s="10">
        <v>45688.716724537036</v>
      </c>
      <c r="J1041" s="10">
        <v>45688.717546296299</v>
      </c>
      <c r="K1041" s="11">
        <f t="shared" si="32"/>
        <v>4.2361111118225381E-3</v>
      </c>
      <c r="L1041" s="11">
        <f t="shared" si="33"/>
        <v>0.41748842592642177</v>
      </c>
    </row>
    <row r="1042" spans="1:12" x14ac:dyDescent="0.25">
      <c r="A1042" s="3" t="s">
        <v>3084</v>
      </c>
      <c r="B1042" s="3" t="s">
        <v>460</v>
      </c>
      <c r="C1042" s="10">
        <v>45688.294074074067</v>
      </c>
      <c r="D1042" s="10">
        <v>45688.296585648153</v>
      </c>
      <c r="E1042" s="10">
        <v>45688.313923611109</v>
      </c>
      <c r="F1042" s="10">
        <v>45688.315335648149</v>
      </c>
      <c r="G1042" s="3" t="s">
        <v>3085</v>
      </c>
      <c r="H1042" s="10">
        <v>45688.665648148148</v>
      </c>
      <c r="I1042" s="10"/>
      <c r="J1042" s="10"/>
      <c r="K1042" s="11">
        <f t="shared" si="32"/>
        <v>1.7337962955934927E-2</v>
      </c>
      <c r="L1042" s="11" t="str">
        <f t="shared" si="33"/>
        <v/>
      </c>
    </row>
    <row r="1043" spans="1:12" x14ac:dyDescent="0.25">
      <c r="A1043" s="3" t="s">
        <v>3087</v>
      </c>
      <c r="B1043" s="3" t="s">
        <v>460</v>
      </c>
      <c r="C1043" s="10">
        <v>45688.294074074067</v>
      </c>
      <c r="D1043" s="10">
        <v>45688.296585648153</v>
      </c>
      <c r="E1043" s="10">
        <v>45688.315335648149</v>
      </c>
      <c r="F1043" s="10">
        <v>45688.317430555559</v>
      </c>
      <c r="G1043" s="3" t="s">
        <v>3082</v>
      </c>
      <c r="H1043" s="10">
        <v>45688.32099537037</v>
      </c>
      <c r="I1043" s="10">
        <v>45688.716724537036</v>
      </c>
      <c r="J1043" s="10">
        <v>45688.717546296299</v>
      </c>
      <c r="K1043" s="11">
        <f t="shared" si="32"/>
        <v>1.8749999995634425E-2</v>
      </c>
      <c r="L1043" s="11">
        <f t="shared" si="33"/>
        <v>0.39929398147796746</v>
      </c>
    </row>
    <row r="1044" spans="1:12" x14ac:dyDescent="0.25">
      <c r="A1044" s="3" t="s">
        <v>3089</v>
      </c>
      <c r="B1044" s="3" t="s">
        <v>460</v>
      </c>
      <c r="C1044" s="10">
        <v>45688.294074074067</v>
      </c>
      <c r="D1044" s="10">
        <v>45688.296585648153</v>
      </c>
      <c r="E1044" s="10">
        <v>45688.317430555559</v>
      </c>
      <c r="F1044" s="10">
        <v>45688.318888888891</v>
      </c>
      <c r="G1044" s="3" t="s">
        <v>3085</v>
      </c>
      <c r="H1044" s="10">
        <v>45688.665648148148</v>
      </c>
      <c r="I1044" s="10"/>
      <c r="J1044" s="10"/>
      <c r="K1044" s="11">
        <f t="shared" si="32"/>
        <v>2.0844907405262347E-2</v>
      </c>
      <c r="L1044" s="11" t="str">
        <f t="shared" si="33"/>
        <v/>
      </c>
    </row>
    <row r="1045" spans="1:12" x14ac:dyDescent="0.25">
      <c r="A1045" s="3" t="s">
        <v>3091</v>
      </c>
      <c r="B1045" s="3" t="s">
        <v>460</v>
      </c>
      <c r="C1045" s="10">
        <v>45688.294074074067</v>
      </c>
      <c r="D1045" s="10">
        <v>45688.296585648153</v>
      </c>
      <c r="E1045" s="10">
        <v>45688.318888888891</v>
      </c>
      <c r="F1045" s="10">
        <v>45688.320891203701</v>
      </c>
      <c r="G1045" s="3" t="s">
        <v>2983</v>
      </c>
      <c r="H1045" s="10">
        <v>45688.332187499997</v>
      </c>
      <c r="I1045" s="10">
        <v>45688.771377314813</v>
      </c>
      <c r="J1045" s="10">
        <v>45688.77202546296</v>
      </c>
      <c r="K1045" s="11">
        <f t="shared" si="32"/>
        <v>2.230324073752854E-2</v>
      </c>
      <c r="L1045" s="11">
        <f t="shared" si="33"/>
        <v>0.45048611111269565</v>
      </c>
    </row>
    <row r="1046" spans="1:12" x14ac:dyDescent="0.25">
      <c r="A1046" s="3" t="s">
        <v>3093</v>
      </c>
      <c r="B1046" s="3" t="s">
        <v>460</v>
      </c>
      <c r="C1046" s="10">
        <v>45688.294074074067</v>
      </c>
      <c r="D1046" s="10">
        <v>45688.296585648153</v>
      </c>
      <c r="E1046" s="10">
        <v>45688.320891203701</v>
      </c>
      <c r="F1046" s="10">
        <v>45688.322812500002</v>
      </c>
      <c r="G1046" s="3" t="s">
        <v>3094</v>
      </c>
      <c r="H1046" s="10">
        <v>45688.664259259262</v>
      </c>
      <c r="I1046" s="10"/>
      <c r="J1046" s="10"/>
      <c r="K1046" s="11">
        <f t="shared" si="32"/>
        <v>2.4305555547471158E-2</v>
      </c>
      <c r="L1046" s="11" t="str">
        <f t="shared" si="33"/>
        <v/>
      </c>
    </row>
    <row r="1047" spans="1:12" x14ac:dyDescent="0.25">
      <c r="A1047" s="3" t="s">
        <v>3097</v>
      </c>
      <c r="B1047" s="3" t="s">
        <v>460</v>
      </c>
      <c r="C1047" s="10">
        <v>45688.294074074067</v>
      </c>
      <c r="D1047" s="10">
        <v>45688.296585648153</v>
      </c>
      <c r="E1047" s="10">
        <v>45688.322812500002</v>
      </c>
      <c r="F1047" s="10">
        <v>45688.324733796297</v>
      </c>
      <c r="G1047" s="3" t="s">
        <v>2908</v>
      </c>
      <c r="H1047" s="10">
        <v>45688.334548611107</v>
      </c>
      <c r="I1047" s="10">
        <v>45688.884293981479</v>
      </c>
      <c r="J1047" s="10">
        <v>45688.885115740741</v>
      </c>
      <c r="K1047" s="11">
        <f t="shared" si="32"/>
        <v>2.622685184906004E-2</v>
      </c>
      <c r="L1047" s="11">
        <f t="shared" si="33"/>
        <v>0.55956018518190831</v>
      </c>
    </row>
    <row r="1048" spans="1:12" x14ac:dyDescent="0.25">
      <c r="A1048" s="3" t="s">
        <v>3099</v>
      </c>
      <c r="B1048" s="3" t="s">
        <v>460</v>
      </c>
      <c r="C1048" s="10">
        <v>45688.294074074067</v>
      </c>
      <c r="D1048" s="10">
        <v>45688.296585648153</v>
      </c>
      <c r="E1048" s="10">
        <v>45688.324733796297</v>
      </c>
      <c r="F1048" s="10">
        <v>45688.326724537037</v>
      </c>
      <c r="G1048" s="3" t="s">
        <v>3068</v>
      </c>
      <c r="H1048" s="10">
        <v>45688.330277777779</v>
      </c>
      <c r="I1048" s="10">
        <v>45688.780856481477</v>
      </c>
      <c r="J1048" s="10">
        <v>45688.781886574077</v>
      </c>
      <c r="K1048" s="11">
        <f t="shared" si="32"/>
        <v>2.8148148143372964E-2</v>
      </c>
      <c r="L1048" s="11">
        <f t="shared" si="33"/>
        <v>0.45413194443972316</v>
      </c>
    </row>
    <row r="1049" spans="1:12" x14ac:dyDescent="0.25">
      <c r="A1049" s="3" t="s">
        <v>3102</v>
      </c>
      <c r="B1049" s="3" t="s">
        <v>460</v>
      </c>
      <c r="C1049" s="10">
        <v>45688.294074074067</v>
      </c>
      <c r="D1049" s="10">
        <v>45688.296585648153</v>
      </c>
      <c r="E1049" s="10">
        <v>45688.326724537037</v>
      </c>
      <c r="F1049" s="10">
        <v>45688.328622685192</v>
      </c>
      <c r="G1049" s="3" t="s">
        <v>2983</v>
      </c>
      <c r="H1049" s="10">
        <v>45688.332187499997</v>
      </c>
      <c r="I1049" s="10">
        <v>45688.771377314813</v>
      </c>
      <c r="J1049" s="10">
        <v>45688.77202546296</v>
      </c>
      <c r="K1049" s="11">
        <f t="shared" si="32"/>
        <v>3.0138888883811887E-2</v>
      </c>
      <c r="L1049" s="11">
        <f t="shared" si="33"/>
        <v>0.44275462962104939</v>
      </c>
    </row>
    <row r="1050" spans="1:12" x14ac:dyDescent="0.25">
      <c r="A1050" s="3" t="s">
        <v>3104</v>
      </c>
      <c r="B1050" s="3" t="s">
        <v>460</v>
      </c>
      <c r="C1050" s="10">
        <v>45688.294074074067</v>
      </c>
      <c r="D1050" s="10">
        <v>45688.296585648153</v>
      </c>
      <c r="E1050" s="10">
        <v>45688.328622685192</v>
      </c>
      <c r="F1050" s="10">
        <v>45688.330648148149</v>
      </c>
      <c r="G1050" s="3" t="s">
        <v>2908</v>
      </c>
      <c r="H1050" s="10">
        <v>45688.334548611107</v>
      </c>
      <c r="I1050" s="10">
        <v>45688.884293981479</v>
      </c>
      <c r="J1050" s="10">
        <v>45688.885115740741</v>
      </c>
      <c r="K1050" s="11">
        <f t="shared" si="32"/>
        <v>3.2037037039117422E-2</v>
      </c>
      <c r="L1050" s="11">
        <f t="shared" si="33"/>
        <v>0.55364583332993789</v>
      </c>
    </row>
    <row r="1051" spans="1:12" x14ac:dyDescent="0.25">
      <c r="A1051" s="3" t="s">
        <v>3106</v>
      </c>
      <c r="B1051" s="3" t="s">
        <v>461</v>
      </c>
      <c r="C1051" s="10">
        <v>45688.333784722221</v>
      </c>
      <c r="D1051" s="10">
        <v>45688.336261574077</v>
      </c>
      <c r="E1051" s="10">
        <v>45688.342719907407</v>
      </c>
      <c r="F1051" s="10">
        <v>45688.345486111109</v>
      </c>
      <c r="G1051" s="3" t="s">
        <v>3107</v>
      </c>
      <c r="H1051" s="10">
        <v>45688.347858796304</v>
      </c>
      <c r="I1051" s="10"/>
      <c r="J1051" s="10"/>
      <c r="K1051" s="11">
        <f t="shared" si="32"/>
        <v>6.4583333296468481E-3</v>
      </c>
      <c r="L1051" s="11" t="str">
        <f t="shared" si="33"/>
        <v/>
      </c>
    </row>
    <row r="1052" spans="1:12" x14ac:dyDescent="0.25">
      <c r="A1052" s="3" t="s">
        <v>3109</v>
      </c>
      <c r="B1052" s="3" t="s">
        <v>462</v>
      </c>
      <c r="C1052" s="10">
        <v>45688.369340277779</v>
      </c>
      <c r="D1052" s="10">
        <v>45688.371481481481</v>
      </c>
      <c r="E1052" s="10">
        <v>45688.37804398148</v>
      </c>
      <c r="F1052" s="10">
        <v>45688.380300925928</v>
      </c>
      <c r="G1052" s="3" t="s">
        <v>3110</v>
      </c>
      <c r="H1052" s="10">
        <v>45688.382696759261</v>
      </c>
      <c r="I1052" s="10"/>
      <c r="J1052" s="10"/>
      <c r="K1052" s="11">
        <f t="shared" si="32"/>
        <v>6.5624999988358468E-3</v>
      </c>
      <c r="L1052" s="11" t="str">
        <f t="shared" si="33"/>
        <v/>
      </c>
    </row>
    <row r="1053" spans="1:12" x14ac:dyDescent="0.25">
      <c r="A1053" s="3" t="s">
        <v>3112</v>
      </c>
      <c r="B1053" s="3" t="s">
        <v>462</v>
      </c>
      <c r="C1053" s="10">
        <v>45688.369340277779</v>
      </c>
      <c r="D1053" s="10">
        <v>45688.371481481481</v>
      </c>
      <c r="E1053" s="10">
        <v>45688.380300925928</v>
      </c>
      <c r="F1053" s="10">
        <v>45688.381712962961</v>
      </c>
      <c r="G1053" s="3" t="s">
        <v>3113</v>
      </c>
      <c r="H1053" s="10">
        <v>45688.459131944437</v>
      </c>
      <c r="I1053" s="10"/>
      <c r="J1053" s="10"/>
      <c r="K1053" s="11">
        <f t="shared" si="32"/>
        <v>8.819444446999114E-3</v>
      </c>
      <c r="L1053" s="11" t="str">
        <f t="shared" si="33"/>
        <v/>
      </c>
    </row>
    <row r="1054" spans="1:12" x14ac:dyDescent="0.25">
      <c r="A1054" s="3" t="s">
        <v>3115</v>
      </c>
      <c r="B1054" s="3" t="s">
        <v>463</v>
      </c>
      <c r="C1054" s="10">
        <v>45688.374641203707</v>
      </c>
      <c r="D1054" s="10">
        <v>45688.376666666663</v>
      </c>
      <c r="E1054" s="10">
        <v>45688.390636574077</v>
      </c>
      <c r="F1054" s="10">
        <v>45688.392627314817</v>
      </c>
      <c r="G1054" s="3" t="s">
        <v>3094</v>
      </c>
      <c r="H1054" s="10">
        <v>45688.664259259262</v>
      </c>
      <c r="I1054" s="10"/>
      <c r="J1054" s="10"/>
      <c r="K1054" s="11">
        <f t="shared" si="32"/>
        <v>1.396990741341142E-2</v>
      </c>
      <c r="L1054" s="11" t="str">
        <f t="shared" si="33"/>
        <v/>
      </c>
    </row>
    <row r="1055" spans="1:12" x14ac:dyDescent="0.25">
      <c r="A1055" s="3" t="s">
        <v>3118</v>
      </c>
      <c r="B1055" s="3" t="s">
        <v>463</v>
      </c>
      <c r="C1055" s="10">
        <v>45688.374641203707</v>
      </c>
      <c r="D1055" s="10">
        <v>45688.376666666663</v>
      </c>
      <c r="E1055" s="10">
        <v>45688.392627314817</v>
      </c>
      <c r="F1055" s="10">
        <v>45688.394386574073</v>
      </c>
      <c r="G1055" s="3" t="s">
        <v>3000</v>
      </c>
      <c r="H1055" s="10">
        <v>45688.676979166667</v>
      </c>
      <c r="I1055" s="10"/>
      <c r="J1055" s="10"/>
      <c r="K1055" s="11">
        <f t="shared" si="32"/>
        <v>1.5960648153850343E-2</v>
      </c>
      <c r="L1055" s="11" t="str">
        <f t="shared" si="33"/>
        <v/>
      </c>
    </row>
    <row r="1056" spans="1:12" x14ac:dyDescent="0.25">
      <c r="A1056" s="3" t="s">
        <v>3120</v>
      </c>
      <c r="B1056" s="3" t="s">
        <v>463</v>
      </c>
      <c r="C1056" s="10">
        <v>45688.374641203707</v>
      </c>
      <c r="D1056" s="10">
        <v>45688.376666666663</v>
      </c>
      <c r="E1056" s="10">
        <v>45688.394386574073</v>
      </c>
      <c r="F1056" s="10">
        <v>45688.396435185183</v>
      </c>
      <c r="G1056" s="3"/>
      <c r="H1056" s="10"/>
      <c r="I1056" s="10"/>
      <c r="J1056" s="10"/>
      <c r="K1056" s="11">
        <f t="shared" si="32"/>
        <v>1.7719907409627922E-2</v>
      </c>
      <c r="L1056" s="11" t="str">
        <f t="shared" si="33"/>
        <v/>
      </c>
    </row>
    <row r="1057" spans="1:12" x14ac:dyDescent="0.25">
      <c r="A1057" s="3" t="s">
        <v>3121</v>
      </c>
      <c r="B1057" s="3" t="s">
        <v>463</v>
      </c>
      <c r="C1057" s="10">
        <v>45688.374641203707</v>
      </c>
      <c r="D1057" s="10">
        <v>45688.376666666663</v>
      </c>
      <c r="E1057" s="10">
        <v>45688.396435185183</v>
      </c>
      <c r="F1057" s="10">
        <v>45688.398159722223</v>
      </c>
      <c r="G1057" s="3" t="s">
        <v>3000</v>
      </c>
      <c r="H1057" s="10">
        <v>45688.676979166667</v>
      </c>
      <c r="I1057" s="10"/>
      <c r="J1057" s="10"/>
      <c r="K1057" s="11">
        <f t="shared" si="32"/>
        <v>1.9768518519413192E-2</v>
      </c>
      <c r="L1057" s="11" t="str">
        <f t="shared" si="33"/>
        <v/>
      </c>
    </row>
    <row r="1058" spans="1:12" x14ac:dyDescent="0.25">
      <c r="A1058" s="3" t="s">
        <v>3123</v>
      </c>
      <c r="B1058" s="3" t="s">
        <v>463</v>
      </c>
      <c r="C1058" s="10">
        <v>45688.374641203707</v>
      </c>
      <c r="D1058" s="10">
        <v>45688.376666666663</v>
      </c>
      <c r="E1058" s="10">
        <v>45688.398159722223</v>
      </c>
      <c r="F1058" s="10">
        <v>45688.399629629632</v>
      </c>
      <c r="G1058" s="3" t="s">
        <v>3071</v>
      </c>
      <c r="H1058" s="10">
        <v>45688.683287037027</v>
      </c>
      <c r="I1058" s="10"/>
      <c r="J1058" s="10"/>
      <c r="K1058" s="11">
        <f t="shared" si="32"/>
        <v>2.1493055559403729E-2</v>
      </c>
      <c r="L1058" s="11" t="str">
        <f t="shared" si="33"/>
        <v/>
      </c>
    </row>
    <row r="1059" spans="1:12" x14ac:dyDescent="0.25">
      <c r="A1059" s="3" t="s">
        <v>3126</v>
      </c>
      <c r="B1059" s="3" t="s">
        <v>463</v>
      </c>
      <c r="C1059" s="10">
        <v>45688.374641203707</v>
      </c>
      <c r="D1059" s="10">
        <v>45688.376666666663</v>
      </c>
      <c r="E1059" s="10">
        <v>45688.399629629632</v>
      </c>
      <c r="F1059" s="10">
        <v>45688.401585648149</v>
      </c>
      <c r="G1059" s="3" t="s">
        <v>3094</v>
      </c>
      <c r="H1059" s="10">
        <v>45688.664259259262</v>
      </c>
      <c r="I1059" s="10"/>
      <c r="J1059" s="10"/>
      <c r="K1059" s="11">
        <f t="shared" si="32"/>
        <v>2.2962962968449574E-2</v>
      </c>
      <c r="L1059" s="11" t="str">
        <f t="shared" si="33"/>
        <v/>
      </c>
    </row>
    <row r="1060" spans="1:12" x14ac:dyDescent="0.25">
      <c r="A1060" s="3" t="s">
        <v>3128</v>
      </c>
      <c r="B1060" s="3" t="s">
        <v>464</v>
      </c>
      <c r="C1060" s="10">
        <v>45688.439085648148</v>
      </c>
      <c r="D1060" s="10">
        <v>45688.441701388889</v>
      </c>
      <c r="E1060" s="10">
        <v>45688.451284722221</v>
      </c>
      <c r="F1060" s="10">
        <v>45688.453784722216</v>
      </c>
      <c r="G1060" s="3" t="s">
        <v>3129</v>
      </c>
      <c r="H1060" s="10">
        <v>45688.456180555557</v>
      </c>
      <c r="I1060" s="10"/>
      <c r="J1060" s="10"/>
      <c r="K1060" s="11">
        <f t="shared" si="32"/>
        <v>9.5833333325572312E-3</v>
      </c>
      <c r="L1060" s="11" t="str">
        <f t="shared" si="33"/>
        <v/>
      </c>
    </row>
    <row r="1061" spans="1:12" x14ac:dyDescent="0.25">
      <c r="A1061" s="3" t="s">
        <v>3131</v>
      </c>
      <c r="B1061" s="3" t="s">
        <v>464</v>
      </c>
      <c r="C1061" s="10">
        <v>45688.439085648148</v>
      </c>
      <c r="D1061" s="10">
        <v>45688.441701388889</v>
      </c>
      <c r="E1061" s="10">
        <v>45688.453784722216</v>
      </c>
      <c r="F1061" s="10">
        <v>45688.455231481479</v>
      </c>
      <c r="G1061" s="3" t="s">
        <v>3113</v>
      </c>
      <c r="H1061" s="10">
        <v>45688.459131944437</v>
      </c>
      <c r="I1061" s="10"/>
      <c r="J1061" s="10"/>
      <c r="K1061" s="11">
        <f t="shared" si="32"/>
        <v>1.208333332760958E-2</v>
      </c>
      <c r="L1061" s="11" t="str">
        <f t="shared" si="33"/>
        <v/>
      </c>
    </row>
    <row r="1062" spans="1:12" x14ac:dyDescent="0.25">
      <c r="A1062" s="3" t="s">
        <v>3133</v>
      </c>
      <c r="B1062" s="3" t="s">
        <v>464</v>
      </c>
      <c r="C1062" s="10">
        <v>45688.439085648148</v>
      </c>
      <c r="D1062" s="10">
        <v>45688.441701388889</v>
      </c>
      <c r="E1062" s="10">
        <v>45688.455231481479</v>
      </c>
      <c r="F1062" s="10">
        <v>45688.457013888888</v>
      </c>
      <c r="G1062" s="3" t="s">
        <v>3134</v>
      </c>
      <c r="H1062" s="10">
        <v>45688.53197916667</v>
      </c>
      <c r="I1062" s="10"/>
      <c r="J1062" s="10"/>
      <c r="K1062" s="11">
        <f t="shared" si="32"/>
        <v>1.3530092590372078E-2</v>
      </c>
      <c r="L1062" s="11" t="str">
        <f t="shared" si="33"/>
        <v/>
      </c>
    </row>
    <row r="1063" spans="1:12" x14ac:dyDescent="0.25">
      <c r="A1063" s="3" t="s">
        <v>3136</v>
      </c>
      <c r="B1063" s="3" t="s">
        <v>465</v>
      </c>
      <c r="C1063" s="10">
        <v>45688.518587962957</v>
      </c>
      <c r="D1063" s="10">
        <v>45688.520752314813</v>
      </c>
      <c r="E1063" s="10">
        <v>45688.526261574072</v>
      </c>
      <c r="F1063" s="10">
        <v>45688.528414351851</v>
      </c>
      <c r="G1063" s="3" t="s">
        <v>3134</v>
      </c>
      <c r="H1063" s="10">
        <v>45688.53197916667</v>
      </c>
      <c r="I1063" s="10"/>
      <c r="J1063" s="10"/>
      <c r="K1063" s="11">
        <f t="shared" si="32"/>
        <v>5.5092592592700385E-3</v>
      </c>
      <c r="L1063" s="11" t="str">
        <f t="shared" si="33"/>
        <v/>
      </c>
    </row>
    <row r="1064" spans="1:12" x14ac:dyDescent="0.25">
      <c r="A1064" s="3" t="s">
        <v>3138</v>
      </c>
      <c r="B1064" s="3" t="s">
        <v>466</v>
      </c>
      <c r="C1064" s="10">
        <v>45688.591469907413</v>
      </c>
      <c r="D1064" s="10">
        <v>45688.593495370369</v>
      </c>
      <c r="E1064" s="10">
        <v>45688.598692129628</v>
      </c>
      <c r="F1064" s="10">
        <v>45688.600254629629</v>
      </c>
      <c r="G1064" s="3" t="s">
        <v>3065</v>
      </c>
      <c r="H1064" s="10">
        <v>45688.602430555547</v>
      </c>
      <c r="I1064" s="10"/>
      <c r="J1064" s="10"/>
      <c r="K1064" s="11">
        <f t="shared" si="32"/>
        <v>5.1967592589790002E-3</v>
      </c>
      <c r="L1064" s="11" t="str">
        <f t="shared" si="33"/>
        <v/>
      </c>
    </row>
    <row r="1065" spans="1:12" x14ac:dyDescent="0.25">
      <c r="A1065" s="3" t="s">
        <v>3140</v>
      </c>
      <c r="B1065" s="3" t="s">
        <v>467</v>
      </c>
      <c r="C1065" s="10">
        <v>45688.625740740739</v>
      </c>
      <c r="D1065" s="10">
        <v>45688.628101851849</v>
      </c>
      <c r="E1065" s="10">
        <v>45688.641041666669</v>
      </c>
      <c r="F1065" s="10">
        <v>45688.642997685187</v>
      </c>
      <c r="G1065" s="3" t="s">
        <v>3141</v>
      </c>
      <c r="H1065" s="10">
        <v>45688.672233796293</v>
      </c>
      <c r="I1065" s="10"/>
      <c r="J1065" s="10"/>
      <c r="K1065" s="11">
        <f t="shared" si="32"/>
        <v>1.2939814820128959E-2</v>
      </c>
      <c r="L1065" s="11" t="str">
        <f t="shared" si="33"/>
        <v/>
      </c>
    </row>
    <row r="1066" spans="1:12" x14ac:dyDescent="0.25">
      <c r="A1066" s="3" t="s">
        <v>3143</v>
      </c>
      <c r="B1066" s="3" t="s">
        <v>467</v>
      </c>
      <c r="C1066" s="10">
        <v>45688.625740740739</v>
      </c>
      <c r="D1066" s="10">
        <v>45688.628101851849</v>
      </c>
      <c r="E1066" s="10">
        <v>45688.642997685187</v>
      </c>
      <c r="F1066" s="10">
        <v>45688.644942129627</v>
      </c>
      <c r="G1066" s="3"/>
      <c r="H1066" s="10"/>
      <c r="I1066" s="10"/>
      <c r="J1066" s="10"/>
      <c r="K1066" s="11">
        <f t="shared" si="32"/>
        <v>1.4895833337504882E-2</v>
      </c>
      <c r="L1066" s="11" t="str">
        <f t="shared" si="33"/>
        <v/>
      </c>
    </row>
    <row r="1067" spans="1:12" x14ac:dyDescent="0.25">
      <c r="A1067" s="3" t="s">
        <v>3144</v>
      </c>
      <c r="B1067" s="3" t="s">
        <v>467</v>
      </c>
      <c r="C1067" s="10">
        <v>45688.625740740739</v>
      </c>
      <c r="D1067" s="10">
        <v>45688.628101851849</v>
      </c>
      <c r="E1067" s="10">
        <v>45688.644942129627</v>
      </c>
      <c r="F1067" s="10">
        <v>45688.646898148138</v>
      </c>
      <c r="G1067" s="3" t="s">
        <v>3094</v>
      </c>
      <c r="H1067" s="10">
        <v>45688.664259259262</v>
      </c>
      <c r="I1067" s="10"/>
      <c r="J1067" s="10"/>
      <c r="K1067" s="11">
        <f t="shared" si="32"/>
        <v>1.6840277778101154E-2</v>
      </c>
      <c r="L1067" s="11" t="str">
        <f t="shared" si="33"/>
        <v/>
      </c>
    </row>
    <row r="1068" spans="1:12" x14ac:dyDescent="0.25">
      <c r="A1068" s="3" t="s">
        <v>3146</v>
      </c>
      <c r="B1068" s="3" t="s">
        <v>467</v>
      </c>
      <c r="C1068" s="10">
        <v>45688.625740740739</v>
      </c>
      <c r="D1068" s="10">
        <v>45688.628101851849</v>
      </c>
      <c r="E1068" s="10">
        <v>45688.646898148138</v>
      </c>
      <c r="F1068" s="10">
        <v>45688.648645833331</v>
      </c>
      <c r="G1068" s="3" t="s">
        <v>3000</v>
      </c>
      <c r="H1068" s="10">
        <v>45688.676979166667</v>
      </c>
      <c r="I1068" s="10"/>
      <c r="J1068" s="10"/>
      <c r="K1068" s="11">
        <f t="shared" si="32"/>
        <v>1.879629628820112E-2</v>
      </c>
      <c r="L1068" s="11" t="str">
        <f t="shared" si="33"/>
        <v/>
      </c>
    </row>
    <row r="1069" spans="1:12" x14ac:dyDescent="0.25">
      <c r="A1069" s="3" t="s">
        <v>3148</v>
      </c>
      <c r="B1069" s="3" t="s">
        <v>467</v>
      </c>
      <c r="C1069" s="10">
        <v>45688.625740740739</v>
      </c>
      <c r="D1069" s="10">
        <v>45688.628101851849</v>
      </c>
      <c r="E1069" s="10">
        <v>45688.648645833331</v>
      </c>
      <c r="F1069" s="10">
        <v>45688.650266203702</v>
      </c>
      <c r="G1069" s="3"/>
      <c r="H1069" s="10"/>
      <c r="I1069" s="10"/>
      <c r="J1069" s="10"/>
      <c r="K1069" s="11">
        <f t="shared" si="32"/>
        <v>2.0543981481750961E-2</v>
      </c>
      <c r="L1069" s="11" t="str">
        <f t="shared" si="33"/>
        <v/>
      </c>
    </row>
    <row r="1070" spans="1:12" x14ac:dyDescent="0.25">
      <c r="A1070" s="3" t="s">
        <v>3149</v>
      </c>
      <c r="B1070" s="3" t="s">
        <v>467</v>
      </c>
      <c r="C1070" s="10">
        <v>45688.625740740739</v>
      </c>
      <c r="D1070" s="10">
        <v>45688.628101851849</v>
      </c>
      <c r="E1070" s="10">
        <v>45688.650266203702</v>
      </c>
      <c r="F1070" s="10">
        <v>45688.652002314811</v>
      </c>
      <c r="G1070" s="3"/>
      <c r="H1070" s="10"/>
      <c r="I1070" s="10"/>
      <c r="J1070" s="10"/>
      <c r="K1070" s="11">
        <f t="shared" si="32"/>
        <v>2.21643518525525E-2</v>
      </c>
      <c r="L1070" s="11" t="str">
        <f t="shared" si="33"/>
        <v/>
      </c>
    </row>
    <row r="1071" spans="1:12" x14ac:dyDescent="0.25">
      <c r="A1071" s="3" t="s">
        <v>3150</v>
      </c>
      <c r="B1071" s="3" t="s">
        <v>467</v>
      </c>
      <c r="C1071" s="10">
        <v>45688.625740740739</v>
      </c>
      <c r="D1071" s="10">
        <v>45688.628101851849</v>
      </c>
      <c r="E1071" s="10">
        <v>45688.652002314811</v>
      </c>
      <c r="F1071" s="10">
        <v>45688.654108796298</v>
      </c>
      <c r="G1071" s="3" t="s">
        <v>3094</v>
      </c>
      <c r="H1071" s="10">
        <v>45688.664259259262</v>
      </c>
      <c r="I1071" s="10"/>
      <c r="J1071" s="10"/>
      <c r="K1071" s="11">
        <f t="shared" si="32"/>
        <v>2.3900462962046731E-2</v>
      </c>
      <c r="L1071" s="11" t="str">
        <f t="shared" si="33"/>
        <v/>
      </c>
    </row>
    <row r="1072" spans="1:12" x14ac:dyDescent="0.25">
      <c r="A1072" s="3" t="s">
        <v>3153</v>
      </c>
      <c r="B1072" s="3" t="s">
        <v>468</v>
      </c>
      <c r="C1072" s="10">
        <v>45688.637939814813</v>
      </c>
      <c r="D1072" s="10">
        <v>45688.640069444453</v>
      </c>
      <c r="E1072" s="10">
        <v>45688.658333333333</v>
      </c>
      <c r="F1072" s="10">
        <v>45688.660358796304</v>
      </c>
      <c r="G1072" s="3" t="s">
        <v>3094</v>
      </c>
      <c r="H1072" s="10">
        <v>45688.664259259262</v>
      </c>
      <c r="I1072" s="10"/>
      <c r="J1072" s="10"/>
      <c r="K1072" s="11">
        <f t="shared" si="32"/>
        <v>1.8263888880028389E-2</v>
      </c>
      <c r="L1072" s="11" t="str">
        <f t="shared" si="33"/>
        <v/>
      </c>
    </row>
    <row r="1073" spans="1:12" x14ac:dyDescent="0.25">
      <c r="A1073" s="3" t="s">
        <v>3155</v>
      </c>
      <c r="B1073" s="3" t="s">
        <v>468</v>
      </c>
      <c r="C1073" s="10">
        <v>45688.637939814813</v>
      </c>
      <c r="D1073" s="10">
        <v>45688.640069444453</v>
      </c>
      <c r="E1073" s="10">
        <v>45688.660358796304</v>
      </c>
      <c r="F1073" s="10">
        <v>45688.661724537043</v>
      </c>
      <c r="G1073" s="3" t="s">
        <v>3085</v>
      </c>
      <c r="H1073" s="10">
        <v>45688.665648148148</v>
      </c>
      <c r="I1073" s="10"/>
      <c r="J1073" s="10"/>
      <c r="K1073" s="11">
        <f t="shared" si="32"/>
        <v>2.028935185080627E-2</v>
      </c>
      <c r="L1073" s="11" t="str">
        <f t="shared" si="33"/>
        <v/>
      </c>
    </row>
    <row r="1074" spans="1:12" x14ac:dyDescent="0.25">
      <c r="A1074" s="3" t="s">
        <v>3157</v>
      </c>
      <c r="B1074" s="3" t="s">
        <v>468</v>
      </c>
      <c r="C1074" s="10">
        <v>45688.637939814813</v>
      </c>
      <c r="D1074" s="10">
        <v>45688.640069444453</v>
      </c>
      <c r="E1074" s="10">
        <v>45688.661724537043</v>
      </c>
      <c r="F1074" s="10">
        <v>45688.662847222222</v>
      </c>
      <c r="G1074" s="3"/>
      <c r="H1074" s="10"/>
      <c r="I1074" s="10"/>
      <c r="J1074" s="10"/>
      <c r="K1074" s="11">
        <f t="shared" si="32"/>
        <v>2.1655092590663116E-2</v>
      </c>
      <c r="L1074" s="11" t="str">
        <f t="shared" si="33"/>
        <v/>
      </c>
    </row>
    <row r="1075" spans="1:12" x14ac:dyDescent="0.25">
      <c r="A1075" s="3" t="s">
        <v>3158</v>
      </c>
      <c r="B1075" s="3" t="s">
        <v>468</v>
      </c>
      <c r="C1075" s="10">
        <v>45688.637939814813</v>
      </c>
      <c r="D1075" s="10">
        <v>45688.640069444453</v>
      </c>
      <c r="E1075" s="10">
        <v>45688.662847222222</v>
      </c>
      <c r="F1075" s="10">
        <v>45688.664444444446</v>
      </c>
      <c r="G1075" s="3"/>
      <c r="H1075" s="10"/>
      <c r="I1075" s="10"/>
      <c r="J1075" s="10"/>
      <c r="K1075" s="11">
        <f t="shared" si="32"/>
        <v>2.2777777769078966E-2</v>
      </c>
      <c r="L1075" s="11" t="str">
        <f t="shared" si="33"/>
        <v/>
      </c>
    </row>
    <row r="1076" spans="1:12" x14ac:dyDescent="0.25">
      <c r="A1076" s="3" t="s">
        <v>3159</v>
      </c>
      <c r="B1076" s="3" t="s">
        <v>468</v>
      </c>
      <c r="C1076" s="10">
        <v>45688.637939814813</v>
      </c>
      <c r="D1076" s="10">
        <v>45688.640069444453</v>
      </c>
      <c r="E1076" s="10">
        <v>45688.664444444446</v>
      </c>
      <c r="F1076" s="10">
        <v>45688.666574074072</v>
      </c>
      <c r="G1076" s="3" t="s">
        <v>3141</v>
      </c>
      <c r="H1076" s="10">
        <v>45688.672233796293</v>
      </c>
      <c r="I1076" s="10"/>
      <c r="J1076" s="10"/>
      <c r="K1076" s="11">
        <f t="shared" si="32"/>
        <v>2.4374999993597157E-2</v>
      </c>
      <c r="L1076" s="11" t="str">
        <f t="shared" si="33"/>
        <v/>
      </c>
    </row>
    <row r="1077" spans="1:12" x14ac:dyDescent="0.25">
      <c r="A1077" s="3" t="s">
        <v>3161</v>
      </c>
      <c r="B1077" s="3" t="s">
        <v>468</v>
      </c>
      <c r="C1077" s="10">
        <v>45688.637939814813</v>
      </c>
      <c r="D1077" s="10">
        <v>45688.640069444453</v>
      </c>
      <c r="E1077" s="10">
        <v>45688.666574074072</v>
      </c>
      <c r="F1077" s="10">
        <v>45688.668564814812</v>
      </c>
      <c r="G1077" s="3" t="s">
        <v>3162</v>
      </c>
      <c r="H1077" s="10">
        <v>45688.858634259261</v>
      </c>
      <c r="I1077" s="10"/>
      <c r="J1077" s="10"/>
      <c r="K1077" s="11">
        <f t="shared" si="32"/>
        <v>2.6504629619012121E-2</v>
      </c>
      <c r="L1077" s="11" t="str">
        <f t="shared" si="33"/>
        <v/>
      </c>
    </row>
    <row r="1078" spans="1:12" x14ac:dyDescent="0.25">
      <c r="A1078" s="3" t="s">
        <v>3164</v>
      </c>
      <c r="B1078" s="3" t="s">
        <v>468</v>
      </c>
      <c r="C1078" s="10">
        <v>45688.637939814813</v>
      </c>
      <c r="D1078" s="10">
        <v>45688.640069444453</v>
      </c>
      <c r="E1078" s="10">
        <v>45688.668564814812</v>
      </c>
      <c r="F1078" s="10">
        <v>45688.670289351852</v>
      </c>
      <c r="G1078" s="3" t="s">
        <v>3000</v>
      </c>
      <c r="H1078" s="10">
        <v>45688.676979166667</v>
      </c>
      <c r="I1078" s="10"/>
      <c r="J1078" s="10"/>
      <c r="K1078" s="11">
        <f t="shared" si="32"/>
        <v>2.8495370359451044E-2</v>
      </c>
      <c r="L1078" s="11" t="str">
        <f t="shared" si="33"/>
        <v/>
      </c>
    </row>
    <row r="1079" spans="1:12" x14ac:dyDescent="0.25">
      <c r="A1079" s="3" t="s">
        <v>3167</v>
      </c>
      <c r="B1079" s="3" t="s">
        <v>468</v>
      </c>
      <c r="C1079" s="10">
        <v>45688.637939814813</v>
      </c>
      <c r="D1079" s="10">
        <v>45688.640069444453</v>
      </c>
      <c r="E1079" s="10">
        <v>45688.670289351852</v>
      </c>
      <c r="F1079" s="10">
        <v>45688.672291666669</v>
      </c>
      <c r="G1079" s="3" t="s">
        <v>3162</v>
      </c>
      <c r="H1079" s="10">
        <v>45688.858634259261</v>
      </c>
      <c r="I1079" s="10"/>
      <c r="J1079" s="10"/>
      <c r="K1079" s="11">
        <f t="shared" si="32"/>
        <v>3.0219907399441581E-2</v>
      </c>
      <c r="L1079" s="11" t="str">
        <f t="shared" si="33"/>
        <v/>
      </c>
    </row>
    <row r="1080" spans="1:12" x14ac:dyDescent="0.25">
      <c r="A1080" s="3" t="s">
        <v>3169</v>
      </c>
      <c r="B1080" s="3" t="s">
        <v>468</v>
      </c>
      <c r="C1080" s="10">
        <v>45688.637939814813</v>
      </c>
      <c r="D1080" s="10">
        <v>45688.640069444453</v>
      </c>
      <c r="E1080" s="10">
        <v>45688.672291666669</v>
      </c>
      <c r="F1080" s="10">
        <v>45688.67428240741</v>
      </c>
      <c r="G1080" s="3"/>
      <c r="H1080" s="10"/>
      <c r="I1080" s="10"/>
      <c r="J1080" s="10"/>
      <c r="K1080" s="11">
        <f t="shared" si="32"/>
        <v>3.2222222216660157E-2</v>
      </c>
      <c r="L1080" s="11" t="str">
        <f t="shared" si="33"/>
        <v/>
      </c>
    </row>
    <row r="1081" spans="1:12" x14ac:dyDescent="0.25">
      <c r="A1081" s="3" t="s">
        <v>3170</v>
      </c>
      <c r="B1081" s="3" t="s">
        <v>468</v>
      </c>
      <c r="C1081" s="10">
        <v>45688.637939814813</v>
      </c>
      <c r="D1081" s="10">
        <v>45688.640069444453</v>
      </c>
      <c r="E1081" s="10">
        <v>45688.67428240741</v>
      </c>
      <c r="F1081" s="10">
        <v>45688.675798611112</v>
      </c>
      <c r="G1081" s="3" t="s">
        <v>3071</v>
      </c>
      <c r="H1081" s="10">
        <v>45688.683287037027</v>
      </c>
      <c r="I1081" s="10"/>
      <c r="J1081" s="10"/>
      <c r="K1081" s="11">
        <f t="shared" si="32"/>
        <v>3.421296295709908E-2</v>
      </c>
      <c r="L1081" s="11" t="str">
        <f t="shared" si="33"/>
        <v/>
      </c>
    </row>
    <row r="1082" spans="1:12" x14ac:dyDescent="0.25">
      <c r="A1082" s="3" t="s">
        <v>3173</v>
      </c>
      <c r="B1082" s="3" t="s">
        <v>470</v>
      </c>
      <c r="C1082" s="10">
        <v>45688.729768518519</v>
      </c>
      <c r="D1082" s="10">
        <v>45688.732060185182</v>
      </c>
      <c r="E1082" s="10">
        <v>45688.738217592603</v>
      </c>
      <c r="F1082" s="10">
        <v>45688.740162037036</v>
      </c>
      <c r="G1082" s="3" t="s">
        <v>3174</v>
      </c>
      <c r="H1082" s="10">
        <v>45688.74255787037</v>
      </c>
      <c r="I1082" s="10"/>
      <c r="J1082" s="10"/>
      <c r="K1082" s="11">
        <f t="shared" si="32"/>
        <v>6.1574074206873775E-3</v>
      </c>
      <c r="L1082" s="11" t="str">
        <f t="shared" si="33"/>
        <v/>
      </c>
    </row>
    <row r="1083" spans="1:12" x14ac:dyDescent="0.25">
      <c r="A1083" s="3" t="s">
        <v>3176</v>
      </c>
      <c r="B1083" s="3" t="s">
        <v>471</v>
      </c>
      <c r="C1083" s="10">
        <v>45688.739953703713</v>
      </c>
      <c r="D1083" s="10">
        <v>45688.741550925923</v>
      </c>
      <c r="E1083" s="10">
        <v>45688.746712962973</v>
      </c>
      <c r="F1083" s="10">
        <v>45688.74900462963</v>
      </c>
      <c r="G1083" s="3" t="s">
        <v>3177</v>
      </c>
      <c r="H1083" s="10">
        <v>45688.751400462963</v>
      </c>
      <c r="I1083" s="10"/>
      <c r="J1083" s="10"/>
      <c r="K1083" s="11">
        <f t="shared" si="32"/>
        <v>5.1620370504679158E-3</v>
      </c>
      <c r="L1083" s="11" t="str">
        <f t="shared" si="33"/>
        <v/>
      </c>
    </row>
    <row r="1084" spans="1:12" x14ac:dyDescent="0.25">
      <c r="A1084" s="3" t="s">
        <v>3179</v>
      </c>
      <c r="B1084" s="3" t="s">
        <v>472</v>
      </c>
      <c r="C1084" s="10">
        <v>45688.836527777778</v>
      </c>
      <c r="D1084" s="10">
        <v>45688.838935185187</v>
      </c>
      <c r="E1084" s="10">
        <v>45688.851053240738</v>
      </c>
      <c r="F1084" s="10">
        <v>45688.853125000001</v>
      </c>
      <c r="G1084" s="3" t="s">
        <v>3180</v>
      </c>
      <c r="H1084" s="10">
        <v>45688.855486111112</v>
      </c>
      <c r="I1084" s="10"/>
      <c r="J1084" s="10"/>
      <c r="K1084" s="11">
        <f t="shared" si="32"/>
        <v>1.211805555067258E-2</v>
      </c>
      <c r="L1084" s="11" t="str">
        <f t="shared" si="33"/>
        <v/>
      </c>
    </row>
    <row r="1085" spans="1:12" x14ac:dyDescent="0.25">
      <c r="A1085" s="3" t="s">
        <v>3182</v>
      </c>
      <c r="B1085" s="3" t="s">
        <v>472</v>
      </c>
      <c r="C1085" s="10">
        <v>45688.836527777778</v>
      </c>
      <c r="D1085" s="10">
        <v>45688.838935185187</v>
      </c>
      <c r="E1085" s="10">
        <v>45688.853125000001</v>
      </c>
      <c r="F1085" s="10">
        <v>45688.855092592603</v>
      </c>
      <c r="G1085" s="3" t="s">
        <v>3162</v>
      </c>
      <c r="H1085" s="10">
        <v>45688.858634259261</v>
      </c>
      <c r="I1085" s="10"/>
      <c r="J1085" s="10"/>
      <c r="K1085" s="11">
        <f t="shared" si="32"/>
        <v>1.4189814814017154E-2</v>
      </c>
      <c r="L1085" s="11" t="str">
        <f t="shared" si="33"/>
        <v/>
      </c>
    </row>
    <row r="1086" spans="1:12" x14ac:dyDescent="0.25">
      <c r="A1086" s="3" t="s">
        <v>3184</v>
      </c>
      <c r="B1086" s="3" t="s">
        <v>472</v>
      </c>
      <c r="C1086" s="10">
        <v>45688.836527777778</v>
      </c>
      <c r="D1086" s="10">
        <v>45688.838935185187</v>
      </c>
      <c r="E1086" s="10">
        <v>45688.855092592603</v>
      </c>
      <c r="F1086" s="10">
        <v>45688.856712962966</v>
      </c>
      <c r="G1086" s="3"/>
      <c r="H1086" s="10"/>
      <c r="I1086" s="10"/>
      <c r="J1086" s="10"/>
      <c r="K1086" s="11">
        <f t="shared" si="32"/>
        <v>1.6157407415448688E-2</v>
      </c>
      <c r="L1086" s="11" t="str">
        <f t="shared" si="33"/>
        <v/>
      </c>
    </row>
    <row r="1087" spans="1:12" x14ac:dyDescent="0.25">
      <c r="A1087" s="3" t="s">
        <v>3185</v>
      </c>
      <c r="B1087" s="3" t="s">
        <v>472</v>
      </c>
      <c r="C1087" s="10">
        <v>45688.836527777778</v>
      </c>
      <c r="D1087" s="10">
        <v>45688.838935185187</v>
      </c>
      <c r="E1087" s="10">
        <v>45688.856712962966</v>
      </c>
      <c r="F1087" s="10">
        <v>45688.858622685177</v>
      </c>
      <c r="G1087" s="3" t="s">
        <v>3186</v>
      </c>
      <c r="H1087" s="10">
        <v>45688.864305555559</v>
      </c>
      <c r="I1087" s="10"/>
      <c r="J1087" s="10"/>
      <c r="K1087" s="11">
        <f t="shared" si="32"/>
        <v>1.7777777778974269E-2</v>
      </c>
      <c r="L1087" s="11" t="str">
        <f t="shared" si="33"/>
        <v/>
      </c>
    </row>
    <row r="1088" spans="1:12" x14ac:dyDescent="0.25">
      <c r="A1088" s="3" t="s">
        <v>3188</v>
      </c>
      <c r="B1088" s="3" t="s">
        <v>472</v>
      </c>
      <c r="C1088" s="10">
        <v>45688.836527777778</v>
      </c>
      <c r="D1088" s="10">
        <v>45688.838935185187</v>
      </c>
      <c r="E1088" s="10">
        <v>45688.858622685177</v>
      </c>
      <c r="F1088" s="10">
        <v>45688.860752314817</v>
      </c>
      <c r="G1088" s="3" t="s">
        <v>3186</v>
      </c>
      <c r="H1088" s="10">
        <v>45688.864305555559</v>
      </c>
      <c r="I1088" s="10"/>
      <c r="J1088" s="10"/>
      <c r="K1088" s="11">
        <f t="shared" si="32"/>
        <v>1.9687499989231583E-2</v>
      </c>
      <c r="L1088" s="11" t="str">
        <f t="shared" si="33"/>
        <v/>
      </c>
    </row>
    <row r="1089" spans="1:12" x14ac:dyDescent="0.25">
      <c r="A1089" s="3" t="s">
        <v>3190</v>
      </c>
      <c r="B1089" s="3" t="s">
        <v>472</v>
      </c>
      <c r="C1089" s="10">
        <v>45688.836527777778</v>
      </c>
      <c r="D1089" s="10">
        <v>45688.838935185187</v>
      </c>
      <c r="E1089" s="10">
        <v>45688.860752314817</v>
      </c>
      <c r="F1089" s="10">
        <v>45688.862488425933</v>
      </c>
      <c r="G1089" s="3"/>
      <c r="H1089" s="10"/>
      <c r="I1089" s="10"/>
      <c r="J1089" s="10"/>
      <c r="K1089" s="11">
        <f t="shared" si="32"/>
        <v>2.1817129629198462E-2</v>
      </c>
      <c r="L1089" s="11" t="str">
        <f t="shared" si="33"/>
        <v/>
      </c>
    </row>
  </sheetData>
  <autoFilter ref="A1:L1089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982"/>
  <sheetViews>
    <sheetView workbookViewId="0">
      <pane xSplit="2" ySplit="1" topLeftCell="C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7" width="8.140625" customWidth="1"/>
    <col min="8" max="10" width="19" customWidth="1"/>
    <col min="11" max="12" width="8.140625" customWidth="1"/>
  </cols>
  <sheetData>
    <row r="1" spans="1:12" ht="45" customHeight="1" x14ac:dyDescent="0.25">
      <c r="A1" s="1" t="s">
        <v>3247</v>
      </c>
      <c r="B1" s="1" t="s">
        <v>3248</v>
      </c>
      <c r="C1" s="1" t="s">
        <v>3249</v>
      </c>
      <c r="D1" s="1" t="s">
        <v>126</v>
      </c>
      <c r="E1" s="1" t="s">
        <v>3208</v>
      </c>
      <c r="F1" s="1" t="s">
        <v>3209</v>
      </c>
      <c r="G1" s="1" t="s">
        <v>3250</v>
      </c>
      <c r="H1" s="1" t="s">
        <v>3251</v>
      </c>
      <c r="I1" s="1" t="s">
        <v>3252</v>
      </c>
      <c r="J1" s="1" t="s">
        <v>3253</v>
      </c>
      <c r="K1" s="1" t="s">
        <v>83</v>
      </c>
      <c r="L1" s="1" t="s">
        <v>3254</v>
      </c>
    </row>
    <row r="2" spans="1:12" x14ac:dyDescent="0.25">
      <c r="A2" s="3" t="s">
        <v>3221</v>
      </c>
      <c r="B2" s="3" t="s">
        <v>3255</v>
      </c>
      <c r="C2" s="3" t="s">
        <v>138</v>
      </c>
      <c r="D2" s="9">
        <v>227</v>
      </c>
      <c r="E2" s="3" t="s">
        <v>3222</v>
      </c>
      <c r="F2" s="3" t="s">
        <v>139</v>
      </c>
      <c r="G2" s="9">
        <v>766.25</v>
      </c>
      <c r="H2" s="10">
        <v>45659.110925925917</v>
      </c>
      <c r="I2" s="10">
        <v>45659.110925925917</v>
      </c>
      <c r="J2" s="10">
        <v>45659.113043981481</v>
      </c>
      <c r="K2" s="11">
        <v>2.1180555555555562E-3</v>
      </c>
      <c r="L2" s="13"/>
    </row>
    <row r="3" spans="1:12" x14ac:dyDescent="0.25">
      <c r="A3" s="3" t="s">
        <v>3221</v>
      </c>
      <c r="B3" s="3" t="s">
        <v>3256</v>
      </c>
      <c r="C3" s="3" t="s">
        <v>140</v>
      </c>
      <c r="D3" s="9">
        <v>182.7</v>
      </c>
      <c r="E3" s="3" t="s">
        <v>3222</v>
      </c>
      <c r="F3" s="3" t="s">
        <v>139</v>
      </c>
      <c r="G3" s="9">
        <v>766.25</v>
      </c>
      <c r="H3" s="10">
        <v>45659.269212962958</v>
      </c>
      <c r="I3" s="10">
        <v>45659.269212962958</v>
      </c>
      <c r="J3" s="10">
        <v>45659.271226851852</v>
      </c>
      <c r="K3" s="11">
        <v>2.0138888888888888E-3</v>
      </c>
      <c r="L3" s="13"/>
    </row>
    <row r="4" spans="1:12" x14ac:dyDescent="0.25">
      <c r="A4" s="3" t="s">
        <v>3221</v>
      </c>
      <c r="B4" s="3" t="s">
        <v>3257</v>
      </c>
      <c r="C4" s="3" t="s">
        <v>141</v>
      </c>
      <c r="D4" s="9">
        <v>578.20000000000005</v>
      </c>
      <c r="E4" s="3" t="s">
        <v>3222</v>
      </c>
      <c r="F4" s="3" t="s">
        <v>142</v>
      </c>
      <c r="G4" s="9">
        <v>556.20000000000005</v>
      </c>
      <c r="H4" s="10">
        <v>45659.29792824074</v>
      </c>
      <c r="I4" s="10">
        <v>45659.29792824074</v>
      </c>
      <c r="J4" s="10">
        <v>45659.300416666672</v>
      </c>
      <c r="K4" s="11">
        <v>2.488425925925926E-3</v>
      </c>
      <c r="L4" s="13"/>
    </row>
    <row r="5" spans="1:12" x14ac:dyDescent="0.25">
      <c r="A5" s="3" t="s">
        <v>3221</v>
      </c>
      <c r="B5" s="3" t="s">
        <v>3258</v>
      </c>
      <c r="C5" s="3" t="s">
        <v>143</v>
      </c>
      <c r="D5" s="9">
        <v>189</v>
      </c>
      <c r="E5" s="3" t="s">
        <v>3222</v>
      </c>
      <c r="F5" s="3" t="s">
        <v>139</v>
      </c>
      <c r="G5" s="9">
        <v>766.25</v>
      </c>
      <c r="H5" s="10">
        <v>45659.306840277779</v>
      </c>
      <c r="I5" s="10">
        <v>45659.306840277779</v>
      </c>
      <c r="J5" s="10">
        <v>45659.308865740742</v>
      </c>
      <c r="K5" s="11">
        <v>2.0254629629629629E-3</v>
      </c>
      <c r="L5" s="13"/>
    </row>
    <row r="6" spans="1:12" x14ac:dyDescent="0.25">
      <c r="A6" s="3" t="s">
        <v>3221</v>
      </c>
      <c r="B6" s="3" t="s">
        <v>3259</v>
      </c>
      <c r="C6" s="3" t="s">
        <v>144</v>
      </c>
      <c r="D6" s="9">
        <v>396.6</v>
      </c>
      <c r="E6" s="3" t="s">
        <v>3222</v>
      </c>
      <c r="F6" s="3" t="s">
        <v>139</v>
      </c>
      <c r="G6" s="9">
        <v>766.25</v>
      </c>
      <c r="H6" s="10">
        <v>45659.33384259259</v>
      </c>
      <c r="I6" s="10">
        <v>45659.33384259259</v>
      </c>
      <c r="J6" s="10">
        <v>45659.336354166669</v>
      </c>
      <c r="K6" s="11">
        <v>2.5115740740740741E-3</v>
      </c>
      <c r="L6" s="13"/>
    </row>
    <row r="7" spans="1:12" x14ac:dyDescent="0.25">
      <c r="A7" s="3" t="s">
        <v>3221</v>
      </c>
      <c r="B7" s="3" t="s">
        <v>3260</v>
      </c>
      <c r="C7" s="3" t="s">
        <v>145</v>
      </c>
      <c r="D7" s="9">
        <v>440.3</v>
      </c>
      <c r="E7" s="3" t="s">
        <v>3222</v>
      </c>
      <c r="F7" s="3" t="s">
        <v>139</v>
      </c>
      <c r="G7" s="9">
        <v>766.25</v>
      </c>
      <c r="H7" s="10">
        <v>45659.367048611108</v>
      </c>
      <c r="I7" s="10">
        <v>45659.367048611108</v>
      </c>
      <c r="J7" s="10">
        <v>45659.369652777779</v>
      </c>
      <c r="K7" s="11">
        <v>2.604166666666667E-3</v>
      </c>
      <c r="L7" s="13"/>
    </row>
    <row r="8" spans="1:12" x14ac:dyDescent="0.25">
      <c r="A8" s="3" t="s">
        <v>3221</v>
      </c>
      <c r="B8" s="3" t="s">
        <v>3261</v>
      </c>
      <c r="C8" s="3" t="s">
        <v>146</v>
      </c>
      <c r="D8" s="9">
        <v>212.7</v>
      </c>
      <c r="E8" s="3" t="s">
        <v>3222</v>
      </c>
      <c r="F8" s="3" t="s">
        <v>142</v>
      </c>
      <c r="G8" s="9">
        <v>556.20000000000005</v>
      </c>
      <c r="H8" s="10">
        <v>45659.375115740739</v>
      </c>
      <c r="I8" s="10">
        <v>45659.375115740739</v>
      </c>
      <c r="J8" s="10">
        <v>45659.376759259263</v>
      </c>
      <c r="K8" s="11">
        <v>1.643518518518519E-3</v>
      </c>
      <c r="L8" s="13"/>
    </row>
    <row r="9" spans="1:12" x14ac:dyDescent="0.25">
      <c r="A9" s="3" t="s">
        <v>3221</v>
      </c>
      <c r="B9" s="3" t="s">
        <v>3262</v>
      </c>
      <c r="C9" s="3" t="s">
        <v>147</v>
      </c>
      <c r="D9" s="9">
        <v>387.1</v>
      </c>
      <c r="E9" s="3" t="s">
        <v>3222</v>
      </c>
      <c r="F9" s="3" t="s">
        <v>139</v>
      </c>
      <c r="G9" s="9">
        <v>766.25</v>
      </c>
      <c r="H9" s="10">
        <v>45659.436840277784</v>
      </c>
      <c r="I9" s="10">
        <v>45659.436840277784</v>
      </c>
      <c r="J9" s="10">
        <v>45659.439328703702</v>
      </c>
      <c r="K9" s="11">
        <v>2.488425925925926E-3</v>
      </c>
      <c r="L9" s="13"/>
    </row>
    <row r="10" spans="1:12" x14ac:dyDescent="0.25">
      <c r="A10" s="3" t="s">
        <v>3221</v>
      </c>
      <c r="B10" s="3" t="s">
        <v>3263</v>
      </c>
      <c r="C10" s="3" t="s">
        <v>148</v>
      </c>
      <c r="D10" s="9">
        <v>287.10000000000002</v>
      </c>
      <c r="E10" s="3" t="s">
        <v>3222</v>
      </c>
      <c r="F10" s="3" t="s">
        <v>139</v>
      </c>
      <c r="G10" s="9">
        <v>766.25</v>
      </c>
      <c r="H10" s="10">
        <v>45659.607175925928</v>
      </c>
      <c r="I10" s="10">
        <v>45659.607175925928</v>
      </c>
      <c r="J10" s="10">
        <v>45659.609432870369</v>
      </c>
      <c r="K10" s="11">
        <v>2.2569444444444438E-3</v>
      </c>
      <c r="L10" s="13"/>
    </row>
    <row r="11" spans="1:12" x14ac:dyDescent="0.25">
      <c r="A11" s="3" t="s">
        <v>3221</v>
      </c>
      <c r="B11" s="3" t="s">
        <v>3264</v>
      </c>
      <c r="C11" s="3" t="s">
        <v>149</v>
      </c>
      <c r="D11" s="9">
        <v>571.9</v>
      </c>
      <c r="E11" s="3" t="s">
        <v>3222</v>
      </c>
      <c r="F11" s="3" t="s">
        <v>142</v>
      </c>
      <c r="G11" s="9">
        <v>556.20000000000005</v>
      </c>
      <c r="H11" s="10">
        <v>45659.624675925923</v>
      </c>
      <c r="I11" s="10">
        <v>45659.624675925923</v>
      </c>
      <c r="J11" s="10">
        <v>45659.627152777779</v>
      </c>
      <c r="K11" s="11">
        <v>2.476851851851852E-3</v>
      </c>
      <c r="L11" s="13"/>
    </row>
    <row r="12" spans="1:12" x14ac:dyDescent="0.25">
      <c r="A12" s="3" t="s">
        <v>3221</v>
      </c>
      <c r="B12" s="3" t="s">
        <v>3265</v>
      </c>
      <c r="C12" s="3" t="s">
        <v>150</v>
      </c>
      <c r="D12" s="9">
        <v>267.60000000000002</v>
      </c>
      <c r="E12" s="3" t="s">
        <v>3222</v>
      </c>
      <c r="F12" s="3" t="s">
        <v>139</v>
      </c>
      <c r="G12" s="9">
        <v>766.25</v>
      </c>
      <c r="H12" s="10">
        <v>45659.626423611109</v>
      </c>
      <c r="I12" s="10">
        <v>45659.626423611109</v>
      </c>
      <c r="J12" s="10">
        <v>45659.628634259258</v>
      </c>
      <c r="K12" s="11">
        <v>2.2106481481481482E-3</v>
      </c>
      <c r="L12" s="13"/>
    </row>
    <row r="13" spans="1:12" x14ac:dyDescent="0.25">
      <c r="A13" s="3" t="s">
        <v>3221</v>
      </c>
      <c r="B13" s="3" t="s">
        <v>3266</v>
      </c>
      <c r="C13" s="3" t="s">
        <v>151</v>
      </c>
      <c r="D13" s="9">
        <v>581</v>
      </c>
      <c r="E13" s="3" t="s">
        <v>3222</v>
      </c>
      <c r="F13" s="3" t="s">
        <v>142</v>
      </c>
      <c r="G13" s="9">
        <v>556.20000000000005</v>
      </c>
      <c r="H13" s="10">
        <v>45659.737210648149</v>
      </c>
      <c r="I13" s="10">
        <v>45659.737210648149</v>
      </c>
      <c r="J13" s="10">
        <v>45659.739710648151</v>
      </c>
      <c r="K13" s="11">
        <v>2.5000000000000001E-3</v>
      </c>
      <c r="L13" s="13"/>
    </row>
    <row r="14" spans="1:12" x14ac:dyDescent="0.25">
      <c r="A14" s="3" t="s">
        <v>3221</v>
      </c>
      <c r="B14" s="3" t="s">
        <v>3267</v>
      </c>
      <c r="C14" s="3" t="s">
        <v>152</v>
      </c>
      <c r="D14" s="9">
        <v>350.4</v>
      </c>
      <c r="E14" s="3" t="s">
        <v>3222</v>
      </c>
      <c r="F14" s="3" t="s">
        <v>139</v>
      </c>
      <c r="G14" s="9">
        <v>766.25</v>
      </c>
      <c r="H14" s="10">
        <v>45659.838449074072</v>
      </c>
      <c r="I14" s="10">
        <v>45659.838449074072</v>
      </c>
      <c r="J14" s="10">
        <v>45659.840856481482</v>
      </c>
      <c r="K14" s="11">
        <v>2.407407407407408E-3</v>
      </c>
      <c r="L14" s="13"/>
    </row>
    <row r="15" spans="1:12" x14ac:dyDescent="0.25">
      <c r="A15" s="3" t="s">
        <v>3221</v>
      </c>
      <c r="B15" s="3" t="s">
        <v>3268</v>
      </c>
      <c r="C15" s="3" t="s">
        <v>153</v>
      </c>
      <c r="D15" s="9">
        <v>140.4</v>
      </c>
      <c r="E15" s="3" t="s">
        <v>3222</v>
      </c>
      <c r="F15" s="3" t="s">
        <v>139</v>
      </c>
      <c r="G15" s="9">
        <v>766.25</v>
      </c>
      <c r="H15" s="10">
        <v>45660.110601851848</v>
      </c>
      <c r="I15" s="10">
        <v>45660.110601851848</v>
      </c>
      <c r="J15" s="10">
        <v>45660.112523148149</v>
      </c>
      <c r="K15" s="11">
        <v>1.9212962962962959E-3</v>
      </c>
      <c r="L15" s="13"/>
    </row>
    <row r="16" spans="1:12" x14ac:dyDescent="0.25">
      <c r="A16" s="3" t="s">
        <v>3221</v>
      </c>
      <c r="B16" s="3" t="s">
        <v>3269</v>
      </c>
      <c r="C16" s="3" t="s">
        <v>154</v>
      </c>
      <c r="D16" s="9">
        <v>497</v>
      </c>
      <c r="E16" s="3" t="s">
        <v>3222</v>
      </c>
      <c r="F16" s="3" t="s">
        <v>139</v>
      </c>
      <c r="G16" s="9">
        <v>766.25</v>
      </c>
      <c r="H16" s="10">
        <v>45660.190196759257</v>
      </c>
      <c r="I16" s="10">
        <v>45660.190196759257</v>
      </c>
      <c r="J16" s="10">
        <v>45660.192939814813</v>
      </c>
      <c r="K16" s="11">
        <v>2.743055555555555E-3</v>
      </c>
      <c r="L16" s="13"/>
    </row>
    <row r="17" spans="1:12" x14ac:dyDescent="0.25">
      <c r="A17" s="3" t="s">
        <v>3221</v>
      </c>
      <c r="B17" s="3" t="s">
        <v>3270</v>
      </c>
      <c r="C17" s="3" t="s">
        <v>155</v>
      </c>
      <c r="D17" s="9">
        <v>412</v>
      </c>
      <c r="E17" s="3" t="s">
        <v>3222</v>
      </c>
      <c r="F17" s="3" t="s">
        <v>139</v>
      </c>
      <c r="G17" s="9">
        <v>766.25</v>
      </c>
      <c r="H17" s="10">
        <v>45660.231574074067</v>
      </c>
      <c r="I17" s="10">
        <v>45660.231574074067</v>
      </c>
      <c r="J17" s="10">
        <v>45660.234120370369</v>
      </c>
      <c r="K17" s="11">
        <v>2.5462962962962969E-3</v>
      </c>
      <c r="L17" s="13"/>
    </row>
    <row r="18" spans="1:12" x14ac:dyDescent="0.25">
      <c r="A18" s="3" t="s">
        <v>3221</v>
      </c>
      <c r="B18" s="3" t="s">
        <v>3271</v>
      </c>
      <c r="C18" s="3" t="s">
        <v>156</v>
      </c>
      <c r="D18" s="9">
        <v>297</v>
      </c>
      <c r="E18" s="3" t="s">
        <v>3222</v>
      </c>
      <c r="F18" s="3" t="s">
        <v>139</v>
      </c>
      <c r="G18" s="9">
        <v>766.25</v>
      </c>
      <c r="H18" s="10">
        <v>45660.271898148138</v>
      </c>
      <c r="I18" s="10">
        <v>45660.271898148138</v>
      </c>
      <c r="J18" s="10">
        <v>45660.274178240739</v>
      </c>
      <c r="K18" s="11">
        <v>2.2800925925925931E-3</v>
      </c>
      <c r="L18" s="13"/>
    </row>
    <row r="19" spans="1:12" x14ac:dyDescent="0.25">
      <c r="A19" s="3" t="s">
        <v>3221</v>
      </c>
      <c r="B19" s="3" t="s">
        <v>3272</v>
      </c>
      <c r="C19" s="3" t="s">
        <v>157</v>
      </c>
      <c r="D19" s="9">
        <v>306.7</v>
      </c>
      <c r="E19" s="3" t="s">
        <v>3222</v>
      </c>
      <c r="F19" s="3" t="s">
        <v>139</v>
      </c>
      <c r="G19" s="9">
        <v>766.25</v>
      </c>
      <c r="H19" s="10">
        <v>45660.301921296297</v>
      </c>
      <c r="I19" s="10">
        <v>45660.301921296297</v>
      </c>
      <c r="J19" s="10">
        <v>45660.304224537038</v>
      </c>
      <c r="K19" s="11">
        <v>2.3032407407407411E-3</v>
      </c>
      <c r="L19" s="13"/>
    </row>
    <row r="20" spans="1:12" x14ac:dyDescent="0.25">
      <c r="A20" s="3" t="s">
        <v>3221</v>
      </c>
      <c r="B20" s="3" t="s">
        <v>3273</v>
      </c>
      <c r="C20" s="3" t="s">
        <v>158</v>
      </c>
      <c r="D20" s="9">
        <v>256.89999999999998</v>
      </c>
      <c r="E20" s="3" t="s">
        <v>3222</v>
      </c>
      <c r="F20" s="3" t="s">
        <v>142</v>
      </c>
      <c r="G20" s="9">
        <v>556.20000000000005</v>
      </c>
      <c r="H20" s="10">
        <v>45660.310196759259</v>
      </c>
      <c r="I20" s="10">
        <v>45660.310196759259</v>
      </c>
      <c r="J20" s="10">
        <v>45660.311944444453</v>
      </c>
      <c r="K20" s="11">
        <v>1.747685185185185E-3</v>
      </c>
      <c r="L20" s="13"/>
    </row>
    <row r="21" spans="1:12" x14ac:dyDescent="0.25">
      <c r="A21" s="3" t="s">
        <v>3221</v>
      </c>
      <c r="B21" s="3" t="s">
        <v>3274</v>
      </c>
      <c r="C21" s="3" t="s">
        <v>159</v>
      </c>
      <c r="D21" s="9">
        <v>396.6</v>
      </c>
      <c r="E21" s="3" t="s">
        <v>3222</v>
      </c>
      <c r="F21" s="3" t="s">
        <v>139</v>
      </c>
      <c r="G21" s="9">
        <v>766.25</v>
      </c>
      <c r="H21" s="10">
        <v>45660.331458333327</v>
      </c>
      <c r="I21" s="10">
        <v>45660.331458333327</v>
      </c>
      <c r="J21" s="10">
        <v>45660.333969907413</v>
      </c>
      <c r="K21" s="11">
        <v>2.5115740740740741E-3</v>
      </c>
      <c r="L21" s="13"/>
    </row>
    <row r="22" spans="1:12" x14ac:dyDescent="0.25">
      <c r="A22" s="3" t="s">
        <v>3221</v>
      </c>
      <c r="B22" s="3" t="s">
        <v>3275</v>
      </c>
      <c r="C22" s="3" t="s">
        <v>160</v>
      </c>
      <c r="D22" s="9">
        <v>279.10000000000002</v>
      </c>
      <c r="E22" s="3" t="s">
        <v>3222</v>
      </c>
      <c r="F22" s="3" t="s">
        <v>139</v>
      </c>
      <c r="G22" s="9">
        <v>766.25</v>
      </c>
      <c r="H22" s="10">
        <v>45660.365208333344</v>
      </c>
      <c r="I22" s="10">
        <v>45660.365208333344</v>
      </c>
      <c r="J22" s="10">
        <v>45660.367442129631</v>
      </c>
      <c r="K22" s="11">
        <v>2.2337962962962958E-3</v>
      </c>
      <c r="L22" s="13"/>
    </row>
    <row r="23" spans="1:12" x14ac:dyDescent="0.25">
      <c r="A23" s="3" t="s">
        <v>3221</v>
      </c>
      <c r="B23" s="3" t="s">
        <v>3276</v>
      </c>
      <c r="C23" s="3" t="s">
        <v>161</v>
      </c>
      <c r="D23" s="9">
        <v>433.7</v>
      </c>
      <c r="E23" s="3" t="s">
        <v>3222</v>
      </c>
      <c r="F23" s="3" t="s">
        <v>139</v>
      </c>
      <c r="G23" s="9">
        <v>766.25</v>
      </c>
      <c r="H23" s="10">
        <v>45660.437303240738</v>
      </c>
      <c r="I23" s="10">
        <v>45660.437303240738</v>
      </c>
      <c r="J23" s="10">
        <v>45660.439895833333</v>
      </c>
      <c r="K23" s="11">
        <v>2.592592592592593E-3</v>
      </c>
      <c r="L23" s="13"/>
    </row>
    <row r="24" spans="1:12" x14ac:dyDescent="0.25">
      <c r="A24" s="3" t="s">
        <v>3221</v>
      </c>
      <c r="B24" s="3" t="s">
        <v>3277</v>
      </c>
      <c r="C24" s="3" t="s">
        <v>162</v>
      </c>
      <c r="D24" s="9">
        <v>278</v>
      </c>
      <c r="E24" s="3" t="s">
        <v>3222</v>
      </c>
      <c r="F24" s="3" t="s">
        <v>139</v>
      </c>
      <c r="G24" s="9">
        <v>766.25</v>
      </c>
      <c r="H24" s="10">
        <v>45660.540972222218</v>
      </c>
      <c r="I24" s="10">
        <v>45660.540972222218</v>
      </c>
      <c r="J24" s="10">
        <v>45660.543206018519</v>
      </c>
      <c r="K24" s="11">
        <v>2.2337962962962958E-3</v>
      </c>
      <c r="L24" s="13"/>
    </row>
    <row r="25" spans="1:12" x14ac:dyDescent="0.25">
      <c r="A25" s="3" t="s">
        <v>3221</v>
      </c>
      <c r="B25" s="3" t="s">
        <v>3278</v>
      </c>
      <c r="C25" s="3" t="s">
        <v>163</v>
      </c>
      <c r="D25" s="9">
        <v>63</v>
      </c>
      <c r="E25" s="3" t="s">
        <v>3222</v>
      </c>
      <c r="F25" s="3" t="s">
        <v>164</v>
      </c>
      <c r="G25" s="9">
        <v>587.14</v>
      </c>
      <c r="H25" s="10">
        <v>45660.596631944441</v>
      </c>
      <c r="I25" s="10">
        <v>45660.596631944441</v>
      </c>
      <c r="J25" s="10">
        <v>45660.597997685189</v>
      </c>
      <c r="K25" s="11">
        <v>1.3657407407407409E-3</v>
      </c>
      <c r="L25" s="13"/>
    </row>
    <row r="26" spans="1:12" x14ac:dyDescent="0.25">
      <c r="A26" s="3" t="s">
        <v>3221</v>
      </c>
      <c r="B26" s="3" t="s">
        <v>3279</v>
      </c>
      <c r="C26" s="3" t="s">
        <v>165</v>
      </c>
      <c r="D26" s="9">
        <v>399.8</v>
      </c>
      <c r="E26" s="3" t="s">
        <v>3222</v>
      </c>
      <c r="F26" s="3" t="s">
        <v>139</v>
      </c>
      <c r="G26" s="9">
        <v>766.25</v>
      </c>
      <c r="H26" s="10">
        <v>45660.627523148149</v>
      </c>
      <c r="I26" s="10">
        <v>45660.627523148149</v>
      </c>
      <c r="J26" s="10">
        <v>45660.63003472222</v>
      </c>
      <c r="K26" s="11">
        <v>2.5115740740740741E-3</v>
      </c>
      <c r="L26" s="13"/>
    </row>
    <row r="27" spans="1:12" x14ac:dyDescent="0.25">
      <c r="A27" s="3" t="s">
        <v>3221</v>
      </c>
      <c r="B27" s="3" t="s">
        <v>3280</v>
      </c>
      <c r="C27" s="3" t="s">
        <v>166</v>
      </c>
      <c r="D27" s="9">
        <v>63</v>
      </c>
      <c r="E27" s="3" t="s">
        <v>3222</v>
      </c>
      <c r="F27" s="3" t="s">
        <v>164</v>
      </c>
      <c r="G27" s="9">
        <v>587.14</v>
      </c>
      <c r="H27" s="10">
        <v>45660.648993055547</v>
      </c>
      <c r="I27" s="10">
        <v>45660.648993055547</v>
      </c>
      <c r="J27" s="10">
        <v>45660.650358796287</v>
      </c>
      <c r="K27" s="11">
        <v>1.3657407407407409E-3</v>
      </c>
      <c r="L27" s="13"/>
    </row>
    <row r="28" spans="1:12" x14ac:dyDescent="0.25">
      <c r="A28" s="3" t="s">
        <v>3221</v>
      </c>
      <c r="B28" s="3" t="s">
        <v>3281</v>
      </c>
      <c r="C28" s="3" t="s">
        <v>167</v>
      </c>
      <c r="D28" s="9">
        <v>278.89999999999998</v>
      </c>
      <c r="E28" s="3" t="s">
        <v>3222</v>
      </c>
      <c r="F28" s="3" t="s">
        <v>139</v>
      </c>
      <c r="G28" s="9">
        <v>766.25</v>
      </c>
      <c r="H28" s="10">
        <v>45660.716180555559</v>
      </c>
      <c r="I28" s="10">
        <v>45660.716180555559</v>
      </c>
      <c r="J28" s="10">
        <v>45660.718414351853</v>
      </c>
      <c r="K28" s="11">
        <v>2.2337962962962958E-3</v>
      </c>
      <c r="L28" s="13"/>
    </row>
    <row r="29" spans="1:12" x14ac:dyDescent="0.25">
      <c r="A29" s="3" t="s">
        <v>3221</v>
      </c>
      <c r="B29" s="3" t="s">
        <v>3282</v>
      </c>
      <c r="C29" s="3" t="s">
        <v>168</v>
      </c>
      <c r="D29" s="9">
        <v>595.9</v>
      </c>
      <c r="E29" s="3" t="s">
        <v>3222</v>
      </c>
      <c r="F29" s="3" t="s">
        <v>169</v>
      </c>
      <c r="G29" s="9">
        <v>476.05</v>
      </c>
      <c r="H29" s="10">
        <v>45660.833136574067</v>
      </c>
      <c r="I29" s="10">
        <v>45660.833136574067</v>
      </c>
      <c r="J29" s="10">
        <v>45660.835497685177</v>
      </c>
      <c r="K29" s="11">
        <v>2.3611111111111111E-3</v>
      </c>
      <c r="L29" s="13"/>
    </row>
    <row r="30" spans="1:12" x14ac:dyDescent="0.25">
      <c r="A30" s="3" t="s">
        <v>3221</v>
      </c>
      <c r="B30" s="3" t="s">
        <v>3283</v>
      </c>
      <c r="C30" s="3" t="s">
        <v>170</v>
      </c>
      <c r="D30" s="9">
        <v>541.1</v>
      </c>
      <c r="E30" s="3" t="s">
        <v>3222</v>
      </c>
      <c r="F30" s="3" t="s">
        <v>142</v>
      </c>
      <c r="G30" s="9">
        <v>556.20000000000005</v>
      </c>
      <c r="H30" s="10">
        <v>45660.871099537027</v>
      </c>
      <c r="I30" s="10">
        <v>45660.871099537027</v>
      </c>
      <c r="J30" s="10">
        <v>45660.873506944437</v>
      </c>
      <c r="K30" s="11">
        <v>2.407407407407408E-3</v>
      </c>
      <c r="L30" s="13"/>
    </row>
    <row r="31" spans="1:12" x14ac:dyDescent="0.25">
      <c r="A31" s="3" t="s">
        <v>3221</v>
      </c>
      <c r="B31" s="3" t="s">
        <v>3284</v>
      </c>
      <c r="C31" s="3" t="s">
        <v>171</v>
      </c>
      <c r="D31" s="9">
        <v>295</v>
      </c>
      <c r="E31" s="3" t="s">
        <v>3222</v>
      </c>
      <c r="F31" s="3" t="s">
        <v>139</v>
      </c>
      <c r="G31" s="9">
        <v>766.25</v>
      </c>
      <c r="H31" s="10">
        <v>45661.235196759262</v>
      </c>
      <c r="I31" s="10">
        <v>45661.235196759262</v>
      </c>
      <c r="J31" s="10">
        <v>45661.23746527778</v>
      </c>
      <c r="K31" s="11">
        <v>2.2685185185185191E-3</v>
      </c>
      <c r="L31" s="13"/>
    </row>
    <row r="32" spans="1:12" x14ac:dyDescent="0.25">
      <c r="A32" s="3" t="s">
        <v>3221</v>
      </c>
      <c r="B32" s="3" t="s">
        <v>3285</v>
      </c>
      <c r="C32" s="3" t="s">
        <v>172</v>
      </c>
      <c r="D32" s="9">
        <v>535.29999999999995</v>
      </c>
      <c r="E32" s="3" t="s">
        <v>3222</v>
      </c>
      <c r="F32" s="3" t="s">
        <v>142</v>
      </c>
      <c r="G32" s="9">
        <v>556.20000000000005</v>
      </c>
      <c r="H32" s="10">
        <v>45662.730578703697</v>
      </c>
      <c r="I32" s="10">
        <v>45662.730578703697</v>
      </c>
      <c r="J32" s="10">
        <v>45662.732974537037</v>
      </c>
      <c r="K32" s="11">
        <v>2.3958333333333331E-3</v>
      </c>
      <c r="L32" s="13"/>
    </row>
    <row r="33" spans="1:12" x14ac:dyDescent="0.25">
      <c r="A33" s="3" t="s">
        <v>3221</v>
      </c>
      <c r="B33" s="3" t="s">
        <v>3286</v>
      </c>
      <c r="C33" s="3" t="s">
        <v>173</v>
      </c>
      <c r="D33" s="9">
        <v>590.79999999999995</v>
      </c>
      <c r="E33" s="3" t="s">
        <v>3222</v>
      </c>
      <c r="F33" s="3" t="s">
        <v>142</v>
      </c>
      <c r="G33" s="9">
        <v>556.20000000000005</v>
      </c>
      <c r="H33" s="10">
        <v>45662.837708333333</v>
      </c>
      <c r="I33" s="10">
        <v>45662.837708333333</v>
      </c>
      <c r="J33" s="10">
        <v>45662.840231481481</v>
      </c>
      <c r="K33" s="11">
        <v>2.5231481481481481E-3</v>
      </c>
      <c r="L33" s="13"/>
    </row>
    <row r="34" spans="1:12" x14ac:dyDescent="0.25">
      <c r="A34" s="3" t="s">
        <v>3221</v>
      </c>
      <c r="B34" s="3" t="s">
        <v>3287</v>
      </c>
      <c r="C34" s="3" t="s">
        <v>174</v>
      </c>
      <c r="D34" s="9">
        <v>241.4</v>
      </c>
      <c r="E34" s="3" t="s">
        <v>3222</v>
      </c>
      <c r="F34" s="3" t="s">
        <v>139</v>
      </c>
      <c r="G34" s="9">
        <v>766.25</v>
      </c>
      <c r="H34" s="10">
        <v>45663.735393518517</v>
      </c>
      <c r="I34" s="10">
        <v>45663.735393518517</v>
      </c>
      <c r="J34" s="10">
        <v>45663.737546296303</v>
      </c>
      <c r="K34" s="11">
        <v>2.1527777777777782E-3</v>
      </c>
      <c r="L34" s="13"/>
    </row>
    <row r="35" spans="1:12" x14ac:dyDescent="0.25">
      <c r="A35" s="3" t="s">
        <v>3221</v>
      </c>
      <c r="B35" s="3" t="s">
        <v>3288</v>
      </c>
      <c r="C35" s="3" t="s">
        <v>175</v>
      </c>
      <c r="D35" s="9">
        <v>291.2</v>
      </c>
      <c r="E35" s="3" t="s">
        <v>3222</v>
      </c>
      <c r="F35" s="3" t="s">
        <v>139</v>
      </c>
      <c r="G35" s="9">
        <v>766.25</v>
      </c>
      <c r="H35" s="10">
        <v>45664.113078703696</v>
      </c>
      <c r="I35" s="10">
        <v>45664.113078703696</v>
      </c>
      <c r="J35" s="10">
        <v>45664.115347222221</v>
      </c>
      <c r="K35" s="11">
        <v>2.2685185185185191E-3</v>
      </c>
      <c r="L35" s="13"/>
    </row>
    <row r="36" spans="1:12" x14ac:dyDescent="0.25">
      <c r="A36" s="3" t="s">
        <v>3221</v>
      </c>
      <c r="B36" s="3" t="s">
        <v>3289</v>
      </c>
      <c r="C36" s="3" t="s">
        <v>176</v>
      </c>
      <c r="D36" s="9">
        <v>297</v>
      </c>
      <c r="E36" s="3" t="s">
        <v>3222</v>
      </c>
      <c r="F36" s="3" t="s">
        <v>139</v>
      </c>
      <c r="G36" s="9">
        <v>766.25</v>
      </c>
      <c r="H36" s="10">
        <v>45664.270983796298</v>
      </c>
      <c r="I36" s="10">
        <v>45664.270983796298</v>
      </c>
      <c r="J36" s="10">
        <v>45664.273263888892</v>
      </c>
      <c r="K36" s="11">
        <v>2.2800925925925931E-3</v>
      </c>
      <c r="L36" s="13"/>
    </row>
    <row r="37" spans="1:12" x14ac:dyDescent="0.25">
      <c r="A37" s="3" t="s">
        <v>3221</v>
      </c>
      <c r="B37" s="3" t="s">
        <v>3290</v>
      </c>
      <c r="C37" s="3" t="s">
        <v>177</v>
      </c>
      <c r="D37" s="9">
        <v>268.5</v>
      </c>
      <c r="E37" s="3" t="s">
        <v>3222</v>
      </c>
      <c r="F37" s="3" t="s">
        <v>139</v>
      </c>
      <c r="G37" s="9">
        <v>766.25</v>
      </c>
      <c r="H37" s="10">
        <v>45664.301805555559</v>
      </c>
      <c r="I37" s="10">
        <v>45664.301805555559</v>
      </c>
      <c r="J37" s="10">
        <v>45664.304016203707</v>
      </c>
      <c r="K37" s="11">
        <v>2.2106481481481482E-3</v>
      </c>
      <c r="L37" s="13"/>
    </row>
    <row r="38" spans="1:12" x14ac:dyDescent="0.25">
      <c r="A38" s="3" t="s">
        <v>3221</v>
      </c>
      <c r="B38" s="3" t="s">
        <v>3291</v>
      </c>
      <c r="C38" s="3" t="s">
        <v>178</v>
      </c>
      <c r="D38" s="9">
        <v>396.6</v>
      </c>
      <c r="E38" s="3" t="s">
        <v>3222</v>
      </c>
      <c r="F38" s="3" t="s">
        <v>142</v>
      </c>
      <c r="G38" s="9">
        <v>556.20000000000005</v>
      </c>
      <c r="H38" s="10">
        <v>45664.306064814817</v>
      </c>
      <c r="I38" s="10">
        <v>45664.306064814817</v>
      </c>
      <c r="J38" s="10">
        <v>45664.308136574073</v>
      </c>
      <c r="K38" s="11">
        <v>2.0717592592592589E-3</v>
      </c>
      <c r="L38" s="13"/>
    </row>
    <row r="39" spans="1:12" x14ac:dyDescent="0.25">
      <c r="A39" s="3" t="s">
        <v>3221</v>
      </c>
      <c r="B39" s="3" t="s">
        <v>3292</v>
      </c>
      <c r="C39" s="3" t="s">
        <v>179</v>
      </c>
      <c r="D39" s="9">
        <v>189.9</v>
      </c>
      <c r="E39" s="3" t="s">
        <v>3222</v>
      </c>
      <c r="F39" s="3" t="s">
        <v>169</v>
      </c>
      <c r="G39" s="9">
        <v>476.05</v>
      </c>
      <c r="H39" s="10">
        <v>45664.30878472222</v>
      </c>
      <c r="I39" s="10">
        <v>45664.30878472222</v>
      </c>
      <c r="J39" s="10">
        <v>45664.310208333343</v>
      </c>
      <c r="K39" s="11">
        <v>1.423611111111111E-3</v>
      </c>
      <c r="L39" s="13"/>
    </row>
    <row r="40" spans="1:12" x14ac:dyDescent="0.25">
      <c r="A40" s="3" t="s">
        <v>3221</v>
      </c>
      <c r="B40" s="3" t="s">
        <v>3293</v>
      </c>
      <c r="C40" s="3" t="s">
        <v>180</v>
      </c>
      <c r="D40" s="9">
        <v>393.9</v>
      </c>
      <c r="E40" s="3" t="s">
        <v>3222</v>
      </c>
      <c r="F40" s="3" t="s">
        <v>139</v>
      </c>
      <c r="G40" s="9">
        <v>766.25</v>
      </c>
      <c r="H40" s="10">
        <v>45664.344629629632</v>
      </c>
      <c r="I40" s="10">
        <v>45664.344629629632</v>
      </c>
      <c r="J40" s="10">
        <v>45664.347129629627</v>
      </c>
      <c r="K40" s="11">
        <v>2.5000000000000001E-3</v>
      </c>
      <c r="L40" s="13"/>
    </row>
    <row r="41" spans="1:12" x14ac:dyDescent="0.25">
      <c r="A41" s="3" t="s">
        <v>3221</v>
      </c>
      <c r="B41" s="3" t="s">
        <v>3294</v>
      </c>
      <c r="C41" s="3" t="s">
        <v>181</v>
      </c>
      <c r="D41" s="9">
        <v>297</v>
      </c>
      <c r="E41" s="3" t="s">
        <v>3222</v>
      </c>
      <c r="F41" s="3" t="s">
        <v>142</v>
      </c>
      <c r="G41" s="9">
        <v>556.20000000000005</v>
      </c>
      <c r="H41" s="10">
        <v>45664.358877314808</v>
      </c>
      <c r="I41" s="10">
        <v>45664.358877314808</v>
      </c>
      <c r="J41" s="10">
        <v>45664.360717592594</v>
      </c>
      <c r="K41" s="11">
        <v>1.8402777777777779E-3</v>
      </c>
      <c r="L41" s="13"/>
    </row>
    <row r="42" spans="1:12" x14ac:dyDescent="0.25">
      <c r="A42" s="3" t="s">
        <v>3221</v>
      </c>
      <c r="B42" s="3" t="s">
        <v>3295</v>
      </c>
      <c r="C42" s="3" t="s">
        <v>182</v>
      </c>
      <c r="D42" s="9">
        <v>448.6</v>
      </c>
      <c r="E42" s="3" t="s">
        <v>3222</v>
      </c>
      <c r="F42" s="3" t="s">
        <v>139</v>
      </c>
      <c r="G42" s="9">
        <v>766.25</v>
      </c>
      <c r="H42" s="10">
        <v>45664.438784722217</v>
      </c>
      <c r="I42" s="10">
        <v>45664.438784722217</v>
      </c>
      <c r="J42" s="10">
        <v>45664.441412037027</v>
      </c>
      <c r="K42" s="11">
        <v>2.627314814814815E-3</v>
      </c>
      <c r="L42" s="13"/>
    </row>
    <row r="43" spans="1:12" x14ac:dyDescent="0.25">
      <c r="A43" s="3" t="s">
        <v>3221</v>
      </c>
      <c r="B43" s="3" t="s">
        <v>3296</v>
      </c>
      <c r="C43" s="3" t="s">
        <v>183</v>
      </c>
      <c r="D43" s="9">
        <v>192.5</v>
      </c>
      <c r="E43" s="3" t="s">
        <v>3222</v>
      </c>
      <c r="F43" s="3" t="s">
        <v>139</v>
      </c>
      <c r="G43" s="9">
        <v>766.25</v>
      </c>
      <c r="H43" s="10">
        <v>45664.541354166657</v>
      </c>
      <c r="I43" s="10">
        <v>45664.541354166657</v>
      </c>
      <c r="J43" s="10">
        <v>45664.543391203697</v>
      </c>
      <c r="K43" s="11">
        <v>2.0370370370370369E-3</v>
      </c>
      <c r="L43" s="13"/>
    </row>
    <row r="44" spans="1:12" x14ac:dyDescent="0.25">
      <c r="A44" s="3" t="s">
        <v>3221</v>
      </c>
      <c r="B44" s="3" t="s">
        <v>3297</v>
      </c>
      <c r="C44" s="3" t="s">
        <v>184</v>
      </c>
      <c r="D44" s="9">
        <v>398</v>
      </c>
      <c r="E44" s="3" t="s">
        <v>3222</v>
      </c>
      <c r="F44" s="3" t="s">
        <v>139</v>
      </c>
      <c r="G44" s="9">
        <v>766.25</v>
      </c>
      <c r="H44" s="10">
        <v>45664.593055555553</v>
      </c>
      <c r="I44" s="10">
        <v>45664.593055555553</v>
      </c>
      <c r="J44" s="10">
        <v>45664.595567129632</v>
      </c>
      <c r="K44" s="11">
        <v>2.5115740740740741E-3</v>
      </c>
      <c r="L44" s="13"/>
    </row>
    <row r="45" spans="1:12" x14ac:dyDescent="0.25">
      <c r="A45" s="3" t="s">
        <v>3221</v>
      </c>
      <c r="B45" s="3" t="s">
        <v>3298</v>
      </c>
      <c r="C45" s="3" t="s">
        <v>185</v>
      </c>
      <c r="D45" s="9">
        <v>321.10000000000002</v>
      </c>
      <c r="E45" s="3" t="s">
        <v>3222</v>
      </c>
      <c r="F45" s="3" t="s">
        <v>139</v>
      </c>
      <c r="G45" s="9">
        <v>766.25</v>
      </c>
      <c r="H45" s="10">
        <v>45664.624027777783</v>
      </c>
      <c r="I45" s="10">
        <v>45664.624027777783</v>
      </c>
      <c r="J45" s="10">
        <v>45664.62636574074</v>
      </c>
      <c r="K45" s="11">
        <v>2.3379629629629631E-3</v>
      </c>
      <c r="L45" s="13"/>
    </row>
    <row r="46" spans="1:12" x14ac:dyDescent="0.25">
      <c r="A46" s="3" t="s">
        <v>3221</v>
      </c>
      <c r="B46" s="3" t="s">
        <v>3299</v>
      </c>
      <c r="C46" s="3" t="s">
        <v>186</v>
      </c>
      <c r="D46" s="9">
        <v>393.5</v>
      </c>
      <c r="E46" s="3" t="s">
        <v>3222</v>
      </c>
      <c r="F46" s="3" t="s">
        <v>142</v>
      </c>
      <c r="G46" s="9">
        <v>556.20000000000005</v>
      </c>
      <c r="H46" s="10">
        <v>45664.639907407407</v>
      </c>
      <c r="I46" s="10">
        <v>45664.639907407407</v>
      </c>
      <c r="J46" s="10">
        <v>45664.641967592594</v>
      </c>
      <c r="K46" s="11">
        <v>2.0601851851851849E-3</v>
      </c>
      <c r="L46" s="13"/>
    </row>
    <row r="47" spans="1:12" x14ac:dyDescent="0.25">
      <c r="A47" s="3" t="s">
        <v>3221</v>
      </c>
      <c r="B47" s="3" t="s">
        <v>3300</v>
      </c>
      <c r="C47" s="3" t="s">
        <v>187</v>
      </c>
      <c r="D47" s="9">
        <v>110.3</v>
      </c>
      <c r="E47" s="3" t="s">
        <v>3222</v>
      </c>
      <c r="F47" s="3" t="s">
        <v>139</v>
      </c>
      <c r="G47" s="9">
        <v>766.25</v>
      </c>
      <c r="H47" s="10">
        <v>45664.667118055557</v>
      </c>
      <c r="I47" s="10">
        <v>45664.667118055557</v>
      </c>
      <c r="J47" s="10">
        <v>45664.668958333343</v>
      </c>
      <c r="K47" s="11">
        <v>1.8402777777777779E-3</v>
      </c>
      <c r="L47" s="13"/>
    </row>
    <row r="48" spans="1:12" x14ac:dyDescent="0.25">
      <c r="A48" s="3" t="s">
        <v>3221</v>
      </c>
      <c r="B48" s="3" t="s">
        <v>3301</v>
      </c>
      <c r="C48" s="3" t="s">
        <v>188</v>
      </c>
      <c r="D48" s="9">
        <v>424.5</v>
      </c>
      <c r="E48" s="3" t="s">
        <v>3222</v>
      </c>
      <c r="F48" s="3" t="s">
        <v>139</v>
      </c>
      <c r="G48" s="9">
        <v>766.25</v>
      </c>
      <c r="H48" s="10">
        <v>45664.722557870373</v>
      </c>
      <c r="I48" s="10">
        <v>45664.722557870373</v>
      </c>
      <c r="J48" s="10">
        <v>45664.725127314807</v>
      </c>
      <c r="K48" s="11">
        <v>2.5694444444444449E-3</v>
      </c>
      <c r="L48" s="13"/>
    </row>
    <row r="49" spans="1:12" x14ac:dyDescent="0.25">
      <c r="A49" s="3" t="s">
        <v>3221</v>
      </c>
      <c r="B49" s="3" t="s">
        <v>3302</v>
      </c>
      <c r="C49" s="3" t="s">
        <v>189</v>
      </c>
      <c r="D49" s="9">
        <v>212</v>
      </c>
      <c r="E49" s="3" t="s">
        <v>3222</v>
      </c>
      <c r="F49" s="3" t="s">
        <v>142</v>
      </c>
      <c r="G49" s="9">
        <v>556.20000000000005</v>
      </c>
      <c r="H49" s="10">
        <v>45664.752870370372</v>
      </c>
      <c r="I49" s="10">
        <v>45664.752870370372</v>
      </c>
      <c r="J49" s="10">
        <v>45664.754513888889</v>
      </c>
      <c r="K49" s="11">
        <v>1.643518518518519E-3</v>
      </c>
      <c r="L49" s="13"/>
    </row>
    <row r="50" spans="1:12" x14ac:dyDescent="0.25">
      <c r="A50" s="3" t="s">
        <v>3221</v>
      </c>
      <c r="B50" s="3" t="s">
        <v>3303</v>
      </c>
      <c r="C50" s="3" t="s">
        <v>190</v>
      </c>
      <c r="D50" s="9">
        <v>389.1</v>
      </c>
      <c r="E50" s="3" t="s">
        <v>3222</v>
      </c>
      <c r="F50" s="3" t="s">
        <v>139</v>
      </c>
      <c r="G50" s="9">
        <v>766.25</v>
      </c>
      <c r="H50" s="10">
        <v>45664.875254629631</v>
      </c>
      <c r="I50" s="10">
        <v>45664.875254629631</v>
      </c>
      <c r="J50" s="10">
        <v>45664.877743055556</v>
      </c>
      <c r="K50" s="11">
        <v>2.488425925925926E-3</v>
      </c>
      <c r="L50" s="13"/>
    </row>
    <row r="51" spans="1:12" x14ac:dyDescent="0.25">
      <c r="A51" s="3" t="s">
        <v>3221</v>
      </c>
      <c r="B51" s="3" t="s">
        <v>3304</v>
      </c>
      <c r="C51" s="3" t="s">
        <v>191</v>
      </c>
      <c r="D51" s="9">
        <v>325.2</v>
      </c>
      <c r="E51" s="3" t="s">
        <v>3222</v>
      </c>
      <c r="F51" s="3" t="s">
        <v>139</v>
      </c>
      <c r="G51" s="9">
        <v>766.25</v>
      </c>
      <c r="H51" s="10">
        <v>45665.113541666673</v>
      </c>
      <c r="I51" s="10">
        <v>45665.113541666673</v>
      </c>
      <c r="J51" s="10">
        <v>45665.115879629629</v>
      </c>
      <c r="K51" s="11">
        <v>2.3379629629629631E-3</v>
      </c>
      <c r="L51" s="13"/>
    </row>
    <row r="52" spans="1:12" x14ac:dyDescent="0.25">
      <c r="A52" s="3" t="s">
        <v>3221</v>
      </c>
      <c r="B52" s="3" t="s">
        <v>3305</v>
      </c>
      <c r="C52" s="3" t="s">
        <v>192</v>
      </c>
      <c r="D52" s="9">
        <v>514.29999999999995</v>
      </c>
      <c r="E52" s="3" t="s">
        <v>3222</v>
      </c>
      <c r="F52" s="3" t="s">
        <v>139</v>
      </c>
      <c r="G52" s="9">
        <v>766.25</v>
      </c>
      <c r="H52" s="10">
        <v>45665.156782407408</v>
      </c>
      <c r="I52" s="10">
        <v>45665.156782407408</v>
      </c>
      <c r="J52" s="10">
        <v>45665.159560185188</v>
      </c>
      <c r="K52" s="11">
        <v>2.7777777777777779E-3</v>
      </c>
      <c r="L52" s="13"/>
    </row>
    <row r="53" spans="1:12" x14ac:dyDescent="0.25">
      <c r="A53" s="3" t="s">
        <v>3221</v>
      </c>
      <c r="B53" s="3" t="s">
        <v>3306</v>
      </c>
      <c r="C53" s="3" t="s">
        <v>193</v>
      </c>
      <c r="D53" s="9">
        <v>297</v>
      </c>
      <c r="E53" s="3" t="s">
        <v>3222</v>
      </c>
      <c r="F53" s="3" t="s">
        <v>139</v>
      </c>
      <c r="G53" s="9">
        <v>766.25</v>
      </c>
      <c r="H53" s="10">
        <v>45665.250856481478</v>
      </c>
      <c r="I53" s="10">
        <v>45665.250856481478</v>
      </c>
      <c r="J53" s="10">
        <v>45665.253136574072</v>
      </c>
      <c r="K53" s="11">
        <v>2.2800925925925931E-3</v>
      </c>
      <c r="L53" s="13"/>
    </row>
    <row r="54" spans="1:12" x14ac:dyDescent="0.25">
      <c r="A54" s="3" t="s">
        <v>3221</v>
      </c>
      <c r="B54" s="3" t="s">
        <v>3307</v>
      </c>
      <c r="C54" s="3" t="s">
        <v>194</v>
      </c>
      <c r="D54" s="9">
        <v>572</v>
      </c>
      <c r="E54" s="3" t="s">
        <v>3222</v>
      </c>
      <c r="F54" s="3" t="s">
        <v>142</v>
      </c>
      <c r="G54" s="9">
        <v>556.20000000000005</v>
      </c>
      <c r="H54" s="10">
        <v>45665.303020833337</v>
      </c>
      <c r="I54" s="10">
        <v>45665.303020833337</v>
      </c>
      <c r="J54" s="10">
        <v>45665.305497685193</v>
      </c>
      <c r="K54" s="11">
        <v>2.476851851851852E-3</v>
      </c>
      <c r="L54" s="13"/>
    </row>
    <row r="55" spans="1:12" x14ac:dyDescent="0.25">
      <c r="A55" s="3" t="s">
        <v>3221</v>
      </c>
      <c r="B55" s="3" t="s">
        <v>3308</v>
      </c>
      <c r="C55" s="3" t="s">
        <v>195</v>
      </c>
      <c r="D55" s="9">
        <v>156.69999999999999</v>
      </c>
      <c r="E55" s="3" t="s">
        <v>3222</v>
      </c>
      <c r="F55" s="3" t="s">
        <v>139</v>
      </c>
      <c r="G55" s="9">
        <v>766.25</v>
      </c>
      <c r="H55" s="10">
        <v>45665.30568287037</v>
      </c>
      <c r="I55" s="10">
        <v>45665.30568287037</v>
      </c>
      <c r="J55" s="10">
        <v>45665.307638888888</v>
      </c>
      <c r="K55" s="11">
        <v>1.956018518518518E-3</v>
      </c>
      <c r="L55" s="13"/>
    </row>
    <row r="56" spans="1:12" x14ac:dyDescent="0.25">
      <c r="A56" s="3" t="s">
        <v>3221</v>
      </c>
      <c r="B56" s="3" t="s">
        <v>3309</v>
      </c>
      <c r="C56" s="3" t="s">
        <v>196</v>
      </c>
      <c r="D56" s="9">
        <v>389.8</v>
      </c>
      <c r="E56" s="3" t="s">
        <v>3222</v>
      </c>
      <c r="F56" s="3" t="s">
        <v>139</v>
      </c>
      <c r="G56" s="9">
        <v>766.25</v>
      </c>
      <c r="H56" s="10">
        <v>45665.334351851852</v>
      </c>
      <c r="I56" s="10">
        <v>45665.334351851852</v>
      </c>
      <c r="J56" s="10">
        <v>45665.336840277778</v>
      </c>
      <c r="K56" s="11">
        <v>2.488425925925926E-3</v>
      </c>
      <c r="L56" s="13"/>
    </row>
    <row r="57" spans="1:12" x14ac:dyDescent="0.25">
      <c r="A57" s="3" t="s">
        <v>3221</v>
      </c>
      <c r="B57" s="3" t="s">
        <v>3310</v>
      </c>
      <c r="C57" s="3" t="s">
        <v>197</v>
      </c>
      <c r="D57" s="9">
        <v>235.2</v>
      </c>
      <c r="E57" s="3" t="s">
        <v>3222</v>
      </c>
      <c r="F57" s="3" t="s">
        <v>139</v>
      </c>
      <c r="G57" s="9">
        <v>766.25</v>
      </c>
      <c r="H57" s="10">
        <v>45665.374155092592</v>
      </c>
      <c r="I57" s="10">
        <v>45665.374155092592</v>
      </c>
      <c r="J57" s="10">
        <v>45665.376284722217</v>
      </c>
      <c r="K57" s="11">
        <v>2.1296296296296302E-3</v>
      </c>
      <c r="L57" s="13"/>
    </row>
    <row r="58" spans="1:12" x14ac:dyDescent="0.25">
      <c r="A58" s="3" t="s">
        <v>3221</v>
      </c>
      <c r="B58" s="3" t="s">
        <v>3311</v>
      </c>
      <c r="C58" s="3" t="s">
        <v>198</v>
      </c>
      <c r="D58" s="9">
        <v>443.2</v>
      </c>
      <c r="E58" s="3" t="s">
        <v>3222</v>
      </c>
      <c r="F58" s="3" t="s">
        <v>139</v>
      </c>
      <c r="G58" s="9">
        <v>766.25</v>
      </c>
      <c r="H58" s="10">
        <v>45665.426006944443</v>
      </c>
      <c r="I58" s="10">
        <v>45665.426006944443</v>
      </c>
      <c r="J58" s="10">
        <v>45665.428622685176</v>
      </c>
      <c r="K58" s="11">
        <v>2.615740740740741E-3</v>
      </c>
      <c r="L58" s="13"/>
    </row>
    <row r="59" spans="1:12" x14ac:dyDescent="0.25">
      <c r="A59" s="3" t="s">
        <v>3221</v>
      </c>
      <c r="B59" s="3" t="s">
        <v>3312</v>
      </c>
      <c r="C59" s="3" t="s">
        <v>199</v>
      </c>
      <c r="D59" s="9">
        <v>296.8</v>
      </c>
      <c r="E59" s="3" t="s">
        <v>3222</v>
      </c>
      <c r="F59" s="3" t="s">
        <v>139</v>
      </c>
      <c r="G59" s="9">
        <v>766.25</v>
      </c>
      <c r="H59" s="10">
        <v>45665.532187500001</v>
      </c>
      <c r="I59" s="10">
        <v>45665.532187500001</v>
      </c>
      <c r="J59" s="10">
        <v>45665.534467592603</v>
      </c>
      <c r="K59" s="11">
        <v>2.2800925925925931E-3</v>
      </c>
      <c r="L59" s="13"/>
    </row>
    <row r="60" spans="1:12" x14ac:dyDescent="0.25">
      <c r="A60" s="3" t="s">
        <v>3221</v>
      </c>
      <c r="B60" s="3" t="s">
        <v>3313</v>
      </c>
      <c r="C60" s="3" t="s">
        <v>200</v>
      </c>
      <c r="D60" s="9">
        <v>365.8</v>
      </c>
      <c r="E60" s="3" t="s">
        <v>3222</v>
      </c>
      <c r="F60" s="3" t="s">
        <v>139</v>
      </c>
      <c r="G60" s="9">
        <v>766.25</v>
      </c>
      <c r="H60" s="10">
        <v>45665.601689814823</v>
      </c>
      <c r="I60" s="10">
        <v>45665.601689814823</v>
      </c>
      <c r="J60" s="10">
        <v>45665.604131944441</v>
      </c>
      <c r="K60" s="11">
        <v>2.44212962962963E-3</v>
      </c>
      <c r="L60" s="13"/>
    </row>
    <row r="61" spans="1:12" x14ac:dyDescent="0.25">
      <c r="A61" s="3" t="s">
        <v>3221</v>
      </c>
      <c r="B61" s="3" t="s">
        <v>3314</v>
      </c>
      <c r="C61" s="3" t="s">
        <v>201</v>
      </c>
      <c r="D61" s="9">
        <v>316.60000000000002</v>
      </c>
      <c r="E61" s="3" t="s">
        <v>3222</v>
      </c>
      <c r="F61" s="3" t="s">
        <v>139</v>
      </c>
      <c r="G61" s="9">
        <v>766.25</v>
      </c>
      <c r="H61" s="10">
        <v>45665.620625000003</v>
      </c>
      <c r="I61" s="10">
        <v>45665.620625000003</v>
      </c>
      <c r="J61" s="10">
        <v>45665.62295138889</v>
      </c>
      <c r="K61" s="11">
        <v>2.3263888888888891E-3</v>
      </c>
      <c r="L61" s="13"/>
    </row>
    <row r="62" spans="1:12" x14ac:dyDescent="0.25">
      <c r="A62" s="3" t="s">
        <v>3221</v>
      </c>
      <c r="B62" s="3" t="s">
        <v>3315</v>
      </c>
      <c r="C62" s="3" t="s">
        <v>202</v>
      </c>
      <c r="D62" s="9">
        <v>362</v>
      </c>
      <c r="E62" s="3" t="s">
        <v>3222</v>
      </c>
      <c r="F62" s="3" t="s">
        <v>142</v>
      </c>
      <c r="G62" s="9">
        <v>556.20000000000005</v>
      </c>
      <c r="H62" s="10">
        <v>45665.633101851847</v>
      </c>
      <c r="I62" s="10">
        <v>45665.633101851847</v>
      </c>
      <c r="J62" s="10">
        <v>45665.635092592587</v>
      </c>
      <c r="K62" s="11">
        <v>1.9907407407407408E-3</v>
      </c>
      <c r="L62" s="13"/>
    </row>
    <row r="63" spans="1:12" x14ac:dyDescent="0.25">
      <c r="A63" s="3" t="s">
        <v>3221</v>
      </c>
      <c r="B63" s="3" t="s">
        <v>3316</v>
      </c>
      <c r="C63" s="3" t="s">
        <v>203</v>
      </c>
      <c r="D63" s="9">
        <v>209.2</v>
      </c>
      <c r="E63" s="3" t="s">
        <v>3222</v>
      </c>
      <c r="F63" s="3" t="s">
        <v>139</v>
      </c>
      <c r="G63" s="9">
        <v>766.25</v>
      </c>
      <c r="H63" s="10">
        <v>45665.723113425927</v>
      </c>
      <c r="I63" s="10">
        <v>45665.723113425927</v>
      </c>
      <c r="J63" s="10">
        <v>45665.725185185183</v>
      </c>
      <c r="K63" s="11">
        <v>2.0717592592592589E-3</v>
      </c>
      <c r="L63" s="13"/>
    </row>
    <row r="64" spans="1:12" x14ac:dyDescent="0.25">
      <c r="A64" s="3" t="s">
        <v>3221</v>
      </c>
      <c r="B64" s="3" t="s">
        <v>3317</v>
      </c>
      <c r="C64" s="3" t="s">
        <v>204</v>
      </c>
      <c r="D64" s="9">
        <v>15.7</v>
      </c>
      <c r="E64" s="3" t="s">
        <v>3222</v>
      </c>
      <c r="F64" s="3" t="s">
        <v>164</v>
      </c>
      <c r="G64" s="9">
        <v>587.14</v>
      </c>
      <c r="H64" s="10">
        <v>45665.749872685177</v>
      </c>
      <c r="I64" s="10">
        <v>45665.749872685177</v>
      </c>
      <c r="J64" s="10">
        <v>45665.751122685193</v>
      </c>
      <c r="K64" s="11">
        <v>1.25E-3</v>
      </c>
      <c r="L64" s="13"/>
    </row>
    <row r="65" spans="1:12" x14ac:dyDescent="0.25">
      <c r="A65" s="3" t="s">
        <v>3221</v>
      </c>
      <c r="B65" s="3" t="s">
        <v>3318</v>
      </c>
      <c r="C65" s="3" t="s">
        <v>205</v>
      </c>
      <c r="D65" s="9">
        <v>244.1</v>
      </c>
      <c r="E65" s="3" t="s">
        <v>3222</v>
      </c>
      <c r="F65" s="3" t="s">
        <v>139</v>
      </c>
      <c r="G65" s="9">
        <v>766.25</v>
      </c>
      <c r="H65" s="10">
        <v>45665.819722222222</v>
      </c>
      <c r="I65" s="10">
        <v>45665.819722222222</v>
      </c>
      <c r="J65" s="10">
        <v>45665.821875000001</v>
      </c>
      <c r="K65" s="11">
        <v>2.1527777777777782E-3</v>
      </c>
      <c r="L65" s="13"/>
    </row>
    <row r="66" spans="1:12" x14ac:dyDescent="0.25">
      <c r="A66" s="3" t="s">
        <v>3221</v>
      </c>
      <c r="B66" s="3" t="s">
        <v>3319</v>
      </c>
      <c r="C66" s="3" t="s">
        <v>206</v>
      </c>
      <c r="D66" s="9">
        <v>99.5</v>
      </c>
      <c r="E66" s="3" t="s">
        <v>3222</v>
      </c>
      <c r="F66" s="3" t="s">
        <v>142</v>
      </c>
      <c r="G66" s="9">
        <v>556.20000000000005</v>
      </c>
      <c r="H66" s="10">
        <v>45665.836099537039</v>
      </c>
      <c r="I66" s="10">
        <v>45665.836099537039</v>
      </c>
      <c r="J66" s="10">
        <v>45665.837488425917</v>
      </c>
      <c r="K66" s="11">
        <v>1.3888888888888889E-3</v>
      </c>
      <c r="L66" s="13"/>
    </row>
    <row r="67" spans="1:12" x14ac:dyDescent="0.25">
      <c r="A67" s="3" t="s">
        <v>3221</v>
      </c>
      <c r="B67" s="3" t="s">
        <v>3320</v>
      </c>
      <c r="C67" s="3" t="s">
        <v>207</v>
      </c>
      <c r="D67" s="9">
        <v>164.5</v>
      </c>
      <c r="E67" s="3" t="s">
        <v>3222</v>
      </c>
      <c r="F67" s="3" t="s">
        <v>139</v>
      </c>
      <c r="G67" s="9">
        <v>766.25</v>
      </c>
      <c r="H67" s="10">
        <v>45666.115694444437</v>
      </c>
      <c r="I67" s="10">
        <v>45666.115694444437</v>
      </c>
      <c r="J67" s="10">
        <v>45666.117662037039</v>
      </c>
      <c r="K67" s="11">
        <v>1.967592592592592E-3</v>
      </c>
      <c r="L67" s="13"/>
    </row>
    <row r="68" spans="1:12" x14ac:dyDescent="0.25">
      <c r="A68" s="3" t="s">
        <v>3221</v>
      </c>
      <c r="B68" s="3" t="s">
        <v>3321</v>
      </c>
      <c r="C68" s="3" t="s">
        <v>208</v>
      </c>
      <c r="D68" s="9">
        <v>376.1</v>
      </c>
      <c r="E68" s="3" t="s">
        <v>3222</v>
      </c>
      <c r="F68" s="3" t="s">
        <v>139</v>
      </c>
      <c r="G68" s="9">
        <v>766.25</v>
      </c>
      <c r="H68" s="10">
        <v>45666.254513888889</v>
      </c>
      <c r="I68" s="10">
        <v>45666.254513888889</v>
      </c>
      <c r="J68" s="10">
        <v>45666.256979166668</v>
      </c>
      <c r="K68" s="11">
        <v>2.465277777777778E-3</v>
      </c>
      <c r="L68" s="13"/>
    </row>
    <row r="69" spans="1:12" x14ac:dyDescent="0.25">
      <c r="A69" s="3" t="s">
        <v>3221</v>
      </c>
      <c r="B69" s="3" t="s">
        <v>3322</v>
      </c>
      <c r="C69" s="3" t="s">
        <v>209</v>
      </c>
      <c r="D69" s="9">
        <v>185.9</v>
      </c>
      <c r="E69" s="3" t="s">
        <v>3222</v>
      </c>
      <c r="F69" s="3" t="s">
        <v>142</v>
      </c>
      <c r="G69" s="9">
        <v>556.20000000000005</v>
      </c>
      <c r="H69" s="10">
        <v>45666.272199074083</v>
      </c>
      <c r="I69" s="10">
        <v>45666.272199074083</v>
      </c>
      <c r="J69" s="10">
        <v>45666.273784722223</v>
      </c>
      <c r="K69" s="11">
        <v>1.5856481481481481E-3</v>
      </c>
      <c r="L69" s="13"/>
    </row>
    <row r="70" spans="1:12" x14ac:dyDescent="0.25">
      <c r="A70" s="3" t="s">
        <v>3221</v>
      </c>
      <c r="B70" s="3" t="s">
        <v>3323</v>
      </c>
      <c r="C70" s="3" t="s">
        <v>210</v>
      </c>
      <c r="D70" s="9">
        <v>278.7</v>
      </c>
      <c r="E70" s="3" t="s">
        <v>3222</v>
      </c>
      <c r="F70" s="3" t="s">
        <v>139</v>
      </c>
      <c r="G70" s="9">
        <v>766.25</v>
      </c>
      <c r="H70" s="10">
        <v>45666.300671296303</v>
      </c>
      <c r="I70" s="10">
        <v>45666.300671296303</v>
      </c>
      <c r="J70" s="10">
        <v>45666.302905092591</v>
      </c>
      <c r="K70" s="11">
        <v>2.2337962962962958E-3</v>
      </c>
      <c r="L70" s="13"/>
    </row>
    <row r="71" spans="1:12" x14ac:dyDescent="0.25">
      <c r="A71" s="3" t="s">
        <v>3221</v>
      </c>
      <c r="B71" s="3" t="s">
        <v>3324</v>
      </c>
      <c r="C71" s="3" t="s">
        <v>211</v>
      </c>
      <c r="D71" s="9">
        <v>325</v>
      </c>
      <c r="E71" s="3" t="s">
        <v>3222</v>
      </c>
      <c r="F71" s="3" t="s">
        <v>142</v>
      </c>
      <c r="G71" s="9">
        <v>556.20000000000005</v>
      </c>
      <c r="H71" s="10">
        <v>45666.306157407409</v>
      </c>
      <c r="I71" s="10">
        <v>45666.306157407409</v>
      </c>
      <c r="J71" s="10">
        <v>45666.308067129627</v>
      </c>
      <c r="K71" s="11">
        <v>1.9097222222222219E-3</v>
      </c>
      <c r="L71" s="13"/>
    </row>
    <row r="72" spans="1:12" x14ac:dyDescent="0.25">
      <c r="A72" s="3" t="s">
        <v>3221</v>
      </c>
      <c r="B72" s="3" t="s">
        <v>3325</v>
      </c>
      <c r="C72" s="3" t="s">
        <v>212</v>
      </c>
      <c r="D72" s="9">
        <v>381.6</v>
      </c>
      <c r="E72" s="3" t="s">
        <v>3222</v>
      </c>
      <c r="F72" s="3" t="s">
        <v>142</v>
      </c>
      <c r="G72" s="9">
        <v>556.20000000000005</v>
      </c>
      <c r="H72" s="10">
        <v>45666.327314814807</v>
      </c>
      <c r="I72" s="10">
        <v>45666.327314814807</v>
      </c>
      <c r="J72" s="10">
        <v>45666.329351851848</v>
      </c>
      <c r="K72" s="11">
        <v>2.0370370370370369E-3</v>
      </c>
      <c r="L72" s="13"/>
    </row>
    <row r="73" spans="1:12" x14ac:dyDescent="0.25">
      <c r="A73" s="3" t="s">
        <v>3221</v>
      </c>
      <c r="B73" s="3" t="s">
        <v>3326</v>
      </c>
      <c r="C73" s="3" t="s">
        <v>213</v>
      </c>
      <c r="D73" s="9">
        <v>362</v>
      </c>
      <c r="E73" s="3" t="s">
        <v>3222</v>
      </c>
      <c r="F73" s="3" t="s">
        <v>139</v>
      </c>
      <c r="G73" s="9">
        <v>766.25</v>
      </c>
      <c r="H73" s="10">
        <v>45666.364710648151</v>
      </c>
      <c r="I73" s="10">
        <v>45666.364710648151</v>
      </c>
      <c r="J73" s="10">
        <v>45666.3671412037</v>
      </c>
      <c r="K73" s="11">
        <v>2.430555555555556E-3</v>
      </c>
      <c r="L73" s="13"/>
    </row>
    <row r="74" spans="1:12" x14ac:dyDescent="0.25">
      <c r="A74" s="3" t="s">
        <v>3221</v>
      </c>
      <c r="B74" s="3" t="s">
        <v>3327</v>
      </c>
      <c r="C74" s="3" t="s">
        <v>214</v>
      </c>
      <c r="D74" s="9">
        <v>435.7</v>
      </c>
      <c r="E74" s="3" t="s">
        <v>3222</v>
      </c>
      <c r="F74" s="3" t="s">
        <v>139</v>
      </c>
      <c r="G74" s="9">
        <v>766.25</v>
      </c>
      <c r="H74" s="10">
        <v>45666.451631944437</v>
      </c>
      <c r="I74" s="10">
        <v>45666.451631944437</v>
      </c>
      <c r="J74" s="10">
        <v>45666.454236111109</v>
      </c>
      <c r="K74" s="11">
        <v>2.604166666666667E-3</v>
      </c>
      <c r="L74" s="13"/>
    </row>
    <row r="75" spans="1:12" x14ac:dyDescent="0.25">
      <c r="A75" s="3" t="s">
        <v>3221</v>
      </c>
      <c r="B75" s="3" t="s">
        <v>3328</v>
      </c>
      <c r="C75" s="3" t="s">
        <v>215</v>
      </c>
      <c r="D75" s="9">
        <v>241.4</v>
      </c>
      <c r="E75" s="3" t="s">
        <v>3222</v>
      </c>
      <c r="F75" s="3" t="s">
        <v>139</v>
      </c>
      <c r="G75" s="9">
        <v>766.25</v>
      </c>
      <c r="H75" s="10">
        <v>45666.606782407413</v>
      </c>
      <c r="I75" s="10">
        <v>45666.606782407413</v>
      </c>
      <c r="J75" s="10">
        <v>45666.608935185177</v>
      </c>
      <c r="K75" s="11">
        <v>2.1527777777777782E-3</v>
      </c>
      <c r="L75" s="13"/>
    </row>
    <row r="76" spans="1:12" x14ac:dyDescent="0.25">
      <c r="A76" s="3" t="s">
        <v>3221</v>
      </c>
      <c r="B76" s="3" t="s">
        <v>3329</v>
      </c>
      <c r="C76" s="3" t="s">
        <v>216</v>
      </c>
      <c r="D76" s="9">
        <v>407.5</v>
      </c>
      <c r="E76" s="3" t="s">
        <v>3222</v>
      </c>
      <c r="F76" s="3" t="s">
        <v>139</v>
      </c>
      <c r="G76" s="9">
        <v>766.25</v>
      </c>
      <c r="H76" s="10">
        <v>45666.625347222223</v>
      </c>
      <c r="I76" s="10">
        <v>45666.625347222223</v>
      </c>
      <c r="J76" s="10">
        <v>45666.627881944441</v>
      </c>
      <c r="K76" s="11">
        <v>2.5347222222222221E-3</v>
      </c>
      <c r="L76" s="13"/>
    </row>
    <row r="77" spans="1:12" x14ac:dyDescent="0.25">
      <c r="A77" s="3" t="s">
        <v>3221</v>
      </c>
      <c r="B77" s="3" t="s">
        <v>3330</v>
      </c>
      <c r="C77" s="3" t="s">
        <v>217</v>
      </c>
      <c r="D77" s="9">
        <v>314.8</v>
      </c>
      <c r="E77" s="3" t="s">
        <v>3222</v>
      </c>
      <c r="F77" s="3" t="s">
        <v>142</v>
      </c>
      <c r="G77" s="9">
        <v>556.20000000000005</v>
      </c>
      <c r="H77" s="10">
        <v>45666.643680555557</v>
      </c>
      <c r="I77" s="10">
        <v>45666.643680555557</v>
      </c>
      <c r="J77" s="10">
        <v>45666.645567129628</v>
      </c>
      <c r="K77" s="11">
        <v>1.8865740740740739E-3</v>
      </c>
      <c r="L77" s="13"/>
    </row>
    <row r="78" spans="1:12" x14ac:dyDescent="0.25">
      <c r="A78" s="3" t="s">
        <v>3221</v>
      </c>
      <c r="B78" s="3" t="s">
        <v>3331</v>
      </c>
      <c r="C78" s="3" t="s">
        <v>218</v>
      </c>
      <c r="D78" s="9">
        <v>319</v>
      </c>
      <c r="E78" s="3" t="s">
        <v>3222</v>
      </c>
      <c r="F78" s="3" t="s">
        <v>139</v>
      </c>
      <c r="G78" s="9">
        <v>766.25</v>
      </c>
      <c r="H78" s="10">
        <v>45666.738437499997</v>
      </c>
      <c r="I78" s="10">
        <v>45666.738437499997</v>
      </c>
      <c r="J78" s="10">
        <v>45666.740763888891</v>
      </c>
      <c r="K78" s="11">
        <v>2.3263888888888891E-3</v>
      </c>
      <c r="L78" s="13"/>
    </row>
    <row r="79" spans="1:12" x14ac:dyDescent="0.25">
      <c r="A79" s="3" t="s">
        <v>3221</v>
      </c>
      <c r="B79" s="3" t="s">
        <v>3332</v>
      </c>
      <c r="C79" s="3" t="s">
        <v>219</v>
      </c>
      <c r="D79" s="9">
        <v>47.2</v>
      </c>
      <c r="E79" s="3" t="s">
        <v>3222</v>
      </c>
      <c r="F79" s="3" t="s">
        <v>164</v>
      </c>
      <c r="G79" s="9">
        <v>587.14</v>
      </c>
      <c r="H79" s="10">
        <v>45666.740023148152</v>
      </c>
      <c r="I79" s="10">
        <v>45666.740023148152</v>
      </c>
      <c r="J79" s="10">
        <v>45666.741354166668</v>
      </c>
      <c r="K79" s="11">
        <v>1.3310185185185181E-3</v>
      </c>
      <c r="L79" s="13"/>
    </row>
    <row r="80" spans="1:12" x14ac:dyDescent="0.25">
      <c r="A80" s="3" t="s">
        <v>3221</v>
      </c>
      <c r="B80" s="3" t="s">
        <v>3333</v>
      </c>
      <c r="C80" s="3" t="s">
        <v>220</v>
      </c>
      <c r="D80" s="9">
        <v>417.5</v>
      </c>
      <c r="E80" s="3" t="s">
        <v>3222</v>
      </c>
      <c r="F80" s="3" t="s">
        <v>142</v>
      </c>
      <c r="G80" s="9">
        <v>556.20000000000005</v>
      </c>
      <c r="H80" s="10">
        <v>45666.741157407407</v>
      </c>
      <c r="I80" s="10">
        <v>45666.741157407407</v>
      </c>
      <c r="J80" s="10">
        <v>45666.743275462963</v>
      </c>
      <c r="K80" s="11">
        <v>2.1180555555555562E-3</v>
      </c>
      <c r="L80" s="13"/>
    </row>
    <row r="81" spans="1:12" x14ac:dyDescent="0.25">
      <c r="A81" s="3" t="s">
        <v>3221</v>
      </c>
      <c r="B81" s="3" t="s">
        <v>3334</v>
      </c>
      <c r="C81" s="3" t="s">
        <v>221</v>
      </c>
      <c r="D81" s="9">
        <v>291.7</v>
      </c>
      <c r="E81" s="3" t="s">
        <v>3222</v>
      </c>
      <c r="F81" s="3" t="s">
        <v>139</v>
      </c>
      <c r="G81" s="9">
        <v>766.25</v>
      </c>
      <c r="H81" s="10">
        <v>45666.834826388891</v>
      </c>
      <c r="I81" s="10">
        <v>45666.834826388891</v>
      </c>
      <c r="J81" s="10">
        <v>45666.837094907409</v>
      </c>
      <c r="K81" s="11">
        <v>2.2685185185185191E-3</v>
      </c>
      <c r="L81" s="13"/>
    </row>
    <row r="82" spans="1:12" x14ac:dyDescent="0.25">
      <c r="A82" s="3" t="s">
        <v>3221</v>
      </c>
      <c r="B82" s="3" t="s">
        <v>3335</v>
      </c>
      <c r="C82" s="3" t="s">
        <v>222</v>
      </c>
      <c r="D82" s="9">
        <v>309.2</v>
      </c>
      <c r="E82" s="3" t="s">
        <v>3222</v>
      </c>
      <c r="F82" s="3" t="s">
        <v>139</v>
      </c>
      <c r="G82" s="9">
        <v>766.25</v>
      </c>
      <c r="H82" s="10">
        <v>45667.112291666657</v>
      </c>
      <c r="I82" s="10">
        <v>45667.112291666657</v>
      </c>
      <c r="J82" s="10">
        <v>45667.114594907413</v>
      </c>
      <c r="K82" s="11">
        <v>2.3032407407407411E-3</v>
      </c>
      <c r="L82" s="13"/>
    </row>
    <row r="83" spans="1:12" x14ac:dyDescent="0.25">
      <c r="A83" s="3" t="s">
        <v>3221</v>
      </c>
      <c r="B83" s="3" t="s">
        <v>3336</v>
      </c>
      <c r="C83" s="3" t="s">
        <v>223</v>
      </c>
      <c r="D83" s="9">
        <v>219.5</v>
      </c>
      <c r="E83" s="3" t="s">
        <v>3222</v>
      </c>
      <c r="F83" s="3" t="s">
        <v>139</v>
      </c>
      <c r="G83" s="9">
        <v>766.25</v>
      </c>
      <c r="H83" s="10">
        <v>45667.189085648148</v>
      </c>
      <c r="I83" s="10">
        <v>45667.189085648148</v>
      </c>
      <c r="J83" s="10">
        <v>45667.191180555557</v>
      </c>
      <c r="K83" s="11">
        <v>2.0949074074074069E-3</v>
      </c>
      <c r="L83" s="13"/>
    </row>
    <row r="84" spans="1:12" x14ac:dyDescent="0.25">
      <c r="A84" s="3" t="s">
        <v>3221</v>
      </c>
      <c r="B84" s="3" t="s">
        <v>3337</v>
      </c>
      <c r="C84" s="3" t="s">
        <v>224</v>
      </c>
      <c r="D84" s="9">
        <v>298</v>
      </c>
      <c r="E84" s="3" t="s">
        <v>3222</v>
      </c>
      <c r="F84" s="3" t="s">
        <v>139</v>
      </c>
      <c r="G84" s="9">
        <v>766.25</v>
      </c>
      <c r="H84" s="10">
        <v>45667.240266203713</v>
      </c>
      <c r="I84" s="10">
        <v>45667.240266203713</v>
      </c>
      <c r="J84" s="10">
        <v>45667.242546296293</v>
      </c>
      <c r="K84" s="11">
        <v>2.2800925925925931E-3</v>
      </c>
      <c r="L84" s="13"/>
    </row>
    <row r="85" spans="1:12" x14ac:dyDescent="0.25">
      <c r="A85" s="3" t="s">
        <v>3221</v>
      </c>
      <c r="B85" s="3" t="s">
        <v>3338</v>
      </c>
      <c r="C85" s="3" t="s">
        <v>225</v>
      </c>
      <c r="D85" s="9">
        <v>386.3</v>
      </c>
      <c r="E85" s="3" t="s">
        <v>3222</v>
      </c>
      <c r="F85" s="3" t="s">
        <v>139</v>
      </c>
      <c r="G85" s="9">
        <v>766.25</v>
      </c>
      <c r="H85" s="10">
        <v>45667.277453703697</v>
      </c>
      <c r="I85" s="10">
        <v>45667.277453703697</v>
      </c>
      <c r="J85" s="10">
        <v>45667.279942129629</v>
      </c>
      <c r="K85" s="11">
        <v>2.488425925925926E-3</v>
      </c>
      <c r="L85" s="13"/>
    </row>
    <row r="86" spans="1:12" x14ac:dyDescent="0.25">
      <c r="A86" s="3" t="s">
        <v>3221</v>
      </c>
      <c r="B86" s="3" t="s">
        <v>3339</v>
      </c>
      <c r="C86" s="3" t="s">
        <v>226</v>
      </c>
      <c r="D86" s="9">
        <v>193.1</v>
      </c>
      <c r="E86" s="3" t="s">
        <v>3222</v>
      </c>
      <c r="F86" s="3" t="s">
        <v>139</v>
      </c>
      <c r="G86" s="9">
        <v>766.25</v>
      </c>
      <c r="H86" s="10">
        <v>45667.310162037043</v>
      </c>
      <c r="I86" s="10">
        <v>45667.310162037043</v>
      </c>
      <c r="J86" s="10">
        <v>45667.312199074076</v>
      </c>
      <c r="K86" s="11">
        <v>2.0370370370370369E-3</v>
      </c>
      <c r="L86" s="13"/>
    </row>
    <row r="87" spans="1:12" x14ac:dyDescent="0.25">
      <c r="A87" s="3" t="s">
        <v>3221</v>
      </c>
      <c r="B87" s="3" t="s">
        <v>3340</v>
      </c>
      <c r="C87" s="3" t="s">
        <v>227</v>
      </c>
      <c r="D87" s="9">
        <v>380.8</v>
      </c>
      <c r="E87" s="3" t="s">
        <v>3222</v>
      </c>
      <c r="F87" s="3" t="s">
        <v>139</v>
      </c>
      <c r="G87" s="9">
        <v>766.25</v>
      </c>
      <c r="H87" s="10">
        <v>45667.330104166656</v>
      </c>
      <c r="I87" s="10">
        <v>45667.330104166656</v>
      </c>
      <c r="J87" s="10">
        <v>45667.33258101852</v>
      </c>
      <c r="K87" s="11">
        <v>2.476851851851852E-3</v>
      </c>
      <c r="L87" s="13"/>
    </row>
    <row r="88" spans="1:12" x14ac:dyDescent="0.25">
      <c r="A88" s="3" t="s">
        <v>3221</v>
      </c>
      <c r="B88" s="3" t="s">
        <v>3341</v>
      </c>
      <c r="C88" s="3" t="s">
        <v>228</v>
      </c>
      <c r="D88" s="9">
        <v>588.4</v>
      </c>
      <c r="E88" s="3" t="s">
        <v>3222</v>
      </c>
      <c r="F88" s="3" t="s">
        <v>142</v>
      </c>
      <c r="G88" s="9">
        <v>556.20000000000005</v>
      </c>
      <c r="H88" s="10">
        <v>45667.364861111113</v>
      </c>
      <c r="I88" s="10">
        <v>45667.364861111113</v>
      </c>
      <c r="J88" s="10">
        <v>45667.367372685178</v>
      </c>
      <c r="K88" s="11">
        <v>2.5115740740740741E-3</v>
      </c>
      <c r="L88" s="13"/>
    </row>
    <row r="89" spans="1:12" x14ac:dyDescent="0.25">
      <c r="A89" s="3" t="s">
        <v>3221</v>
      </c>
      <c r="B89" s="3" t="s">
        <v>3342</v>
      </c>
      <c r="C89" s="3" t="s">
        <v>229</v>
      </c>
      <c r="D89" s="9">
        <v>206.3</v>
      </c>
      <c r="E89" s="3" t="s">
        <v>3222</v>
      </c>
      <c r="F89" s="3" t="s">
        <v>139</v>
      </c>
      <c r="G89" s="9">
        <v>766.25</v>
      </c>
      <c r="H89" s="10">
        <v>45667.374062499999</v>
      </c>
      <c r="I89" s="10">
        <v>45667.374062499999</v>
      </c>
      <c r="J89" s="10">
        <v>45667.376134259262</v>
      </c>
      <c r="K89" s="11">
        <v>2.0717592592592589E-3</v>
      </c>
      <c r="L89" s="13"/>
    </row>
    <row r="90" spans="1:12" x14ac:dyDescent="0.25">
      <c r="A90" s="3" t="s">
        <v>3221</v>
      </c>
      <c r="B90" s="3" t="s">
        <v>3343</v>
      </c>
      <c r="C90" s="3" t="s">
        <v>230</v>
      </c>
      <c r="D90" s="9">
        <v>259.7</v>
      </c>
      <c r="E90" s="3" t="s">
        <v>3222</v>
      </c>
      <c r="F90" s="3" t="s">
        <v>139</v>
      </c>
      <c r="G90" s="9">
        <v>766.25</v>
      </c>
      <c r="H90" s="10">
        <v>45667.429629629631</v>
      </c>
      <c r="I90" s="10">
        <v>45667.429629629631</v>
      </c>
      <c r="J90" s="10">
        <v>45667.431817129633</v>
      </c>
      <c r="K90" s="11">
        <v>2.1875000000000002E-3</v>
      </c>
      <c r="L90" s="13"/>
    </row>
    <row r="91" spans="1:12" x14ac:dyDescent="0.25">
      <c r="A91" s="3" t="s">
        <v>3221</v>
      </c>
      <c r="B91" s="3" t="s">
        <v>3344</v>
      </c>
      <c r="C91" s="3" t="s">
        <v>231</v>
      </c>
      <c r="D91" s="9">
        <v>95.3</v>
      </c>
      <c r="E91" s="3" t="s">
        <v>3222</v>
      </c>
      <c r="F91" s="3" t="s">
        <v>139</v>
      </c>
      <c r="G91" s="9">
        <v>766.25</v>
      </c>
      <c r="H91" s="10">
        <v>45667.544988425929</v>
      </c>
      <c r="I91" s="10">
        <v>45667.544988425929</v>
      </c>
      <c r="J91" s="10">
        <v>45667.546793981477</v>
      </c>
      <c r="K91" s="11">
        <v>1.805555555555555E-3</v>
      </c>
      <c r="L91" s="13"/>
    </row>
    <row r="92" spans="1:12" x14ac:dyDescent="0.25">
      <c r="A92" s="3" t="s">
        <v>3221</v>
      </c>
      <c r="B92" s="3" t="s">
        <v>3345</v>
      </c>
      <c r="C92" s="3" t="s">
        <v>232</v>
      </c>
      <c r="D92" s="9">
        <v>23.2</v>
      </c>
      <c r="E92" s="3" t="s">
        <v>3222</v>
      </c>
      <c r="F92" s="3" t="s">
        <v>164</v>
      </c>
      <c r="G92" s="9">
        <v>587.14</v>
      </c>
      <c r="H92" s="10">
        <v>45667.59134259259</v>
      </c>
      <c r="I92" s="10">
        <v>45667.59134259259</v>
      </c>
      <c r="J92" s="10">
        <v>45667.592615740738</v>
      </c>
      <c r="K92" s="11">
        <v>1.273148148148148E-3</v>
      </c>
      <c r="L92" s="13"/>
    </row>
    <row r="93" spans="1:12" x14ac:dyDescent="0.25">
      <c r="A93" s="3" t="s">
        <v>3221</v>
      </c>
      <c r="B93" s="3" t="s">
        <v>3346</v>
      </c>
      <c r="C93" s="3" t="s">
        <v>233</v>
      </c>
      <c r="D93" s="9">
        <v>393.5</v>
      </c>
      <c r="E93" s="3" t="s">
        <v>3222</v>
      </c>
      <c r="F93" s="3" t="s">
        <v>139</v>
      </c>
      <c r="G93" s="9">
        <v>766.25</v>
      </c>
      <c r="H93" s="10">
        <v>45667.617430555547</v>
      </c>
      <c r="I93" s="10">
        <v>45667.617430555547</v>
      </c>
      <c r="J93" s="10">
        <v>45667.619930555556</v>
      </c>
      <c r="K93" s="11">
        <v>2.5000000000000001E-3</v>
      </c>
      <c r="L93" s="13"/>
    </row>
    <row r="94" spans="1:12" x14ac:dyDescent="0.25">
      <c r="A94" s="3" t="s">
        <v>3221</v>
      </c>
      <c r="B94" s="3" t="s">
        <v>3347</v>
      </c>
      <c r="C94" s="3" t="s">
        <v>234</v>
      </c>
      <c r="D94" s="9">
        <v>302.10000000000002</v>
      </c>
      <c r="E94" s="3" t="s">
        <v>3222</v>
      </c>
      <c r="F94" s="3" t="s">
        <v>139</v>
      </c>
      <c r="G94" s="9">
        <v>766.25</v>
      </c>
      <c r="H94" s="10">
        <v>45667.728252314817</v>
      </c>
      <c r="I94" s="10">
        <v>45667.728252314817</v>
      </c>
      <c r="J94" s="10">
        <v>45667.730543981481</v>
      </c>
      <c r="K94" s="11">
        <v>2.2916666666666671E-3</v>
      </c>
      <c r="L94" s="13"/>
    </row>
    <row r="95" spans="1:12" x14ac:dyDescent="0.25">
      <c r="A95" s="3" t="s">
        <v>3221</v>
      </c>
      <c r="B95" s="3" t="s">
        <v>3348</v>
      </c>
      <c r="C95" s="3" t="s">
        <v>235</v>
      </c>
      <c r="D95" s="9">
        <v>577.6</v>
      </c>
      <c r="E95" s="3" t="s">
        <v>3222</v>
      </c>
      <c r="F95" s="3" t="s">
        <v>142</v>
      </c>
      <c r="G95" s="9">
        <v>556.20000000000005</v>
      </c>
      <c r="H95" s="10">
        <v>45667.735196759262</v>
      </c>
      <c r="I95" s="10">
        <v>45667.735196759262</v>
      </c>
      <c r="J95" s="10">
        <v>45667.737685185188</v>
      </c>
      <c r="K95" s="11">
        <v>2.488425925925926E-3</v>
      </c>
      <c r="L95" s="13"/>
    </row>
    <row r="96" spans="1:12" x14ac:dyDescent="0.25">
      <c r="A96" s="3" t="s">
        <v>3221</v>
      </c>
      <c r="B96" s="3" t="s">
        <v>3349</v>
      </c>
      <c r="C96" s="3" t="s">
        <v>236</v>
      </c>
      <c r="D96" s="9">
        <v>300.5</v>
      </c>
      <c r="E96" s="3" t="s">
        <v>3222</v>
      </c>
      <c r="F96" s="3" t="s">
        <v>139</v>
      </c>
      <c r="G96" s="9">
        <v>766.25</v>
      </c>
      <c r="H96" s="10">
        <v>45667.841099537043</v>
      </c>
      <c r="I96" s="10">
        <v>45667.841099537043</v>
      </c>
      <c r="J96" s="10">
        <v>45667.843391203707</v>
      </c>
      <c r="K96" s="11">
        <v>2.2916666666666671E-3</v>
      </c>
      <c r="L96" s="13"/>
    </row>
    <row r="97" spans="1:12" x14ac:dyDescent="0.25">
      <c r="A97" s="3" t="s">
        <v>3221</v>
      </c>
      <c r="B97" s="3" t="s">
        <v>3350</v>
      </c>
      <c r="C97" s="3" t="s">
        <v>237</v>
      </c>
      <c r="D97" s="9">
        <v>366.6</v>
      </c>
      <c r="E97" s="3" t="s">
        <v>3222</v>
      </c>
      <c r="F97" s="3" t="s">
        <v>139</v>
      </c>
      <c r="G97" s="9">
        <v>766.25</v>
      </c>
      <c r="H97" s="10">
        <v>45668.206817129627</v>
      </c>
      <c r="I97" s="10">
        <v>45668.206817129627</v>
      </c>
      <c r="J97" s="10">
        <v>45668.20925925926</v>
      </c>
      <c r="K97" s="11">
        <v>2.44212962962963E-3</v>
      </c>
      <c r="L97" s="13"/>
    </row>
    <row r="98" spans="1:12" x14ac:dyDescent="0.25">
      <c r="A98" s="3" t="s">
        <v>3221</v>
      </c>
      <c r="B98" s="3" t="s">
        <v>3351</v>
      </c>
      <c r="C98" s="3" t="s">
        <v>238</v>
      </c>
      <c r="D98" s="9">
        <v>382.7</v>
      </c>
      <c r="E98" s="3" t="s">
        <v>3222</v>
      </c>
      <c r="F98" s="3" t="s">
        <v>139</v>
      </c>
      <c r="G98" s="9">
        <v>766.25</v>
      </c>
      <c r="H98" s="10">
        <v>45668.228726851848</v>
      </c>
      <c r="I98" s="10">
        <v>45668.228726851848</v>
      </c>
      <c r="J98" s="10">
        <v>45668.231203703697</v>
      </c>
      <c r="K98" s="11">
        <v>2.476851851851852E-3</v>
      </c>
      <c r="L98" s="13"/>
    </row>
    <row r="99" spans="1:12" x14ac:dyDescent="0.25">
      <c r="A99" s="3" t="s">
        <v>3221</v>
      </c>
      <c r="B99" s="3" t="s">
        <v>3352</v>
      </c>
      <c r="C99" s="3" t="s">
        <v>239</v>
      </c>
      <c r="D99" s="9">
        <v>554.1</v>
      </c>
      <c r="E99" s="3" t="s">
        <v>3222</v>
      </c>
      <c r="F99" s="3" t="s">
        <v>142</v>
      </c>
      <c r="G99" s="9">
        <v>556.20000000000005</v>
      </c>
      <c r="H99" s="10">
        <v>45669.737129629633</v>
      </c>
      <c r="I99" s="10">
        <v>45669.737129629633</v>
      </c>
      <c r="J99" s="10">
        <v>45669.739560185182</v>
      </c>
      <c r="K99" s="11">
        <v>2.430555555555556E-3</v>
      </c>
      <c r="L99" s="13"/>
    </row>
    <row r="100" spans="1:12" x14ac:dyDescent="0.25">
      <c r="A100" s="3" t="s">
        <v>3221</v>
      </c>
      <c r="B100" s="3" t="s">
        <v>3353</v>
      </c>
      <c r="C100" s="3" t="s">
        <v>240</v>
      </c>
      <c r="D100" s="9">
        <v>208.1</v>
      </c>
      <c r="E100" s="3" t="s">
        <v>3222</v>
      </c>
      <c r="F100" s="3" t="s">
        <v>139</v>
      </c>
      <c r="G100" s="9">
        <v>766.25</v>
      </c>
      <c r="H100" s="10">
        <v>45669.834988425922</v>
      </c>
      <c r="I100" s="10">
        <v>45669.834988425922</v>
      </c>
      <c r="J100" s="10">
        <v>45669.837060185193</v>
      </c>
      <c r="K100" s="11">
        <v>2.0717592592592589E-3</v>
      </c>
      <c r="L100" s="13"/>
    </row>
    <row r="101" spans="1:12" x14ac:dyDescent="0.25">
      <c r="A101" s="3" t="s">
        <v>3221</v>
      </c>
      <c r="B101" s="3" t="s">
        <v>3354</v>
      </c>
      <c r="C101" s="3" t="s">
        <v>241</v>
      </c>
      <c r="D101" s="9">
        <v>181.5</v>
      </c>
      <c r="E101" s="3" t="s">
        <v>3222</v>
      </c>
      <c r="F101" s="3" t="s">
        <v>139</v>
      </c>
      <c r="G101" s="9">
        <v>766.25</v>
      </c>
      <c r="H101" s="10">
        <v>45670.103425925918</v>
      </c>
      <c r="I101" s="10">
        <v>45670.103425925918</v>
      </c>
      <c r="J101" s="10">
        <v>45670.105439814812</v>
      </c>
      <c r="K101" s="11">
        <v>2.0138888888888888E-3</v>
      </c>
      <c r="L101" s="13"/>
    </row>
    <row r="102" spans="1:12" x14ac:dyDescent="0.25">
      <c r="A102" s="3" t="s">
        <v>3221</v>
      </c>
      <c r="B102" s="3" t="s">
        <v>3355</v>
      </c>
      <c r="C102" s="3" t="s">
        <v>242</v>
      </c>
      <c r="D102" s="9">
        <v>301.2</v>
      </c>
      <c r="E102" s="3" t="s">
        <v>3222</v>
      </c>
      <c r="F102" s="3" t="s">
        <v>139</v>
      </c>
      <c r="G102" s="9">
        <v>766.25</v>
      </c>
      <c r="H102" s="10">
        <v>45670.18650462963</v>
      </c>
      <c r="I102" s="10">
        <v>45670.18650462963</v>
      </c>
      <c r="J102" s="10">
        <v>45670.188796296286</v>
      </c>
      <c r="K102" s="11">
        <v>2.2916666666666671E-3</v>
      </c>
      <c r="L102" s="13"/>
    </row>
    <row r="103" spans="1:12" x14ac:dyDescent="0.25">
      <c r="A103" s="3" t="s">
        <v>3221</v>
      </c>
      <c r="B103" s="3" t="s">
        <v>3356</v>
      </c>
      <c r="C103" s="3" t="s">
        <v>243</v>
      </c>
      <c r="D103" s="9">
        <v>298</v>
      </c>
      <c r="E103" s="3" t="s">
        <v>3222</v>
      </c>
      <c r="F103" s="3" t="s">
        <v>139</v>
      </c>
      <c r="G103" s="9">
        <v>766.25</v>
      </c>
      <c r="H103" s="10">
        <v>45670.25335648148</v>
      </c>
      <c r="I103" s="10">
        <v>45670.25335648148</v>
      </c>
      <c r="J103" s="10">
        <v>45670.255636574067</v>
      </c>
      <c r="K103" s="11">
        <v>2.2800925925925931E-3</v>
      </c>
      <c r="L103" s="13"/>
    </row>
    <row r="104" spans="1:12" x14ac:dyDescent="0.25">
      <c r="A104" s="3" t="s">
        <v>3221</v>
      </c>
      <c r="B104" s="3" t="s">
        <v>3357</v>
      </c>
      <c r="C104" s="3" t="s">
        <v>244</v>
      </c>
      <c r="D104" s="9">
        <v>205.5</v>
      </c>
      <c r="E104" s="3" t="s">
        <v>3222</v>
      </c>
      <c r="F104" s="3" t="s">
        <v>139</v>
      </c>
      <c r="G104" s="9">
        <v>766.25</v>
      </c>
      <c r="H104" s="10">
        <v>45670.293182870373</v>
      </c>
      <c r="I104" s="10">
        <v>45670.293182870373</v>
      </c>
      <c r="J104" s="10">
        <v>45670.295254629629</v>
      </c>
      <c r="K104" s="11">
        <v>2.0717592592592589E-3</v>
      </c>
      <c r="L104" s="13"/>
    </row>
    <row r="105" spans="1:12" x14ac:dyDescent="0.25">
      <c r="A105" s="3" t="s">
        <v>3221</v>
      </c>
      <c r="B105" s="3" t="s">
        <v>3358</v>
      </c>
      <c r="C105" s="3" t="s">
        <v>245</v>
      </c>
      <c r="D105" s="9">
        <v>397.3</v>
      </c>
      <c r="E105" s="3" t="s">
        <v>3222</v>
      </c>
      <c r="F105" s="3" t="s">
        <v>142</v>
      </c>
      <c r="G105" s="9">
        <v>556.20000000000005</v>
      </c>
      <c r="H105" s="10">
        <v>45670.302118055559</v>
      </c>
      <c r="I105" s="10">
        <v>45670.302118055559</v>
      </c>
      <c r="J105" s="10">
        <v>45670.304189814808</v>
      </c>
      <c r="K105" s="11">
        <v>2.0717592592592589E-3</v>
      </c>
      <c r="L105" s="13"/>
    </row>
    <row r="106" spans="1:12" x14ac:dyDescent="0.25">
      <c r="A106" s="3" t="s">
        <v>3221</v>
      </c>
      <c r="B106" s="3" t="s">
        <v>3359</v>
      </c>
      <c r="C106" s="3" t="s">
        <v>246</v>
      </c>
      <c r="D106" s="9">
        <v>497.3</v>
      </c>
      <c r="E106" s="3" t="s">
        <v>3222</v>
      </c>
      <c r="F106" s="3" t="s">
        <v>139</v>
      </c>
      <c r="G106" s="9">
        <v>766.25</v>
      </c>
      <c r="H106" s="10">
        <v>45670.304513888892</v>
      </c>
      <c r="I106" s="10">
        <v>45670.304513888892</v>
      </c>
      <c r="J106" s="10">
        <v>45670.307256944441</v>
      </c>
      <c r="K106" s="11">
        <v>2.743055555555555E-3</v>
      </c>
      <c r="L106" s="13"/>
    </row>
    <row r="107" spans="1:12" x14ac:dyDescent="0.25">
      <c r="A107" s="3" t="s">
        <v>3221</v>
      </c>
      <c r="B107" s="3" t="s">
        <v>3360</v>
      </c>
      <c r="C107" s="3" t="s">
        <v>247</v>
      </c>
      <c r="D107" s="9">
        <v>393.8</v>
      </c>
      <c r="E107" s="3" t="s">
        <v>3222</v>
      </c>
      <c r="F107" s="3" t="s">
        <v>139</v>
      </c>
      <c r="G107" s="9">
        <v>766.25</v>
      </c>
      <c r="H107" s="10">
        <v>45670.375069444453</v>
      </c>
      <c r="I107" s="10">
        <v>45670.375069444453</v>
      </c>
      <c r="J107" s="10">
        <v>45670.377569444441</v>
      </c>
      <c r="K107" s="11">
        <v>2.5000000000000001E-3</v>
      </c>
      <c r="L107" s="13"/>
    </row>
    <row r="108" spans="1:12" x14ac:dyDescent="0.25">
      <c r="A108" s="3" t="s">
        <v>3221</v>
      </c>
      <c r="B108" s="3" t="s">
        <v>3361</v>
      </c>
      <c r="C108" s="3" t="s">
        <v>248</v>
      </c>
      <c r="D108" s="9">
        <v>445.3</v>
      </c>
      <c r="E108" s="3" t="s">
        <v>3222</v>
      </c>
      <c r="F108" s="3" t="s">
        <v>142</v>
      </c>
      <c r="G108" s="9">
        <v>556.20000000000005</v>
      </c>
      <c r="H108" s="10">
        <v>45670.37604166667</v>
      </c>
      <c r="I108" s="10">
        <v>45670.37604166667</v>
      </c>
      <c r="J108" s="10">
        <v>45670.378229166658</v>
      </c>
      <c r="K108" s="11">
        <v>2.1875000000000002E-3</v>
      </c>
      <c r="L108" s="13"/>
    </row>
    <row r="109" spans="1:12" x14ac:dyDescent="0.25">
      <c r="A109" s="3" t="s">
        <v>3221</v>
      </c>
      <c r="B109" s="3" t="s">
        <v>3362</v>
      </c>
      <c r="C109" s="3" t="s">
        <v>249</v>
      </c>
      <c r="D109" s="9">
        <v>407.9</v>
      </c>
      <c r="E109" s="3" t="s">
        <v>3222</v>
      </c>
      <c r="F109" s="3" t="s">
        <v>139</v>
      </c>
      <c r="G109" s="9">
        <v>766.25</v>
      </c>
      <c r="H109" s="10">
        <v>45670.419004629628</v>
      </c>
      <c r="I109" s="10">
        <v>45670.419004629628</v>
      </c>
      <c r="J109" s="10">
        <v>45670.421539351853</v>
      </c>
      <c r="K109" s="11">
        <v>2.5347222222222221E-3</v>
      </c>
      <c r="L109" s="13"/>
    </row>
    <row r="110" spans="1:12" x14ac:dyDescent="0.25">
      <c r="A110" s="3" t="s">
        <v>3221</v>
      </c>
      <c r="B110" s="3" t="s">
        <v>3363</v>
      </c>
      <c r="C110" s="3" t="s">
        <v>250</v>
      </c>
      <c r="D110" s="9">
        <v>234.9</v>
      </c>
      <c r="E110" s="3" t="s">
        <v>3222</v>
      </c>
      <c r="F110" s="3" t="s">
        <v>139</v>
      </c>
      <c r="G110" s="9">
        <v>766.25</v>
      </c>
      <c r="H110" s="10">
        <v>45670.51152777778</v>
      </c>
      <c r="I110" s="10">
        <v>45670.51152777778</v>
      </c>
      <c r="J110" s="10">
        <v>45670.513657407413</v>
      </c>
      <c r="K110" s="11">
        <v>2.1296296296296302E-3</v>
      </c>
      <c r="L110" s="13"/>
    </row>
    <row r="111" spans="1:12" x14ac:dyDescent="0.25">
      <c r="A111" s="3" t="s">
        <v>3221</v>
      </c>
      <c r="B111" s="3" t="s">
        <v>3364</v>
      </c>
      <c r="C111" s="3" t="s">
        <v>251</v>
      </c>
      <c r="D111" s="9">
        <v>388.3</v>
      </c>
      <c r="E111" s="3" t="s">
        <v>3222</v>
      </c>
      <c r="F111" s="3" t="s">
        <v>139</v>
      </c>
      <c r="G111" s="9">
        <v>766.25</v>
      </c>
      <c r="H111" s="10">
        <v>45670.602002314823</v>
      </c>
      <c r="I111" s="10">
        <v>45670.602002314823</v>
      </c>
      <c r="J111" s="10">
        <v>45670.604490740741</v>
      </c>
      <c r="K111" s="11">
        <v>2.488425925925926E-3</v>
      </c>
      <c r="L111" s="13"/>
    </row>
    <row r="112" spans="1:12" x14ac:dyDescent="0.25">
      <c r="A112" s="3" t="s">
        <v>3221</v>
      </c>
      <c r="B112" s="3" t="s">
        <v>3365</v>
      </c>
      <c r="C112" s="3" t="s">
        <v>252</v>
      </c>
      <c r="D112" s="9">
        <v>367.5</v>
      </c>
      <c r="E112" s="3" t="s">
        <v>3222</v>
      </c>
      <c r="F112" s="3" t="s">
        <v>139</v>
      </c>
      <c r="G112" s="9">
        <v>766.25</v>
      </c>
      <c r="H112" s="10">
        <v>45670.615451388891</v>
      </c>
      <c r="I112" s="10">
        <v>45670.615451388891</v>
      </c>
      <c r="J112" s="10">
        <v>45670.617893518523</v>
      </c>
      <c r="K112" s="11">
        <v>2.44212962962963E-3</v>
      </c>
      <c r="L112" s="13"/>
    </row>
    <row r="113" spans="1:12" x14ac:dyDescent="0.25">
      <c r="A113" s="3" t="s">
        <v>3221</v>
      </c>
      <c r="B113" s="3" t="s">
        <v>3366</v>
      </c>
      <c r="C113" s="3" t="s">
        <v>253</v>
      </c>
      <c r="D113" s="9">
        <v>393.5</v>
      </c>
      <c r="E113" s="3" t="s">
        <v>3222</v>
      </c>
      <c r="F113" s="3" t="s">
        <v>142</v>
      </c>
      <c r="G113" s="9">
        <v>556.20000000000005</v>
      </c>
      <c r="H113" s="10">
        <v>45670.639421296299</v>
      </c>
      <c r="I113" s="10">
        <v>45670.639421296299</v>
      </c>
      <c r="J113" s="10">
        <v>45670.641481481478</v>
      </c>
      <c r="K113" s="11">
        <v>2.0601851851851849E-3</v>
      </c>
      <c r="L113" s="13"/>
    </row>
    <row r="114" spans="1:12" x14ac:dyDescent="0.25">
      <c r="A114" s="3" t="s">
        <v>3221</v>
      </c>
      <c r="B114" s="3" t="s">
        <v>3367</v>
      </c>
      <c r="C114" s="3" t="s">
        <v>254</v>
      </c>
      <c r="D114" s="9">
        <v>387.6</v>
      </c>
      <c r="E114" s="3" t="s">
        <v>3222</v>
      </c>
      <c r="F114" s="3" t="s">
        <v>139</v>
      </c>
      <c r="G114" s="9">
        <v>766.25</v>
      </c>
      <c r="H114" s="10">
        <v>45670.667164351849</v>
      </c>
      <c r="I114" s="10">
        <v>45670.667164351849</v>
      </c>
      <c r="J114" s="10">
        <v>45670.669652777768</v>
      </c>
      <c r="K114" s="11">
        <v>2.488425925925926E-3</v>
      </c>
      <c r="L114" s="13"/>
    </row>
    <row r="115" spans="1:12" x14ac:dyDescent="0.25">
      <c r="A115" s="3" t="s">
        <v>3221</v>
      </c>
      <c r="B115" s="3" t="s">
        <v>3368</v>
      </c>
      <c r="C115" s="3" t="s">
        <v>255</v>
      </c>
      <c r="D115" s="9">
        <v>185.9</v>
      </c>
      <c r="E115" s="3" t="s">
        <v>3222</v>
      </c>
      <c r="F115" s="3" t="s">
        <v>139</v>
      </c>
      <c r="G115" s="9">
        <v>766.25</v>
      </c>
      <c r="H115" s="10">
        <v>45670.726840277777</v>
      </c>
      <c r="I115" s="10">
        <v>45670.726840277777</v>
      </c>
      <c r="J115" s="10">
        <v>45670.728865740741</v>
      </c>
      <c r="K115" s="11">
        <v>2.0254629629629629E-3</v>
      </c>
      <c r="L115" s="13"/>
    </row>
    <row r="116" spans="1:12" x14ac:dyDescent="0.25">
      <c r="A116" s="3" t="s">
        <v>3221</v>
      </c>
      <c r="B116" s="3" t="s">
        <v>3369</v>
      </c>
      <c r="C116" s="3" t="s">
        <v>256</v>
      </c>
      <c r="D116" s="9">
        <v>389.1</v>
      </c>
      <c r="E116" s="3" t="s">
        <v>3222</v>
      </c>
      <c r="F116" s="3" t="s">
        <v>139</v>
      </c>
      <c r="G116" s="9">
        <v>766.25</v>
      </c>
      <c r="H116" s="10">
        <v>45670.877766203703</v>
      </c>
      <c r="I116" s="10">
        <v>45670.877766203703</v>
      </c>
      <c r="J116" s="10">
        <v>45670.880254629628</v>
      </c>
      <c r="K116" s="11">
        <v>2.488425925925926E-3</v>
      </c>
      <c r="L116" s="13"/>
    </row>
    <row r="117" spans="1:12" x14ac:dyDescent="0.25">
      <c r="A117" s="3" t="s">
        <v>3221</v>
      </c>
      <c r="B117" s="3" t="s">
        <v>3370</v>
      </c>
      <c r="C117" s="3" t="s">
        <v>257</v>
      </c>
      <c r="D117" s="9">
        <v>147.4</v>
      </c>
      <c r="E117" s="3" t="s">
        <v>3222</v>
      </c>
      <c r="F117" s="3" t="s">
        <v>139</v>
      </c>
      <c r="G117" s="9">
        <v>766.25</v>
      </c>
      <c r="H117" s="10">
        <v>45671.102476851847</v>
      </c>
      <c r="I117" s="10">
        <v>45671.102476851847</v>
      </c>
      <c r="J117" s="10">
        <v>45671.104409722233</v>
      </c>
      <c r="K117" s="11">
        <v>1.93287037037037E-3</v>
      </c>
      <c r="L117" s="13"/>
    </row>
    <row r="118" spans="1:12" x14ac:dyDescent="0.25">
      <c r="A118" s="3" t="s">
        <v>3221</v>
      </c>
      <c r="B118" s="3" t="s">
        <v>3371</v>
      </c>
      <c r="C118" s="3" t="s">
        <v>258</v>
      </c>
      <c r="D118" s="9">
        <v>297</v>
      </c>
      <c r="E118" s="3" t="s">
        <v>3222</v>
      </c>
      <c r="F118" s="3" t="s">
        <v>139</v>
      </c>
      <c r="G118" s="9">
        <v>766.25</v>
      </c>
      <c r="H118" s="10">
        <v>45671.270497685182</v>
      </c>
      <c r="I118" s="10">
        <v>45671.270497685182</v>
      </c>
      <c r="J118" s="10">
        <v>45671.272777777784</v>
      </c>
      <c r="K118" s="11">
        <v>2.2800925925925931E-3</v>
      </c>
      <c r="L118" s="13"/>
    </row>
    <row r="119" spans="1:12" x14ac:dyDescent="0.25">
      <c r="A119" s="3" t="s">
        <v>3221</v>
      </c>
      <c r="B119" s="3" t="s">
        <v>3372</v>
      </c>
      <c r="C119" s="3" t="s">
        <v>259</v>
      </c>
      <c r="D119" s="9">
        <v>363.8</v>
      </c>
      <c r="E119" s="3" t="s">
        <v>3222</v>
      </c>
      <c r="F119" s="3" t="s">
        <v>142</v>
      </c>
      <c r="G119" s="9">
        <v>556.20000000000005</v>
      </c>
      <c r="H119" s="10">
        <v>45671.276365740741</v>
      </c>
      <c r="I119" s="10">
        <v>45671.276365740741</v>
      </c>
      <c r="J119" s="10">
        <v>45671.278356481482</v>
      </c>
      <c r="K119" s="11">
        <v>1.9907407407407408E-3</v>
      </c>
      <c r="L119" s="13"/>
    </row>
    <row r="120" spans="1:12" x14ac:dyDescent="0.25">
      <c r="A120" s="3" t="s">
        <v>3221</v>
      </c>
      <c r="B120" s="3" t="s">
        <v>3373</v>
      </c>
      <c r="C120" s="3" t="s">
        <v>260</v>
      </c>
      <c r="D120" s="9">
        <v>213.8</v>
      </c>
      <c r="E120" s="3" t="s">
        <v>3222</v>
      </c>
      <c r="F120" s="3" t="s">
        <v>139</v>
      </c>
      <c r="G120" s="9">
        <v>766.25</v>
      </c>
      <c r="H120" s="10">
        <v>45671.305347222216</v>
      </c>
      <c r="I120" s="10">
        <v>45671.305347222216</v>
      </c>
      <c r="J120" s="10">
        <v>45671.307430555556</v>
      </c>
      <c r="K120" s="11">
        <v>2.0833333333333329E-3</v>
      </c>
      <c r="L120" s="13"/>
    </row>
    <row r="121" spans="1:12" x14ac:dyDescent="0.25">
      <c r="A121" s="3" t="s">
        <v>3221</v>
      </c>
      <c r="B121" s="3" t="s">
        <v>3374</v>
      </c>
      <c r="C121" s="3" t="s">
        <v>261</v>
      </c>
      <c r="D121" s="9">
        <v>389.8</v>
      </c>
      <c r="E121" s="3" t="s">
        <v>3222</v>
      </c>
      <c r="F121" s="3" t="s">
        <v>139</v>
      </c>
      <c r="G121" s="9">
        <v>766.25</v>
      </c>
      <c r="H121" s="10">
        <v>45671.333680555559</v>
      </c>
      <c r="I121" s="10">
        <v>45671.333680555559</v>
      </c>
      <c r="J121" s="10">
        <v>45671.336168981477</v>
      </c>
      <c r="K121" s="11">
        <v>2.488425925925926E-3</v>
      </c>
      <c r="L121" s="13"/>
    </row>
    <row r="122" spans="1:12" x14ac:dyDescent="0.25">
      <c r="A122" s="3" t="s">
        <v>3221</v>
      </c>
      <c r="B122" s="3" t="s">
        <v>3375</v>
      </c>
      <c r="C122" s="3" t="s">
        <v>262</v>
      </c>
      <c r="D122" s="9">
        <v>591.6</v>
      </c>
      <c r="E122" s="3" t="s">
        <v>3222</v>
      </c>
      <c r="F122" s="3" t="s">
        <v>142</v>
      </c>
      <c r="G122" s="9">
        <v>556.20000000000005</v>
      </c>
      <c r="H122" s="10">
        <v>45671.375034722223</v>
      </c>
      <c r="I122" s="10">
        <v>45671.375034722223</v>
      </c>
      <c r="J122" s="10">
        <v>45671.377557870372</v>
      </c>
      <c r="K122" s="11">
        <v>2.5231481481481481E-3</v>
      </c>
      <c r="L122" s="13"/>
    </row>
    <row r="123" spans="1:12" x14ac:dyDescent="0.25">
      <c r="A123" s="3" t="s">
        <v>3221</v>
      </c>
      <c r="B123" s="3" t="s">
        <v>3376</v>
      </c>
      <c r="C123" s="3" t="s">
        <v>263</v>
      </c>
      <c r="D123" s="9">
        <v>393.9</v>
      </c>
      <c r="E123" s="3" t="s">
        <v>3222</v>
      </c>
      <c r="F123" s="3" t="s">
        <v>139</v>
      </c>
      <c r="G123" s="9">
        <v>766.25</v>
      </c>
      <c r="H123" s="10">
        <v>45671.378171296303</v>
      </c>
      <c r="I123" s="10">
        <v>45671.378171296303</v>
      </c>
      <c r="J123" s="10">
        <v>45671.380671296298</v>
      </c>
      <c r="K123" s="11">
        <v>2.5000000000000001E-3</v>
      </c>
      <c r="L123" s="13"/>
    </row>
    <row r="124" spans="1:12" x14ac:dyDescent="0.25">
      <c r="A124" s="3" t="s">
        <v>3221</v>
      </c>
      <c r="B124" s="3" t="s">
        <v>3377</v>
      </c>
      <c r="C124" s="3" t="s">
        <v>264</v>
      </c>
      <c r="D124" s="9">
        <v>439.7</v>
      </c>
      <c r="E124" s="3" t="s">
        <v>3222</v>
      </c>
      <c r="F124" s="3" t="s">
        <v>139</v>
      </c>
      <c r="G124" s="9">
        <v>766.25</v>
      </c>
      <c r="H124" s="10">
        <v>45671.409247685187</v>
      </c>
      <c r="I124" s="10">
        <v>45671.409247685187</v>
      </c>
      <c r="J124" s="10">
        <v>45671.411851851852</v>
      </c>
      <c r="K124" s="11">
        <v>2.604166666666667E-3</v>
      </c>
      <c r="L124" s="13"/>
    </row>
    <row r="125" spans="1:12" x14ac:dyDescent="0.25">
      <c r="A125" s="3" t="s">
        <v>3221</v>
      </c>
      <c r="B125" s="3" t="s">
        <v>3378</v>
      </c>
      <c r="C125" s="3" t="s">
        <v>265</v>
      </c>
      <c r="D125" s="9">
        <v>297.8</v>
      </c>
      <c r="E125" s="3" t="s">
        <v>3222</v>
      </c>
      <c r="F125" s="3" t="s">
        <v>139</v>
      </c>
      <c r="G125" s="9">
        <v>766.25</v>
      </c>
      <c r="H125" s="10">
        <v>45671.535405092603</v>
      </c>
      <c r="I125" s="10">
        <v>45671.535405092603</v>
      </c>
      <c r="J125" s="10">
        <v>45671.537685185183</v>
      </c>
      <c r="K125" s="11">
        <v>2.2800925925925931E-3</v>
      </c>
      <c r="L125" s="13"/>
    </row>
    <row r="126" spans="1:12" x14ac:dyDescent="0.25">
      <c r="A126" s="3" t="s">
        <v>3221</v>
      </c>
      <c r="B126" s="3" t="s">
        <v>3379</v>
      </c>
      <c r="C126" s="3" t="s">
        <v>266</v>
      </c>
      <c r="D126" s="9">
        <v>225.6</v>
      </c>
      <c r="E126" s="3" t="s">
        <v>3222</v>
      </c>
      <c r="F126" s="3" t="s">
        <v>139</v>
      </c>
      <c r="G126" s="9">
        <v>766.25</v>
      </c>
      <c r="H126" s="10">
        <v>45671.599606481483</v>
      </c>
      <c r="I126" s="10">
        <v>45671.599606481483</v>
      </c>
      <c r="J126" s="10">
        <v>45671.601724537039</v>
      </c>
      <c r="K126" s="11">
        <v>2.1180555555555562E-3</v>
      </c>
      <c r="L126" s="13"/>
    </row>
    <row r="127" spans="1:12" x14ac:dyDescent="0.25">
      <c r="A127" s="3" t="s">
        <v>3221</v>
      </c>
      <c r="B127" s="3" t="s">
        <v>3380</v>
      </c>
      <c r="C127" s="3" t="s">
        <v>267</v>
      </c>
      <c r="D127" s="9">
        <v>584.6</v>
      </c>
      <c r="E127" s="3" t="s">
        <v>3222</v>
      </c>
      <c r="F127" s="3" t="s">
        <v>142</v>
      </c>
      <c r="G127" s="9">
        <v>556.20000000000005</v>
      </c>
      <c r="H127" s="10">
        <v>45671.619780092587</v>
      </c>
      <c r="I127" s="10">
        <v>45671.619780092587</v>
      </c>
      <c r="J127" s="10">
        <v>45671.622291666667</v>
      </c>
      <c r="K127" s="11">
        <v>2.5115740740740741E-3</v>
      </c>
      <c r="L127" s="13"/>
    </row>
    <row r="128" spans="1:12" x14ac:dyDescent="0.25">
      <c r="A128" s="3" t="s">
        <v>3221</v>
      </c>
      <c r="B128" s="3" t="s">
        <v>3381</v>
      </c>
      <c r="C128" s="3" t="s">
        <v>268</v>
      </c>
      <c r="D128" s="9">
        <v>173.1</v>
      </c>
      <c r="E128" s="3" t="s">
        <v>3222</v>
      </c>
      <c r="F128" s="3" t="s">
        <v>139</v>
      </c>
      <c r="G128" s="9">
        <v>766.25</v>
      </c>
      <c r="H128" s="10">
        <v>45671.644016203703</v>
      </c>
      <c r="I128" s="10">
        <v>45671.644016203703</v>
      </c>
      <c r="J128" s="10">
        <v>45671.646006944437</v>
      </c>
      <c r="K128" s="11">
        <v>1.9907407407407408E-3</v>
      </c>
      <c r="L128" s="13"/>
    </row>
    <row r="129" spans="1:12" x14ac:dyDescent="0.25">
      <c r="A129" s="3" t="s">
        <v>3221</v>
      </c>
      <c r="B129" s="3" t="s">
        <v>3382</v>
      </c>
      <c r="C129" s="3" t="s">
        <v>269</v>
      </c>
      <c r="D129" s="9">
        <v>40.9</v>
      </c>
      <c r="E129" s="3" t="s">
        <v>3222</v>
      </c>
      <c r="F129" s="3" t="s">
        <v>164</v>
      </c>
      <c r="G129" s="9">
        <v>587.14</v>
      </c>
      <c r="H129" s="10">
        <v>45671.65216435185</v>
      </c>
      <c r="I129" s="10">
        <v>45671.65216435185</v>
      </c>
      <c r="J129" s="10">
        <v>45671.65347222222</v>
      </c>
      <c r="K129" s="11">
        <v>1.30787037037037E-3</v>
      </c>
      <c r="L129" s="13"/>
    </row>
    <row r="130" spans="1:12" x14ac:dyDescent="0.25">
      <c r="A130" s="3" t="s">
        <v>3221</v>
      </c>
      <c r="B130" s="3" t="s">
        <v>3383</v>
      </c>
      <c r="C130" s="3" t="s">
        <v>270</v>
      </c>
      <c r="D130" s="9">
        <v>490.1</v>
      </c>
      <c r="E130" s="3" t="s">
        <v>3222</v>
      </c>
      <c r="F130" s="3" t="s">
        <v>139</v>
      </c>
      <c r="G130" s="9">
        <v>766.25</v>
      </c>
      <c r="H130" s="10">
        <v>45671.730023148149</v>
      </c>
      <c r="I130" s="10">
        <v>45671.730023148149</v>
      </c>
      <c r="J130" s="10">
        <v>45671.732743055552</v>
      </c>
      <c r="K130" s="11">
        <v>2.719907407407407E-3</v>
      </c>
      <c r="L130" s="13"/>
    </row>
    <row r="131" spans="1:12" x14ac:dyDescent="0.25">
      <c r="A131" s="3" t="s">
        <v>3221</v>
      </c>
      <c r="B131" s="3" t="s">
        <v>3384</v>
      </c>
      <c r="C131" s="3" t="s">
        <v>271</v>
      </c>
      <c r="D131" s="9">
        <v>63</v>
      </c>
      <c r="E131" s="3" t="s">
        <v>3222</v>
      </c>
      <c r="F131" s="3" t="s">
        <v>164</v>
      </c>
      <c r="G131" s="9">
        <v>587.14</v>
      </c>
      <c r="H131" s="10">
        <v>45671.74459490741</v>
      </c>
      <c r="I131" s="10">
        <v>45671.74459490741</v>
      </c>
      <c r="J131" s="10">
        <v>45671.74596064815</v>
      </c>
      <c r="K131" s="11">
        <v>1.3657407407407409E-3</v>
      </c>
      <c r="L131" s="13"/>
    </row>
    <row r="132" spans="1:12" x14ac:dyDescent="0.25">
      <c r="A132" s="3" t="s">
        <v>3221</v>
      </c>
      <c r="B132" s="3" t="s">
        <v>3385</v>
      </c>
      <c r="C132" s="3" t="s">
        <v>272</v>
      </c>
      <c r="D132" s="9">
        <v>15.7</v>
      </c>
      <c r="E132" s="3" t="s">
        <v>3222</v>
      </c>
      <c r="F132" s="3" t="s">
        <v>164</v>
      </c>
      <c r="G132" s="9">
        <v>587.14</v>
      </c>
      <c r="H132" s="10">
        <v>45671.82476851852</v>
      </c>
      <c r="I132" s="10">
        <v>45671.82476851852</v>
      </c>
      <c r="J132" s="10">
        <v>45671.826018518521</v>
      </c>
      <c r="K132" s="11">
        <v>1.25E-3</v>
      </c>
      <c r="L132" s="13"/>
    </row>
    <row r="133" spans="1:12" x14ac:dyDescent="0.25">
      <c r="A133" s="3" t="s">
        <v>3221</v>
      </c>
      <c r="B133" s="3" t="s">
        <v>3386</v>
      </c>
      <c r="C133" s="3" t="s">
        <v>273</v>
      </c>
      <c r="D133" s="9">
        <v>313.2</v>
      </c>
      <c r="E133" s="3" t="s">
        <v>3222</v>
      </c>
      <c r="F133" s="3" t="s">
        <v>139</v>
      </c>
      <c r="G133" s="9">
        <v>766.25</v>
      </c>
      <c r="H133" s="10">
        <v>45672.09983796296</v>
      </c>
      <c r="I133" s="10">
        <v>45672.09983796296</v>
      </c>
      <c r="J133" s="10">
        <v>45672.102152777778</v>
      </c>
      <c r="K133" s="11">
        <v>2.3148148148148151E-3</v>
      </c>
      <c r="L133" s="13"/>
    </row>
    <row r="134" spans="1:12" x14ac:dyDescent="0.25">
      <c r="A134" s="3" t="s">
        <v>3221</v>
      </c>
      <c r="B134" s="3" t="s">
        <v>3387</v>
      </c>
      <c r="C134" s="3" t="s">
        <v>274</v>
      </c>
      <c r="D134" s="9">
        <v>521.9</v>
      </c>
      <c r="E134" s="3" t="s">
        <v>3222</v>
      </c>
      <c r="F134" s="3" t="s">
        <v>139</v>
      </c>
      <c r="G134" s="9">
        <v>766.25</v>
      </c>
      <c r="H134" s="10">
        <v>45672.191122685188</v>
      </c>
      <c r="I134" s="10">
        <v>45672.191122685188</v>
      </c>
      <c r="J134" s="10">
        <v>45672.193923611107</v>
      </c>
      <c r="K134" s="11">
        <v>2.8009259259259259E-3</v>
      </c>
      <c r="L134" s="13"/>
    </row>
    <row r="135" spans="1:12" x14ac:dyDescent="0.25">
      <c r="A135" s="3" t="s">
        <v>3221</v>
      </c>
      <c r="B135" s="3" t="s">
        <v>3388</v>
      </c>
      <c r="C135" s="3" t="s">
        <v>275</v>
      </c>
      <c r="D135" s="9">
        <v>298</v>
      </c>
      <c r="E135" s="3" t="s">
        <v>3222</v>
      </c>
      <c r="F135" s="3" t="s">
        <v>139</v>
      </c>
      <c r="G135" s="9">
        <v>766.25</v>
      </c>
      <c r="H135" s="10">
        <v>45672.269918981481</v>
      </c>
      <c r="I135" s="10">
        <v>45672.269918981481</v>
      </c>
      <c r="J135" s="10">
        <v>45672.272199074083</v>
      </c>
      <c r="K135" s="11">
        <v>2.2800925925925931E-3</v>
      </c>
      <c r="L135" s="13"/>
    </row>
    <row r="136" spans="1:12" x14ac:dyDescent="0.25">
      <c r="A136" s="3" t="s">
        <v>3221</v>
      </c>
      <c r="B136" s="3" t="s">
        <v>3389</v>
      </c>
      <c r="C136" s="3" t="s">
        <v>276</v>
      </c>
      <c r="D136" s="9">
        <v>406.3</v>
      </c>
      <c r="E136" s="3" t="s">
        <v>3222</v>
      </c>
      <c r="F136" s="3" t="s">
        <v>139</v>
      </c>
      <c r="G136" s="9">
        <v>766.25</v>
      </c>
      <c r="H136" s="10">
        <v>45672.296990740739</v>
      </c>
      <c r="I136" s="10">
        <v>45672.296990740739</v>
      </c>
      <c r="J136" s="10">
        <v>45672.299525462957</v>
      </c>
      <c r="K136" s="11">
        <v>2.5347222222222221E-3</v>
      </c>
      <c r="L136" s="13"/>
    </row>
    <row r="137" spans="1:12" x14ac:dyDescent="0.25">
      <c r="A137" s="3" t="s">
        <v>3221</v>
      </c>
      <c r="B137" s="3" t="s">
        <v>3390</v>
      </c>
      <c r="C137" s="3" t="s">
        <v>277</v>
      </c>
      <c r="D137" s="9">
        <v>257</v>
      </c>
      <c r="E137" s="3" t="s">
        <v>3222</v>
      </c>
      <c r="F137" s="3" t="s">
        <v>142</v>
      </c>
      <c r="G137" s="9">
        <v>556.20000000000005</v>
      </c>
      <c r="H137" s="10">
        <v>45672.311550925922</v>
      </c>
      <c r="I137" s="10">
        <v>45672.311550925922</v>
      </c>
      <c r="J137" s="10">
        <v>45672.313298611109</v>
      </c>
      <c r="K137" s="11">
        <v>1.747685185185185E-3</v>
      </c>
      <c r="L137" s="13"/>
    </row>
    <row r="138" spans="1:12" x14ac:dyDescent="0.25">
      <c r="A138" s="3" t="s">
        <v>3221</v>
      </c>
      <c r="B138" s="3" t="s">
        <v>3391</v>
      </c>
      <c r="C138" s="3" t="s">
        <v>278</v>
      </c>
      <c r="D138" s="9">
        <v>374.1</v>
      </c>
      <c r="E138" s="3" t="s">
        <v>3222</v>
      </c>
      <c r="F138" s="3" t="s">
        <v>139</v>
      </c>
      <c r="G138" s="9">
        <v>766.25</v>
      </c>
      <c r="H138" s="10">
        <v>45672.335405092592</v>
      </c>
      <c r="I138" s="10">
        <v>45672.335405092592</v>
      </c>
      <c r="J138" s="10">
        <v>45672.337858796287</v>
      </c>
      <c r="K138" s="11">
        <v>2.453703703703704E-3</v>
      </c>
      <c r="L138" s="13"/>
    </row>
    <row r="139" spans="1:12" x14ac:dyDescent="0.25">
      <c r="A139" s="3" t="s">
        <v>3221</v>
      </c>
      <c r="B139" s="3" t="s">
        <v>3392</v>
      </c>
      <c r="C139" s="3" t="s">
        <v>279</v>
      </c>
      <c r="D139" s="9">
        <v>285.7</v>
      </c>
      <c r="E139" s="3" t="s">
        <v>3222</v>
      </c>
      <c r="F139" s="3" t="s">
        <v>139</v>
      </c>
      <c r="G139" s="9">
        <v>766.25</v>
      </c>
      <c r="H139" s="10">
        <v>45672.370324074072</v>
      </c>
      <c r="I139" s="10">
        <v>45672.370324074072</v>
      </c>
      <c r="J139" s="10">
        <v>45672.372581018521</v>
      </c>
      <c r="K139" s="11">
        <v>2.2569444444444438E-3</v>
      </c>
      <c r="L139" s="13"/>
    </row>
    <row r="140" spans="1:12" x14ac:dyDescent="0.25">
      <c r="A140" s="3" t="s">
        <v>3221</v>
      </c>
      <c r="B140" s="3" t="s">
        <v>3393</v>
      </c>
      <c r="C140" s="3" t="s">
        <v>280</v>
      </c>
      <c r="D140" s="9">
        <v>355.3</v>
      </c>
      <c r="E140" s="3" t="s">
        <v>3222</v>
      </c>
      <c r="F140" s="3" t="s">
        <v>142</v>
      </c>
      <c r="G140" s="9">
        <v>556.20000000000005</v>
      </c>
      <c r="H140" s="10">
        <v>45672.378738425927</v>
      </c>
      <c r="I140" s="10">
        <v>45672.378738425927</v>
      </c>
      <c r="J140" s="10">
        <v>45672.38071759259</v>
      </c>
      <c r="K140" s="11">
        <v>1.9791666666666668E-3</v>
      </c>
      <c r="L140" s="13"/>
    </row>
    <row r="141" spans="1:12" x14ac:dyDescent="0.25">
      <c r="A141" s="3" t="s">
        <v>3221</v>
      </c>
      <c r="B141" s="3" t="s">
        <v>3394</v>
      </c>
      <c r="C141" s="3" t="s">
        <v>281</v>
      </c>
      <c r="D141" s="9">
        <v>273.60000000000002</v>
      </c>
      <c r="E141" s="3" t="s">
        <v>3222</v>
      </c>
      <c r="F141" s="3" t="s">
        <v>139</v>
      </c>
      <c r="G141" s="9">
        <v>766.25</v>
      </c>
      <c r="H141" s="10">
        <v>45672.414571759262</v>
      </c>
      <c r="I141" s="10">
        <v>45672.414571759262</v>
      </c>
      <c r="J141" s="10">
        <v>45672.41679398148</v>
      </c>
      <c r="K141" s="11">
        <v>2.2222222222222218E-3</v>
      </c>
      <c r="L141" s="13"/>
    </row>
    <row r="142" spans="1:12" x14ac:dyDescent="0.25">
      <c r="A142" s="3" t="s">
        <v>3221</v>
      </c>
      <c r="B142" s="3" t="s">
        <v>3395</v>
      </c>
      <c r="C142" s="3" t="s">
        <v>282</v>
      </c>
      <c r="D142" s="9">
        <v>120.9</v>
      </c>
      <c r="E142" s="3" t="s">
        <v>3222</v>
      </c>
      <c r="F142" s="3" t="s">
        <v>139</v>
      </c>
      <c r="G142" s="9">
        <v>766.25</v>
      </c>
      <c r="H142" s="10">
        <v>45672.540914351863</v>
      </c>
      <c r="I142" s="10">
        <v>45672.540914351863</v>
      </c>
      <c r="J142" s="10">
        <v>45672.54278935185</v>
      </c>
      <c r="K142" s="11">
        <v>1.8749999999999999E-3</v>
      </c>
      <c r="L142" s="13"/>
    </row>
    <row r="143" spans="1:12" x14ac:dyDescent="0.25">
      <c r="A143" s="3" t="s">
        <v>3221</v>
      </c>
      <c r="B143" s="3" t="s">
        <v>3396</v>
      </c>
      <c r="C143" s="3" t="s">
        <v>283</v>
      </c>
      <c r="D143" s="9">
        <v>515.6</v>
      </c>
      <c r="E143" s="3" t="s">
        <v>3222</v>
      </c>
      <c r="F143" s="3" t="s">
        <v>139</v>
      </c>
      <c r="G143" s="9">
        <v>766.25</v>
      </c>
      <c r="H143" s="10">
        <v>45672.627418981479</v>
      </c>
      <c r="I143" s="10">
        <v>45672.627418981479</v>
      </c>
      <c r="J143" s="10">
        <v>45672.630208333343</v>
      </c>
      <c r="K143" s="11">
        <v>2.7893518518518519E-3</v>
      </c>
      <c r="L143" s="13"/>
    </row>
    <row r="144" spans="1:12" x14ac:dyDescent="0.25">
      <c r="A144" s="3" t="s">
        <v>3221</v>
      </c>
      <c r="B144" s="3" t="s">
        <v>3397</v>
      </c>
      <c r="C144" s="3" t="s">
        <v>284</v>
      </c>
      <c r="D144" s="9">
        <v>110.2</v>
      </c>
      <c r="E144" s="3" t="s">
        <v>3222</v>
      </c>
      <c r="F144" s="3" t="s">
        <v>142</v>
      </c>
      <c r="G144" s="9">
        <v>556.20000000000005</v>
      </c>
      <c r="H144" s="10">
        <v>45672.647766203707</v>
      </c>
      <c r="I144" s="10">
        <v>45672.647766203707</v>
      </c>
      <c r="J144" s="10">
        <v>45672.649178240739</v>
      </c>
      <c r="K144" s="11">
        <v>1.4120370370370369E-3</v>
      </c>
      <c r="L144" s="13"/>
    </row>
    <row r="145" spans="1:12" x14ac:dyDescent="0.25">
      <c r="A145" s="3" t="s">
        <v>3221</v>
      </c>
      <c r="B145" s="3" t="s">
        <v>3398</v>
      </c>
      <c r="C145" s="3" t="s">
        <v>285</v>
      </c>
      <c r="D145" s="9">
        <v>325.39999999999998</v>
      </c>
      <c r="E145" s="3" t="s">
        <v>3222</v>
      </c>
      <c r="F145" s="3" t="s">
        <v>139</v>
      </c>
      <c r="G145" s="9">
        <v>766.25</v>
      </c>
      <c r="H145" s="10">
        <v>45672.718310185177</v>
      </c>
      <c r="I145" s="10">
        <v>45672.718310185177</v>
      </c>
      <c r="J145" s="10">
        <v>45672.720648148148</v>
      </c>
      <c r="K145" s="11">
        <v>2.3379629629629631E-3</v>
      </c>
      <c r="L145" s="13"/>
    </row>
    <row r="146" spans="1:12" x14ac:dyDescent="0.25">
      <c r="A146" s="3" t="s">
        <v>3221</v>
      </c>
      <c r="B146" s="3" t="s">
        <v>3399</v>
      </c>
      <c r="C146" s="3" t="s">
        <v>286</v>
      </c>
      <c r="D146" s="9">
        <v>296.60000000000002</v>
      </c>
      <c r="E146" s="3" t="s">
        <v>3222</v>
      </c>
      <c r="F146" s="3" t="s">
        <v>139</v>
      </c>
      <c r="G146" s="9">
        <v>766.25</v>
      </c>
      <c r="H146" s="10">
        <v>45672.735393518517</v>
      </c>
      <c r="I146" s="10">
        <v>45672.735393518517</v>
      </c>
      <c r="J146" s="10">
        <v>45672.737673611111</v>
      </c>
      <c r="K146" s="11">
        <v>2.2800925925925931E-3</v>
      </c>
      <c r="L146" s="13"/>
    </row>
    <row r="147" spans="1:12" x14ac:dyDescent="0.25">
      <c r="A147" s="3" t="s">
        <v>3221</v>
      </c>
      <c r="B147" s="3" t="s">
        <v>3400</v>
      </c>
      <c r="C147" s="3" t="s">
        <v>287</v>
      </c>
      <c r="D147" s="9">
        <v>200.3</v>
      </c>
      <c r="E147" s="3" t="s">
        <v>3222</v>
      </c>
      <c r="F147" s="3" t="s">
        <v>139</v>
      </c>
      <c r="G147" s="9">
        <v>766.25</v>
      </c>
      <c r="H147" s="10">
        <v>45673.110509259262</v>
      </c>
      <c r="I147" s="10">
        <v>45673.110509259262</v>
      </c>
      <c r="J147" s="10">
        <v>45673.112557870372</v>
      </c>
      <c r="K147" s="11">
        <v>2.0486111111111109E-3</v>
      </c>
      <c r="L147" s="13"/>
    </row>
    <row r="148" spans="1:12" x14ac:dyDescent="0.25">
      <c r="A148" s="3" t="s">
        <v>3221</v>
      </c>
      <c r="B148" s="3" t="s">
        <v>3401</v>
      </c>
      <c r="C148" s="3" t="s">
        <v>288</v>
      </c>
      <c r="D148" s="9">
        <v>297</v>
      </c>
      <c r="E148" s="3" t="s">
        <v>3222</v>
      </c>
      <c r="F148" s="3" t="s">
        <v>139</v>
      </c>
      <c r="G148" s="9">
        <v>766.25</v>
      </c>
      <c r="H148" s="10">
        <v>45673.264710648153</v>
      </c>
      <c r="I148" s="10">
        <v>45673.264710648153</v>
      </c>
      <c r="J148" s="10">
        <v>45673.26699074074</v>
      </c>
      <c r="K148" s="11">
        <v>2.2800925925925931E-3</v>
      </c>
      <c r="L148" s="13"/>
    </row>
    <row r="149" spans="1:12" x14ac:dyDescent="0.25">
      <c r="A149" s="3" t="s">
        <v>3221</v>
      </c>
      <c r="B149" s="3" t="s">
        <v>3402</v>
      </c>
      <c r="C149" s="3" t="s">
        <v>289</v>
      </c>
      <c r="D149" s="9">
        <v>390.7</v>
      </c>
      <c r="E149" s="3" t="s">
        <v>3222</v>
      </c>
      <c r="F149" s="3" t="s">
        <v>139</v>
      </c>
      <c r="G149" s="9">
        <v>766.25</v>
      </c>
      <c r="H149" s="10">
        <v>45673.301053240742</v>
      </c>
      <c r="I149" s="10">
        <v>45673.301053240742</v>
      </c>
      <c r="J149" s="10">
        <v>45673.303553240738</v>
      </c>
      <c r="K149" s="11">
        <v>2.5000000000000001E-3</v>
      </c>
      <c r="L149" s="13"/>
    </row>
    <row r="150" spans="1:12" x14ac:dyDescent="0.25">
      <c r="A150" s="3" t="s">
        <v>3221</v>
      </c>
      <c r="B150" s="3" t="s">
        <v>3403</v>
      </c>
      <c r="C150" s="3" t="s">
        <v>290</v>
      </c>
      <c r="D150" s="9">
        <v>126</v>
      </c>
      <c r="E150" s="3" t="s">
        <v>3222</v>
      </c>
      <c r="F150" s="3" t="s">
        <v>142</v>
      </c>
      <c r="G150" s="9">
        <v>556.20000000000005</v>
      </c>
      <c r="H150" s="10">
        <v>45673.301319444443</v>
      </c>
      <c r="I150" s="10">
        <v>45673.301319444443</v>
      </c>
      <c r="J150" s="10">
        <v>45673.302766203713</v>
      </c>
      <c r="K150" s="11">
        <v>1.446759259259259E-3</v>
      </c>
      <c r="L150" s="13"/>
    </row>
    <row r="151" spans="1:12" x14ac:dyDescent="0.25">
      <c r="A151" s="3" t="s">
        <v>3221</v>
      </c>
      <c r="B151" s="3" t="s">
        <v>3404</v>
      </c>
      <c r="C151" s="3" t="s">
        <v>291</v>
      </c>
      <c r="D151" s="9">
        <v>396.6</v>
      </c>
      <c r="E151" s="3" t="s">
        <v>3222</v>
      </c>
      <c r="F151" s="3" t="s">
        <v>142</v>
      </c>
      <c r="G151" s="9">
        <v>556.20000000000005</v>
      </c>
      <c r="H151" s="10">
        <v>45673.330833333333</v>
      </c>
      <c r="I151" s="10">
        <v>45673.330833333333</v>
      </c>
      <c r="J151" s="10">
        <v>45673.332905092589</v>
      </c>
      <c r="K151" s="11">
        <v>2.0717592592592589E-3</v>
      </c>
      <c r="L151" s="13"/>
    </row>
    <row r="152" spans="1:12" x14ac:dyDescent="0.25">
      <c r="A152" s="3" t="s">
        <v>3221</v>
      </c>
      <c r="B152" s="3" t="s">
        <v>3405</v>
      </c>
      <c r="C152" s="3" t="s">
        <v>292</v>
      </c>
      <c r="D152" s="9">
        <v>417.5</v>
      </c>
      <c r="E152" s="3" t="s">
        <v>3222</v>
      </c>
      <c r="F152" s="3" t="s">
        <v>139</v>
      </c>
      <c r="G152" s="9">
        <v>766.25</v>
      </c>
      <c r="H152" s="10">
        <v>45673.375405092593</v>
      </c>
      <c r="I152" s="10">
        <v>45673.375405092593</v>
      </c>
      <c r="J152" s="10">
        <v>45673.377962962957</v>
      </c>
      <c r="K152" s="11">
        <v>2.5578703703703709E-3</v>
      </c>
      <c r="L152" s="13"/>
    </row>
    <row r="153" spans="1:12" x14ac:dyDescent="0.25">
      <c r="A153" s="3" t="s">
        <v>3221</v>
      </c>
      <c r="B153" s="3" t="s">
        <v>3406</v>
      </c>
      <c r="C153" s="3" t="s">
        <v>293</v>
      </c>
      <c r="D153" s="9">
        <v>389.4</v>
      </c>
      <c r="E153" s="3" t="s">
        <v>3222</v>
      </c>
      <c r="F153" s="3" t="s">
        <v>142</v>
      </c>
      <c r="G153" s="9">
        <v>556.20000000000005</v>
      </c>
      <c r="H153" s="10">
        <v>45673.376168981478</v>
      </c>
      <c r="I153" s="10">
        <v>45673.376168981478</v>
      </c>
      <c r="J153" s="10">
        <v>45673.378217592603</v>
      </c>
      <c r="K153" s="11">
        <v>2.0486111111111109E-3</v>
      </c>
      <c r="L153" s="13"/>
    </row>
    <row r="154" spans="1:12" x14ac:dyDescent="0.25">
      <c r="A154" s="3" t="s">
        <v>3221</v>
      </c>
      <c r="B154" s="3" t="s">
        <v>3407</v>
      </c>
      <c r="C154" s="3" t="s">
        <v>294</v>
      </c>
      <c r="D154" s="9">
        <v>359.3</v>
      </c>
      <c r="E154" s="3" t="s">
        <v>3222</v>
      </c>
      <c r="F154" s="3" t="s">
        <v>139</v>
      </c>
      <c r="G154" s="9">
        <v>766.25</v>
      </c>
      <c r="H154" s="10">
        <v>45673.441157407397</v>
      </c>
      <c r="I154" s="10">
        <v>45673.441157407397</v>
      </c>
      <c r="J154" s="10">
        <v>45673.443576388891</v>
      </c>
      <c r="K154" s="11">
        <v>2.418981481481482E-3</v>
      </c>
      <c r="L154" s="13"/>
    </row>
    <row r="155" spans="1:12" x14ac:dyDescent="0.25">
      <c r="A155" s="3" t="s">
        <v>3221</v>
      </c>
      <c r="B155" s="3" t="s">
        <v>3408</v>
      </c>
      <c r="C155" s="3" t="s">
        <v>295</v>
      </c>
      <c r="D155" s="9">
        <v>173</v>
      </c>
      <c r="E155" s="3" t="s">
        <v>3222</v>
      </c>
      <c r="F155" s="3" t="s">
        <v>139</v>
      </c>
      <c r="G155" s="9">
        <v>766.25</v>
      </c>
      <c r="H155" s="10">
        <v>45673.532060185193</v>
      </c>
      <c r="I155" s="10">
        <v>45673.532060185193</v>
      </c>
      <c r="J155" s="10">
        <v>45673.534050925933</v>
      </c>
      <c r="K155" s="11">
        <v>1.9907407407407408E-3</v>
      </c>
      <c r="L155" s="13"/>
    </row>
    <row r="156" spans="1:12" x14ac:dyDescent="0.25">
      <c r="A156" s="3" t="s">
        <v>3221</v>
      </c>
      <c r="B156" s="3" t="s">
        <v>3409</v>
      </c>
      <c r="C156" s="3" t="s">
        <v>296</v>
      </c>
      <c r="D156" s="9">
        <v>233.9</v>
      </c>
      <c r="E156" s="3" t="s">
        <v>3222</v>
      </c>
      <c r="F156" s="3" t="s">
        <v>139</v>
      </c>
      <c r="G156" s="9">
        <v>766.25</v>
      </c>
      <c r="H156" s="10">
        <v>45673.604884259257</v>
      </c>
      <c r="I156" s="10">
        <v>45673.604884259257</v>
      </c>
      <c r="J156" s="10">
        <v>45673.60701388889</v>
      </c>
      <c r="K156" s="11">
        <v>2.1296296296296302E-3</v>
      </c>
      <c r="L156" s="13"/>
    </row>
    <row r="157" spans="1:12" x14ac:dyDescent="0.25">
      <c r="A157" s="3" t="s">
        <v>3221</v>
      </c>
      <c r="B157" s="3" t="s">
        <v>3410</v>
      </c>
      <c r="C157" s="3" t="s">
        <v>297</v>
      </c>
      <c r="D157" s="9">
        <v>338.9</v>
      </c>
      <c r="E157" s="3" t="s">
        <v>3222</v>
      </c>
      <c r="F157" s="3" t="s">
        <v>139</v>
      </c>
      <c r="G157" s="9">
        <v>766.25</v>
      </c>
      <c r="H157" s="10">
        <v>45673.614374999997</v>
      </c>
      <c r="I157" s="10">
        <v>45673.614374999997</v>
      </c>
      <c r="J157" s="10">
        <v>45673.616747685177</v>
      </c>
      <c r="K157" s="11">
        <v>2.3726851851851851E-3</v>
      </c>
      <c r="L157" s="13"/>
    </row>
    <row r="158" spans="1:12" x14ac:dyDescent="0.25">
      <c r="A158" s="3" t="s">
        <v>3221</v>
      </c>
      <c r="B158" s="3" t="s">
        <v>3411</v>
      </c>
      <c r="C158" s="3" t="s">
        <v>298</v>
      </c>
      <c r="D158" s="9">
        <v>63</v>
      </c>
      <c r="E158" s="3" t="s">
        <v>3222</v>
      </c>
      <c r="F158" s="3" t="s">
        <v>164</v>
      </c>
      <c r="G158" s="9">
        <v>587.14</v>
      </c>
      <c r="H158" s="10">
        <v>45673.643576388888</v>
      </c>
      <c r="I158" s="10">
        <v>45673.643576388888</v>
      </c>
      <c r="J158" s="10">
        <v>45673.644942129627</v>
      </c>
      <c r="K158" s="11">
        <v>1.3657407407407409E-3</v>
      </c>
      <c r="L158" s="13"/>
    </row>
    <row r="159" spans="1:12" x14ac:dyDescent="0.25">
      <c r="A159" s="3" t="s">
        <v>3221</v>
      </c>
      <c r="B159" s="3" t="s">
        <v>3412</v>
      </c>
      <c r="C159" s="3" t="s">
        <v>299</v>
      </c>
      <c r="D159" s="9">
        <v>119.3</v>
      </c>
      <c r="E159" s="3" t="s">
        <v>3222</v>
      </c>
      <c r="F159" s="3" t="s">
        <v>139</v>
      </c>
      <c r="G159" s="9">
        <v>766.25</v>
      </c>
      <c r="H159" s="10">
        <v>45673.670590277783</v>
      </c>
      <c r="I159" s="10">
        <v>45673.670590277783</v>
      </c>
      <c r="J159" s="10">
        <v>45673.672453703701</v>
      </c>
      <c r="K159" s="11">
        <v>1.8634259259259259E-3</v>
      </c>
      <c r="L159" s="13"/>
    </row>
    <row r="160" spans="1:12" x14ac:dyDescent="0.25">
      <c r="A160" s="3" t="s">
        <v>3221</v>
      </c>
      <c r="B160" s="3" t="s">
        <v>3413</v>
      </c>
      <c r="C160" s="3" t="s">
        <v>300</v>
      </c>
      <c r="D160" s="9">
        <v>503.1</v>
      </c>
      <c r="E160" s="3" t="s">
        <v>3222</v>
      </c>
      <c r="F160" s="3" t="s">
        <v>139</v>
      </c>
      <c r="G160" s="9">
        <v>766.25</v>
      </c>
      <c r="H160" s="10">
        <v>45673.726736111108</v>
      </c>
      <c r="I160" s="10">
        <v>45673.726736111108</v>
      </c>
      <c r="J160" s="10">
        <v>45673.729490740741</v>
      </c>
      <c r="K160" s="11">
        <v>2.754629629629629E-3</v>
      </c>
      <c r="L160" s="13"/>
    </row>
    <row r="161" spans="1:12" x14ac:dyDescent="0.25">
      <c r="A161" s="3" t="s">
        <v>3221</v>
      </c>
      <c r="B161" s="3" t="s">
        <v>3414</v>
      </c>
      <c r="C161" s="3" t="s">
        <v>301</v>
      </c>
      <c r="D161" s="9">
        <v>221</v>
      </c>
      <c r="E161" s="3" t="s">
        <v>3222</v>
      </c>
      <c r="F161" s="3" t="s">
        <v>139</v>
      </c>
      <c r="G161" s="9">
        <v>766.25</v>
      </c>
      <c r="H161" s="10">
        <v>45673.835138888891</v>
      </c>
      <c r="I161" s="10">
        <v>45673.835138888891</v>
      </c>
      <c r="J161" s="10">
        <v>45673.837245370371</v>
      </c>
      <c r="K161" s="11">
        <v>2.1064814814814809E-3</v>
      </c>
      <c r="L161" s="13"/>
    </row>
    <row r="162" spans="1:12" x14ac:dyDescent="0.25">
      <c r="A162" s="3" t="s">
        <v>3221</v>
      </c>
      <c r="B162" s="3" t="s">
        <v>3415</v>
      </c>
      <c r="C162" s="3" t="s">
        <v>302</v>
      </c>
      <c r="D162" s="9">
        <v>209.3</v>
      </c>
      <c r="E162" s="3" t="s">
        <v>3222</v>
      </c>
      <c r="F162" s="3" t="s">
        <v>139</v>
      </c>
      <c r="G162" s="9">
        <v>766.25</v>
      </c>
      <c r="H162" s="10">
        <v>45674.113958333342</v>
      </c>
      <c r="I162" s="10">
        <v>45674.113958333342</v>
      </c>
      <c r="J162" s="10">
        <v>45674.116030092591</v>
      </c>
      <c r="K162" s="11">
        <v>2.0717592592592589E-3</v>
      </c>
      <c r="L162" s="13"/>
    </row>
    <row r="163" spans="1:12" x14ac:dyDescent="0.25">
      <c r="A163" s="3" t="s">
        <v>3221</v>
      </c>
      <c r="B163" s="3" t="s">
        <v>3416</v>
      </c>
      <c r="C163" s="3" t="s">
        <v>303</v>
      </c>
      <c r="D163" s="9">
        <v>513.29999999999995</v>
      </c>
      <c r="E163" s="3" t="s">
        <v>3222</v>
      </c>
      <c r="F163" s="3" t="s">
        <v>139</v>
      </c>
      <c r="G163" s="9">
        <v>766.25</v>
      </c>
      <c r="H163" s="10">
        <v>45674.184351851851</v>
      </c>
      <c r="I163" s="10">
        <v>45674.184351851851</v>
      </c>
      <c r="J163" s="10">
        <v>45674.18712962963</v>
      </c>
      <c r="K163" s="11">
        <v>2.7777777777777779E-3</v>
      </c>
      <c r="L163" s="13"/>
    </row>
    <row r="164" spans="1:12" x14ac:dyDescent="0.25">
      <c r="A164" s="3" t="s">
        <v>3221</v>
      </c>
      <c r="B164" s="3" t="s">
        <v>3417</v>
      </c>
      <c r="C164" s="3" t="s">
        <v>304</v>
      </c>
      <c r="D164" s="9">
        <v>297</v>
      </c>
      <c r="E164" s="3" t="s">
        <v>3222</v>
      </c>
      <c r="F164" s="3" t="s">
        <v>139</v>
      </c>
      <c r="G164" s="9">
        <v>766.25</v>
      </c>
      <c r="H164" s="10">
        <v>45674.269606481481</v>
      </c>
      <c r="I164" s="10">
        <v>45674.269606481481</v>
      </c>
      <c r="J164" s="10">
        <v>45674.271886574083</v>
      </c>
      <c r="K164" s="11">
        <v>2.2800925925925931E-3</v>
      </c>
      <c r="L164" s="13"/>
    </row>
    <row r="165" spans="1:12" x14ac:dyDescent="0.25">
      <c r="A165" s="3" t="s">
        <v>3221</v>
      </c>
      <c r="B165" s="3" t="s">
        <v>3418</v>
      </c>
      <c r="C165" s="3" t="s">
        <v>305</v>
      </c>
      <c r="D165" s="9">
        <v>492.3</v>
      </c>
      <c r="E165" s="3" t="s">
        <v>3222</v>
      </c>
      <c r="F165" s="3" t="s">
        <v>139</v>
      </c>
      <c r="G165" s="9">
        <v>766.25</v>
      </c>
      <c r="H165" s="10">
        <v>45674.289664351847</v>
      </c>
      <c r="I165" s="10">
        <v>45674.289664351847</v>
      </c>
      <c r="J165" s="10">
        <v>45674.292395833327</v>
      </c>
      <c r="K165" s="11">
        <v>2.731481481481481E-3</v>
      </c>
      <c r="L165" s="13"/>
    </row>
    <row r="166" spans="1:12" x14ac:dyDescent="0.25">
      <c r="A166" s="3" t="s">
        <v>3221</v>
      </c>
      <c r="B166" s="3" t="s">
        <v>3419</v>
      </c>
      <c r="C166" s="3" t="s">
        <v>306</v>
      </c>
      <c r="D166" s="9">
        <v>339.8</v>
      </c>
      <c r="E166" s="3" t="s">
        <v>3222</v>
      </c>
      <c r="F166" s="3" t="s">
        <v>142</v>
      </c>
      <c r="G166" s="9">
        <v>556.20000000000005</v>
      </c>
      <c r="H166" s="10">
        <v>45674.31145833333</v>
      </c>
      <c r="I166" s="10">
        <v>45674.31145833333</v>
      </c>
      <c r="J166" s="10">
        <v>45674.313402777778</v>
      </c>
      <c r="K166" s="11">
        <v>1.944444444444444E-3</v>
      </c>
      <c r="L166" s="13"/>
    </row>
    <row r="167" spans="1:12" x14ac:dyDescent="0.25">
      <c r="A167" s="3" t="s">
        <v>3221</v>
      </c>
      <c r="B167" s="3" t="s">
        <v>3420</v>
      </c>
      <c r="C167" s="3" t="s">
        <v>307</v>
      </c>
      <c r="D167" s="9">
        <v>287.89999999999998</v>
      </c>
      <c r="E167" s="3" t="s">
        <v>3222</v>
      </c>
      <c r="F167" s="3" t="s">
        <v>139</v>
      </c>
      <c r="G167" s="9">
        <v>766.25</v>
      </c>
      <c r="H167" s="10">
        <v>45674.332280092603</v>
      </c>
      <c r="I167" s="10">
        <v>45674.332280092603</v>
      </c>
      <c r="J167" s="10">
        <v>45674.334537037037</v>
      </c>
      <c r="K167" s="11">
        <v>2.2569444444444438E-3</v>
      </c>
      <c r="L167" s="13"/>
    </row>
    <row r="168" spans="1:12" x14ac:dyDescent="0.25">
      <c r="A168" s="3" t="s">
        <v>3221</v>
      </c>
      <c r="B168" s="3" t="s">
        <v>3421</v>
      </c>
      <c r="C168" s="3" t="s">
        <v>308</v>
      </c>
      <c r="D168" s="9">
        <v>560.6</v>
      </c>
      <c r="E168" s="3" t="s">
        <v>3222</v>
      </c>
      <c r="F168" s="3" t="s">
        <v>142</v>
      </c>
      <c r="G168" s="9">
        <v>556.20000000000005</v>
      </c>
      <c r="H168" s="10">
        <v>45674.3594212963</v>
      </c>
      <c r="I168" s="10">
        <v>45674.3594212963</v>
      </c>
      <c r="J168" s="10">
        <v>45674.361875000002</v>
      </c>
      <c r="K168" s="11">
        <v>2.453703703703704E-3</v>
      </c>
      <c r="L168" s="13"/>
    </row>
    <row r="169" spans="1:12" x14ac:dyDescent="0.25">
      <c r="A169" s="3" t="s">
        <v>3221</v>
      </c>
      <c r="B169" s="3" t="s">
        <v>3422</v>
      </c>
      <c r="C169" s="3" t="s">
        <v>309</v>
      </c>
      <c r="D169" s="9">
        <v>336.5</v>
      </c>
      <c r="E169" s="3" t="s">
        <v>3222</v>
      </c>
      <c r="F169" s="3" t="s">
        <v>139</v>
      </c>
      <c r="G169" s="9">
        <v>766.25</v>
      </c>
      <c r="H169" s="10">
        <v>45674.366412037038</v>
      </c>
      <c r="I169" s="10">
        <v>45674.366412037038</v>
      </c>
      <c r="J169" s="10">
        <v>45674.368784722217</v>
      </c>
      <c r="K169" s="11">
        <v>2.3726851851851851E-3</v>
      </c>
      <c r="L169" s="13"/>
    </row>
    <row r="170" spans="1:12" x14ac:dyDescent="0.25">
      <c r="A170" s="3" t="s">
        <v>3221</v>
      </c>
      <c r="B170" s="3" t="s">
        <v>3423</v>
      </c>
      <c r="C170" s="3" t="s">
        <v>310</v>
      </c>
      <c r="D170" s="9">
        <v>443.2</v>
      </c>
      <c r="E170" s="3" t="s">
        <v>3222</v>
      </c>
      <c r="F170" s="3" t="s">
        <v>139</v>
      </c>
      <c r="G170" s="9">
        <v>766.25</v>
      </c>
      <c r="H170" s="10">
        <v>45674.423032407409</v>
      </c>
      <c r="I170" s="10">
        <v>45674.423032407409</v>
      </c>
      <c r="J170" s="10">
        <v>45674.42564814815</v>
      </c>
      <c r="K170" s="11">
        <v>2.615740740740741E-3</v>
      </c>
      <c r="L170" s="13"/>
    </row>
    <row r="171" spans="1:12" x14ac:dyDescent="0.25">
      <c r="A171" s="3" t="s">
        <v>3221</v>
      </c>
      <c r="B171" s="3" t="s">
        <v>3424</v>
      </c>
      <c r="C171" s="3" t="s">
        <v>311</v>
      </c>
      <c r="D171" s="9">
        <v>238.4</v>
      </c>
      <c r="E171" s="3" t="s">
        <v>3222</v>
      </c>
      <c r="F171" s="3" t="s">
        <v>139</v>
      </c>
      <c r="G171" s="9">
        <v>766.25</v>
      </c>
      <c r="H171" s="10">
        <v>45674.53434027778</v>
      </c>
      <c r="I171" s="10">
        <v>45674.53434027778</v>
      </c>
      <c r="J171" s="10">
        <v>45674.536481481482</v>
      </c>
      <c r="K171" s="11">
        <v>2.1412037037037042E-3</v>
      </c>
      <c r="L171" s="13"/>
    </row>
    <row r="172" spans="1:12" x14ac:dyDescent="0.25">
      <c r="A172" s="3" t="s">
        <v>3221</v>
      </c>
      <c r="B172" s="3" t="s">
        <v>3425</v>
      </c>
      <c r="C172" s="3" t="s">
        <v>312</v>
      </c>
      <c r="D172" s="9">
        <v>220.4</v>
      </c>
      <c r="E172" s="3" t="s">
        <v>3222</v>
      </c>
      <c r="F172" s="3" t="s">
        <v>139</v>
      </c>
      <c r="G172" s="9">
        <v>766.25</v>
      </c>
      <c r="H172" s="10">
        <v>45674.647650462961</v>
      </c>
      <c r="I172" s="10">
        <v>45674.647650462961</v>
      </c>
      <c r="J172" s="10">
        <v>45674.649745370371</v>
      </c>
      <c r="K172" s="11">
        <v>2.0949074074074069E-3</v>
      </c>
      <c r="L172" s="13"/>
    </row>
    <row r="173" spans="1:12" x14ac:dyDescent="0.25">
      <c r="A173" s="3" t="s">
        <v>3221</v>
      </c>
      <c r="B173" s="3" t="s">
        <v>3426</v>
      </c>
      <c r="C173" s="3" t="s">
        <v>313</v>
      </c>
      <c r="D173" s="9">
        <v>302.10000000000002</v>
      </c>
      <c r="E173" s="3" t="s">
        <v>3222</v>
      </c>
      <c r="F173" s="3" t="s">
        <v>139</v>
      </c>
      <c r="G173" s="9">
        <v>766.25</v>
      </c>
      <c r="H173" s="10">
        <v>45674.729085648149</v>
      </c>
      <c r="I173" s="10">
        <v>45674.729085648149</v>
      </c>
      <c r="J173" s="10">
        <v>45674.731377314813</v>
      </c>
      <c r="K173" s="11">
        <v>2.2916666666666671E-3</v>
      </c>
      <c r="L173" s="13"/>
    </row>
    <row r="174" spans="1:12" x14ac:dyDescent="0.25">
      <c r="A174" s="3" t="s">
        <v>3221</v>
      </c>
      <c r="B174" s="3" t="s">
        <v>3427</v>
      </c>
      <c r="C174" s="3" t="s">
        <v>314</v>
      </c>
      <c r="D174" s="9">
        <v>110.2</v>
      </c>
      <c r="E174" s="3" t="s">
        <v>3222</v>
      </c>
      <c r="F174" s="3" t="s">
        <v>139</v>
      </c>
      <c r="G174" s="9">
        <v>766.25</v>
      </c>
      <c r="H174" s="10">
        <v>45674.749756944453</v>
      </c>
      <c r="I174" s="10">
        <v>45674.749756944453</v>
      </c>
      <c r="J174" s="10">
        <v>45674.751597222217</v>
      </c>
      <c r="K174" s="11">
        <v>1.8402777777777779E-3</v>
      </c>
      <c r="L174" s="13"/>
    </row>
    <row r="175" spans="1:12" x14ac:dyDescent="0.25">
      <c r="A175" s="3" t="s">
        <v>3221</v>
      </c>
      <c r="B175" s="3" t="s">
        <v>3428</v>
      </c>
      <c r="C175" s="3" t="s">
        <v>315</v>
      </c>
      <c r="D175" s="9">
        <v>345</v>
      </c>
      <c r="E175" s="3" t="s">
        <v>3222</v>
      </c>
      <c r="F175" s="3" t="s">
        <v>139</v>
      </c>
      <c r="G175" s="9">
        <v>766.25</v>
      </c>
      <c r="H175" s="10">
        <v>45674.837546296287</v>
      </c>
      <c r="I175" s="10">
        <v>45674.837546296287</v>
      </c>
      <c r="J175" s="10">
        <v>45674.839930555558</v>
      </c>
      <c r="K175" s="11">
        <v>2.3842592592592591E-3</v>
      </c>
      <c r="L175" s="13"/>
    </row>
    <row r="176" spans="1:12" x14ac:dyDescent="0.25">
      <c r="A176" s="3" t="s">
        <v>3221</v>
      </c>
      <c r="B176" s="3" t="s">
        <v>3429</v>
      </c>
      <c r="C176" s="3" t="s">
        <v>316</v>
      </c>
      <c r="D176" s="9">
        <v>371.5</v>
      </c>
      <c r="E176" s="3" t="s">
        <v>3222</v>
      </c>
      <c r="F176" s="3" t="s">
        <v>139</v>
      </c>
      <c r="G176" s="9">
        <v>766.25</v>
      </c>
      <c r="H176" s="10">
        <v>45675.016168981478</v>
      </c>
      <c r="I176" s="10">
        <v>45675.016168981478</v>
      </c>
      <c r="J176" s="10">
        <v>45675.018622685187</v>
      </c>
      <c r="K176" s="11">
        <v>2.453703703703704E-3</v>
      </c>
      <c r="L176" s="13"/>
    </row>
    <row r="177" spans="1:12" x14ac:dyDescent="0.25">
      <c r="A177" s="3" t="s">
        <v>3221</v>
      </c>
      <c r="B177" s="3" t="s">
        <v>3430</v>
      </c>
      <c r="C177" s="3" t="s">
        <v>317</v>
      </c>
      <c r="D177" s="9">
        <v>413.1</v>
      </c>
      <c r="E177" s="3" t="s">
        <v>3222</v>
      </c>
      <c r="F177" s="3" t="s">
        <v>139</v>
      </c>
      <c r="G177" s="9">
        <v>766.25</v>
      </c>
      <c r="H177" s="10">
        <v>45675.237893518519</v>
      </c>
      <c r="I177" s="10">
        <v>45675.237893518519</v>
      </c>
      <c r="J177" s="10">
        <v>45675.240439814806</v>
      </c>
      <c r="K177" s="11">
        <v>2.5462962962962969E-3</v>
      </c>
      <c r="L177" s="13"/>
    </row>
    <row r="178" spans="1:12" x14ac:dyDescent="0.25">
      <c r="A178" s="3" t="s">
        <v>3221</v>
      </c>
      <c r="B178" s="3" t="s">
        <v>3431</v>
      </c>
      <c r="C178" s="3" t="s">
        <v>318</v>
      </c>
      <c r="D178" s="9">
        <v>256.8</v>
      </c>
      <c r="E178" s="3" t="s">
        <v>3222</v>
      </c>
      <c r="F178" s="3" t="s">
        <v>139</v>
      </c>
      <c r="G178" s="9">
        <v>766.25</v>
      </c>
      <c r="H178" s="10">
        <v>45675.268148148149</v>
      </c>
      <c r="I178" s="10">
        <v>45675.268148148149</v>
      </c>
      <c r="J178" s="10">
        <v>45675.270335648151</v>
      </c>
      <c r="K178" s="11">
        <v>2.1875000000000002E-3</v>
      </c>
      <c r="L178" s="13"/>
    </row>
    <row r="179" spans="1:12" x14ac:dyDescent="0.25">
      <c r="A179" s="3" t="s">
        <v>3221</v>
      </c>
      <c r="B179" s="3" t="s">
        <v>3432</v>
      </c>
      <c r="C179" s="3" t="s">
        <v>319</v>
      </c>
      <c r="D179" s="9">
        <v>592.20000000000005</v>
      </c>
      <c r="E179" s="3" t="s">
        <v>3222</v>
      </c>
      <c r="F179" s="3" t="s">
        <v>142</v>
      </c>
      <c r="G179" s="9">
        <v>556.20000000000005</v>
      </c>
      <c r="H179" s="10">
        <v>45676.729710648149</v>
      </c>
      <c r="I179" s="10">
        <v>45676.729710648149</v>
      </c>
      <c r="J179" s="10">
        <v>45676.732233796298</v>
      </c>
      <c r="K179" s="11">
        <v>2.5231481481481481E-3</v>
      </c>
      <c r="L179" s="13"/>
    </row>
    <row r="180" spans="1:12" x14ac:dyDescent="0.25">
      <c r="A180" s="3" t="s">
        <v>3221</v>
      </c>
      <c r="B180" s="3" t="s">
        <v>3433</v>
      </c>
      <c r="C180" s="3" t="s">
        <v>320</v>
      </c>
      <c r="D180" s="9">
        <v>170.2</v>
      </c>
      <c r="E180" s="3" t="s">
        <v>3222</v>
      </c>
      <c r="F180" s="3" t="s">
        <v>139</v>
      </c>
      <c r="G180" s="9">
        <v>766.25</v>
      </c>
      <c r="H180" s="10">
        <v>45676.841828703713</v>
      </c>
      <c r="I180" s="10">
        <v>45676.841828703713</v>
      </c>
      <c r="J180" s="10">
        <v>45676.843807870369</v>
      </c>
      <c r="K180" s="11">
        <v>1.9791666666666668E-3</v>
      </c>
      <c r="L180" s="13"/>
    </row>
    <row r="181" spans="1:12" x14ac:dyDescent="0.25">
      <c r="A181" s="3" t="s">
        <v>3221</v>
      </c>
      <c r="B181" s="3" t="s">
        <v>3434</v>
      </c>
      <c r="C181" s="3" t="s">
        <v>321</v>
      </c>
      <c r="D181" s="9">
        <v>260.7</v>
      </c>
      <c r="E181" s="3" t="s">
        <v>3222</v>
      </c>
      <c r="F181" s="3" t="s">
        <v>139</v>
      </c>
      <c r="G181" s="9">
        <v>766.25</v>
      </c>
      <c r="H181" s="10">
        <v>45677.102581018517</v>
      </c>
      <c r="I181" s="10">
        <v>45677.102581018517</v>
      </c>
      <c r="J181" s="10">
        <v>45677.104780092603</v>
      </c>
      <c r="K181" s="11">
        <v>2.1990740740740742E-3</v>
      </c>
      <c r="L181" s="13"/>
    </row>
    <row r="182" spans="1:12" x14ac:dyDescent="0.25">
      <c r="A182" s="3" t="s">
        <v>3221</v>
      </c>
      <c r="B182" s="3" t="s">
        <v>3435</v>
      </c>
      <c r="C182" s="3" t="s">
        <v>322</v>
      </c>
      <c r="D182" s="9">
        <v>329.7</v>
      </c>
      <c r="E182" s="3" t="s">
        <v>3222</v>
      </c>
      <c r="F182" s="3" t="s">
        <v>139</v>
      </c>
      <c r="G182" s="9">
        <v>766.25</v>
      </c>
      <c r="H182" s="10">
        <v>45677.188043981478</v>
      </c>
      <c r="I182" s="10">
        <v>45677.188043981478</v>
      </c>
      <c r="J182" s="10">
        <v>45677.190393518518</v>
      </c>
      <c r="K182" s="11">
        <v>2.3495370370370371E-3</v>
      </c>
      <c r="L182" s="13"/>
    </row>
    <row r="183" spans="1:12" x14ac:dyDescent="0.25">
      <c r="A183" s="3" t="s">
        <v>3221</v>
      </c>
      <c r="B183" s="3" t="s">
        <v>3436</v>
      </c>
      <c r="C183" s="3" t="s">
        <v>323</v>
      </c>
      <c r="D183" s="9">
        <v>293.39999999999998</v>
      </c>
      <c r="E183" s="3" t="s">
        <v>3222</v>
      </c>
      <c r="F183" s="3" t="s">
        <v>139</v>
      </c>
      <c r="G183" s="9">
        <v>766.25</v>
      </c>
      <c r="H183" s="10">
        <v>45677.247164351851</v>
      </c>
      <c r="I183" s="10">
        <v>45677.247164351851</v>
      </c>
      <c r="J183" s="10">
        <v>45677.249432870369</v>
      </c>
      <c r="K183" s="11">
        <v>2.2685185185185191E-3</v>
      </c>
      <c r="L183" s="13"/>
    </row>
    <row r="184" spans="1:12" x14ac:dyDescent="0.25">
      <c r="A184" s="3" t="s">
        <v>3221</v>
      </c>
      <c r="B184" s="3" t="s">
        <v>3437</v>
      </c>
      <c r="C184" s="3" t="s">
        <v>324</v>
      </c>
      <c r="D184" s="9">
        <v>594.29999999999995</v>
      </c>
      <c r="E184" s="3" t="s">
        <v>3222</v>
      </c>
      <c r="F184" s="3" t="s">
        <v>169</v>
      </c>
      <c r="G184" s="9">
        <v>476.05</v>
      </c>
      <c r="H184" s="10">
        <v>45677.302199074067</v>
      </c>
      <c r="I184" s="10">
        <v>45677.302199074067</v>
      </c>
      <c r="J184" s="10">
        <v>45677.304560185177</v>
      </c>
      <c r="K184" s="11">
        <v>2.3611111111111111E-3</v>
      </c>
      <c r="L184" s="13"/>
    </row>
    <row r="185" spans="1:12" x14ac:dyDescent="0.25">
      <c r="A185" s="3" t="s">
        <v>3221</v>
      </c>
      <c r="B185" s="3" t="s">
        <v>3438</v>
      </c>
      <c r="C185" s="3" t="s">
        <v>325</v>
      </c>
      <c r="D185" s="9">
        <v>380.8</v>
      </c>
      <c r="E185" s="3" t="s">
        <v>3222</v>
      </c>
      <c r="F185" s="3" t="s">
        <v>139</v>
      </c>
      <c r="G185" s="9">
        <v>766.25</v>
      </c>
      <c r="H185" s="10">
        <v>45677.309756944444</v>
      </c>
      <c r="I185" s="10">
        <v>45677.309756944444</v>
      </c>
      <c r="J185" s="10">
        <v>45677.3122337963</v>
      </c>
      <c r="K185" s="11">
        <v>2.476851851851852E-3</v>
      </c>
      <c r="L185" s="13"/>
    </row>
    <row r="186" spans="1:12" x14ac:dyDescent="0.25">
      <c r="A186" s="3" t="s">
        <v>3221</v>
      </c>
      <c r="B186" s="3" t="s">
        <v>3439</v>
      </c>
      <c r="C186" s="3" t="s">
        <v>326</v>
      </c>
      <c r="D186" s="9">
        <v>330.8</v>
      </c>
      <c r="E186" s="3" t="s">
        <v>3222</v>
      </c>
      <c r="F186" s="3" t="s">
        <v>142</v>
      </c>
      <c r="G186" s="9">
        <v>556.20000000000005</v>
      </c>
      <c r="H186" s="10">
        <v>45677.312615740739</v>
      </c>
      <c r="I186" s="10">
        <v>45677.312615740739</v>
      </c>
      <c r="J186" s="10">
        <v>45677.31453703704</v>
      </c>
      <c r="K186" s="11">
        <v>1.9212962962962959E-3</v>
      </c>
      <c r="L186" s="13"/>
    </row>
    <row r="187" spans="1:12" x14ac:dyDescent="0.25">
      <c r="A187" s="3" t="s">
        <v>3221</v>
      </c>
      <c r="B187" s="3" t="s">
        <v>3440</v>
      </c>
      <c r="C187" s="3" t="s">
        <v>327</v>
      </c>
      <c r="D187" s="9">
        <v>520.79999999999995</v>
      </c>
      <c r="E187" s="3" t="s">
        <v>3222</v>
      </c>
      <c r="F187" s="3" t="s">
        <v>139</v>
      </c>
      <c r="G187" s="9">
        <v>766.25</v>
      </c>
      <c r="H187" s="10">
        <v>45677.363888888889</v>
      </c>
      <c r="I187" s="10">
        <v>45677.363888888889</v>
      </c>
      <c r="J187" s="10">
        <v>45677.366689814808</v>
      </c>
      <c r="K187" s="11">
        <v>2.8009259259259259E-3</v>
      </c>
      <c r="L187" s="13"/>
    </row>
    <row r="188" spans="1:12" x14ac:dyDescent="0.25">
      <c r="A188" s="3" t="s">
        <v>3221</v>
      </c>
      <c r="B188" s="3" t="s">
        <v>3441</v>
      </c>
      <c r="C188" s="3" t="s">
        <v>328</v>
      </c>
      <c r="D188" s="9">
        <v>386.4</v>
      </c>
      <c r="E188" s="3" t="s">
        <v>3222</v>
      </c>
      <c r="F188" s="3" t="s">
        <v>142</v>
      </c>
      <c r="G188" s="9">
        <v>556.20000000000005</v>
      </c>
      <c r="H188" s="10">
        <v>45677.374374999999</v>
      </c>
      <c r="I188" s="10">
        <v>45677.374374999999</v>
      </c>
      <c r="J188" s="10">
        <v>45677.376423611109</v>
      </c>
      <c r="K188" s="11">
        <v>2.0486111111111109E-3</v>
      </c>
      <c r="L188" s="13"/>
    </row>
    <row r="189" spans="1:12" x14ac:dyDescent="0.25">
      <c r="A189" s="3" t="s">
        <v>3221</v>
      </c>
      <c r="B189" s="3" t="s">
        <v>3442</v>
      </c>
      <c r="C189" s="3" t="s">
        <v>329</v>
      </c>
      <c r="D189" s="9">
        <v>319.7</v>
      </c>
      <c r="E189" s="3" t="s">
        <v>3222</v>
      </c>
      <c r="F189" s="3" t="s">
        <v>139</v>
      </c>
      <c r="G189" s="9">
        <v>766.25</v>
      </c>
      <c r="H189" s="10">
        <v>45677.439837962957</v>
      </c>
      <c r="I189" s="10">
        <v>45677.439837962957</v>
      </c>
      <c r="J189" s="10">
        <v>45677.442164351851</v>
      </c>
      <c r="K189" s="11">
        <v>2.3263888888888891E-3</v>
      </c>
      <c r="L189" s="13"/>
    </row>
    <row r="190" spans="1:12" x14ac:dyDescent="0.25">
      <c r="A190" s="3" t="s">
        <v>3221</v>
      </c>
      <c r="B190" s="3" t="s">
        <v>3443</v>
      </c>
      <c r="C190" s="3" t="s">
        <v>330</v>
      </c>
      <c r="D190" s="9">
        <v>105</v>
      </c>
      <c r="E190" s="3" t="s">
        <v>3222</v>
      </c>
      <c r="F190" s="3" t="s">
        <v>139</v>
      </c>
      <c r="G190" s="9">
        <v>766.25</v>
      </c>
      <c r="H190" s="10">
        <v>45677.530717592592</v>
      </c>
      <c r="I190" s="10">
        <v>45677.530717592592</v>
      </c>
      <c r="J190" s="10">
        <v>45677.532546296286</v>
      </c>
      <c r="K190" s="11">
        <v>1.8287037037037039E-3</v>
      </c>
      <c r="L190" s="13"/>
    </row>
    <row r="191" spans="1:12" x14ac:dyDescent="0.25">
      <c r="A191" s="3" t="s">
        <v>3221</v>
      </c>
      <c r="B191" s="3" t="s">
        <v>3444</v>
      </c>
      <c r="C191" s="3" t="s">
        <v>331</v>
      </c>
      <c r="D191" s="9">
        <v>389.1</v>
      </c>
      <c r="E191" s="3" t="s">
        <v>3222</v>
      </c>
      <c r="F191" s="3" t="s">
        <v>139</v>
      </c>
      <c r="G191" s="9">
        <v>766.25</v>
      </c>
      <c r="H191" s="10">
        <v>45677.599351851852</v>
      </c>
      <c r="I191" s="10">
        <v>45677.599351851852</v>
      </c>
      <c r="J191" s="10">
        <v>45677.601840277777</v>
      </c>
      <c r="K191" s="11">
        <v>2.488425925925926E-3</v>
      </c>
      <c r="L191" s="13"/>
    </row>
    <row r="192" spans="1:12" x14ac:dyDescent="0.25">
      <c r="A192" s="3" t="s">
        <v>3221</v>
      </c>
      <c r="B192" s="3" t="s">
        <v>3445</v>
      </c>
      <c r="C192" s="3" t="s">
        <v>332</v>
      </c>
      <c r="D192" s="9">
        <v>301.5</v>
      </c>
      <c r="E192" s="3" t="s">
        <v>3222</v>
      </c>
      <c r="F192" s="3" t="s">
        <v>139</v>
      </c>
      <c r="G192" s="9">
        <v>766.25</v>
      </c>
      <c r="H192" s="10">
        <v>45677.629826388889</v>
      </c>
      <c r="I192" s="10">
        <v>45677.629826388889</v>
      </c>
      <c r="J192" s="10">
        <v>45677.632118055553</v>
      </c>
      <c r="K192" s="11">
        <v>2.2916666666666671E-3</v>
      </c>
      <c r="L192" s="13"/>
    </row>
    <row r="193" spans="1:12" x14ac:dyDescent="0.25">
      <c r="A193" s="3" t="s">
        <v>3221</v>
      </c>
      <c r="B193" s="3" t="s">
        <v>3446</v>
      </c>
      <c r="C193" s="3" t="s">
        <v>333</v>
      </c>
      <c r="D193" s="9">
        <v>229.6</v>
      </c>
      <c r="E193" s="3" t="s">
        <v>3222</v>
      </c>
      <c r="F193" s="3" t="s">
        <v>142</v>
      </c>
      <c r="G193" s="9">
        <v>556.20000000000005</v>
      </c>
      <c r="H193" s="10">
        <v>45677.657442129632</v>
      </c>
      <c r="I193" s="10">
        <v>45677.657442129632</v>
      </c>
      <c r="J193" s="10">
        <v>45677.659131944441</v>
      </c>
      <c r="K193" s="11">
        <v>1.689814814814815E-3</v>
      </c>
      <c r="L193" s="13"/>
    </row>
    <row r="194" spans="1:12" x14ac:dyDescent="0.25">
      <c r="A194" s="3" t="s">
        <v>3221</v>
      </c>
      <c r="B194" s="3" t="s">
        <v>3447</v>
      </c>
      <c r="C194" s="3" t="s">
        <v>334</v>
      </c>
      <c r="D194" s="9">
        <v>110.2</v>
      </c>
      <c r="E194" s="3" t="s">
        <v>3222</v>
      </c>
      <c r="F194" s="3" t="s">
        <v>169</v>
      </c>
      <c r="G194" s="9">
        <v>476.05</v>
      </c>
      <c r="H194" s="10">
        <v>45677.659189814818</v>
      </c>
      <c r="I194" s="10">
        <v>45677.659189814818</v>
      </c>
      <c r="J194" s="10">
        <v>45677.660428240742</v>
      </c>
      <c r="K194" s="11">
        <v>1.238425925925926E-3</v>
      </c>
      <c r="L194" s="13"/>
    </row>
    <row r="195" spans="1:12" x14ac:dyDescent="0.25">
      <c r="A195" s="3" t="s">
        <v>3221</v>
      </c>
      <c r="B195" s="3" t="s">
        <v>3448</v>
      </c>
      <c r="C195" s="3" t="s">
        <v>335</v>
      </c>
      <c r="D195" s="9">
        <v>325.39999999999998</v>
      </c>
      <c r="E195" s="3" t="s">
        <v>3222</v>
      </c>
      <c r="F195" s="3" t="s">
        <v>139</v>
      </c>
      <c r="G195" s="9">
        <v>766.25</v>
      </c>
      <c r="H195" s="10">
        <v>45677.707835648151</v>
      </c>
      <c r="I195" s="10">
        <v>45677.707835648151</v>
      </c>
      <c r="J195" s="10">
        <v>45677.710173611107</v>
      </c>
      <c r="K195" s="11">
        <v>2.3379629629629631E-3</v>
      </c>
      <c r="L195" s="13"/>
    </row>
    <row r="196" spans="1:12" x14ac:dyDescent="0.25">
      <c r="A196" s="3" t="s">
        <v>3221</v>
      </c>
      <c r="B196" s="3" t="s">
        <v>3449</v>
      </c>
      <c r="C196" s="3" t="s">
        <v>336</v>
      </c>
      <c r="D196" s="9">
        <v>398</v>
      </c>
      <c r="E196" s="3" t="s">
        <v>3222</v>
      </c>
      <c r="F196" s="3" t="s">
        <v>139</v>
      </c>
      <c r="G196" s="9">
        <v>766.25</v>
      </c>
      <c r="H196" s="10">
        <v>45677.875381944446</v>
      </c>
      <c r="I196" s="10">
        <v>45677.875381944446</v>
      </c>
      <c r="J196" s="10">
        <v>45677.877893518518</v>
      </c>
      <c r="K196" s="11">
        <v>2.5115740740740741E-3</v>
      </c>
      <c r="L196" s="13"/>
    </row>
    <row r="197" spans="1:12" x14ac:dyDescent="0.25">
      <c r="A197" s="3" t="s">
        <v>3221</v>
      </c>
      <c r="B197" s="3" t="s">
        <v>3450</v>
      </c>
      <c r="C197" s="3" t="s">
        <v>337</v>
      </c>
      <c r="D197" s="9">
        <v>315.60000000000002</v>
      </c>
      <c r="E197" s="3" t="s">
        <v>3222</v>
      </c>
      <c r="F197" s="3" t="s">
        <v>139</v>
      </c>
      <c r="G197" s="9">
        <v>766.25</v>
      </c>
      <c r="H197" s="10">
        <v>45678.117129629631</v>
      </c>
      <c r="I197" s="10">
        <v>45678.117129629631</v>
      </c>
      <c r="J197" s="10">
        <v>45678.119456018518</v>
      </c>
      <c r="K197" s="11">
        <v>2.3263888888888891E-3</v>
      </c>
      <c r="L197" s="13"/>
    </row>
    <row r="198" spans="1:12" x14ac:dyDescent="0.25">
      <c r="A198" s="3" t="s">
        <v>3221</v>
      </c>
      <c r="B198" s="3" t="s">
        <v>3451</v>
      </c>
      <c r="C198" s="3" t="s">
        <v>338</v>
      </c>
      <c r="D198" s="9">
        <v>233.1</v>
      </c>
      <c r="E198" s="3" t="s">
        <v>3222</v>
      </c>
      <c r="F198" s="3" t="s">
        <v>139</v>
      </c>
      <c r="G198" s="9">
        <v>766.25</v>
      </c>
      <c r="H198" s="10">
        <v>45678.274814814817</v>
      </c>
      <c r="I198" s="10">
        <v>45678.274814814817</v>
      </c>
      <c r="J198" s="10">
        <v>45678.276944444442</v>
      </c>
      <c r="K198" s="11">
        <v>2.1296296296296302E-3</v>
      </c>
      <c r="L198" s="13"/>
    </row>
    <row r="199" spans="1:12" x14ac:dyDescent="0.25">
      <c r="A199" s="3" t="s">
        <v>3221</v>
      </c>
      <c r="B199" s="3" t="s">
        <v>3452</v>
      </c>
      <c r="C199" s="3" t="s">
        <v>339</v>
      </c>
      <c r="D199" s="9">
        <v>395</v>
      </c>
      <c r="E199" s="3" t="s">
        <v>3222</v>
      </c>
      <c r="F199" s="3" t="s">
        <v>139</v>
      </c>
      <c r="G199" s="9">
        <v>766.25</v>
      </c>
      <c r="H199" s="10">
        <v>45678.300358796303</v>
      </c>
      <c r="I199" s="10">
        <v>45678.300358796303</v>
      </c>
      <c r="J199" s="10">
        <v>45678.302858796298</v>
      </c>
      <c r="K199" s="11">
        <v>2.5000000000000001E-3</v>
      </c>
      <c r="L199" s="13"/>
    </row>
    <row r="200" spans="1:12" x14ac:dyDescent="0.25">
      <c r="A200" s="3" t="s">
        <v>3221</v>
      </c>
      <c r="B200" s="3" t="s">
        <v>3453</v>
      </c>
      <c r="C200" s="3" t="s">
        <v>340</v>
      </c>
      <c r="D200" s="9">
        <v>381.6</v>
      </c>
      <c r="E200" s="3" t="s">
        <v>3222</v>
      </c>
      <c r="F200" s="3" t="s">
        <v>142</v>
      </c>
      <c r="G200" s="9">
        <v>556.20000000000005</v>
      </c>
      <c r="H200" s="10">
        <v>45678.305960648147</v>
      </c>
      <c r="I200" s="10">
        <v>45678.305960648147</v>
      </c>
      <c r="J200" s="10">
        <v>45678.307997685188</v>
      </c>
      <c r="K200" s="11">
        <v>2.0370370370370369E-3</v>
      </c>
      <c r="L200" s="13"/>
    </row>
    <row r="201" spans="1:12" x14ac:dyDescent="0.25">
      <c r="A201" s="3" t="s">
        <v>3221</v>
      </c>
      <c r="B201" s="3" t="s">
        <v>3454</v>
      </c>
      <c r="C201" s="3" t="s">
        <v>341</v>
      </c>
      <c r="D201" s="9">
        <v>339.1</v>
      </c>
      <c r="E201" s="3" t="s">
        <v>3222</v>
      </c>
      <c r="F201" s="3" t="s">
        <v>169</v>
      </c>
      <c r="G201" s="9">
        <v>476.05</v>
      </c>
      <c r="H201" s="10">
        <v>45678.314085648148</v>
      </c>
      <c r="I201" s="10">
        <v>45678.314085648148</v>
      </c>
      <c r="J201" s="10">
        <v>45678.31585648148</v>
      </c>
      <c r="K201" s="11">
        <v>1.770833333333333E-3</v>
      </c>
      <c r="L201" s="13"/>
    </row>
    <row r="202" spans="1:12" x14ac:dyDescent="0.25">
      <c r="A202" s="3" t="s">
        <v>3221</v>
      </c>
      <c r="B202" s="3" t="s">
        <v>3455</v>
      </c>
      <c r="C202" s="3" t="s">
        <v>342</v>
      </c>
      <c r="D202" s="9">
        <v>469.5</v>
      </c>
      <c r="E202" s="3" t="s">
        <v>3222</v>
      </c>
      <c r="F202" s="3" t="s">
        <v>139</v>
      </c>
      <c r="G202" s="9">
        <v>766.25</v>
      </c>
      <c r="H202" s="10">
        <v>45678.365624999999</v>
      </c>
      <c r="I202" s="10">
        <v>45678.365624999999</v>
      </c>
      <c r="J202" s="10">
        <v>45678.368298611109</v>
      </c>
      <c r="K202" s="11">
        <v>2.673611111111111E-3</v>
      </c>
      <c r="L202" s="13"/>
    </row>
    <row r="203" spans="1:12" x14ac:dyDescent="0.25">
      <c r="A203" s="3" t="s">
        <v>3221</v>
      </c>
      <c r="B203" s="3" t="s">
        <v>3456</v>
      </c>
      <c r="C203" s="3" t="s">
        <v>343</v>
      </c>
      <c r="D203" s="9">
        <v>114.8</v>
      </c>
      <c r="E203" s="3" t="s">
        <v>3222</v>
      </c>
      <c r="F203" s="3" t="s">
        <v>142</v>
      </c>
      <c r="G203" s="9">
        <v>556.20000000000005</v>
      </c>
      <c r="H203" s="10">
        <v>45678.376006944447</v>
      </c>
      <c r="I203" s="10">
        <v>45678.376006944447</v>
      </c>
      <c r="J203" s="10">
        <v>45678.377430555563</v>
      </c>
      <c r="K203" s="11">
        <v>1.423611111111111E-3</v>
      </c>
      <c r="L203" s="13"/>
    </row>
    <row r="204" spans="1:12" x14ac:dyDescent="0.25">
      <c r="A204" s="3" t="s">
        <v>3221</v>
      </c>
      <c r="B204" s="3" t="s">
        <v>3457</v>
      </c>
      <c r="C204" s="3" t="s">
        <v>344</v>
      </c>
      <c r="D204" s="9">
        <v>418.4</v>
      </c>
      <c r="E204" s="3" t="s">
        <v>3222</v>
      </c>
      <c r="F204" s="3" t="s">
        <v>139</v>
      </c>
      <c r="G204" s="9">
        <v>766.25</v>
      </c>
      <c r="H204" s="10">
        <v>45678.418726851851</v>
      </c>
      <c r="I204" s="10">
        <v>45678.418726851851</v>
      </c>
      <c r="J204" s="10">
        <v>45678.421284722222</v>
      </c>
      <c r="K204" s="11">
        <v>2.5578703703703709E-3</v>
      </c>
      <c r="L204" s="13"/>
    </row>
    <row r="205" spans="1:12" x14ac:dyDescent="0.25">
      <c r="A205" s="3" t="s">
        <v>3221</v>
      </c>
      <c r="B205" s="3" t="s">
        <v>3458</v>
      </c>
      <c r="C205" s="3" t="s">
        <v>345</v>
      </c>
      <c r="D205" s="9">
        <v>398</v>
      </c>
      <c r="E205" s="3" t="s">
        <v>3222</v>
      </c>
      <c r="F205" s="3" t="s">
        <v>139</v>
      </c>
      <c r="G205" s="9">
        <v>766.25</v>
      </c>
      <c r="H205" s="10">
        <v>45678.602129629631</v>
      </c>
      <c r="I205" s="10">
        <v>45678.602129629631</v>
      </c>
      <c r="J205" s="10">
        <v>45678.604641203703</v>
      </c>
      <c r="K205" s="11">
        <v>2.5115740740740741E-3</v>
      </c>
      <c r="L205" s="13"/>
    </row>
    <row r="206" spans="1:12" x14ac:dyDescent="0.25">
      <c r="A206" s="3" t="s">
        <v>3221</v>
      </c>
      <c r="B206" s="3" t="s">
        <v>3459</v>
      </c>
      <c r="C206" s="3" t="s">
        <v>346</v>
      </c>
      <c r="D206" s="9">
        <v>582.4</v>
      </c>
      <c r="E206" s="3" t="s">
        <v>3222</v>
      </c>
      <c r="F206" s="3" t="s">
        <v>142</v>
      </c>
      <c r="G206" s="9">
        <v>556.20000000000005</v>
      </c>
      <c r="H206" s="10">
        <v>45678.608634259261</v>
      </c>
      <c r="I206" s="10">
        <v>45678.608634259261</v>
      </c>
      <c r="J206" s="10">
        <v>45678.611134259263</v>
      </c>
      <c r="K206" s="11">
        <v>2.5000000000000001E-3</v>
      </c>
      <c r="L206" s="13"/>
    </row>
    <row r="207" spans="1:12" x14ac:dyDescent="0.25">
      <c r="A207" s="3" t="s">
        <v>3221</v>
      </c>
      <c r="B207" s="3" t="s">
        <v>3460</v>
      </c>
      <c r="C207" s="3" t="s">
        <v>347</v>
      </c>
      <c r="D207" s="9">
        <v>125.9</v>
      </c>
      <c r="E207" s="3" t="s">
        <v>3222</v>
      </c>
      <c r="F207" s="3" t="s">
        <v>139</v>
      </c>
      <c r="G207" s="9">
        <v>766.25</v>
      </c>
      <c r="H207" s="10">
        <v>45678.625428240739</v>
      </c>
      <c r="I207" s="10">
        <v>45678.625428240739</v>
      </c>
      <c r="J207" s="10">
        <v>45678.627314814818</v>
      </c>
      <c r="K207" s="11">
        <v>1.8865740740740739E-3</v>
      </c>
      <c r="L207" s="13"/>
    </row>
    <row r="208" spans="1:12" x14ac:dyDescent="0.25">
      <c r="A208" s="3" t="s">
        <v>3221</v>
      </c>
      <c r="B208" s="3" t="s">
        <v>3461</v>
      </c>
      <c r="C208" s="3" t="s">
        <v>348</v>
      </c>
      <c r="D208" s="9">
        <v>187.4</v>
      </c>
      <c r="E208" s="3" t="s">
        <v>3222</v>
      </c>
      <c r="F208" s="3" t="s">
        <v>139</v>
      </c>
      <c r="G208" s="9">
        <v>766.25</v>
      </c>
      <c r="H208" s="10">
        <v>45678.868263888893</v>
      </c>
      <c r="I208" s="10">
        <v>45678.868263888893</v>
      </c>
      <c r="J208" s="10">
        <v>45678.870289351849</v>
      </c>
      <c r="K208" s="11">
        <v>2.0254629629629629E-3</v>
      </c>
      <c r="L208" s="13"/>
    </row>
    <row r="209" spans="1:12" x14ac:dyDescent="0.25">
      <c r="A209" s="3" t="s">
        <v>3221</v>
      </c>
      <c r="B209" s="3" t="s">
        <v>3462</v>
      </c>
      <c r="C209" s="3" t="s">
        <v>349</v>
      </c>
      <c r="D209" s="9">
        <v>298.60000000000002</v>
      </c>
      <c r="E209" s="3" t="s">
        <v>3222</v>
      </c>
      <c r="F209" s="3" t="s">
        <v>139</v>
      </c>
      <c r="G209" s="9">
        <v>766.25</v>
      </c>
      <c r="H209" s="10">
        <v>45679.102962962963</v>
      </c>
      <c r="I209" s="10">
        <v>45679.102962962963</v>
      </c>
      <c r="J209" s="10">
        <v>45679.105243055557</v>
      </c>
      <c r="K209" s="11">
        <v>2.2800925925925931E-3</v>
      </c>
      <c r="L209" s="13"/>
    </row>
    <row r="210" spans="1:12" x14ac:dyDescent="0.25">
      <c r="A210" s="3" t="s">
        <v>3221</v>
      </c>
      <c r="B210" s="3" t="s">
        <v>3463</v>
      </c>
      <c r="C210" s="3" t="s">
        <v>350</v>
      </c>
      <c r="D210" s="9">
        <v>366.6</v>
      </c>
      <c r="E210" s="3" t="s">
        <v>3222</v>
      </c>
      <c r="F210" s="3" t="s">
        <v>139</v>
      </c>
      <c r="G210" s="9">
        <v>766.25</v>
      </c>
      <c r="H210" s="10">
        <v>45679.189895833333</v>
      </c>
      <c r="I210" s="10">
        <v>45679.189895833333</v>
      </c>
      <c r="J210" s="10">
        <v>45679.192337962973</v>
      </c>
      <c r="K210" s="11">
        <v>2.44212962962963E-3</v>
      </c>
      <c r="L210" s="13"/>
    </row>
    <row r="211" spans="1:12" x14ac:dyDescent="0.25">
      <c r="A211" s="3" t="s">
        <v>3221</v>
      </c>
      <c r="B211" s="3" t="s">
        <v>3464</v>
      </c>
      <c r="C211" s="3" t="s">
        <v>351</v>
      </c>
      <c r="D211" s="9">
        <v>291.7</v>
      </c>
      <c r="E211" s="3" t="s">
        <v>3222</v>
      </c>
      <c r="F211" s="3" t="s">
        <v>139</v>
      </c>
      <c r="G211" s="9">
        <v>766.25</v>
      </c>
      <c r="H211" s="10">
        <v>45679.264374999999</v>
      </c>
      <c r="I211" s="10">
        <v>45679.264374999999</v>
      </c>
      <c r="J211" s="10">
        <v>45679.266643518517</v>
      </c>
      <c r="K211" s="11">
        <v>2.2685185185185191E-3</v>
      </c>
      <c r="L211" s="13"/>
    </row>
    <row r="212" spans="1:12" x14ac:dyDescent="0.25">
      <c r="A212" s="3" t="s">
        <v>3221</v>
      </c>
      <c r="B212" s="3" t="s">
        <v>3465</v>
      </c>
      <c r="C212" s="3" t="s">
        <v>352</v>
      </c>
      <c r="D212" s="9">
        <v>467.5</v>
      </c>
      <c r="E212" s="3" t="s">
        <v>3222</v>
      </c>
      <c r="F212" s="3" t="s">
        <v>139</v>
      </c>
      <c r="G212" s="9">
        <v>766.25</v>
      </c>
      <c r="H212" s="10">
        <v>45679.281840277778</v>
      </c>
      <c r="I212" s="10">
        <v>45679.281840277778</v>
      </c>
      <c r="J212" s="10">
        <v>45679.284513888888</v>
      </c>
      <c r="K212" s="11">
        <v>2.673611111111111E-3</v>
      </c>
      <c r="L212" s="13"/>
    </row>
    <row r="213" spans="1:12" x14ac:dyDescent="0.25">
      <c r="A213" s="3" t="s">
        <v>3221</v>
      </c>
      <c r="B213" s="3" t="s">
        <v>3466</v>
      </c>
      <c r="C213" s="3" t="s">
        <v>353</v>
      </c>
      <c r="D213" s="9">
        <v>330.7</v>
      </c>
      <c r="E213" s="3" t="s">
        <v>3222</v>
      </c>
      <c r="F213" s="3" t="s">
        <v>142</v>
      </c>
      <c r="G213" s="9">
        <v>556.20000000000005</v>
      </c>
      <c r="H213" s="10">
        <v>45679.311539351853</v>
      </c>
      <c r="I213" s="10">
        <v>45679.311539351853</v>
      </c>
      <c r="J213" s="10">
        <v>45679.313460648147</v>
      </c>
      <c r="K213" s="11">
        <v>1.9212962962962959E-3</v>
      </c>
      <c r="L213" s="13"/>
    </row>
    <row r="214" spans="1:12" x14ac:dyDescent="0.25">
      <c r="A214" s="3" t="s">
        <v>3221</v>
      </c>
      <c r="B214" s="3" t="s">
        <v>3467</v>
      </c>
      <c r="C214" s="3" t="s">
        <v>354</v>
      </c>
      <c r="D214" s="9">
        <v>295.39999999999998</v>
      </c>
      <c r="E214" s="3" t="s">
        <v>3222</v>
      </c>
      <c r="F214" s="3" t="s">
        <v>139</v>
      </c>
      <c r="G214" s="9">
        <v>766.25</v>
      </c>
      <c r="H214" s="10">
        <v>45679.331388888888</v>
      </c>
      <c r="I214" s="10">
        <v>45679.331388888888</v>
      </c>
      <c r="J214" s="10">
        <v>45679.333657407413</v>
      </c>
      <c r="K214" s="11">
        <v>2.2685185185185191E-3</v>
      </c>
      <c r="L214" s="13"/>
    </row>
    <row r="215" spans="1:12" x14ac:dyDescent="0.25">
      <c r="A215" s="3" t="s">
        <v>3221</v>
      </c>
      <c r="B215" s="3" t="s">
        <v>3468</v>
      </c>
      <c r="C215" s="3" t="s">
        <v>355</v>
      </c>
      <c r="D215" s="9">
        <v>331.2</v>
      </c>
      <c r="E215" s="3" t="s">
        <v>3222</v>
      </c>
      <c r="F215" s="3" t="s">
        <v>139</v>
      </c>
      <c r="G215" s="9">
        <v>766.25</v>
      </c>
      <c r="H215" s="10">
        <v>45679.348773148151</v>
      </c>
      <c r="I215" s="10">
        <v>45679.348773148151</v>
      </c>
      <c r="J215" s="10">
        <v>45679.351134259261</v>
      </c>
      <c r="K215" s="11">
        <v>2.3611111111111111E-3</v>
      </c>
      <c r="L215" s="13"/>
    </row>
    <row r="216" spans="1:12" x14ac:dyDescent="0.25">
      <c r="A216" s="3" t="s">
        <v>3221</v>
      </c>
      <c r="B216" s="3" t="s">
        <v>3469</v>
      </c>
      <c r="C216" s="3" t="s">
        <v>356</v>
      </c>
      <c r="D216" s="9">
        <v>515.20000000000005</v>
      </c>
      <c r="E216" s="3" t="s">
        <v>3222</v>
      </c>
      <c r="F216" s="3" t="s">
        <v>139</v>
      </c>
      <c r="G216" s="9">
        <v>766.25</v>
      </c>
      <c r="H216" s="10">
        <v>45679.37909722222</v>
      </c>
      <c r="I216" s="10">
        <v>45679.37909722222</v>
      </c>
      <c r="J216" s="10">
        <v>45679.381874999999</v>
      </c>
      <c r="K216" s="11">
        <v>2.7777777777777779E-3</v>
      </c>
      <c r="L216" s="13"/>
    </row>
    <row r="217" spans="1:12" x14ac:dyDescent="0.25">
      <c r="A217" s="3" t="s">
        <v>3221</v>
      </c>
      <c r="B217" s="3" t="s">
        <v>3470</v>
      </c>
      <c r="C217" s="3" t="s">
        <v>357</v>
      </c>
      <c r="D217" s="9">
        <v>446.2</v>
      </c>
      <c r="E217" s="3" t="s">
        <v>3222</v>
      </c>
      <c r="F217" s="3" t="s">
        <v>139</v>
      </c>
      <c r="G217" s="9">
        <v>766.25</v>
      </c>
      <c r="H217" s="10">
        <v>45679.432384259257</v>
      </c>
      <c r="I217" s="10">
        <v>45679.432384259257</v>
      </c>
      <c r="J217" s="10">
        <v>45679.435011574067</v>
      </c>
      <c r="K217" s="11">
        <v>2.627314814814815E-3</v>
      </c>
      <c r="L217" s="13"/>
    </row>
    <row r="218" spans="1:12" x14ac:dyDescent="0.25">
      <c r="A218" s="3" t="s">
        <v>3221</v>
      </c>
      <c r="B218" s="3" t="s">
        <v>3471</v>
      </c>
      <c r="C218" s="3" t="s">
        <v>358</v>
      </c>
      <c r="D218" s="9">
        <v>33.9</v>
      </c>
      <c r="E218" s="3" t="s">
        <v>3222</v>
      </c>
      <c r="F218" s="3" t="s">
        <v>164</v>
      </c>
      <c r="G218" s="9">
        <v>587.14</v>
      </c>
      <c r="H218" s="10">
        <v>45679.541504629633</v>
      </c>
      <c r="I218" s="10">
        <v>45679.541504629633</v>
      </c>
      <c r="J218" s="10">
        <v>45679.542800925927</v>
      </c>
      <c r="K218" s="11">
        <v>1.296296296296296E-3</v>
      </c>
      <c r="L218" s="13"/>
    </row>
    <row r="219" spans="1:12" x14ac:dyDescent="0.25">
      <c r="A219" s="3" t="s">
        <v>3221</v>
      </c>
      <c r="B219" s="3" t="s">
        <v>3472</v>
      </c>
      <c r="C219" s="3" t="s">
        <v>359</v>
      </c>
      <c r="D219" s="9">
        <v>63</v>
      </c>
      <c r="E219" s="3" t="s">
        <v>3222</v>
      </c>
      <c r="F219" s="3" t="s">
        <v>164</v>
      </c>
      <c r="G219" s="9">
        <v>587.14</v>
      </c>
      <c r="H219" s="10">
        <v>45679.633287037039</v>
      </c>
      <c r="I219" s="10">
        <v>45679.633287037039</v>
      </c>
      <c r="J219" s="10">
        <v>45679.634652777779</v>
      </c>
      <c r="K219" s="11">
        <v>1.3657407407407409E-3</v>
      </c>
      <c r="L219" s="13"/>
    </row>
    <row r="220" spans="1:12" x14ac:dyDescent="0.25">
      <c r="A220" s="3" t="s">
        <v>3221</v>
      </c>
      <c r="B220" s="3" t="s">
        <v>3473</v>
      </c>
      <c r="C220" s="3" t="s">
        <v>360</v>
      </c>
      <c r="D220" s="9">
        <v>591.5</v>
      </c>
      <c r="E220" s="3" t="s">
        <v>3222</v>
      </c>
      <c r="F220" s="3" t="s">
        <v>142</v>
      </c>
      <c r="G220" s="9">
        <v>556.20000000000005</v>
      </c>
      <c r="H220" s="10">
        <v>45679.722812499997</v>
      </c>
      <c r="I220" s="10">
        <v>45679.722812499997</v>
      </c>
      <c r="J220" s="10">
        <v>45679.725335648152</v>
      </c>
      <c r="K220" s="11">
        <v>2.5231481481481481E-3</v>
      </c>
      <c r="L220" s="13"/>
    </row>
    <row r="221" spans="1:12" x14ac:dyDescent="0.25">
      <c r="A221" s="3" t="s">
        <v>3221</v>
      </c>
      <c r="B221" s="3" t="s">
        <v>3474</v>
      </c>
      <c r="C221" s="3" t="s">
        <v>361</v>
      </c>
      <c r="D221" s="9">
        <v>325.39999999999998</v>
      </c>
      <c r="E221" s="3" t="s">
        <v>3222</v>
      </c>
      <c r="F221" s="3" t="s">
        <v>139</v>
      </c>
      <c r="G221" s="9">
        <v>766.25</v>
      </c>
      <c r="H221" s="10">
        <v>45679.731099537043</v>
      </c>
      <c r="I221" s="10">
        <v>45679.731099537043</v>
      </c>
      <c r="J221" s="10">
        <v>45679.733437499999</v>
      </c>
      <c r="K221" s="11">
        <v>2.3379629629629631E-3</v>
      </c>
      <c r="L221" s="13"/>
    </row>
    <row r="222" spans="1:12" x14ac:dyDescent="0.25">
      <c r="A222" s="3" t="s">
        <v>3221</v>
      </c>
      <c r="B222" s="3" t="s">
        <v>3475</v>
      </c>
      <c r="C222" s="3" t="s">
        <v>362</v>
      </c>
      <c r="D222" s="9">
        <v>74.599999999999994</v>
      </c>
      <c r="E222" s="3" t="s">
        <v>3222</v>
      </c>
      <c r="F222" s="3" t="s">
        <v>139</v>
      </c>
      <c r="G222" s="9">
        <v>766.25</v>
      </c>
      <c r="H222" s="10">
        <v>45679.741932870369</v>
      </c>
      <c r="I222" s="10">
        <v>45679.741932870369</v>
      </c>
      <c r="J222" s="10">
        <v>45679.743692129632</v>
      </c>
      <c r="K222" s="11">
        <v>1.759259259259259E-3</v>
      </c>
      <c r="L222" s="13"/>
    </row>
    <row r="223" spans="1:12" x14ac:dyDescent="0.25">
      <c r="A223" s="3" t="s">
        <v>3221</v>
      </c>
      <c r="B223" s="3" t="s">
        <v>3476</v>
      </c>
      <c r="C223" s="3" t="s">
        <v>363</v>
      </c>
      <c r="D223" s="9">
        <v>298.7</v>
      </c>
      <c r="E223" s="3" t="s">
        <v>3222</v>
      </c>
      <c r="F223" s="3" t="s">
        <v>139</v>
      </c>
      <c r="G223" s="9">
        <v>766.25</v>
      </c>
      <c r="H223" s="10">
        <v>45679.835023148153</v>
      </c>
      <c r="I223" s="10">
        <v>45679.835023148153</v>
      </c>
      <c r="J223" s="10">
        <v>45679.83730324074</v>
      </c>
      <c r="K223" s="11">
        <v>2.2800925925925931E-3</v>
      </c>
      <c r="L223" s="13"/>
    </row>
    <row r="224" spans="1:12" x14ac:dyDescent="0.25">
      <c r="A224" s="3" t="s">
        <v>3221</v>
      </c>
      <c r="B224" s="3" t="s">
        <v>3477</v>
      </c>
      <c r="C224" s="3" t="s">
        <v>364</v>
      </c>
      <c r="D224" s="9">
        <v>310.39999999999998</v>
      </c>
      <c r="E224" s="3" t="s">
        <v>3222</v>
      </c>
      <c r="F224" s="3" t="s">
        <v>139</v>
      </c>
      <c r="G224" s="9">
        <v>766.25</v>
      </c>
      <c r="H224" s="10">
        <v>45680.112175925933</v>
      </c>
      <c r="I224" s="10">
        <v>45680.112175925933</v>
      </c>
      <c r="J224" s="10">
        <v>45680.114490740743</v>
      </c>
      <c r="K224" s="11">
        <v>2.3148148148148151E-3</v>
      </c>
      <c r="L224" s="13"/>
    </row>
    <row r="225" spans="1:12" x14ac:dyDescent="0.25">
      <c r="A225" s="3" t="s">
        <v>3221</v>
      </c>
      <c r="B225" s="3" t="s">
        <v>3478</v>
      </c>
      <c r="C225" s="3" t="s">
        <v>365</v>
      </c>
      <c r="D225" s="9">
        <v>144.4</v>
      </c>
      <c r="E225" s="3" t="s">
        <v>3222</v>
      </c>
      <c r="F225" s="3" t="s">
        <v>139</v>
      </c>
      <c r="G225" s="9">
        <v>766.25</v>
      </c>
      <c r="H225" s="10">
        <v>45680.263206018521</v>
      </c>
      <c r="I225" s="10">
        <v>45680.263206018521</v>
      </c>
      <c r="J225" s="10">
        <v>45680.265127314808</v>
      </c>
      <c r="K225" s="11">
        <v>1.9212962962962959E-3</v>
      </c>
      <c r="L225" s="13"/>
    </row>
    <row r="226" spans="1:12" x14ac:dyDescent="0.25">
      <c r="A226" s="3" t="s">
        <v>3221</v>
      </c>
      <c r="B226" s="3" t="s">
        <v>3479</v>
      </c>
      <c r="C226" s="3" t="s">
        <v>366</v>
      </c>
      <c r="D226" s="9">
        <v>257.60000000000002</v>
      </c>
      <c r="E226" s="3" t="s">
        <v>3222</v>
      </c>
      <c r="F226" s="3" t="s">
        <v>139</v>
      </c>
      <c r="G226" s="9">
        <v>766.25</v>
      </c>
      <c r="H226" s="10">
        <v>45680.281458333331</v>
      </c>
      <c r="I226" s="10">
        <v>45680.281458333331</v>
      </c>
      <c r="J226" s="10">
        <v>45680.283645833333</v>
      </c>
      <c r="K226" s="11">
        <v>2.1875000000000002E-3</v>
      </c>
      <c r="L226" s="13"/>
    </row>
    <row r="227" spans="1:12" x14ac:dyDescent="0.25">
      <c r="A227" s="3" t="s">
        <v>3221</v>
      </c>
      <c r="B227" s="3" t="s">
        <v>3480</v>
      </c>
      <c r="C227" s="3" t="s">
        <v>367</v>
      </c>
      <c r="D227" s="9">
        <v>205.5</v>
      </c>
      <c r="E227" s="3" t="s">
        <v>3222</v>
      </c>
      <c r="F227" s="3" t="s">
        <v>142</v>
      </c>
      <c r="G227" s="9">
        <v>556.20000000000005</v>
      </c>
      <c r="H227" s="10">
        <v>45680.295266203713</v>
      </c>
      <c r="I227" s="10">
        <v>45680.295266203713</v>
      </c>
      <c r="J227" s="10">
        <v>45680.296898148154</v>
      </c>
      <c r="K227" s="11">
        <v>1.631944444444445E-3</v>
      </c>
      <c r="L227" s="13"/>
    </row>
    <row r="228" spans="1:12" x14ac:dyDescent="0.25">
      <c r="A228" s="3" t="s">
        <v>3221</v>
      </c>
      <c r="B228" s="3" t="s">
        <v>3481</v>
      </c>
      <c r="C228" s="3" t="s">
        <v>368</v>
      </c>
      <c r="D228" s="9">
        <v>397.3</v>
      </c>
      <c r="E228" s="3" t="s">
        <v>3222</v>
      </c>
      <c r="F228" s="3" t="s">
        <v>139</v>
      </c>
      <c r="G228" s="9">
        <v>766.25</v>
      </c>
      <c r="H228" s="10">
        <v>45680.319085648152</v>
      </c>
      <c r="I228" s="10">
        <v>45680.319085648152</v>
      </c>
      <c r="J228" s="10">
        <v>45680.321597222217</v>
      </c>
      <c r="K228" s="11">
        <v>2.5115740740740741E-3</v>
      </c>
      <c r="L228" s="13"/>
    </row>
    <row r="229" spans="1:12" x14ac:dyDescent="0.25">
      <c r="A229" s="3" t="s">
        <v>3221</v>
      </c>
      <c r="B229" s="3" t="s">
        <v>3482</v>
      </c>
      <c r="C229" s="3" t="s">
        <v>369</v>
      </c>
      <c r="D229" s="9">
        <v>396.5</v>
      </c>
      <c r="E229" s="3" t="s">
        <v>3222</v>
      </c>
      <c r="F229" s="3" t="s">
        <v>139</v>
      </c>
      <c r="G229" s="9">
        <v>766.25</v>
      </c>
      <c r="H229" s="10">
        <v>45680.361284722218</v>
      </c>
      <c r="I229" s="10">
        <v>45680.361284722218</v>
      </c>
      <c r="J229" s="10">
        <v>45680.363796296297</v>
      </c>
      <c r="K229" s="11">
        <v>2.5115740740740741E-3</v>
      </c>
      <c r="L229" s="13"/>
    </row>
    <row r="230" spans="1:12" x14ac:dyDescent="0.25">
      <c r="A230" s="3" t="s">
        <v>3221</v>
      </c>
      <c r="B230" s="3" t="s">
        <v>3483</v>
      </c>
      <c r="C230" s="3" t="s">
        <v>370</v>
      </c>
      <c r="D230" s="9">
        <v>543.9</v>
      </c>
      <c r="E230" s="3" t="s">
        <v>3222</v>
      </c>
      <c r="F230" s="3" t="s">
        <v>142</v>
      </c>
      <c r="G230" s="9">
        <v>556.20000000000005</v>
      </c>
      <c r="H230" s="10">
        <v>45680.376377314817</v>
      </c>
      <c r="I230" s="10">
        <v>45680.376377314817</v>
      </c>
      <c r="J230" s="10">
        <v>45680.378784722219</v>
      </c>
      <c r="K230" s="11">
        <v>2.407407407407408E-3</v>
      </c>
      <c r="L230" s="13"/>
    </row>
    <row r="231" spans="1:12" x14ac:dyDescent="0.25">
      <c r="A231" s="3" t="s">
        <v>3221</v>
      </c>
      <c r="B231" s="3" t="s">
        <v>3484</v>
      </c>
      <c r="C231" s="3" t="s">
        <v>371</v>
      </c>
      <c r="D231" s="9">
        <v>448.7</v>
      </c>
      <c r="E231" s="3" t="s">
        <v>3222</v>
      </c>
      <c r="F231" s="3" t="s">
        <v>139</v>
      </c>
      <c r="G231" s="9">
        <v>766.25</v>
      </c>
      <c r="H231" s="10">
        <v>45680.43478009259</v>
      </c>
      <c r="I231" s="10">
        <v>45680.43478009259</v>
      </c>
      <c r="J231" s="10">
        <v>45680.437407407408</v>
      </c>
      <c r="K231" s="11">
        <v>2.627314814814815E-3</v>
      </c>
      <c r="L231" s="13"/>
    </row>
    <row r="232" spans="1:12" x14ac:dyDescent="0.25">
      <c r="A232" s="3" t="s">
        <v>3221</v>
      </c>
      <c r="B232" s="3" t="s">
        <v>3485</v>
      </c>
      <c r="C232" s="3" t="s">
        <v>372</v>
      </c>
      <c r="D232" s="9">
        <v>396.6</v>
      </c>
      <c r="E232" s="3" t="s">
        <v>3222</v>
      </c>
      <c r="F232" s="3" t="s">
        <v>139</v>
      </c>
      <c r="G232" s="9">
        <v>766.25</v>
      </c>
      <c r="H232" s="10">
        <v>45680.601944444446</v>
      </c>
      <c r="I232" s="10">
        <v>45680.601944444446</v>
      </c>
      <c r="J232" s="10">
        <v>45680.604456018518</v>
      </c>
      <c r="K232" s="11">
        <v>2.5115740740740741E-3</v>
      </c>
      <c r="L232" s="13"/>
    </row>
    <row r="233" spans="1:12" x14ac:dyDescent="0.25">
      <c r="A233" s="3" t="s">
        <v>3221</v>
      </c>
      <c r="B233" s="3" t="s">
        <v>3486</v>
      </c>
      <c r="C233" s="3" t="s">
        <v>373</v>
      </c>
      <c r="D233" s="9">
        <v>318.39999999999998</v>
      </c>
      <c r="E233" s="3" t="s">
        <v>3222</v>
      </c>
      <c r="F233" s="3" t="s">
        <v>142</v>
      </c>
      <c r="G233" s="9">
        <v>556.20000000000005</v>
      </c>
      <c r="H233" s="10">
        <v>45680.611550925933</v>
      </c>
      <c r="I233" s="10">
        <v>45680.611550925933</v>
      </c>
      <c r="J233" s="10">
        <v>45680.613437499997</v>
      </c>
      <c r="K233" s="11">
        <v>1.8865740740740739E-3</v>
      </c>
      <c r="L233" s="13"/>
    </row>
    <row r="234" spans="1:12" x14ac:dyDescent="0.25">
      <c r="A234" s="3" t="s">
        <v>3221</v>
      </c>
      <c r="B234" s="3" t="s">
        <v>3487</v>
      </c>
      <c r="C234" s="3" t="s">
        <v>374</v>
      </c>
      <c r="D234" s="9">
        <v>94.4</v>
      </c>
      <c r="E234" s="3" t="s">
        <v>3222</v>
      </c>
      <c r="F234" s="3" t="s">
        <v>139</v>
      </c>
      <c r="G234" s="9">
        <v>766.25</v>
      </c>
      <c r="H234" s="10">
        <v>45680.642928240741</v>
      </c>
      <c r="I234" s="10">
        <v>45680.642928240741</v>
      </c>
      <c r="J234" s="10">
        <v>45680.644733796304</v>
      </c>
      <c r="K234" s="11">
        <v>1.805555555555555E-3</v>
      </c>
      <c r="L234" s="13"/>
    </row>
    <row r="235" spans="1:12" x14ac:dyDescent="0.25">
      <c r="A235" s="3" t="s">
        <v>3221</v>
      </c>
      <c r="B235" s="3" t="s">
        <v>3488</v>
      </c>
      <c r="C235" s="3" t="s">
        <v>375</v>
      </c>
      <c r="D235" s="9">
        <v>144.4</v>
      </c>
      <c r="E235" s="3" t="s">
        <v>3222</v>
      </c>
      <c r="F235" s="3" t="s">
        <v>139</v>
      </c>
      <c r="G235" s="9">
        <v>766.25</v>
      </c>
      <c r="H235" s="10">
        <v>45680.654942129629</v>
      </c>
      <c r="I235" s="10">
        <v>45680.654942129629</v>
      </c>
      <c r="J235" s="10">
        <v>45680.656863425917</v>
      </c>
      <c r="K235" s="11">
        <v>1.9212962962962959E-3</v>
      </c>
      <c r="L235" s="13"/>
    </row>
    <row r="236" spans="1:12" x14ac:dyDescent="0.25">
      <c r="A236" s="3" t="s">
        <v>3221</v>
      </c>
      <c r="B236" s="3" t="s">
        <v>3489</v>
      </c>
      <c r="C236" s="3" t="s">
        <v>376</v>
      </c>
      <c r="D236" s="9">
        <v>331.3</v>
      </c>
      <c r="E236" s="3" t="s">
        <v>3222</v>
      </c>
      <c r="F236" s="3" t="s">
        <v>139</v>
      </c>
      <c r="G236" s="9">
        <v>766.25</v>
      </c>
      <c r="H236" s="10">
        <v>45680.708553240736</v>
      </c>
      <c r="I236" s="10">
        <v>45680.708553240736</v>
      </c>
      <c r="J236" s="10">
        <v>45680.710914351846</v>
      </c>
      <c r="K236" s="11">
        <v>2.3611111111111111E-3</v>
      </c>
      <c r="L236" s="13"/>
    </row>
    <row r="237" spans="1:12" x14ac:dyDescent="0.25">
      <c r="A237" s="3" t="s">
        <v>3221</v>
      </c>
      <c r="B237" s="3" t="s">
        <v>3490</v>
      </c>
      <c r="C237" s="3" t="s">
        <v>377</v>
      </c>
      <c r="D237" s="9">
        <v>54.7</v>
      </c>
      <c r="E237" s="3" t="s">
        <v>3222</v>
      </c>
      <c r="F237" s="3" t="s">
        <v>164</v>
      </c>
      <c r="G237" s="9">
        <v>587.14</v>
      </c>
      <c r="H237" s="10">
        <v>45680.733252314807</v>
      </c>
      <c r="I237" s="10">
        <v>45680.733252314807</v>
      </c>
      <c r="J237" s="10">
        <v>45680.734594907408</v>
      </c>
      <c r="K237" s="11">
        <v>1.3425925925925921E-3</v>
      </c>
      <c r="L237" s="13"/>
    </row>
    <row r="238" spans="1:12" x14ac:dyDescent="0.25">
      <c r="A238" s="3" t="s">
        <v>3221</v>
      </c>
      <c r="B238" s="3" t="s">
        <v>3491</v>
      </c>
      <c r="C238" s="3" t="s">
        <v>378</v>
      </c>
      <c r="D238" s="9">
        <v>85.5</v>
      </c>
      <c r="E238" s="3" t="s">
        <v>3222</v>
      </c>
      <c r="F238" s="3" t="s">
        <v>139</v>
      </c>
      <c r="G238" s="9">
        <v>766.25</v>
      </c>
      <c r="H238" s="10">
        <v>45680.873379629629</v>
      </c>
      <c r="I238" s="10">
        <v>45680.873379629629</v>
      </c>
      <c r="J238" s="10">
        <v>45680.875173611108</v>
      </c>
      <c r="K238" s="11">
        <v>1.793981481481481E-3</v>
      </c>
      <c r="L238" s="13"/>
    </row>
    <row r="239" spans="1:12" x14ac:dyDescent="0.25">
      <c r="A239" s="3" t="s">
        <v>3221</v>
      </c>
      <c r="B239" s="3" t="s">
        <v>3492</v>
      </c>
      <c r="C239" s="3" t="s">
        <v>379</v>
      </c>
      <c r="D239" s="9">
        <v>295.2</v>
      </c>
      <c r="E239" s="3" t="s">
        <v>3222</v>
      </c>
      <c r="F239" s="3" t="s">
        <v>139</v>
      </c>
      <c r="G239" s="9">
        <v>766.25</v>
      </c>
      <c r="H239" s="10">
        <v>45681.110520833332</v>
      </c>
      <c r="I239" s="10">
        <v>45681.110520833332</v>
      </c>
      <c r="J239" s="10">
        <v>45681.11278935185</v>
      </c>
      <c r="K239" s="11">
        <v>2.2685185185185191E-3</v>
      </c>
      <c r="L239" s="13"/>
    </row>
    <row r="240" spans="1:12" x14ac:dyDescent="0.25">
      <c r="A240" s="3" t="s">
        <v>3221</v>
      </c>
      <c r="B240" s="3" t="s">
        <v>3493</v>
      </c>
      <c r="C240" s="3" t="s">
        <v>380</v>
      </c>
      <c r="D240" s="9">
        <v>118.2</v>
      </c>
      <c r="E240" s="3" t="s">
        <v>3222</v>
      </c>
      <c r="F240" s="3" t="s">
        <v>139</v>
      </c>
      <c r="G240" s="9">
        <v>766.25</v>
      </c>
      <c r="H240" s="10">
        <v>45681.188773148147</v>
      </c>
      <c r="I240" s="10">
        <v>45681.188773148147</v>
      </c>
      <c r="J240" s="10">
        <v>45681.190636574072</v>
      </c>
      <c r="K240" s="11">
        <v>1.8634259259259259E-3</v>
      </c>
      <c r="L240" s="13"/>
    </row>
    <row r="241" spans="1:12" x14ac:dyDescent="0.25">
      <c r="A241" s="3" t="s">
        <v>3221</v>
      </c>
      <c r="B241" s="3" t="s">
        <v>3494</v>
      </c>
      <c r="C241" s="3" t="s">
        <v>381</v>
      </c>
      <c r="D241" s="9">
        <v>297</v>
      </c>
      <c r="E241" s="3" t="s">
        <v>3222</v>
      </c>
      <c r="F241" s="3" t="s">
        <v>139</v>
      </c>
      <c r="G241" s="9">
        <v>766.25</v>
      </c>
      <c r="H241" s="10">
        <v>45681.257708333331</v>
      </c>
      <c r="I241" s="10">
        <v>45681.257708333331</v>
      </c>
      <c r="J241" s="10">
        <v>45681.259988425933</v>
      </c>
      <c r="K241" s="11">
        <v>2.2800925925925931E-3</v>
      </c>
      <c r="L241" s="13"/>
    </row>
    <row r="242" spans="1:12" x14ac:dyDescent="0.25">
      <c r="A242" s="3" t="s">
        <v>3221</v>
      </c>
      <c r="B242" s="3" t="s">
        <v>3495</v>
      </c>
      <c r="C242" s="3" t="s">
        <v>382</v>
      </c>
      <c r="D242" s="9">
        <v>240.4</v>
      </c>
      <c r="E242" s="3" t="s">
        <v>3222</v>
      </c>
      <c r="F242" s="3" t="s">
        <v>139</v>
      </c>
      <c r="G242" s="9">
        <v>766.25</v>
      </c>
      <c r="H242" s="10">
        <v>45681.289340277777</v>
      </c>
      <c r="I242" s="10">
        <v>45681.289340277777</v>
      </c>
      <c r="J242" s="10">
        <v>45681.291493055563</v>
      </c>
      <c r="K242" s="11">
        <v>2.1527777777777782E-3</v>
      </c>
      <c r="L242" s="13"/>
    </row>
    <row r="243" spans="1:12" x14ac:dyDescent="0.25">
      <c r="A243" s="3" t="s">
        <v>3221</v>
      </c>
      <c r="B243" s="3" t="s">
        <v>3496</v>
      </c>
      <c r="C243" s="3" t="s">
        <v>383</v>
      </c>
      <c r="D243" s="9">
        <v>406.2</v>
      </c>
      <c r="E243" s="3" t="s">
        <v>3222</v>
      </c>
      <c r="F243" s="3" t="s">
        <v>139</v>
      </c>
      <c r="G243" s="9">
        <v>766.25</v>
      </c>
      <c r="H243" s="10">
        <v>45681.299884259257</v>
      </c>
      <c r="I243" s="10">
        <v>45681.299884259257</v>
      </c>
      <c r="J243" s="10">
        <v>45681.302418981482</v>
      </c>
      <c r="K243" s="11">
        <v>2.5347222222222221E-3</v>
      </c>
      <c r="L243" s="13"/>
    </row>
    <row r="244" spans="1:12" x14ac:dyDescent="0.25">
      <c r="A244" s="3" t="s">
        <v>3221</v>
      </c>
      <c r="B244" s="3" t="s">
        <v>3497</v>
      </c>
      <c r="C244" s="3" t="s">
        <v>384</v>
      </c>
      <c r="D244" s="9">
        <v>390.5</v>
      </c>
      <c r="E244" s="3" t="s">
        <v>3222</v>
      </c>
      <c r="F244" s="3" t="s">
        <v>142</v>
      </c>
      <c r="G244" s="9">
        <v>556.20000000000005</v>
      </c>
      <c r="H244" s="10">
        <v>45681.304131944453</v>
      </c>
      <c r="I244" s="10">
        <v>45681.304131944453</v>
      </c>
      <c r="J244" s="10">
        <v>45681.306192129632</v>
      </c>
      <c r="K244" s="11">
        <v>2.0601851851851849E-3</v>
      </c>
      <c r="L244" s="13"/>
    </row>
    <row r="245" spans="1:12" x14ac:dyDescent="0.25">
      <c r="A245" s="3" t="s">
        <v>3221</v>
      </c>
      <c r="B245" s="3" t="s">
        <v>3498</v>
      </c>
      <c r="C245" s="3" t="s">
        <v>385</v>
      </c>
      <c r="D245" s="9">
        <v>147.80000000000001</v>
      </c>
      <c r="E245" s="3" t="s">
        <v>3222</v>
      </c>
      <c r="F245" s="3" t="s">
        <v>139</v>
      </c>
      <c r="G245" s="9">
        <v>766.25</v>
      </c>
      <c r="H245" s="10">
        <v>45681.365115740737</v>
      </c>
      <c r="I245" s="10">
        <v>45681.365115740737</v>
      </c>
      <c r="J245" s="10">
        <v>45681.367048611108</v>
      </c>
      <c r="K245" s="11">
        <v>1.93287037037037E-3</v>
      </c>
      <c r="L245" s="13"/>
    </row>
    <row r="246" spans="1:12" x14ac:dyDescent="0.25">
      <c r="A246" s="3" t="s">
        <v>3221</v>
      </c>
      <c r="B246" s="3" t="s">
        <v>3499</v>
      </c>
      <c r="C246" s="3" t="s">
        <v>386</v>
      </c>
      <c r="D246" s="9">
        <v>318.8</v>
      </c>
      <c r="E246" s="3" t="s">
        <v>3222</v>
      </c>
      <c r="F246" s="3" t="s">
        <v>142</v>
      </c>
      <c r="G246" s="9">
        <v>556.20000000000005</v>
      </c>
      <c r="H246" s="10">
        <v>45681.37537037037</v>
      </c>
      <c r="I246" s="10">
        <v>45681.37537037037</v>
      </c>
      <c r="J246" s="10">
        <v>45681.377256944441</v>
      </c>
      <c r="K246" s="11">
        <v>1.8865740740740739E-3</v>
      </c>
      <c r="L246" s="13"/>
    </row>
    <row r="247" spans="1:12" x14ac:dyDescent="0.25">
      <c r="A247" s="3" t="s">
        <v>3221</v>
      </c>
      <c r="B247" s="3" t="s">
        <v>3500</v>
      </c>
      <c r="C247" s="3" t="s">
        <v>387</v>
      </c>
      <c r="D247" s="9">
        <v>437.5</v>
      </c>
      <c r="E247" s="3" t="s">
        <v>3222</v>
      </c>
      <c r="F247" s="3" t="s">
        <v>139</v>
      </c>
      <c r="G247" s="9">
        <v>766.25</v>
      </c>
      <c r="H247" s="10">
        <v>45681.410937499997</v>
      </c>
      <c r="I247" s="10">
        <v>45681.410937499997</v>
      </c>
      <c r="J247" s="10">
        <v>45681.413541666669</v>
      </c>
      <c r="K247" s="11">
        <v>2.604166666666667E-3</v>
      </c>
      <c r="L247" s="13"/>
    </row>
    <row r="248" spans="1:12" x14ac:dyDescent="0.25">
      <c r="A248" s="3" t="s">
        <v>3221</v>
      </c>
      <c r="B248" s="3" t="s">
        <v>3501</v>
      </c>
      <c r="C248" s="3" t="s">
        <v>388</v>
      </c>
      <c r="D248" s="9">
        <v>177.5</v>
      </c>
      <c r="E248" s="3" t="s">
        <v>3222</v>
      </c>
      <c r="F248" s="3" t="s">
        <v>139</v>
      </c>
      <c r="G248" s="9">
        <v>766.25</v>
      </c>
      <c r="H248" s="10">
        <v>45681.542303240742</v>
      </c>
      <c r="I248" s="10">
        <v>45681.542303240742</v>
      </c>
      <c r="J248" s="10">
        <v>45681.544305555559</v>
      </c>
      <c r="K248" s="11">
        <v>2.0023148148148148E-3</v>
      </c>
      <c r="L248" s="13"/>
    </row>
    <row r="249" spans="1:12" x14ac:dyDescent="0.25">
      <c r="A249" s="3" t="s">
        <v>3221</v>
      </c>
      <c r="B249" s="3" t="s">
        <v>3502</v>
      </c>
      <c r="C249" s="3" t="s">
        <v>389</v>
      </c>
      <c r="D249" s="9">
        <v>296.10000000000002</v>
      </c>
      <c r="E249" s="3" t="s">
        <v>3222</v>
      </c>
      <c r="F249" s="3" t="s">
        <v>139</v>
      </c>
      <c r="G249" s="9">
        <v>766.25</v>
      </c>
      <c r="H249" s="10">
        <v>45681.602708333332</v>
      </c>
      <c r="I249" s="10">
        <v>45681.602708333332</v>
      </c>
      <c r="J249" s="10">
        <v>45681.604988425926</v>
      </c>
      <c r="K249" s="11">
        <v>2.2800925925925931E-3</v>
      </c>
      <c r="L249" s="13"/>
    </row>
    <row r="250" spans="1:12" x14ac:dyDescent="0.25">
      <c r="A250" s="3" t="s">
        <v>3221</v>
      </c>
      <c r="B250" s="3" t="s">
        <v>3503</v>
      </c>
      <c r="C250" s="3" t="s">
        <v>390</v>
      </c>
      <c r="D250" s="9">
        <v>313</v>
      </c>
      <c r="E250" s="3" t="s">
        <v>3222</v>
      </c>
      <c r="F250" s="3" t="s">
        <v>139</v>
      </c>
      <c r="G250" s="9">
        <v>766.25</v>
      </c>
      <c r="H250" s="10">
        <v>45681.619803240741</v>
      </c>
      <c r="I250" s="10">
        <v>45681.619803240741</v>
      </c>
      <c r="J250" s="10">
        <v>45681.622118055559</v>
      </c>
      <c r="K250" s="11">
        <v>2.3148148148148151E-3</v>
      </c>
      <c r="L250" s="13"/>
    </row>
    <row r="251" spans="1:12" x14ac:dyDescent="0.25">
      <c r="A251" s="3" t="s">
        <v>3221</v>
      </c>
      <c r="B251" s="3" t="s">
        <v>3504</v>
      </c>
      <c r="C251" s="3" t="s">
        <v>391</v>
      </c>
      <c r="D251" s="9">
        <v>15.7</v>
      </c>
      <c r="E251" s="3" t="s">
        <v>3222</v>
      </c>
      <c r="F251" s="3" t="s">
        <v>164</v>
      </c>
      <c r="G251" s="9">
        <v>587.14</v>
      </c>
      <c r="H251" s="10">
        <v>45681.632719907408</v>
      </c>
      <c r="I251" s="10">
        <v>45681.632719907408</v>
      </c>
      <c r="J251" s="10">
        <v>45681.633969907409</v>
      </c>
      <c r="K251" s="11">
        <v>1.25E-3</v>
      </c>
      <c r="L251" s="13"/>
    </row>
    <row r="252" spans="1:12" x14ac:dyDescent="0.25">
      <c r="A252" s="3" t="s">
        <v>3221</v>
      </c>
      <c r="B252" s="3" t="s">
        <v>3505</v>
      </c>
      <c r="C252" s="3" t="s">
        <v>392</v>
      </c>
      <c r="D252" s="9">
        <v>232.4</v>
      </c>
      <c r="E252" s="3" t="s">
        <v>3222</v>
      </c>
      <c r="F252" s="3" t="s">
        <v>139</v>
      </c>
      <c r="G252" s="9">
        <v>766.25</v>
      </c>
      <c r="H252" s="10">
        <v>45681.728472222218</v>
      </c>
      <c r="I252" s="10">
        <v>45681.728472222218</v>
      </c>
      <c r="J252" s="10">
        <v>45681.73060185185</v>
      </c>
      <c r="K252" s="11">
        <v>2.1296296296296302E-3</v>
      </c>
      <c r="L252" s="13"/>
    </row>
    <row r="253" spans="1:12" x14ac:dyDescent="0.25">
      <c r="A253" s="3" t="s">
        <v>3221</v>
      </c>
      <c r="B253" s="3" t="s">
        <v>3506</v>
      </c>
      <c r="C253" s="3" t="s">
        <v>393</v>
      </c>
      <c r="D253" s="9">
        <v>134.69999999999999</v>
      </c>
      <c r="E253" s="3" t="s">
        <v>3222</v>
      </c>
      <c r="F253" s="3" t="s">
        <v>142</v>
      </c>
      <c r="G253" s="9">
        <v>556.20000000000005</v>
      </c>
      <c r="H253" s="10">
        <v>45681.729166666657</v>
      </c>
      <c r="I253" s="10">
        <v>45681.729166666657</v>
      </c>
      <c r="J253" s="10">
        <v>45681.730636574073</v>
      </c>
      <c r="K253" s="11">
        <v>1.469907407407407E-3</v>
      </c>
      <c r="L253" s="13"/>
    </row>
    <row r="254" spans="1:12" x14ac:dyDescent="0.25">
      <c r="A254" s="3" t="s">
        <v>3221</v>
      </c>
      <c r="B254" s="3" t="s">
        <v>3507</v>
      </c>
      <c r="C254" s="3" t="s">
        <v>394</v>
      </c>
      <c r="D254" s="9">
        <v>582.5</v>
      </c>
      <c r="E254" s="3" t="s">
        <v>3222</v>
      </c>
      <c r="F254" s="3" t="s">
        <v>142</v>
      </c>
      <c r="G254" s="9">
        <v>556.20000000000005</v>
      </c>
      <c r="H254" s="10">
        <v>45682.069756944453</v>
      </c>
      <c r="I254" s="10">
        <v>45682.069756944453</v>
      </c>
      <c r="J254" s="10">
        <v>45682.072256944448</v>
      </c>
      <c r="K254" s="11">
        <v>2.5000000000000001E-3</v>
      </c>
      <c r="L254" s="13"/>
    </row>
    <row r="255" spans="1:12" x14ac:dyDescent="0.25">
      <c r="A255" s="3" t="s">
        <v>3221</v>
      </c>
      <c r="B255" s="3" t="s">
        <v>3508</v>
      </c>
      <c r="C255" s="3" t="s">
        <v>395</v>
      </c>
      <c r="D255" s="9">
        <v>560</v>
      </c>
      <c r="E255" s="3" t="s">
        <v>3222</v>
      </c>
      <c r="F255" s="3" t="s">
        <v>142</v>
      </c>
      <c r="G255" s="9">
        <v>556.20000000000005</v>
      </c>
      <c r="H255" s="10">
        <v>45683.740358796298</v>
      </c>
      <c r="I255" s="10">
        <v>45683.740358796298</v>
      </c>
      <c r="J255" s="10">
        <v>45683.742812500001</v>
      </c>
      <c r="K255" s="11">
        <v>2.453703703703704E-3</v>
      </c>
      <c r="L255" s="13"/>
    </row>
    <row r="256" spans="1:12" x14ac:dyDescent="0.25">
      <c r="A256" s="3" t="s">
        <v>3221</v>
      </c>
      <c r="B256" s="3" t="s">
        <v>3509</v>
      </c>
      <c r="C256" s="3" t="s">
        <v>396</v>
      </c>
      <c r="D256" s="9">
        <v>259</v>
      </c>
      <c r="E256" s="3" t="s">
        <v>3222</v>
      </c>
      <c r="F256" s="3" t="s">
        <v>139</v>
      </c>
      <c r="G256" s="9">
        <v>766.25</v>
      </c>
      <c r="H256" s="10">
        <v>45684.108055555553</v>
      </c>
      <c r="I256" s="10">
        <v>45684.108055555553</v>
      </c>
      <c r="J256" s="10">
        <v>45684.110243055547</v>
      </c>
      <c r="K256" s="11">
        <v>2.1875000000000002E-3</v>
      </c>
      <c r="L256" s="13"/>
    </row>
    <row r="257" spans="1:12" x14ac:dyDescent="0.25">
      <c r="A257" s="3" t="s">
        <v>3221</v>
      </c>
      <c r="B257" s="3" t="s">
        <v>3510</v>
      </c>
      <c r="C257" s="3" t="s">
        <v>397</v>
      </c>
      <c r="D257" s="9">
        <v>298.2</v>
      </c>
      <c r="E257" s="3" t="s">
        <v>3222</v>
      </c>
      <c r="F257" s="3" t="s">
        <v>139</v>
      </c>
      <c r="G257" s="9">
        <v>766.25</v>
      </c>
      <c r="H257" s="10">
        <v>45684.188576388893</v>
      </c>
      <c r="I257" s="10">
        <v>45684.188576388893</v>
      </c>
      <c r="J257" s="10">
        <v>45684.19085648148</v>
      </c>
      <c r="K257" s="11">
        <v>2.2800925925925931E-3</v>
      </c>
      <c r="L257" s="13"/>
    </row>
    <row r="258" spans="1:12" x14ac:dyDescent="0.25">
      <c r="A258" s="3" t="s">
        <v>3221</v>
      </c>
      <c r="B258" s="3" t="s">
        <v>3511</v>
      </c>
      <c r="C258" s="3" t="s">
        <v>398</v>
      </c>
      <c r="D258" s="9">
        <v>284.8</v>
      </c>
      <c r="E258" s="3" t="s">
        <v>3222</v>
      </c>
      <c r="F258" s="3" t="s">
        <v>139</v>
      </c>
      <c r="G258" s="9">
        <v>766.25</v>
      </c>
      <c r="H258" s="10">
        <v>45684.273912037039</v>
      </c>
      <c r="I258" s="10">
        <v>45684.273912037039</v>
      </c>
      <c r="J258" s="10">
        <v>45684.27615740741</v>
      </c>
      <c r="K258" s="11">
        <v>2.2453703703703698E-3</v>
      </c>
      <c r="L258" s="13"/>
    </row>
    <row r="259" spans="1:12" x14ac:dyDescent="0.25">
      <c r="A259" s="3" t="s">
        <v>3221</v>
      </c>
      <c r="B259" s="3" t="s">
        <v>3512</v>
      </c>
      <c r="C259" s="3" t="s">
        <v>399</v>
      </c>
      <c r="D259" s="9">
        <v>589.20000000000005</v>
      </c>
      <c r="E259" s="3" t="s">
        <v>3222</v>
      </c>
      <c r="F259" s="3" t="s">
        <v>142</v>
      </c>
      <c r="G259" s="9">
        <v>556.20000000000005</v>
      </c>
      <c r="H259" s="10">
        <v>45684.296446759261</v>
      </c>
      <c r="I259" s="10">
        <v>45684.296446759261</v>
      </c>
      <c r="J259" s="10">
        <v>45684.298958333333</v>
      </c>
      <c r="K259" s="11">
        <v>2.5115740740740741E-3</v>
      </c>
      <c r="L259" s="13"/>
    </row>
    <row r="260" spans="1:12" x14ac:dyDescent="0.25">
      <c r="A260" s="3" t="s">
        <v>3221</v>
      </c>
      <c r="B260" s="3" t="s">
        <v>3513</v>
      </c>
      <c r="C260" s="3" t="s">
        <v>400</v>
      </c>
      <c r="D260" s="9">
        <v>253.6</v>
      </c>
      <c r="E260" s="3" t="s">
        <v>3222</v>
      </c>
      <c r="F260" s="3" t="s">
        <v>139</v>
      </c>
      <c r="G260" s="9">
        <v>766.25</v>
      </c>
      <c r="H260" s="10">
        <v>45684.310416666667</v>
      </c>
      <c r="I260" s="10">
        <v>45684.310416666667</v>
      </c>
      <c r="J260" s="10">
        <v>45684.312592592592</v>
      </c>
      <c r="K260" s="11">
        <v>2.1759259259259262E-3</v>
      </c>
      <c r="L260" s="13"/>
    </row>
    <row r="261" spans="1:12" x14ac:dyDescent="0.25">
      <c r="A261" s="3" t="s">
        <v>3221</v>
      </c>
      <c r="B261" s="3" t="s">
        <v>3514</v>
      </c>
      <c r="C261" s="3" t="s">
        <v>401</v>
      </c>
      <c r="D261" s="9">
        <v>389.1</v>
      </c>
      <c r="E261" s="3" t="s">
        <v>3222</v>
      </c>
      <c r="F261" s="3" t="s">
        <v>139</v>
      </c>
      <c r="G261" s="9">
        <v>766.25</v>
      </c>
      <c r="H261" s="10">
        <v>45684.328668981478</v>
      </c>
      <c r="I261" s="10">
        <v>45684.328668981478</v>
      </c>
      <c r="J261" s="10">
        <v>45684.331157407411</v>
      </c>
      <c r="K261" s="11">
        <v>2.488425925925926E-3</v>
      </c>
      <c r="L261" s="13"/>
    </row>
    <row r="262" spans="1:12" x14ac:dyDescent="0.25">
      <c r="A262" s="3" t="s">
        <v>3221</v>
      </c>
      <c r="B262" s="3" t="s">
        <v>3515</v>
      </c>
      <c r="C262" s="3" t="s">
        <v>402</v>
      </c>
      <c r="D262" s="9">
        <v>586.70000000000005</v>
      </c>
      <c r="E262" s="3" t="s">
        <v>3222</v>
      </c>
      <c r="F262" s="3" t="s">
        <v>142</v>
      </c>
      <c r="G262" s="9">
        <v>556.20000000000005</v>
      </c>
      <c r="H262" s="10">
        <v>45684.353043981479</v>
      </c>
      <c r="I262" s="10">
        <v>45684.353043981479</v>
      </c>
      <c r="J262" s="10">
        <v>45684.355555555558</v>
      </c>
      <c r="K262" s="11">
        <v>2.5115740740740741E-3</v>
      </c>
      <c r="L262" s="13"/>
    </row>
    <row r="263" spans="1:12" x14ac:dyDescent="0.25">
      <c r="A263" s="3" t="s">
        <v>3221</v>
      </c>
      <c r="B263" s="3" t="s">
        <v>3516</v>
      </c>
      <c r="C263" s="3" t="s">
        <v>403</v>
      </c>
      <c r="D263" s="9">
        <v>390.5</v>
      </c>
      <c r="E263" s="3" t="s">
        <v>3222</v>
      </c>
      <c r="F263" s="3" t="s">
        <v>139</v>
      </c>
      <c r="G263" s="9">
        <v>766.25</v>
      </c>
      <c r="H263" s="10">
        <v>45684.353356481479</v>
      </c>
      <c r="I263" s="10">
        <v>45684.353356481479</v>
      </c>
      <c r="J263" s="10">
        <v>45684.355856481481</v>
      </c>
      <c r="K263" s="11">
        <v>2.5000000000000001E-3</v>
      </c>
      <c r="L263" s="13"/>
    </row>
    <row r="264" spans="1:12" x14ac:dyDescent="0.25">
      <c r="A264" s="3" t="s">
        <v>3221</v>
      </c>
      <c r="B264" s="3" t="s">
        <v>3517</v>
      </c>
      <c r="C264" s="3" t="s">
        <v>404</v>
      </c>
      <c r="D264" s="9">
        <v>435.5</v>
      </c>
      <c r="E264" s="3" t="s">
        <v>3222</v>
      </c>
      <c r="F264" s="3" t="s">
        <v>139</v>
      </c>
      <c r="G264" s="9">
        <v>766.25</v>
      </c>
      <c r="H264" s="10">
        <v>45684.437118055554</v>
      </c>
      <c r="I264" s="10">
        <v>45684.437118055554</v>
      </c>
      <c r="J264" s="10">
        <v>45684.439722222232</v>
      </c>
      <c r="K264" s="11">
        <v>2.604166666666667E-3</v>
      </c>
      <c r="L264" s="13"/>
    </row>
    <row r="265" spans="1:12" x14ac:dyDescent="0.25">
      <c r="A265" s="3" t="s">
        <v>3221</v>
      </c>
      <c r="B265" s="3" t="s">
        <v>3518</v>
      </c>
      <c r="C265" s="3" t="s">
        <v>405</v>
      </c>
      <c r="D265" s="9">
        <v>212.1</v>
      </c>
      <c r="E265" s="3" t="s">
        <v>3222</v>
      </c>
      <c r="F265" s="3" t="s">
        <v>139</v>
      </c>
      <c r="G265" s="9">
        <v>766.25</v>
      </c>
      <c r="H265" s="10">
        <v>45684.528611111113</v>
      </c>
      <c r="I265" s="10">
        <v>45684.528611111113</v>
      </c>
      <c r="J265" s="10">
        <v>45684.530694444453</v>
      </c>
      <c r="K265" s="11">
        <v>2.0833333333333329E-3</v>
      </c>
      <c r="L265" s="13"/>
    </row>
    <row r="266" spans="1:12" x14ac:dyDescent="0.25">
      <c r="A266" s="3" t="s">
        <v>3221</v>
      </c>
      <c r="B266" s="3" t="s">
        <v>3519</v>
      </c>
      <c r="C266" s="3" t="s">
        <v>406</v>
      </c>
      <c r="D266" s="9">
        <v>381.6</v>
      </c>
      <c r="E266" s="3" t="s">
        <v>3222</v>
      </c>
      <c r="F266" s="3" t="s">
        <v>139</v>
      </c>
      <c r="G266" s="9">
        <v>766.25</v>
      </c>
      <c r="H266" s="10">
        <v>45684.597511574073</v>
      </c>
      <c r="I266" s="10">
        <v>45684.597511574073</v>
      </c>
      <c r="J266" s="10">
        <v>45684.599988425929</v>
      </c>
      <c r="K266" s="11">
        <v>2.476851851851852E-3</v>
      </c>
      <c r="L266" s="13"/>
    </row>
    <row r="267" spans="1:12" x14ac:dyDescent="0.25">
      <c r="A267" s="3" t="s">
        <v>3221</v>
      </c>
      <c r="B267" s="3" t="s">
        <v>3520</v>
      </c>
      <c r="C267" s="3" t="s">
        <v>407</v>
      </c>
      <c r="D267" s="9">
        <v>15.7</v>
      </c>
      <c r="E267" s="3" t="s">
        <v>3222</v>
      </c>
      <c r="F267" s="3" t="s">
        <v>164</v>
      </c>
      <c r="G267" s="9">
        <v>587.14</v>
      </c>
      <c r="H267" s="10">
        <v>45684.643055555563</v>
      </c>
      <c r="I267" s="10">
        <v>45684.643055555563</v>
      </c>
      <c r="J267" s="10">
        <v>45684.644305555557</v>
      </c>
      <c r="K267" s="11">
        <v>1.25E-3</v>
      </c>
      <c r="L267" s="13"/>
    </row>
    <row r="268" spans="1:12" x14ac:dyDescent="0.25">
      <c r="A268" s="3" t="s">
        <v>3221</v>
      </c>
      <c r="B268" s="3" t="s">
        <v>3521</v>
      </c>
      <c r="C268" s="3" t="s">
        <v>408</v>
      </c>
      <c r="D268" s="9">
        <v>383.1</v>
      </c>
      <c r="E268" s="3" t="s">
        <v>3222</v>
      </c>
      <c r="F268" s="3" t="s">
        <v>139</v>
      </c>
      <c r="G268" s="9">
        <v>766.25</v>
      </c>
      <c r="H268" s="10">
        <v>45684.662835648152</v>
      </c>
      <c r="I268" s="10">
        <v>45684.662835648152</v>
      </c>
      <c r="J268" s="10">
        <v>45684.665312500001</v>
      </c>
      <c r="K268" s="11">
        <v>2.476851851851852E-3</v>
      </c>
      <c r="L268" s="13"/>
    </row>
    <row r="269" spans="1:12" x14ac:dyDescent="0.25">
      <c r="A269" s="3" t="s">
        <v>3221</v>
      </c>
      <c r="B269" s="3" t="s">
        <v>3522</v>
      </c>
      <c r="C269" s="3" t="s">
        <v>409</v>
      </c>
      <c r="D269" s="9">
        <v>232.4</v>
      </c>
      <c r="E269" s="3" t="s">
        <v>3222</v>
      </c>
      <c r="F269" s="3" t="s">
        <v>139</v>
      </c>
      <c r="G269" s="9">
        <v>766.25</v>
      </c>
      <c r="H269" s="10">
        <v>45684.730185185188</v>
      </c>
      <c r="I269" s="10">
        <v>45684.730185185188</v>
      </c>
      <c r="J269" s="10">
        <v>45684.732314814813</v>
      </c>
      <c r="K269" s="11">
        <v>2.1296296296296302E-3</v>
      </c>
      <c r="L269" s="13"/>
    </row>
    <row r="270" spans="1:12" x14ac:dyDescent="0.25">
      <c r="A270" s="3" t="s">
        <v>3221</v>
      </c>
      <c r="B270" s="3" t="s">
        <v>3523</v>
      </c>
      <c r="C270" s="3" t="s">
        <v>410</v>
      </c>
      <c r="D270" s="9">
        <v>446</v>
      </c>
      <c r="E270" s="3" t="s">
        <v>3222</v>
      </c>
      <c r="F270" s="3" t="s">
        <v>142</v>
      </c>
      <c r="G270" s="9">
        <v>556.20000000000005</v>
      </c>
      <c r="H270" s="10">
        <v>45684.736273148148</v>
      </c>
      <c r="I270" s="10">
        <v>45684.736273148148</v>
      </c>
      <c r="J270" s="10">
        <v>45684.73846064815</v>
      </c>
      <c r="K270" s="11">
        <v>2.1875000000000002E-3</v>
      </c>
      <c r="L270" s="13"/>
    </row>
    <row r="271" spans="1:12" x14ac:dyDescent="0.25">
      <c r="A271" s="3" t="s">
        <v>3221</v>
      </c>
      <c r="B271" s="3" t="s">
        <v>3524</v>
      </c>
      <c r="C271" s="3" t="s">
        <v>411</v>
      </c>
      <c r="D271" s="9">
        <v>397.3</v>
      </c>
      <c r="E271" s="3" t="s">
        <v>3222</v>
      </c>
      <c r="F271" s="3" t="s">
        <v>139</v>
      </c>
      <c r="G271" s="9">
        <v>766.25</v>
      </c>
      <c r="H271" s="10">
        <v>45684.87395833333</v>
      </c>
      <c r="I271" s="10">
        <v>45684.87395833333</v>
      </c>
      <c r="J271" s="10">
        <v>45684.876469907409</v>
      </c>
      <c r="K271" s="11">
        <v>2.5115740740740741E-3</v>
      </c>
      <c r="L271" s="13"/>
    </row>
    <row r="272" spans="1:12" x14ac:dyDescent="0.25">
      <c r="A272" s="3" t="s">
        <v>3221</v>
      </c>
      <c r="B272" s="3" t="s">
        <v>3525</v>
      </c>
      <c r="C272" s="3" t="s">
        <v>412</v>
      </c>
      <c r="D272" s="9">
        <v>145.69999999999999</v>
      </c>
      <c r="E272" s="3" t="s">
        <v>3222</v>
      </c>
      <c r="F272" s="3" t="s">
        <v>139</v>
      </c>
      <c r="G272" s="9">
        <v>766.25</v>
      </c>
      <c r="H272" s="10">
        <v>45685.119618055563</v>
      </c>
      <c r="I272" s="10">
        <v>45685.119618055563</v>
      </c>
      <c r="J272" s="10">
        <v>45685.121550925927</v>
      </c>
      <c r="K272" s="11">
        <v>1.93287037037037E-3</v>
      </c>
      <c r="L272" s="13"/>
    </row>
    <row r="273" spans="1:12" x14ac:dyDescent="0.25">
      <c r="A273" s="3" t="s">
        <v>3221</v>
      </c>
      <c r="B273" s="3" t="s">
        <v>3526</v>
      </c>
      <c r="C273" s="3" t="s">
        <v>413</v>
      </c>
      <c r="D273" s="9">
        <v>297</v>
      </c>
      <c r="E273" s="3" t="s">
        <v>3222</v>
      </c>
      <c r="F273" s="3" t="s">
        <v>139</v>
      </c>
      <c r="G273" s="9">
        <v>766.25</v>
      </c>
      <c r="H273" s="10">
        <v>45685.270173611112</v>
      </c>
      <c r="I273" s="10">
        <v>45685.270173611112</v>
      </c>
      <c r="J273" s="10">
        <v>45685.272453703707</v>
      </c>
      <c r="K273" s="11">
        <v>2.2800925925925931E-3</v>
      </c>
      <c r="L273" s="13"/>
    </row>
    <row r="274" spans="1:12" x14ac:dyDescent="0.25">
      <c r="A274" s="3" t="s">
        <v>3221</v>
      </c>
      <c r="B274" s="3" t="s">
        <v>3527</v>
      </c>
      <c r="C274" s="3" t="s">
        <v>414</v>
      </c>
      <c r="D274" s="9">
        <v>299.89999999999998</v>
      </c>
      <c r="E274" s="3" t="s">
        <v>3222</v>
      </c>
      <c r="F274" s="3" t="s">
        <v>139</v>
      </c>
      <c r="G274" s="9">
        <v>766.25</v>
      </c>
      <c r="H274" s="10">
        <v>45685.29991898148</v>
      </c>
      <c r="I274" s="10">
        <v>45685.29991898148</v>
      </c>
      <c r="J274" s="10">
        <v>45685.302199074067</v>
      </c>
      <c r="K274" s="11">
        <v>2.2800925925925931E-3</v>
      </c>
      <c r="L274" s="13"/>
    </row>
    <row r="275" spans="1:12" x14ac:dyDescent="0.25">
      <c r="A275" s="3" t="s">
        <v>3221</v>
      </c>
      <c r="B275" s="3" t="s">
        <v>3528</v>
      </c>
      <c r="C275" s="3" t="s">
        <v>415</v>
      </c>
      <c r="D275" s="9">
        <v>157.5</v>
      </c>
      <c r="E275" s="3" t="s">
        <v>3222</v>
      </c>
      <c r="F275" s="3" t="s">
        <v>142</v>
      </c>
      <c r="G275" s="9">
        <v>556.20000000000005</v>
      </c>
      <c r="H275" s="10">
        <v>45685.31354166667</v>
      </c>
      <c r="I275" s="10">
        <v>45685.31354166667</v>
      </c>
      <c r="J275" s="10">
        <v>45685.315057870372</v>
      </c>
      <c r="K275" s="11">
        <v>1.5162037037037041E-3</v>
      </c>
      <c r="L275" s="13"/>
    </row>
    <row r="276" spans="1:12" x14ac:dyDescent="0.25">
      <c r="A276" s="3" t="s">
        <v>3221</v>
      </c>
      <c r="B276" s="3" t="s">
        <v>3529</v>
      </c>
      <c r="C276" s="3" t="s">
        <v>416</v>
      </c>
      <c r="D276" s="9">
        <v>398</v>
      </c>
      <c r="E276" s="3" t="s">
        <v>3222</v>
      </c>
      <c r="F276" s="3" t="s">
        <v>169</v>
      </c>
      <c r="G276" s="9">
        <v>476.05</v>
      </c>
      <c r="H276" s="10">
        <v>45685.32068287037</v>
      </c>
      <c r="I276" s="10">
        <v>45685.32068287037</v>
      </c>
      <c r="J276" s="10">
        <v>45685.322592592587</v>
      </c>
      <c r="K276" s="11">
        <v>1.9097222222222219E-3</v>
      </c>
      <c r="L276" s="13"/>
    </row>
    <row r="277" spans="1:12" x14ac:dyDescent="0.25">
      <c r="A277" s="3" t="s">
        <v>3221</v>
      </c>
      <c r="B277" s="3" t="s">
        <v>3530</v>
      </c>
      <c r="C277" s="3" t="s">
        <v>417</v>
      </c>
      <c r="D277" s="9">
        <v>584.20000000000005</v>
      </c>
      <c r="E277" s="3" t="s">
        <v>3222</v>
      </c>
      <c r="F277" s="3" t="s">
        <v>142</v>
      </c>
      <c r="G277" s="9">
        <v>556.20000000000005</v>
      </c>
      <c r="H277" s="10">
        <v>45685.364895833343</v>
      </c>
      <c r="I277" s="10">
        <v>45685.364895833343</v>
      </c>
      <c r="J277" s="10">
        <v>45685.367395833331</v>
      </c>
      <c r="K277" s="11">
        <v>2.5000000000000001E-3</v>
      </c>
      <c r="L277" s="13"/>
    </row>
    <row r="278" spans="1:12" x14ac:dyDescent="0.25">
      <c r="A278" s="3" t="s">
        <v>3221</v>
      </c>
      <c r="B278" s="3" t="s">
        <v>3531</v>
      </c>
      <c r="C278" s="3" t="s">
        <v>418</v>
      </c>
      <c r="D278" s="9">
        <v>222.8</v>
      </c>
      <c r="E278" s="3" t="s">
        <v>3222</v>
      </c>
      <c r="F278" s="3" t="s">
        <v>139</v>
      </c>
      <c r="G278" s="9">
        <v>766.25</v>
      </c>
      <c r="H278" s="10">
        <v>45685.37877314815</v>
      </c>
      <c r="I278" s="10">
        <v>45685.37877314815</v>
      </c>
      <c r="J278" s="10">
        <v>45685.380879629629</v>
      </c>
      <c r="K278" s="11">
        <v>2.1064814814814809E-3</v>
      </c>
      <c r="L278" s="13"/>
    </row>
    <row r="279" spans="1:12" x14ac:dyDescent="0.25">
      <c r="A279" s="3" t="s">
        <v>3221</v>
      </c>
      <c r="B279" s="3" t="s">
        <v>3532</v>
      </c>
      <c r="C279" s="3" t="s">
        <v>419</v>
      </c>
      <c r="D279" s="9">
        <v>273</v>
      </c>
      <c r="E279" s="3" t="s">
        <v>3222</v>
      </c>
      <c r="F279" s="3" t="s">
        <v>139</v>
      </c>
      <c r="G279" s="9">
        <v>766.25</v>
      </c>
      <c r="H279" s="10">
        <v>45685.437291666669</v>
      </c>
      <c r="I279" s="10">
        <v>45685.437291666669</v>
      </c>
      <c r="J279" s="10">
        <v>45685.439513888887</v>
      </c>
      <c r="K279" s="11">
        <v>2.2222222222222218E-3</v>
      </c>
      <c r="L279" s="13"/>
    </row>
    <row r="280" spans="1:12" x14ac:dyDescent="0.25">
      <c r="A280" s="3" t="s">
        <v>3221</v>
      </c>
      <c r="B280" s="3" t="s">
        <v>3533</v>
      </c>
      <c r="C280" s="3" t="s">
        <v>420</v>
      </c>
      <c r="D280" s="9">
        <v>291.89999999999998</v>
      </c>
      <c r="E280" s="3" t="s">
        <v>3222</v>
      </c>
      <c r="F280" s="3" t="s">
        <v>139</v>
      </c>
      <c r="G280" s="9">
        <v>766.25</v>
      </c>
      <c r="H280" s="10">
        <v>45685.538668981477</v>
      </c>
      <c r="I280" s="10">
        <v>45685.538668981477</v>
      </c>
      <c r="J280" s="10">
        <v>45685.540937500002</v>
      </c>
      <c r="K280" s="11">
        <v>2.2685185185185191E-3</v>
      </c>
      <c r="L280" s="13"/>
    </row>
    <row r="281" spans="1:12" x14ac:dyDescent="0.25">
      <c r="A281" s="3" t="s">
        <v>3221</v>
      </c>
      <c r="B281" s="3" t="s">
        <v>3534</v>
      </c>
      <c r="C281" s="3" t="s">
        <v>421</v>
      </c>
      <c r="D281" s="9">
        <v>389.8</v>
      </c>
      <c r="E281" s="3" t="s">
        <v>3222</v>
      </c>
      <c r="F281" s="3" t="s">
        <v>139</v>
      </c>
      <c r="G281" s="9">
        <v>766.25</v>
      </c>
      <c r="H281" s="10">
        <v>45685.593784722223</v>
      </c>
      <c r="I281" s="10">
        <v>45685.593784722223</v>
      </c>
      <c r="J281" s="10">
        <v>45685.596273148149</v>
      </c>
      <c r="K281" s="11">
        <v>2.488425925925926E-3</v>
      </c>
      <c r="L281" s="13"/>
    </row>
    <row r="282" spans="1:12" x14ac:dyDescent="0.25">
      <c r="A282" s="3" t="s">
        <v>3221</v>
      </c>
      <c r="B282" s="3" t="s">
        <v>3535</v>
      </c>
      <c r="C282" s="3" t="s">
        <v>422</v>
      </c>
      <c r="D282" s="9">
        <v>558.1</v>
      </c>
      <c r="E282" s="3" t="s">
        <v>3222</v>
      </c>
      <c r="F282" s="3" t="s">
        <v>142</v>
      </c>
      <c r="G282" s="9">
        <v>556.20000000000005</v>
      </c>
      <c r="H282" s="10">
        <v>45685.600902777784</v>
      </c>
      <c r="I282" s="10">
        <v>45685.600902777784</v>
      </c>
      <c r="J282" s="10">
        <v>45685.603344907409</v>
      </c>
      <c r="K282" s="11">
        <v>2.44212962962963E-3</v>
      </c>
      <c r="L282" s="13"/>
    </row>
    <row r="283" spans="1:12" x14ac:dyDescent="0.25">
      <c r="A283" s="3" t="s">
        <v>3221</v>
      </c>
      <c r="B283" s="3" t="s">
        <v>3536</v>
      </c>
      <c r="C283" s="3" t="s">
        <v>423</v>
      </c>
      <c r="D283" s="9">
        <v>31.5</v>
      </c>
      <c r="E283" s="3" t="s">
        <v>3222</v>
      </c>
      <c r="F283" s="3" t="s">
        <v>164</v>
      </c>
      <c r="G283" s="9">
        <v>587.14</v>
      </c>
      <c r="H283" s="10">
        <v>45685.64644675926</v>
      </c>
      <c r="I283" s="10">
        <v>45685.64644675926</v>
      </c>
      <c r="J283" s="10">
        <v>45685.647731481477</v>
      </c>
      <c r="K283" s="11">
        <v>1.284722222222222E-3</v>
      </c>
      <c r="L283" s="13"/>
    </row>
    <row r="284" spans="1:12" x14ac:dyDescent="0.25">
      <c r="A284" s="3" t="s">
        <v>3221</v>
      </c>
      <c r="B284" s="3" t="s">
        <v>3537</v>
      </c>
      <c r="C284" s="3" t="s">
        <v>424</v>
      </c>
      <c r="D284" s="9">
        <v>232.7</v>
      </c>
      <c r="E284" s="3" t="s">
        <v>3222</v>
      </c>
      <c r="F284" s="3" t="s">
        <v>139</v>
      </c>
      <c r="G284" s="9">
        <v>766.25</v>
      </c>
      <c r="H284" s="10">
        <v>45685.811574074083</v>
      </c>
      <c r="I284" s="10">
        <v>45685.811574074083</v>
      </c>
      <c r="J284" s="10">
        <v>45685.813703703701</v>
      </c>
      <c r="K284" s="11">
        <v>2.1296296296296302E-3</v>
      </c>
      <c r="L284" s="13"/>
    </row>
    <row r="285" spans="1:12" x14ac:dyDescent="0.25">
      <c r="A285" s="3" t="s">
        <v>3221</v>
      </c>
      <c r="B285" s="3" t="s">
        <v>3538</v>
      </c>
      <c r="C285" s="3" t="s">
        <v>425</v>
      </c>
      <c r="D285" s="9">
        <v>397.3</v>
      </c>
      <c r="E285" s="3" t="s">
        <v>3222</v>
      </c>
      <c r="F285" s="3" t="s">
        <v>139</v>
      </c>
      <c r="G285" s="9">
        <v>766.25</v>
      </c>
      <c r="H285" s="10">
        <v>45685.874062499999</v>
      </c>
      <c r="I285" s="10">
        <v>45685.874062499999</v>
      </c>
      <c r="J285" s="10">
        <v>45685.876574074071</v>
      </c>
      <c r="K285" s="11">
        <v>2.5115740740740741E-3</v>
      </c>
      <c r="L285" s="13"/>
    </row>
    <row r="286" spans="1:12" x14ac:dyDescent="0.25">
      <c r="A286" s="3" t="s">
        <v>3221</v>
      </c>
      <c r="B286" s="3" t="s">
        <v>3539</v>
      </c>
      <c r="C286" s="3" t="s">
        <v>426</v>
      </c>
      <c r="D286" s="9">
        <v>260.3</v>
      </c>
      <c r="E286" s="3" t="s">
        <v>3222</v>
      </c>
      <c r="F286" s="3" t="s">
        <v>139</v>
      </c>
      <c r="G286" s="9">
        <v>766.25</v>
      </c>
      <c r="H286" s="10">
        <v>45686.113530092603</v>
      </c>
      <c r="I286" s="10">
        <v>45686.113530092603</v>
      </c>
      <c r="J286" s="10">
        <v>45686.115717592591</v>
      </c>
      <c r="K286" s="11">
        <v>2.1875000000000002E-3</v>
      </c>
      <c r="L286" s="13"/>
    </row>
    <row r="287" spans="1:12" x14ac:dyDescent="0.25">
      <c r="A287" s="3" t="s">
        <v>3221</v>
      </c>
      <c r="B287" s="3" t="s">
        <v>3540</v>
      </c>
      <c r="C287" s="3" t="s">
        <v>427</v>
      </c>
      <c r="D287" s="9">
        <v>106.9</v>
      </c>
      <c r="E287" s="3" t="s">
        <v>3222</v>
      </c>
      <c r="F287" s="3" t="s">
        <v>139</v>
      </c>
      <c r="G287" s="9">
        <v>766.25</v>
      </c>
      <c r="H287" s="10">
        <v>45686.179548611108</v>
      </c>
      <c r="I287" s="10">
        <v>45686.179548611108</v>
      </c>
      <c r="J287" s="10">
        <v>45686.181388888886</v>
      </c>
      <c r="K287" s="11">
        <v>1.8402777777777779E-3</v>
      </c>
      <c r="L287" s="13"/>
    </row>
    <row r="288" spans="1:12" x14ac:dyDescent="0.25">
      <c r="A288" s="3" t="s">
        <v>3221</v>
      </c>
      <c r="B288" s="3" t="s">
        <v>3541</v>
      </c>
      <c r="C288" s="3" t="s">
        <v>428</v>
      </c>
      <c r="D288" s="9">
        <v>297</v>
      </c>
      <c r="E288" s="3" t="s">
        <v>3222</v>
      </c>
      <c r="F288" s="3" t="s">
        <v>139</v>
      </c>
      <c r="G288" s="9">
        <v>766.25</v>
      </c>
      <c r="H288" s="10">
        <v>45686.260104166657</v>
      </c>
      <c r="I288" s="10">
        <v>45686.260104166657</v>
      </c>
      <c r="J288" s="10">
        <v>45686.262384259258</v>
      </c>
      <c r="K288" s="11">
        <v>2.2800925925925931E-3</v>
      </c>
      <c r="L288" s="13"/>
    </row>
    <row r="289" spans="1:12" x14ac:dyDescent="0.25">
      <c r="A289" s="3" t="s">
        <v>3221</v>
      </c>
      <c r="B289" s="3" t="s">
        <v>3542</v>
      </c>
      <c r="C289" s="3" t="s">
        <v>429</v>
      </c>
      <c r="D289" s="9">
        <v>397.3</v>
      </c>
      <c r="E289" s="3" t="s">
        <v>3222</v>
      </c>
      <c r="F289" s="3" t="s">
        <v>139</v>
      </c>
      <c r="G289" s="9">
        <v>766.25</v>
      </c>
      <c r="H289" s="10">
        <v>45686.302986111114</v>
      </c>
      <c r="I289" s="10">
        <v>45686.302986111114</v>
      </c>
      <c r="J289" s="10">
        <v>45686.305497685193</v>
      </c>
      <c r="K289" s="11">
        <v>2.5115740740740741E-3</v>
      </c>
      <c r="L289" s="13"/>
    </row>
    <row r="290" spans="1:12" x14ac:dyDescent="0.25">
      <c r="A290" s="3" t="s">
        <v>3221</v>
      </c>
      <c r="B290" s="3" t="s">
        <v>3543</v>
      </c>
      <c r="C290" s="3" t="s">
        <v>430</v>
      </c>
      <c r="D290" s="9">
        <v>129.30000000000001</v>
      </c>
      <c r="E290" s="3" t="s">
        <v>3222</v>
      </c>
      <c r="F290" s="3" t="s">
        <v>142</v>
      </c>
      <c r="G290" s="9">
        <v>556.20000000000005</v>
      </c>
      <c r="H290" s="10">
        <v>45686.312106481477</v>
      </c>
      <c r="I290" s="10">
        <v>45686.312106481477</v>
      </c>
      <c r="J290" s="10">
        <v>45686.31355324074</v>
      </c>
      <c r="K290" s="11">
        <v>1.446759259259259E-3</v>
      </c>
      <c r="L290" s="13"/>
    </row>
    <row r="291" spans="1:12" x14ac:dyDescent="0.25">
      <c r="A291" s="3" t="s">
        <v>3221</v>
      </c>
      <c r="B291" s="3" t="s">
        <v>3544</v>
      </c>
      <c r="C291" s="3" t="s">
        <v>431</v>
      </c>
      <c r="D291" s="9">
        <v>79.5</v>
      </c>
      <c r="E291" s="3" t="s">
        <v>3222</v>
      </c>
      <c r="F291" s="3" t="s">
        <v>139</v>
      </c>
      <c r="G291" s="9">
        <v>766.25</v>
      </c>
      <c r="H291" s="10">
        <v>45686.346250000002</v>
      </c>
      <c r="I291" s="10">
        <v>45686.346250000002</v>
      </c>
      <c r="J291" s="10">
        <v>45686.348020833328</v>
      </c>
      <c r="K291" s="11">
        <v>1.770833333333333E-3</v>
      </c>
      <c r="L291" s="13"/>
    </row>
    <row r="292" spans="1:12" x14ac:dyDescent="0.25">
      <c r="A292" s="3" t="s">
        <v>3221</v>
      </c>
      <c r="B292" s="3" t="s">
        <v>3545</v>
      </c>
      <c r="C292" s="3" t="s">
        <v>432</v>
      </c>
      <c r="D292" s="9">
        <v>436</v>
      </c>
      <c r="E292" s="3" t="s">
        <v>3222</v>
      </c>
      <c r="F292" s="3" t="s">
        <v>139</v>
      </c>
      <c r="G292" s="9">
        <v>766.25</v>
      </c>
      <c r="H292" s="10">
        <v>45686.37605324074</v>
      </c>
      <c r="I292" s="10">
        <v>45686.37605324074</v>
      </c>
      <c r="J292" s="10">
        <v>45686.378657407397</v>
      </c>
      <c r="K292" s="11">
        <v>2.604166666666667E-3</v>
      </c>
      <c r="L292" s="13"/>
    </row>
    <row r="293" spans="1:12" x14ac:dyDescent="0.25">
      <c r="A293" s="3" t="s">
        <v>3221</v>
      </c>
      <c r="B293" s="3" t="s">
        <v>3546</v>
      </c>
      <c r="C293" s="3" t="s">
        <v>433</v>
      </c>
      <c r="D293" s="9">
        <v>241.3</v>
      </c>
      <c r="E293" s="3" t="s">
        <v>3222</v>
      </c>
      <c r="F293" s="3" t="s">
        <v>139</v>
      </c>
      <c r="G293" s="9">
        <v>766.25</v>
      </c>
      <c r="H293" s="10">
        <v>45686.437384259261</v>
      </c>
      <c r="I293" s="10">
        <v>45686.437384259261</v>
      </c>
      <c r="J293" s="10">
        <v>45686.43953703704</v>
      </c>
      <c r="K293" s="11">
        <v>2.1527777777777782E-3</v>
      </c>
      <c r="L293" s="13"/>
    </row>
    <row r="294" spans="1:12" x14ac:dyDescent="0.25">
      <c r="A294" s="3" t="s">
        <v>3221</v>
      </c>
      <c r="B294" s="3" t="s">
        <v>3547</v>
      </c>
      <c r="C294" s="3" t="s">
        <v>434</v>
      </c>
      <c r="D294" s="9">
        <v>259.7</v>
      </c>
      <c r="E294" s="3" t="s">
        <v>3222</v>
      </c>
      <c r="F294" s="3" t="s">
        <v>139</v>
      </c>
      <c r="G294" s="9">
        <v>766.25</v>
      </c>
      <c r="H294" s="10">
        <v>45686.544652777768</v>
      </c>
      <c r="I294" s="10">
        <v>45686.544652777768</v>
      </c>
      <c r="J294" s="10">
        <v>45686.546840277777</v>
      </c>
      <c r="K294" s="11">
        <v>2.1875000000000002E-3</v>
      </c>
      <c r="L294" s="13"/>
    </row>
    <row r="295" spans="1:12" x14ac:dyDescent="0.25">
      <c r="A295" s="3" t="s">
        <v>3221</v>
      </c>
      <c r="B295" s="3" t="s">
        <v>3548</v>
      </c>
      <c r="C295" s="3" t="s">
        <v>435</v>
      </c>
      <c r="D295" s="9">
        <v>398</v>
      </c>
      <c r="E295" s="3" t="s">
        <v>3222</v>
      </c>
      <c r="F295" s="3" t="s">
        <v>139</v>
      </c>
      <c r="G295" s="9">
        <v>766.25</v>
      </c>
      <c r="H295" s="10">
        <v>45686.603356481479</v>
      </c>
      <c r="I295" s="10">
        <v>45686.603356481479</v>
      </c>
      <c r="J295" s="10">
        <v>45686.605868055558</v>
      </c>
      <c r="K295" s="11">
        <v>2.5115740740740741E-3</v>
      </c>
      <c r="L295" s="13"/>
    </row>
    <row r="296" spans="1:12" x14ac:dyDescent="0.25">
      <c r="A296" s="3" t="s">
        <v>3221</v>
      </c>
      <c r="B296" s="3" t="s">
        <v>3549</v>
      </c>
      <c r="C296" s="3" t="s">
        <v>436</v>
      </c>
      <c r="D296" s="9">
        <v>504.1</v>
      </c>
      <c r="E296" s="3" t="s">
        <v>3222</v>
      </c>
      <c r="F296" s="3" t="s">
        <v>139</v>
      </c>
      <c r="G296" s="9">
        <v>766.25</v>
      </c>
      <c r="H296" s="10">
        <v>45686.617928240739</v>
      </c>
      <c r="I296" s="10">
        <v>45686.617928240739</v>
      </c>
      <c r="J296" s="10">
        <v>45686.620682870373</v>
      </c>
      <c r="K296" s="11">
        <v>2.754629629629629E-3</v>
      </c>
      <c r="L296" s="13"/>
    </row>
    <row r="297" spans="1:12" x14ac:dyDescent="0.25">
      <c r="A297" s="3" t="s">
        <v>3221</v>
      </c>
      <c r="B297" s="3" t="s">
        <v>3550</v>
      </c>
      <c r="C297" s="3" t="s">
        <v>437</v>
      </c>
      <c r="D297" s="9">
        <v>15.7</v>
      </c>
      <c r="E297" s="3" t="s">
        <v>3222</v>
      </c>
      <c r="F297" s="3" t="s">
        <v>164</v>
      </c>
      <c r="G297" s="9">
        <v>587.14</v>
      </c>
      <c r="H297" s="10">
        <v>45686.658530092587</v>
      </c>
      <c r="I297" s="10">
        <v>45686.658530092587</v>
      </c>
      <c r="J297" s="10">
        <v>45686.659780092603</v>
      </c>
      <c r="K297" s="11">
        <v>1.25E-3</v>
      </c>
      <c r="L297" s="13"/>
    </row>
    <row r="298" spans="1:12" x14ac:dyDescent="0.25">
      <c r="A298" s="3" t="s">
        <v>3221</v>
      </c>
      <c r="B298" s="3" t="s">
        <v>3551</v>
      </c>
      <c r="C298" s="3" t="s">
        <v>438</v>
      </c>
      <c r="D298" s="9">
        <v>302.10000000000002</v>
      </c>
      <c r="E298" s="3" t="s">
        <v>3222</v>
      </c>
      <c r="F298" s="3" t="s">
        <v>139</v>
      </c>
      <c r="G298" s="9">
        <v>766.25</v>
      </c>
      <c r="H298" s="10">
        <v>45686.728506944448</v>
      </c>
      <c r="I298" s="10">
        <v>45686.728506944448</v>
      </c>
      <c r="J298" s="10">
        <v>45686.730798611112</v>
      </c>
      <c r="K298" s="11">
        <v>2.2916666666666671E-3</v>
      </c>
      <c r="L298" s="13"/>
    </row>
    <row r="299" spans="1:12" x14ac:dyDescent="0.25">
      <c r="A299" s="3" t="s">
        <v>3221</v>
      </c>
      <c r="B299" s="3" t="s">
        <v>3552</v>
      </c>
      <c r="C299" s="3" t="s">
        <v>439</v>
      </c>
      <c r="D299" s="9">
        <v>377.4</v>
      </c>
      <c r="E299" s="3" t="s">
        <v>3222</v>
      </c>
      <c r="F299" s="3" t="s">
        <v>142</v>
      </c>
      <c r="G299" s="9">
        <v>556.20000000000005</v>
      </c>
      <c r="H299" s="10">
        <v>45686.733310185176</v>
      </c>
      <c r="I299" s="10">
        <v>45686.733310185176</v>
      </c>
      <c r="J299" s="10">
        <v>45686.735335648147</v>
      </c>
      <c r="K299" s="11">
        <v>2.0254629629629629E-3</v>
      </c>
      <c r="L299" s="13"/>
    </row>
    <row r="300" spans="1:12" x14ac:dyDescent="0.25">
      <c r="A300" s="3" t="s">
        <v>3221</v>
      </c>
      <c r="B300" s="3" t="s">
        <v>3553</v>
      </c>
      <c r="C300" s="3" t="s">
        <v>440</v>
      </c>
      <c r="D300" s="9">
        <v>380.8</v>
      </c>
      <c r="E300" s="3" t="s">
        <v>3222</v>
      </c>
      <c r="F300" s="3" t="s">
        <v>139</v>
      </c>
      <c r="G300" s="9">
        <v>766.25</v>
      </c>
      <c r="H300" s="10">
        <v>45686.865081018521</v>
      </c>
      <c r="I300" s="10">
        <v>45686.865081018521</v>
      </c>
      <c r="J300" s="10">
        <v>45686.86755787037</v>
      </c>
      <c r="K300" s="11">
        <v>2.476851851851852E-3</v>
      </c>
      <c r="L300" s="13"/>
    </row>
    <row r="301" spans="1:12" x14ac:dyDescent="0.25">
      <c r="A301" s="3" t="s">
        <v>3221</v>
      </c>
      <c r="B301" s="3" t="s">
        <v>3554</v>
      </c>
      <c r="C301" s="3" t="s">
        <v>441</v>
      </c>
      <c r="D301" s="9">
        <v>136.9</v>
      </c>
      <c r="E301" s="3" t="s">
        <v>3222</v>
      </c>
      <c r="F301" s="3" t="s">
        <v>139</v>
      </c>
      <c r="G301" s="9">
        <v>766.25</v>
      </c>
      <c r="H301" s="10">
        <v>45687.112384259257</v>
      </c>
      <c r="I301" s="10">
        <v>45687.112384259257</v>
      </c>
      <c r="J301" s="10">
        <v>45687.114293981482</v>
      </c>
      <c r="K301" s="11">
        <v>1.9097222222222219E-3</v>
      </c>
      <c r="L301" s="13"/>
    </row>
    <row r="302" spans="1:12" x14ac:dyDescent="0.25">
      <c r="A302" s="3" t="s">
        <v>3221</v>
      </c>
      <c r="B302" s="3" t="s">
        <v>3555</v>
      </c>
      <c r="C302" s="3" t="s">
        <v>442</v>
      </c>
      <c r="D302" s="9">
        <v>297</v>
      </c>
      <c r="E302" s="3" t="s">
        <v>3222</v>
      </c>
      <c r="F302" s="3" t="s">
        <v>139</v>
      </c>
      <c r="G302" s="9">
        <v>766.25</v>
      </c>
      <c r="H302" s="10">
        <v>45687.261840277781</v>
      </c>
      <c r="I302" s="10">
        <v>45687.261840277781</v>
      </c>
      <c r="J302" s="10">
        <v>45687.264120370368</v>
      </c>
      <c r="K302" s="11">
        <v>2.2800925925925931E-3</v>
      </c>
      <c r="L302" s="13"/>
    </row>
    <row r="303" spans="1:12" x14ac:dyDescent="0.25">
      <c r="A303" s="3" t="s">
        <v>3221</v>
      </c>
      <c r="B303" s="3" t="s">
        <v>3556</v>
      </c>
      <c r="C303" s="3" t="s">
        <v>443</v>
      </c>
      <c r="D303" s="9">
        <v>336.5</v>
      </c>
      <c r="E303" s="3" t="s">
        <v>3222</v>
      </c>
      <c r="F303" s="3" t="s">
        <v>139</v>
      </c>
      <c r="G303" s="9">
        <v>766.25</v>
      </c>
      <c r="H303" s="10">
        <v>45687.288715277777</v>
      </c>
      <c r="I303" s="10">
        <v>45687.288715277777</v>
      </c>
      <c r="J303" s="10">
        <v>45687.291087962964</v>
      </c>
      <c r="K303" s="11">
        <v>2.3726851851851851E-3</v>
      </c>
      <c r="L303" s="13"/>
    </row>
    <row r="304" spans="1:12" x14ac:dyDescent="0.25">
      <c r="A304" s="3" t="s">
        <v>3221</v>
      </c>
      <c r="B304" s="3" t="s">
        <v>3557</v>
      </c>
      <c r="C304" s="3" t="s">
        <v>444</v>
      </c>
      <c r="D304" s="9">
        <v>598.9</v>
      </c>
      <c r="E304" s="3" t="s">
        <v>3222</v>
      </c>
      <c r="F304" s="3" t="s">
        <v>169</v>
      </c>
      <c r="G304" s="9">
        <v>476.05</v>
      </c>
      <c r="H304" s="10">
        <v>45687.300046296303</v>
      </c>
      <c r="I304" s="10">
        <v>45687.300046296303</v>
      </c>
      <c r="J304" s="10">
        <v>45687.302418981482</v>
      </c>
      <c r="K304" s="11">
        <v>2.3726851851851851E-3</v>
      </c>
      <c r="L304" s="13"/>
    </row>
    <row r="305" spans="1:12" x14ac:dyDescent="0.25">
      <c r="A305" s="3" t="s">
        <v>3221</v>
      </c>
      <c r="B305" s="3" t="s">
        <v>3558</v>
      </c>
      <c r="C305" s="3" t="s">
        <v>445</v>
      </c>
      <c r="D305" s="9">
        <v>380.8</v>
      </c>
      <c r="E305" s="3" t="s">
        <v>3222</v>
      </c>
      <c r="F305" s="3" t="s">
        <v>139</v>
      </c>
      <c r="G305" s="9">
        <v>766.25</v>
      </c>
      <c r="H305" s="10">
        <v>45687.327488425923</v>
      </c>
      <c r="I305" s="10">
        <v>45687.327488425923</v>
      </c>
      <c r="J305" s="10">
        <v>45687.329965277779</v>
      </c>
      <c r="K305" s="11">
        <v>2.476851851851852E-3</v>
      </c>
      <c r="L305" s="13"/>
    </row>
    <row r="306" spans="1:12" x14ac:dyDescent="0.25">
      <c r="A306" s="3" t="s">
        <v>3221</v>
      </c>
      <c r="B306" s="3" t="s">
        <v>3559</v>
      </c>
      <c r="C306" s="3" t="s">
        <v>446</v>
      </c>
      <c r="D306" s="9">
        <v>213.1</v>
      </c>
      <c r="E306" s="3" t="s">
        <v>3222</v>
      </c>
      <c r="F306" s="3" t="s">
        <v>139</v>
      </c>
      <c r="G306" s="9">
        <v>766.25</v>
      </c>
      <c r="H306" s="10">
        <v>45687.348391203697</v>
      </c>
      <c r="I306" s="10">
        <v>45687.348391203697</v>
      </c>
      <c r="J306" s="10">
        <v>45687.350474537037</v>
      </c>
      <c r="K306" s="11">
        <v>2.0833333333333329E-3</v>
      </c>
      <c r="L306" s="13"/>
    </row>
    <row r="307" spans="1:12" x14ac:dyDescent="0.25">
      <c r="A307" s="3" t="s">
        <v>3221</v>
      </c>
      <c r="B307" s="3" t="s">
        <v>3560</v>
      </c>
      <c r="C307" s="3" t="s">
        <v>447</v>
      </c>
      <c r="D307" s="9">
        <v>355.8</v>
      </c>
      <c r="E307" s="3" t="s">
        <v>3222</v>
      </c>
      <c r="F307" s="3" t="s">
        <v>139</v>
      </c>
      <c r="G307" s="9">
        <v>766.25</v>
      </c>
      <c r="H307" s="10">
        <v>45687.380300925928</v>
      </c>
      <c r="I307" s="10">
        <v>45687.380300925928</v>
      </c>
      <c r="J307" s="10">
        <v>45687.382719907408</v>
      </c>
      <c r="K307" s="11">
        <v>2.418981481481482E-3</v>
      </c>
      <c r="L307" s="13"/>
    </row>
    <row r="308" spans="1:12" x14ac:dyDescent="0.25">
      <c r="A308" s="3" t="s">
        <v>3221</v>
      </c>
      <c r="B308" s="3" t="s">
        <v>3561</v>
      </c>
      <c r="C308" s="3" t="s">
        <v>448</v>
      </c>
      <c r="D308" s="9">
        <v>435.1</v>
      </c>
      <c r="E308" s="3" t="s">
        <v>3222</v>
      </c>
      <c r="F308" s="3" t="s">
        <v>139</v>
      </c>
      <c r="G308" s="9">
        <v>766.25</v>
      </c>
      <c r="H308" s="10">
        <v>45687.411168981482</v>
      </c>
      <c r="I308" s="10">
        <v>45687.411168981482</v>
      </c>
      <c r="J308" s="10">
        <v>45687.413761574076</v>
      </c>
      <c r="K308" s="11">
        <v>2.592592592592593E-3</v>
      </c>
      <c r="L308" s="13"/>
    </row>
    <row r="309" spans="1:12" x14ac:dyDescent="0.25">
      <c r="A309" s="3" t="s">
        <v>3221</v>
      </c>
      <c r="B309" s="3" t="s">
        <v>3562</v>
      </c>
      <c r="C309" s="3" t="s">
        <v>449</v>
      </c>
      <c r="D309" s="9">
        <v>291.7</v>
      </c>
      <c r="E309" s="3" t="s">
        <v>3222</v>
      </c>
      <c r="F309" s="3" t="s">
        <v>139</v>
      </c>
      <c r="G309" s="9">
        <v>766.25</v>
      </c>
      <c r="H309" s="10">
        <v>45687.539282407408</v>
      </c>
      <c r="I309" s="10">
        <v>45687.539282407408</v>
      </c>
      <c r="J309" s="10">
        <v>45687.541550925933</v>
      </c>
      <c r="K309" s="11">
        <v>2.2685185185185191E-3</v>
      </c>
      <c r="L309" s="13"/>
    </row>
    <row r="310" spans="1:12" x14ac:dyDescent="0.25">
      <c r="A310" s="3" t="s">
        <v>3221</v>
      </c>
      <c r="B310" s="3" t="s">
        <v>3563</v>
      </c>
      <c r="C310" s="3" t="s">
        <v>450</v>
      </c>
      <c r="D310" s="9">
        <v>388.3</v>
      </c>
      <c r="E310" s="3" t="s">
        <v>3222</v>
      </c>
      <c r="F310" s="3" t="s">
        <v>139</v>
      </c>
      <c r="G310" s="9">
        <v>766.25</v>
      </c>
      <c r="H310" s="10">
        <v>45687.603379629632</v>
      </c>
      <c r="I310" s="10">
        <v>45687.603379629632</v>
      </c>
      <c r="J310" s="10">
        <v>45687.605868055558</v>
      </c>
      <c r="K310" s="11">
        <v>2.488425925925926E-3</v>
      </c>
      <c r="L310" s="13"/>
    </row>
    <row r="311" spans="1:12" x14ac:dyDescent="0.25">
      <c r="A311" s="3" t="s">
        <v>3221</v>
      </c>
      <c r="B311" s="3" t="s">
        <v>3564</v>
      </c>
      <c r="C311" s="3" t="s">
        <v>451</v>
      </c>
      <c r="D311" s="9">
        <v>267.5</v>
      </c>
      <c r="E311" s="3" t="s">
        <v>3222</v>
      </c>
      <c r="F311" s="3" t="s">
        <v>139</v>
      </c>
      <c r="G311" s="9">
        <v>766.25</v>
      </c>
      <c r="H311" s="10">
        <v>45687.618969907409</v>
      </c>
      <c r="I311" s="10">
        <v>45687.618969907409</v>
      </c>
      <c r="J311" s="10">
        <v>45687.621180555558</v>
      </c>
      <c r="K311" s="11">
        <v>2.2106481481481482E-3</v>
      </c>
      <c r="L311" s="13"/>
    </row>
    <row r="312" spans="1:12" x14ac:dyDescent="0.25">
      <c r="A312" s="3" t="s">
        <v>3221</v>
      </c>
      <c r="B312" s="3" t="s">
        <v>3565</v>
      </c>
      <c r="C312" s="3" t="s">
        <v>452</v>
      </c>
      <c r="D312" s="9">
        <v>15.7</v>
      </c>
      <c r="E312" s="3" t="s">
        <v>3222</v>
      </c>
      <c r="F312" s="3" t="s">
        <v>164</v>
      </c>
      <c r="G312" s="9">
        <v>587.14</v>
      </c>
      <c r="H312" s="10">
        <v>45687.64775462963</v>
      </c>
      <c r="I312" s="10">
        <v>45687.64775462963</v>
      </c>
      <c r="J312" s="10">
        <v>45687.649004629631</v>
      </c>
      <c r="K312" s="11">
        <v>1.25E-3</v>
      </c>
      <c r="L312" s="13"/>
    </row>
    <row r="313" spans="1:12" x14ac:dyDescent="0.25">
      <c r="A313" s="3" t="s">
        <v>3221</v>
      </c>
      <c r="B313" s="3" t="s">
        <v>3566</v>
      </c>
      <c r="C313" s="3" t="s">
        <v>453</v>
      </c>
      <c r="D313" s="9">
        <v>47.2</v>
      </c>
      <c r="E313" s="3" t="s">
        <v>3222</v>
      </c>
      <c r="F313" s="3" t="s">
        <v>164</v>
      </c>
      <c r="G313" s="9">
        <v>587.14</v>
      </c>
      <c r="H313" s="10">
        <v>45687.723692129628</v>
      </c>
      <c r="I313" s="10">
        <v>45687.723692129628</v>
      </c>
      <c r="J313" s="10">
        <v>45687.725023148138</v>
      </c>
      <c r="K313" s="11">
        <v>1.3310185185185181E-3</v>
      </c>
      <c r="L313" s="13"/>
    </row>
    <row r="314" spans="1:12" x14ac:dyDescent="0.25">
      <c r="A314" s="3" t="s">
        <v>3221</v>
      </c>
      <c r="B314" s="3" t="s">
        <v>3567</v>
      </c>
      <c r="C314" s="3" t="s">
        <v>454</v>
      </c>
      <c r="D314" s="9">
        <v>135.1</v>
      </c>
      <c r="E314" s="3" t="s">
        <v>3222</v>
      </c>
      <c r="F314" s="3" t="s">
        <v>139</v>
      </c>
      <c r="G314" s="9">
        <v>766.25</v>
      </c>
      <c r="H314" s="10">
        <v>45687.82130787037</v>
      </c>
      <c r="I314" s="10">
        <v>45687.82130787037</v>
      </c>
      <c r="J314" s="10">
        <v>45687.823206018518</v>
      </c>
      <c r="K314" s="11">
        <v>1.8981481481481479E-3</v>
      </c>
      <c r="L314" s="13"/>
    </row>
    <row r="315" spans="1:12" x14ac:dyDescent="0.25">
      <c r="A315" s="3" t="s">
        <v>3221</v>
      </c>
      <c r="B315" s="3" t="s">
        <v>3568</v>
      </c>
      <c r="C315" s="3" t="s">
        <v>455</v>
      </c>
      <c r="D315" s="9">
        <v>389.1</v>
      </c>
      <c r="E315" s="3" t="s">
        <v>3222</v>
      </c>
      <c r="F315" s="3" t="s">
        <v>139</v>
      </c>
      <c r="G315" s="9">
        <v>766.25</v>
      </c>
      <c r="H315" s="10">
        <v>45687.850914351853</v>
      </c>
      <c r="I315" s="10">
        <v>45687.850914351853</v>
      </c>
      <c r="J315" s="10">
        <v>45687.853402777779</v>
      </c>
      <c r="K315" s="11">
        <v>2.488425925925926E-3</v>
      </c>
      <c r="L315" s="13"/>
    </row>
    <row r="316" spans="1:12" x14ac:dyDescent="0.25">
      <c r="A316" s="3" t="s">
        <v>3221</v>
      </c>
      <c r="B316" s="3" t="s">
        <v>3569</v>
      </c>
      <c r="C316" s="3" t="s">
        <v>456</v>
      </c>
      <c r="D316" s="9">
        <v>199.9</v>
      </c>
      <c r="E316" s="3" t="s">
        <v>3222</v>
      </c>
      <c r="F316" s="3" t="s">
        <v>139</v>
      </c>
      <c r="G316" s="9">
        <v>766.25</v>
      </c>
      <c r="H316" s="10">
        <v>45688.115636574083</v>
      </c>
      <c r="I316" s="10">
        <v>45688.115636574083</v>
      </c>
      <c r="J316" s="10">
        <v>45688.117685185192</v>
      </c>
      <c r="K316" s="11">
        <v>2.0486111111111109E-3</v>
      </c>
      <c r="L316" s="13"/>
    </row>
    <row r="317" spans="1:12" x14ac:dyDescent="0.25">
      <c r="A317" s="3" t="s">
        <v>3221</v>
      </c>
      <c r="B317" s="3" t="s">
        <v>3570</v>
      </c>
      <c r="C317" s="3" t="s">
        <v>457</v>
      </c>
      <c r="D317" s="9">
        <v>238.6</v>
      </c>
      <c r="E317" s="3" t="s">
        <v>3222</v>
      </c>
      <c r="F317" s="3" t="s">
        <v>139</v>
      </c>
      <c r="G317" s="9">
        <v>766.25</v>
      </c>
      <c r="H317" s="10">
        <v>45688.184965277767</v>
      </c>
      <c r="I317" s="10">
        <v>45688.184965277767</v>
      </c>
      <c r="J317" s="10">
        <v>45688.187106481477</v>
      </c>
      <c r="K317" s="11">
        <v>2.1412037037037042E-3</v>
      </c>
      <c r="L317" s="13"/>
    </row>
    <row r="318" spans="1:12" x14ac:dyDescent="0.25">
      <c r="A318" s="3" t="s">
        <v>3221</v>
      </c>
      <c r="B318" s="3" t="s">
        <v>3571</v>
      </c>
      <c r="C318" s="3" t="s">
        <v>458</v>
      </c>
      <c r="D318" s="9">
        <v>297</v>
      </c>
      <c r="E318" s="3" t="s">
        <v>3222</v>
      </c>
      <c r="F318" s="3" t="s">
        <v>139</v>
      </c>
      <c r="G318" s="9">
        <v>766.25</v>
      </c>
      <c r="H318" s="10">
        <v>45688.247534722221</v>
      </c>
      <c r="I318" s="10">
        <v>45688.247534722221</v>
      </c>
      <c r="J318" s="10">
        <v>45688.249814814822</v>
      </c>
      <c r="K318" s="11">
        <v>2.2800925925925931E-3</v>
      </c>
      <c r="L318" s="13"/>
    </row>
    <row r="319" spans="1:12" x14ac:dyDescent="0.25">
      <c r="A319" s="3" t="s">
        <v>3221</v>
      </c>
      <c r="B319" s="3" t="s">
        <v>3572</v>
      </c>
      <c r="C319" s="3" t="s">
        <v>459</v>
      </c>
      <c r="D319" s="9">
        <v>74.599999999999994</v>
      </c>
      <c r="E319" s="3" t="s">
        <v>3222</v>
      </c>
      <c r="F319" s="3" t="s">
        <v>139</v>
      </c>
      <c r="G319" s="9">
        <v>766.25</v>
      </c>
      <c r="H319" s="10">
        <v>45688.291192129633</v>
      </c>
      <c r="I319" s="10">
        <v>45688.291192129633</v>
      </c>
      <c r="J319" s="10">
        <v>45688.292951388888</v>
      </c>
      <c r="K319" s="11">
        <v>1.759259259259259E-3</v>
      </c>
      <c r="L319" s="13"/>
    </row>
    <row r="320" spans="1:12" x14ac:dyDescent="0.25">
      <c r="A320" s="3" t="s">
        <v>3221</v>
      </c>
      <c r="B320" s="3" t="s">
        <v>3573</v>
      </c>
      <c r="C320" s="3" t="s">
        <v>460</v>
      </c>
      <c r="D320" s="9">
        <v>585.29999999999995</v>
      </c>
      <c r="E320" s="3" t="s">
        <v>3222</v>
      </c>
      <c r="F320" s="3" t="s">
        <v>142</v>
      </c>
      <c r="G320" s="9">
        <v>556.20000000000005</v>
      </c>
      <c r="H320" s="10">
        <v>45688.294074074067</v>
      </c>
      <c r="I320" s="10">
        <v>45688.294074074067</v>
      </c>
      <c r="J320" s="10">
        <v>45688.296585648153</v>
      </c>
      <c r="K320" s="11">
        <v>2.5115740740740741E-3</v>
      </c>
      <c r="L320" s="13"/>
    </row>
    <row r="321" spans="1:12" x14ac:dyDescent="0.25">
      <c r="A321" s="3" t="s">
        <v>3221</v>
      </c>
      <c r="B321" s="3" t="s">
        <v>3574</v>
      </c>
      <c r="C321" s="3" t="s">
        <v>461</v>
      </c>
      <c r="D321" s="9">
        <v>381.6</v>
      </c>
      <c r="E321" s="3" t="s">
        <v>3222</v>
      </c>
      <c r="F321" s="3" t="s">
        <v>139</v>
      </c>
      <c r="G321" s="9">
        <v>766.25</v>
      </c>
      <c r="H321" s="10">
        <v>45688.333784722221</v>
      </c>
      <c r="I321" s="10">
        <v>45688.333784722221</v>
      </c>
      <c r="J321" s="10">
        <v>45688.336261574077</v>
      </c>
      <c r="K321" s="11">
        <v>2.476851851851852E-3</v>
      </c>
      <c r="L321" s="13"/>
    </row>
    <row r="322" spans="1:12" x14ac:dyDescent="0.25">
      <c r="A322" s="3" t="s">
        <v>3221</v>
      </c>
      <c r="B322" s="3" t="s">
        <v>3575</v>
      </c>
      <c r="C322" s="3" t="s">
        <v>462</v>
      </c>
      <c r="D322" s="9">
        <v>237.1</v>
      </c>
      <c r="E322" s="3" t="s">
        <v>3222</v>
      </c>
      <c r="F322" s="3" t="s">
        <v>139</v>
      </c>
      <c r="G322" s="9">
        <v>766.25</v>
      </c>
      <c r="H322" s="10">
        <v>45688.369340277779</v>
      </c>
      <c r="I322" s="10">
        <v>45688.369340277779</v>
      </c>
      <c r="J322" s="10">
        <v>45688.371481481481</v>
      </c>
      <c r="K322" s="11">
        <v>2.1412037037037042E-3</v>
      </c>
      <c r="L322" s="13"/>
    </row>
    <row r="323" spans="1:12" x14ac:dyDescent="0.25">
      <c r="A323" s="3" t="s">
        <v>3221</v>
      </c>
      <c r="B323" s="3" t="s">
        <v>3576</v>
      </c>
      <c r="C323" s="3" t="s">
        <v>463</v>
      </c>
      <c r="D323" s="9">
        <v>376.6</v>
      </c>
      <c r="E323" s="3" t="s">
        <v>3222</v>
      </c>
      <c r="F323" s="3" t="s">
        <v>142</v>
      </c>
      <c r="G323" s="9">
        <v>556.20000000000005</v>
      </c>
      <c r="H323" s="10">
        <v>45688.374641203707</v>
      </c>
      <c r="I323" s="10">
        <v>45688.374641203707</v>
      </c>
      <c r="J323" s="10">
        <v>45688.376666666663</v>
      </c>
      <c r="K323" s="11">
        <v>2.0254629629629629E-3</v>
      </c>
      <c r="L323" s="13"/>
    </row>
    <row r="324" spans="1:12" x14ac:dyDescent="0.25">
      <c r="A324" s="3" t="s">
        <v>3221</v>
      </c>
      <c r="B324" s="3" t="s">
        <v>3577</v>
      </c>
      <c r="C324" s="3" t="s">
        <v>464</v>
      </c>
      <c r="D324" s="9">
        <v>445.4</v>
      </c>
      <c r="E324" s="3" t="s">
        <v>3222</v>
      </c>
      <c r="F324" s="3" t="s">
        <v>139</v>
      </c>
      <c r="G324" s="9">
        <v>766.25</v>
      </c>
      <c r="H324" s="10">
        <v>45688.439085648148</v>
      </c>
      <c r="I324" s="10">
        <v>45688.439085648148</v>
      </c>
      <c r="J324" s="10">
        <v>45688.441701388889</v>
      </c>
      <c r="K324" s="11">
        <v>2.615740740740741E-3</v>
      </c>
      <c r="L324" s="13"/>
    </row>
    <row r="325" spans="1:12" x14ac:dyDescent="0.25">
      <c r="A325" s="3" t="s">
        <v>3221</v>
      </c>
      <c r="B325" s="3" t="s">
        <v>3578</v>
      </c>
      <c r="C325" s="3" t="s">
        <v>465</v>
      </c>
      <c r="D325" s="9">
        <v>247.3</v>
      </c>
      <c r="E325" s="3" t="s">
        <v>3222</v>
      </c>
      <c r="F325" s="3" t="s">
        <v>139</v>
      </c>
      <c r="G325" s="9">
        <v>766.25</v>
      </c>
      <c r="H325" s="10">
        <v>45688.518587962957</v>
      </c>
      <c r="I325" s="10">
        <v>45688.518587962957</v>
      </c>
      <c r="J325" s="10">
        <v>45688.520752314813</v>
      </c>
      <c r="K325" s="11">
        <v>2.1643518518518522E-3</v>
      </c>
      <c r="L325" s="13"/>
    </row>
    <row r="326" spans="1:12" x14ac:dyDescent="0.25">
      <c r="A326" s="3" t="s">
        <v>3221</v>
      </c>
      <c r="B326" s="3" t="s">
        <v>3579</v>
      </c>
      <c r="C326" s="3" t="s">
        <v>466</v>
      </c>
      <c r="D326" s="9">
        <v>186.7</v>
      </c>
      <c r="E326" s="3" t="s">
        <v>3222</v>
      </c>
      <c r="F326" s="3" t="s">
        <v>139</v>
      </c>
      <c r="G326" s="9">
        <v>766.25</v>
      </c>
      <c r="H326" s="10">
        <v>45688.591469907413</v>
      </c>
      <c r="I326" s="10">
        <v>45688.591469907413</v>
      </c>
      <c r="J326" s="10">
        <v>45688.593495370369</v>
      </c>
      <c r="K326" s="11">
        <v>2.0254629629629629E-3</v>
      </c>
      <c r="L326" s="13"/>
    </row>
    <row r="327" spans="1:12" x14ac:dyDescent="0.25">
      <c r="A327" s="3" t="s">
        <v>3221</v>
      </c>
      <c r="B327" s="3" t="s">
        <v>3580</v>
      </c>
      <c r="C327" s="3" t="s">
        <v>467</v>
      </c>
      <c r="D327" s="9">
        <v>332.5</v>
      </c>
      <c r="E327" s="3" t="s">
        <v>3222</v>
      </c>
      <c r="F327" s="3" t="s">
        <v>139</v>
      </c>
      <c r="G327" s="9">
        <v>766.25</v>
      </c>
      <c r="H327" s="10">
        <v>45688.625740740739</v>
      </c>
      <c r="I327" s="10">
        <v>45688.625740740739</v>
      </c>
      <c r="J327" s="10">
        <v>45688.628101851849</v>
      </c>
      <c r="K327" s="11">
        <v>2.3611111111111111E-3</v>
      </c>
      <c r="L327" s="13"/>
    </row>
    <row r="328" spans="1:12" x14ac:dyDescent="0.25">
      <c r="A328" s="3" t="s">
        <v>3221</v>
      </c>
      <c r="B328" s="3" t="s">
        <v>3581</v>
      </c>
      <c r="C328" s="3" t="s">
        <v>468</v>
      </c>
      <c r="D328" s="9">
        <v>420.6</v>
      </c>
      <c r="E328" s="3" t="s">
        <v>3222</v>
      </c>
      <c r="F328" s="3" t="s">
        <v>142</v>
      </c>
      <c r="G328" s="9">
        <v>556.20000000000005</v>
      </c>
      <c r="H328" s="10">
        <v>45688.637939814813</v>
      </c>
      <c r="I328" s="10">
        <v>45688.637939814813</v>
      </c>
      <c r="J328" s="10">
        <v>45688.640069444453</v>
      </c>
      <c r="K328" s="11">
        <v>2.1296296296296302E-3</v>
      </c>
      <c r="L328" s="13"/>
    </row>
    <row r="329" spans="1:12" x14ac:dyDescent="0.25">
      <c r="A329" s="3" t="s">
        <v>3221</v>
      </c>
      <c r="B329" s="3" t="s">
        <v>3582</v>
      </c>
      <c r="C329" s="3" t="s">
        <v>469</v>
      </c>
      <c r="D329" s="9">
        <v>47.2</v>
      </c>
      <c r="E329" s="3" t="s">
        <v>3222</v>
      </c>
      <c r="F329" s="3" t="s">
        <v>164</v>
      </c>
      <c r="G329" s="9">
        <v>587.14</v>
      </c>
      <c r="H329" s="10">
        <v>45688.647418981483</v>
      </c>
      <c r="I329" s="10">
        <v>45688.647418981483</v>
      </c>
      <c r="J329" s="10">
        <v>45688.64875</v>
      </c>
      <c r="K329" s="11">
        <v>1.3310185185185181E-3</v>
      </c>
      <c r="L329" s="13"/>
    </row>
    <row r="330" spans="1:12" x14ac:dyDescent="0.25">
      <c r="A330" s="3" t="s">
        <v>3221</v>
      </c>
      <c r="B330" s="3" t="s">
        <v>3583</v>
      </c>
      <c r="C330" s="3" t="s">
        <v>470</v>
      </c>
      <c r="D330" s="9">
        <v>302.10000000000002</v>
      </c>
      <c r="E330" s="3" t="s">
        <v>3222</v>
      </c>
      <c r="F330" s="3" t="s">
        <v>139</v>
      </c>
      <c r="G330" s="9">
        <v>766.25</v>
      </c>
      <c r="H330" s="10">
        <v>45688.729768518519</v>
      </c>
      <c r="I330" s="10">
        <v>45688.729768518519</v>
      </c>
      <c r="J330" s="10">
        <v>45688.732060185182</v>
      </c>
      <c r="K330" s="11">
        <v>2.2916666666666671E-3</v>
      </c>
      <c r="L330" s="13"/>
    </row>
    <row r="331" spans="1:12" x14ac:dyDescent="0.25">
      <c r="A331" s="3" t="s">
        <v>3221</v>
      </c>
      <c r="B331" s="3" t="s">
        <v>3584</v>
      </c>
      <c r="C331" s="3" t="s">
        <v>471</v>
      </c>
      <c r="D331" s="9">
        <v>193.1</v>
      </c>
      <c r="E331" s="3" t="s">
        <v>3222</v>
      </c>
      <c r="F331" s="3" t="s">
        <v>142</v>
      </c>
      <c r="G331" s="9">
        <v>556.20000000000005</v>
      </c>
      <c r="H331" s="10">
        <v>45688.739953703713</v>
      </c>
      <c r="I331" s="10">
        <v>45688.739953703713</v>
      </c>
      <c r="J331" s="10">
        <v>45688.741550925923</v>
      </c>
      <c r="K331" s="11">
        <v>1.5972222222222221E-3</v>
      </c>
      <c r="L331" s="13"/>
    </row>
    <row r="332" spans="1:12" x14ac:dyDescent="0.25">
      <c r="A332" s="3" t="s">
        <v>3221</v>
      </c>
      <c r="B332" s="3" t="s">
        <v>3585</v>
      </c>
      <c r="C332" s="3" t="s">
        <v>472</v>
      </c>
      <c r="D332" s="9">
        <v>351</v>
      </c>
      <c r="E332" s="3" t="s">
        <v>3222</v>
      </c>
      <c r="F332" s="3" t="s">
        <v>139</v>
      </c>
      <c r="G332" s="9">
        <v>766.25</v>
      </c>
      <c r="H332" s="10">
        <v>45688.836527777778</v>
      </c>
      <c r="I332" s="10">
        <v>45688.836527777778</v>
      </c>
      <c r="J332" s="10">
        <v>45688.838935185187</v>
      </c>
      <c r="K332" s="11">
        <v>2.407407407407408E-3</v>
      </c>
      <c r="L332" s="13"/>
    </row>
    <row r="333" spans="1:12" x14ac:dyDescent="0.25">
      <c r="A333" s="3" t="s">
        <v>3586</v>
      </c>
      <c r="B333" s="3" t="s">
        <v>3587</v>
      </c>
      <c r="C333" s="3" t="s">
        <v>503</v>
      </c>
      <c r="D333" s="9">
        <v>15.7</v>
      </c>
      <c r="E333" s="3"/>
      <c r="F333" s="3"/>
      <c r="G333" s="9"/>
      <c r="H333" s="10">
        <v>45659.320208333331</v>
      </c>
      <c r="I333" s="10">
        <v>45659.321076388893</v>
      </c>
      <c r="J333" s="10">
        <v>45659.324131944442</v>
      </c>
      <c r="K333" s="11">
        <v>3.0555555555555561E-3</v>
      </c>
      <c r="L333" s="13"/>
    </row>
    <row r="334" spans="1:12" x14ac:dyDescent="0.25">
      <c r="A334" s="3" t="s">
        <v>3586</v>
      </c>
      <c r="B334" s="3" t="s">
        <v>3588</v>
      </c>
      <c r="C334" s="3" t="s">
        <v>512</v>
      </c>
      <c r="D334" s="9">
        <v>12</v>
      </c>
      <c r="E334" s="3"/>
      <c r="F334" s="3"/>
      <c r="G334" s="9"/>
      <c r="H334" s="10">
        <v>45659.326099537036</v>
      </c>
      <c r="I334" s="10">
        <v>45659.326967592591</v>
      </c>
      <c r="J334" s="10">
        <v>45659.330023148148</v>
      </c>
      <c r="K334" s="11">
        <v>3.0555555555555561E-3</v>
      </c>
      <c r="L334" s="13"/>
    </row>
    <row r="335" spans="1:12" x14ac:dyDescent="0.25">
      <c r="A335" s="3" t="s">
        <v>3586</v>
      </c>
      <c r="B335" s="3" t="s">
        <v>3589</v>
      </c>
      <c r="C335" s="3" t="s">
        <v>530</v>
      </c>
      <c r="D335" s="9">
        <v>19.899999999999999</v>
      </c>
      <c r="E335" s="3"/>
      <c r="F335" s="3"/>
      <c r="G335" s="9"/>
      <c r="H335" s="10">
        <v>45659.334803240738</v>
      </c>
      <c r="I335" s="10">
        <v>45659.335648148153</v>
      </c>
      <c r="J335" s="10">
        <v>45659.338703703703</v>
      </c>
      <c r="K335" s="11">
        <v>3.0555555555555561E-3</v>
      </c>
      <c r="L335" s="13"/>
    </row>
    <row r="336" spans="1:12" x14ac:dyDescent="0.25">
      <c r="A336" s="3" t="s">
        <v>3586</v>
      </c>
      <c r="B336" s="3" t="s">
        <v>3590</v>
      </c>
      <c r="C336" s="3" t="s">
        <v>536</v>
      </c>
      <c r="D336" s="9">
        <v>19.899999999999999</v>
      </c>
      <c r="E336" s="3"/>
      <c r="F336" s="3"/>
      <c r="G336" s="9"/>
      <c r="H336" s="10">
        <v>45659.337858796287</v>
      </c>
      <c r="I336" s="10">
        <v>45659.34039351852</v>
      </c>
      <c r="J336" s="10">
        <v>45659.343449074076</v>
      </c>
      <c r="K336" s="11">
        <v>3.0555555555555561E-3</v>
      </c>
      <c r="L336" s="13"/>
    </row>
    <row r="337" spans="1:12" x14ac:dyDescent="0.25">
      <c r="A337" s="3" t="s">
        <v>3586</v>
      </c>
      <c r="B337" s="3" t="s">
        <v>3591</v>
      </c>
      <c r="C337" s="3" t="s">
        <v>548</v>
      </c>
      <c r="D337" s="9">
        <v>21</v>
      </c>
      <c r="E337" s="3"/>
      <c r="F337" s="3"/>
      <c r="G337" s="9"/>
      <c r="H337" s="10">
        <v>45659.389398148152</v>
      </c>
      <c r="I337" s="10">
        <v>45659.390185185177</v>
      </c>
      <c r="J337" s="10">
        <v>45659.392962962957</v>
      </c>
      <c r="K337" s="11">
        <v>2.7777777777777779E-3</v>
      </c>
      <c r="L337" s="13"/>
    </row>
    <row r="338" spans="1:12" x14ac:dyDescent="0.25">
      <c r="A338" s="3" t="s">
        <v>3586</v>
      </c>
      <c r="B338" s="3" t="s">
        <v>3592</v>
      </c>
      <c r="C338" s="3" t="s">
        <v>550</v>
      </c>
      <c r="D338" s="9">
        <v>19.899999999999999</v>
      </c>
      <c r="E338" s="3"/>
      <c r="F338" s="3"/>
      <c r="G338" s="9"/>
      <c r="H338" s="10">
        <v>45659.391018518523</v>
      </c>
      <c r="I338" s="10">
        <v>45659.391886574071</v>
      </c>
      <c r="J338" s="10">
        <v>45659.394942129627</v>
      </c>
      <c r="K338" s="11">
        <v>3.0555555555555561E-3</v>
      </c>
      <c r="L338" s="13"/>
    </row>
    <row r="339" spans="1:12" x14ac:dyDescent="0.25">
      <c r="A339" s="3" t="s">
        <v>3586</v>
      </c>
      <c r="B339" s="3" t="s">
        <v>3593</v>
      </c>
      <c r="C339" s="3" t="s">
        <v>552</v>
      </c>
      <c r="D339" s="9">
        <v>35.6</v>
      </c>
      <c r="E339" s="3"/>
      <c r="F339" s="3"/>
      <c r="G339" s="9"/>
      <c r="H339" s="10">
        <v>45659.393020833333</v>
      </c>
      <c r="I339" s="10">
        <v>45659.394537037027</v>
      </c>
      <c r="J339" s="10">
        <v>45659.397314814807</v>
      </c>
      <c r="K339" s="11">
        <v>2.7777777777777779E-3</v>
      </c>
      <c r="L339" s="13"/>
    </row>
    <row r="340" spans="1:12" x14ac:dyDescent="0.25">
      <c r="A340" s="3" t="s">
        <v>3586</v>
      </c>
      <c r="B340" s="3" t="s">
        <v>3594</v>
      </c>
      <c r="C340" s="3" t="s">
        <v>554</v>
      </c>
      <c r="D340" s="9">
        <v>36.4</v>
      </c>
      <c r="E340" s="3"/>
      <c r="F340" s="3"/>
      <c r="G340" s="9"/>
      <c r="H340" s="10">
        <v>45659.394791666673</v>
      </c>
      <c r="I340" s="10">
        <v>45659.396678240737</v>
      </c>
      <c r="J340" s="10">
        <v>45659.399733796286</v>
      </c>
      <c r="K340" s="11">
        <v>3.0555555555555561E-3</v>
      </c>
      <c r="L340" s="13"/>
    </row>
    <row r="341" spans="1:12" x14ac:dyDescent="0.25">
      <c r="A341" s="3" t="s">
        <v>3586</v>
      </c>
      <c r="B341" s="3" t="s">
        <v>3595</v>
      </c>
      <c r="C341" s="3" t="s">
        <v>556</v>
      </c>
      <c r="D341" s="9">
        <v>54</v>
      </c>
      <c r="E341" s="3"/>
      <c r="F341" s="3"/>
      <c r="G341" s="9"/>
      <c r="H341" s="10">
        <v>45659.396377314813</v>
      </c>
      <c r="I341" s="10">
        <v>45659.398900462962</v>
      </c>
      <c r="J341" s="10">
        <v>45659.401678240742</v>
      </c>
      <c r="K341" s="11">
        <v>2.7777777777777779E-3</v>
      </c>
      <c r="L341" s="13"/>
    </row>
    <row r="342" spans="1:12" x14ac:dyDescent="0.25">
      <c r="A342" s="3" t="s">
        <v>3586</v>
      </c>
      <c r="B342" s="3" t="s">
        <v>3596</v>
      </c>
      <c r="C342" s="3" t="s">
        <v>558</v>
      </c>
      <c r="D342" s="9">
        <v>12</v>
      </c>
      <c r="E342" s="3"/>
      <c r="F342" s="3"/>
      <c r="G342" s="9"/>
      <c r="H342" s="10">
        <v>45659.398275462961</v>
      </c>
      <c r="I342" s="10">
        <v>45659.401469907411</v>
      </c>
      <c r="J342" s="10">
        <v>45659.40452546296</v>
      </c>
      <c r="K342" s="11">
        <v>3.0555555555555561E-3</v>
      </c>
      <c r="L342" s="13"/>
    </row>
    <row r="343" spans="1:12" x14ac:dyDescent="0.25">
      <c r="A343" s="3" t="s">
        <v>3586</v>
      </c>
      <c r="B343" s="3" t="s">
        <v>3597</v>
      </c>
      <c r="C343" s="3" t="s">
        <v>560</v>
      </c>
      <c r="D343" s="9">
        <v>31.5</v>
      </c>
      <c r="E343" s="3"/>
      <c r="F343" s="3"/>
      <c r="G343" s="9"/>
      <c r="H343" s="10">
        <v>45659.399699074071</v>
      </c>
      <c r="I343" s="10">
        <v>45659.403252314813</v>
      </c>
      <c r="J343" s="10">
        <v>45659.406030092592</v>
      </c>
      <c r="K343" s="11">
        <v>2.7777777777777779E-3</v>
      </c>
      <c r="L343" s="13"/>
    </row>
    <row r="344" spans="1:12" x14ac:dyDescent="0.25">
      <c r="A344" s="3" t="s">
        <v>3586</v>
      </c>
      <c r="B344" s="3" t="s">
        <v>3598</v>
      </c>
      <c r="C344" s="3" t="s">
        <v>569</v>
      </c>
      <c r="D344" s="9">
        <v>15.7</v>
      </c>
      <c r="E344" s="3"/>
      <c r="F344" s="3"/>
      <c r="G344" s="9"/>
      <c r="H344" s="10">
        <v>45659.406018518523</v>
      </c>
      <c r="I344" s="10">
        <v>45659.409525462957</v>
      </c>
      <c r="J344" s="10">
        <v>45659.412581018521</v>
      </c>
      <c r="K344" s="11">
        <v>3.0555555555555561E-3</v>
      </c>
      <c r="L344" s="13"/>
    </row>
    <row r="345" spans="1:12" x14ac:dyDescent="0.25">
      <c r="A345" s="3" t="s">
        <v>3586</v>
      </c>
      <c r="B345" s="3" t="s">
        <v>3599</v>
      </c>
      <c r="C345" s="3" t="s">
        <v>581</v>
      </c>
      <c r="D345" s="9">
        <v>19.899999999999999</v>
      </c>
      <c r="E345" s="3"/>
      <c r="F345" s="3"/>
      <c r="G345" s="9"/>
      <c r="H345" s="10">
        <v>45659.45113425926</v>
      </c>
      <c r="I345" s="10">
        <v>45659.451921296299</v>
      </c>
      <c r="J345" s="10">
        <v>45659.454699074071</v>
      </c>
      <c r="K345" s="11">
        <v>2.7777777777777779E-3</v>
      </c>
      <c r="L345" s="13"/>
    </row>
    <row r="346" spans="1:12" x14ac:dyDescent="0.25">
      <c r="A346" s="3" t="s">
        <v>3586</v>
      </c>
      <c r="B346" s="3" t="s">
        <v>3600</v>
      </c>
      <c r="C346" s="3" t="s">
        <v>583</v>
      </c>
      <c r="D346" s="9">
        <v>327.39999999999998</v>
      </c>
      <c r="E346" s="3"/>
      <c r="F346" s="3"/>
      <c r="G346" s="9"/>
      <c r="H346" s="10">
        <v>45659.453125</v>
      </c>
      <c r="I346" s="10">
        <v>45659.453993055547</v>
      </c>
      <c r="J346" s="10">
        <v>45659.457048611112</v>
      </c>
      <c r="K346" s="11">
        <v>3.0555555555555561E-3</v>
      </c>
      <c r="L346" s="13"/>
    </row>
    <row r="347" spans="1:12" x14ac:dyDescent="0.25">
      <c r="A347" s="3" t="s">
        <v>3586</v>
      </c>
      <c r="B347" s="3" t="s">
        <v>3601</v>
      </c>
      <c r="C347" s="3" t="s">
        <v>610</v>
      </c>
      <c r="D347" s="9">
        <v>267.60000000000002</v>
      </c>
      <c r="E347" s="3"/>
      <c r="F347" s="3"/>
      <c r="G347" s="9"/>
      <c r="H347" s="10">
        <v>45659.636967592603</v>
      </c>
      <c r="I347" s="10">
        <v>45659.637754629628</v>
      </c>
      <c r="J347" s="10">
        <v>45659.640532407408</v>
      </c>
      <c r="K347" s="11">
        <v>2.7777777777777779E-3</v>
      </c>
      <c r="L347" s="13"/>
    </row>
    <row r="348" spans="1:12" x14ac:dyDescent="0.25">
      <c r="A348" s="3" t="s">
        <v>3586</v>
      </c>
      <c r="B348" s="3" t="s">
        <v>3602</v>
      </c>
      <c r="C348" s="3" t="s">
        <v>598</v>
      </c>
      <c r="D348" s="9">
        <v>16.5</v>
      </c>
      <c r="E348" s="3"/>
      <c r="F348" s="3"/>
      <c r="G348" s="9"/>
      <c r="H348" s="10">
        <v>45659.649629629632</v>
      </c>
      <c r="I348" s="10">
        <v>45659.650405092587</v>
      </c>
      <c r="J348" s="10">
        <v>45659.653182870366</v>
      </c>
      <c r="K348" s="11">
        <v>2.7777777777777779E-3</v>
      </c>
      <c r="L348" s="13"/>
    </row>
    <row r="349" spans="1:12" x14ac:dyDescent="0.25">
      <c r="A349" s="3" t="s">
        <v>3586</v>
      </c>
      <c r="B349" s="3" t="s">
        <v>3603</v>
      </c>
      <c r="C349" s="3" t="s">
        <v>603</v>
      </c>
      <c r="D349" s="9">
        <v>31.5</v>
      </c>
      <c r="E349" s="3"/>
      <c r="F349" s="3"/>
      <c r="G349" s="9"/>
      <c r="H349" s="10">
        <v>45659.65347222222</v>
      </c>
      <c r="I349" s="10">
        <v>45659.654722222222</v>
      </c>
      <c r="J349" s="10">
        <v>45659.657500000001</v>
      </c>
      <c r="K349" s="11">
        <v>2.7777777777777779E-3</v>
      </c>
      <c r="L349" s="13"/>
    </row>
    <row r="350" spans="1:12" x14ac:dyDescent="0.25">
      <c r="A350" s="3" t="s">
        <v>3586</v>
      </c>
      <c r="B350" s="3" t="s">
        <v>3604</v>
      </c>
      <c r="C350" s="3" t="s">
        <v>605</v>
      </c>
      <c r="D350" s="9">
        <v>42</v>
      </c>
      <c r="E350" s="3"/>
      <c r="F350" s="3"/>
      <c r="G350" s="9"/>
      <c r="H350" s="10">
        <v>45659.65525462963</v>
      </c>
      <c r="I350" s="10">
        <v>45659.656053240738</v>
      </c>
      <c r="J350" s="10">
        <v>45659.658831018518</v>
      </c>
      <c r="K350" s="11">
        <v>2.7777777777777779E-3</v>
      </c>
      <c r="L350" s="13"/>
    </row>
    <row r="351" spans="1:12" x14ac:dyDescent="0.25">
      <c r="A351" s="3" t="s">
        <v>3586</v>
      </c>
      <c r="B351" s="3" t="s">
        <v>3605</v>
      </c>
      <c r="C351" s="3" t="s">
        <v>612</v>
      </c>
      <c r="D351" s="9">
        <v>15.7</v>
      </c>
      <c r="E351" s="3"/>
      <c r="F351" s="3"/>
      <c r="G351" s="9"/>
      <c r="H351" s="10">
        <v>45659.760370370372</v>
      </c>
      <c r="I351" s="10">
        <v>45659.761238425926</v>
      </c>
      <c r="J351" s="10">
        <v>45659.764293981483</v>
      </c>
      <c r="K351" s="11">
        <v>3.0555555555555561E-3</v>
      </c>
      <c r="L351" s="13"/>
    </row>
    <row r="352" spans="1:12" x14ac:dyDescent="0.25">
      <c r="A352" s="3" t="s">
        <v>3586</v>
      </c>
      <c r="B352" s="3" t="s">
        <v>3606</v>
      </c>
      <c r="C352" s="3" t="s">
        <v>614</v>
      </c>
      <c r="D352" s="9">
        <v>15.7</v>
      </c>
      <c r="E352" s="3"/>
      <c r="F352" s="3"/>
      <c r="G352" s="9"/>
      <c r="H352" s="10">
        <v>45659.762372685182</v>
      </c>
      <c r="I352" s="10">
        <v>45659.76321759259</v>
      </c>
      <c r="J352" s="10">
        <v>45659.766273148147</v>
      </c>
      <c r="K352" s="11">
        <v>3.0555555555555561E-3</v>
      </c>
      <c r="L352" s="13"/>
    </row>
    <row r="353" spans="1:12" x14ac:dyDescent="0.25">
      <c r="A353" s="3" t="s">
        <v>3586</v>
      </c>
      <c r="B353" s="3" t="s">
        <v>3607</v>
      </c>
      <c r="C353" s="3" t="s">
        <v>619</v>
      </c>
      <c r="D353" s="9">
        <v>14</v>
      </c>
      <c r="E353" s="3"/>
      <c r="F353" s="3"/>
      <c r="G353" s="9"/>
      <c r="H353" s="10">
        <v>45659.765208333331</v>
      </c>
      <c r="I353" s="10">
        <v>45659.766076388893</v>
      </c>
      <c r="J353" s="10">
        <v>45659.769131944442</v>
      </c>
      <c r="K353" s="11">
        <v>3.0555555555555561E-3</v>
      </c>
      <c r="L353" s="13"/>
    </row>
    <row r="354" spans="1:12" x14ac:dyDescent="0.25">
      <c r="A354" s="3" t="s">
        <v>3586</v>
      </c>
      <c r="B354" s="3" t="s">
        <v>3608</v>
      </c>
      <c r="C354" s="3" t="s">
        <v>621</v>
      </c>
      <c r="D354" s="9">
        <v>135</v>
      </c>
      <c r="E354" s="3"/>
      <c r="F354" s="3"/>
      <c r="G354" s="9"/>
      <c r="H354" s="10">
        <v>45659.767407407409</v>
      </c>
      <c r="I354" s="10">
        <v>45659.768263888887</v>
      </c>
      <c r="J354" s="10">
        <v>45659.771319444437</v>
      </c>
      <c r="K354" s="11">
        <v>3.0555555555555561E-3</v>
      </c>
      <c r="L354" s="13"/>
    </row>
    <row r="355" spans="1:12" x14ac:dyDescent="0.25">
      <c r="A355" s="3" t="s">
        <v>3586</v>
      </c>
      <c r="B355" s="3" t="s">
        <v>3609</v>
      </c>
      <c r="C355" s="3" t="s">
        <v>623</v>
      </c>
      <c r="D355" s="9">
        <v>15.7</v>
      </c>
      <c r="E355" s="3"/>
      <c r="F355" s="3"/>
      <c r="G355" s="9"/>
      <c r="H355" s="10">
        <v>45659.768773148149</v>
      </c>
      <c r="I355" s="10">
        <v>45659.769641203697</v>
      </c>
      <c r="J355" s="10">
        <v>45659.772696759261</v>
      </c>
      <c r="K355" s="11">
        <v>3.0555555555555561E-3</v>
      </c>
      <c r="L355" s="13"/>
    </row>
    <row r="356" spans="1:12" x14ac:dyDescent="0.25">
      <c r="A356" s="3" t="s">
        <v>3586</v>
      </c>
      <c r="B356" s="3" t="s">
        <v>3610</v>
      </c>
      <c r="C356" s="3" t="s">
        <v>630</v>
      </c>
      <c r="D356" s="9">
        <v>39.799999999999997</v>
      </c>
      <c r="E356" s="3"/>
      <c r="F356" s="3"/>
      <c r="G356" s="9"/>
      <c r="H356" s="10">
        <v>45659.775127314817</v>
      </c>
      <c r="I356" s="10">
        <v>45659.775995370372</v>
      </c>
      <c r="J356" s="10">
        <v>45659.779050925928</v>
      </c>
      <c r="K356" s="11">
        <v>3.0555555555555561E-3</v>
      </c>
      <c r="L356" s="13"/>
    </row>
    <row r="357" spans="1:12" x14ac:dyDescent="0.25">
      <c r="A357" s="3" t="s">
        <v>3586</v>
      </c>
      <c r="B357" s="3" t="s">
        <v>3611</v>
      </c>
      <c r="C357" s="3" t="s">
        <v>632</v>
      </c>
      <c r="D357" s="9">
        <v>19.899999999999999</v>
      </c>
      <c r="E357" s="3"/>
      <c r="F357" s="3"/>
      <c r="G357" s="9"/>
      <c r="H357" s="10">
        <v>45659.776863425926</v>
      </c>
      <c r="I357" s="10">
        <v>45659.777708333328</v>
      </c>
      <c r="J357" s="10">
        <v>45659.780763888892</v>
      </c>
      <c r="K357" s="11">
        <v>3.0555555555555561E-3</v>
      </c>
      <c r="L357" s="13"/>
    </row>
    <row r="358" spans="1:12" x14ac:dyDescent="0.25">
      <c r="A358" s="3" t="s">
        <v>3586</v>
      </c>
      <c r="B358" s="3" t="s">
        <v>3612</v>
      </c>
      <c r="C358" s="3" t="s">
        <v>639</v>
      </c>
      <c r="D358" s="9">
        <v>15.7</v>
      </c>
      <c r="E358" s="3"/>
      <c r="F358" s="3"/>
      <c r="G358" s="9"/>
      <c r="H358" s="10">
        <v>45659.861643518518</v>
      </c>
      <c r="I358" s="10">
        <v>45659.862511574072</v>
      </c>
      <c r="J358" s="10">
        <v>45659.865567129629</v>
      </c>
      <c r="K358" s="11">
        <v>3.0555555555555561E-3</v>
      </c>
      <c r="L358" s="13"/>
    </row>
    <row r="359" spans="1:12" x14ac:dyDescent="0.25">
      <c r="A359" s="3" t="s">
        <v>3586</v>
      </c>
      <c r="B359" s="3" t="s">
        <v>3613</v>
      </c>
      <c r="C359" s="3" t="s">
        <v>641</v>
      </c>
      <c r="D359" s="9">
        <v>14</v>
      </c>
      <c r="E359" s="3"/>
      <c r="F359" s="3"/>
      <c r="G359" s="9"/>
      <c r="H359" s="10">
        <v>45659.863136574073</v>
      </c>
      <c r="I359" s="10">
        <v>45659.863923611112</v>
      </c>
      <c r="J359" s="10">
        <v>45659.866701388892</v>
      </c>
      <c r="K359" s="11">
        <v>2.7777777777777779E-3</v>
      </c>
      <c r="L359" s="13"/>
    </row>
    <row r="360" spans="1:12" x14ac:dyDescent="0.25">
      <c r="A360" s="3" t="s">
        <v>3586</v>
      </c>
      <c r="B360" s="3" t="s">
        <v>3614</v>
      </c>
      <c r="C360" s="3" t="s">
        <v>643</v>
      </c>
      <c r="D360" s="9">
        <v>60.8</v>
      </c>
      <c r="E360" s="3"/>
      <c r="F360" s="3"/>
      <c r="G360" s="9"/>
      <c r="H360" s="10">
        <v>45659.86451388889</v>
      </c>
      <c r="I360" s="10">
        <v>45659.865358796298</v>
      </c>
      <c r="J360" s="10">
        <v>45659.868414351848</v>
      </c>
      <c r="K360" s="11">
        <v>3.0555555555555561E-3</v>
      </c>
      <c r="L360" s="13"/>
    </row>
    <row r="361" spans="1:12" x14ac:dyDescent="0.25">
      <c r="A361" s="3" t="s">
        <v>3586</v>
      </c>
      <c r="B361" s="3" t="s">
        <v>3615</v>
      </c>
      <c r="C361" s="3" t="s">
        <v>645</v>
      </c>
      <c r="D361" s="9">
        <v>63</v>
      </c>
      <c r="E361" s="3"/>
      <c r="F361" s="3"/>
      <c r="G361" s="9"/>
      <c r="H361" s="10">
        <v>45659.866006944438</v>
      </c>
      <c r="I361" s="10">
        <v>45659.866875</v>
      </c>
      <c r="J361" s="10">
        <v>45659.869930555556</v>
      </c>
      <c r="K361" s="11">
        <v>3.0555555555555561E-3</v>
      </c>
      <c r="L361" s="13"/>
    </row>
    <row r="362" spans="1:12" x14ac:dyDescent="0.25">
      <c r="A362" s="3" t="s">
        <v>3586</v>
      </c>
      <c r="B362" s="3" t="s">
        <v>3616</v>
      </c>
      <c r="C362" s="3" t="s">
        <v>657</v>
      </c>
      <c r="D362" s="9">
        <v>19.899999999999999</v>
      </c>
      <c r="E362" s="3"/>
      <c r="F362" s="3"/>
      <c r="G362" s="9"/>
      <c r="H362" s="10">
        <v>45659.873460648138</v>
      </c>
      <c r="I362" s="10">
        <v>45659.874305555553</v>
      </c>
      <c r="J362" s="10">
        <v>45659.87736111111</v>
      </c>
      <c r="K362" s="11">
        <v>3.0555555555555561E-3</v>
      </c>
      <c r="L362" s="13"/>
    </row>
    <row r="363" spans="1:12" x14ac:dyDescent="0.25">
      <c r="A363" s="3" t="s">
        <v>3586</v>
      </c>
      <c r="B363" s="3" t="s">
        <v>3617</v>
      </c>
      <c r="C363" s="3" t="s">
        <v>659</v>
      </c>
      <c r="D363" s="9">
        <v>19.899999999999999</v>
      </c>
      <c r="E363" s="3"/>
      <c r="F363" s="3"/>
      <c r="G363" s="9"/>
      <c r="H363" s="10">
        <v>45659.874756944453</v>
      </c>
      <c r="I363" s="10">
        <v>45659.875543981478</v>
      </c>
      <c r="J363" s="10">
        <v>45659.878321759257</v>
      </c>
      <c r="K363" s="11">
        <v>2.7777777777777779E-3</v>
      </c>
      <c r="L363" s="13"/>
    </row>
    <row r="364" spans="1:12" x14ac:dyDescent="0.25">
      <c r="A364" s="3" t="s">
        <v>3586</v>
      </c>
      <c r="B364" s="3" t="s">
        <v>3618</v>
      </c>
      <c r="C364" s="3" t="s">
        <v>661</v>
      </c>
      <c r="D364" s="9">
        <v>19.899999999999999</v>
      </c>
      <c r="E364" s="3"/>
      <c r="F364" s="3"/>
      <c r="G364" s="9"/>
      <c r="H364" s="10">
        <v>45659.87604166667</v>
      </c>
      <c r="I364" s="10">
        <v>45659.876909722218</v>
      </c>
      <c r="J364" s="10">
        <v>45659.879965277767</v>
      </c>
      <c r="K364" s="11">
        <v>3.0555555555555561E-3</v>
      </c>
      <c r="L364" s="13"/>
    </row>
    <row r="365" spans="1:12" x14ac:dyDescent="0.25">
      <c r="A365" s="3" t="s">
        <v>3586</v>
      </c>
      <c r="B365" s="3" t="s">
        <v>3619</v>
      </c>
      <c r="C365" s="3" t="s">
        <v>663</v>
      </c>
      <c r="D365" s="9">
        <v>88</v>
      </c>
      <c r="E365" s="3"/>
      <c r="F365" s="3"/>
      <c r="G365" s="9"/>
      <c r="H365" s="10">
        <v>45660.122361111113</v>
      </c>
      <c r="I365" s="10">
        <v>45660.123148148137</v>
      </c>
      <c r="J365" s="10">
        <v>45660.125925925917</v>
      </c>
      <c r="K365" s="11">
        <v>2.7777777777777779E-3</v>
      </c>
      <c r="L365" s="13"/>
    </row>
    <row r="366" spans="1:12" x14ac:dyDescent="0.25">
      <c r="A366" s="3" t="s">
        <v>3586</v>
      </c>
      <c r="B366" s="3" t="s">
        <v>3620</v>
      </c>
      <c r="C366" s="3" t="s">
        <v>665</v>
      </c>
      <c r="D366" s="9">
        <v>15.7</v>
      </c>
      <c r="E366" s="3"/>
      <c r="F366" s="3"/>
      <c r="G366" s="9"/>
      <c r="H366" s="10">
        <v>45660.123518518521</v>
      </c>
      <c r="I366" s="10">
        <v>45660.124386574083</v>
      </c>
      <c r="J366" s="10">
        <v>45660.127442129633</v>
      </c>
      <c r="K366" s="11">
        <v>3.0555555555555561E-3</v>
      </c>
      <c r="L366" s="13"/>
    </row>
    <row r="367" spans="1:12" x14ac:dyDescent="0.25">
      <c r="A367" s="3" t="s">
        <v>3586</v>
      </c>
      <c r="B367" s="3" t="s">
        <v>3621</v>
      </c>
      <c r="C367" s="3" t="s">
        <v>667</v>
      </c>
      <c r="D367" s="9">
        <v>21</v>
      </c>
      <c r="E367" s="3"/>
      <c r="F367" s="3"/>
      <c r="G367" s="9"/>
      <c r="H367" s="10">
        <v>45660.125277777777</v>
      </c>
      <c r="I367" s="10">
        <v>45660.126134259262</v>
      </c>
      <c r="J367" s="10">
        <v>45660.129189814812</v>
      </c>
      <c r="K367" s="11">
        <v>3.0555555555555561E-3</v>
      </c>
      <c r="L367" s="13"/>
    </row>
    <row r="368" spans="1:12" x14ac:dyDescent="0.25">
      <c r="A368" s="3" t="s">
        <v>3586</v>
      </c>
      <c r="B368" s="3" t="s">
        <v>3622</v>
      </c>
      <c r="C368" s="3" t="s">
        <v>669</v>
      </c>
      <c r="D368" s="9">
        <v>15.7</v>
      </c>
      <c r="E368" s="3"/>
      <c r="F368" s="3"/>
      <c r="G368" s="9"/>
      <c r="H368" s="10">
        <v>45660.126446759263</v>
      </c>
      <c r="I368" s="10">
        <v>45660.127314814818</v>
      </c>
      <c r="J368" s="10">
        <v>45660.130370370367</v>
      </c>
      <c r="K368" s="11">
        <v>3.0555555555555561E-3</v>
      </c>
      <c r="L368" s="13"/>
    </row>
    <row r="369" spans="1:12" x14ac:dyDescent="0.25">
      <c r="A369" s="3" t="s">
        <v>3586</v>
      </c>
      <c r="B369" s="3" t="s">
        <v>3623</v>
      </c>
      <c r="C369" s="3" t="s">
        <v>674</v>
      </c>
      <c r="D369" s="9">
        <v>15.7</v>
      </c>
      <c r="E369" s="3"/>
      <c r="F369" s="3"/>
      <c r="G369" s="9"/>
      <c r="H369" s="10">
        <v>45660.252650462957</v>
      </c>
      <c r="I369" s="10">
        <v>45660.253495370373</v>
      </c>
      <c r="J369" s="10">
        <v>45660.256550925929</v>
      </c>
      <c r="K369" s="11">
        <v>3.0555555555555561E-3</v>
      </c>
      <c r="L369" s="13"/>
    </row>
    <row r="370" spans="1:12" x14ac:dyDescent="0.25">
      <c r="A370" s="3" t="s">
        <v>3586</v>
      </c>
      <c r="B370" s="3" t="s">
        <v>3624</v>
      </c>
      <c r="C370" s="3" t="s">
        <v>679</v>
      </c>
      <c r="D370" s="9">
        <v>19.899999999999999</v>
      </c>
      <c r="E370" s="3"/>
      <c r="F370" s="3"/>
      <c r="G370" s="9"/>
      <c r="H370" s="10">
        <v>45660.256331018521</v>
      </c>
      <c r="I370" s="10">
        <v>45660.257199074083</v>
      </c>
      <c r="J370" s="10">
        <v>45660.260254629633</v>
      </c>
      <c r="K370" s="11">
        <v>3.0555555555555561E-3</v>
      </c>
      <c r="L370" s="13"/>
    </row>
    <row r="371" spans="1:12" x14ac:dyDescent="0.25">
      <c r="A371" s="3" t="s">
        <v>3586</v>
      </c>
      <c r="B371" s="3" t="s">
        <v>3625</v>
      </c>
      <c r="C371" s="3" t="s">
        <v>681</v>
      </c>
      <c r="D371" s="9">
        <v>19.899999999999999</v>
      </c>
      <c r="E371" s="3"/>
      <c r="F371" s="3"/>
      <c r="G371" s="9"/>
      <c r="H371" s="10">
        <v>45660.257511574076</v>
      </c>
      <c r="I371" s="10">
        <v>45660.258275462962</v>
      </c>
      <c r="J371" s="10">
        <v>45660.261053240742</v>
      </c>
      <c r="K371" s="11">
        <v>2.7777777777777779E-3</v>
      </c>
      <c r="L371" s="13"/>
    </row>
    <row r="372" spans="1:12" x14ac:dyDescent="0.25">
      <c r="A372" s="3" t="s">
        <v>3586</v>
      </c>
      <c r="B372" s="3" t="s">
        <v>3626</v>
      </c>
      <c r="C372" s="3" t="s">
        <v>686</v>
      </c>
      <c r="D372" s="9">
        <v>27</v>
      </c>
      <c r="E372" s="3"/>
      <c r="F372" s="3"/>
      <c r="G372" s="9"/>
      <c r="H372" s="10">
        <v>45660.260879629634</v>
      </c>
      <c r="I372" s="10">
        <v>45660.261666666673</v>
      </c>
      <c r="J372" s="10">
        <v>45660.264444444438</v>
      </c>
      <c r="K372" s="11">
        <v>2.7777777777777779E-3</v>
      </c>
      <c r="L372" s="13"/>
    </row>
    <row r="373" spans="1:12" x14ac:dyDescent="0.25">
      <c r="A373" s="3" t="s">
        <v>3586</v>
      </c>
      <c r="B373" s="3" t="s">
        <v>3627</v>
      </c>
      <c r="C373" s="3" t="s">
        <v>691</v>
      </c>
      <c r="D373" s="9">
        <v>15.7</v>
      </c>
      <c r="E373" s="3"/>
      <c r="F373" s="3"/>
      <c r="G373" s="9"/>
      <c r="H373" s="10">
        <v>45660.264699074083</v>
      </c>
      <c r="I373" s="10">
        <v>45660.266018518523</v>
      </c>
      <c r="J373" s="10">
        <v>45660.268796296303</v>
      </c>
      <c r="K373" s="11">
        <v>2.7777777777777779E-3</v>
      </c>
      <c r="L373" s="13"/>
    </row>
    <row r="374" spans="1:12" x14ac:dyDescent="0.25">
      <c r="A374" s="3" t="s">
        <v>3586</v>
      </c>
      <c r="B374" s="3" t="s">
        <v>3628</v>
      </c>
      <c r="C374" s="3" t="s">
        <v>693</v>
      </c>
      <c r="D374" s="9">
        <v>125.9</v>
      </c>
      <c r="E374" s="3"/>
      <c r="F374" s="3"/>
      <c r="G374" s="9"/>
      <c r="H374" s="10">
        <v>45660.266979166663</v>
      </c>
      <c r="I374" s="10">
        <v>45660.267835648148</v>
      </c>
      <c r="J374" s="10">
        <v>45660.270891203712</v>
      </c>
      <c r="K374" s="11">
        <v>3.0555555555555561E-3</v>
      </c>
      <c r="L374" s="13"/>
    </row>
    <row r="375" spans="1:12" x14ac:dyDescent="0.25">
      <c r="A375" s="3" t="s">
        <v>3586</v>
      </c>
      <c r="B375" s="3" t="s">
        <v>3629</v>
      </c>
      <c r="C375" s="3" t="s">
        <v>695</v>
      </c>
      <c r="D375" s="9">
        <v>108.7</v>
      </c>
      <c r="E375" s="3"/>
      <c r="F375" s="3"/>
      <c r="G375" s="9"/>
      <c r="H375" s="10">
        <v>45660.269108796303</v>
      </c>
      <c r="I375" s="10">
        <v>45660.270370370366</v>
      </c>
      <c r="J375" s="10">
        <v>45660.273148148153</v>
      </c>
      <c r="K375" s="11">
        <v>2.7777777777777779E-3</v>
      </c>
      <c r="L375" s="13"/>
    </row>
    <row r="376" spans="1:12" x14ac:dyDescent="0.25">
      <c r="A376" s="3" t="s">
        <v>3586</v>
      </c>
      <c r="B376" s="3" t="s">
        <v>3630</v>
      </c>
      <c r="C376" s="3" t="s">
        <v>697</v>
      </c>
      <c r="D376" s="9">
        <v>27</v>
      </c>
      <c r="E376" s="3"/>
      <c r="F376" s="3"/>
      <c r="G376" s="9"/>
      <c r="H376" s="10">
        <v>45660.271087962959</v>
      </c>
      <c r="I376" s="10">
        <v>45660.272581018522</v>
      </c>
      <c r="J376" s="10">
        <v>45660.275636574072</v>
      </c>
      <c r="K376" s="11">
        <v>3.0555555555555561E-3</v>
      </c>
      <c r="L376" s="13"/>
    </row>
    <row r="377" spans="1:12" x14ac:dyDescent="0.25">
      <c r="A377" s="3" t="s">
        <v>3586</v>
      </c>
      <c r="B377" s="3" t="s">
        <v>3631</v>
      </c>
      <c r="C377" s="3" t="s">
        <v>699</v>
      </c>
      <c r="D377" s="9">
        <v>297</v>
      </c>
      <c r="E377" s="3"/>
      <c r="F377" s="3"/>
      <c r="G377" s="9"/>
      <c r="H377" s="10">
        <v>45660.282523148147</v>
      </c>
      <c r="I377" s="10">
        <v>45660.294027777767</v>
      </c>
      <c r="J377" s="10">
        <v>45660.297083333331</v>
      </c>
      <c r="K377" s="11">
        <v>3.0555555555555561E-3</v>
      </c>
      <c r="L377" s="13"/>
    </row>
    <row r="378" spans="1:12" x14ac:dyDescent="0.25">
      <c r="A378" s="3" t="s">
        <v>3586</v>
      </c>
      <c r="B378" s="3" t="s">
        <v>3632</v>
      </c>
      <c r="C378" s="3" t="s">
        <v>701</v>
      </c>
      <c r="D378" s="9">
        <v>15.7</v>
      </c>
      <c r="E378" s="3"/>
      <c r="F378" s="3"/>
      <c r="G378" s="9"/>
      <c r="H378" s="10">
        <v>45660.31821759259</v>
      </c>
      <c r="I378" s="10">
        <v>45660.319062499999</v>
      </c>
      <c r="J378" s="10">
        <v>45660.322118055563</v>
      </c>
      <c r="K378" s="11">
        <v>3.0555555555555561E-3</v>
      </c>
      <c r="L378" s="13"/>
    </row>
    <row r="379" spans="1:12" x14ac:dyDescent="0.25">
      <c r="A379" s="3" t="s">
        <v>3586</v>
      </c>
      <c r="B379" s="3" t="s">
        <v>3633</v>
      </c>
      <c r="C379" s="3" t="s">
        <v>712</v>
      </c>
      <c r="D379" s="9">
        <v>124.4</v>
      </c>
      <c r="E379" s="3"/>
      <c r="F379" s="3"/>
      <c r="G379" s="9"/>
      <c r="H379" s="10">
        <v>45660.32471064815</v>
      </c>
      <c r="I379" s="10">
        <v>45660.325543981482</v>
      </c>
      <c r="J379" s="10">
        <v>45660.328599537039</v>
      </c>
      <c r="K379" s="11">
        <v>3.0555555555555561E-3</v>
      </c>
      <c r="L379" s="13"/>
    </row>
    <row r="380" spans="1:12" x14ac:dyDescent="0.25">
      <c r="A380" s="3" t="s">
        <v>3586</v>
      </c>
      <c r="B380" s="3" t="s">
        <v>3634</v>
      </c>
      <c r="C380" s="3" t="s">
        <v>717</v>
      </c>
      <c r="D380" s="9">
        <v>15.7</v>
      </c>
      <c r="E380" s="3"/>
      <c r="F380" s="3"/>
      <c r="G380" s="9"/>
      <c r="H380" s="10">
        <v>45660.328379629631</v>
      </c>
      <c r="I380" s="10">
        <v>45660.329224537039</v>
      </c>
      <c r="J380" s="10">
        <v>45660.332280092603</v>
      </c>
      <c r="K380" s="11">
        <v>3.0555555555555561E-3</v>
      </c>
      <c r="L380" s="13"/>
    </row>
    <row r="381" spans="1:12" x14ac:dyDescent="0.25">
      <c r="A381" s="3" t="s">
        <v>3586</v>
      </c>
      <c r="B381" s="3" t="s">
        <v>3635</v>
      </c>
      <c r="C381" s="3" t="s">
        <v>725</v>
      </c>
      <c r="D381" s="9">
        <v>131.30000000000001</v>
      </c>
      <c r="E381" s="3"/>
      <c r="F381" s="3"/>
      <c r="G381" s="9"/>
      <c r="H381" s="10">
        <v>45660.376111111109</v>
      </c>
      <c r="I381" s="10">
        <v>45660.376979166656</v>
      </c>
      <c r="J381" s="10">
        <v>45660.38003472222</v>
      </c>
      <c r="K381" s="11">
        <v>3.0555555555555561E-3</v>
      </c>
      <c r="L381" s="13"/>
    </row>
    <row r="382" spans="1:12" x14ac:dyDescent="0.25">
      <c r="A382" s="3" t="s">
        <v>3586</v>
      </c>
      <c r="B382" s="3" t="s">
        <v>3636</v>
      </c>
      <c r="C382" s="3" t="s">
        <v>727</v>
      </c>
      <c r="D382" s="9">
        <v>147.80000000000001</v>
      </c>
      <c r="E382" s="3"/>
      <c r="F382" s="3"/>
      <c r="G382" s="9"/>
      <c r="H382" s="10">
        <v>45660.378368055557</v>
      </c>
      <c r="I382" s="10">
        <v>45660.379143518519</v>
      </c>
      <c r="J382" s="10">
        <v>45660.381921296299</v>
      </c>
      <c r="K382" s="11">
        <v>2.7777777777777779E-3</v>
      </c>
      <c r="L382" s="13"/>
    </row>
    <row r="383" spans="1:12" x14ac:dyDescent="0.25">
      <c r="A383" s="3" t="s">
        <v>3586</v>
      </c>
      <c r="B383" s="3" t="s">
        <v>3637</v>
      </c>
      <c r="C383" s="3" t="s">
        <v>750</v>
      </c>
      <c r="D383" s="9">
        <v>27</v>
      </c>
      <c r="E383" s="3"/>
      <c r="F383" s="3"/>
      <c r="G383" s="9"/>
      <c r="H383" s="10">
        <v>45660.651863425926</v>
      </c>
      <c r="I383" s="10">
        <v>45660.652731481481</v>
      </c>
      <c r="J383" s="10">
        <v>45660.655787037038</v>
      </c>
      <c r="K383" s="11">
        <v>3.0555555555555561E-3</v>
      </c>
      <c r="L383" s="13"/>
    </row>
    <row r="384" spans="1:12" x14ac:dyDescent="0.25">
      <c r="A384" s="3" t="s">
        <v>3586</v>
      </c>
      <c r="B384" s="3" t="s">
        <v>3638</v>
      </c>
      <c r="C384" s="3" t="s">
        <v>752</v>
      </c>
      <c r="D384" s="9">
        <v>15.7</v>
      </c>
      <c r="E384" s="3"/>
      <c r="F384" s="3"/>
      <c r="G384" s="9"/>
      <c r="H384" s="10">
        <v>45660.653819444437</v>
      </c>
      <c r="I384" s="10">
        <v>45660.654664351852</v>
      </c>
      <c r="J384" s="10">
        <v>45660.657719907409</v>
      </c>
      <c r="K384" s="11">
        <v>3.0555555555555561E-3</v>
      </c>
      <c r="L384" s="13"/>
    </row>
    <row r="385" spans="1:12" x14ac:dyDescent="0.25">
      <c r="A385" s="3" t="s">
        <v>3586</v>
      </c>
      <c r="B385" s="3" t="s">
        <v>3639</v>
      </c>
      <c r="C385" s="3" t="s">
        <v>754</v>
      </c>
      <c r="D385" s="9">
        <v>21</v>
      </c>
      <c r="E385" s="3"/>
      <c r="F385" s="3"/>
      <c r="G385" s="9"/>
      <c r="H385" s="10">
        <v>45660.655219907407</v>
      </c>
      <c r="I385" s="10">
        <v>45660.6559837963</v>
      </c>
      <c r="J385" s="10">
        <v>45660.658761574072</v>
      </c>
      <c r="K385" s="11">
        <v>2.7777777777777779E-3</v>
      </c>
      <c r="L385" s="13"/>
    </row>
    <row r="386" spans="1:12" x14ac:dyDescent="0.25">
      <c r="A386" s="3" t="s">
        <v>3586</v>
      </c>
      <c r="B386" s="3" t="s">
        <v>3640</v>
      </c>
      <c r="C386" s="3" t="s">
        <v>759</v>
      </c>
      <c r="D386" s="9">
        <v>19.899999999999999</v>
      </c>
      <c r="E386" s="3"/>
      <c r="F386" s="3"/>
      <c r="G386" s="9"/>
      <c r="H386" s="10">
        <v>45660.659097222233</v>
      </c>
      <c r="I386" s="10">
        <v>45660.659942129627</v>
      </c>
      <c r="J386" s="10">
        <v>45660.662997685176</v>
      </c>
      <c r="K386" s="11">
        <v>3.0555555555555561E-3</v>
      </c>
      <c r="L386" s="13"/>
    </row>
    <row r="387" spans="1:12" x14ac:dyDescent="0.25">
      <c r="A387" s="3" t="s">
        <v>3586</v>
      </c>
      <c r="B387" s="3" t="s">
        <v>3641</v>
      </c>
      <c r="C387" s="3" t="s">
        <v>761</v>
      </c>
      <c r="D387" s="9">
        <v>19.899999999999999</v>
      </c>
      <c r="E387" s="3"/>
      <c r="F387" s="3"/>
      <c r="G387" s="9"/>
      <c r="H387" s="10">
        <v>45660.660393518519</v>
      </c>
      <c r="I387" s="10">
        <v>45660.661168981482</v>
      </c>
      <c r="J387" s="10">
        <v>45660.663946759261</v>
      </c>
      <c r="K387" s="11">
        <v>2.7777777777777779E-3</v>
      </c>
      <c r="L387" s="13"/>
    </row>
    <row r="388" spans="1:12" x14ac:dyDescent="0.25">
      <c r="A388" s="3" t="s">
        <v>3586</v>
      </c>
      <c r="B388" s="3" t="s">
        <v>3642</v>
      </c>
      <c r="C388" s="3" t="s">
        <v>763</v>
      </c>
      <c r="D388" s="9">
        <v>15.7</v>
      </c>
      <c r="E388" s="3"/>
      <c r="F388" s="3"/>
      <c r="G388" s="9"/>
      <c r="H388" s="10">
        <v>45660.662418981483</v>
      </c>
      <c r="I388" s="10">
        <v>45660.663287037038</v>
      </c>
      <c r="J388" s="10">
        <v>45660.666342592587</v>
      </c>
      <c r="K388" s="11">
        <v>3.0555555555555561E-3</v>
      </c>
      <c r="L388" s="13"/>
    </row>
    <row r="389" spans="1:12" x14ac:dyDescent="0.25">
      <c r="A389" s="3" t="s">
        <v>3586</v>
      </c>
      <c r="B389" s="3" t="s">
        <v>3643</v>
      </c>
      <c r="C389" s="3" t="s">
        <v>765</v>
      </c>
      <c r="D389" s="9">
        <v>59.7</v>
      </c>
      <c r="E389" s="3"/>
      <c r="F389" s="3"/>
      <c r="G389" s="9"/>
      <c r="H389" s="10">
        <v>45660.663807870369</v>
      </c>
      <c r="I389" s="10">
        <v>45660.664675925917</v>
      </c>
      <c r="J389" s="10">
        <v>45660.667731481481</v>
      </c>
      <c r="K389" s="11">
        <v>3.0555555555555561E-3</v>
      </c>
      <c r="L389" s="13"/>
    </row>
    <row r="390" spans="1:12" x14ac:dyDescent="0.25">
      <c r="A390" s="3" t="s">
        <v>3586</v>
      </c>
      <c r="B390" s="3" t="s">
        <v>3644</v>
      </c>
      <c r="C390" s="3" t="s">
        <v>769</v>
      </c>
      <c r="D390" s="9">
        <v>63</v>
      </c>
      <c r="E390" s="3"/>
      <c r="F390" s="3"/>
      <c r="G390" s="9"/>
      <c r="H390" s="10">
        <v>45660.66851851852</v>
      </c>
      <c r="I390" s="10">
        <v>45660.669293981482</v>
      </c>
      <c r="J390" s="10">
        <v>45660.672071759262</v>
      </c>
      <c r="K390" s="11">
        <v>2.7777777777777779E-3</v>
      </c>
      <c r="L390" s="13"/>
    </row>
    <row r="391" spans="1:12" x14ac:dyDescent="0.25">
      <c r="A391" s="3" t="s">
        <v>3586</v>
      </c>
      <c r="B391" s="3" t="s">
        <v>3645</v>
      </c>
      <c r="C391" s="3" t="s">
        <v>774</v>
      </c>
      <c r="D391" s="9">
        <v>58.9</v>
      </c>
      <c r="E391" s="3"/>
      <c r="F391" s="3"/>
      <c r="G391" s="9"/>
      <c r="H391" s="10">
        <v>45660.852210648147</v>
      </c>
      <c r="I391" s="10">
        <v>45660.85297453704</v>
      </c>
      <c r="J391" s="10">
        <v>45660.855752314812</v>
      </c>
      <c r="K391" s="11">
        <v>2.7777777777777779E-3</v>
      </c>
      <c r="L391" s="13"/>
    </row>
    <row r="392" spans="1:12" x14ac:dyDescent="0.25">
      <c r="A392" s="3" t="s">
        <v>3586</v>
      </c>
      <c r="B392" s="3" t="s">
        <v>3646</v>
      </c>
      <c r="C392" s="3" t="s">
        <v>776</v>
      </c>
      <c r="D392" s="9">
        <v>19.899999999999999</v>
      </c>
      <c r="E392" s="3"/>
      <c r="F392" s="3"/>
      <c r="G392" s="9"/>
      <c r="H392" s="10">
        <v>45660.854027777779</v>
      </c>
      <c r="I392" s="10">
        <v>45660.854895833327</v>
      </c>
      <c r="J392" s="10">
        <v>45660.857951388891</v>
      </c>
      <c r="K392" s="11">
        <v>3.0555555555555561E-3</v>
      </c>
      <c r="L392" s="13"/>
    </row>
    <row r="393" spans="1:12" x14ac:dyDescent="0.25">
      <c r="A393" s="3" t="s">
        <v>3586</v>
      </c>
      <c r="B393" s="3" t="s">
        <v>3647</v>
      </c>
      <c r="C393" s="3" t="s">
        <v>778</v>
      </c>
      <c r="D393" s="9">
        <v>135</v>
      </c>
      <c r="E393" s="3"/>
      <c r="F393" s="3"/>
      <c r="G393" s="9"/>
      <c r="H393" s="10">
        <v>45660.855439814812</v>
      </c>
      <c r="I393" s="10">
        <v>45660.85628472222</v>
      </c>
      <c r="J393" s="10">
        <v>45660.859340277777</v>
      </c>
      <c r="K393" s="11">
        <v>3.0555555555555561E-3</v>
      </c>
      <c r="L393" s="13"/>
    </row>
    <row r="394" spans="1:12" x14ac:dyDescent="0.25">
      <c r="A394" s="3" t="s">
        <v>3586</v>
      </c>
      <c r="B394" s="3" t="s">
        <v>3648</v>
      </c>
      <c r="C394" s="3" t="s">
        <v>783</v>
      </c>
      <c r="D394" s="9">
        <v>141.69999999999999</v>
      </c>
      <c r="E394" s="3"/>
      <c r="F394" s="3"/>
      <c r="G394" s="9"/>
      <c r="H394" s="10">
        <v>45660.859456018523</v>
      </c>
      <c r="I394" s="10">
        <v>45660.861030092587</v>
      </c>
      <c r="J394" s="10">
        <v>45660.864085648151</v>
      </c>
      <c r="K394" s="11">
        <v>3.0555555555555561E-3</v>
      </c>
      <c r="L394" s="13"/>
    </row>
    <row r="395" spans="1:12" x14ac:dyDescent="0.25">
      <c r="A395" s="3" t="s">
        <v>3586</v>
      </c>
      <c r="B395" s="3" t="s">
        <v>3649</v>
      </c>
      <c r="C395" s="3" t="s">
        <v>785</v>
      </c>
      <c r="D395" s="9">
        <v>108.7</v>
      </c>
      <c r="E395" s="3"/>
      <c r="F395" s="3"/>
      <c r="G395" s="9"/>
      <c r="H395" s="10">
        <v>45660.861435185187</v>
      </c>
      <c r="I395" s="10">
        <v>45660.862210648149</v>
      </c>
      <c r="J395" s="10">
        <v>45660.864988425928</v>
      </c>
      <c r="K395" s="11">
        <v>2.7777777777777779E-3</v>
      </c>
      <c r="L395" s="13"/>
    </row>
    <row r="396" spans="1:12" x14ac:dyDescent="0.25">
      <c r="A396" s="3" t="s">
        <v>3586</v>
      </c>
      <c r="B396" s="3" t="s">
        <v>3650</v>
      </c>
      <c r="C396" s="3" t="s">
        <v>787</v>
      </c>
      <c r="D396" s="9">
        <v>33.9</v>
      </c>
      <c r="E396" s="3"/>
      <c r="F396" s="3"/>
      <c r="G396" s="9"/>
      <c r="H396" s="10">
        <v>45660.862951388888</v>
      </c>
      <c r="I396" s="10">
        <v>45660.86577546296</v>
      </c>
      <c r="J396" s="10">
        <v>45660.868831018517</v>
      </c>
      <c r="K396" s="11">
        <v>3.0555555555555561E-3</v>
      </c>
      <c r="L396" s="13"/>
    </row>
    <row r="397" spans="1:12" x14ac:dyDescent="0.25">
      <c r="A397" s="3" t="s">
        <v>3586</v>
      </c>
      <c r="B397" s="3" t="s">
        <v>3651</v>
      </c>
      <c r="C397" s="3" t="s">
        <v>789</v>
      </c>
      <c r="D397" s="9">
        <v>19.899999999999999</v>
      </c>
      <c r="E397" s="3"/>
      <c r="F397" s="3"/>
      <c r="G397" s="9"/>
      <c r="H397" s="10">
        <v>45660.864201388889</v>
      </c>
      <c r="I397" s="10">
        <v>45660.866527777784</v>
      </c>
      <c r="J397" s="10">
        <v>45660.869305555563</v>
      </c>
      <c r="K397" s="11">
        <v>2.7777777777777779E-3</v>
      </c>
      <c r="L397" s="13"/>
    </row>
    <row r="398" spans="1:12" x14ac:dyDescent="0.25">
      <c r="A398" s="3" t="s">
        <v>3586</v>
      </c>
      <c r="B398" s="3" t="s">
        <v>3652</v>
      </c>
      <c r="C398" s="3" t="s">
        <v>800</v>
      </c>
      <c r="D398" s="9">
        <v>78</v>
      </c>
      <c r="E398" s="3"/>
      <c r="F398" s="3"/>
      <c r="G398" s="9"/>
      <c r="H398" s="10">
        <v>45660.902685185189</v>
      </c>
      <c r="I398" s="10">
        <v>45660.905902777777</v>
      </c>
      <c r="J398" s="10">
        <v>45660.908958333333</v>
      </c>
      <c r="K398" s="11">
        <v>3.0555555555555561E-3</v>
      </c>
      <c r="L398" s="13"/>
    </row>
    <row r="399" spans="1:12" x14ac:dyDescent="0.25">
      <c r="A399" s="3" t="s">
        <v>3586</v>
      </c>
      <c r="B399" s="3" t="s">
        <v>3653</v>
      </c>
      <c r="C399" s="3" t="s">
        <v>807</v>
      </c>
      <c r="D399" s="9">
        <v>16.5</v>
      </c>
      <c r="E399" s="3"/>
      <c r="F399" s="3"/>
      <c r="G399" s="9"/>
      <c r="H399" s="10">
        <v>45660.905601851853</v>
      </c>
      <c r="I399" s="10">
        <v>45660.91064814815</v>
      </c>
      <c r="J399" s="10">
        <v>45660.913703703707</v>
      </c>
      <c r="K399" s="11">
        <v>3.0555555555555561E-3</v>
      </c>
      <c r="L399" s="13"/>
    </row>
    <row r="400" spans="1:12" x14ac:dyDescent="0.25">
      <c r="A400" s="3" t="s">
        <v>3586</v>
      </c>
      <c r="B400" s="3" t="s">
        <v>3654</v>
      </c>
      <c r="C400" s="3" t="s">
        <v>809</v>
      </c>
      <c r="D400" s="9">
        <v>61.9</v>
      </c>
      <c r="E400" s="3"/>
      <c r="F400" s="3"/>
      <c r="G400" s="9"/>
      <c r="H400" s="10">
        <v>45660.907430555562</v>
      </c>
      <c r="I400" s="10">
        <v>45660.91133101852</v>
      </c>
      <c r="J400" s="10">
        <v>45660.9141087963</v>
      </c>
      <c r="K400" s="11">
        <v>2.7777777777777779E-3</v>
      </c>
      <c r="L400" s="13"/>
    </row>
    <row r="401" spans="1:12" x14ac:dyDescent="0.25">
      <c r="A401" s="3" t="s">
        <v>3586</v>
      </c>
      <c r="B401" s="3" t="s">
        <v>3655</v>
      </c>
      <c r="C401" s="3" t="s">
        <v>805</v>
      </c>
      <c r="D401" s="9">
        <v>81</v>
      </c>
      <c r="E401" s="3"/>
      <c r="F401" s="3"/>
      <c r="G401" s="9"/>
      <c r="H401" s="10">
        <v>45660.908391203702</v>
      </c>
      <c r="I401" s="10">
        <v>45660.911585648151</v>
      </c>
      <c r="J401" s="10">
        <v>45660.914641203701</v>
      </c>
      <c r="K401" s="11">
        <v>3.0555555555555561E-3</v>
      </c>
      <c r="L401" s="13"/>
    </row>
    <row r="402" spans="1:12" x14ac:dyDescent="0.25">
      <c r="A402" s="3" t="s">
        <v>3586</v>
      </c>
      <c r="B402" s="3" t="s">
        <v>3656</v>
      </c>
      <c r="C402" s="3" t="s">
        <v>811</v>
      </c>
      <c r="D402" s="9">
        <v>19.899999999999999</v>
      </c>
      <c r="E402" s="3"/>
      <c r="F402" s="3"/>
      <c r="G402" s="9"/>
      <c r="H402" s="10">
        <v>45660.909375000003</v>
      </c>
      <c r="I402" s="10">
        <v>45660.911643518521</v>
      </c>
      <c r="J402" s="10">
        <v>45660.914699074077</v>
      </c>
      <c r="K402" s="11">
        <v>3.0555555555555561E-3</v>
      </c>
      <c r="L402" s="13"/>
    </row>
    <row r="403" spans="1:12" x14ac:dyDescent="0.25">
      <c r="A403" s="3" t="s">
        <v>3586</v>
      </c>
      <c r="B403" s="3" t="s">
        <v>3657</v>
      </c>
      <c r="C403" s="3" t="s">
        <v>813</v>
      </c>
      <c r="D403" s="9">
        <v>110.2</v>
      </c>
      <c r="E403" s="3"/>
      <c r="F403" s="3"/>
      <c r="G403" s="9"/>
      <c r="H403" s="10">
        <v>45660.910717592589</v>
      </c>
      <c r="I403" s="10">
        <v>45660.915405092594</v>
      </c>
      <c r="J403" s="10">
        <v>45660.91846064815</v>
      </c>
      <c r="K403" s="11">
        <v>3.0555555555555561E-3</v>
      </c>
      <c r="L403" s="13"/>
    </row>
    <row r="404" spans="1:12" x14ac:dyDescent="0.25">
      <c r="A404" s="3" t="s">
        <v>3586</v>
      </c>
      <c r="B404" s="3" t="s">
        <v>3658</v>
      </c>
      <c r="C404" s="3" t="s">
        <v>815</v>
      </c>
      <c r="D404" s="9">
        <v>36.4</v>
      </c>
      <c r="E404" s="3"/>
      <c r="F404" s="3"/>
      <c r="G404" s="9"/>
      <c r="H404" s="10">
        <v>45660.912129629629</v>
      </c>
      <c r="I404" s="10">
        <v>45660.915648148148</v>
      </c>
      <c r="J404" s="10">
        <v>45660.918425925927</v>
      </c>
      <c r="K404" s="11">
        <v>2.7777777777777779E-3</v>
      </c>
      <c r="L404" s="13"/>
    </row>
    <row r="405" spans="1:12" x14ac:dyDescent="0.25">
      <c r="A405" s="3" t="s">
        <v>3586</v>
      </c>
      <c r="B405" s="3" t="s">
        <v>3659</v>
      </c>
      <c r="C405" s="3" t="s">
        <v>817</v>
      </c>
      <c r="D405" s="9">
        <v>19.899999999999999</v>
      </c>
      <c r="E405" s="3"/>
      <c r="F405" s="3"/>
      <c r="G405" s="9"/>
      <c r="H405" s="10">
        <v>45660.915405092594</v>
      </c>
      <c r="I405" s="10">
        <v>45660.916307870371</v>
      </c>
      <c r="J405" s="10">
        <v>45660.919363425928</v>
      </c>
      <c r="K405" s="11">
        <v>3.0555555555555561E-3</v>
      </c>
      <c r="L405" s="13"/>
    </row>
    <row r="406" spans="1:12" x14ac:dyDescent="0.25">
      <c r="A406" s="3" t="s">
        <v>3586</v>
      </c>
      <c r="B406" s="3" t="s">
        <v>3660</v>
      </c>
      <c r="C406" s="3" t="s">
        <v>830</v>
      </c>
      <c r="D406" s="9">
        <v>342.6</v>
      </c>
      <c r="E406" s="3"/>
      <c r="F406" s="3"/>
      <c r="G406" s="9"/>
      <c r="H406" s="10">
        <v>45662.747291666667</v>
      </c>
      <c r="I406" s="10">
        <v>45662.748136574082</v>
      </c>
      <c r="J406" s="10">
        <v>45662.751192129632</v>
      </c>
      <c r="K406" s="11">
        <v>3.0555555555555561E-3</v>
      </c>
      <c r="L406" s="13"/>
    </row>
    <row r="407" spans="1:12" x14ac:dyDescent="0.25">
      <c r="A407" s="3" t="s">
        <v>3586</v>
      </c>
      <c r="B407" s="3" t="s">
        <v>3661</v>
      </c>
      <c r="C407" s="3" t="s">
        <v>832</v>
      </c>
      <c r="D407" s="9">
        <v>98.3</v>
      </c>
      <c r="E407" s="3"/>
      <c r="F407" s="3"/>
      <c r="G407" s="9"/>
      <c r="H407" s="10">
        <v>45662.748738425929</v>
      </c>
      <c r="I407" s="10">
        <v>45662.749606481477</v>
      </c>
      <c r="J407" s="10">
        <v>45662.752662037034</v>
      </c>
      <c r="K407" s="11">
        <v>3.0555555555555561E-3</v>
      </c>
      <c r="L407" s="13"/>
    </row>
    <row r="408" spans="1:12" x14ac:dyDescent="0.25">
      <c r="A408" s="3" t="s">
        <v>3586</v>
      </c>
      <c r="B408" s="3" t="s">
        <v>3662</v>
      </c>
      <c r="C408" s="3" t="s">
        <v>845</v>
      </c>
      <c r="D408" s="9">
        <v>19.899999999999999</v>
      </c>
      <c r="E408" s="3"/>
      <c r="F408" s="3"/>
      <c r="G408" s="9"/>
      <c r="H408" s="10">
        <v>45664.127175925933</v>
      </c>
      <c r="I408" s="10">
        <v>45664.12804398148</v>
      </c>
      <c r="J408" s="10">
        <v>45664.131099537037</v>
      </c>
      <c r="K408" s="11">
        <v>3.0555555555555561E-3</v>
      </c>
      <c r="L408" s="13"/>
    </row>
    <row r="409" spans="1:12" x14ac:dyDescent="0.25">
      <c r="A409" s="3" t="s">
        <v>3586</v>
      </c>
      <c r="B409" s="3" t="s">
        <v>3663</v>
      </c>
      <c r="C409" s="3" t="s">
        <v>847</v>
      </c>
      <c r="D409" s="9">
        <v>31.5</v>
      </c>
      <c r="E409" s="3"/>
      <c r="F409" s="3"/>
      <c r="G409" s="9"/>
      <c r="H409" s="10">
        <v>45664.129236111112</v>
      </c>
      <c r="I409" s="10">
        <v>45664.130023148151</v>
      </c>
      <c r="J409" s="10">
        <v>45664.132800925923</v>
      </c>
      <c r="K409" s="11">
        <v>2.7777777777777779E-3</v>
      </c>
      <c r="L409" s="13"/>
    </row>
    <row r="410" spans="1:12" x14ac:dyDescent="0.25">
      <c r="A410" s="3" t="s">
        <v>3586</v>
      </c>
      <c r="B410" s="3" t="s">
        <v>3664</v>
      </c>
      <c r="C410" s="3" t="s">
        <v>849</v>
      </c>
      <c r="D410" s="9">
        <v>12</v>
      </c>
      <c r="E410" s="3"/>
      <c r="F410" s="3"/>
      <c r="G410" s="9"/>
      <c r="H410" s="10">
        <v>45664.131145833337</v>
      </c>
      <c r="I410" s="10">
        <v>45664.131979166668</v>
      </c>
      <c r="J410" s="10">
        <v>45664.135034722232</v>
      </c>
      <c r="K410" s="11">
        <v>3.0555555555555561E-3</v>
      </c>
      <c r="L410" s="13"/>
    </row>
    <row r="411" spans="1:12" x14ac:dyDescent="0.25">
      <c r="A411" s="3" t="s">
        <v>3586</v>
      </c>
      <c r="B411" s="3" t="s">
        <v>3665</v>
      </c>
      <c r="C411" s="3" t="s">
        <v>851</v>
      </c>
      <c r="D411" s="9">
        <v>184.6</v>
      </c>
      <c r="E411" s="3"/>
      <c r="F411" s="3"/>
      <c r="G411" s="9"/>
      <c r="H411" s="10">
        <v>45664.133287037039</v>
      </c>
      <c r="I411" s="10">
        <v>45664.134155092594</v>
      </c>
      <c r="J411" s="10">
        <v>45664.13721064815</v>
      </c>
      <c r="K411" s="11">
        <v>3.0555555555555561E-3</v>
      </c>
      <c r="L411" s="13"/>
    </row>
    <row r="412" spans="1:12" x14ac:dyDescent="0.25">
      <c r="A412" s="3" t="s">
        <v>3586</v>
      </c>
      <c r="B412" s="3" t="s">
        <v>3666</v>
      </c>
      <c r="C412" s="3" t="s">
        <v>853</v>
      </c>
      <c r="D412" s="9">
        <v>43.1</v>
      </c>
      <c r="E412" s="3"/>
      <c r="F412" s="3"/>
      <c r="G412" s="9"/>
      <c r="H412" s="10">
        <v>45664.134513888886</v>
      </c>
      <c r="I412" s="10">
        <v>45664.135300925933</v>
      </c>
      <c r="J412" s="10">
        <v>45664.138078703712</v>
      </c>
      <c r="K412" s="11">
        <v>2.7777777777777779E-3</v>
      </c>
      <c r="L412" s="13"/>
    </row>
    <row r="413" spans="1:12" x14ac:dyDescent="0.25">
      <c r="A413" s="3" t="s">
        <v>3586</v>
      </c>
      <c r="B413" s="3" t="s">
        <v>3667</v>
      </c>
      <c r="C413" s="3" t="s">
        <v>858</v>
      </c>
      <c r="D413" s="9">
        <v>21</v>
      </c>
      <c r="E413" s="3"/>
      <c r="F413" s="3"/>
      <c r="G413" s="9"/>
      <c r="H413" s="10">
        <v>45664.324293981481</v>
      </c>
      <c r="I413" s="10">
        <v>45664.325127314813</v>
      </c>
      <c r="J413" s="10">
        <v>45664.328182870369</v>
      </c>
      <c r="K413" s="11">
        <v>3.0555555555555561E-3</v>
      </c>
      <c r="L413" s="13"/>
    </row>
    <row r="414" spans="1:12" x14ac:dyDescent="0.25">
      <c r="A414" s="3" t="s">
        <v>3586</v>
      </c>
      <c r="B414" s="3" t="s">
        <v>3668</v>
      </c>
      <c r="C414" s="3" t="s">
        <v>860</v>
      </c>
      <c r="D414" s="9">
        <v>39.799999999999997</v>
      </c>
      <c r="E414" s="3"/>
      <c r="F414" s="3"/>
      <c r="G414" s="9"/>
      <c r="H414" s="10">
        <v>45664.32607638889</v>
      </c>
      <c r="I414" s="10">
        <v>45664.326944444438</v>
      </c>
      <c r="J414" s="10">
        <v>45664.33</v>
      </c>
      <c r="K414" s="11">
        <v>3.0555555555555561E-3</v>
      </c>
      <c r="L414" s="13"/>
    </row>
    <row r="415" spans="1:12" x14ac:dyDescent="0.25">
      <c r="A415" s="3" t="s">
        <v>3586</v>
      </c>
      <c r="B415" s="3" t="s">
        <v>3669</v>
      </c>
      <c r="C415" s="3" t="s">
        <v>862</v>
      </c>
      <c r="D415" s="9">
        <v>27</v>
      </c>
      <c r="E415" s="3"/>
      <c r="F415" s="3"/>
      <c r="G415" s="9"/>
      <c r="H415" s="10">
        <v>45664.327384259261</v>
      </c>
      <c r="I415" s="10">
        <v>45664.329861111109</v>
      </c>
      <c r="J415" s="10">
        <v>45664.332916666674</v>
      </c>
      <c r="K415" s="11">
        <v>3.0555555555555561E-3</v>
      </c>
      <c r="L415" s="13"/>
    </row>
    <row r="416" spans="1:12" x14ac:dyDescent="0.25">
      <c r="A416" s="3" t="s">
        <v>3586</v>
      </c>
      <c r="B416" s="3" t="s">
        <v>3670</v>
      </c>
      <c r="C416" s="3" t="s">
        <v>864</v>
      </c>
      <c r="D416" s="9">
        <v>90.4</v>
      </c>
      <c r="E416" s="3"/>
      <c r="F416" s="3"/>
      <c r="G416" s="9"/>
      <c r="H416" s="10">
        <v>45664.329861111109</v>
      </c>
      <c r="I416" s="10">
        <v>45664.331736111111</v>
      </c>
      <c r="J416" s="10">
        <v>45664.334791666668</v>
      </c>
      <c r="K416" s="11">
        <v>3.0555555555555561E-3</v>
      </c>
      <c r="L416" s="13"/>
    </row>
    <row r="417" spans="1:12" x14ac:dyDescent="0.25">
      <c r="A417" s="3" t="s">
        <v>3586</v>
      </c>
      <c r="B417" s="3" t="s">
        <v>3671</v>
      </c>
      <c r="C417" s="3" t="s">
        <v>883</v>
      </c>
      <c r="D417" s="9">
        <v>112.5</v>
      </c>
      <c r="E417" s="3"/>
      <c r="F417" s="3"/>
      <c r="G417" s="9"/>
      <c r="H417" s="10">
        <v>45664.359270833331</v>
      </c>
      <c r="I417" s="10">
        <v>45664.36204861111</v>
      </c>
      <c r="J417" s="10">
        <v>45664.365104166667</v>
      </c>
      <c r="K417" s="11">
        <v>3.0555555555555561E-3</v>
      </c>
      <c r="L417" s="13"/>
    </row>
    <row r="418" spans="1:12" x14ac:dyDescent="0.25">
      <c r="A418" s="3" t="s">
        <v>3586</v>
      </c>
      <c r="B418" s="3" t="s">
        <v>3672</v>
      </c>
      <c r="C418" s="3" t="s">
        <v>888</v>
      </c>
      <c r="D418" s="9">
        <v>15.7</v>
      </c>
      <c r="E418" s="3"/>
      <c r="F418" s="3"/>
      <c r="G418" s="9"/>
      <c r="H418" s="10">
        <v>45664.376006944447</v>
      </c>
      <c r="I418" s="10">
        <v>45664.392511574071</v>
      </c>
      <c r="J418" s="10">
        <v>45664.395567129628</v>
      </c>
      <c r="K418" s="11">
        <v>3.0555555555555561E-3</v>
      </c>
      <c r="L418" s="13"/>
    </row>
    <row r="419" spans="1:12" x14ac:dyDescent="0.25">
      <c r="A419" s="3" t="s">
        <v>3586</v>
      </c>
      <c r="B419" s="3" t="s">
        <v>3673</v>
      </c>
      <c r="C419" s="3" t="s">
        <v>893</v>
      </c>
      <c r="D419" s="9">
        <v>15.7</v>
      </c>
      <c r="E419" s="3"/>
      <c r="F419" s="3"/>
      <c r="G419" s="9"/>
      <c r="H419" s="10">
        <v>45664.378969907397</v>
      </c>
      <c r="I419" s="10">
        <v>45664.397256944438</v>
      </c>
      <c r="J419" s="10">
        <v>45664.400312500002</v>
      </c>
      <c r="K419" s="11">
        <v>3.0555555555555561E-3</v>
      </c>
      <c r="L419" s="13"/>
    </row>
    <row r="420" spans="1:12" x14ac:dyDescent="0.25">
      <c r="A420" s="3" t="s">
        <v>3586</v>
      </c>
      <c r="B420" s="3" t="s">
        <v>3674</v>
      </c>
      <c r="C420" s="3" t="s">
        <v>895</v>
      </c>
      <c r="D420" s="9">
        <v>19.899999999999999</v>
      </c>
      <c r="E420" s="3"/>
      <c r="F420" s="3"/>
      <c r="G420" s="9"/>
      <c r="H420" s="10">
        <v>45664.380682870367</v>
      </c>
      <c r="I420" s="10">
        <v>45664.398333333331</v>
      </c>
      <c r="J420" s="10">
        <v>45664.40111111111</v>
      </c>
      <c r="K420" s="11">
        <v>2.7777777777777779E-3</v>
      </c>
      <c r="L420" s="13"/>
    </row>
    <row r="421" spans="1:12" x14ac:dyDescent="0.25">
      <c r="A421" s="3" t="s">
        <v>3586</v>
      </c>
      <c r="B421" s="3" t="s">
        <v>3675</v>
      </c>
      <c r="C421" s="3" t="s">
        <v>903</v>
      </c>
      <c r="D421" s="9">
        <v>21</v>
      </c>
      <c r="E421" s="3"/>
      <c r="F421" s="3"/>
      <c r="G421" s="9"/>
      <c r="H421" s="10">
        <v>45664.392511574071</v>
      </c>
      <c r="I421" s="10">
        <v>45664.405231481483</v>
      </c>
      <c r="J421" s="10">
        <v>45664.40828703704</v>
      </c>
      <c r="K421" s="11">
        <v>3.0555555555555561E-3</v>
      </c>
      <c r="L421" s="13"/>
    </row>
    <row r="422" spans="1:12" x14ac:dyDescent="0.25">
      <c r="A422" s="3" t="s">
        <v>3586</v>
      </c>
      <c r="B422" s="3" t="s">
        <v>3676</v>
      </c>
      <c r="C422" s="3" t="s">
        <v>913</v>
      </c>
      <c r="D422" s="9">
        <v>192.5</v>
      </c>
      <c r="E422" s="3"/>
      <c r="F422" s="3"/>
      <c r="G422" s="9"/>
      <c r="H422" s="10">
        <v>45664.550879629627</v>
      </c>
      <c r="I422" s="10">
        <v>45664.551678240743</v>
      </c>
      <c r="J422" s="10">
        <v>45664.554456018523</v>
      </c>
      <c r="K422" s="11">
        <v>2.7777777777777779E-3</v>
      </c>
      <c r="L422" s="13"/>
    </row>
    <row r="423" spans="1:12" x14ac:dyDescent="0.25">
      <c r="A423" s="3" t="s">
        <v>3586</v>
      </c>
      <c r="B423" s="3" t="s">
        <v>3677</v>
      </c>
      <c r="C423" s="3" t="s">
        <v>921</v>
      </c>
      <c r="D423" s="9">
        <v>15.7</v>
      </c>
      <c r="E423" s="3"/>
      <c r="F423" s="3"/>
      <c r="G423" s="9"/>
      <c r="H423" s="10">
        <v>45664.647152777783</v>
      </c>
      <c r="I423" s="10">
        <v>45664.648020833331</v>
      </c>
      <c r="J423" s="10">
        <v>45664.651076388887</v>
      </c>
      <c r="K423" s="11">
        <v>3.0555555555555561E-3</v>
      </c>
      <c r="L423" s="13"/>
    </row>
    <row r="424" spans="1:12" x14ac:dyDescent="0.25">
      <c r="A424" s="3" t="s">
        <v>3586</v>
      </c>
      <c r="B424" s="3" t="s">
        <v>3678</v>
      </c>
      <c r="C424" s="3" t="s">
        <v>926</v>
      </c>
      <c r="D424" s="9">
        <v>54</v>
      </c>
      <c r="E424" s="3"/>
      <c r="F424" s="3"/>
      <c r="G424" s="9"/>
      <c r="H424" s="10">
        <v>45664.650312500002</v>
      </c>
      <c r="I424" s="10">
        <v>45664.65111111111</v>
      </c>
      <c r="J424" s="10">
        <v>45664.65388888889</v>
      </c>
      <c r="K424" s="11">
        <v>2.7777777777777779E-3</v>
      </c>
      <c r="L424" s="13"/>
    </row>
    <row r="425" spans="1:12" x14ac:dyDescent="0.25">
      <c r="A425" s="3" t="s">
        <v>3586</v>
      </c>
      <c r="B425" s="3" t="s">
        <v>3679</v>
      </c>
      <c r="C425" s="3" t="s">
        <v>928</v>
      </c>
      <c r="D425" s="9">
        <v>21</v>
      </c>
      <c r="E425" s="3"/>
      <c r="F425" s="3"/>
      <c r="G425" s="9"/>
      <c r="H425" s="10">
        <v>45664.651608796303</v>
      </c>
      <c r="I425" s="10">
        <v>45664.65247685185</v>
      </c>
      <c r="J425" s="10">
        <v>45664.655532407407</v>
      </c>
      <c r="K425" s="11">
        <v>3.0555555555555561E-3</v>
      </c>
      <c r="L425" s="13"/>
    </row>
    <row r="426" spans="1:12" x14ac:dyDescent="0.25">
      <c r="A426" s="3" t="s">
        <v>3586</v>
      </c>
      <c r="B426" s="3" t="s">
        <v>3680</v>
      </c>
      <c r="C426" s="3" t="s">
        <v>930</v>
      </c>
      <c r="D426" s="9">
        <v>14</v>
      </c>
      <c r="E426" s="3"/>
      <c r="F426" s="3"/>
      <c r="G426" s="9"/>
      <c r="H426" s="10">
        <v>45664.653101851851</v>
      </c>
      <c r="I426" s="10">
        <v>45664.653969907413</v>
      </c>
      <c r="J426" s="10">
        <v>45664.657025462962</v>
      </c>
      <c r="K426" s="11">
        <v>3.0555555555555561E-3</v>
      </c>
      <c r="L426" s="13"/>
    </row>
    <row r="427" spans="1:12" x14ac:dyDescent="0.25">
      <c r="A427" s="3" t="s">
        <v>3586</v>
      </c>
      <c r="B427" s="3" t="s">
        <v>3681</v>
      </c>
      <c r="C427" s="3" t="s">
        <v>934</v>
      </c>
      <c r="D427" s="9">
        <v>19.899999999999999</v>
      </c>
      <c r="E427" s="3"/>
      <c r="F427" s="3"/>
      <c r="G427" s="9"/>
      <c r="H427" s="10">
        <v>45664.6559837963</v>
      </c>
      <c r="I427" s="10">
        <v>45664.656770833331</v>
      </c>
      <c r="J427" s="10">
        <v>45664.659548611111</v>
      </c>
      <c r="K427" s="11">
        <v>2.7777777777777779E-3</v>
      </c>
      <c r="L427" s="13"/>
    </row>
    <row r="428" spans="1:12" x14ac:dyDescent="0.25">
      <c r="A428" s="3" t="s">
        <v>3586</v>
      </c>
      <c r="B428" s="3" t="s">
        <v>3682</v>
      </c>
      <c r="C428" s="3" t="s">
        <v>936</v>
      </c>
      <c r="D428" s="9">
        <v>23.2</v>
      </c>
      <c r="E428" s="3"/>
      <c r="F428" s="3"/>
      <c r="G428" s="9"/>
      <c r="H428" s="10">
        <v>45664.657268518517</v>
      </c>
      <c r="I428" s="10">
        <v>45664.658136574071</v>
      </c>
      <c r="J428" s="10">
        <v>45664.661192129628</v>
      </c>
      <c r="K428" s="11">
        <v>3.0555555555555561E-3</v>
      </c>
      <c r="L428" s="13"/>
    </row>
    <row r="429" spans="1:12" x14ac:dyDescent="0.25">
      <c r="A429" s="3" t="s">
        <v>3586</v>
      </c>
      <c r="B429" s="3" t="s">
        <v>3683</v>
      </c>
      <c r="C429" s="3" t="s">
        <v>938</v>
      </c>
      <c r="D429" s="9">
        <v>15.7</v>
      </c>
      <c r="E429" s="3"/>
      <c r="F429" s="3"/>
      <c r="G429" s="9"/>
      <c r="H429" s="10">
        <v>45664.65902777778</v>
      </c>
      <c r="I429" s="10">
        <v>45664.661122685182</v>
      </c>
      <c r="J429" s="10">
        <v>45664.663900462961</v>
      </c>
      <c r="K429" s="11">
        <v>2.7777777777777779E-3</v>
      </c>
      <c r="L429" s="13"/>
    </row>
    <row r="430" spans="1:12" x14ac:dyDescent="0.25">
      <c r="A430" s="3" t="s">
        <v>3586</v>
      </c>
      <c r="B430" s="3" t="s">
        <v>3684</v>
      </c>
      <c r="C430" s="3" t="s">
        <v>940</v>
      </c>
      <c r="D430" s="9">
        <v>19.899999999999999</v>
      </c>
      <c r="E430" s="3"/>
      <c r="F430" s="3"/>
      <c r="G430" s="9"/>
      <c r="H430" s="10">
        <v>45664.660763888889</v>
      </c>
      <c r="I430" s="10">
        <v>45664.662928240738</v>
      </c>
      <c r="J430" s="10">
        <v>45664.665983796287</v>
      </c>
      <c r="K430" s="11">
        <v>3.0555555555555561E-3</v>
      </c>
      <c r="L430" s="13"/>
    </row>
    <row r="431" spans="1:12" x14ac:dyDescent="0.25">
      <c r="A431" s="3" t="s">
        <v>3586</v>
      </c>
      <c r="B431" s="3" t="s">
        <v>3685</v>
      </c>
      <c r="C431" s="3" t="s">
        <v>948</v>
      </c>
      <c r="D431" s="9">
        <v>16.5</v>
      </c>
      <c r="E431" s="3"/>
      <c r="F431" s="3"/>
      <c r="G431" s="9"/>
      <c r="H431" s="10">
        <v>45664.678252314807</v>
      </c>
      <c r="I431" s="10">
        <v>45664.679085648153</v>
      </c>
      <c r="J431" s="10">
        <v>45664.682141203702</v>
      </c>
      <c r="K431" s="11">
        <v>3.0555555555555561E-3</v>
      </c>
      <c r="L431" s="13"/>
    </row>
    <row r="432" spans="1:12" x14ac:dyDescent="0.25">
      <c r="A432" s="3" t="s">
        <v>3586</v>
      </c>
      <c r="B432" s="3" t="s">
        <v>3686</v>
      </c>
      <c r="C432" s="3" t="s">
        <v>950</v>
      </c>
      <c r="D432" s="9">
        <v>21</v>
      </c>
      <c r="E432" s="3"/>
      <c r="F432" s="3"/>
      <c r="G432" s="9"/>
      <c r="H432" s="10">
        <v>45664.744490740741</v>
      </c>
      <c r="I432" s="10">
        <v>45664.745358796303</v>
      </c>
      <c r="J432" s="10">
        <v>45664.748414351852</v>
      </c>
      <c r="K432" s="11">
        <v>3.0555555555555561E-3</v>
      </c>
      <c r="L432" s="13"/>
    </row>
    <row r="433" spans="1:12" x14ac:dyDescent="0.25">
      <c r="A433" s="3" t="s">
        <v>3586</v>
      </c>
      <c r="B433" s="3" t="s">
        <v>3687</v>
      </c>
      <c r="C433" s="3" t="s">
        <v>952</v>
      </c>
      <c r="D433" s="9">
        <v>15.7</v>
      </c>
      <c r="E433" s="3"/>
      <c r="F433" s="3"/>
      <c r="G433" s="9"/>
      <c r="H433" s="10">
        <v>45664.746516203697</v>
      </c>
      <c r="I433" s="10">
        <v>45664.747303240743</v>
      </c>
      <c r="J433" s="10">
        <v>45664.750081018523</v>
      </c>
      <c r="K433" s="11">
        <v>2.7777777777777779E-3</v>
      </c>
      <c r="L433" s="13"/>
    </row>
    <row r="434" spans="1:12" x14ac:dyDescent="0.25">
      <c r="A434" s="3" t="s">
        <v>3586</v>
      </c>
      <c r="B434" s="3" t="s">
        <v>3688</v>
      </c>
      <c r="C434" s="3" t="s">
        <v>954</v>
      </c>
      <c r="D434" s="9">
        <v>23.2</v>
      </c>
      <c r="E434" s="3"/>
      <c r="F434" s="3"/>
      <c r="G434" s="9"/>
      <c r="H434" s="10">
        <v>45664.748287037037</v>
      </c>
      <c r="I434" s="10">
        <v>45664.749120370368</v>
      </c>
      <c r="J434" s="10">
        <v>45664.752175925933</v>
      </c>
      <c r="K434" s="11">
        <v>3.0555555555555561E-3</v>
      </c>
      <c r="L434" s="13"/>
    </row>
    <row r="435" spans="1:12" x14ac:dyDescent="0.25">
      <c r="A435" s="3" t="s">
        <v>3586</v>
      </c>
      <c r="B435" s="3" t="s">
        <v>3689</v>
      </c>
      <c r="C435" s="3" t="s">
        <v>958</v>
      </c>
      <c r="D435" s="9">
        <v>39.799999999999997</v>
      </c>
      <c r="E435" s="3"/>
      <c r="F435" s="3"/>
      <c r="G435" s="9"/>
      <c r="H435" s="10">
        <v>45664.751261574071</v>
      </c>
      <c r="I435" s="10">
        <v>45664.75204861111</v>
      </c>
      <c r="J435" s="10">
        <v>45664.754826388889</v>
      </c>
      <c r="K435" s="11">
        <v>2.7777777777777779E-3</v>
      </c>
      <c r="L435" s="13"/>
    </row>
    <row r="436" spans="1:12" x14ac:dyDescent="0.25">
      <c r="A436" s="3" t="s">
        <v>3586</v>
      </c>
      <c r="B436" s="3" t="s">
        <v>3690</v>
      </c>
      <c r="C436" s="3" t="s">
        <v>963</v>
      </c>
      <c r="D436" s="9">
        <v>15.7</v>
      </c>
      <c r="E436" s="3"/>
      <c r="F436" s="3"/>
      <c r="G436" s="9"/>
      <c r="H436" s="10">
        <v>45664.754780092589</v>
      </c>
      <c r="I436" s="10">
        <v>45664.755648148152</v>
      </c>
      <c r="J436" s="10">
        <v>45664.758703703701</v>
      </c>
      <c r="K436" s="11">
        <v>3.0555555555555561E-3</v>
      </c>
      <c r="L436" s="13"/>
    </row>
    <row r="437" spans="1:12" x14ac:dyDescent="0.25">
      <c r="A437" s="3" t="s">
        <v>3586</v>
      </c>
      <c r="B437" s="3" t="s">
        <v>3691</v>
      </c>
      <c r="C437" s="3" t="s">
        <v>968</v>
      </c>
      <c r="D437" s="9">
        <v>19.899999999999999</v>
      </c>
      <c r="E437" s="3"/>
      <c r="F437" s="3"/>
      <c r="G437" s="9"/>
      <c r="H437" s="10">
        <v>45664.758715277778</v>
      </c>
      <c r="I437" s="10">
        <v>45664.760439814818</v>
      </c>
      <c r="J437" s="10">
        <v>45664.763495370367</v>
      </c>
      <c r="K437" s="11">
        <v>3.0555555555555561E-3</v>
      </c>
      <c r="L437" s="13"/>
    </row>
    <row r="438" spans="1:12" x14ac:dyDescent="0.25">
      <c r="A438" s="3" t="s">
        <v>3586</v>
      </c>
      <c r="B438" s="3" t="s">
        <v>3692</v>
      </c>
      <c r="C438" s="3" t="s">
        <v>970</v>
      </c>
      <c r="D438" s="9">
        <v>31.5</v>
      </c>
      <c r="E438" s="3"/>
      <c r="F438" s="3"/>
      <c r="G438" s="9"/>
      <c r="H438" s="10">
        <v>45664.760474537034</v>
      </c>
      <c r="I438" s="10">
        <v>45664.761342592603</v>
      </c>
      <c r="J438" s="10">
        <v>45664.764398148152</v>
      </c>
      <c r="K438" s="11">
        <v>3.0555555555555561E-3</v>
      </c>
      <c r="L438" s="13"/>
    </row>
    <row r="439" spans="1:12" x14ac:dyDescent="0.25">
      <c r="A439" s="3" t="s">
        <v>3586</v>
      </c>
      <c r="B439" s="3" t="s">
        <v>3693</v>
      </c>
      <c r="C439" s="3" t="s">
        <v>972</v>
      </c>
      <c r="D439" s="9">
        <v>31.9</v>
      </c>
      <c r="E439" s="3"/>
      <c r="F439" s="3"/>
      <c r="G439" s="9"/>
      <c r="H439" s="10">
        <v>45664.762418981481</v>
      </c>
      <c r="I439" s="10">
        <v>45664.765231481477</v>
      </c>
      <c r="J439" s="10">
        <v>45664.768287037034</v>
      </c>
      <c r="K439" s="11">
        <v>3.0555555555555561E-3</v>
      </c>
      <c r="L439" s="13"/>
    </row>
    <row r="440" spans="1:12" x14ac:dyDescent="0.25">
      <c r="A440" s="3" t="s">
        <v>3586</v>
      </c>
      <c r="B440" s="3" t="s">
        <v>3694</v>
      </c>
      <c r="C440" s="3" t="s">
        <v>974</v>
      </c>
      <c r="D440" s="9">
        <v>15.7</v>
      </c>
      <c r="E440" s="3"/>
      <c r="F440" s="3"/>
      <c r="G440" s="9"/>
      <c r="H440" s="10">
        <v>45664.76357638889</v>
      </c>
      <c r="I440" s="10">
        <v>45664.766134259262</v>
      </c>
      <c r="J440" s="10">
        <v>45664.769189814811</v>
      </c>
      <c r="K440" s="11">
        <v>3.0555555555555561E-3</v>
      </c>
      <c r="L440" s="13"/>
    </row>
    <row r="441" spans="1:12" x14ac:dyDescent="0.25">
      <c r="A441" s="3" t="s">
        <v>3586</v>
      </c>
      <c r="B441" s="3" t="s">
        <v>3695</v>
      </c>
      <c r="C441" s="3" t="s">
        <v>976</v>
      </c>
      <c r="D441" s="9">
        <v>31.5</v>
      </c>
      <c r="E441" s="3"/>
      <c r="F441" s="3"/>
      <c r="G441" s="9"/>
      <c r="H441" s="10">
        <v>45664.766134259262</v>
      </c>
      <c r="I441" s="10">
        <v>45664.77002314815</v>
      </c>
      <c r="J441" s="10">
        <v>45664.773078703707</v>
      </c>
      <c r="K441" s="11">
        <v>3.0555555555555561E-3</v>
      </c>
      <c r="L441" s="13"/>
    </row>
    <row r="442" spans="1:12" x14ac:dyDescent="0.25">
      <c r="A442" s="3" t="s">
        <v>3586</v>
      </c>
      <c r="B442" s="3" t="s">
        <v>3696</v>
      </c>
      <c r="C442" s="3" t="s">
        <v>978</v>
      </c>
      <c r="D442" s="9">
        <v>212</v>
      </c>
      <c r="E442" s="3"/>
      <c r="F442" s="3"/>
      <c r="G442" s="9"/>
      <c r="H442" s="10">
        <v>45664.767581018517</v>
      </c>
      <c r="I442" s="10">
        <v>45664.770925925928</v>
      </c>
      <c r="J442" s="10">
        <v>45664.773981481478</v>
      </c>
      <c r="K442" s="11">
        <v>3.0555555555555561E-3</v>
      </c>
      <c r="L442" s="13"/>
    </row>
    <row r="443" spans="1:12" x14ac:dyDescent="0.25">
      <c r="A443" s="3" t="s">
        <v>3586</v>
      </c>
      <c r="B443" s="3" t="s">
        <v>3697</v>
      </c>
      <c r="C443" s="3" t="s">
        <v>983</v>
      </c>
      <c r="D443" s="9">
        <v>31.5</v>
      </c>
      <c r="E443" s="3"/>
      <c r="F443" s="3"/>
      <c r="G443" s="9"/>
      <c r="H443" s="10">
        <v>45665.129074074073</v>
      </c>
      <c r="I443" s="10">
        <v>45665.129942129628</v>
      </c>
      <c r="J443" s="10">
        <v>45665.132997685178</v>
      </c>
      <c r="K443" s="11">
        <v>3.0555555555555561E-3</v>
      </c>
      <c r="L443" s="13"/>
    </row>
    <row r="444" spans="1:12" x14ac:dyDescent="0.25">
      <c r="A444" s="3" t="s">
        <v>3586</v>
      </c>
      <c r="B444" s="3" t="s">
        <v>3698</v>
      </c>
      <c r="C444" s="3" t="s">
        <v>985</v>
      </c>
      <c r="D444" s="9">
        <v>31.9</v>
      </c>
      <c r="E444" s="3"/>
      <c r="F444" s="3"/>
      <c r="G444" s="9"/>
      <c r="H444" s="10">
        <v>45665.131030092591</v>
      </c>
      <c r="I444" s="10">
        <v>45665.131874999999</v>
      </c>
      <c r="J444" s="10">
        <v>45665.134930555563</v>
      </c>
      <c r="K444" s="11">
        <v>3.0555555555555561E-3</v>
      </c>
      <c r="L444" s="13"/>
    </row>
    <row r="445" spans="1:12" x14ac:dyDescent="0.25">
      <c r="A445" s="3" t="s">
        <v>3586</v>
      </c>
      <c r="B445" s="3" t="s">
        <v>3699</v>
      </c>
      <c r="C445" s="3" t="s">
        <v>987</v>
      </c>
      <c r="D445" s="9">
        <v>31.5</v>
      </c>
      <c r="E445" s="3"/>
      <c r="F445" s="3"/>
      <c r="G445" s="9"/>
      <c r="H445" s="10">
        <v>45665.133090277777</v>
      </c>
      <c r="I445" s="10">
        <v>45665.133958333332</v>
      </c>
      <c r="J445" s="10">
        <v>45665.137013888889</v>
      </c>
      <c r="K445" s="11">
        <v>3.0555555555555561E-3</v>
      </c>
      <c r="L445" s="13"/>
    </row>
    <row r="446" spans="1:12" x14ac:dyDescent="0.25">
      <c r="A446" s="3" t="s">
        <v>3586</v>
      </c>
      <c r="B446" s="3" t="s">
        <v>3700</v>
      </c>
      <c r="C446" s="3" t="s">
        <v>992</v>
      </c>
      <c r="D446" s="9">
        <v>51.4</v>
      </c>
      <c r="E446" s="3"/>
      <c r="F446" s="3"/>
      <c r="G446" s="9"/>
      <c r="H446" s="10">
        <v>45665.136550925927</v>
      </c>
      <c r="I446" s="10">
        <v>45665.137395833342</v>
      </c>
      <c r="J446" s="10">
        <v>45665.140451388892</v>
      </c>
      <c r="K446" s="11">
        <v>3.0555555555555561E-3</v>
      </c>
      <c r="L446" s="13"/>
    </row>
    <row r="447" spans="1:12" x14ac:dyDescent="0.25">
      <c r="A447" s="3" t="s">
        <v>3586</v>
      </c>
      <c r="B447" s="3" t="s">
        <v>3701</v>
      </c>
      <c r="C447" s="3" t="s">
        <v>997</v>
      </c>
      <c r="D447" s="9">
        <v>514.29999999999995</v>
      </c>
      <c r="E447" s="3"/>
      <c r="F447" s="3"/>
      <c r="G447" s="9"/>
      <c r="H447" s="10">
        <v>45665.169965277782</v>
      </c>
      <c r="I447" s="10">
        <v>45665.17083333333</v>
      </c>
      <c r="J447" s="10">
        <v>45665.173888888887</v>
      </c>
      <c r="K447" s="11">
        <v>3.0555555555555561E-3</v>
      </c>
      <c r="L447" s="13"/>
    </row>
    <row r="448" spans="1:12" x14ac:dyDescent="0.25">
      <c r="A448" s="3" t="s">
        <v>3586</v>
      </c>
      <c r="B448" s="3" t="s">
        <v>3702</v>
      </c>
      <c r="C448" s="3" t="s">
        <v>1004</v>
      </c>
      <c r="D448" s="9">
        <v>19.899999999999999</v>
      </c>
      <c r="E448" s="3"/>
      <c r="F448" s="3"/>
      <c r="G448" s="9"/>
      <c r="H448" s="10">
        <v>45665.333344907413</v>
      </c>
      <c r="I448" s="10">
        <v>45665.334178240737</v>
      </c>
      <c r="J448" s="10">
        <v>45665.337233796286</v>
      </c>
      <c r="K448" s="11">
        <v>3.0555555555555561E-3</v>
      </c>
      <c r="L448" s="13"/>
    </row>
    <row r="449" spans="1:12" x14ac:dyDescent="0.25">
      <c r="A449" s="3" t="s">
        <v>3586</v>
      </c>
      <c r="B449" s="3" t="s">
        <v>3703</v>
      </c>
      <c r="C449" s="3" t="s">
        <v>1006</v>
      </c>
      <c r="D449" s="9">
        <v>15.7</v>
      </c>
      <c r="E449" s="3"/>
      <c r="F449" s="3"/>
      <c r="G449" s="9"/>
      <c r="H449" s="10">
        <v>45665.335219907407</v>
      </c>
      <c r="I449" s="10">
        <v>45665.336087962962</v>
      </c>
      <c r="J449" s="10">
        <v>45665.339143518519</v>
      </c>
      <c r="K449" s="11">
        <v>3.0555555555555561E-3</v>
      </c>
      <c r="L449" s="13"/>
    </row>
    <row r="450" spans="1:12" x14ac:dyDescent="0.25">
      <c r="A450" s="3" t="s">
        <v>3586</v>
      </c>
      <c r="B450" s="3" t="s">
        <v>3704</v>
      </c>
      <c r="C450" s="3" t="s">
        <v>1017</v>
      </c>
      <c r="D450" s="9">
        <v>51.4</v>
      </c>
      <c r="E450" s="3"/>
      <c r="F450" s="3"/>
      <c r="G450" s="9"/>
      <c r="H450" s="10">
        <v>45665.341493055559</v>
      </c>
      <c r="I450" s="10">
        <v>45665.342361111107</v>
      </c>
      <c r="J450" s="10">
        <v>45665.345416666663</v>
      </c>
      <c r="K450" s="11">
        <v>3.0555555555555561E-3</v>
      </c>
      <c r="L450" s="13"/>
    </row>
    <row r="451" spans="1:12" x14ac:dyDescent="0.25">
      <c r="A451" s="3" t="s">
        <v>3586</v>
      </c>
      <c r="B451" s="3" t="s">
        <v>3705</v>
      </c>
      <c r="C451" s="3" t="s">
        <v>1025</v>
      </c>
      <c r="D451" s="9">
        <v>15.7</v>
      </c>
      <c r="E451" s="3"/>
      <c r="F451" s="3"/>
      <c r="G451" s="9"/>
      <c r="H451" s="10">
        <v>45665.347349537027</v>
      </c>
      <c r="I451" s="10">
        <v>45665.348182870373</v>
      </c>
      <c r="J451" s="10">
        <v>45665.351238425923</v>
      </c>
      <c r="K451" s="11">
        <v>3.0555555555555561E-3</v>
      </c>
      <c r="L451" s="13"/>
    </row>
    <row r="452" spans="1:12" x14ac:dyDescent="0.25">
      <c r="A452" s="3" t="s">
        <v>3586</v>
      </c>
      <c r="B452" s="3" t="s">
        <v>3706</v>
      </c>
      <c r="C452" s="3" t="s">
        <v>1030</v>
      </c>
      <c r="D452" s="9">
        <v>85.5</v>
      </c>
      <c r="E452" s="3"/>
      <c r="F452" s="3"/>
      <c r="G452" s="9"/>
      <c r="H452" s="10">
        <v>45665.350706018522</v>
      </c>
      <c r="I452" s="10">
        <v>45665.352731481478</v>
      </c>
      <c r="J452" s="10">
        <v>45665.355787037042</v>
      </c>
      <c r="K452" s="11">
        <v>3.0555555555555561E-3</v>
      </c>
      <c r="L452" s="13"/>
    </row>
    <row r="453" spans="1:12" x14ac:dyDescent="0.25">
      <c r="A453" s="3" t="s">
        <v>3586</v>
      </c>
      <c r="B453" s="3" t="s">
        <v>3707</v>
      </c>
      <c r="C453" s="3" t="s">
        <v>1036</v>
      </c>
      <c r="D453" s="9">
        <v>19.899999999999999</v>
      </c>
      <c r="E453" s="3"/>
      <c r="F453" s="3"/>
      <c r="G453" s="9"/>
      <c r="H453" s="10">
        <v>45665.354004629633</v>
      </c>
      <c r="I453" s="10">
        <v>45665.35633101852</v>
      </c>
      <c r="J453" s="10">
        <v>45665.359386574077</v>
      </c>
      <c r="K453" s="11">
        <v>3.0555555555555561E-3</v>
      </c>
      <c r="L453" s="13"/>
    </row>
    <row r="454" spans="1:12" x14ac:dyDescent="0.25">
      <c r="A454" s="3" t="s">
        <v>3586</v>
      </c>
      <c r="B454" s="3" t="s">
        <v>3708</v>
      </c>
      <c r="C454" s="3" t="s">
        <v>1038</v>
      </c>
      <c r="D454" s="9">
        <v>14</v>
      </c>
      <c r="E454" s="3"/>
      <c r="F454" s="3"/>
      <c r="G454" s="9"/>
      <c r="H454" s="10">
        <v>45665.355462962973</v>
      </c>
      <c r="I454" s="10">
        <v>45665.357488425929</v>
      </c>
      <c r="J454" s="10">
        <v>45665.360543981478</v>
      </c>
      <c r="K454" s="11">
        <v>3.0555555555555561E-3</v>
      </c>
      <c r="L454" s="13"/>
    </row>
    <row r="455" spans="1:12" x14ac:dyDescent="0.25">
      <c r="A455" s="3" t="s">
        <v>3586</v>
      </c>
      <c r="B455" s="3" t="s">
        <v>3709</v>
      </c>
      <c r="C455" s="3" t="s">
        <v>1043</v>
      </c>
      <c r="D455" s="9">
        <v>389.8</v>
      </c>
      <c r="E455" s="3"/>
      <c r="F455" s="3"/>
      <c r="G455" s="9"/>
      <c r="H455" s="10">
        <v>45665.358483796299</v>
      </c>
      <c r="I455" s="10">
        <v>45665.361064814817</v>
      </c>
      <c r="J455" s="10">
        <v>45665.364120370366</v>
      </c>
      <c r="K455" s="11">
        <v>3.0555555555555561E-3</v>
      </c>
      <c r="L455" s="13"/>
    </row>
    <row r="456" spans="1:12" x14ac:dyDescent="0.25">
      <c r="A456" s="3" t="s">
        <v>3586</v>
      </c>
      <c r="B456" s="3" t="s">
        <v>3710</v>
      </c>
      <c r="C456" s="3" t="s">
        <v>1065</v>
      </c>
      <c r="D456" s="9">
        <v>39.799999999999997</v>
      </c>
      <c r="E456" s="3"/>
      <c r="F456" s="3"/>
      <c r="G456" s="9"/>
      <c r="H456" s="10">
        <v>45665.642708333333</v>
      </c>
      <c r="I456" s="10">
        <v>45665.643576388888</v>
      </c>
      <c r="J456" s="10">
        <v>45665.646631944437</v>
      </c>
      <c r="K456" s="11">
        <v>3.0555555555555561E-3</v>
      </c>
      <c r="L456" s="13"/>
    </row>
    <row r="457" spans="1:12" x14ac:dyDescent="0.25">
      <c r="A457" s="3" t="s">
        <v>3586</v>
      </c>
      <c r="B457" s="3" t="s">
        <v>3711</v>
      </c>
      <c r="C457" s="3" t="s">
        <v>1067</v>
      </c>
      <c r="D457" s="9">
        <v>15.7</v>
      </c>
      <c r="E457" s="3"/>
      <c r="F457" s="3"/>
      <c r="G457" s="9"/>
      <c r="H457" s="10">
        <v>45665.644317129627</v>
      </c>
      <c r="I457" s="10">
        <v>45665.645150462973</v>
      </c>
      <c r="J457" s="10">
        <v>45665.648206018523</v>
      </c>
      <c r="K457" s="11">
        <v>3.0555555555555561E-3</v>
      </c>
      <c r="L457" s="13"/>
    </row>
    <row r="458" spans="1:12" x14ac:dyDescent="0.25">
      <c r="A458" s="3" t="s">
        <v>3586</v>
      </c>
      <c r="B458" s="3" t="s">
        <v>3712</v>
      </c>
      <c r="C458" s="3" t="s">
        <v>1075</v>
      </c>
      <c r="D458" s="9">
        <v>15.7</v>
      </c>
      <c r="E458" s="3"/>
      <c r="F458" s="3"/>
      <c r="G458" s="9"/>
      <c r="H458" s="10">
        <v>45665.649328703701</v>
      </c>
      <c r="I458" s="10">
        <v>45665.65016203704</v>
      </c>
      <c r="J458" s="10">
        <v>45665.653217592589</v>
      </c>
      <c r="K458" s="11">
        <v>3.0555555555555561E-3</v>
      </c>
      <c r="L458" s="13"/>
    </row>
    <row r="459" spans="1:12" x14ac:dyDescent="0.25">
      <c r="A459" s="3" t="s">
        <v>3586</v>
      </c>
      <c r="B459" s="3" t="s">
        <v>3713</v>
      </c>
      <c r="C459" s="3" t="s">
        <v>1080</v>
      </c>
      <c r="D459" s="9">
        <v>12</v>
      </c>
      <c r="E459" s="3"/>
      <c r="F459" s="3"/>
      <c r="G459" s="9"/>
      <c r="H459" s="10">
        <v>45665.651932870373</v>
      </c>
      <c r="I459" s="10">
        <v>45665.654895833337</v>
      </c>
      <c r="J459" s="10">
        <v>45665.657951388886</v>
      </c>
      <c r="K459" s="11">
        <v>3.0555555555555561E-3</v>
      </c>
      <c r="L459" s="13"/>
    </row>
    <row r="460" spans="1:12" x14ac:dyDescent="0.25">
      <c r="A460" s="3" t="s">
        <v>3586</v>
      </c>
      <c r="B460" s="3" t="s">
        <v>3714</v>
      </c>
      <c r="C460" s="3" t="s">
        <v>1082</v>
      </c>
      <c r="D460" s="9">
        <v>19.899999999999999</v>
      </c>
      <c r="E460" s="3"/>
      <c r="F460" s="3"/>
      <c r="G460" s="9"/>
      <c r="H460" s="10">
        <v>45665.653668981482</v>
      </c>
      <c r="I460" s="10">
        <v>45665.656134259261</v>
      </c>
      <c r="J460" s="10">
        <v>45665.659189814818</v>
      </c>
      <c r="K460" s="11">
        <v>3.0555555555555561E-3</v>
      </c>
      <c r="L460" s="13"/>
    </row>
    <row r="461" spans="1:12" x14ac:dyDescent="0.25">
      <c r="A461" s="3" t="s">
        <v>3586</v>
      </c>
      <c r="B461" s="3" t="s">
        <v>3715</v>
      </c>
      <c r="C461" s="3" t="s">
        <v>1087</v>
      </c>
      <c r="D461" s="9">
        <v>23.2</v>
      </c>
      <c r="E461" s="3"/>
      <c r="F461" s="3"/>
      <c r="G461" s="9"/>
      <c r="H461" s="10">
        <v>45665.657083333332</v>
      </c>
      <c r="I461" s="10">
        <v>45665.660879629628</v>
      </c>
      <c r="J461" s="10">
        <v>45665.663935185177</v>
      </c>
      <c r="K461" s="11">
        <v>3.0555555555555561E-3</v>
      </c>
      <c r="L461" s="13"/>
    </row>
    <row r="462" spans="1:12" x14ac:dyDescent="0.25">
      <c r="A462" s="3" t="s">
        <v>3586</v>
      </c>
      <c r="B462" s="3" t="s">
        <v>3716</v>
      </c>
      <c r="C462" s="3" t="s">
        <v>1089</v>
      </c>
      <c r="D462" s="9">
        <v>14</v>
      </c>
      <c r="E462" s="3"/>
      <c r="F462" s="3"/>
      <c r="G462" s="9"/>
      <c r="H462" s="10">
        <v>45665.658576388887</v>
      </c>
      <c r="I462" s="10">
        <v>45665.662824074083</v>
      </c>
      <c r="J462" s="10">
        <v>45665.665879629632</v>
      </c>
      <c r="K462" s="11">
        <v>3.0555555555555561E-3</v>
      </c>
      <c r="L462" s="13"/>
    </row>
    <row r="463" spans="1:12" x14ac:dyDescent="0.25">
      <c r="A463" s="3" t="s">
        <v>3586</v>
      </c>
      <c r="B463" s="3" t="s">
        <v>3717</v>
      </c>
      <c r="C463" s="3" t="s">
        <v>1099</v>
      </c>
      <c r="D463" s="9">
        <v>15.7</v>
      </c>
      <c r="E463" s="3"/>
      <c r="F463" s="3"/>
      <c r="G463" s="9"/>
      <c r="H463" s="10">
        <v>45665.837071759262</v>
      </c>
      <c r="I463" s="10">
        <v>45665.837847222218</v>
      </c>
      <c r="J463" s="10">
        <v>45665.840624999997</v>
      </c>
      <c r="K463" s="11">
        <v>2.7777777777777779E-3</v>
      </c>
      <c r="L463" s="13"/>
    </row>
    <row r="464" spans="1:12" x14ac:dyDescent="0.25">
      <c r="A464" s="3" t="s">
        <v>3586</v>
      </c>
      <c r="B464" s="3" t="s">
        <v>3718</v>
      </c>
      <c r="C464" s="3" t="s">
        <v>1101</v>
      </c>
      <c r="D464" s="9">
        <v>15.7</v>
      </c>
      <c r="E464" s="3"/>
      <c r="F464" s="3"/>
      <c r="G464" s="9"/>
      <c r="H464" s="10">
        <v>45665.838692129633</v>
      </c>
      <c r="I464" s="10">
        <v>45665.839525462958</v>
      </c>
      <c r="J464" s="10">
        <v>45665.842581018522</v>
      </c>
      <c r="K464" s="11">
        <v>3.0555555555555561E-3</v>
      </c>
      <c r="L464" s="13"/>
    </row>
    <row r="465" spans="1:12" x14ac:dyDescent="0.25">
      <c r="A465" s="3" t="s">
        <v>3586</v>
      </c>
      <c r="B465" s="3" t="s">
        <v>3719</v>
      </c>
      <c r="C465" s="3" t="s">
        <v>1103</v>
      </c>
      <c r="D465" s="9">
        <v>15.7</v>
      </c>
      <c r="E465" s="3"/>
      <c r="F465" s="3"/>
      <c r="G465" s="9"/>
      <c r="H465" s="10">
        <v>45665.840405092589</v>
      </c>
      <c r="I465" s="10">
        <v>45665.841203703712</v>
      </c>
      <c r="J465" s="10">
        <v>45665.843981481477</v>
      </c>
      <c r="K465" s="11">
        <v>2.7777777777777779E-3</v>
      </c>
      <c r="L465" s="13"/>
    </row>
    <row r="466" spans="1:12" x14ac:dyDescent="0.25">
      <c r="A466" s="3" t="s">
        <v>3586</v>
      </c>
      <c r="B466" s="3" t="s">
        <v>3720</v>
      </c>
      <c r="C466" s="3" t="s">
        <v>1105</v>
      </c>
      <c r="D466" s="9">
        <v>19.899999999999999</v>
      </c>
      <c r="E466" s="3"/>
      <c r="F466" s="3"/>
      <c r="G466" s="9"/>
      <c r="H466" s="10">
        <v>45665.842442129629</v>
      </c>
      <c r="I466" s="10">
        <v>45665.843217592592</v>
      </c>
      <c r="J466" s="10">
        <v>45665.845995370371</v>
      </c>
      <c r="K466" s="11">
        <v>2.7777777777777779E-3</v>
      </c>
      <c r="L466" s="13"/>
    </row>
    <row r="467" spans="1:12" x14ac:dyDescent="0.25">
      <c r="A467" s="3" t="s">
        <v>3586</v>
      </c>
      <c r="B467" s="3" t="s">
        <v>3721</v>
      </c>
      <c r="C467" s="3" t="s">
        <v>1110</v>
      </c>
      <c r="D467" s="9">
        <v>27</v>
      </c>
      <c r="E467" s="3"/>
      <c r="F467" s="3"/>
      <c r="G467" s="9"/>
      <c r="H467" s="10">
        <v>45665.845057870371</v>
      </c>
      <c r="I467" s="10">
        <v>45665.84584490741</v>
      </c>
      <c r="J467" s="10">
        <v>45665.848622685182</v>
      </c>
      <c r="K467" s="11">
        <v>2.7777777777777779E-3</v>
      </c>
      <c r="L467" s="13"/>
    </row>
    <row r="468" spans="1:12" x14ac:dyDescent="0.25">
      <c r="A468" s="3" t="s">
        <v>3586</v>
      </c>
      <c r="B468" s="3" t="s">
        <v>3722</v>
      </c>
      <c r="C468" s="3" t="s">
        <v>1112</v>
      </c>
      <c r="D468" s="9">
        <v>15.7</v>
      </c>
      <c r="E468" s="3"/>
      <c r="F468" s="3"/>
      <c r="G468" s="9"/>
      <c r="H468" s="10">
        <v>45665.847013888888</v>
      </c>
      <c r="I468" s="10">
        <v>45665.847777777781</v>
      </c>
      <c r="J468" s="10">
        <v>45665.850555555553</v>
      </c>
      <c r="K468" s="11">
        <v>2.7777777777777779E-3</v>
      </c>
      <c r="L468" s="13"/>
    </row>
    <row r="469" spans="1:12" x14ac:dyDescent="0.25">
      <c r="A469" s="3" t="s">
        <v>3586</v>
      </c>
      <c r="B469" s="3" t="s">
        <v>3723</v>
      </c>
      <c r="C469" s="3" t="s">
        <v>1114</v>
      </c>
      <c r="D469" s="9">
        <v>39.799999999999997</v>
      </c>
      <c r="E469" s="3"/>
      <c r="F469" s="3"/>
      <c r="G469" s="9"/>
      <c r="H469" s="10">
        <v>45665.84878472222</v>
      </c>
      <c r="I469" s="10">
        <v>45665.849652777782</v>
      </c>
      <c r="J469" s="10">
        <v>45665.852708333332</v>
      </c>
      <c r="K469" s="11">
        <v>3.0555555555555561E-3</v>
      </c>
      <c r="L469" s="13"/>
    </row>
    <row r="470" spans="1:12" x14ac:dyDescent="0.25">
      <c r="A470" s="3" t="s">
        <v>3586</v>
      </c>
      <c r="B470" s="3" t="s">
        <v>3724</v>
      </c>
      <c r="C470" s="3" t="s">
        <v>1116</v>
      </c>
      <c r="D470" s="9">
        <v>15.7</v>
      </c>
      <c r="E470" s="3"/>
      <c r="F470" s="3"/>
      <c r="G470" s="9"/>
      <c r="H470" s="10">
        <v>45665.850405092591</v>
      </c>
      <c r="I470" s="10">
        <v>45665.85119212963</v>
      </c>
      <c r="J470" s="10">
        <v>45665.85396990741</v>
      </c>
      <c r="K470" s="11">
        <v>2.7777777777777779E-3</v>
      </c>
      <c r="L470" s="13"/>
    </row>
    <row r="471" spans="1:12" x14ac:dyDescent="0.25">
      <c r="A471" s="3" t="s">
        <v>3586</v>
      </c>
      <c r="B471" s="3" t="s">
        <v>3725</v>
      </c>
      <c r="C471" s="3" t="s">
        <v>1118</v>
      </c>
      <c r="D471" s="9">
        <v>99.5</v>
      </c>
      <c r="E471" s="3"/>
      <c r="F471" s="3"/>
      <c r="G471" s="9"/>
      <c r="H471" s="10">
        <v>45665.852719907409</v>
      </c>
      <c r="I471" s="10">
        <v>45665.853495370371</v>
      </c>
      <c r="J471" s="10">
        <v>45665.856273148151</v>
      </c>
      <c r="K471" s="11">
        <v>2.7777777777777779E-3</v>
      </c>
      <c r="L471" s="13"/>
    </row>
    <row r="472" spans="1:12" x14ac:dyDescent="0.25">
      <c r="A472" s="3" t="s">
        <v>3586</v>
      </c>
      <c r="B472" s="3" t="s">
        <v>3726</v>
      </c>
      <c r="C472" s="3" t="s">
        <v>1120</v>
      </c>
      <c r="D472" s="9">
        <v>44</v>
      </c>
      <c r="E472" s="3"/>
      <c r="F472" s="3"/>
      <c r="G472" s="9"/>
      <c r="H472" s="10">
        <v>45666.125914351847</v>
      </c>
      <c r="I472" s="10">
        <v>45666.126782407409</v>
      </c>
      <c r="J472" s="10">
        <v>45666.129837962973</v>
      </c>
      <c r="K472" s="11">
        <v>3.0555555555555561E-3</v>
      </c>
      <c r="L472" s="13"/>
    </row>
    <row r="473" spans="1:12" x14ac:dyDescent="0.25">
      <c r="A473" s="3" t="s">
        <v>3586</v>
      </c>
      <c r="B473" s="3" t="s">
        <v>3727</v>
      </c>
      <c r="C473" s="3" t="s">
        <v>1122</v>
      </c>
      <c r="D473" s="9">
        <v>19.899999999999999</v>
      </c>
      <c r="E473" s="3"/>
      <c r="F473" s="3"/>
      <c r="G473" s="9"/>
      <c r="H473" s="10">
        <v>45666.127685185187</v>
      </c>
      <c r="I473" s="10">
        <v>45666.128553240742</v>
      </c>
      <c r="J473" s="10">
        <v>45666.131608796299</v>
      </c>
      <c r="K473" s="11">
        <v>3.0555555555555561E-3</v>
      </c>
      <c r="L473" s="13"/>
    </row>
    <row r="474" spans="1:12" x14ac:dyDescent="0.25">
      <c r="A474" s="3" t="s">
        <v>3586</v>
      </c>
      <c r="B474" s="3" t="s">
        <v>3728</v>
      </c>
      <c r="C474" s="3" t="s">
        <v>1124</v>
      </c>
      <c r="D474" s="9">
        <v>100.6</v>
      </c>
      <c r="E474" s="3"/>
      <c r="F474" s="3"/>
      <c r="G474" s="9"/>
      <c r="H474" s="10">
        <v>45666.129907407398</v>
      </c>
      <c r="I474" s="10">
        <v>45666.130752314813</v>
      </c>
      <c r="J474" s="10">
        <v>45666.13380787037</v>
      </c>
      <c r="K474" s="11">
        <v>3.0555555555555561E-3</v>
      </c>
      <c r="L474" s="13"/>
    </row>
    <row r="475" spans="1:12" x14ac:dyDescent="0.25">
      <c r="A475" s="3" t="s">
        <v>3586</v>
      </c>
      <c r="B475" s="3" t="s">
        <v>3729</v>
      </c>
      <c r="C475" s="3" t="s">
        <v>1126</v>
      </c>
      <c r="D475" s="9">
        <v>63</v>
      </c>
      <c r="E475" s="3"/>
      <c r="F475" s="3"/>
      <c r="G475" s="9"/>
      <c r="H475" s="10">
        <v>45666.27306712963</v>
      </c>
      <c r="I475" s="10">
        <v>45666.273842592593</v>
      </c>
      <c r="J475" s="10">
        <v>45666.276620370372</v>
      </c>
      <c r="K475" s="11">
        <v>2.7777777777777779E-3</v>
      </c>
      <c r="L475" s="13"/>
    </row>
    <row r="476" spans="1:12" x14ac:dyDescent="0.25">
      <c r="A476" s="3" t="s">
        <v>3586</v>
      </c>
      <c r="B476" s="3" t="s">
        <v>3730</v>
      </c>
      <c r="C476" s="3" t="s">
        <v>1128</v>
      </c>
      <c r="D476" s="9">
        <v>121.1</v>
      </c>
      <c r="E476" s="3"/>
      <c r="F476" s="3"/>
      <c r="G476" s="9"/>
      <c r="H476" s="10">
        <v>45666.275266203702</v>
      </c>
      <c r="I476" s="10">
        <v>45666.276134259257</v>
      </c>
      <c r="J476" s="10">
        <v>45666.279189814813</v>
      </c>
      <c r="K476" s="11">
        <v>3.0555555555555561E-3</v>
      </c>
      <c r="L476" s="13"/>
    </row>
    <row r="477" spans="1:12" x14ac:dyDescent="0.25">
      <c r="A477" s="3" t="s">
        <v>3586</v>
      </c>
      <c r="B477" s="3" t="s">
        <v>3731</v>
      </c>
      <c r="C477" s="3" t="s">
        <v>1136</v>
      </c>
      <c r="D477" s="9">
        <v>27</v>
      </c>
      <c r="E477" s="3"/>
      <c r="F477" s="3"/>
      <c r="G477" s="9"/>
      <c r="H477" s="10">
        <v>45666.27988425926</v>
      </c>
      <c r="I477" s="10">
        <v>45666.280925925923</v>
      </c>
      <c r="J477" s="10">
        <v>45666.28398148148</v>
      </c>
      <c r="K477" s="11">
        <v>3.0555555555555561E-3</v>
      </c>
      <c r="L477" s="13"/>
    </row>
    <row r="478" spans="1:12" x14ac:dyDescent="0.25">
      <c r="A478" s="3" t="s">
        <v>3586</v>
      </c>
      <c r="B478" s="3" t="s">
        <v>3732</v>
      </c>
      <c r="C478" s="3" t="s">
        <v>1141</v>
      </c>
      <c r="D478" s="9">
        <v>31.5</v>
      </c>
      <c r="E478" s="3"/>
      <c r="F478" s="3"/>
      <c r="G478" s="9"/>
      <c r="H478" s="10">
        <v>45666.282592592594</v>
      </c>
      <c r="I478" s="10">
        <v>45666.285219907397</v>
      </c>
      <c r="J478" s="10">
        <v>45666.287997685176</v>
      </c>
      <c r="K478" s="11">
        <v>2.7777777777777779E-3</v>
      </c>
      <c r="L478" s="13"/>
    </row>
    <row r="479" spans="1:12" x14ac:dyDescent="0.25">
      <c r="A479" s="3" t="s">
        <v>3586</v>
      </c>
      <c r="B479" s="3" t="s">
        <v>3733</v>
      </c>
      <c r="C479" s="3" t="s">
        <v>1146</v>
      </c>
      <c r="D479" s="9">
        <v>43.1</v>
      </c>
      <c r="E479" s="3"/>
      <c r="F479" s="3"/>
      <c r="G479" s="9"/>
      <c r="H479" s="10">
        <v>45666.286412037043</v>
      </c>
      <c r="I479" s="10">
        <v>45666.288981481477</v>
      </c>
      <c r="J479" s="10">
        <v>45666.292037037027</v>
      </c>
      <c r="K479" s="11">
        <v>3.0555555555555561E-3</v>
      </c>
      <c r="L479" s="13"/>
    </row>
    <row r="480" spans="1:12" x14ac:dyDescent="0.25">
      <c r="A480" s="3" t="s">
        <v>3586</v>
      </c>
      <c r="B480" s="3" t="s">
        <v>3734</v>
      </c>
      <c r="C480" s="3" t="s">
        <v>1167</v>
      </c>
      <c r="D480" s="9">
        <v>325</v>
      </c>
      <c r="E480" s="3"/>
      <c r="F480" s="3"/>
      <c r="G480" s="9"/>
      <c r="H480" s="10">
        <v>45666.316331018519</v>
      </c>
      <c r="I480" s="10">
        <v>45666.317175925928</v>
      </c>
      <c r="J480" s="10">
        <v>45666.320231481477</v>
      </c>
      <c r="K480" s="11">
        <v>3.0555555555555561E-3</v>
      </c>
      <c r="L480" s="13"/>
    </row>
    <row r="481" spans="1:12" x14ac:dyDescent="0.25">
      <c r="A481" s="3" t="s">
        <v>3586</v>
      </c>
      <c r="B481" s="3" t="s">
        <v>3735</v>
      </c>
      <c r="C481" s="3" t="s">
        <v>1154</v>
      </c>
      <c r="D481" s="9">
        <v>14</v>
      </c>
      <c r="E481" s="3"/>
      <c r="F481" s="3"/>
      <c r="G481" s="9"/>
      <c r="H481" s="10">
        <v>45666.319884259261</v>
      </c>
      <c r="I481" s="10">
        <v>45666.320671296293</v>
      </c>
      <c r="J481" s="10">
        <v>45666.323449074072</v>
      </c>
      <c r="K481" s="11">
        <v>2.7777777777777779E-3</v>
      </c>
      <c r="L481" s="13"/>
    </row>
    <row r="482" spans="1:12" x14ac:dyDescent="0.25">
      <c r="A482" s="3" t="s">
        <v>3586</v>
      </c>
      <c r="B482" s="3" t="s">
        <v>3736</v>
      </c>
      <c r="C482" s="3" t="s">
        <v>1156</v>
      </c>
      <c r="D482" s="9">
        <v>21</v>
      </c>
      <c r="E482" s="3"/>
      <c r="F482" s="3"/>
      <c r="G482" s="9"/>
      <c r="H482" s="10">
        <v>45666.321851851862</v>
      </c>
      <c r="I482" s="10">
        <v>45666.32271990741</v>
      </c>
      <c r="J482" s="10">
        <v>45666.325775462959</v>
      </c>
      <c r="K482" s="11">
        <v>3.0555555555555561E-3</v>
      </c>
      <c r="L482" s="13"/>
    </row>
    <row r="483" spans="1:12" x14ac:dyDescent="0.25">
      <c r="A483" s="3" t="s">
        <v>3586</v>
      </c>
      <c r="B483" s="3" t="s">
        <v>3737</v>
      </c>
      <c r="C483" s="3" t="s">
        <v>1158</v>
      </c>
      <c r="D483" s="9">
        <v>47.2</v>
      </c>
      <c r="E483" s="3"/>
      <c r="F483" s="3"/>
      <c r="G483" s="9"/>
      <c r="H483" s="10">
        <v>45666.323310185187</v>
      </c>
      <c r="I483" s="10">
        <v>45666.324155092603</v>
      </c>
      <c r="J483" s="10">
        <v>45666.327210648153</v>
      </c>
      <c r="K483" s="11">
        <v>3.0555555555555561E-3</v>
      </c>
      <c r="L483" s="13"/>
    </row>
    <row r="484" spans="1:12" x14ac:dyDescent="0.25">
      <c r="A484" s="3" t="s">
        <v>3586</v>
      </c>
      <c r="B484" s="3" t="s">
        <v>3738</v>
      </c>
      <c r="C484" s="3" t="s">
        <v>1160</v>
      </c>
      <c r="D484" s="9">
        <v>19.899999999999999</v>
      </c>
      <c r="E484" s="3"/>
      <c r="F484" s="3"/>
      <c r="G484" s="9"/>
      <c r="H484" s="10">
        <v>45666.325046296297</v>
      </c>
      <c r="I484" s="10">
        <v>45666.327511574083</v>
      </c>
      <c r="J484" s="10">
        <v>45666.330567129633</v>
      </c>
      <c r="K484" s="11">
        <v>3.0555555555555561E-3</v>
      </c>
      <c r="L484" s="13"/>
    </row>
    <row r="485" spans="1:12" x14ac:dyDescent="0.25">
      <c r="A485" s="3" t="s">
        <v>3586</v>
      </c>
      <c r="B485" s="3" t="s">
        <v>3739</v>
      </c>
      <c r="C485" s="3" t="s">
        <v>1162</v>
      </c>
      <c r="D485" s="9">
        <v>19.899999999999999</v>
      </c>
      <c r="E485" s="3"/>
      <c r="F485" s="3"/>
      <c r="G485" s="9"/>
      <c r="H485" s="10">
        <v>45666.326331018521</v>
      </c>
      <c r="I485" s="10">
        <v>45666.327581018522</v>
      </c>
      <c r="J485" s="10">
        <v>45666.330358796287</v>
      </c>
      <c r="K485" s="11">
        <v>2.7777777777777779E-3</v>
      </c>
      <c r="L485" s="13"/>
    </row>
    <row r="486" spans="1:12" x14ac:dyDescent="0.25">
      <c r="A486" s="3" t="s">
        <v>3586</v>
      </c>
      <c r="B486" s="3" t="s">
        <v>3740</v>
      </c>
      <c r="C486" s="3" t="s">
        <v>1175</v>
      </c>
      <c r="D486" s="9">
        <v>243.8</v>
      </c>
      <c r="E486" s="3"/>
      <c r="F486" s="3"/>
      <c r="G486" s="9"/>
      <c r="H486" s="10">
        <v>45666.379178240742</v>
      </c>
      <c r="I486" s="10">
        <v>45666.380046296297</v>
      </c>
      <c r="J486" s="10">
        <v>45666.383101851847</v>
      </c>
      <c r="K486" s="11">
        <v>3.0555555555555561E-3</v>
      </c>
      <c r="L486" s="13"/>
    </row>
    <row r="487" spans="1:12" x14ac:dyDescent="0.25">
      <c r="A487" s="3" t="s">
        <v>3586</v>
      </c>
      <c r="B487" s="3" t="s">
        <v>3741</v>
      </c>
      <c r="C487" s="3" t="s">
        <v>1186</v>
      </c>
      <c r="D487" s="9">
        <v>58.5</v>
      </c>
      <c r="E487" s="3"/>
      <c r="F487" s="3"/>
      <c r="G487" s="9"/>
      <c r="H487" s="10">
        <v>45666.641215277778</v>
      </c>
      <c r="I487" s="10">
        <v>45666.64199074074</v>
      </c>
      <c r="J487" s="10">
        <v>45666.644768518519</v>
      </c>
      <c r="K487" s="11">
        <v>2.7777777777777779E-3</v>
      </c>
      <c r="L487" s="13"/>
    </row>
    <row r="488" spans="1:12" x14ac:dyDescent="0.25">
      <c r="A488" s="3" t="s">
        <v>3586</v>
      </c>
      <c r="B488" s="3" t="s">
        <v>3742</v>
      </c>
      <c r="C488" s="3" t="s">
        <v>1193</v>
      </c>
      <c r="D488" s="9">
        <v>110.2</v>
      </c>
      <c r="E488" s="3"/>
      <c r="F488" s="3"/>
      <c r="G488" s="9"/>
      <c r="H488" s="10">
        <v>45666.646377314813</v>
      </c>
      <c r="I488" s="10">
        <v>45666.647476851853</v>
      </c>
      <c r="J488" s="10">
        <v>45666.65053240741</v>
      </c>
      <c r="K488" s="11">
        <v>3.0555555555555561E-3</v>
      </c>
      <c r="L488" s="13"/>
    </row>
    <row r="489" spans="1:12" x14ac:dyDescent="0.25">
      <c r="A489" s="3" t="s">
        <v>3586</v>
      </c>
      <c r="B489" s="3" t="s">
        <v>3743</v>
      </c>
      <c r="C489" s="3" t="s">
        <v>1195</v>
      </c>
      <c r="D489" s="9">
        <v>15.7</v>
      </c>
      <c r="E489" s="3"/>
      <c r="F489" s="3"/>
      <c r="G489" s="9"/>
      <c r="H489" s="10">
        <v>45666.647986111107</v>
      </c>
      <c r="I489" s="10">
        <v>45666.649236111109</v>
      </c>
      <c r="J489" s="10">
        <v>45666.652013888888</v>
      </c>
      <c r="K489" s="11">
        <v>2.7777777777777779E-3</v>
      </c>
      <c r="L489" s="13"/>
    </row>
    <row r="490" spans="1:12" x14ac:dyDescent="0.25">
      <c r="A490" s="3" t="s">
        <v>3586</v>
      </c>
      <c r="B490" s="3" t="s">
        <v>3744</v>
      </c>
      <c r="C490" s="3" t="s">
        <v>1200</v>
      </c>
      <c r="D490" s="9">
        <v>19.899999999999999</v>
      </c>
      <c r="E490" s="3"/>
      <c r="F490" s="3"/>
      <c r="G490" s="9"/>
      <c r="H490" s="10">
        <v>45666.757280092592</v>
      </c>
      <c r="I490" s="10">
        <v>45666.758148148147</v>
      </c>
      <c r="J490" s="10">
        <v>45666.761203703703</v>
      </c>
      <c r="K490" s="11">
        <v>3.0555555555555561E-3</v>
      </c>
      <c r="L490" s="13"/>
    </row>
    <row r="491" spans="1:12" x14ac:dyDescent="0.25">
      <c r="A491" s="3" t="s">
        <v>3586</v>
      </c>
      <c r="B491" s="3" t="s">
        <v>3745</v>
      </c>
      <c r="C491" s="3" t="s">
        <v>1202</v>
      </c>
      <c r="D491" s="9">
        <v>19.899999999999999</v>
      </c>
      <c r="E491" s="3"/>
      <c r="F491" s="3"/>
      <c r="G491" s="9"/>
      <c r="H491" s="10">
        <v>45666.759317129632</v>
      </c>
      <c r="I491" s="10">
        <v>45666.760104166657</v>
      </c>
      <c r="J491" s="10">
        <v>45666.762881944444</v>
      </c>
      <c r="K491" s="11">
        <v>2.7777777777777779E-3</v>
      </c>
      <c r="L491" s="13"/>
    </row>
    <row r="492" spans="1:12" x14ac:dyDescent="0.25">
      <c r="A492" s="3" t="s">
        <v>3586</v>
      </c>
      <c r="B492" s="3" t="s">
        <v>3746</v>
      </c>
      <c r="C492" s="3" t="s">
        <v>1204</v>
      </c>
      <c r="D492" s="9">
        <v>15.7</v>
      </c>
      <c r="E492" s="3"/>
      <c r="F492" s="3"/>
      <c r="G492" s="9"/>
      <c r="H492" s="10">
        <v>45666.761041666658</v>
      </c>
      <c r="I492" s="10">
        <v>45666.76190972222</v>
      </c>
      <c r="J492" s="10">
        <v>45666.764965277784</v>
      </c>
      <c r="K492" s="11">
        <v>3.0555555555555561E-3</v>
      </c>
      <c r="L492" s="13"/>
    </row>
    <row r="493" spans="1:12" x14ac:dyDescent="0.25">
      <c r="A493" s="3" t="s">
        <v>3586</v>
      </c>
      <c r="B493" s="3" t="s">
        <v>3747</v>
      </c>
      <c r="C493" s="3" t="s">
        <v>1209</v>
      </c>
      <c r="D493" s="9">
        <v>63</v>
      </c>
      <c r="E493" s="3"/>
      <c r="F493" s="3"/>
      <c r="G493" s="9"/>
      <c r="H493" s="10">
        <v>45666.764490740738</v>
      </c>
      <c r="I493" s="10">
        <v>45666.765289351853</v>
      </c>
      <c r="J493" s="10">
        <v>45666.768067129633</v>
      </c>
      <c r="K493" s="11">
        <v>2.7777777777777779E-3</v>
      </c>
      <c r="L493" s="13"/>
    </row>
    <row r="494" spans="1:12" x14ac:dyDescent="0.25">
      <c r="A494" s="3" t="s">
        <v>3586</v>
      </c>
      <c r="B494" s="3" t="s">
        <v>3748</v>
      </c>
      <c r="C494" s="3" t="s">
        <v>1211</v>
      </c>
      <c r="D494" s="9">
        <v>19.899999999999999</v>
      </c>
      <c r="E494" s="3"/>
      <c r="F494" s="3"/>
      <c r="G494" s="9"/>
      <c r="H494" s="10">
        <v>45666.765775462962</v>
      </c>
      <c r="I494" s="10">
        <v>45666.766643518517</v>
      </c>
      <c r="J494" s="10">
        <v>45666.769699074073</v>
      </c>
      <c r="K494" s="11">
        <v>3.0555555555555561E-3</v>
      </c>
      <c r="L494" s="13"/>
    </row>
    <row r="495" spans="1:12" x14ac:dyDescent="0.25">
      <c r="A495" s="3" t="s">
        <v>3586</v>
      </c>
      <c r="B495" s="3" t="s">
        <v>3749</v>
      </c>
      <c r="C495" s="3" t="s">
        <v>1219</v>
      </c>
      <c r="D495" s="9">
        <v>15.7</v>
      </c>
      <c r="E495" s="3"/>
      <c r="F495" s="3"/>
      <c r="G495" s="9"/>
      <c r="H495" s="10">
        <v>45666.770543981482</v>
      </c>
      <c r="I495" s="10">
        <v>45666.771435185183</v>
      </c>
      <c r="J495" s="10">
        <v>45666.77449074074</v>
      </c>
      <c r="K495" s="11">
        <v>3.0555555555555561E-3</v>
      </c>
      <c r="L495" s="13"/>
    </row>
    <row r="496" spans="1:12" x14ac:dyDescent="0.25">
      <c r="A496" s="3" t="s">
        <v>3586</v>
      </c>
      <c r="B496" s="3" t="s">
        <v>3750</v>
      </c>
      <c r="C496" s="3" t="s">
        <v>1227</v>
      </c>
      <c r="D496" s="9">
        <v>15.7</v>
      </c>
      <c r="E496" s="3"/>
      <c r="F496" s="3"/>
      <c r="G496" s="9"/>
      <c r="H496" s="10">
        <v>45666.775034722217</v>
      </c>
      <c r="I496" s="10">
        <v>45666.776226851849</v>
      </c>
      <c r="J496" s="10">
        <v>45666.779282407413</v>
      </c>
      <c r="K496" s="11">
        <v>3.0555555555555561E-3</v>
      </c>
      <c r="L496" s="13"/>
    </row>
    <row r="497" spans="1:12" x14ac:dyDescent="0.25">
      <c r="A497" s="3" t="s">
        <v>3586</v>
      </c>
      <c r="B497" s="3" t="s">
        <v>3751</v>
      </c>
      <c r="C497" s="3" t="s">
        <v>1232</v>
      </c>
      <c r="D497" s="9">
        <v>23.2</v>
      </c>
      <c r="E497" s="3"/>
      <c r="F497" s="3"/>
      <c r="G497" s="9"/>
      <c r="H497" s="10">
        <v>45666.778657407413</v>
      </c>
      <c r="I497" s="10">
        <v>45666.781018518523</v>
      </c>
      <c r="J497" s="10">
        <v>45666.784074074072</v>
      </c>
      <c r="K497" s="11">
        <v>3.0555555555555561E-3</v>
      </c>
      <c r="L497" s="13"/>
    </row>
    <row r="498" spans="1:12" x14ac:dyDescent="0.25">
      <c r="A498" s="3" t="s">
        <v>3586</v>
      </c>
      <c r="B498" s="3" t="s">
        <v>3752</v>
      </c>
      <c r="C498" s="3" t="s">
        <v>1234</v>
      </c>
      <c r="D498" s="9">
        <v>14</v>
      </c>
      <c r="E498" s="3"/>
      <c r="F498" s="3"/>
      <c r="G498" s="9"/>
      <c r="H498" s="10">
        <v>45666.780127314807</v>
      </c>
      <c r="I498" s="10">
        <v>45666.781226851846</v>
      </c>
      <c r="J498" s="10">
        <v>45666.784282407411</v>
      </c>
      <c r="K498" s="11">
        <v>3.0555555555555561E-3</v>
      </c>
      <c r="L498" s="13"/>
    </row>
    <row r="499" spans="1:12" x14ac:dyDescent="0.25">
      <c r="A499" s="3" t="s">
        <v>3586</v>
      </c>
      <c r="B499" s="3" t="s">
        <v>3753</v>
      </c>
      <c r="C499" s="3" t="s">
        <v>1236</v>
      </c>
      <c r="D499" s="9">
        <v>15.7</v>
      </c>
      <c r="E499" s="3"/>
      <c r="F499" s="3"/>
      <c r="G499" s="9"/>
      <c r="H499" s="10">
        <v>45666.781828703701</v>
      </c>
      <c r="I499" s="10">
        <v>45666.785810185182</v>
      </c>
      <c r="J499" s="10">
        <v>45666.788865740738</v>
      </c>
      <c r="K499" s="11">
        <v>3.0555555555555561E-3</v>
      </c>
      <c r="L499" s="13"/>
    </row>
    <row r="500" spans="1:12" x14ac:dyDescent="0.25">
      <c r="A500" s="3" t="s">
        <v>3586</v>
      </c>
      <c r="B500" s="3" t="s">
        <v>3754</v>
      </c>
      <c r="C500" s="3" t="s">
        <v>1238</v>
      </c>
      <c r="D500" s="9">
        <v>19.899999999999999</v>
      </c>
      <c r="E500" s="3"/>
      <c r="F500" s="3"/>
      <c r="G500" s="9"/>
      <c r="H500" s="10">
        <v>45666.783761574072</v>
      </c>
      <c r="I500" s="10">
        <v>45666.78601851852</v>
      </c>
      <c r="J500" s="10">
        <v>45666.789074074077</v>
      </c>
      <c r="K500" s="11">
        <v>3.0555555555555561E-3</v>
      </c>
      <c r="L500" s="13"/>
    </row>
    <row r="501" spans="1:12" x14ac:dyDescent="0.25">
      <c r="A501" s="3" t="s">
        <v>3586</v>
      </c>
      <c r="B501" s="3" t="s">
        <v>3755</v>
      </c>
      <c r="C501" s="3" t="s">
        <v>1243</v>
      </c>
      <c r="D501" s="9">
        <v>63</v>
      </c>
      <c r="E501" s="3"/>
      <c r="F501" s="3"/>
      <c r="G501" s="9"/>
      <c r="H501" s="10">
        <v>45666.786678240736</v>
      </c>
      <c r="I501" s="10">
        <v>45666.787638888891</v>
      </c>
      <c r="J501" s="10">
        <v>45666.790694444448</v>
      </c>
      <c r="K501" s="11">
        <v>3.0555555555555561E-3</v>
      </c>
      <c r="L501" s="13"/>
    </row>
    <row r="502" spans="1:12" x14ac:dyDescent="0.25">
      <c r="A502" s="3" t="s">
        <v>3586</v>
      </c>
      <c r="B502" s="3" t="s">
        <v>3756</v>
      </c>
      <c r="C502" s="3" t="s">
        <v>1245</v>
      </c>
      <c r="D502" s="9">
        <v>15.7</v>
      </c>
      <c r="E502" s="3"/>
      <c r="F502" s="3"/>
      <c r="G502" s="9"/>
      <c r="H502" s="10">
        <v>45666.788553240738</v>
      </c>
      <c r="I502" s="10">
        <v>45666.790439814817</v>
      </c>
      <c r="J502" s="10">
        <v>45666.793217592603</v>
      </c>
      <c r="K502" s="11">
        <v>2.7777777777777779E-3</v>
      </c>
      <c r="L502" s="13"/>
    </row>
    <row r="503" spans="1:12" x14ac:dyDescent="0.25">
      <c r="A503" s="3" t="s">
        <v>3586</v>
      </c>
      <c r="B503" s="3" t="s">
        <v>3757</v>
      </c>
      <c r="C503" s="3" t="s">
        <v>1247</v>
      </c>
      <c r="D503" s="9">
        <v>101.7</v>
      </c>
      <c r="E503" s="3"/>
      <c r="F503" s="3"/>
      <c r="G503" s="9"/>
      <c r="H503" s="10">
        <v>45666.790451388893</v>
      </c>
      <c r="I503" s="10">
        <v>45666.792372685188</v>
      </c>
      <c r="J503" s="10">
        <v>45666.795428240737</v>
      </c>
      <c r="K503" s="11">
        <v>3.0555555555555561E-3</v>
      </c>
      <c r="L503" s="13"/>
    </row>
    <row r="504" spans="1:12" x14ac:dyDescent="0.25">
      <c r="A504" s="3" t="s">
        <v>3586</v>
      </c>
      <c r="B504" s="3" t="s">
        <v>3758</v>
      </c>
      <c r="C504" s="3" t="s">
        <v>1254</v>
      </c>
      <c r="D504" s="9">
        <v>31.5</v>
      </c>
      <c r="E504" s="3"/>
      <c r="F504" s="3"/>
      <c r="G504" s="9"/>
      <c r="H504" s="10">
        <v>45666.854108796288</v>
      </c>
      <c r="I504" s="10">
        <v>45666.854942129627</v>
      </c>
      <c r="J504" s="10">
        <v>45666.857997685183</v>
      </c>
      <c r="K504" s="11">
        <v>3.0555555555555561E-3</v>
      </c>
      <c r="L504" s="13"/>
    </row>
    <row r="505" spans="1:12" x14ac:dyDescent="0.25">
      <c r="A505" s="3" t="s">
        <v>3586</v>
      </c>
      <c r="B505" s="3" t="s">
        <v>3759</v>
      </c>
      <c r="C505" s="3" t="s">
        <v>1259</v>
      </c>
      <c r="D505" s="9">
        <v>19.899999999999999</v>
      </c>
      <c r="E505" s="3"/>
      <c r="F505" s="3"/>
      <c r="G505" s="9"/>
      <c r="H505" s="10">
        <v>45666.857974537037</v>
      </c>
      <c r="I505" s="10">
        <v>45666.858831018522</v>
      </c>
      <c r="J505" s="10">
        <v>45666.861886574072</v>
      </c>
      <c r="K505" s="11">
        <v>3.0555555555555561E-3</v>
      </c>
      <c r="L505" s="13"/>
    </row>
    <row r="506" spans="1:12" x14ac:dyDescent="0.25">
      <c r="A506" s="3" t="s">
        <v>3586</v>
      </c>
      <c r="B506" s="3" t="s">
        <v>3760</v>
      </c>
      <c r="C506" s="3" t="s">
        <v>1261</v>
      </c>
      <c r="D506" s="9">
        <v>63</v>
      </c>
      <c r="E506" s="3"/>
      <c r="F506" s="3"/>
      <c r="G506" s="9"/>
      <c r="H506" s="10">
        <v>45666.860115740739</v>
      </c>
      <c r="I506" s="10">
        <v>45666.860902777778</v>
      </c>
      <c r="J506" s="10">
        <v>45666.863680555558</v>
      </c>
      <c r="K506" s="11">
        <v>2.7777777777777779E-3</v>
      </c>
      <c r="L506" s="13"/>
    </row>
    <row r="507" spans="1:12" x14ac:dyDescent="0.25">
      <c r="A507" s="3" t="s">
        <v>3586</v>
      </c>
      <c r="B507" s="3" t="s">
        <v>3761</v>
      </c>
      <c r="C507" s="3" t="s">
        <v>1266</v>
      </c>
      <c r="D507" s="9">
        <v>51.4</v>
      </c>
      <c r="E507" s="3"/>
      <c r="F507" s="3"/>
      <c r="G507" s="9"/>
      <c r="H507" s="10">
        <v>45666.863726851851</v>
      </c>
      <c r="I507" s="10">
        <v>45666.864594907413</v>
      </c>
      <c r="J507" s="10">
        <v>45666.867650462962</v>
      </c>
      <c r="K507" s="11">
        <v>3.0555555555555561E-3</v>
      </c>
      <c r="L507" s="13"/>
    </row>
    <row r="508" spans="1:12" x14ac:dyDescent="0.25">
      <c r="A508" s="3" t="s">
        <v>3586</v>
      </c>
      <c r="B508" s="3" t="s">
        <v>3762</v>
      </c>
      <c r="C508" s="3" t="s">
        <v>1268</v>
      </c>
      <c r="D508" s="9">
        <v>44</v>
      </c>
      <c r="E508" s="3"/>
      <c r="F508" s="3"/>
      <c r="G508" s="9"/>
      <c r="H508" s="10">
        <v>45667.125625000001</v>
      </c>
      <c r="I508" s="10">
        <v>45667.126493055563</v>
      </c>
      <c r="J508" s="10">
        <v>45667.129548611112</v>
      </c>
      <c r="K508" s="11">
        <v>3.0555555555555561E-3</v>
      </c>
      <c r="L508" s="13"/>
    </row>
    <row r="509" spans="1:12" x14ac:dyDescent="0.25">
      <c r="A509" s="3" t="s">
        <v>3586</v>
      </c>
      <c r="B509" s="3" t="s">
        <v>3763</v>
      </c>
      <c r="C509" s="3" t="s">
        <v>1270</v>
      </c>
      <c r="D509" s="9">
        <v>47.2</v>
      </c>
      <c r="E509" s="3"/>
      <c r="F509" s="3"/>
      <c r="G509" s="9"/>
      <c r="H509" s="10">
        <v>45667.127604166657</v>
      </c>
      <c r="I509" s="10">
        <v>45667.128449074073</v>
      </c>
      <c r="J509" s="10">
        <v>45667.131504629629</v>
      </c>
      <c r="K509" s="11">
        <v>3.0555555555555561E-3</v>
      </c>
      <c r="L509" s="13"/>
    </row>
    <row r="510" spans="1:12" x14ac:dyDescent="0.25">
      <c r="A510" s="3" t="s">
        <v>3586</v>
      </c>
      <c r="B510" s="3" t="s">
        <v>3764</v>
      </c>
      <c r="C510" s="3" t="s">
        <v>1272</v>
      </c>
      <c r="D510" s="9">
        <v>182.4</v>
      </c>
      <c r="E510" s="3"/>
      <c r="F510" s="3"/>
      <c r="G510" s="9"/>
      <c r="H510" s="10">
        <v>45667.129942129628</v>
      </c>
      <c r="I510" s="10">
        <v>45667.130787037036</v>
      </c>
      <c r="J510" s="10">
        <v>45667.133842592593</v>
      </c>
      <c r="K510" s="11">
        <v>3.0555555555555561E-3</v>
      </c>
      <c r="L510" s="13"/>
    </row>
    <row r="511" spans="1:12" x14ac:dyDescent="0.25">
      <c r="A511" s="3" t="s">
        <v>3586</v>
      </c>
      <c r="B511" s="3" t="s">
        <v>3765</v>
      </c>
      <c r="C511" s="3" t="s">
        <v>1274</v>
      </c>
      <c r="D511" s="9">
        <v>35.6</v>
      </c>
      <c r="E511" s="3"/>
      <c r="F511" s="3"/>
      <c r="G511" s="9"/>
      <c r="H511" s="10">
        <v>45667.131747685176</v>
      </c>
      <c r="I511" s="10">
        <v>45667.132615740738</v>
      </c>
      <c r="J511" s="10">
        <v>45667.135671296302</v>
      </c>
      <c r="K511" s="11">
        <v>3.0555555555555561E-3</v>
      </c>
      <c r="L511" s="13"/>
    </row>
    <row r="512" spans="1:12" x14ac:dyDescent="0.25">
      <c r="A512" s="3" t="s">
        <v>3586</v>
      </c>
      <c r="B512" s="3" t="s">
        <v>3766</v>
      </c>
      <c r="C512" s="3" t="s">
        <v>1276</v>
      </c>
      <c r="D512" s="9">
        <v>219.5</v>
      </c>
      <c r="E512" s="3"/>
      <c r="F512" s="3"/>
      <c r="G512" s="9"/>
      <c r="H512" s="10">
        <v>45667.198078703703</v>
      </c>
      <c r="I512" s="10">
        <v>45667.198935185188</v>
      </c>
      <c r="J512" s="10">
        <v>45667.201990740738</v>
      </c>
      <c r="K512" s="11">
        <v>3.0555555555555561E-3</v>
      </c>
      <c r="L512" s="13"/>
    </row>
    <row r="513" spans="1:12" x14ac:dyDescent="0.25">
      <c r="A513" s="3" t="s">
        <v>3586</v>
      </c>
      <c r="B513" s="3" t="s">
        <v>3767</v>
      </c>
      <c r="C513" s="3" t="s">
        <v>1278</v>
      </c>
      <c r="D513" s="9">
        <v>298</v>
      </c>
      <c r="E513" s="3"/>
      <c r="F513" s="3"/>
      <c r="G513" s="9"/>
      <c r="H513" s="10">
        <v>45667.25072916667</v>
      </c>
      <c r="I513" s="10">
        <v>45667.251597222217</v>
      </c>
      <c r="J513" s="10">
        <v>45667.254652777781</v>
      </c>
      <c r="K513" s="11">
        <v>3.0555555555555561E-3</v>
      </c>
      <c r="L513" s="13"/>
    </row>
    <row r="514" spans="1:12" x14ac:dyDescent="0.25">
      <c r="A514" s="3" t="s">
        <v>3586</v>
      </c>
      <c r="B514" s="3" t="s">
        <v>3768</v>
      </c>
      <c r="C514" s="3" t="s">
        <v>1283</v>
      </c>
      <c r="D514" s="9">
        <v>15.7</v>
      </c>
      <c r="E514" s="3"/>
      <c r="F514" s="3"/>
      <c r="G514" s="9"/>
      <c r="H514" s="10">
        <v>45667.298159722217</v>
      </c>
      <c r="I514" s="10">
        <v>45667.298993055563</v>
      </c>
      <c r="J514" s="10">
        <v>45667.302048611113</v>
      </c>
      <c r="K514" s="11">
        <v>3.0555555555555561E-3</v>
      </c>
      <c r="L514" s="13"/>
    </row>
    <row r="515" spans="1:12" x14ac:dyDescent="0.25">
      <c r="A515" s="3" t="s">
        <v>3586</v>
      </c>
      <c r="B515" s="3" t="s">
        <v>3769</v>
      </c>
      <c r="C515" s="3" t="s">
        <v>1285</v>
      </c>
      <c r="D515" s="9">
        <v>94.4</v>
      </c>
      <c r="E515" s="3"/>
      <c r="F515" s="3"/>
      <c r="G515" s="9"/>
      <c r="H515" s="10">
        <v>45667.299618055556</v>
      </c>
      <c r="I515" s="10">
        <v>45667.300486111111</v>
      </c>
      <c r="J515" s="10">
        <v>45667.303541666668</v>
      </c>
      <c r="K515" s="11">
        <v>3.0555555555555561E-3</v>
      </c>
      <c r="L515" s="13"/>
    </row>
    <row r="516" spans="1:12" x14ac:dyDescent="0.25">
      <c r="A516" s="3" t="s">
        <v>3586</v>
      </c>
      <c r="B516" s="3" t="s">
        <v>3770</v>
      </c>
      <c r="C516" s="3" t="s">
        <v>1287</v>
      </c>
      <c r="D516" s="9">
        <v>124.4</v>
      </c>
      <c r="E516" s="3"/>
      <c r="F516" s="3"/>
      <c r="G516" s="9"/>
      <c r="H516" s="10">
        <v>45667.30159722222</v>
      </c>
      <c r="I516" s="10">
        <v>45667.302465277768</v>
      </c>
      <c r="J516" s="10">
        <v>45667.305520833332</v>
      </c>
      <c r="K516" s="11">
        <v>3.0555555555555561E-3</v>
      </c>
      <c r="L516" s="13"/>
    </row>
    <row r="517" spans="1:12" x14ac:dyDescent="0.25">
      <c r="A517" s="3" t="s">
        <v>3586</v>
      </c>
      <c r="B517" s="3" t="s">
        <v>3771</v>
      </c>
      <c r="C517" s="3" t="s">
        <v>1292</v>
      </c>
      <c r="D517" s="9">
        <v>36.4</v>
      </c>
      <c r="E517" s="3"/>
      <c r="F517" s="3"/>
      <c r="G517" s="9"/>
      <c r="H517" s="10">
        <v>45667.304837962962</v>
      </c>
      <c r="I517" s="10">
        <v>45667.306469907409</v>
      </c>
      <c r="J517" s="10">
        <v>45667.309247685182</v>
      </c>
      <c r="K517" s="11">
        <v>2.7777777777777779E-3</v>
      </c>
      <c r="L517" s="13"/>
    </row>
    <row r="518" spans="1:12" x14ac:dyDescent="0.25">
      <c r="A518" s="3" t="s">
        <v>3586</v>
      </c>
      <c r="B518" s="3" t="s">
        <v>3772</v>
      </c>
      <c r="C518" s="3" t="s">
        <v>1300</v>
      </c>
      <c r="D518" s="9">
        <v>19.899999999999999</v>
      </c>
      <c r="E518" s="3"/>
      <c r="F518" s="3"/>
      <c r="G518" s="9"/>
      <c r="H518" s="10">
        <v>45667.310104166667</v>
      </c>
      <c r="I518" s="10">
        <v>45667.310879629629</v>
      </c>
      <c r="J518" s="10">
        <v>45667.313657407409</v>
      </c>
      <c r="K518" s="11">
        <v>2.7777777777777779E-3</v>
      </c>
      <c r="L518" s="13"/>
    </row>
    <row r="519" spans="1:12" x14ac:dyDescent="0.25">
      <c r="A519" s="3" t="s">
        <v>3586</v>
      </c>
      <c r="B519" s="3" t="s">
        <v>3773</v>
      </c>
      <c r="C519" s="3" t="s">
        <v>1340</v>
      </c>
      <c r="D519" s="9">
        <v>37.5</v>
      </c>
      <c r="E519" s="3"/>
      <c r="F519" s="3"/>
      <c r="G519" s="9"/>
      <c r="H519" s="10">
        <v>45667.38685185185</v>
      </c>
      <c r="I519" s="10">
        <v>45667.387638888889</v>
      </c>
      <c r="J519" s="10">
        <v>45667.390416666669</v>
      </c>
      <c r="K519" s="11">
        <v>2.7777777777777779E-3</v>
      </c>
      <c r="L519" s="13"/>
    </row>
    <row r="520" spans="1:12" x14ac:dyDescent="0.25">
      <c r="A520" s="3" t="s">
        <v>3586</v>
      </c>
      <c r="B520" s="3" t="s">
        <v>3774</v>
      </c>
      <c r="C520" s="3" t="s">
        <v>1342</v>
      </c>
      <c r="D520" s="9">
        <v>93.8</v>
      </c>
      <c r="E520" s="3"/>
      <c r="F520" s="3"/>
      <c r="G520" s="9"/>
      <c r="H520" s="10">
        <v>45667.388425925928</v>
      </c>
      <c r="I520" s="10">
        <v>45667.389270833337</v>
      </c>
      <c r="J520" s="10">
        <v>45667.392326388886</v>
      </c>
      <c r="K520" s="11">
        <v>3.0555555555555561E-3</v>
      </c>
      <c r="L520" s="13"/>
    </row>
    <row r="521" spans="1:12" x14ac:dyDescent="0.25">
      <c r="A521" s="3" t="s">
        <v>3586</v>
      </c>
      <c r="B521" s="3" t="s">
        <v>3775</v>
      </c>
      <c r="C521" s="3" t="s">
        <v>1313</v>
      </c>
      <c r="D521" s="9">
        <v>15.7</v>
      </c>
      <c r="E521" s="3"/>
      <c r="F521" s="3"/>
      <c r="G521" s="9"/>
      <c r="H521" s="10">
        <v>45667.394270833327</v>
      </c>
      <c r="I521" s="10">
        <v>45667.395057870373</v>
      </c>
      <c r="J521" s="10">
        <v>45667.397835648153</v>
      </c>
      <c r="K521" s="11">
        <v>2.7777777777777779E-3</v>
      </c>
      <c r="L521" s="13"/>
    </row>
    <row r="522" spans="1:12" x14ac:dyDescent="0.25">
      <c r="A522" s="3" t="s">
        <v>3586</v>
      </c>
      <c r="B522" s="3" t="s">
        <v>3776</v>
      </c>
      <c r="C522" s="3" t="s">
        <v>1315</v>
      </c>
      <c r="D522" s="9">
        <v>12</v>
      </c>
      <c r="E522" s="3"/>
      <c r="F522" s="3"/>
      <c r="G522" s="9"/>
      <c r="H522" s="10">
        <v>45667.395520833343</v>
      </c>
      <c r="I522" s="10">
        <v>45667.397233796299</v>
      </c>
      <c r="J522" s="10">
        <v>45667.400289351863</v>
      </c>
      <c r="K522" s="11">
        <v>3.0555555555555561E-3</v>
      </c>
      <c r="L522" s="13"/>
    </row>
    <row r="523" spans="1:12" x14ac:dyDescent="0.25">
      <c r="A523" s="3" t="s">
        <v>3586</v>
      </c>
      <c r="B523" s="3" t="s">
        <v>3777</v>
      </c>
      <c r="C523" s="3" t="s">
        <v>1323</v>
      </c>
      <c r="D523" s="9">
        <v>109.4</v>
      </c>
      <c r="E523" s="3"/>
      <c r="F523" s="3"/>
      <c r="G523" s="9"/>
      <c r="H523" s="10">
        <v>45667.400648148148</v>
      </c>
      <c r="I523" s="10">
        <v>45667.402384259258</v>
      </c>
      <c r="J523" s="10">
        <v>45667.405162037037</v>
      </c>
      <c r="K523" s="11">
        <v>2.7777777777777779E-3</v>
      </c>
      <c r="L523" s="13"/>
    </row>
    <row r="524" spans="1:12" x14ac:dyDescent="0.25">
      <c r="A524" s="3" t="s">
        <v>3586</v>
      </c>
      <c r="B524" s="3" t="s">
        <v>3778</v>
      </c>
      <c r="C524" s="3" t="s">
        <v>1325</v>
      </c>
      <c r="D524" s="9">
        <v>19.899999999999999</v>
      </c>
      <c r="E524" s="3"/>
      <c r="F524" s="3"/>
      <c r="G524" s="9"/>
      <c r="H524" s="10">
        <v>45667.40179398148</v>
      </c>
      <c r="I524" s="10">
        <v>45667.40520833333</v>
      </c>
      <c r="J524" s="10">
        <v>45667.408263888887</v>
      </c>
      <c r="K524" s="11">
        <v>3.0555555555555561E-3</v>
      </c>
      <c r="L524" s="13"/>
    </row>
    <row r="525" spans="1:12" x14ac:dyDescent="0.25">
      <c r="A525" s="3" t="s">
        <v>3586</v>
      </c>
      <c r="B525" s="3" t="s">
        <v>3779</v>
      </c>
      <c r="C525" s="3" t="s">
        <v>1330</v>
      </c>
      <c r="D525" s="9">
        <v>58.5</v>
      </c>
      <c r="E525" s="3"/>
      <c r="F525" s="3"/>
      <c r="G525" s="9"/>
      <c r="H525" s="10">
        <v>45667.405925925923</v>
      </c>
      <c r="I525" s="10">
        <v>45667.409710648149</v>
      </c>
      <c r="J525" s="10">
        <v>45667.412488425929</v>
      </c>
      <c r="K525" s="11">
        <v>2.7777777777777779E-3</v>
      </c>
      <c r="L525" s="13"/>
    </row>
    <row r="526" spans="1:12" x14ac:dyDescent="0.25">
      <c r="A526" s="3" t="s">
        <v>3586</v>
      </c>
      <c r="B526" s="3" t="s">
        <v>3780</v>
      </c>
      <c r="C526" s="3" t="s">
        <v>1335</v>
      </c>
      <c r="D526" s="9">
        <v>19.899999999999999</v>
      </c>
      <c r="E526" s="3"/>
      <c r="F526" s="3"/>
      <c r="G526" s="9"/>
      <c r="H526" s="10">
        <v>45667.409224537027</v>
      </c>
      <c r="I526" s="10">
        <v>45667.413182870368</v>
      </c>
      <c r="J526" s="10">
        <v>45667.416238425933</v>
      </c>
      <c r="K526" s="11">
        <v>3.0555555555555561E-3</v>
      </c>
      <c r="L526" s="13"/>
    </row>
    <row r="527" spans="1:12" x14ac:dyDescent="0.25">
      <c r="A527" s="3" t="s">
        <v>3586</v>
      </c>
      <c r="B527" s="3" t="s">
        <v>3781</v>
      </c>
      <c r="C527" s="3" t="s">
        <v>1348</v>
      </c>
      <c r="D527" s="9">
        <v>23.2</v>
      </c>
      <c r="E527" s="3"/>
      <c r="F527" s="3"/>
      <c r="G527" s="9"/>
      <c r="H527" s="10">
        <v>45667.598032407397</v>
      </c>
      <c r="I527" s="10">
        <v>45667.598865740743</v>
      </c>
      <c r="J527" s="10">
        <v>45667.601921296293</v>
      </c>
      <c r="K527" s="11">
        <v>3.0555555555555561E-3</v>
      </c>
      <c r="L527" s="13"/>
    </row>
    <row r="528" spans="1:12" x14ac:dyDescent="0.25">
      <c r="A528" s="3" t="s">
        <v>3586</v>
      </c>
      <c r="B528" s="3" t="s">
        <v>3782</v>
      </c>
      <c r="C528" s="3" t="s">
        <v>1356</v>
      </c>
      <c r="D528" s="9">
        <v>39.799999999999997</v>
      </c>
      <c r="E528" s="3"/>
      <c r="F528" s="3"/>
      <c r="G528" s="9"/>
      <c r="H528" s="10">
        <v>45667.760416666657</v>
      </c>
      <c r="I528" s="10">
        <v>45667.761250000003</v>
      </c>
      <c r="J528" s="10">
        <v>45667.764305555553</v>
      </c>
      <c r="K528" s="11">
        <v>3.0555555555555561E-3</v>
      </c>
      <c r="L528" s="13"/>
    </row>
    <row r="529" spans="1:12" x14ac:dyDescent="0.25">
      <c r="A529" s="3" t="s">
        <v>3586</v>
      </c>
      <c r="B529" s="3" t="s">
        <v>3783</v>
      </c>
      <c r="C529" s="3" t="s">
        <v>1367</v>
      </c>
      <c r="D529" s="9">
        <v>94.4</v>
      </c>
      <c r="E529" s="3"/>
      <c r="F529" s="3"/>
      <c r="G529" s="9"/>
      <c r="H529" s="10">
        <v>45667.76834490741</v>
      </c>
      <c r="I529" s="10">
        <v>45667.769189814811</v>
      </c>
      <c r="J529" s="10">
        <v>45667.772245370368</v>
      </c>
      <c r="K529" s="11">
        <v>3.0555555555555561E-3</v>
      </c>
      <c r="L529" s="13"/>
    </row>
    <row r="530" spans="1:12" x14ac:dyDescent="0.25">
      <c r="A530" s="3" t="s">
        <v>3586</v>
      </c>
      <c r="B530" s="3" t="s">
        <v>3784</v>
      </c>
      <c r="C530" s="3" t="s">
        <v>1369</v>
      </c>
      <c r="D530" s="9">
        <v>14</v>
      </c>
      <c r="E530" s="3"/>
      <c r="F530" s="3"/>
      <c r="G530" s="9"/>
      <c r="H530" s="10">
        <v>45667.769814814812</v>
      </c>
      <c r="I530" s="10">
        <v>45667.770590277767</v>
      </c>
      <c r="J530" s="10">
        <v>45667.773368055547</v>
      </c>
      <c r="K530" s="11">
        <v>2.7777777777777779E-3</v>
      </c>
      <c r="L530" s="13"/>
    </row>
    <row r="531" spans="1:12" x14ac:dyDescent="0.25">
      <c r="A531" s="3" t="s">
        <v>3586</v>
      </c>
      <c r="B531" s="3" t="s">
        <v>3785</v>
      </c>
      <c r="C531" s="3" t="s">
        <v>1371</v>
      </c>
      <c r="D531" s="9">
        <v>19.899999999999999</v>
      </c>
      <c r="E531" s="3"/>
      <c r="F531" s="3"/>
      <c r="G531" s="9"/>
      <c r="H531" s="10">
        <v>45667.771296296298</v>
      </c>
      <c r="I531" s="10">
        <v>45667.773946759262</v>
      </c>
      <c r="J531" s="10">
        <v>45667.777002314811</v>
      </c>
      <c r="K531" s="11">
        <v>3.0555555555555561E-3</v>
      </c>
      <c r="L531" s="13"/>
    </row>
    <row r="532" spans="1:12" x14ac:dyDescent="0.25">
      <c r="A532" s="3" t="s">
        <v>3586</v>
      </c>
      <c r="B532" s="3" t="s">
        <v>3786</v>
      </c>
      <c r="C532" s="3" t="s">
        <v>1373</v>
      </c>
      <c r="D532" s="9">
        <v>19.899999999999999</v>
      </c>
      <c r="E532" s="3"/>
      <c r="F532" s="3"/>
      <c r="G532" s="9"/>
      <c r="H532" s="10">
        <v>45667.772430555553</v>
      </c>
      <c r="I532" s="10">
        <v>45667.774907407409</v>
      </c>
      <c r="J532" s="10">
        <v>45667.777685185189</v>
      </c>
      <c r="K532" s="11">
        <v>2.7777777777777779E-3</v>
      </c>
      <c r="L532" s="13"/>
    </row>
    <row r="533" spans="1:12" x14ac:dyDescent="0.25">
      <c r="A533" s="3" t="s">
        <v>3586</v>
      </c>
      <c r="B533" s="3" t="s">
        <v>3787</v>
      </c>
      <c r="C533" s="3" t="s">
        <v>1378</v>
      </c>
      <c r="D533" s="9">
        <v>15.7</v>
      </c>
      <c r="E533" s="3"/>
      <c r="F533" s="3"/>
      <c r="G533" s="9"/>
      <c r="H533" s="10">
        <v>45667.776041666657</v>
      </c>
      <c r="I533" s="10">
        <v>45667.779224537036</v>
      </c>
      <c r="J533" s="10">
        <v>45667.782002314823</v>
      </c>
      <c r="K533" s="11">
        <v>2.7777777777777779E-3</v>
      </c>
      <c r="L533" s="13"/>
    </row>
    <row r="534" spans="1:12" x14ac:dyDescent="0.25">
      <c r="A534" s="3" t="s">
        <v>3586</v>
      </c>
      <c r="B534" s="3" t="s">
        <v>3788</v>
      </c>
      <c r="C534" s="3" t="s">
        <v>1383</v>
      </c>
      <c r="D534" s="9">
        <v>80.7</v>
      </c>
      <c r="E534" s="3"/>
      <c r="F534" s="3"/>
      <c r="G534" s="9"/>
      <c r="H534" s="10">
        <v>45667.779398148137</v>
      </c>
      <c r="I534" s="10">
        <v>45667.783553240741</v>
      </c>
      <c r="J534" s="10">
        <v>45667.78633101852</v>
      </c>
      <c r="K534" s="11">
        <v>2.7777777777777779E-3</v>
      </c>
      <c r="L534" s="13"/>
    </row>
    <row r="535" spans="1:12" x14ac:dyDescent="0.25">
      <c r="A535" s="3" t="s">
        <v>3586</v>
      </c>
      <c r="B535" s="3" t="s">
        <v>3789</v>
      </c>
      <c r="C535" s="3" t="s">
        <v>1395</v>
      </c>
      <c r="D535" s="9">
        <v>27</v>
      </c>
      <c r="E535" s="3"/>
      <c r="F535" s="3"/>
      <c r="G535" s="9"/>
      <c r="H535" s="10">
        <v>45667.864884259259</v>
      </c>
      <c r="I535" s="10">
        <v>45667.865729166668</v>
      </c>
      <c r="J535" s="10">
        <v>45667.868784722217</v>
      </c>
      <c r="K535" s="11">
        <v>3.0555555555555561E-3</v>
      </c>
      <c r="L535" s="13"/>
    </row>
    <row r="536" spans="1:12" x14ac:dyDescent="0.25">
      <c r="A536" s="3" t="s">
        <v>3586</v>
      </c>
      <c r="B536" s="3" t="s">
        <v>3790</v>
      </c>
      <c r="C536" s="3" t="s">
        <v>1397</v>
      </c>
      <c r="D536" s="9">
        <v>43.1</v>
      </c>
      <c r="E536" s="3"/>
      <c r="F536" s="3"/>
      <c r="G536" s="9"/>
      <c r="H536" s="10">
        <v>45667.866701388892</v>
      </c>
      <c r="I536" s="10">
        <v>45667.867569444446</v>
      </c>
      <c r="J536" s="10">
        <v>45667.870625000003</v>
      </c>
      <c r="K536" s="11">
        <v>3.0555555555555561E-3</v>
      </c>
      <c r="L536" s="13"/>
    </row>
    <row r="537" spans="1:12" x14ac:dyDescent="0.25">
      <c r="A537" s="3" t="s">
        <v>3586</v>
      </c>
      <c r="B537" s="3" t="s">
        <v>3791</v>
      </c>
      <c r="C537" s="3" t="s">
        <v>1405</v>
      </c>
      <c r="D537" s="9">
        <v>47.2</v>
      </c>
      <c r="E537" s="3"/>
      <c r="F537" s="3"/>
      <c r="G537" s="9"/>
      <c r="H537" s="10">
        <v>45668.219965277778</v>
      </c>
      <c r="I537" s="10">
        <v>45668.220833333333</v>
      </c>
      <c r="J537" s="10">
        <v>45668.22388888889</v>
      </c>
      <c r="K537" s="11">
        <v>3.0555555555555561E-3</v>
      </c>
      <c r="L537" s="13"/>
    </row>
    <row r="538" spans="1:12" x14ac:dyDescent="0.25">
      <c r="A538" s="3" t="s">
        <v>3586</v>
      </c>
      <c r="B538" s="3" t="s">
        <v>3792</v>
      </c>
      <c r="C538" s="3" t="s">
        <v>1407</v>
      </c>
      <c r="D538" s="9">
        <v>16.5</v>
      </c>
      <c r="E538" s="3"/>
      <c r="F538" s="3"/>
      <c r="G538" s="9"/>
      <c r="H538" s="10">
        <v>45668.221990740742</v>
      </c>
      <c r="I538" s="10">
        <v>45668.222754629627</v>
      </c>
      <c r="J538" s="10">
        <v>45668.225532407407</v>
      </c>
      <c r="K538" s="11">
        <v>2.7777777777777779E-3</v>
      </c>
      <c r="L538" s="13"/>
    </row>
    <row r="539" spans="1:12" x14ac:dyDescent="0.25">
      <c r="A539" s="3" t="s">
        <v>3586</v>
      </c>
      <c r="B539" s="3" t="s">
        <v>3793</v>
      </c>
      <c r="C539" s="3" t="s">
        <v>1412</v>
      </c>
      <c r="D539" s="9">
        <v>40.9</v>
      </c>
      <c r="E539" s="3"/>
      <c r="F539" s="3"/>
      <c r="G539" s="9"/>
      <c r="H539" s="10">
        <v>45668.243252314824</v>
      </c>
      <c r="I539" s="10">
        <v>45668.244085648148</v>
      </c>
      <c r="J539" s="10">
        <v>45668.247141203698</v>
      </c>
      <c r="K539" s="11">
        <v>3.0555555555555561E-3</v>
      </c>
      <c r="L539" s="13"/>
    </row>
    <row r="540" spans="1:12" x14ac:dyDescent="0.25">
      <c r="A540" s="3" t="s">
        <v>3586</v>
      </c>
      <c r="B540" s="3" t="s">
        <v>3794</v>
      </c>
      <c r="C540" s="3" t="s">
        <v>1420</v>
      </c>
      <c r="D540" s="9">
        <v>21</v>
      </c>
      <c r="E540" s="3"/>
      <c r="F540" s="3"/>
      <c r="G540" s="9"/>
      <c r="H540" s="10">
        <v>45668.249108796299</v>
      </c>
      <c r="I540" s="10">
        <v>45668.249895833331</v>
      </c>
      <c r="J540" s="10">
        <v>45668.25267361111</v>
      </c>
      <c r="K540" s="11">
        <v>2.7777777777777779E-3</v>
      </c>
      <c r="L540" s="13"/>
    </row>
    <row r="541" spans="1:12" x14ac:dyDescent="0.25">
      <c r="A541" s="3" t="s">
        <v>3586</v>
      </c>
      <c r="B541" s="3" t="s">
        <v>3795</v>
      </c>
      <c r="C541" s="3" t="s">
        <v>1422</v>
      </c>
      <c r="D541" s="9">
        <v>173.3</v>
      </c>
      <c r="E541" s="3"/>
      <c r="F541" s="3"/>
      <c r="G541" s="9"/>
      <c r="H541" s="10">
        <v>45669.752106481479</v>
      </c>
      <c r="I541" s="10">
        <v>45669.752974537027</v>
      </c>
      <c r="J541" s="10">
        <v>45669.756030092591</v>
      </c>
      <c r="K541" s="11">
        <v>3.0555555555555561E-3</v>
      </c>
      <c r="L541" s="13"/>
    </row>
    <row r="542" spans="1:12" x14ac:dyDescent="0.25">
      <c r="A542" s="3" t="s">
        <v>3586</v>
      </c>
      <c r="B542" s="3" t="s">
        <v>3796</v>
      </c>
      <c r="C542" s="3" t="s">
        <v>1436</v>
      </c>
      <c r="D542" s="9">
        <v>165.8</v>
      </c>
      <c r="E542" s="3"/>
      <c r="F542" s="3"/>
      <c r="G542" s="9"/>
      <c r="H542" s="10">
        <v>45670.113657407397</v>
      </c>
      <c r="I542" s="10">
        <v>45670.11451388889</v>
      </c>
      <c r="J542" s="10">
        <v>45670.117569444446</v>
      </c>
      <c r="K542" s="11">
        <v>3.0555555555555561E-3</v>
      </c>
      <c r="L542" s="13"/>
    </row>
    <row r="543" spans="1:12" x14ac:dyDescent="0.25">
      <c r="A543" s="3" t="s">
        <v>3586</v>
      </c>
      <c r="B543" s="3" t="s">
        <v>3797</v>
      </c>
      <c r="C543" s="3" t="s">
        <v>1453</v>
      </c>
      <c r="D543" s="9">
        <v>15.7</v>
      </c>
      <c r="E543" s="3"/>
      <c r="F543" s="3"/>
      <c r="G543" s="9"/>
      <c r="H543" s="10">
        <v>45670.330520833333</v>
      </c>
      <c r="I543" s="10">
        <v>45670.331388888888</v>
      </c>
      <c r="J543" s="10">
        <v>45670.334444444437</v>
      </c>
      <c r="K543" s="11">
        <v>3.0555555555555561E-3</v>
      </c>
      <c r="L543" s="13"/>
    </row>
    <row r="544" spans="1:12" x14ac:dyDescent="0.25">
      <c r="A544" s="3" t="s">
        <v>3586</v>
      </c>
      <c r="B544" s="3" t="s">
        <v>3798</v>
      </c>
      <c r="C544" s="3" t="s">
        <v>1458</v>
      </c>
      <c r="D544" s="9">
        <v>23.2</v>
      </c>
      <c r="E544" s="3"/>
      <c r="F544" s="3"/>
      <c r="G544" s="9"/>
      <c r="H544" s="10">
        <v>45670.333333333343</v>
      </c>
      <c r="I544" s="10">
        <v>45670.336111111108</v>
      </c>
      <c r="J544" s="10">
        <v>45670.339166666658</v>
      </c>
      <c r="K544" s="11">
        <v>3.0555555555555561E-3</v>
      </c>
      <c r="L544" s="13"/>
    </row>
    <row r="545" spans="1:12" x14ac:dyDescent="0.25">
      <c r="A545" s="3" t="s">
        <v>3586</v>
      </c>
      <c r="B545" s="3" t="s">
        <v>3799</v>
      </c>
      <c r="C545" s="3" t="s">
        <v>1460</v>
      </c>
      <c r="D545" s="9">
        <v>79.599999999999994</v>
      </c>
      <c r="E545" s="3"/>
      <c r="F545" s="3"/>
      <c r="G545" s="9"/>
      <c r="H545" s="10">
        <v>45670.334976851853</v>
      </c>
      <c r="I545" s="10">
        <v>45670.336180555547</v>
      </c>
      <c r="J545" s="10">
        <v>45670.339236111111</v>
      </c>
      <c r="K545" s="11">
        <v>3.0555555555555561E-3</v>
      </c>
      <c r="L545" s="13"/>
    </row>
    <row r="546" spans="1:12" x14ac:dyDescent="0.25">
      <c r="A546" s="3" t="s">
        <v>3586</v>
      </c>
      <c r="B546" s="3" t="s">
        <v>3800</v>
      </c>
      <c r="C546" s="3" t="s">
        <v>1468</v>
      </c>
      <c r="D546" s="9">
        <v>27</v>
      </c>
      <c r="E546" s="3"/>
      <c r="F546" s="3"/>
      <c r="G546" s="9"/>
      <c r="H546" s="10">
        <v>45670.340451388889</v>
      </c>
      <c r="I546" s="10">
        <v>45670.342974537038</v>
      </c>
      <c r="J546" s="10">
        <v>45670.345752314817</v>
      </c>
      <c r="K546" s="11">
        <v>2.7777777777777779E-3</v>
      </c>
      <c r="L546" s="13"/>
    </row>
    <row r="547" spans="1:12" x14ac:dyDescent="0.25">
      <c r="A547" s="3" t="s">
        <v>3586</v>
      </c>
      <c r="B547" s="3" t="s">
        <v>3801</v>
      </c>
      <c r="C547" s="3" t="s">
        <v>1473</v>
      </c>
      <c r="D547" s="9">
        <v>23.2</v>
      </c>
      <c r="E547" s="3"/>
      <c r="F547" s="3"/>
      <c r="G547" s="9"/>
      <c r="H547" s="10">
        <v>45670.343773148154</v>
      </c>
      <c r="I547" s="10">
        <v>45670.344641203701</v>
      </c>
      <c r="J547" s="10">
        <v>45670.347696759258</v>
      </c>
      <c r="K547" s="11">
        <v>3.0555555555555561E-3</v>
      </c>
      <c r="L547" s="13"/>
    </row>
    <row r="548" spans="1:12" x14ac:dyDescent="0.25">
      <c r="A548" s="3" t="s">
        <v>3586</v>
      </c>
      <c r="B548" s="3" t="s">
        <v>3802</v>
      </c>
      <c r="C548" s="3" t="s">
        <v>1475</v>
      </c>
      <c r="D548" s="9">
        <v>108</v>
      </c>
      <c r="E548" s="3"/>
      <c r="F548" s="3"/>
      <c r="G548" s="9"/>
      <c r="H548" s="10">
        <v>45670.345706018517</v>
      </c>
      <c r="I548" s="10">
        <v>45670.346550925933</v>
      </c>
      <c r="J548" s="10">
        <v>45670.349606481483</v>
      </c>
      <c r="K548" s="11">
        <v>3.0555555555555561E-3</v>
      </c>
      <c r="L548" s="13"/>
    </row>
    <row r="549" spans="1:12" x14ac:dyDescent="0.25">
      <c r="A549" s="3" t="s">
        <v>3586</v>
      </c>
      <c r="B549" s="3" t="s">
        <v>3803</v>
      </c>
      <c r="C549" s="3" t="s">
        <v>1477</v>
      </c>
      <c r="D549" s="9">
        <v>15.7</v>
      </c>
      <c r="E549" s="3"/>
      <c r="F549" s="3"/>
      <c r="G549" s="9"/>
      <c r="H549" s="10">
        <v>45670.34746527778</v>
      </c>
      <c r="I549" s="10">
        <v>45670.348252314812</v>
      </c>
      <c r="J549" s="10">
        <v>45670.351030092592</v>
      </c>
      <c r="K549" s="11">
        <v>2.7777777777777779E-3</v>
      </c>
      <c r="L549" s="13"/>
    </row>
    <row r="550" spans="1:12" x14ac:dyDescent="0.25">
      <c r="A550" s="3" t="s">
        <v>3586</v>
      </c>
      <c r="B550" s="3" t="s">
        <v>3804</v>
      </c>
      <c r="C550" s="3" t="s">
        <v>1481</v>
      </c>
      <c r="D550" s="9">
        <v>19.899999999999999</v>
      </c>
      <c r="E550" s="3"/>
      <c r="F550" s="3"/>
      <c r="G550" s="9"/>
      <c r="H550" s="10">
        <v>45670.350381944438</v>
      </c>
      <c r="I550" s="10">
        <v>45670.351226851853</v>
      </c>
      <c r="J550" s="10">
        <v>45670.35428240741</v>
      </c>
      <c r="K550" s="11">
        <v>3.0555555555555561E-3</v>
      </c>
      <c r="L550" s="13"/>
    </row>
    <row r="551" spans="1:12" x14ac:dyDescent="0.25">
      <c r="A551" s="3" t="s">
        <v>3586</v>
      </c>
      <c r="B551" s="3" t="s">
        <v>3805</v>
      </c>
      <c r="C551" s="3" t="s">
        <v>1483</v>
      </c>
      <c r="D551" s="9">
        <v>23.2</v>
      </c>
      <c r="E551" s="3"/>
      <c r="F551" s="3"/>
      <c r="G551" s="9"/>
      <c r="H551" s="10">
        <v>45670.351666666669</v>
      </c>
      <c r="I551" s="10">
        <v>45670.352511574078</v>
      </c>
      <c r="J551" s="10">
        <v>45670.355567129627</v>
      </c>
      <c r="K551" s="11">
        <v>3.0555555555555561E-3</v>
      </c>
      <c r="L551" s="13"/>
    </row>
    <row r="552" spans="1:12" x14ac:dyDescent="0.25">
      <c r="A552" s="3" t="s">
        <v>3586</v>
      </c>
      <c r="B552" s="3" t="s">
        <v>3806</v>
      </c>
      <c r="C552" s="3" t="s">
        <v>1488</v>
      </c>
      <c r="D552" s="9">
        <v>114.8</v>
      </c>
      <c r="E552" s="3"/>
      <c r="F552" s="3"/>
      <c r="G552" s="9"/>
      <c r="H552" s="10">
        <v>45670.389386574083</v>
      </c>
      <c r="I552" s="10">
        <v>45670.390231481477</v>
      </c>
      <c r="J552" s="10">
        <v>45670.393287037034</v>
      </c>
      <c r="K552" s="11">
        <v>3.0555555555555561E-3</v>
      </c>
      <c r="L552" s="13"/>
    </row>
    <row r="553" spans="1:12" x14ac:dyDescent="0.25">
      <c r="A553" s="3" t="s">
        <v>3586</v>
      </c>
      <c r="B553" s="3" t="s">
        <v>3807</v>
      </c>
      <c r="C553" s="3" t="s">
        <v>1490</v>
      </c>
      <c r="D553" s="9">
        <v>14</v>
      </c>
      <c r="E553" s="3"/>
      <c r="F553" s="3"/>
      <c r="G553" s="9"/>
      <c r="H553" s="10">
        <v>45670.39702546296</v>
      </c>
      <c r="I553" s="10">
        <v>45670.397870370369</v>
      </c>
      <c r="J553" s="10">
        <v>45670.400925925933</v>
      </c>
      <c r="K553" s="11">
        <v>3.0555555555555561E-3</v>
      </c>
      <c r="L553" s="13"/>
    </row>
    <row r="554" spans="1:12" x14ac:dyDescent="0.25">
      <c r="A554" s="3" t="s">
        <v>3586</v>
      </c>
      <c r="B554" s="3" t="s">
        <v>3808</v>
      </c>
      <c r="C554" s="3" t="s">
        <v>1492</v>
      </c>
      <c r="D554" s="9">
        <v>21</v>
      </c>
      <c r="E554" s="3"/>
      <c r="F554" s="3"/>
      <c r="G554" s="9"/>
      <c r="H554" s="10">
        <v>45670.3981712963</v>
      </c>
      <c r="I554" s="10">
        <v>45670.398958333331</v>
      </c>
      <c r="J554" s="10">
        <v>45670.401736111111</v>
      </c>
      <c r="K554" s="11">
        <v>2.7777777777777779E-3</v>
      </c>
      <c r="L554" s="13"/>
    </row>
    <row r="555" spans="1:12" x14ac:dyDescent="0.25">
      <c r="A555" s="3" t="s">
        <v>3586</v>
      </c>
      <c r="B555" s="3" t="s">
        <v>3809</v>
      </c>
      <c r="C555" s="3" t="s">
        <v>1494</v>
      </c>
      <c r="D555" s="9">
        <v>63</v>
      </c>
      <c r="E555" s="3"/>
      <c r="F555" s="3"/>
      <c r="G555" s="9"/>
      <c r="H555" s="10">
        <v>45670.399525462963</v>
      </c>
      <c r="I555" s="10">
        <v>45670.402615740742</v>
      </c>
      <c r="J555" s="10">
        <v>45670.405671296299</v>
      </c>
      <c r="K555" s="11">
        <v>3.0555555555555561E-3</v>
      </c>
      <c r="L555" s="13"/>
    </row>
    <row r="556" spans="1:12" x14ac:dyDescent="0.25">
      <c r="A556" s="3" t="s">
        <v>3586</v>
      </c>
      <c r="B556" s="3" t="s">
        <v>3810</v>
      </c>
      <c r="C556" s="3" t="s">
        <v>1496</v>
      </c>
      <c r="D556" s="9">
        <v>15.7</v>
      </c>
      <c r="E556" s="3"/>
      <c r="F556" s="3"/>
      <c r="G556" s="9"/>
      <c r="H556" s="10">
        <v>45670.40121527778</v>
      </c>
      <c r="I556" s="10">
        <v>45670.403310185182</v>
      </c>
      <c r="J556" s="10">
        <v>45670.406087962961</v>
      </c>
      <c r="K556" s="11">
        <v>2.7777777777777779E-3</v>
      </c>
      <c r="L556" s="13"/>
    </row>
    <row r="557" spans="1:12" x14ac:dyDescent="0.25">
      <c r="A557" s="3" t="s">
        <v>3586</v>
      </c>
      <c r="B557" s="3" t="s">
        <v>3811</v>
      </c>
      <c r="C557" s="3" t="s">
        <v>1504</v>
      </c>
      <c r="D557" s="9">
        <v>124.4</v>
      </c>
      <c r="E557" s="3"/>
      <c r="F557" s="3"/>
      <c r="G557" s="9"/>
      <c r="H557" s="10">
        <v>45670.405219907407</v>
      </c>
      <c r="I557" s="10">
        <v>45670.410590277781</v>
      </c>
      <c r="J557" s="10">
        <v>45670.413645833331</v>
      </c>
      <c r="K557" s="11">
        <v>3.0555555555555561E-3</v>
      </c>
      <c r="L557" s="13"/>
    </row>
    <row r="558" spans="1:12" x14ac:dyDescent="0.25">
      <c r="A558" s="3" t="s">
        <v>3586</v>
      </c>
      <c r="B558" s="3" t="s">
        <v>3812</v>
      </c>
      <c r="C558" s="3" t="s">
        <v>1506</v>
      </c>
      <c r="D558" s="9">
        <v>108</v>
      </c>
      <c r="E558" s="3"/>
      <c r="F558" s="3"/>
      <c r="G558" s="9"/>
      <c r="H558" s="10">
        <v>45670.407129629632</v>
      </c>
      <c r="I558" s="10">
        <v>45670.410636574074</v>
      </c>
      <c r="J558" s="10">
        <v>45670.413414351853</v>
      </c>
      <c r="K558" s="11">
        <v>2.7777777777777779E-3</v>
      </c>
      <c r="L558" s="13"/>
    </row>
    <row r="559" spans="1:12" x14ac:dyDescent="0.25">
      <c r="A559" s="3" t="s">
        <v>3586</v>
      </c>
      <c r="B559" s="3" t="s">
        <v>3813</v>
      </c>
      <c r="C559" s="3" t="s">
        <v>1508</v>
      </c>
      <c r="D559" s="9">
        <v>19.899999999999999</v>
      </c>
      <c r="E559" s="3"/>
      <c r="F559" s="3"/>
      <c r="G559" s="9"/>
      <c r="H559" s="10">
        <v>45670.40902777778</v>
      </c>
      <c r="I559" s="10">
        <v>45670.414988425917</v>
      </c>
      <c r="J559" s="10">
        <v>45670.417766203696</v>
      </c>
      <c r="K559" s="11">
        <v>2.7777777777777779E-3</v>
      </c>
      <c r="L559" s="13"/>
    </row>
    <row r="560" spans="1:12" x14ac:dyDescent="0.25">
      <c r="A560" s="3" t="s">
        <v>3586</v>
      </c>
      <c r="B560" s="3" t="s">
        <v>3814</v>
      </c>
      <c r="C560" s="3" t="s">
        <v>1510</v>
      </c>
      <c r="D560" s="9">
        <v>47.2</v>
      </c>
      <c r="E560" s="3"/>
      <c r="F560" s="3"/>
      <c r="G560" s="9"/>
      <c r="H560" s="10">
        <v>45670.41101851852</v>
      </c>
      <c r="I560" s="10">
        <v>45670.415335648147</v>
      </c>
      <c r="J560" s="10">
        <v>45670.418391203697</v>
      </c>
      <c r="K560" s="11">
        <v>3.0555555555555561E-3</v>
      </c>
      <c r="L560" s="13"/>
    </row>
    <row r="561" spans="1:12" x14ac:dyDescent="0.25">
      <c r="A561" s="3" t="s">
        <v>3586</v>
      </c>
      <c r="B561" s="3" t="s">
        <v>3815</v>
      </c>
      <c r="C561" s="3" t="s">
        <v>1520</v>
      </c>
      <c r="D561" s="9">
        <v>234.9</v>
      </c>
      <c r="E561" s="3"/>
      <c r="F561" s="3"/>
      <c r="G561" s="9"/>
      <c r="H561" s="10">
        <v>45670.520902777767</v>
      </c>
      <c r="I561" s="10">
        <v>45670.521770833337</v>
      </c>
      <c r="J561" s="10">
        <v>45670.524826388893</v>
      </c>
      <c r="K561" s="11">
        <v>3.0555555555555561E-3</v>
      </c>
      <c r="L561" s="13"/>
    </row>
    <row r="562" spans="1:12" x14ac:dyDescent="0.25">
      <c r="A562" s="3" t="s">
        <v>3586</v>
      </c>
      <c r="B562" s="3" t="s">
        <v>3816</v>
      </c>
      <c r="C562" s="3" t="s">
        <v>1530</v>
      </c>
      <c r="D562" s="9">
        <v>47.2</v>
      </c>
      <c r="E562" s="3"/>
      <c r="F562" s="3"/>
      <c r="G562" s="9"/>
      <c r="H562" s="10">
        <v>45670.639606481483</v>
      </c>
      <c r="I562" s="10">
        <v>45670.640451388892</v>
      </c>
      <c r="J562" s="10">
        <v>45670.643506944441</v>
      </c>
      <c r="K562" s="11">
        <v>3.0555555555555561E-3</v>
      </c>
      <c r="L562" s="13"/>
    </row>
    <row r="563" spans="1:12" x14ac:dyDescent="0.25">
      <c r="A563" s="3" t="s">
        <v>3586</v>
      </c>
      <c r="B563" s="3" t="s">
        <v>3817</v>
      </c>
      <c r="C563" s="3" t="s">
        <v>1532</v>
      </c>
      <c r="D563" s="9">
        <v>19.899999999999999</v>
      </c>
      <c r="E563" s="3"/>
      <c r="F563" s="3"/>
      <c r="G563" s="9"/>
      <c r="H563" s="10">
        <v>45670.641643518517</v>
      </c>
      <c r="I563" s="10">
        <v>45670.642488425918</v>
      </c>
      <c r="J563" s="10">
        <v>45670.645543981482</v>
      </c>
      <c r="K563" s="11">
        <v>3.0555555555555561E-3</v>
      </c>
      <c r="L563" s="13"/>
    </row>
    <row r="564" spans="1:12" x14ac:dyDescent="0.25">
      <c r="A564" s="3" t="s">
        <v>3586</v>
      </c>
      <c r="B564" s="3" t="s">
        <v>3818</v>
      </c>
      <c r="C564" s="3" t="s">
        <v>1534</v>
      </c>
      <c r="D564" s="9">
        <v>15.7</v>
      </c>
      <c r="E564" s="3"/>
      <c r="F564" s="3"/>
      <c r="G564" s="9"/>
      <c r="H564" s="10">
        <v>45670.64340277778</v>
      </c>
      <c r="I564" s="10">
        <v>45670.644270833327</v>
      </c>
      <c r="J564" s="10">
        <v>45670.647326388891</v>
      </c>
      <c r="K564" s="11">
        <v>3.0555555555555561E-3</v>
      </c>
      <c r="L564" s="13"/>
    </row>
    <row r="565" spans="1:12" x14ac:dyDescent="0.25">
      <c r="A565" s="3" t="s">
        <v>3586</v>
      </c>
      <c r="B565" s="3" t="s">
        <v>3819</v>
      </c>
      <c r="C565" s="3" t="s">
        <v>1536</v>
      </c>
      <c r="D565" s="9">
        <v>15.7</v>
      </c>
      <c r="E565" s="3"/>
      <c r="F565" s="3"/>
      <c r="G565" s="9"/>
      <c r="H565" s="10">
        <v>45670.645312499997</v>
      </c>
      <c r="I565" s="10">
        <v>45670.646145833343</v>
      </c>
      <c r="J565" s="10">
        <v>45670.649201388893</v>
      </c>
      <c r="K565" s="11">
        <v>3.0555555555555561E-3</v>
      </c>
      <c r="L565" s="13"/>
    </row>
    <row r="566" spans="1:12" x14ac:dyDescent="0.25">
      <c r="A566" s="3" t="s">
        <v>3586</v>
      </c>
      <c r="B566" s="3" t="s">
        <v>3820</v>
      </c>
      <c r="C566" s="3" t="s">
        <v>1544</v>
      </c>
      <c r="D566" s="9">
        <v>15.7</v>
      </c>
      <c r="E566" s="3"/>
      <c r="F566" s="3"/>
      <c r="G566" s="9"/>
      <c r="H566" s="10">
        <v>45670.651053240741</v>
      </c>
      <c r="I566" s="10">
        <v>45670.652326388888</v>
      </c>
      <c r="J566" s="10">
        <v>45670.655381944453</v>
      </c>
      <c r="K566" s="11">
        <v>3.0555555555555561E-3</v>
      </c>
      <c r="L566" s="13"/>
    </row>
    <row r="567" spans="1:12" x14ac:dyDescent="0.25">
      <c r="A567" s="3" t="s">
        <v>3586</v>
      </c>
      <c r="B567" s="3" t="s">
        <v>3821</v>
      </c>
      <c r="C567" s="3" t="s">
        <v>1546</v>
      </c>
      <c r="D567" s="9">
        <v>40.9</v>
      </c>
      <c r="E567" s="3"/>
      <c r="F567" s="3"/>
      <c r="G567" s="9"/>
      <c r="H567" s="10">
        <v>45670.653032407397</v>
      </c>
      <c r="I567" s="10">
        <v>45670.654074074067</v>
      </c>
      <c r="J567" s="10">
        <v>45670.657129629632</v>
      </c>
      <c r="K567" s="11">
        <v>3.0555555555555561E-3</v>
      </c>
      <c r="L567" s="13"/>
    </row>
    <row r="568" spans="1:12" x14ac:dyDescent="0.25">
      <c r="A568" s="3" t="s">
        <v>3586</v>
      </c>
      <c r="B568" s="3" t="s">
        <v>3822</v>
      </c>
      <c r="C568" s="3" t="s">
        <v>1548</v>
      </c>
      <c r="D568" s="9">
        <v>19.899999999999999</v>
      </c>
      <c r="E568" s="3"/>
      <c r="F568" s="3"/>
      <c r="G568" s="9"/>
      <c r="H568" s="10">
        <v>45670.654537037037</v>
      </c>
      <c r="I568" s="10">
        <v>45670.657118055547</v>
      </c>
      <c r="J568" s="10">
        <v>45670.660173611112</v>
      </c>
      <c r="K568" s="11">
        <v>3.0555555555555561E-3</v>
      </c>
      <c r="L568" s="13"/>
    </row>
    <row r="569" spans="1:12" x14ac:dyDescent="0.25">
      <c r="A569" s="3" t="s">
        <v>3586</v>
      </c>
      <c r="B569" s="3" t="s">
        <v>3823</v>
      </c>
      <c r="C569" s="3" t="s">
        <v>1553</v>
      </c>
      <c r="D569" s="9">
        <v>157.9</v>
      </c>
      <c r="E569" s="3"/>
      <c r="F569" s="3"/>
      <c r="G569" s="9"/>
      <c r="H569" s="10">
        <v>45670.679722222223</v>
      </c>
      <c r="I569" s="10">
        <v>45670.684444444443</v>
      </c>
      <c r="J569" s="10">
        <v>45670.6875</v>
      </c>
      <c r="K569" s="11">
        <v>3.0555555555555561E-3</v>
      </c>
      <c r="L569" s="13"/>
    </row>
    <row r="570" spans="1:12" x14ac:dyDescent="0.25">
      <c r="A570" s="3" t="s">
        <v>3586</v>
      </c>
      <c r="B570" s="3" t="s">
        <v>3824</v>
      </c>
      <c r="C570" s="3" t="s">
        <v>1564</v>
      </c>
      <c r="D570" s="9">
        <v>103.9</v>
      </c>
      <c r="E570" s="3"/>
      <c r="F570" s="3"/>
      <c r="G570" s="9"/>
      <c r="H570" s="10">
        <v>45671.11414351852</v>
      </c>
      <c r="I570" s="10">
        <v>45671.114930555559</v>
      </c>
      <c r="J570" s="10">
        <v>45671.117708333331</v>
      </c>
      <c r="K570" s="11">
        <v>2.7777777777777779E-3</v>
      </c>
      <c r="L570" s="13"/>
    </row>
    <row r="571" spans="1:12" x14ac:dyDescent="0.25">
      <c r="A571" s="3" t="s">
        <v>3586</v>
      </c>
      <c r="B571" s="3" t="s">
        <v>3825</v>
      </c>
      <c r="C571" s="3" t="s">
        <v>1569</v>
      </c>
      <c r="D571" s="9">
        <v>15.7</v>
      </c>
      <c r="E571" s="3"/>
      <c r="F571" s="3"/>
      <c r="G571" s="9"/>
      <c r="H571" s="10">
        <v>45671.117361111108</v>
      </c>
      <c r="I571" s="10">
        <v>45671.11822916667</v>
      </c>
      <c r="J571" s="10">
        <v>45671.12128472222</v>
      </c>
      <c r="K571" s="11">
        <v>3.0555555555555561E-3</v>
      </c>
      <c r="L571" s="13"/>
    </row>
    <row r="572" spans="1:12" x14ac:dyDescent="0.25">
      <c r="A572" s="3" t="s">
        <v>3586</v>
      </c>
      <c r="B572" s="3" t="s">
        <v>3826</v>
      </c>
      <c r="C572" s="3" t="s">
        <v>1571</v>
      </c>
      <c r="D572" s="9">
        <v>15.7</v>
      </c>
      <c r="E572" s="3"/>
      <c r="F572" s="3"/>
      <c r="G572" s="9"/>
      <c r="H572" s="10">
        <v>45671.11928240741</v>
      </c>
      <c r="I572" s="10">
        <v>45671.120150462957</v>
      </c>
      <c r="J572" s="10">
        <v>45671.123206018521</v>
      </c>
      <c r="K572" s="11">
        <v>3.0555555555555561E-3</v>
      </c>
      <c r="L572" s="13"/>
    </row>
    <row r="573" spans="1:12" x14ac:dyDescent="0.25">
      <c r="A573" s="3" t="s">
        <v>3586</v>
      </c>
      <c r="B573" s="3" t="s">
        <v>3827</v>
      </c>
      <c r="C573" s="3" t="s">
        <v>1576</v>
      </c>
      <c r="D573" s="9">
        <v>110.3</v>
      </c>
      <c r="E573" s="3"/>
      <c r="F573" s="3"/>
      <c r="G573" s="9"/>
      <c r="H573" s="10">
        <v>45671.292939814812</v>
      </c>
      <c r="I573" s="10">
        <v>45671.29378472222</v>
      </c>
      <c r="J573" s="10">
        <v>45671.296840277777</v>
      </c>
      <c r="K573" s="11">
        <v>3.0555555555555561E-3</v>
      </c>
      <c r="L573" s="13"/>
    </row>
    <row r="574" spans="1:12" x14ac:dyDescent="0.25">
      <c r="A574" s="3" t="s">
        <v>3586</v>
      </c>
      <c r="B574" s="3" t="s">
        <v>3828</v>
      </c>
      <c r="C574" s="3" t="s">
        <v>1578</v>
      </c>
      <c r="D574" s="9">
        <v>70.5</v>
      </c>
      <c r="E574" s="3"/>
      <c r="F574" s="3"/>
      <c r="G574" s="9"/>
      <c r="H574" s="10">
        <v>45671.294317129628</v>
      </c>
      <c r="I574" s="10">
        <v>45671.295185185183</v>
      </c>
      <c r="J574" s="10">
        <v>45671.29824074074</v>
      </c>
      <c r="K574" s="11">
        <v>3.0555555555555561E-3</v>
      </c>
      <c r="L574" s="13"/>
    </row>
    <row r="575" spans="1:12" x14ac:dyDescent="0.25">
      <c r="A575" s="3" t="s">
        <v>3586</v>
      </c>
      <c r="B575" s="3" t="s">
        <v>3829</v>
      </c>
      <c r="C575" s="3" t="s">
        <v>1586</v>
      </c>
      <c r="D575" s="9">
        <v>39.799999999999997</v>
      </c>
      <c r="E575" s="3"/>
      <c r="F575" s="3"/>
      <c r="G575" s="9"/>
      <c r="H575" s="10">
        <v>45671.299421296288</v>
      </c>
      <c r="I575" s="10">
        <v>45671.300208333327</v>
      </c>
      <c r="J575" s="10">
        <v>45671.302986111114</v>
      </c>
      <c r="K575" s="11">
        <v>2.7777777777777779E-3</v>
      </c>
      <c r="L575" s="13"/>
    </row>
    <row r="576" spans="1:12" x14ac:dyDescent="0.25">
      <c r="A576" s="3" t="s">
        <v>3586</v>
      </c>
      <c r="B576" s="3" t="s">
        <v>3830</v>
      </c>
      <c r="C576" s="3" t="s">
        <v>1588</v>
      </c>
      <c r="D576" s="9">
        <v>27</v>
      </c>
      <c r="E576" s="3"/>
      <c r="F576" s="3"/>
      <c r="G576" s="9"/>
      <c r="H576" s="10">
        <v>45671.301446759258</v>
      </c>
      <c r="I576" s="10">
        <v>45671.303240740737</v>
      </c>
      <c r="J576" s="10">
        <v>45671.306296296287</v>
      </c>
      <c r="K576" s="11">
        <v>3.0555555555555561E-3</v>
      </c>
      <c r="L576" s="13"/>
    </row>
    <row r="577" spans="1:12" x14ac:dyDescent="0.25">
      <c r="A577" s="3" t="s">
        <v>3586</v>
      </c>
      <c r="B577" s="3" t="s">
        <v>3831</v>
      </c>
      <c r="C577" s="3" t="s">
        <v>1590</v>
      </c>
      <c r="D577" s="9">
        <v>39</v>
      </c>
      <c r="E577" s="3"/>
      <c r="F577" s="3"/>
      <c r="G577" s="9"/>
      <c r="H577" s="10">
        <v>45671.303194444437</v>
      </c>
      <c r="I577" s="10">
        <v>45671.304571759261</v>
      </c>
      <c r="J577" s="10">
        <v>45671.307349537034</v>
      </c>
      <c r="K577" s="11">
        <v>2.7777777777777779E-3</v>
      </c>
      <c r="L577" s="13"/>
    </row>
    <row r="578" spans="1:12" x14ac:dyDescent="0.25">
      <c r="A578" s="3" t="s">
        <v>3586</v>
      </c>
      <c r="B578" s="3" t="s">
        <v>3832</v>
      </c>
      <c r="C578" s="3" t="s">
        <v>1631</v>
      </c>
      <c r="D578" s="9">
        <v>264.8</v>
      </c>
      <c r="E578" s="3"/>
      <c r="F578" s="3"/>
      <c r="G578" s="9"/>
      <c r="H578" s="10">
        <v>45671.393425925933</v>
      </c>
      <c r="I578" s="10">
        <v>45671.394270833327</v>
      </c>
      <c r="J578" s="10">
        <v>45671.397326388891</v>
      </c>
      <c r="K578" s="11">
        <v>3.0555555555555561E-3</v>
      </c>
      <c r="L578" s="13"/>
    </row>
    <row r="579" spans="1:12" x14ac:dyDescent="0.25">
      <c r="A579" s="3" t="s">
        <v>3586</v>
      </c>
      <c r="B579" s="3" t="s">
        <v>3833</v>
      </c>
      <c r="C579" s="3" t="s">
        <v>1633</v>
      </c>
      <c r="D579" s="9">
        <v>72.8</v>
      </c>
      <c r="E579" s="3"/>
      <c r="F579" s="3"/>
      <c r="G579" s="9"/>
      <c r="H579" s="10">
        <v>45671.395462962973</v>
      </c>
      <c r="I579" s="10">
        <v>45671.396261574067</v>
      </c>
      <c r="J579" s="10">
        <v>45671.399039351847</v>
      </c>
      <c r="K579" s="11">
        <v>2.7777777777777779E-3</v>
      </c>
      <c r="L579" s="13"/>
    </row>
    <row r="580" spans="1:12" x14ac:dyDescent="0.25">
      <c r="A580" s="3" t="s">
        <v>3586</v>
      </c>
      <c r="B580" s="3" t="s">
        <v>3834</v>
      </c>
      <c r="C580" s="3" t="s">
        <v>1598</v>
      </c>
      <c r="D580" s="9">
        <v>15.7</v>
      </c>
      <c r="E580" s="3"/>
      <c r="F580" s="3"/>
      <c r="G580" s="9"/>
      <c r="H580" s="10">
        <v>45671.400034722217</v>
      </c>
      <c r="I580" s="10">
        <v>45671.417337962957</v>
      </c>
      <c r="J580" s="10">
        <v>45671.420393518521</v>
      </c>
      <c r="K580" s="11">
        <v>3.0555555555555561E-3</v>
      </c>
      <c r="L580" s="13"/>
    </row>
    <row r="581" spans="1:12" x14ac:dyDescent="0.25">
      <c r="A581" s="3" t="s">
        <v>3586</v>
      </c>
      <c r="B581" s="3" t="s">
        <v>3835</v>
      </c>
      <c r="C581" s="3" t="s">
        <v>1603</v>
      </c>
      <c r="D581" s="9">
        <v>28</v>
      </c>
      <c r="E581" s="3"/>
      <c r="F581" s="3"/>
      <c r="G581" s="9"/>
      <c r="H581" s="10">
        <v>45671.403090277781</v>
      </c>
      <c r="I581" s="10">
        <v>45671.420659722222</v>
      </c>
      <c r="J581" s="10">
        <v>45671.423715277779</v>
      </c>
      <c r="K581" s="11">
        <v>3.0555555555555561E-3</v>
      </c>
      <c r="L581" s="13"/>
    </row>
    <row r="582" spans="1:12" x14ac:dyDescent="0.25">
      <c r="A582" s="3" t="s">
        <v>3586</v>
      </c>
      <c r="B582" s="3" t="s">
        <v>3836</v>
      </c>
      <c r="C582" s="3" t="s">
        <v>1605</v>
      </c>
      <c r="D582" s="9">
        <v>108</v>
      </c>
      <c r="E582" s="3"/>
      <c r="F582" s="3"/>
      <c r="G582" s="9"/>
      <c r="H582" s="10">
        <v>45671.405300925922</v>
      </c>
      <c r="I582" s="10">
        <v>45671.422060185178</v>
      </c>
      <c r="J582" s="10">
        <v>45671.425115740742</v>
      </c>
      <c r="K582" s="11">
        <v>3.0555555555555561E-3</v>
      </c>
      <c r="L582" s="13"/>
    </row>
    <row r="583" spans="1:12" x14ac:dyDescent="0.25">
      <c r="A583" s="3" t="s">
        <v>3586</v>
      </c>
      <c r="B583" s="3" t="s">
        <v>3837</v>
      </c>
      <c r="C583" s="3" t="s">
        <v>1610</v>
      </c>
      <c r="D583" s="9">
        <v>15.7</v>
      </c>
      <c r="E583" s="3"/>
      <c r="F583" s="3"/>
      <c r="G583" s="9"/>
      <c r="H583" s="10">
        <v>45671.40898148148</v>
      </c>
      <c r="I583" s="10">
        <v>45671.424780092602</v>
      </c>
      <c r="J583" s="10">
        <v>45671.427835648137</v>
      </c>
      <c r="K583" s="11">
        <v>3.0555555555555561E-3</v>
      </c>
      <c r="L583" s="13"/>
    </row>
    <row r="584" spans="1:12" x14ac:dyDescent="0.25">
      <c r="A584" s="3" t="s">
        <v>3586</v>
      </c>
      <c r="B584" s="3" t="s">
        <v>3838</v>
      </c>
      <c r="C584" s="3" t="s">
        <v>1621</v>
      </c>
      <c r="D584" s="9">
        <v>31.5</v>
      </c>
      <c r="E584" s="3"/>
      <c r="F584" s="3"/>
      <c r="G584" s="9"/>
      <c r="H584" s="10">
        <v>45671.416967592602</v>
      </c>
      <c r="I584" s="10">
        <v>45671.426793981482</v>
      </c>
      <c r="J584" s="10">
        <v>45671.429849537039</v>
      </c>
      <c r="K584" s="11">
        <v>3.0555555555555561E-3</v>
      </c>
      <c r="L584" s="13"/>
    </row>
    <row r="585" spans="1:12" x14ac:dyDescent="0.25">
      <c r="A585" s="3" t="s">
        <v>3586</v>
      </c>
      <c r="B585" s="3" t="s">
        <v>3839</v>
      </c>
      <c r="C585" s="3" t="s">
        <v>1619</v>
      </c>
      <c r="D585" s="9">
        <v>31.5</v>
      </c>
      <c r="E585" s="3"/>
      <c r="F585" s="3"/>
      <c r="G585" s="9"/>
      <c r="H585" s="10">
        <v>45671.417337962957</v>
      </c>
      <c r="I585" s="10">
        <v>45671.427627314813</v>
      </c>
      <c r="J585" s="10">
        <v>45671.430405092593</v>
      </c>
      <c r="K585" s="11">
        <v>2.7777777777777779E-3</v>
      </c>
      <c r="L585" s="13"/>
    </row>
    <row r="586" spans="1:12" x14ac:dyDescent="0.25">
      <c r="A586" s="3" t="s">
        <v>3586</v>
      </c>
      <c r="B586" s="3" t="s">
        <v>3840</v>
      </c>
      <c r="C586" s="3" t="s">
        <v>1615</v>
      </c>
      <c r="D586" s="9">
        <v>16.5</v>
      </c>
      <c r="E586" s="3"/>
      <c r="F586" s="3"/>
      <c r="G586" s="9"/>
      <c r="H586" s="10">
        <v>45671.417395833327</v>
      </c>
      <c r="I586" s="10">
        <v>45671.428715277783</v>
      </c>
      <c r="J586" s="10">
        <v>45671.431770833333</v>
      </c>
      <c r="K586" s="11">
        <v>3.0555555555555561E-3</v>
      </c>
      <c r="L586" s="13"/>
    </row>
    <row r="587" spans="1:12" x14ac:dyDescent="0.25">
      <c r="A587" s="3" t="s">
        <v>3586</v>
      </c>
      <c r="B587" s="3" t="s">
        <v>3841</v>
      </c>
      <c r="C587" s="3" t="s">
        <v>1617</v>
      </c>
      <c r="D587" s="9">
        <v>14</v>
      </c>
      <c r="E587" s="3"/>
      <c r="F587" s="3"/>
      <c r="G587" s="9"/>
      <c r="H587" s="10">
        <v>45671.420659722222</v>
      </c>
      <c r="I587" s="10">
        <v>45671.431516203702</v>
      </c>
      <c r="J587" s="10">
        <v>45671.434571759259</v>
      </c>
      <c r="K587" s="11">
        <v>3.0555555555555561E-3</v>
      </c>
      <c r="L587" s="13"/>
    </row>
    <row r="588" spans="1:12" x14ac:dyDescent="0.25">
      <c r="A588" s="3" t="s">
        <v>3586</v>
      </c>
      <c r="B588" s="3" t="s">
        <v>3842</v>
      </c>
      <c r="C588" s="3" t="s">
        <v>1635</v>
      </c>
      <c r="D588" s="9">
        <v>21</v>
      </c>
      <c r="E588" s="3"/>
      <c r="F588" s="3"/>
      <c r="G588" s="9"/>
      <c r="H588" s="10">
        <v>45671.425451388888</v>
      </c>
      <c r="I588" s="10">
        <v>45671.431990740741</v>
      </c>
      <c r="J588" s="10">
        <v>45671.43476851852</v>
      </c>
      <c r="K588" s="11">
        <v>2.7777777777777779E-3</v>
      </c>
      <c r="L588" s="13"/>
    </row>
    <row r="589" spans="1:12" x14ac:dyDescent="0.25">
      <c r="A589" s="3" t="s">
        <v>3586</v>
      </c>
      <c r="B589" s="3" t="s">
        <v>3843</v>
      </c>
      <c r="C589" s="3" t="s">
        <v>1637</v>
      </c>
      <c r="D589" s="9">
        <v>418.7</v>
      </c>
      <c r="E589" s="3"/>
      <c r="F589" s="3"/>
      <c r="G589" s="9"/>
      <c r="H589" s="10">
        <v>45671.429525462961</v>
      </c>
      <c r="I589" s="10">
        <v>45671.432754629634</v>
      </c>
      <c r="J589" s="10">
        <v>45671.435810185183</v>
      </c>
      <c r="K589" s="11">
        <v>3.0555555555555561E-3</v>
      </c>
      <c r="L589" s="13"/>
    </row>
    <row r="590" spans="1:12" x14ac:dyDescent="0.25">
      <c r="A590" s="3" t="s">
        <v>3586</v>
      </c>
      <c r="B590" s="3" t="s">
        <v>3844</v>
      </c>
      <c r="C590" s="3" t="s">
        <v>1626</v>
      </c>
      <c r="D590" s="9">
        <v>15.7</v>
      </c>
      <c r="E590" s="3"/>
      <c r="F590" s="3"/>
      <c r="G590" s="9"/>
      <c r="H590" s="10">
        <v>45671.431516203702</v>
      </c>
      <c r="I590" s="10">
        <v>45671.433506944442</v>
      </c>
      <c r="J590" s="10">
        <v>45671.436562499999</v>
      </c>
      <c r="K590" s="11">
        <v>3.0555555555555561E-3</v>
      </c>
      <c r="L590" s="13"/>
    </row>
    <row r="591" spans="1:12" x14ac:dyDescent="0.25">
      <c r="A591" s="3" t="s">
        <v>3586</v>
      </c>
      <c r="B591" s="3" t="s">
        <v>3845</v>
      </c>
      <c r="C591" s="3" t="s">
        <v>1645</v>
      </c>
      <c r="D591" s="9">
        <v>19.899999999999999</v>
      </c>
      <c r="E591" s="3"/>
      <c r="F591" s="3"/>
      <c r="G591" s="9"/>
      <c r="H591" s="10">
        <v>45671.643159722233</v>
      </c>
      <c r="I591" s="10">
        <v>45671.64402777778</v>
      </c>
      <c r="J591" s="10">
        <v>45671.647083333337</v>
      </c>
      <c r="K591" s="11">
        <v>3.0555555555555561E-3</v>
      </c>
      <c r="L591" s="13"/>
    </row>
    <row r="592" spans="1:12" x14ac:dyDescent="0.25">
      <c r="A592" s="3" t="s">
        <v>3586</v>
      </c>
      <c r="B592" s="3" t="s">
        <v>3846</v>
      </c>
      <c r="C592" s="3" t="s">
        <v>1647</v>
      </c>
      <c r="D592" s="9">
        <v>59.7</v>
      </c>
      <c r="E592" s="3"/>
      <c r="F592" s="3"/>
      <c r="G592" s="9"/>
      <c r="H592" s="10">
        <v>45671.644733796304</v>
      </c>
      <c r="I592" s="10">
        <v>45671.645578703698</v>
      </c>
      <c r="J592" s="10">
        <v>45671.648634259262</v>
      </c>
      <c r="K592" s="11">
        <v>3.0555555555555561E-3</v>
      </c>
      <c r="L592" s="13"/>
    </row>
    <row r="593" spans="1:12" x14ac:dyDescent="0.25">
      <c r="A593" s="3" t="s">
        <v>3586</v>
      </c>
      <c r="B593" s="3" t="s">
        <v>3847</v>
      </c>
      <c r="C593" s="3" t="s">
        <v>1649</v>
      </c>
      <c r="D593" s="9">
        <v>47.2</v>
      </c>
      <c r="E593" s="3"/>
      <c r="F593" s="3"/>
      <c r="G593" s="9"/>
      <c r="H593" s="10">
        <v>45671.646527777782</v>
      </c>
      <c r="I593" s="10">
        <v>45671.64739583333</v>
      </c>
      <c r="J593" s="10">
        <v>45671.650451388887</v>
      </c>
      <c r="K593" s="11">
        <v>3.0555555555555561E-3</v>
      </c>
      <c r="L593" s="13"/>
    </row>
    <row r="594" spans="1:12" x14ac:dyDescent="0.25">
      <c r="A594" s="3" t="s">
        <v>3586</v>
      </c>
      <c r="B594" s="3" t="s">
        <v>3848</v>
      </c>
      <c r="C594" s="3" t="s">
        <v>1651</v>
      </c>
      <c r="D594" s="9">
        <v>96</v>
      </c>
      <c r="E594" s="3"/>
      <c r="F594" s="3"/>
      <c r="G594" s="9"/>
      <c r="H594" s="10">
        <v>45671.647847222222</v>
      </c>
      <c r="I594" s="10">
        <v>45671.648634259262</v>
      </c>
      <c r="J594" s="10">
        <v>45671.651412037027</v>
      </c>
      <c r="K594" s="11">
        <v>2.7777777777777779E-3</v>
      </c>
      <c r="L594" s="13"/>
    </row>
    <row r="595" spans="1:12" x14ac:dyDescent="0.25">
      <c r="A595" s="3" t="s">
        <v>3586</v>
      </c>
      <c r="B595" s="3" t="s">
        <v>3849</v>
      </c>
      <c r="C595" s="3" t="s">
        <v>1659</v>
      </c>
      <c r="D595" s="9">
        <v>27</v>
      </c>
      <c r="E595" s="3"/>
      <c r="F595" s="3"/>
      <c r="G595" s="9"/>
      <c r="H595" s="10">
        <v>45671.653229166674</v>
      </c>
      <c r="I595" s="10">
        <v>45671.655451388891</v>
      </c>
      <c r="J595" s="10">
        <v>45671.658506944441</v>
      </c>
      <c r="K595" s="11">
        <v>3.0555555555555561E-3</v>
      </c>
      <c r="L595" s="13"/>
    </row>
    <row r="596" spans="1:12" x14ac:dyDescent="0.25">
      <c r="A596" s="3" t="s">
        <v>3586</v>
      </c>
      <c r="B596" s="3" t="s">
        <v>3850</v>
      </c>
      <c r="C596" s="3" t="s">
        <v>1661</v>
      </c>
      <c r="D596" s="9">
        <v>19.899999999999999</v>
      </c>
      <c r="E596" s="3"/>
      <c r="F596" s="3"/>
      <c r="G596" s="9"/>
      <c r="H596" s="10">
        <v>45671.654490740737</v>
      </c>
      <c r="I596" s="10">
        <v>45671.655960648153</v>
      </c>
      <c r="J596" s="10">
        <v>45671.658738425933</v>
      </c>
      <c r="K596" s="11">
        <v>2.7777777777777779E-3</v>
      </c>
      <c r="L596" s="13"/>
    </row>
    <row r="597" spans="1:12" x14ac:dyDescent="0.25">
      <c r="A597" s="3" t="s">
        <v>3586</v>
      </c>
      <c r="B597" s="3" t="s">
        <v>3851</v>
      </c>
      <c r="C597" s="3" t="s">
        <v>1663</v>
      </c>
      <c r="D597" s="9">
        <v>15.7</v>
      </c>
      <c r="E597" s="3"/>
      <c r="F597" s="3"/>
      <c r="G597" s="9"/>
      <c r="H597" s="10">
        <v>45671.656377314823</v>
      </c>
      <c r="I597" s="10">
        <v>45671.660243055558</v>
      </c>
      <c r="J597" s="10">
        <v>45671.663298611107</v>
      </c>
      <c r="K597" s="11">
        <v>3.0555555555555561E-3</v>
      </c>
      <c r="L597" s="13"/>
    </row>
    <row r="598" spans="1:12" x14ac:dyDescent="0.25">
      <c r="A598" s="3" t="s">
        <v>3586</v>
      </c>
      <c r="B598" s="3" t="s">
        <v>3852</v>
      </c>
      <c r="C598" s="3" t="s">
        <v>1665</v>
      </c>
      <c r="D598" s="9">
        <v>81</v>
      </c>
      <c r="E598" s="3"/>
      <c r="F598" s="3"/>
      <c r="G598" s="9"/>
      <c r="H598" s="10">
        <v>45671.660243055558</v>
      </c>
      <c r="I598" s="10">
        <v>45671.661030092589</v>
      </c>
      <c r="J598" s="10">
        <v>45671.663807870369</v>
      </c>
      <c r="K598" s="11">
        <v>2.7777777777777779E-3</v>
      </c>
      <c r="L598" s="13"/>
    </row>
    <row r="599" spans="1:12" x14ac:dyDescent="0.25">
      <c r="A599" s="3" t="s">
        <v>3586</v>
      </c>
      <c r="B599" s="3" t="s">
        <v>3853</v>
      </c>
      <c r="C599" s="3" t="s">
        <v>1702</v>
      </c>
      <c r="D599" s="9">
        <v>63</v>
      </c>
      <c r="E599" s="3"/>
      <c r="F599" s="3"/>
      <c r="G599" s="9"/>
      <c r="H599" s="10">
        <v>45671.752187500002</v>
      </c>
      <c r="I599" s="10">
        <v>45671.753032407411</v>
      </c>
      <c r="J599" s="10">
        <v>45671.75608796296</v>
      </c>
      <c r="K599" s="11">
        <v>3.0555555555555561E-3</v>
      </c>
      <c r="L599" s="13"/>
    </row>
    <row r="600" spans="1:12" x14ac:dyDescent="0.25">
      <c r="A600" s="3" t="s">
        <v>3586</v>
      </c>
      <c r="B600" s="3" t="s">
        <v>3854</v>
      </c>
      <c r="C600" s="3" t="s">
        <v>1676</v>
      </c>
      <c r="D600" s="9">
        <v>31.5</v>
      </c>
      <c r="E600" s="3"/>
      <c r="F600" s="3"/>
      <c r="G600" s="9"/>
      <c r="H600" s="10">
        <v>45671.755046296297</v>
      </c>
      <c r="I600" s="10">
        <v>45671.755879629629</v>
      </c>
      <c r="J600" s="10">
        <v>45671.758935185193</v>
      </c>
      <c r="K600" s="11">
        <v>3.0555555555555561E-3</v>
      </c>
      <c r="L600" s="13"/>
    </row>
    <row r="601" spans="1:12" x14ac:dyDescent="0.25">
      <c r="A601" s="3" t="s">
        <v>3586</v>
      </c>
      <c r="B601" s="3" t="s">
        <v>3855</v>
      </c>
      <c r="C601" s="3" t="s">
        <v>1681</v>
      </c>
      <c r="D601" s="9">
        <v>12</v>
      </c>
      <c r="E601" s="3"/>
      <c r="F601" s="3"/>
      <c r="G601" s="9"/>
      <c r="H601" s="10">
        <v>45671.757685185177</v>
      </c>
      <c r="I601" s="10">
        <v>45671.75854166667</v>
      </c>
      <c r="J601" s="10">
        <v>45671.761597222219</v>
      </c>
      <c r="K601" s="11">
        <v>3.0555555555555561E-3</v>
      </c>
      <c r="L601" s="13"/>
    </row>
    <row r="602" spans="1:12" x14ac:dyDescent="0.25">
      <c r="A602" s="3" t="s">
        <v>3586</v>
      </c>
      <c r="B602" s="3" t="s">
        <v>3856</v>
      </c>
      <c r="C602" s="3" t="s">
        <v>1683</v>
      </c>
      <c r="D602" s="9">
        <v>39</v>
      </c>
      <c r="E602" s="3"/>
      <c r="F602" s="3"/>
      <c r="G602" s="9"/>
      <c r="H602" s="10">
        <v>45671.759768518517</v>
      </c>
      <c r="I602" s="10">
        <v>45671.760613425933</v>
      </c>
      <c r="J602" s="10">
        <v>45671.763668981483</v>
      </c>
      <c r="K602" s="11">
        <v>3.0555555555555561E-3</v>
      </c>
      <c r="L602" s="13"/>
    </row>
    <row r="603" spans="1:12" x14ac:dyDescent="0.25">
      <c r="A603" s="3" t="s">
        <v>3586</v>
      </c>
      <c r="B603" s="3" t="s">
        <v>3857</v>
      </c>
      <c r="C603" s="3" t="s">
        <v>1700</v>
      </c>
      <c r="D603" s="9">
        <v>78</v>
      </c>
      <c r="E603" s="3"/>
      <c r="F603" s="3"/>
      <c r="G603" s="9"/>
      <c r="H603" s="10">
        <v>45671.770138888889</v>
      </c>
      <c r="I603" s="10">
        <v>45671.771736111114</v>
      </c>
      <c r="J603" s="10">
        <v>45671.774791666663</v>
      </c>
      <c r="K603" s="11">
        <v>3.0555555555555561E-3</v>
      </c>
      <c r="L603" s="13"/>
    </row>
    <row r="604" spans="1:12" x14ac:dyDescent="0.25">
      <c r="A604" s="3" t="s">
        <v>3586</v>
      </c>
      <c r="B604" s="3" t="s">
        <v>3858</v>
      </c>
      <c r="C604" s="3" t="s">
        <v>1707</v>
      </c>
      <c r="D604" s="9">
        <v>166.9</v>
      </c>
      <c r="E604" s="3"/>
      <c r="F604" s="3"/>
      <c r="G604" s="9"/>
      <c r="H604" s="10">
        <v>45672.11314814815</v>
      </c>
      <c r="I604" s="10">
        <v>45672.113993055558</v>
      </c>
      <c r="J604" s="10">
        <v>45672.117048611108</v>
      </c>
      <c r="K604" s="11">
        <v>3.0555555555555561E-3</v>
      </c>
      <c r="L604" s="13"/>
    </row>
    <row r="605" spans="1:12" x14ac:dyDescent="0.25">
      <c r="A605" s="3" t="s">
        <v>3586</v>
      </c>
      <c r="B605" s="3" t="s">
        <v>3859</v>
      </c>
      <c r="C605" s="3" t="s">
        <v>1709</v>
      </c>
      <c r="D605" s="9">
        <v>47.2</v>
      </c>
      <c r="E605" s="3"/>
      <c r="F605" s="3"/>
      <c r="G605" s="9"/>
      <c r="H605" s="10">
        <v>45672.115127314813</v>
      </c>
      <c r="I605" s="10">
        <v>45672.115972222222</v>
      </c>
      <c r="J605" s="10">
        <v>45672.119027777779</v>
      </c>
      <c r="K605" s="11">
        <v>3.0555555555555561E-3</v>
      </c>
      <c r="L605" s="13"/>
    </row>
    <row r="606" spans="1:12" x14ac:dyDescent="0.25">
      <c r="A606" s="3" t="s">
        <v>3586</v>
      </c>
      <c r="B606" s="3" t="s">
        <v>3860</v>
      </c>
      <c r="C606" s="3" t="s">
        <v>1714</v>
      </c>
      <c r="D606" s="9">
        <v>87</v>
      </c>
      <c r="E606" s="3"/>
      <c r="F606" s="3"/>
      <c r="G606" s="9"/>
      <c r="H606" s="10">
        <v>45672.118969907409</v>
      </c>
      <c r="I606" s="10">
        <v>45672.119814814818</v>
      </c>
      <c r="J606" s="10">
        <v>45672.122870370367</v>
      </c>
      <c r="K606" s="11">
        <v>3.0555555555555561E-3</v>
      </c>
      <c r="L606" s="13"/>
    </row>
    <row r="607" spans="1:12" x14ac:dyDescent="0.25">
      <c r="A607" s="3" t="s">
        <v>3586</v>
      </c>
      <c r="B607" s="3" t="s">
        <v>3861</v>
      </c>
      <c r="C607" s="3" t="s">
        <v>1719</v>
      </c>
      <c r="D607" s="9">
        <v>298</v>
      </c>
      <c r="E607" s="3"/>
      <c r="F607" s="3"/>
      <c r="G607" s="9"/>
      <c r="H607" s="10">
        <v>45672.279895833337</v>
      </c>
      <c r="I607" s="10">
        <v>45672.280740740738</v>
      </c>
      <c r="J607" s="10">
        <v>45672.283796296288</v>
      </c>
      <c r="K607" s="11">
        <v>3.0555555555555561E-3</v>
      </c>
      <c r="L607" s="13"/>
    </row>
    <row r="608" spans="1:12" x14ac:dyDescent="0.25">
      <c r="A608" s="3" t="s">
        <v>3586</v>
      </c>
      <c r="B608" s="3" t="s">
        <v>3862</v>
      </c>
      <c r="C608" s="3" t="s">
        <v>1721</v>
      </c>
      <c r="D608" s="9">
        <v>47.2</v>
      </c>
      <c r="E608" s="3"/>
      <c r="F608" s="3"/>
      <c r="G608" s="9"/>
      <c r="H608" s="10">
        <v>45672.317453703698</v>
      </c>
      <c r="I608" s="10">
        <v>45672.318240740737</v>
      </c>
      <c r="J608" s="10">
        <v>45672.321018518523</v>
      </c>
      <c r="K608" s="11">
        <v>2.7777777777777779E-3</v>
      </c>
      <c r="L608" s="13"/>
    </row>
    <row r="609" spans="1:12" x14ac:dyDescent="0.25">
      <c r="A609" s="3" t="s">
        <v>3586</v>
      </c>
      <c r="B609" s="3" t="s">
        <v>3863</v>
      </c>
      <c r="C609" s="3" t="s">
        <v>1729</v>
      </c>
      <c r="D609" s="9">
        <v>12</v>
      </c>
      <c r="E609" s="3"/>
      <c r="F609" s="3"/>
      <c r="G609" s="9"/>
      <c r="H609" s="10">
        <v>45672.322916666657</v>
      </c>
      <c r="I609" s="10">
        <v>45672.323750000003</v>
      </c>
      <c r="J609" s="10">
        <v>45672.326805555553</v>
      </c>
      <c r="K609" s="11">
        <v>3.0555555555555561E-3</v>
      </c>
      <c r="L609" s="13"/>
    </row>
    <row r="610" spans="1:12" x14ac:dyDescent="0.25">
      <c r="A610" s="3" t="s">
        <v>3586</v>
      </c>
      <c r="B610" s="3" t="s">
        <v>3864</v>
      </c>
      <c r="C610" s="3" t="s">
        <v>1737</v>
      </c>
      <c r="D610" s="9">
        <v>67.099999999999994</v>
      </c>
      <c r="E610" s="3"/>
      <c r="F610" s="3"/>
      <c r="G610" s="9"/>
      <c r="H610" s="10">
        <v>45672.328101851846</v>
      </c>
      <c r="I610" s="10">
        <v>45672.328888888893</v>
      </c>
      <c r="J610" s="10">
        <v>45672.331666666672</v>
      </c>
      <c r="K610" s="11">
        <v>2.7777777777777779E-3</v>
      </c>
      <c r="L610" s="13"/>
    </row>
    <row r="611" spans="1:12" x14ac:dyDescent="0.25">
      <c r="A611" s="3" t="s">
        <v>3586</v>
      </c>
      <c r="B611" s="3" t="s">
        <v>3865</v>
      </c>
      <c r="C611" s="3" t="s">
        <v>1739</v>
      </c>
      <c r="D611" s="9">
        <v>62.2</v>
      </c>
      <c r="E611" s="3"/>
      <c r="F611" s="3"/>
      <c r="G611" s="9"/>
      <c r="H611" s="10">
        <v>45672.33016203704</v>
      </c>
      <c r="I611" s="10">
        <v>45672.331689814811</v>
      </c>
      <c r="J611" s="10">
        <v>45672.334745370368</v>
      </c>
      <c r="K611" s="11">
        <v>3.0555555555555561E-3</v>
      </c>
      <c r="L611" s="13"/>
    </row>
    <row r="612" spans="1:12" x14ac:dyDescent="0.25">
      <c r="A612" s="3" t="s">
        <v>3586</v>
      </c>
      <c r="B612" s="3" t="s">
        <v>3866</v>
      </c>
      <c r="C612" s="3" t="s">
        <v>1750</v>
      </c>
      <c r="D612" s="9">
        <v>23.2</v>
      </c>
      <c r="E612" s="3"/>
      <c r="F612" s="3"/>
      <c r="G612" s="9"/>
      <c r="H612" s="10">
        <v>45672.387731481482</v>
      </c>
      <c r="I612" s="10">
        <v>45672.388564814813</v>
      </c>
      <c r="J612" s="10">
        <v>45672.39162037037</v>
      </c>
      <c r="K612" s="11">
        <v>3.0555555555555561E-3</v>
      </c>
      <c r="L612" s="13"/>
    </row>
    <row r="613" spans="1:12" x14ac:dyDescent="0.25">
      <c r="A613" s="3" t="s">
        <v>3586</v>
      </c>
      <c r="B613" s="3" t="s">
        <v>3867</v>
      </c>
      <c r="C613" s="3" t="s">
        <v>1752</v>
      </c>
      <c r="D613" s="9">
        <v>21</v>
      </c>
      <c r="E613" s="3"/>
      <c r="F613" s="3"/>
      <c r="G613" s="9"/>
      <c r="H613" s="10">
        <v>45672.389351851853</v>
      </c>
      <c r="I613" s="10">
        <v>45672.390138888892</v>
      </c>
      <c r="J613" s="10">
        <v>45672.392916666657</v>
      </c>
      <c r="K613" s="11">
        <v>2.7777777777777779E-3</v>
      </c>
      <c r="L613" s="13"/>
    </row>
    <row r="614" spans="1:12" x14ac:dyDescent="0.25">
      <c r="A614" s="3" t="s">
        <v>3586</v>
      </c>
      <c r="B614" s="3" t="s">
        <v>3868</v>
      </c>
      <c r="C614" s="3" t="s">
        <v>1757</v>
      </c>
      <c r="D614" s="9">
        <v>57.4</v>
      </c>
      <c r="E614" s="3"/>
      <c r="F614" s="3"/>
      <c r="G614" s="9"/>
      <c r="H614" s="10">
        <v>45672.39234953704</v>
      </c>
      <c r="I614" s="10">
        <v>45672.393194444441</v>
      </c>
      <c r="J614" s="10">
        <v>45672.396249999998</v>
      </c>
      <c r="K614" s="11">
        <v>3.0555555555555561E-3</v>
      </c>
      <c r="L614" s="13"/>
    </row>
    <row r="615" spans="1:12" x14ac:dyDescent="0.25">
      <c r="A615" s="3" t="s">
        <v>3586</v>
      </c>
      <c r="B615" s="3" t="s">
        <v>3869</v>
      </c>
      <c r="C615" s="3" t="s">
        <v>1759</v>
      </c>
      <c r="D615" s="9">
        <v>31.5</v>
      </c>
      <c r="E615" s="3"/>
      <c r="F615" s="3"/>
      <c r="G615" s="9"/>
      <c r="H615" s="10">
        <v>45672.393541666657</v>
      </c>
      <c r="I615" s="10">
        <v>45672.394375000003</v>
      </c>
      <c r="J615" s="10">
        <v>45672.397430555553</v>
      </c>
      <c r="K615" s="11">
        <v>3.0555555555555561E-3</v>
      </c>
      <c r="L615" s="13"/>
    </row>
    <row r="616" spans="1:12" x14ac:dyDescent="0.25">
      <c r="A616" s="3" t="s">
        <v>3586</v>
      </c>
      <c r="B616" s="3" t="s">
        <v>3870</v>
      </c>
      <c r="C616" s="3" t="s">
        <v>1767</v>
      </c>
      <c r="D616" s="9">
        <v>15.7</v>
      </c>
      <c r="E616" s="3"/>
      <c r="F616" s="3"/>
      <c r="G616" s="9"/>
      <c r="H616" s="10">
        <v>45672.399293981478</v>
      </c>
      <c r="I616" s="10">
        <v>45672.40116898148</v>
      </c>
      <c r="J616" s="10">
        <v>45672.404224537036</v>
      </c>
      <c r="K616" s="11">
        <v>3.0555555555555561E-3</v>
      </c>
      <c r="L616" s="13"/>
    </row>
    <row r="617" spans="1:12" x14ac:dyDescent="0.25">
      <c r="A617" s="3" t="s">
        <v>3586</v>
      </c>
      <c r="B617" s="3" t="s">
        <v>3871</v>
      </c>
      <c r="C617" s="3" t="s">
        <v>1772</v>
      </c>
      <c r="D617" s="9">
        <v>73.900000000000006</v>
      </c>
      <c r="E617" s="3"/>
      <c r="F617" s="3"/>
      <c r="G617" s="9"/>
      <c r="H617" s="10">
        <v>45672.403634259259</v>
      </c>
      <c r="I617" s="10">
        <v>45672.405914351853</v>
      </c>
      <c r="J617" s="10">
        <v>45672.40896990741</v>
      </c>
      <c r="K617" s="11">
        <v>3.0555555555555561E-3</v>
      </c>
      <c r="L617" s="13"/>
    </row>
    <row r="618" spans="1:12" x14ac:dyDescent="0.25">
      <c r="A618" s="3" t="s">
        <v>3586</v>
      </c>
      <c r="B618" s="3" t="s">
        <v>3872</v>
      </c>
      <c r="C618" s="3" t="s">
        <v>1774</v>
      </c>
      <c r="D618" s="9">
        <v>21</v>
      </c>
      <c r="E618" s="3"/>
      <c r="F618" s="3"/>
      <c r="G618" s="9"/>
      <c r="H618" s="10">
        <v>45672.425243055557</v>
      </c>
      <c r="I618" s="10">
        <v>45672.426111111112</v>
      </c>
      <c r="J618" s="10">
        <v>45672.429166666669</v>
      </c>
      <c r="K618" s="11">
        <v>3.0555555555555561E-3</v>
      </c>
      <c r="L618" s="13"/>
    </row>
    <row r="619" spans="1:12" x14ac:dyDescent="0.25">
      <c r="A619" s="3" t="s">
        <v>3586</v>
      </c>
      <c r="B619" s="3" t="s">
        <v>3873</v>
      </c>
      <c r="C619" s="3" t="s">
        <v>1782</v>
      </c>
      <c r="D619" s="9">
        <v>19.899999999999999</v>
      </c>
      <c r="E619" s="3"/>
      <c r="F619" s="3"/>
      <c r="G619" s="9"/>
      <c r="H619" s="10">
        <v>45672.649328703701</v>
      </c>
      <c r="I619" s="10">
        <v>45672.65011574074</v>
      </c>
      <c r="J619" s="10">
        <v>45672.65289351852</v>
      </c>
      <c r="K619" s="11">
        <v>2.7777777777777779E-3</v>
      </c>
      <c r="L619" s="13"/>
    </row>
    <row r="620" spans="1:12" x14ac:dyDescent="0.25">
      <c r="A620" s="3" t="s">
        <v>3586</v>
      </c>
      <c r="B620" s="3" t="s">
        <v>3874</v>
      </c>
      <c r="C620" s="3" t="s">
        <v>1784</v>
      </c>
      <c r="D620" s="9">
        <v>15.7</v>
      </c>
      <c r="E620" s="3"/>
      <c r="F620" s="3"/>
      <c r="G620" s="9"/>
      <c r="H620" s="10">
        <v>45672.651238425933</v>
      </c>
      <c r="I620" s="10">
        <v>45672.652083333327</v>
      </c>
      <c r="J620" s="10">
        <v>45672.655138888891</v>
      </c>
      <c r="K620" s="11">
        <v>3.0555555555555561E-3</v>
      </c>
      <c r="L620" s="13"/>
    </row>
    <row r="621" spans="1:12" x14ac:dyDescent="0.25">
      <c r="A621" s="3" t="s">
        <v>3586</v>
      </c>
      <c r="B621" s="3" t="s">
        <v>3875</v>
      </c>
      <c r="C621" s="3" t="s">
        <v>1786</v>
      </c>
      <c r="D621" s="9">
        <v>135</v>
      </c>
      <c r="E621" s="3"/>
      <c r="F621" s="3"/>
      <c r="G621" s="9"/>
      <c r="H621" s="10">
        <v>45672.653541666667</v>
      </c>
      <c r="I621" s="10">
        <v>45672.654374999998</v>
      </c>
      <c r="J621" s="10">
        <v>45672.657430555562</v>
      </c>
      <c r="K621" s="11">
        <v>3.0555555555555561E-3</v>
      </c>
      <c r="L621" s="13"/>
    </row>
    <row r="622" spans="1:12" x14ac:dyDescent="0.25">
      <c r="A622" s="3" t="s">
        <v>3586</v>
      </c>
      <c r="B622" s="3" t="s">
        <v>3876</v>
      </c>
      <c r="C622" s="3" t="s">
        <v>1794</v>
      </c>
      <c r="D622" s="9">
        <v>19.899999999999999</v>
      </c>
      <c r="E622" s="3"/>
      <c r="F622" s="3"/>
      <c r="G622" s="9"/>
      <c r="H622" s="10">
        <v>45672.659050925933</v>
      </c>
      <c r="I622" s="10">
        <v>45672.659884259258</v>
      </c>
      <c r="J622" s="10">
        <v>45672.662939814807</v>
      </c>
      <c r="K622" s="11">
        <v>3.0555555555555561E-3</v>
      </c>
      <c r="L622" s="13"/>
    </row>
    <row r="623" spans="1:12" x14ac:dyDescent="0.25">
      <c r="A623" s="3" t="s">
        <v>3586</v>
      </c>
      <c r="B623" s="3" t="s">
        <v>3877</v>
      </c>
      <c r="C623" s="3" t="s">
        <v>1796</v>
      </c>
      <c r="D623" s="9">
        <v>12</v>
      </c>
      <c r="E623" s="3"/>
      <c r="F623" s="3"/>
      <c r="G623" s="9"/>
      <c r="H623" s="10">
        <v>45672.660763888889</v>
      </c>
      <c r="I623" s="10">
        <v>45672.661608796298</v>
      </c>
      <c r="J623" s="10">
        <v>45672.664664351847</v>
      </c>
      <c r="K623" s="11">
        <v>3.0555555555555561E-3</v>
      </c>
      <c r="L623" s="13"/>
    </row>
    <row r="624" spans="1:12" x14ac:dyDescent="0.25">
      <c r="A624" s="3" t="s">
        <v>3586</v>
      </c>
      <c r="B624" s="3" t="s">
        <v>3878</v>
      </c>
      <c r="C624" s="3" t="s">
        <v>1798</v>
      </c>
      <c r="D624" s="9">
        <v>51.4</v>
      </c>
      <c r="E624" s="3"/>
      <c r="F624" s="3"/>
      <c r="G624" s="9"/>
      <c r="H624" s="10">
        <v>45672.66201388889</v>
      </c>
      <c r="I624" s="10">
        <v>45672.662800925929</v>
      </c>
      <c r="J624" s="10">
        <v>45672.665578703702</v>
      </c>
      <c r="K624" s="11">
        <v>2.7777777777777779E-3</v>
      </c>
      <c r="L624" s="13"/>
    </row>
    <row r="625" spans="1:12" x14ac:dyDescent="0.25">
      <c r="A625" s="3" t="s">
        <v>3586</v>
      </c>
      <c r="B625" s="3" t="s">
        <v>3879</v>
      </c>
      <c r="C625" s="3" t="s">
        <v>1803</v>
      </c>
      <c r="D625" s="9">
        <v>129</v>
      </c>
      <c r="E625" s="3"/>
      <c r="F625" s="3"/>
      <c r="G625" s="9"/>
      <c r="H625" s="10">
        <v>45672.665509259263</v>
      </c>
      <c r="I625" s="10">
        <v>45672.666342592587</v>
      </c>
      <c r="J625" s="10">
        <v>45672.669398148151</v>
      </c>
      <c r="K625" s="11">
        <v>3.0555555555555561E-3</v>
      </c>
      <c r="L625" s="13"/>
    </row>
    <row r="626" spans="1:12" x14ac:dyDescent="0.25">
      <c r="A626" s="3" t="s">
        <v>3586</v>
      </c>
      <c r="B626" s="3" t="s">
        <v>3880</v>
      </c>
      <c r="C626" s="3" t="s">
        <v>1811</v>
      </c>
      <c r="D626" s="9">
        <v>15.7</v>
      </c>
      <c r="E626" s="3"/>
      <c r="F626" s="3"/>
      <c r="G626" s="9"/>
      <c r="H626" s="10">
        <v>45672.756388888891</v>
      </c>
      <c r="I626" s="10">
        <v>45672.757256944453</v>
      </c>
      <c r="J626" s="10">
        <v>45672.760312500002</v>
      </c>
      <c r="K626" s="11">
        <v>3.0555555555555561E-3</v>
      </c>
      <c r="L626" s="13"/>
    </row>
    <row r="627" spans="1:12" x14ac:dyDescent="0.25">
      <c r="A627" s="3" t="s">
        <v>3586</v>
      </c>
      <c r="B627" s="3" t="s">
        <v>3881</v>
      </c>
      <c r="C627" s="3" t="s">
        <v>1813</v>
      </c>
      <c r="D627" s="9">
        <v>14</v>
      </c>
      <c r="E627" s="3"/>
      <c r="F627" s="3"/>
      <c r="G627" s="9"/>
      <c r="H627" s="10">
        <v>45672.757777777777</v>
      </c>
      <c r="I627" s="10">
        <v>45672.758622685193</v>
      </c>
      <c r="J627" s="10">
        <v>45672.761678240742</v>
      </c>
      <c r="K627" s="11">
        <v>3.0555555555555561E-3</v>
      </c>
      <c r="L627" s="13"/>
    </row>
    <row r="628" spans="1:12" x14ac:dyDescent="0.25">
      <c r="A628" s="3" t="s">
        <v>3586</v>
      </c>
      <c r="B628" s="3" t="s">
        <v>3882</v>
      </c>
      <c r="C628" s="3" t="s">
        <v>1815</v>
      </c>
      <c r="D628" s="9">
        <v>23.2</v>
      </c>
      <c r="E628" s="3"/>
      <c r="F628" s="3"/>
      <c r="G628" s="9"/>
      <c r="H628" s="10">
        <v>45672.759745370371</v>
      </c>
      <c r="I628" s="10">
        <v>45672.76053240741</v>
      </c>
      <c r="J628" s="10">
        <v>45672.763310185182</v>
      </c>
      <c r="K628" s="11">
        <v>2.7777777777777779E-3</v>
      </c>
      <c r="L628" s="13"/>
    </row>
    <row r="629" spans="1:12" x14ac:dyDescent="0.25">
      <c r="A629" s="3" t="s">
        <v>3586</v>
      </c>
      <c r="B629" s="3" t="s">
        <v>3883</v>
      </c>
      <c r="C629" s="3" t="s">
        <v>1817</v>
      </c>
      <c r="D629" s="9">
        <v>21</v>
      </c>
      <c r="E629" s="3"/>
      <c r="F629" s="3"/>
      <c r="G629" s="9"/>
      <c r="H629" s="10">
        <v>45672.761365740742</v>
      </c>
      <c r="I629" s="10">
        <v>45672.762233796297</v>
      </c>
      <c r="J629" s="10">
        <v>45672.765289351853</v>
      </c>
      <c r="K629" s="11">
        <v>3.0555555555555561E-3</v>
      </c>
      <c r="L629" s="13"/>
    </row>
    <row r="630" spans="1:12" x14ac:dyDescent="0.25">
      <c r="A630" s="3" t="s">
        <v>3586</v>
      </c>
      <c r="B630" s="3" t="s">
        <v>3884</v>
      </c>
      <c r="C630" s="3" t="s">
        <v>1828</v>
      </c>
      <c r="D630" s="9">
        <v>15.7</v>
      </c>
      <c r="E630" s="3"/>
      <c r="F630" s="3"/>
      <c r="G630" s="9"/>
      <c r="H630" s="10">
        <v>45672.768078703702</v>
      </c>
      <c r="I630" s="10">
        <v>45672.770289351851</v>
      </c>
      <c r="J630" s="10">
        <v>45672.773344907408</v>
      </c>
      <c r="K630" s="11">
        <v>3.0555555555555561E-3</v>
      </c>
      <c r="L630" s="13"/>
    </row>
    <row r="631" spans="1:12" x14ac:dyDescent="0.25">
      <c r="A631" s="3" t="s">
        <v>3586</v>
      </c>
      <c r="B631" s="3" t="s">
        <v>3885</v>
      </c>
      <c r="C631" s="3" t="s">
        <v>1833</v>
      </c>
      <c r="D631" s="9">
        <v>31.5</v>
      </c>
      <c r="E631" s="3"/>
      <c r="F631" s="3"/>
      <c r="G631" s="9"/>
      <c r="H631" s="10">
        <v>45672.771851851852</v>
      </c>
      <c r="I631" s="10">
        <v>45672.773784722223</v>
      </c>
      <c r="J631" s="10">
        <v>45672.776562500003</v>
      </c>
      <c r="K631" s="11">
        <v>2.7777777777777779E-3</v>
      </c>
      <c r="L631" s="13"/>
    </row>
    <row r="632" spans="1:12" x14ac:dyDescent="0.25">
      <c r="A632" s="3" t="s">
        <v>3586</v>
      </c>
      <c r="B632" s="3" t="s">
        <v>3886</v>
      </c>
      <c r="C632" s="3" t="s">
        <v>1840</v>
      </c>
      <c r="D632" s="9">
        <v>39.799999999999997</v>
      </c>
      <c r="E632" s="3"/>
      <c r="F632" s="3"/>
      <c r="G632" s="9"/>
      <c r="H632" s="10">
        <v>45673.123402777783</v>
      </c>
      <c r="I632" s="10">
        <v>45673.124247685177</v>
      </c>
      <c r="J632" s="10">
        <v>45673.127303240741</v>
      </c>
      <c r="K632" s="11">
        <v>3.0555555555555561E-3</v>
      </c>
      <c r="L632" s="13"/>
    </row>
    <row r="633" spans="1:12" x14ac:dyDescent="0.25">
      <c r="A633" s="3" t="s">
        <v>3586</v>
      </c>
      <c r="B633" s="3" t="s">
        <v>3887</v>
      </c>
      <c r="C633" s="3" t="s">
        <v>1851</v>
      </c>
      <c r="D633" s="9">
        <v>101.2</v>
      </c>
      <c r="E633" s="3"/>
      <c r="F633" s="3"/>
      <c r="G633" s="9"/>
      <c r="H633" s="10">
        <v>45673.323263888888</v>
      </c>
      <c r="I633" s="10">
        <v>45673.324131944442</v>
      </c>
      <c r="J633" s="10">
        <v>45673.327187499999</v>
      </c>
      <c r="K633" s="11">
        <v>3.0555555555555561E-3</v>
      </c>
      <c r="L633" s="13"/>
    </row>
    <row r="634" spans="1:12" x14ac:dyDescent="0.25">
      <c r="A634" s="3" t="s">
        <v>3586</v>
      </c>
      <c r="B634" s="3" t="s">
        <v>3888</v>
      </c>
      <c r="C634" s="3" t="s">
        <v>1853</v>
      </c>
      <c r="D634" s="9">
        <v>15.7</v>
      </c>
      <c r="E634" s="3"/>
      <c r="F634" s="3"/>
      <c r="G634" s="9"/>
      <c r="H634" s="10">
        <v>45673.325173611112</v>
      </c>
      <c r="I634" s="10">
        <v>45673.326018518521</v>
      </c>
      <c r="J634" s="10">
        <v>45673.329074074078</v>
      </c>
      <c r="K634" s="11">
        <v>3.0555555555555561E-3</v>
      </c>
      <c r="L634" s="13"/>
    </row>
    <row r="635" spans="1:12" x14ac:dyDescent="0.25">
      <c r="A635" s="3" t="s">
        <v>3586</v>
      </c>
      <c r="B635" s="3" t="s">
        <v>3889</v>
      </c>
      <c r="C635" s="3" t="s">
        <v>1855</v>
      </c>
      <c r="D635" s="9">
        <v>19.899999999999999</v>
      </c>
      <c r="E635" s="3"/>
      <c r="F635" s="3"/>
      <c r="G635" s="9"/>
      <c r="H635" s="10">
        <v>45673.326458333337</v>
      </c>
      <c r="I635" s="10">
        <v>45673.328923611109</v>
      </c>
      <c r="J635" s="10">
        <v>45673.331979166673</v>
      </c>
      <c r="K635" s="11">
        <v>3.0555555555555561E-3</v>
      </c>
      <c r="L635" s="13"/>
    </row>
    <row r="636" spans="1:12" x14ac:dyDescent="0.25">
      <c r="A636" s="3" t="s">
        <v>3586</v>
      </c>
      <c r="B636" s="3" t="s">
        <v>3890</v>
      </c>
      <c r="C636" s="3" t="s">
        <v>1857</v>
      </c>
      <c r="D636" s="9">
        <v>21</v>
      </c>
      <c r="E636" s="3"/>
      <c r="F636" s="3"/>
      <c r="G636" s="9"/>
      <c r="H636" s="10">
        <v>45673.32775462963</v>
      </c>
      <c r="I636" s="10">
        <v>45673.330775462957</v>
      </c>
      <c r="J636" s="10">
        <v>45673.333831018521</v>
      </c>
      <c r="K636" s="11">
        <v>3.0555555555555561E-3</v>
      </c>
      <c r="L636" s="13"/>
    </row>
    <row r="637" spans="1:12" x14ac:dyDescent="0.25">
      <c r="A637" s="3" t="s">
        <v>3586</v>
      </c>
      <c r="B637" s="3" t="s">
        <v>3891</v>
      </c>
      <c r="C637" s="3" t="s">
        <v>1859</v>
      </c>
      <c r="D637" s="9">
        <v>47.2</v>
      </c>
      <c r="E637" s="3"/>
      <c r="F637" s="3"/>
      <c r="G637" s="9"/>
      <c r="H637" s="10">
        <v>45673.329108796293</v>
      </c>
      <c r="I637" s="10">
        <v>45673.330995370372</v>
      </c>
      <c r="J637" s="10">
        <v>45673.333773148152</v>
      </c>
      <c r="K637" s="11">
        <v>2.7777777777777779E-3</v>
      </c>
      <c r="L637" s="13"/>
    </row>
    <row r="638" spans="1:12" x14ac:dyDescent="0.25">
      <c r="A638" s="3" t="s">
        <v>3586</v>
      </c>
      <c r="B638" s="3" t="s">
        <v>3892</v>
      </c>
      <c r="C638" s="3" t="s">
        <v>1861</v>
      </c>
      <c r="D638" s="9">
        <v>27</v>
      </c>
      <c r="E638" s="3"/>
      <c r="F638" s="3"/>
      <c r="G638" s="9"/>
      <c r="H638" s="10">
        <v>45673.331157407411</v>
      </c>
      <c r="I638" s="10">
        <v>45673.332025462973</v>
      </c>
      <c r="J638" s="10">
        <v>45673.335081018522</v>
      </c>
      <c r="K638" s="11">
        <v>3.0555555555555561E-3</v>
      </c>
      <c r="L638" s="13"/>
    </row>
    <row r="639" spans="1:12" x14ac:dyDescent="0.25">
      <c r="A639" s="3" t="s">
        <v>3586</v>
      </c>
      <c r="B639" s="3" t="s">
        <v>3893</v>
      </c>
      <c r="C639" s="3" t="s">
        <v>1863</v>
      </c>
      <c r="D639" s="9">
        <v>31.5</v>
      </c>
      <c r="E639" s="3"/>
      <c r="F639" s="3"/>
      <c r="G639" s="9"/>
      <c r="H639" s="10">
        <v>45673.332916666674</v>
      </c>
      <c r="I639" s="10">
        <v>45673.333784722221</v>
      </c>
      <c r="J639" s="10">
        <v>45673.336840277778</v>
      </c>
      <c r="K639" s="11">
        <v>3.0555555555555561E-3</v>
      </c>
      <c r="L639" s="13"/>
    </row>
    <row r="640" spans="1:12" x14ac:dyDescent="0.25">
      <c r="A640" s="3" t="s">
        <v>3586</v>
      </c>
      <c r="B640" s="3" t="s">
        <v>3894</v>
      </c>
      <c r="C640" s="3" t="s">
        <v>1868</v>
      </c>
      <c r="D640" s="9">
        <v>31.9</v>
      </c>
      <c r="E640" s="3"/>
      <c r="F640" s="3"/>
      <c r="G640" s="9"/>
      <c r="H640" s="10">
        <v>45673.336608796293</v>
      </c>
      <c r="I640" s="10">
        <v>45673.337476851862</v>
      </c>
      <c r="J640" s="10">
        <v>45673.340532407397</v>
      </c>
      <c r="K640" s="11">
        <v>3.0555555555555561E-3</v>
      </c>
      <c r="L640" s="13"/>
    </row>
    <row r="641" spans="1:12" x14ac:dyDescent="0.25">
      <c r="A641" s="3" t="s">
        <v>3586</v>
      </c>
      <c r="B641" s="3" t="s">
        <v>3895</v>
      </c>
      <c r="C641" s="3" t="s">
        <v>1870</v>
      </c>
      <c r="D641" s="9">
        <v>27</v>
      </c>
      <c r="E641" s="3"/>
      <c r="F641" s="3"/>
      <c r="G641" s="9"/>
      <c r="H641" s="10">
        <v>45673.33865740741</v>
      </c>
      <c r="I641" s="10">
        <v>45673.339525462958</v>
      </c>
      <c r="J641" s="10">
        <v>45673.342581018522</v>
      </c>
      <c r="K641" s="11">
        <v>3.0555555555555561E-3</v>
      </c>
      <c r="L641" s="13"/>
    </row>
    <row r="642" spans="1:12" x14ac:dyDescent="0.25">
      <c r="A642" s="3" t="s">
        <v>3586</v>
      </c>
      <c r="B642" s="3" t="s">
        <v>3896</v>
      </c>
      <c r="C642" s="3" t="s">
        <v>1878</v>
      </c>
      <c r="D642" s="9">
        <v>31.5</v>
      </c>
      <c r="E642" s="3"/>
      <c r="F642" s="3"/>
      <c r="G642" s="9"/>
      <c r="H642" s="10">
        <v>45673.396655092591</v>
      </c>
      <c r="I642" s="10">
        <v>45673.416261574072</v>
      </c>
      <c r="J642" s="10">
        <v>45673.419317129628</v>
      </c>
      <c r="K642" s="11">
        <v>3.0555555555555561E-3</v>
      </c>
      <c r="L642" s="13"/>
    </row>
    <row r="643" spans="1:12" x14ac:dyDescent="0.25">
      <c r="A643" s="3" t="s">
        <v>3586</v>
      </c>
      <c r="B643" s="3" t="s">
        <v>3897</v>
      </c>
      <c r="C643" s="3" t="s">
        <v>1880</v>
      </c>
      <c r="D643" s="9">
        <v>14</v>
      </c>
      <c r="E643" s="3"/>
      <c r="F643" s="3"/>
      <c r="G643" s="9"/>
      <c r="H643" s="10">
        <v>45673.398043981477</v>
      </c>
      <c r="I643" s="10">
        <v>45673.416261574072</v>
      </c>
      <c r="J643" s="10">
        <v>45673.419317129628</v>
      </c>
      <c r="K643" s="11">
        <v>3.0555555555555561E-3</v>
      </c>
      <c r="L643" s="13"/>
    </row>
    <row r="644" spans="1:12" x14ac:dyDescent="0.25">
      <c r="A644" s="3" t="s">
        <v>3586</v>
      </c>
      <c r="B644" s="3" t="s">
        <v>3898</v>
      </c>
      <c r="C644" s="3" t="s">
        <v>1882</v>
      </c>
      <c r="D644" s="9">
        <v>15.7</v>
      </c>
      <c r="E644" s="3"/>
      <c r="F644" s="3"/>
      <c r="G644" s="9"/>
      <c r="H644" s="10">
        <v>45673.399791666663</v>
      </c>
      <c r="I644" s="10">
        <v>45673.421053240738</v>
      </c>
      <c r="J644" s="10">
        <v>45673.424108796287</v>
      </c>
      <c r="K644" s="11">
        <v>3.0555555555555561E-3</v>
      </c>
      <c r="L644" s="13"/>
    </row>
    <row r="645" spans="1:12" x14ac:dyDescent="0.25">
      <c r="A645" s="3" t="s">
        <v>3586</v>
      </c>
      <c r="B645" s="3" t="s">
        <v>3899</v>
      </c>
      <c r="C645" s="3" t="s">
        <v>1884</v>
      </c>
      <c r="D645" s="9">
        <v>21</v>
      </c>
      <c r="E645" s="3"/>
      <c r="F645" s="3"/>
      <c r="G645" s="9"/>
      <c r="H645" s="10">
        <v>45673.401724537027</v>
      </c>
      <c r="I645" s="10">
        <v>45673.421053240738</v>
      </c>
      <c r="J645" s="10">
        <v>45673.424108796287</v>
      </c>
      <c r="K645" s="11">
        <v>3.0555555555555561E-3</v>
      </c>
      <c r="L645" s="13"/>
    </row>
    <row r="646" spans="1:12" x14ac:dyDescent="0.25">
      <c r="A646" s="3" t="s">
        <v>3586</v>
      </c>
      <c r="B646" s="3" t="s">
        <v>3900</v>
      </c>
      <c r="C646" s="3" t="s">
        <v>1886</v>
      </c>
      <c r="D646" s="9">
        <v>27</v>
      </c>
      <c r="E646" s="3"/>
      <c r="F646" s="3"/>
      <c r="G646" s="9"/>
      <c r="H646" s="10">
        <v>45673.403773148151</v>
      </c>
      <c r="I646" s="10">
        <v>45673.425844907397</v>
      </c>
      <c r="J646" s="10">
        <v>45673.428900462961</v>
      </c>
      <c r="K646" s="11">
        <v>3.0555555555555561E-3</v>
      </c>
      <c r="L646" s="13"/>
    </row>
    <row r="647" spans="1:12" x14ac:dyDescent="0.25">
      <c r="A647" s="3" t="s">
        <v>3586</v>
      </c>
      <c r="B647" s="3" t="s">
        <v>3901</v>
      </c>
      <c r="C647" s="3" t="s">
        <v>1888</v>
      </c>
      <c r="D647" s="9">
        <v>42</v>
      </c>
      <c r="E647" s="3"/>
      <c r="F647" s="3"/>
      <c r="G647" s="9"/>
      <c r="H647" s="10">
        <v>45673.405115740738</v>
      </c>
      <c r="I647" s="10">
        <v>45673.425844907397</v>
      </c>
      <c r="J647" s="10">
        <v>45673.428900462961</v>
      </c>
      <c r="K647" s="11">
        <v>3.0555555555555561E-3</v>
      </c>
      <c r="L647" s="13"/>
    </row>
    <row r="648" spans="1:12" x14ac:dyDescent="0.25">
      <c r="A648" s="3" t="s">
        <v>3586</v>
      </c>
      <c r="B648" s="3" t="s">
        <v>3902</v>
      </c>
      <c r="C648" s="3" t="s">
        <v>1890</v>
      </c>
      <c r="D648" s="9">
        <v>15.7</v>
      </c>
      <c r="E648" s="3"/>
      <c r="F648" s="3"/>
      <c r="G648" s="9"/>
      <c r="H648" s="10">
        <v>45673.407025462962</v>
      </c>
      <c r="I648" s="10">
        <v>45673.427199074067</v>
      </c>
      <c r="J648" s="10">
        <v>45673.429976851847</v>
      </c>
      <c r="K648" s="11">
        <v>2.7777777777777779E-3</v>
      </c>
      <c r="L648" s="13"/>
    </row>
    <row r="649" spans="1:12" x14ac:dyDescent="0.25">
      <c r="A649" s="3" t="s">
        <v>3586</v>
      </c>
      <c r="B649" s="3" t="s">
        <v>3903</v>
      </c>
      <c r="C649" s="3" t="s">
        <v>1892</v>
      </c>
      <c r="D649" s="9">
        <v>19.899999999999999</v>
      </c>
      <c r="E649" s="3"/>
      <c r="F649" s="3"/>
      <c r="G649" s="9"/>
      <c r="H649" s="10">
        <v>45673.408541666657</v>
      </c>
      <c r="I649" s="10">
        <v>45673.42732638889</v>
      </c>
      <c r="J649" s="10">
        <v>45673.430381944447</v>
      </c>
      <c r="K649" s="11">
        <v>3.0555555555555561E-3</v>
      </c>
      <c r="L649" s="13"/>
    </row>
    <row r="650" spans="1:12" x14ac:dyDescent="0.25">
      <c r="A650" s="3" t="s">
        <v>3586</v>
      </c>
      <c r="B650" s="3" t="s">
        <v>3904</v>
      </c>
      <c r="C650" s="3" t="s">
        <v>1894</v>
      </c>
      <c r="D650" s="9">
        <v>59.7</v>
      </c>
      <c r="E650" s="3"/>
      <c r="F650" s="3"/>
      <c r="G650" s="9"/>
      <c r="H650" s="10">
        <v>45673.409918981481</v>
      </c>
      <c r="I650" s="10">
        <v>45673.429201388892</v>
      </c>
      <c r="J650" s="10">
        <v>45673.431979166657</v>
      </c>
      <c r="K650" s="11">
        <v>2.7777777777777779E-3</v>
      </c>
      <c r="L650" s="13"/>
    </row>
    <row r="651" spans="1:12" x14ac:dyDescent="0.25">
      <c r="A651" s="3" t="s">
        <v>3586</v>
      </c>
      <c r="B651" s="3" t="s">
        <v>3905</v>
      </c>
      <c r="C651" s="3" t="s">
        <v>1896</v>
      </c>
      <c r="D651" s="9">
        <v>170.9</v>
      </c>
      <c r="E651" s="3"/>
      <c r="F651" s="3"/>
      <c r="G651" s="9"/>
      <c r="H651" s="10">
        <v>45673.429201388892</v>
      </c>
      <c r="I651" s="10">
        <v>45673.430046296293</v>
      </c>
      <c r="J651" s="10">
        <v>45673.43310185185</v>
      </c>
      <c r="K651" s="11">
        <v>3.0555555555555561E-3</v>
      </c>
      <c r="L651" s="13"/>
    </row>
    <row r="652" spans="1:12" x14ac:dyDescent="0.25">
      <c r="A652" s="3" t="s">
        <v>3586</v>
      </c>
      <c r="B652" s="3" t="s">
        <v>3906</v>
      </c>
      <c r="C652" s="3" t="s">
        <v>1916</v>
      </c>
      <c r="D652" s="9">
        <v>42</v>
      </c>
      <c r="E652" s="3"/>
      <c r="F652" s="3"/>
      <c r="G652" s="9"/>
      <c r="H652" s="10">
        <v>45673.630740740737</v>
      </c>
      <c r="I652" s="10">
        <v>45673.631608796299</v>
      </c>
      <c r="J652" s="10">
        <v>45673.634664351863</v>
      </c>
      <c r="K652" s="11">
        <v>3.0555555555555561E-3</v>
      </c>
      <c r="L652" s="13"/>
    </row>
    <row r="653" spans="1:12" x14ac:dyDescent="0.25">
      <c r="A653" s="3" t="s">
        <v>3586</v>
      </c>
      <c r="B653" s="3" t="s">
        <v>3907</v>
      </c>
      <c r="C653" s="3" t="s">
        <v>1921</v>
      </c>
      <c r="D653" s="9">
        <v>15.7</v>
      </c>
      <c r="E653" s="3"/>
      <c r="F653" s="3"/>
      <c r="G653" s="9"/>
      <c r="H653" s="10">
        <v>45673.633993055562</v>
      </c>
      <c r="I653" s="10">
        <v>45673.634826388887</v>
      </c>
      <c r="J653" s="10">
        <v>45673.637881944444</v>
      </c>
      <c r="K653" s="11">
        <v>3.0555555555555561E-3</v>
      </c>
      <c r="L653" s="13"/>
    </row>
    <row r="654" spans="1:12" x14ac:dyDescent="0.25">
      <c r="A654" s="3" t="s">
        <v>3586</v>
      </c>
      <c r="B654" s="3" t="s">
        <v>3908</v>
      </c>
      <c r="C654" s="3" t="s">
        <v>1923</v>
      </c>
      <c r="D654" s="9">
        <v>19.899999999999999</v>
      </c>
      <c r="E654" s="3"/>
      <c r="F654" s="3"/>
      <c r="G654" s="9"/>
      <c r="H654" s="10">
        <v>45673.635497685187</v>
      </c>
      <c r="I654" s="10">
        <v>45673.636296296303</v>
      </c>
      <c r="J654" s="10">
        <v>45673.639074074083</v>
      </c>
      <c r="K654" s="11">
        <v>2.7777777777777779E-3</v>
      </c>
      <c r="L654" s="13"/>
    </row>
    <row r="655" spans="1:12" x14ac:dyDescent="0.25">
      <c r="A655" s="3" t="s">
        <v>3586</v>
      </c>
      <c r="B655" s="3" t="s">
        <v>3909</v>
      </c>
      <c r="C655" s="3" t="s">
        <v>1925</v>
      </c>
      <c r="D655" s="9">
        <v>15.7</v>
      </c>
      <c r="E655" s="3"/>
      <c r="F655" s="3"/>
      <c r="G655" s="9"/>
      <c r="H655" s="10">
        <v>45673.637418981481</v>
      </c>
      <c r="I655" s="10">
        <v>45673.638287037043</v>
      </c>
      <c r="J655" s="10">
        <v>45673.641342592593</v>
      </c>
      <c r="K655" s="11">
        <v>3.0555555555555561E-3</v>
      </c>
      <c r="L655" s="13"/>
    </row>
    <row r="656" spans="1:12" x14ac:dyDescent="0.25">
      <c r="A656" s="3" t="s">
        <v>3586</v>
      </c>
      <c r="B656" s="3" t="s">
        <v>3910</v>
      </c>
      <c r="C656" s="3" t="s">
        <v>1936</v>
      </c>
      <c r="D656" s="9">
        <v>61.9</v>
      </c>
      <c r="E656" s="3"/>
      <c r="F656" s="3"/>
      <c r="G656" s="9"/>
      <c r="H656" s="10">
        <v>45673.679247685177</v>
      </c>
      <c r="I656" s="10">
        <v>45673.680092592593</v>
      </c>
      <c r="J656" s="10">
        <v>45673.683148148149</v>
      </c>
      <c r="K656" s="11">
        <v>3.0555555555555561E-3</v>
      </c>
      <c r="L656" s="13"/>
    </row>
    <row r="657" spans="1:12" x14ac:dyDescent="0.25">
      <c r="A657" s="3" t="s">
        <v>3586</v>
      </c>
      <c r="B657" s="3" t="s">
        <v>3911</v>
      </c>
      <c r="C657" s="3" t="s">
        <v>1938</v>
      </c>
      <c r="D657" s="9">
        <v>57.4</v>
      </c>
      <c r="E657" s="3"/>
      <c r="F657" s="3"/>
      <c r="G657" s="9"/>
      <c r="H657" s="10">
        <v>45673.681296296287</v>
      </c>
      <c r="I657" s="10">
        <v>45673.682164351849</v>
      </c>
      <c r="J657" s="10">
        <v>45673.685219907413</v>
      </c>
      <c r="K657" s="11">
        <v>3.0555555555555561E-3</v>
      </c>
      <c r="L657" s="13"/>
    </row>
    <row r="658" spans="1:12" x14ac:dyDescent="0.25">
      <c r="A658" s="3" t="s">
        <v>3586</v>
      </c>
      <c r="B658" s="3" t="s">
        <v>3912</v>
      </c>
      <c r="C658" s="3" t="s">
        <v>1940</v>
      </c>
      <c r="D658" s="9">
        <v>27</v>
      </c>
      <c r="E658" s="3"/>
      <c r="F658" s="3"/>
      <c r="G658" s="9"/>
      <c r="H658" s="10">
        <v>45673.742754629631</v>
      </c>
      <c r="I658" s="10">
        <v>45673.743541666663</v>
      </c>
      <c r="J658" s="10">
        <v>45673.746319444443</v>
      </c>
      <c r="K658" s="11">
        <v>2.7777777777777779E-3</v>
      </c>
      <c r="L658" s="13"/>
    </row>
    <row r="659" spans="1:12" x14ac:dyDescent="0.25">
      <c r="A659" s="3" t="s">
        <v>3586</v>
      </c>
      <c r="B659" s="3" t="s">
        <v>3913</v>
      </c>
      <c r="C659" s="3" t="s">
        <v>1942</v>
      </c>
      <c r="D659" s="9">
        <v>42</v>
      </c>
      <c r="E659" s="3"/>
      <c r="F659" s="3"/>
      <c r="G659" s="9"/>
      <c r="H659" s="10">
        <v>45673.744722222233</v>
      </c>
      <c r="I659" s="10">
        <v>45673.74559027778</v>
      </c>
      <c r="J659" s="10">
        <v>45673.748645833337</v>
      </c>
      <c r="K659" s="11">
        <v>3.0555555555555561E-3</v>
      </c>
      <c r="L659" s="13"/>
    </row>
    <row r="660" spans="1:12" x14ac:dyDescent="0.25">
      <c r="A660" s="3" t="s">
        <v>3586</v>
      </c>
      <c r="B660" s="3" t="s">
        <v>3914</v>
      </c>
      <c r="C660" s="3" t="s">
        <v>1947</v>
      </c>
      <c r="D660" s="9">
        <v>40.9</v>
      </c>
      <c r="E660" s="3"/>
      <c r="F660" s="3"/>
      <c r="G660" s="9"/>
      <c r="H660" s="10">
        <v>45673.748842592591</v>
      </c>
      <c r="I660" s="10">
        <v>45673.74962962963</v>
      </c>
      <c r="J660" s="10">
        <v>45673.75240740741</v>
      </c>
      <c r="K660" s="11">
        <v>2.7777777777777779E-3</v>
      </c>
      <c r="L660" s="13"/>
    </row>
    <row r="661" spans="1:12" x14ac:dyDescent="0.25">
      <c r="A661" s="3" t="s">
        <v>3586</v>
      </c>
      <c r="B661" s="3" t="s">
        <v>3915</v>
      </c>
      <c r="C661" s="3" t="s">
        <v>1952</v>
      </c>
      <c r="D661" s="9">
        <v>14</v>
      </c>
      <c r="E661" s="3"/>
      <c r="F661" s="3"/>
      <c r="G661" s="9"/>
      <c r="H661" s="10">
        <v>45673.849768518521</v>
      </c>
      <c r="I661" s="10">
        <v>45673.850555555553</v>
      </c>
      <c r="J661" s="10">
        <v>45673.853333333333</v>
      </c>
      <c r="K661" s="11">
        <v>2.7777777777777779E-3</v>
      </c>
      <c r="L661" s="13"/>
    </row>
    <row r="662" spans="1:12" x14ac:dyDescent="0.25">
      <c r="A662" s="3" t="s">
        <v>3586</v>
      </c>
      <c r="B662" s="3" t="s">
        <v>3916</v>
      </c>
      <c r="C662" s="3" t="s">
        <v>1957</v>
      </c>
      <c r="D662" s="9">
        <v>19.899999999999999</v>
      </c>
      <c r="E662" s="3"/>
      <c r="F662" s="3"/>
      <c r="G662" s="9"/>
      <c r="H662" s="10">
        <v>45673.853518518517</v>
      </c>
      <c r="I662" s="10">
        <v>45673.85428240741</v>
      </c>
      <c r="J662" s="10">
        <v>45673.857060185182</v>
      </c>
      <c r="K662" s="11">
        <v>2.7777777777777779E-3</v>
      </c>
      <c r="L662" s="13"/>
    </row>
    <row r="663" spans="1:12" x14ac:dyDescent="0.25">
      <c r="A663" s="3" t="s">
        <v>3586</v>
      </c>
      <c r="B663" s="3" t="s">
        <v>3917</v>
      </c>
      <c r="C663" s="3" t="s">
        <v>1959</v>
      </c>
      <c r="D663" s="9">
        <v>15.7</v>
      </c>
      <c r="E663" s="3"/>
      <c r="F663" s="3"/>
      <c r="G663" s="9"/>
      <c r="H663" s="10">
        <v>45673.855266203696</v>
      </c>
      <c r="I663" s="10">
        <v>45673.856053240743</v>
      </c>
      <c r="J663" s="10">
        <v>45673.858831018522</v>
      </c>
      <c r="K663" s="11">
        <v>2.7777777777777779E-3</v>
      </c>
      <c r="L663" s="13"/>
    </row>
    <row r="664" spans="1:12" x14ac:dyDescent="0.25">
      <c r="A664" s="3" t="s">
        <v>3586</v>
      </c>
      <c r="B664" s="3" t="s">
        <v>3918</v>
      </c>
      <c r="C664" s="3" t="s">
        <v>1961</v>
      </c>
      <c r="D664" s="9">
        <v>27</v>
      </c>
      <c r="E664" s="3"/>
      <c r="F664" s="3"/>
      <c r="G664" s="9"/>
      <c r="H664" s="10">
        <v>45673.856574074067</v>
      </c>
      <c r="I664" s="10">
        <v>45673.857442129629</v>
      </c>
      <c r="J664" s="10">
        <v>45673.860497685193</v>
      </c>
      <c r="K664" s="11">
        <v>3.0555555555555561E-3</v>
      </c>
      <c r="L664" s="13"/>
    </row>
    <row r="665" spans="1:12" x14ac:dyDescent="0.25">
      <c r="A665" s="3" t="s">
        <v>3586</v>
      </c>
      <c r="B665" s="3" t="s">
        <v>3919</v>
      </c>
      <c r="C665" s="3" t="s">
        <v>1963</v>
      </c>
      <c r="D665" s="9">
        <v>15.7</v>
      </c>
      <c r="E665" s="3"/>
      <c r="F665" s="3"/>
      <c r="G665" s="9"/>
      <c r="H665" s="10">
        <v>45673.858194444438</v>
      </c>
      <c r="I665" s="10">
        <v>45673.858958333331</v>
      </c>
      <c r="J665" s="10">
        <v>45673.86173611111</v>
      </c>
      <c r="K665" s="11">
        <v>2.7777777777777779E-3</v>
      </c>
      <c r="L665" s="13"/>
    </row>
    <row r="666" spans="1:12" x14ac:dyDescent="0.25">
      <c r="A666" s="3" t="s">
        <v>3586</v>
      </c>
      <c r="B666" s="3" t="s">
        <v>3920</v>
      </c>
      <c r="C666" s="3" t="s">
        <v>1968</v>
      </c>
      <c r="D666" s="9">
        <v>145.9</v>
      </c>
      <c r="E666" s="3"/>
      <c r="F666" s="3"/>
      <c r="G666" s="9"/>
      <c r="H666" s="10">
        <v>45674.126550925917</v>
      </c>
      <c r="I666" s="10">
        <v>45674.127418981479</v>
      </c>
      <c r="J666" s="10">
        <v>45674.130474537043</v>
      </c>
      <c r="K666" s="11">
        <v>3.0555555555555561E-3</v>
      </c>
      <c r="L666" s="13"/>
    </row>
    <row r="667" spans="1:12" x14ac:dyDescent="0.25">
      <c r="A667" s="3" t="s">
        <v>3586</v>
      </c>
      <c r="B667" s="3" t="s">
        <v>3921</v>
      </c>
      <c r="C667" s="3" t="s">
        <v>1970</v>
      </c>
      <c r="D667" s="9">
        <v>15.7</v>
      </c>
      <c r="E667" s="3"/>
      <c r="F667" s="3"/>
      <c r="G667" s="9"/>
      <c r="H667" s="10">
        <v>45674.128472222219</v>
      </c>
      <c r="I667" s="10">
        <v>45674.129305555558</v>
      </c>
      <c r="J667" s="10">
        <v>45674.132361111107</v>
      </c>
      <c r="K667" s="11">
        <v>3.0555555555555561E-3</v>
      </c>
      <c r="L667" s="13"/>
    </row>
    <row r="668" spans="1:12" x14ac:dyDescent="0.25">
      <c r="A668" s="3" t="s">
        <v>3586</v>
      </c>
      <c r="B668" s="3" t="s">
        <v>3922</v>
      </c>
      <c r="C668" s="3" t="s">
        <v>1975</v>
      </c>
      <c r="D668" s="9">
        <v>35.6</v>
      </c>
      <c r="E668" s="3"/>
      <c r="F668" s="3"/>
      <c r="G668" s="9"/>
      <c r="H668" s="10">
        <v>45674.131956018522</v>
      </c>
      <c r="I668" s="10">
        <v>45674.132824074077</v>
      </c>
      <c r="J668" s="10">
        <v>45674.135879629634</v>
      </c>
      <c r="K668" s="11">
        <v>3.0555555555555561E-3</v>
      </c>
      <c r="L668" s="13"/>
    </row>
    <row r="669" spans="1:12" x14ac:dyDescent="0.25">
      <c r="A669" s="3" t="s">
        <v>3586</v>
      </c>
      <c r="B669" s="3" t="s">
        <v>3923</v>
      </c>
      <c r="C669" s="3" t="s">
        <v>1977</v>
      </c>
      <c r="D669" s="9">
        <v>513.29999999999995</v>
      </c>
      <c r="E669" s="3"/>
      <c r="F669" s="3"/>
      <c r="G669" s="9"/>
      <c r="H669" s="10">
        <v>45674.19771990741</v>
      </c>
      <c r="I669" s="10">
        <v>45674.198495370372</v>
      </c>
      <c r="J669" s="10">
        <v>45674.201273148137</v>
      </c>
      <c r="K669" s="11">
        <v>2.7777777777777779E-3</v>
      </c>
      <c r="L669" s="13"/>
    </row>
    <row r="670" spans="1:12" x14ac:dyDescent="0.25">
      <c r="A670" s="3" t="s">
        <v>3586</v>
      </c>
      <c r="B670" s="3" t="s">
        <v>3924</v>
      </c>
      <c r="C670" s="3" t="s">
        <v>1981</v>
      </c>
      <c r="D670" s="9">
        <v>43.1</v>
      </c>
      <c r="E670" s="3"/>
      <c r="F670" s="3"/>
      <c r="G670" s="9"/>
      <c r="H670" s="10">
        <v>45674.309293981481</v>
      </c>
      <c r="I670" s="10">
        <v>45674.310069444437</v>
      </c>
      <c r="J670" s="10">
        <v>45674.312847222223</v>
      </c>
      <c r="K670" s="11">
        <v>2.7777777777777779E-3</v>
      </c>
      <c r="L670" s="13"/>
    </row>
    <row r="671" spans="1:12" x14ac:dyDescent="0.25">
      <c r="A671" s="3" t="s">
        <v>3586</v>
      </c>
      <c r="B671" s="3" t="s">
        <v>3925</v>
      </c>
      <c r="C671" s="3" t="s">
        <v>1986</v>
      </c>
      <c r="D671" s="9">
        <v>15.7</v>
      </c>
      <c r="E671" s="3"/>
      <c r="F671" s="3"/>
      <c r="G671" s="9"/>
      <c r="H671" s="10">
        <v>45674.313379629632</v>
      </c>
      <c r="I671" s="10">
        <v>45674.314212962963</v>
      </c>
      <c r="J671" s="10">
        <v>45674.31726851852</v>
      </c>
      <c r="K671" s="11">
        <v>3.0555555555555561E-3</v>
      </c>
      <c r="L671" s="13"/>
    </row>
    <row r="672" spans="1:12" x14ac:dyDescent="0.25">
      <c r="A672" s="3" t="s">
        <v>3586</v>
      </c>
      <c r="B672" s="3" t="s">
        <v>3926</v>
      </c>
      <c r="C672" s="3" t="s">
        <v>1988</v>
      </c>
      <c r="D672" s="9">
        <v>51.4</v>
      </c>
      <c r="E672" s="3"/>
      <c r="F672" s="3"/>
      <c r="G672" s="9"/>
      <c r="H672" s="10">
        <v>45674.314618055563</v>
      </c>
      <c r="I672" s="10">
        <v>45674.315486111111</v>
      </c>
      <c r="J672" s="10">
        <v>45674.318541666667</v>
      </c>
      <c r="K672" s="11">
        <v>3.0555555555555561E-3</v>
      </c>
      <c r="L672" s="13"/>
    </row>
    <row r="673" spans="1:12" x14ac:dyDescent="0.25">
      <c r="A673" s="3" t="s">
        <v>3586</v>
      </c>
      <c r="B673" s="3" t="s">
        <v>3927</v>
      </c>
      <c r="C673" s="3" t="s">
        <v>1999</v>
      </c>
      <c r="D673" s="9">
        <v>116.9</v>
      </c>
      <c r="E673" s="3"/>
      <c r="F673" s="3"/>
      <c r="G673" s="9"/>
      <c r="H673" s="10">
        <v>45674.322418981479</v>
      </c>
      <c r="I673" s="10">
        <v>45674.323263888888</v>
      </c>
      <c r="J673" s="10">
        <v>45674.326319444437</v>
      </c>
      <c r="K673" s="11">
        <v>3.0555555555555561E-3</v>
      </c>
      <c r="L673" s="13"/>
    </row>
    <row r="674" spans="1:12" x14ac:dyDescent="0.25">
      <c r="A674" s="3" t="s">
        <v>3586</v>
      </c>
      <c r="B674" s="3" t="s">
        <v>3928</v>
      </c>
      <c r="C674" s="3" t="s">
        <v>2001</v>
      </c>
      <c r="D674" s="9">
        <v>12</v>
      </c>
      <c r="E674" s="3"/>
      <c r="F674" s="3"/>
      <c r="G674" s="9"/>
      <c r="H674" s="10">
        <v>45674.324363425927</v>
      </c>
      <c r="I674" s="10">
        <v>45674.325231481482</v>
      </c>
      <c r="J674" s="10">
        <v>45674.328287037039</v>
      </c>
      <c r="K674" s="11">
        <v>3.0555555555555561E-3</v>
      </c>
      <c r="L674" s="13"/>
    </row>
    <row r="675" spans="1:12" x14ac:dyDescent="0.25">
      <c r="A675" s="3" t="s">
        <v>3586</v>
      </c>
      <c r="B675" s="3" t="s">
        <v>3929</v>
      </c>
      <c r="C675" s="3" t="s">
        <v>2006</v>
      </c>
      <c r="D675" s="9">
        <v>287.89999999999998</v>
      </c>
      <c r="E675" s="3"/>
      <c r="F675" s="3"/>
      <c r="G675" s="9"/>
      <c r="H675" s="10">
        <v>45674.342893518522</v>
      </c>
      <c r="I675" s="10">
        <v>45674.343726851846</v>
      </c>
      <c r="J675" s="10">
        <v>45674.346782407411</v>
      </c>
      <c r="K675" s="11">
        <v>3.0555555555555561E-3</v>
      </c>
      <c r="L675" s="13"/>
    </row>
    <row r="676" spans="1:12" x14ac:dyDescent="0.25">
      <c r="A676" s="3" t="s">
        <v>3586</v>
      </c>
      <c r="B676" s="3" t="s">
        <v>3930</v>
      </c>
      <c r="C676" s="3" t="s">
        <v>2016</v>
      </c>
      <c r="D676" s="9">
        <v>15.7</v>
      </c>
      <c r="E676" s="3"/>
      <c r="F676" s="3"/>
      <c r="G676" s="9"/>
      <c r="H676" s="10">
        <v>45674.386956018519</v>
      </c>
      <c r="I676" s="10">
        <v>45674.387824074067</v>
      </c>
      <c r="J676" s="10">
        <v>45674.390879629631</v>
      </c>
      <c r="K676" s="11">
        <v>3.0555555555555561E-3</v>
      </c>
      <c r="L676" s="13"/>
    </row>
    <row r="677" spans="1:12" x14ac:dyDescent="0.25">
      <c r="A677" s="3" t="s">
        <v>3586</v>
      </c>
      <c r="B677" s="3" t="s">
        <v>3931</v>
      </c>
      <c r="C677" s="3" t="s">
        <v>2021</v>
      </c>
      <c r="D677" s="9">
        <v>14</v>
      </c>
      <c r="E677" s="3"/>
      <c r="F677" s="3"/>
      <c r="G677" s="9"/>
      <c r="H677" s="10">
        <v>45674.390381944453</v>
      </c>
      <c r="I677" s="10">
        <v>45674.391168981478</v>
      </c>
      <c r="J677" s="10">
        <v>45674.393946759257</v>
      </c>
      <c r="K677" s="11">
        <v>2.7777777777777779E-3</v>
      </c>
      <c r="L677" s="13"/>
    </row>
    <row r="678" spans="1:12" x14ac:dyDescent="0.25">
      <c r="A678" s="3" t="s">
        <v>3586</v>
      </c>
      <c r="B678" s="3" t="s">
        <v>3932</v>
      </c>
      <c r="C678" s="3" t="s">
        <v>2026</v>
      </c>
      <c r="D678" s="9">
        <v>94.9</v>
      </c>
      <c r="E678" s="3"/>
      <c r="F678" s="3"/>
      <c r="G678" s="9"/>
      <c r="H678" s="10">
        <v>45674.39403935185</v>
      </c>
      <c r="I678" s="10">
        <v>45674.394907407397</v>
      </c>
      <c r="J678" s="10">
        <v>45674.397962962961</v>
      </c>
      <c r="K678" s="11">
        <v>3.0555555555555561E-3</v>
      </c>
      <c r="L678" s="13"/>
    </row>
    <row r="679" spans="1:12" x14ac:dyDescent="0.25">
      <c r="A679" s="3" t="s">
        <v>3586</v>
      </c>
      <c r="B679" s="3" t="s">
        <v>3933</v>
      </c>
      <c r="C679" s="3" t="s">
        <v>2028</v>
      </c>
      <c r="D679" s="9">
        <v>81</v>
      </c>
      <c r="E679" s="3"/>
      <c r="F679" s="3"/>
      <c r="G679" s="9"/>
      <c r="H679" s="10">
        <v>45674.39607638889</v>
      </c>
      <c r="I679" s="10">
        <v>45674.396944444437</v>
      </c>
      <c r="J679" s="10">
        <v>45674.400000000001</v>
      </c>
      <c r="K679" s="11">
        <v>3.0555555555555561E-3</v>
      </c>
      <c r="L679" s="13"/>
    </row>
    <row r="680" spans="1:12" x14ac:dyDescent="0.25">
      <c r="A680" s="3" t="s">
        <v>3586</v>
      </c>
      <c r="B680" s="3" t="s">
        <v>3934</v>
      </c>
      <c r="C680" s="3" t="s">
        <v>2030</v>
      </c>
      <c r="D680" s="9">
        <v>15.7</v>
      </c>
      <c r="E680" s="3"/>
      <c r="F680" s="3"/>
      <c r="G680" s="9"/>
      <c r="H680" s="10">
        <v>45674.397951388892</v>
      </c>
      <c r="I680" s="10">
        <v>45674.39875</v>
      </c>
      <c r="J680" s="10">
        <v>45674.40152777778</v>
      </c>
      <c r="K680" s="11">
        <v>2.7777777777777779E-3</v>
      </c>
      <c r="L680" s="13"/>
    </row>
    <row r="681" spans="1:12" x14ac:dyDescent="0.25">
      <c r="A681" s="3" t="s">
        <v>3586</v>
      </c>
      <c r="B681" s="3" t="s">
        <v>3935</v>
      </c>
      <c r="C681" s="3" t="s">
        <v>2064</v>
      </c>
      <c r="D681" s="9">
        <v>155.9</v>
      </c>
      <c r="E681" s="3"/>
      <c r="F681" s="3"/>
      <c r="G681" s="9"/>
      <c r="H681" s="10">
        <v>45674.864618055559</v>
      </c>
      <c r="I681" s="10">
        <v>45674.865381944437</v>
      </c>
      <c r="J681" s="10">
        <v>45674.868159722217</v>
      </c>
      <c r="K681" s="11">
        <v>2.7777777777777779E-3</v>
      </c>
      <c r="L681" s="13"/>
    </row>
    <row r="682" spans="1:12" x14ac:dyDescent="0.25">
      <c r="A682" s="3" t="s">
        <v>3586</v>
      </c>
      <c r="B682" s="3" t="s">
        <v>3936</v>
      </c>
      <c r="C682" s="3" t="s">
        <v>2066</v>
      </c>
      <c r="D682" s="9">
        <v>19.899999999999999</v>
      </c>
      <c r="E682" s="3"/>
      <c r="F682" s="3"/>
      <c r="G682" s="9"/>
      <c r="H682" s="10">
        <v>45674.866122685176</v>
      </c>
      <c r="I682" s="10">
        <v>45674.866956018523</v>
      </c>
      <c r="J682" s="10">
        <v>45674.870011574072</v>
      </c>
      <c r="K682" s="11">
        <v>3.0555555555555561E-3</v>
      </c>
      <c r="L682" s="13"/>
    </row>
    <row r="683" spans="1:12" x14ac:dyDescent="0.25">
      <c r="A683" s="3" t="s">
        <v>3586</v>
      </c>
      <c r="B683" s="3" t="s">
        <v>3937</v>
      </c>
      <c r="C683" s="3" t="s">
        <v>2072</v>
      </c>
      <c r="D683" s="9">
        <v>54</v>
      </c>
      <c r="E683" s="3"/>
      <c r="F683" s="3"/>
      <c r="G683" s="9"/>
      <c r="H683" s="10">
        <v>45675.032881944448</v>
      </c>
      <c r="I683" s="10">
        <v>45675.033750000002</v>
      </c>
      <c r="J683" s="10">
        <v>45675.036805555559</v>
      </c>
      <c r="K683" s="11">
        <v>3.0555555555555561E-3</v>
      </c>
      <c r="L683" s="13"/>
    </row>
    <row r="684" spans="1:12" x14ac:dyDescent="0.25">
      <c r="A684" s="3" t="s">
        <v>3586</v>
      </c>
      <c r="B684" s="3" t="s">
        <v>3938</v>
      </c>
      <c r="C684" s="3" t="s">
        <v>2075</v>
      </c>
      <c r="D684" s="9">
        <v>52.9</v>
      </c>
      <c r="E684" s="3"/>
      <c r="F684" s="3"/>
      <c r="G684" s="9"/>
      <c r="H684" s="10">
        <v>45675.034699074073</v>
      </c>
      <c r="I684" s="10">
        <v>45675.035462962973</v>
      </c>
      <c r="J684" s="10">
        <v>45675.038240740738</v>
      </c>
      <c r="K684" s="11">
        <v>2.7777777777777779E-3</v>
      </c>
      <c r="L684" s="13"/>
    </row>
    <row r="685" spans="1:12" x14ac:dyDescent="0.25">
      <c r="A685" s="3" t="s">
        <v>3586</v>
      </c>
      <c r="B685" s="3" t="s">
        <v>3939</v>
      </c>
      <c r="C685" s="3" t="s">
        <v>2077</v>
      </c>
      <c r="D685" s="9">
        <v>31.5</v>
      </c>
      <c r="E685" s="3"/>
      <c r="F685" s="3"/>
      <c r="G685" s="9"/>
      <c r="H685" s="10">
        <v>45675.251331018517</v>
      </c>
      <c r="I685" s="10">
        <v>45675.252199074072</v>
      </c>
      <c r="J685" s="10">
        <v>45675.255254629628</v>
      </c>
      <c r="K685" s="11">
        <v>3.0555555555555561E-3</v>
      </c>
      <c r="L685" s="13"/>
    </row>
    <row r="686" spans="1:12" x14ac:dyDescent="0.25">
      <c r="A686" s="3" t="s">
        <v>3586</v>
      </c>
      <c r="B686" s="3" t="s">
        <v>3940</v>
      </c>
      <c r="C686" s="3" t="s">
        <v>2083</v>
      </c>
      <c r="D686" s="9">
        <v>47.2</v>
      </c>
      <c r="E686" s="3"/>
      <c r="F686" s="3"/>
      <c r="G686" s="9"/>
      <c r="H686" s="10">
        <v>45675.288634259261</v>
      </c>
      <c r="I686" s="10">
        <v>45675.289421296293</v>
      </c>
      <c r="J686" s="10">
        <v>45675.292199074072</v>
      </c>
      <c r="K686" s="11">
        <v>2.7777777777777779E-3</v>
      </c>
      <c r="L686" s="13"/>
    </row>
    <row r="687" spans="1:12" x14ac:dyDescent="0.25">
      <c r="A687" s="3" t="s">
        <v>3586</v>
      </c>
      <c r="B687" s="3" t="s">
        <v>3941</v>
      </c>
      <c r="C687" s="3" t="s">
        <v>2095</v>
      </c>
      <c r="D687" s="9">
        <v>27</v>
      </c>
      <c r="E687" s="3"/>
      <c r="F687" s="3"/>
      <c r="G687" s="9"/>
      <c r="H687" s="10">
        <v>45675.295798611107</v>
      </c>
      <c r="I687" s="10">
        <v>45675.296643518523</v>
      </c>
      <c r="J687" s="10">
        <v>45675.299699074072</v>
      </c>
      <c r="K687" s="11">
        <v>3.0555555555555561E-3</v>
      </c>
      <c r="L687" s="13"/>
    </row>
    <row r="688" spans="1:12" x14ac:dyDescent="0.25">
      <c r="A688" s="3" t="s">
        <v>3586</v>
      </c>
      <c r="B688" s="3" t="s">
        <v>3942</v>
      </c>
      <c r="C688" s="3" t="s">
        <v>2097</v>
      </c>
      <c r="D688" s="9">
        <v>39</v>
      </c>
      <c r="E688" s="3"/>
      <c r="F688" s="3"/>
      <c r="G688" s="9"/>
      <c r="H688" s="10">
        <v>45675.297766203701</v>
      </c>
      <c r="I688" s="10">
        <v>45675.298634259263</v>
      </c>
      <c r="J688" s="10">
        <v>45675.301689814813</v>
      </c>
      <c r="K688" s="11">
        <v>3.0555555555555561E-3</v>
      </c>
      <c r="L688" s="13"/>
    </row>
    <row r="689" spans="1:12" x14ac:dyDescent="0.25">
      <c r="A689" s="3" t="s">
        <v>3586</v>
      </c>
      <c r="B689" s="3" t="s">
        <v>3943</v>
      </c>
      <c r="C689" s="3" t="s">
        <v>2100</v>
      </c>
      <c r="D689" s="9">
        <v>16.5</v>
      </c>
      <c r="E689" s="3"/>
      <c r="F689" s="3"/>
      <c r="G689" s="9"/>
      <c r="H689" s="10">
        <v>45675.298935185187</v>
      </c>
      <c r="I689" s="10">
        <v>45675.299803240741</v>
      </c>
      <c r="J689" s="10">
        <v>45675.302858796298</v>
      </c>
      <c r="K689" s="11">
        <v>3.0555555555555561E-3</v>
      </c>
      <c r="L689" s="13"/>
    </row>
    <row r="690" spans="1:12" x14ac:dyDescent="0.25">
      <c r="A690" s="3" t="s">
        <v>3586</v>
      </c>
      <c r="B690" s="3" t="s">
        <v>3944</v>
      </c>
      <c r="C690" s="3" t="s">
        <v>2109</v>
      </c>
      <c r="D690" s="9">
        <v>37.5</v>
      </c>
      <c r="E690" s="3"/>
      <c r="F690" s="3"/>
      <c r="G690" s="9"/>
      <c r="H690" s="10">
        <v>45676.853935185187</v>
      </c>
      <c r="I690" s="10">
        <v>45676.854803240742</v>
      </c>
      <c r="J690" s="10">
        <v>45676.857858796298</v>
      </c>
      <c r="K690" s="11">
        <v>3.0555555555555561E-3</v>
      </c>
      <c r="L690" s="13"/>
    </row>
    <row r="691" spans="1:12" x14ac:dyDescent="0.25">
      <c r="A691" s="3" t="s">
        <v>3586</v>
      </c>
      <c r="B691" s="3" t="s">
        <v>3945</v>
      </c>
      <c r="C691" s="3" t="s">
        <v>2111</v>
      </c>
      <c r="D691" s="9">
        <v>12</v>
      </c>
      <c r="E691" s="3"/>
      <c r="F691" s="3"/>
      <c r="G691" s="9"/>
      <c r="H691" s="10">
        <v>45677.115381944437</v>
      </c>
      <c r="I691" s="10">
        <v>45677.116249999999</v>
      </c>
      <c r="J691" s="10">
        <v>45677.119305555563</v>
      </c>
      <c r="K691" s="11">
        <v>3.0555555555555561E-3</v>
      </c>
      <c r="L691" s="13"/>
    </row>
    <row r="692" spans="1:12" x14ac:dyDescent="0.25">
      <c r="A692" s="3" t="s">
        <v>3586</v>
      </c>
      <c r="B692" s="3" t="s">
        <v>3946</v>
      </c>
      <c r="C692" s="3" t="s">
        <v>2116</v>
      </c>
      <c r="D692" s="9">
        <v>35.6</v>
      </c>
      <c r="E692" s="3"/>
      <c r="F692" s="3"/>
      <c r="G692" s="9"/>
      <c r="H692" s="10">
        <v>45677.119004629632</v>
      </c>
      <c r="I692" s="10">
        <v>45677.119780092587</v>
      </c>
      <c r="J692" s="10">
        <v>45677.122557870367</v>
      </c>
      <c r="K692" s="11">
        <v>2.7777777777777779E-3</v>
      </c>
      <c r="L692" s="13"/>
    </row>
    <row r="693" spans="1:12" x14ac:dyDescent="0.25">
      <c r="A693" s="3" t="s">
        <v>3586</v>
      </c>
      <c r="B693" s="3" t="s">
        <v>3947</v>
      </c>
      <c r="C693" s="3" t="s">
        <v>2129</v>
      </c>
      <c r="D693" s="9">
        <v>54</v>
      </c>
      <c r="E693" s="3"/>
      <c r="F693" s="3"/>
      <c r="G693" s="9"/>
      <c r="H693" s="10">
        <v>45677.334849537037</v>
      </c>
      <c r="I693" s="10">
        <v>45677.335613425923</v>
      </c>
      <c r="J693" s="10">
        <v>45677.338391203702</v>
      </c>
      <c r="K693" s="11">
        <v>2.7777777777777779E-3</v>
      </c>
      <c r="L693" s="13"/>
    </row>
    <row r="694" spans="1:12" x14ac:dyDescent="0.25">
      <c r="A694" s="3" t="s">
        <v>3586</v>
      </c>
      <c r="B694" s="3" t="s">
        <v>3948</v>
      </c>
      <c r="C694" s="3" t="s">
        <v>2131</v>
      </c>
      <c r="D694" s="9">
        <v>15.7</v>
      </c>
      <c r="E694" s="3"/>
      <c r="F694" s="3"/>
      <c r="G694" s="9"/>
      <c r="H694" s="10">
        <v>45677.336423611108</v>
      </c>
      <c r="I694" s="10">
        <v>45677.337685185194</v>
      </c>
      <c r="J694" s="10">
        <v>45677.340740740743</v>
      </c>
      <c r="K694" s="11">
        <v>3.0555555555555561E-3</v>
      </c>
      <c r="L694" s="13"/>
    </row>
    <row r="695" spans="1:12" x14ac:dyDescent="0.25">
      <c r="A695" s="3" t="s">
        <v>3586</v>
      </c>
      <c r="B695" s="3" t="s">
        <v>3949</v>
      </c>
      <c r="C695" s="3" t="s">
        <v>2140</v>
      </c>
      <c r="D695" s="9">
        <v>15.7</v>
      </c>
      <c r="E695" s="3"/>
      <c r="F695" s="3"/>
      <c r="G695" s="9"/>
      <c r="H695" s="10">
        <v>45677.341921296298</v>
      </c>
      <c r="I695" s="10">
        <v>45677.342870370368</v>
      </c>
      <c r="J695" s="10">
        <v>45677.345648148148</v>
      </c>
      <c r="K695" s="11">
        <v>2.7777777777777779E-3</v>
      </c>
      <c r="L695" s="13"/>
    </row>
    <row r="696" spans="1:12" x14ac:dyDescent="0.25">
      <c r="A696" s="3" t="s">
        <v>3586</v>
      </c>
      <c r="B696" s="3" t="s">
        <v>3950</v>
      </c>
      <c r="C696" s="3" t="s">
        <v>2143</v>
      </c>
      <c r="D696" s="9">
        <v>21</v>
      </c>
      <c r="E696" s="3"/>
      <c r="F696" s="3"/>
      <c r="G696" s="9"/>
      <c r="H696" s="10">
        <v>45677.34375</v>
      </c>
      <c r="I696" s="10">
        <v>45677.345659722218</v>
      </c>
      <c r="J696" s="10">
        <v>45677.348715277767</v>
      </c>
      <c r="K696" s="11">
        <v>3.0555555555555561E-3</v>
      </c>
      <c r="L696" s="13"/>
    </row>
    <row r="697" spans="1:12" x14ac:dyDescent="0.25">
      <c r="A697" s="3" t="s">
        <v>3586</v>
      </c>
      <c r="B697" s="3" t="s">
        <v>3951</v>
      </c>
      <c r="C697" s="3" t="s">
        <v>2152</v>
      </c>
      <c r="D697" s="9">
        <v>15.7</v>
      </c>
      <c r="E697" s="3"/>
      <c r="F697" s="3"/>
      <c r="G697" s="9"/>
      <c r="H697" s="10">
        <v>45677.348749999997</v>
      </c>
      <c r="I697" s="10">
        <v>45677.350405092591</v>
      </c>
      <c r="J697" s="10">
        <v>45677.353460648148</v>
      </c>
      <c r="K697" s="11">
        <v>3.0555555555555561E-3</v>
      </c>
      <c r="L697" s="13"/>
    </row>
    <row r="698" spans="1:12" x14ac:dyDescent="0.25">
      <c r="A698" s="3" t="s">
        <v>3586</v>
      </c>
      <c r="B698" s="3" t="s">
        <v>3952</v>
      </c>
      <c r="C698" s="3" t="s">
        <v>2154</v>
      </c>
      <c r="D698" s="9">
        <v>15.7</v>
      </c>
      <c r="E698" s="3"/>
      <c r="F698" s="3"/>
      <c r="G698" s="9"/>
      <c r="H698" s="10">
        <v>45677.350555555553</v>
      </c>
      <c r="I698" s="10">
        <v>45677.353055555563</v>
      </c>
      <c r="J698" s="10">
        <v>45677.355833333328</v>
      </c>
      <c r="K698" s="11">
        <v>2.7777777777777779E-3</v>
      </c>
      <c r="L698" s="13"/>
    </row>
    <row r="699" spans="1:12" x14ac:dyDescent="0.25">
      <c r="A699" s="3" t="s">
        <v>3586</v>
      </c>
      <c r="B699" s="3" t="s">
        <v>3953</v>
      </c>
      <c r="C699" s="3" t="s">
        <v>2156</v>
      </c>
      <c r="D699" s="9">
        <v>42</v>
      </c>
      <c r="E699" s="3"/>
      <c r="F699" s="3"/>
      <c r="G699" s="9"/>
      <c r="H699" s="10">
        <v>45677.351863425924</v>
      </c>
      <c r="I699" s="10">
        <v>45677.353506944448</v>
      </c>
      <c r="J699" s="10">
        <v>45677.356562499997</v>
      </c>
      <c r="K699" s="11">
        <v>3.0555555555555561E-3</v>
      </c>
      <c r="L699" s="13"/>
    </row>
    <row r="700" spans="1:12" x14ac:dyDescent="0.25">
      <c r="A700" s="3" t="s">
        <v>3586</v>
      </c>
      <c r="B700" s="3" t="s">
        <v>3954</v>
      </c>
      <c r="C700" s="3" t="s">
        <v>2162</v>
      </c>
      <c r="D700" s="9">
        <v>47.2</v>
      </c>
      <c r="E700" s="3"/>
      <c r="F700" s="3"/>
      <c r="G700" s="9"/>
      <c r="H700" s="10">
        <v>45677.392465277779</v>
      </c>
      <c r="I700" s="10">
        <v>45677.393333333333</v>
      </c>
      <c r="J700" s="10">
        <v>45677.39638888889</v>
      </c>
      <c r="K700" s="11">
        <v>3.0555555555555561E-3</v>
      </c>
      <c r="L700" s="13"/>
    </row>
    <row r="701" spans="1:12" x14ac:dyDescent="0.25">
      <c r="A701" s="3" t="s">
        <v>3586</v>
      </c>
      <c r="B701" s="3" t="s">
        <v>3955</v>
      </c>
      <c r="C701" s="3" t="s">
        <v>2166</v>
      </c>
      <c r="D701" s="9">
        <v>15.7</v>
      </c>
      <c r="E701" s="3"/>
      <c r="F701" s="3"/>
      <c r="G701" s="9"/>
      <c r="H701" s="10">
        <v>45677.396608796298</v>
      </c>
      <c r="I701" s="10">
        <v>45677.39739583333</v>
      </c>
      <c r="J701" s="10">
        <v>45677.400173611109</v>
      </c>
      <c r="K701" s="11">
        <v>2.7777777777777779E-3</v>
      </c>
      <c r="L701" s="13"/>
    </row>
    <row r="702" spans="1:12" x14ac:dyDescent="0.25">
      <c r="A702" s="3" t="s">
        <v>3586</v>
      </c>
      <c r="B702" s="3" t="s">
        <v>3956</v>
      </c>
      <c r="C702" s="3" t="s">
        <v>2168</v>
      </c>
      <c r="D702" s="9">
        <v>36.4</v>
      </c>
      <c r="E702" s="3"/>
      <c r="F702" s="3"/>
      <c r="G702" s="9"/>
      <c r="H702" s="10">
        <v>45677.398611111108</v>
      </c>
      <c r="I702" s="10">
        <v>45677.39947916667</v>
      </c>
      <c r="J702" s="10">
        <v>45677.40253472222</v>
      </c>
      <c r="K702" s="11">
        <v>3.0555555555555561E-3</v>
      </c>
      <c r="L702" s="13"/>
    </row>
    <row r="703" spans="1:12" x14ac:dyDescent="0.25">
      <c r="A703" s="3" t="s">
        <v>3586</v>
      </c>
      <c r="B703" s="3" t="s">
        <v>3957</v>
      </c>
      <c r="C703" s="3" t="s">
        <v>2171</v>
      </c>
      <c r="D703" s="9">
        <v>31.5</v>
      </c>
      <c r="E703" s="3"/>
      <c r="F703" s="3"/>
      <c r="G703" s="9"/>
      <c r="H703" s="10">
        <v>45677.400555555563</v>
      </c>
      <c r="I703" s="10">
        <v>45677.401423611111</v>
      </c>
      <c r="J703" s="10">
        <v>45677.404479166667</v>
      </c>
      <c r="K703" s="11">
        <v>3.0555555555555561E-3</v>
      </c>
      <c r="L703" s="13"/>
    </row>
    <row r="704" spans="1:12" x14ac:dyDescent="0.25">
      <c r="A704" s="3" t="s">
        <v>3586</v>
      </c>
      <c r="B704" s="3" t="s">
        <v>3958</v>
      </c>
      <c r="C704" s="3" t="s">
        <v>2177</v>
      </c>
      <c r="D704" s="9">
        <v>15.7</v>
      </c>
      <c r="E704" s="3"/>
      <c r="F704" s="3"/>
      <c r="G704" s="9"/>
      <c r="H704" s="10">
        <v>45677.403599537043</v>
      </c>
      <c r="I704" s="10">
        <v>45677.404467592591</v>
      </c>
      <c r="J704" s="10">
        <v>45677.407523148147</v>
      </c>
      <c r="K704" s="11">
        <v>3.0555555555555561E-3</v>
      </c>
      <c r="L704" s="13"/>
    </row>
    <row r="705" spans="1:12" x14ac:dyDescent="0.25">
      <c r="A705" s="3" t="s">
        <v>3586</v>
      </c>
      <c r="B705" s="3" t="s">
        <v>3959</v>
      </c>
      <c r="C705" s="3" t="s">
        <v>2179</v>
      </c>
      <c r="D705" s="9">
        <v>43.1</v>
      </c>
      <c r="E705" s="3"/>
      <c r="F705" s="3"/>
      <c r="G705" s="9"/>
      <c r="H705" s="10">
        <v>45677.405613425923</v>
      </c>
      <c r="I705" s="10">
        <v>45677.406481481477</v>
      </c>
      <c r="J705" s="10">
        <v>45677.409537037027</v>
      </c>
      <c r="K705" s="11">
        <v>3.0555555555555561E-3</v>
      </c>
      <c r="L705" s="13"/>
    </row>
    <row r="706" spans="1:12" x14ac:dyDescent="0.25">
      <c r="A706" s="3" t="s">
        <v>3586</v>
      </c>
      <c r="B706" s="3" t="s">
        <v>3960</v>
      </c>
      <c r="C706" s="3" t="s">
        <v>2192</v>
      </c>
      <c r="D706" s="9">
        <v>21</v>
      </c>
      <c r="E706" s="3"/>
      <c r="F706" s="3"/>
      <c r="G706" s="9"/>
      <c r="H706" s="10">
        <v>45677.453067129631</v>
      </c>
      <c r="I706" s="10">
        <v>45677.453935185193</v>
      </c>
      <c r="J706" s="10">
        <v>45677.456990740742</v>
      </c>
      <c r="K706" s="11">
        <v>3.0555555555555561E-3</v>
      </c>
      <c r="L706" s="13"/>
    </row>
    <row r="707" spans="1:12" x14ac:dyDescent="0.25">
      <c r="A707" s="3" t="s">
        <v>3586</v>
      </c>
      <c r="B707" s="3" t="s">
        <v>3961</v>
      </c>
      <c r="C707" s="3" t="s">
        <v>2201</v>
      </c>
      <c r="D707" s="9">
        <v>19.899999999999999</v>
      </c>
      <c r="E707" s="3"/>
      <c r="F707" s="3"/>
      <c r="G707" s="9"/>
      <c r="H707" s="10">
        <v>45677.649814814817</v>
      </c>
      <c r="I707" s="10">
        <v>45677.650682870371</v>
      </c>
      <c r="J707" s="10">
        <v>45677.653738425928</v>
      </c>
      <c r="K707" s="11">
        <v>3.0555555555555561E-3</v>
      </c>
      <c r="L707" s="13"/>
    </row>
    <row r="708" spans="1:12" x14ac:dyDescent="0.25">
      <c r="A708" s="3" t="s">
        <v>3586</v>
      </c>
      <c r="B708" s="3" t="s">
        <v>3962</v>
      </c>
      <c r="C708" s="3" t="s">
        <v>2211</v>
      </c>
      <c r="D708" s="9">
        <v>15.7</v>
      </c>
      <c r="E708" s="3"/>
      <c r="F708" s="3"/>
      <c r="G708" s="9"/>
      <c r="H708" s="10">
        <v>45677.656736111108</v>
      </c>
      <c r="I708" s="10">
        <v>45677.657581018517</v>
      </c>
      <c r="J708" s="10">
        <v>45677.660636574074</v>
      </c>
      <c r="K708" s="11">
        <v>3.0555555555555561E-3</v>
      </c>
      <c r="L708" s="13"/>
    </row>
    <row r="709" spans="1:12" x14ac:dyDescent="0.25">
      <c r="A709" s="3" t="s">
        <v>3586</v>
      </c>
      <c r="B709" s="3" t="s">
        <v>3963</v>
      </c>
      <c r="C709" s="3" t="s">
        <v>2213</v>
      </c>
      <c r="D709" s="9">
        <v>62.2</v>
      </c>
      <c r="E709" s="3"/>
      <c r="F709" s="3"/>
      <c r="G709" s="9"/>
      <c r="H709" s="10">
        <v>45677.658599537041</v>
      </c>
      <c r="I709" s="10">
        <v>45677.659467592603</v>
      </c>
      <c r="J709" s="10">
        <v>45677.662523148138</v>
      </c>
      <c r="K709" s="11">
        <v>3.0555555555555561E-3</v>
      </c>
      <c r="L709" s="13"/>
    </row>
    <row r="710" spans="1:12" x14ac:dyDescent="0.25">
      <c r="A710" s="3" t="s">
        <v>3586</v>
      </c>
      <c r="B710" s="3" t="s">
        <v>3964</v>
      </c>
      <c r="C710" s="3" t="s">
        <v>2218</v>
      </c>
      <c r="D710" s="9">
        <v>31.5</v>
      </c>
      <c r="E710" s="3"/>
      <c r="F710" s="3"/>
      <c r="G710" s="9"/>
      <c r="H710" s="10">
        <v>45677.662453703713</v>
      </c>
      <c r="I710" s="10">
        <v>45677.663310185177</v>
      </c>
      <c r="J710" s="10">
        <v>45677.666365740741</v>
      </c>
      <c r="K710" s="11">
        <v>3.0555555555555561E-3</v>
      </c>
      <c r="L710" s="13"/>
    </row>
    <row r="711" spans="1:12" x14ac:dyDescent="0.25">
      <c r="A711" s="3" t="s">
        <v>3586</v>
      </c>
      <c r="B711" s="3" t="s">
        <v>3965</v>
      </c>
      <c r="C711" s="3" t="s">
        <v>2220</v>
      </c>
      <c r="D711" s="9">
        <v>15.7</v>
      </c>
      <c r="E711" s="3"/>
      <c r="F711" s="3"/>
      <c r="G711" s="9"/>
      <c r="H711" s="10">
        <v>45677.664375</v>
      </c>
      <c r="I711" s="10">
        <v>45677.665243055562</v>
      </c>
      <c r="J711" s="10">
        <v>45677.668298611112</v>
      </c>
      <c r="K711" s="11">
        <v>3.0555555555555561E-3</v>
      </c>
      <c r="L711" s="13"/>
    </row>
    <row r="712" spans="1:12" x14ac:dyDescent="0.25">
      <c r="A712" s="3" t="s">
        <v>3586</v>
      </c>
      <c r="B712" s="3" t="s">
        <v>3966</v>
      </c>
      <c r="C712" s="3" t="s">
        <v>2232</v>
      </c>
      <c r="D712" s="9">
        <v>15.7</v>
      </c>
      <c r="E712" s="3"/>
      <c r="F712" s="3"/>
      <c r="G712" s="9"/>
      <c r="H712" s="10">
        <v>45678.131469907406</v>
      </c>
      <c r="I712" s="10">
        <v>45678.132337962961</v>
      </c>
      <c r="J712" s="10">
        <v>45678.135393518518</v>
      </c>
      <c r="K712" s="11">
        <v>3.0555555555555561E-3</v>
      </c>
      <c r="L712" s="13"/>
    </row>
    <row r="713" spans="1:12" x14ac:dyDescent="0.25">
      <c r="A713" s="3" t="s">
        <v>3586</v>
      </c>
      <c r="B713" s="3" t="s">
        <v>3967</v>
      </c>
      <c r="C713" s="3" t="s">
        <v>2234</v>
      </c>
      <c r="D713" s="9">
        <v>40.9</v>
      </c>
      <c r="E713" s="3"/>
      <c r="F713" s="3"/>
      <c r="G713" s="9"/>
      <c r="H713" s="10">
        <v>45678.133449074077</v>
      </c>
      <c r="I713" s="10">
        <v>45678.134317129632</v>
      </c>
      <c r="J713" s="10">
        <v>45678.137372685182</v>
      </c>
      <c r="K713" s="11">
        <v>3.0555555555555561E-3</v>
      </c>
      <c r="L713" s="13"/>
    </row>
    <row r="714" spans="1:12" x14ac:dyDescent="0.25">
      <c r="A714" s="3" t="s">
        <v>3586</v>
      </c>
      <c r="B714" s="3" t="s">
        <v>3968</v>
      </c>
      <c r="C714" s="3" t="s">
        <v>2239</v>
      </c>
      <c r="D714" s="9">
        <v>19.899999999999999</v>
      </c>
      <c r="E714" s="3"/>
      <c r="F714" s="3"/>
      <c r="G714" s="9"/>
      <c r="H714" s="10">
        <v>45678.136608796303</v>
      </c>
      <c r="I714" s="10">
        <v>45678.137476851851</v>
      </c>
      <c r="J714" s="10">
        <v>45678.140532407408</v>
      </c>
      <c r="K714" s="11">
        <v>3.0555555555555561E-3</v>
      </c>
      <c r="L714" s="13"/>
    </row>
    <row r="715" spans="1:12" x14ac:dyDescent="0.25">
      <c r="A715" s="3" t="s">
        <v>3586</v>
      </c>
      <c r="B715" s="3" t="s">
        <v>3969</v>
      </c>
      <c r="C715" s="3" t="s">
        <v>2241</v>
      </c>
      <c r="D715" s="9">
        <v>203.4</v>
      </c>
      <c r="E715" s="3"/>
      <c r="F715" s="3"/>
      <c r="G715" s="9"/>
      <c r="H715" s="10">
        <v>45678.138958333337</v>
      </c>
      <c r="I715" s="10">
        <v>45678.139826388891</v>
      </c>
      <c r="J715" s="10">
        <v>45678.142881944441</v>
      </c>
      <c r="K715" s="11">
        <v>3.0555555555555561E-3</v>
      </c>
      <c r="L715" s="13"/>
    </row>
    <row r="716" spans="1:12" x14ac:dyDescent="0.25">
      <c r="A716" s="3" t="s">
        <v>3586</v>
      </c>
      <c r="B716" s="3" t="s">
        <v>3970</v>
      </c>
      <c r="C716" s="3" t="s">
        <v>2249</v>
      </c>
      <c r="D716" s="9">
        <v>19.899999999999999</v>
      </c>
      <c r="E716" s="3"/>
      <c r="F716" s="3"/>
      <c r="G716" s="9"/>
      <c r="H716" s="10">
        <v>45678.321192129632</v>
      </c>
      <c r="I716" s="10">
        <v>45678.32203703704</v>
      </c>
      <c r="J716" s="10">
        <v>45678.325092592589</v>
      </c>
      <c r="K716" s="11">
        <v>3.0555555555555561E-3</v>
      </c>
      <c r="L716" s="13"/>
    </row>
    <row r="717" spans="1:12" x14ac:dyDescent="0.25">
      <c r="A717" s="3" t="s">
        <v>3586</v>
      </c>
      <c r="B717" s="3" t="s">
        <v>3971</v>
      </c>
      <c r="C717" s="3" t="s">
        <v>2256</v>
      </c>
      <c r="D717" s="9">
        <v>15.7</v>
      </c>
      <c r="E717" s="3"/>
      <c r="F717" s="3"/>
      <c r="G717" s="9"/>
      <c r="H717" s="10">
        <v>45678.327025462961</v>
      </c>
      <c r="I717" s="10">
        <v>45678.327893518523</v>
      </c>
      <c r="J717" s="10">
        <v>45678.330949074072</v>
      </c>
      <c r="K717" s="11">
        <v>3.0555555555555561E-3</v>
      </c>
      <c r="L717" s="13"/>
    </row>
    <row r="718" spans="1:12" x14ac:dyDescent="0.25">
      <c r="A718" s="3" t="s">
        <v>3586</v>
      </c>
      <c r="B718" s="3" t="s">
        <v>3972</v>
      </c>
      <c r="C718" s="3" t="s">
        <v>2262</v>
      </c>
      <c r="D718" s="9">
        <v>19.899999999999999</v>
      </c>
      <c r="E718" s="3"/>
      <c r="F718" s="3"/>
      <c r="G718" s="9"/>
      <c r="H718" s="10">
        <v>45678.330787037034</v>
      </c>
      <c r="I718" s="10">
        <v>45678.331620370373</v>
      </c>
      <c r="J718" s="10">
        <v>45678.334675925929</v>
      </c>
      <c r="K718" s="11">
        <v>3.0555555555555561E-3</v>
      </c>
      <c r="L718" s="13"/>
    </row>
    <row r="719" spans="1:12" x14ac:dyDescent="0.25">
      <c r="A719" s="3" t="s">
        <v>3586</v>
      </c>
      <c r="B719" s="3" t="s">
        <v>3973</v>
      </c>
      <c r="C719" s="3" t="s">
        <v>2271</v>
      </c>
      <c r="D719" s="9">
        <v>19.899999999999999</v>
      </c>
      <c r="E719" s="3"/>
      <c r="F719" s="3"/>
      <c r="G719" s="9"/>
      <c r="H719" s="10">
        <v>45678.388437499998</v>
      </c>
      <c r="I719" s="10">
        <v>45678.389305555553</v>
      </c>
      <c r="J719" s="10">
        <v>45678.392361111109</v>
      </c>
      <c r="K719" s="11">
        <v>3.0555555555555561E-3</v>
      </c>
      <c r="L719" s="13"/>
    </row>
    <row r="720" spans="1:12" x14ac:dyDescent="0.25">
      <c r="A720" s="3" t="s">
        <v>3586</v>
      </c>
      <c r="B720" s="3" t="s">
        <v>3974</v>
      </c>
      <c r="C720" s="3" t="s">
        <v>2273</v>
      </c>
      <c r="D720" s="9">
        <v>70.5</v>
      </c>
      <c r="E720" s="3"/>
      <c r="F720" s="3"/>
      <c r="G720" s="9"/>
      <c r="H720" s="10">
        <v>45678.389722222222</v>
      </c>
      <c r="I720" s="10">
        <v>45678.390590277777</v>
      </c>
      <c r="J720" s="10">
        <v>45678.393645833326</v>
      </c>
      <c r="K720" s="11">
        <v>3.0555555555555561E-3</v>
      </c>
      <c r="L720" s="13"/>
    </row>
    <row r="721" spans="1:12" x14ac:dyDescent="0.25">
      <c r="A721" s="3" t="s">
        <v>3586</v>
      </c>
      <c r="B721" s="3" t="s">
        <v>3975</v>
      </c>
      <c r="C721" s="3" t="s">
        <v>2275</v>
      </c>
      <c r="D721" s="9">
        <v>35.6</v>
      </c>
      <c r="E721" s="3"/>
      <c r="F721" s="3"/>
      <c r="G721" s="9"/>
      <c r="H721" s="10">
        <v>45678.3909375</v>
      </c>
      <c r="I721" s="10">
        <v>45678.391770833332</v>
      </c>
      <c r="J721" s="10">
        <v>45678.394826388889</v>
      </c>
      <c r="K721" s="11">
        <v>3.0555555555555561E-3</v>
      </c>
      <c r="L721" s="13"/>
    </row>
    <row r="722" spans="1:12" x14ac:dyDescent="0.25">
      <c r="A722" s="3" t="s">
        <v>3586</v>
      </c>
      <c r="B722" s="3" t="s">
        <v>3976</v>
      </c>
      <c r="C722" s="3" t="s">
        <v>2283</v>
      </c>
      <c r="D722" s="9">
        <v>61.9</v>
      </c>
      <c r="E722" s="3"/>
      <c r="F722" s="3"/>
      <c r="G722" s="9"/>
      <c r="H722" s="10">
        <v>45678.39634259259</v>
      </c>
      <c r="I722" s="10">
        <v>45678.397118055553</v>
      </c>
      <c r="J722" s="10">
        <v>45678.399895833332</v>
      </c>
      <c r="K722" s="11">
        <v>2.7777777777777779E-3</v>
      </c>
      <c r="L722" s="13"/>
    </row>
    <row r="723" spans="1:12" x14ac:dyDescent="0.25">
      <c r="A723" s="3" t="s">
        <v>3586</v>
      </c>
      <c r="B723" s="3" t="s">
        <v>3977</v>
      </c>
      <c r="C723" s="3" t="s">
        <v>2285</v>
      </c>
      <c r="D723" s="9">
        <v>21</v>
      </c>
      <c r="E723" s="3"/>
      <c r="F723" s="3"/>
      <c r="G723" s="9"/>
      <c r="H723" s="10">
        <v>45678.398275462961</v>
      </c>
      <c r="I723" s="10">
        <v>45678.399143518523</v>
      </c>
      <c r="J723" s="10">
        <v>45678.402199074073</v>
      </c>
      <c r="K723" s="11">
        <v>3.0555555555555561E-3</v>
      </c>
      <c r="L723" s="13"/>
    </row>
    <row r="724" spans="1:12" x14ac:dyDescent="0.25">
      <c r="A724" s="3" t="s">
        <v>3586</v>
      </c>
      <c r="B724" s="3" t="s">
        <v>3978</v>
      </c>
      <c r="C724" s="3" t="s">
        <v>2287</v>
      </c>
      <c r="D724" s="9">
        <v>15.7</v>
      </c>
      <c r="E724" s="3"/>
      <c r="F724" s="3"/>
      <c r="G724" s="9"/>
      <c r="H724" s="10">
        <v>45678.400185185194</v>
      </c>
      <c r="I724" s="10">
        <v>45678.401018518518</v>
      </c>
      <c r="J724" s="10">
        <v>45678.404074074067</v>
      </c>
      <c r="K724" s="11">
        <v>3.0555555555555561E-3</v>
      </c>
      <c r="L724" s="13"/>
    </row>
    <row r="725" spans="1:12" x14ac:dyDescent="0.25">
      <c r="A725" s="3" t="s">
        <v>3586</v>
      </c>
      <c r="B725" s="3" t="s">
        <v>3979</v>
      </c>
      <c r="C725" s="3" t="s">
        <v>2294</v>
      </c>
      <c r="D725" s="9">
        <v>286.3</v>
      </c>
      <c r="E725" s="3"/>
      <c r="F725" s="3"/>
      <c r="G725" s="9"/>
      <c r="H725" s="10">
        <v>45678.433055555557</v>
      </c>
      <c r="I725" s="10">
        <v>45678.433888888889</v>
      </c>
      <c r="J725" s="10">
        <v>45678.436944444453</v>
      </c>
      <c r="K725" s="11">
        <v>3.0555555555555561E-3</v>
      </c>
      <c r="L725" s="13"/>
    </row>
    <row r="726" spans="1:12" x14ac:dyDescent="0.25">
      <c r="A726" s="3" t="s">
        <v>3586</v>
      </c>
      <c r="B726" s="3" t="s">
        <v>3980</v>
      </c>
      <c r="C726" s="3" t="s">
        <v>2299</v>
      </c>
      <c r="D726" s="9">
        <v>91.2</v>
      </c>
      <c r="E726" s="3"/>
      <c r="F726" s="3"/>
      <c r="G726" s="9"/>
      <c r="H726" s="10">
        <v>45678.436400462961</v>
      </c>
      <c r="I726" s="10">
        <v>45678.437268518523</v>
      </c>
      <c r="J726" s="10">
        <v>45678.440324074072</v>
      </c>
      <c r="K726" s="11">
        <v>3.0555555555555561E-3</v>
      </c>
      <c r="L726" s="13"/>
    </row>
    <row r="727" spans="1:12" x14ac:dyDescent="0.25">
      <c r="A727" s="3" t="s">
        <v>3586</v>
      </c>
      <c r="B727" s="3" t="s">
        <v>3981</v>
      </c>
      <c r="C727" s="3" t="s">
        <v>2304</v>
      </c>
      <c r="D727" s="9">
        <v>19.899999999999999</v>
      </c>
      <c r="E727" s="3"/>
      <c r="F727" s="3"/>
      <c r="G727" s="9"/>
      <c r="H727" s="10">
        <v>45678.627962962957</v>
      </c>
      <c r="I727" s="10">
        <v>45678.62872685185</v>
      </c>
      <c r="J727" s="10">
        <v>45678.631504629629</v>
      </c>
      <c r="K727" s="11">
        <v>2.7777777777777779E-3</v>
      </c>
      <c r="L727" s="13"/>
    </row>
    <row r="728" spans="1:12" x14ac:dyDescent="0.25">
      <c r="A728" s="3" t="s">
        <v>3586</v>
      </c>
      <c r="B728" s="3" t="s">
        <v>3982</v>
      </c>
      <c r="C728" s="3" t="s">
        <v>2306</v>
      </c>
      <c r="D728" s="9">
        <v>19.899999999999999</v>
      </c>
      <c r="E728" s="3"/>
      <c r="F728" s="3"/>
      <c r="G728" s="9"/>
      <c r="H728" s="10">
        <v>45678.629444444443</v>
      </c>
      <c r="I728" s="10">
        <v>45678.630289351851</v>
      </c>
      <c r="J728" s="10">
        <v>45678.633344907408</v>
      </c>
      <c r="K728" s="11">
        <v>3.0555555555555561E-3</v>
      </c>
      <c r="L728" s="13"/>
    </row>
    <row r="729" spans="1:12" x14ac:dyDescent="0.25">
      <c r="A729" s="3" t="s">
        <v>3586</v>
      </c>
      <c r="B729" s="3" t="s">
        <v>3983</v>
      </c>
      <c r="C729" s="3" t="s">
        <v>2313</v>
      </c>
      <c r="D729" s="9">
        <v>108</v>
      </c>
      <c r="E729" s="3"/>
      <c r="F729" s="3"/>
      <c r="G729" s="9"/>
      <c r="H729" s="10">
        <v>45678.634606481479</v>
      </c>
      <c r="I729" s="10">
        <v>45678.635439814818</v>
      </c>
      <c r="J729" s="10">
        <v>45678.638495370367</v>
      </c>
      <c r="K729" s="11">
        <v>3.0555555555555561E-3</v>
      </c>
      <c r="L729" s="13"/>
    </row>
    <row r="730" spans="1:12" x14ac:dyDescent="0.25">
      <c r="A730" s="3" t="s">
        <v>3586</v>
      </c>
      <c r="B730" s="3" t="s">
        <v>3984</v>
      </c>
      <c r="C730" s="3" t="s">
        <v>2315</v>
      </c>
      <c r="D730" s="9">
        <v>15.7</v>
      </c>
      <c r="E730" s="3"/>
      <c r="F730" s="3"/>
      <c r="G730" s="9"/>
      <c r="H730" s="10">
        <v>45678.636481481481</v>
      </c>
      <c r="I730" s="10">
        <v>45678.637256944443</v>
      </c>
      <c r="J730" s="10">
        <v>45678.640034722222</v>
      </c>
      <c r="K730" s="11">
        <v>2.7777777777777779E-3</v>
      </c>
      <c r="L730" s="13"/>
    </row>
    <row r="731" spans="1:12" x14ac:dyDescent="0.25">
      <c r="A731" s="3" t="s">
        <v>3586</v>
      </c>
      <c r="B731" s="3" t="s">
        <v>3985</v>
      </c>
      <c r="C731" s="3" t="s">
        <v>2320</v>
      </c>
      <c r="D731" s="9">
        <v>19.899999999999999</v>
      </c>
      <c r="E731" s="3"/>
      <c r="F731" s="3"/>
      <c r="G731" s="9"/>
      <c r="H731" s="10">
        <v>45678.640231481477</v>
      </c>
      <c r="I731" s="10">
        <v>45678.641064814823</v>
      </c>
      <c r="J731" s="10">
        <v>45678.644120370373</v>
      </c>
      <c r="K731" s="11">
        <v>3.0555555555555561E-3</v>
      </c>
      <c r="L731" s="13"/>
    </row>
    <row r="732" spans="1:12" x14ac:dyDescent="0.25">
      <c r="A732" s="3" t="s">
        <v>3586</v>
      </c>
      <c r="B732" s="3" t="s">
        <v>3986</v>
      </c>
      <c r="C732" s="3" t="s">
        <v>2331</v>
      </c>
      <c r="D732" s="9">
        <v>144.80000000000001</v>
      </c>
      <c r="E732" s="3"/>
      <c r="F732" s="3"/>
      <c r="G732" s="9"/>
      <c r="H732" s="10">
        <v>45679.117291666669</v>
      </c>
      <c r="I732" s="10">
        <v>45679.118148148147</v>
      </c>
      <c r="J732" s="10">
        <v>45679.121203703697</v>
      </c>
      <c r="K732" s="11">
        <v>3.0555555555555561E-3</v>
      </c>
      <c r="L732" s="13"/>
    </row>
    <row r="733" spans="1:12" x14ac:dyDescent="0.25">
      <c r="A733" s="3" t="s">
        <v>3586</v>
      </c>
      <c r="B733" s="3" t="s">
        <v>3987</v>
      </c>
      <c r="C733" s="3" t="s">
        <v>2354</v>
      </c>
      <c r="D733" s="9">
        <v>19.899999999999999</v>
      </c>
      <c r="E733" s="3"/>
      <c r="F733" s="3"/>
      <c r="G733" s="9"/>
      <c r="H733" s="10">
        <v>45679.311064814807</v>
      </c>
      <c r="I733" s="10">
        <v>45679.311932870369</v>
      </c>
      <c r="J733" s="10">
        <v>45679.314988425933</v>
      </c>
      <c r="K733" s="11">
        <v>3.0555555555555561E-3</v>
      </c>
      <c r="L733" s="13"/>
    </row>
    <row r="734" spans="1:12" x14ac:dyDescent="0.25">
      <c r="A734" s="3" t="s">
        <v>3586</v>
      </c>
      <c r="B734" s="3" t="s">
        <v>3988</v>
      </c>
      <c r="C734" s="3" t="s">
        <v>2356</v>
      </c>
      <c r="D734" s="9">
        <v>21</v>
      </c>
      <c r="E734" s="3"/>
      <c r="F734" s="3"/>
      <c r="G734" s="9"/>
      <c r="H734" s="10">
        <v>45679.313032407408</v>
      </c>
      <c r="I734" s="10">
        <v>45679.313796296286</v>
      </c>
      <c r="J734" s="10">
        <v>45679.316574074073</v>
      </c>
      <c r="K734" s="11">
        <v>2.7777777777777779E-3</v>
      </c>
      <c r="L734" s="13"/>
    </row>
    <row r="735" spans="1:12" x14ac:dyDescent="0.25">
      <c r="A735" s="3" t="s">
        <v>3586</v>
      </c>
      <c r="B735" s="3" t="s">
        <v>3989</v>
      </c>
      <c r="C735" s="3" t="s">
        <v>2362</v>
      </c>
      <c r="D735" s="9">
        <v>23.2</v>
      </c>
      <c r="E735" s="3"/>
      <c r="F735" s="3"/>
      <c r="G735" s="9"/>
      <c r="H735" s="10">
        <v>45679.316990740743</v>
      </c>
      <c r="I735" s="10">
        <v>45679.317858796298</v>
      </c>
      <c r="J735" s="10">
        <v>45679.320914351847</v>
      </c>
      <c r="K735" s="11">
        <v>3.0555555555555561E-3</v>
      </c>
      <c r="L735" s="13"/>
    </row>
    <row r="736" spans="1:12" x14ac:dyDescent="0.25">
      <c r="A736" s="3" t="s">
        <v>3586</v>
      </c>
      <c r="B736" s="3" t="s">
        <v>3990</v>
      </c>
      <c r="C736" s="3" t="s">
        <v>2364</v>
      </c>
      <c r="D736" s="9">
        <v>15.7</v>
      </c>
      <c r="E736" s="3"/>
      <c r="F736" s="3"/>
      <c r="G736" s="9"/>
      <c r="H736" s="10">
        <v>45679.319016203714</v>
      </c>
      <c r="I736" s="10">
        <v>45679.319780092592</v>
      </c>
      <c r="J736" s="10">
        <v>45679.322557870371</v>
      </c>
      <c r="K736" s="11">
        <v>2.7777777777777779E-3</v>
      </c>
      <c r="L736" s="13"/>
    </row>
    <row r="737" spans="1:12" x14ac:dyDescent="0.25">
      <c r="A737" s="3" t="s">
        <v>3586</v>
      </c>
      <c r="B737" s="3" t="s">
        <v>3991</v>
      </c>
      <c r="C737" s="3" t="s">
        <v>2374</v>
      </c>
      <c r="D737" s="9">
        <v>216.4</v>
      </c>
      <c r="E737" s="3"/>
      <c r="F737" s="3"/>
      <c r="G737" s="9"/>
      <c r="H737" s="10">
        <v>45679.361226851863</v>
      </c>
      <c r="I737" s="10">
        <v>45679.362071759257</v>
      </c>
      <c r="J737" s="10">
        <v>45679.365127314813</v>
      </c>
      <c r="K737" s="11">
        <v>3.0555555555555561E-3</v>
      </c>
      <c r="L737" s="13"/>
    </row>
    <row r="738" spans="1:12" x14ac:dyDescent="0.25">
      <c r="A738" s="3" t="s">
        <v>3586</v>
      </c>
      <c r="B738" s="3" t="s">
        <v>3992</v>
      </c>
      <c r="C738" s="3" t="s">
        <v>2376</v>
      </c>
      <c r="D738" s="9">
        <v>15.7</v>
      </c>
      <c r="E738" s="3"/>
      <c r="F738" s="3"/>
      <c r="G738" s="9"/>
      <c r="H738" s="10">
        <v>45679.40216435185</v>
      </c>
      <c r="I738" s="10">
        <v>45679.402997685182</v>
      </c>
      <c r="J738" s="10">
        <v>45679.406053240738</v>
      </c>
      <c r="K738" s="11">
        <v>3.0555555555555561E-3</v>
      </c>
      <c r="L738" s="13"/>
    </row>
    <row r="739" spans="1:12" x14ac:dyDescent="0.25">
      <c r="A739" s="3" t="s">
        <v>3586</v>
      </c>
      <c r="B739" s="3" t="s">
        <v>3993</v>
      </c>
      <c r="C739" s="3" t="s">
        <v>2380</v>
      </c>
      <c r="D739" s="9">
        <v>61.9</v>
      </c>
      <c r="E739" s="3"/>
      <c r="F739" s="3"/>
      <c r="G739" s="9"/>
      <c r="H739" s="10">
        <v>45679.4065162037</v>
      </c>
      <c r="I739" s="10">
        <v>45679.407384259262</v>
      </c>
      <c r="J739" s="10">
        <v>45679.410439814812</v>
      </c>
      <c r="K739" s="11">
        <v>3.0555555555555561E-3</v>
      </c>
      <c r="L739" s="13"/>
    </row>
    <row r="740" spans="1:12" x14ac:dyDescent="0.25">
      <c r="A740" s="3" t="s">
        <v>3586</v>
      </c>
      <c r="B740" s="3" t="s">
        <v>3994</v>
      </c>
      <c r="C740" s="3" t="s">
        <v>2382</v>
      </c>
      <c r="D740" s="9">
        <v>12</v>
      </c>
      <c r="E740" s="3"/>
      <c r="F740" s="3"/>
      <c r="G740" s="9"/>
      <c r="H740" s="10">
        <v>45679.408460648148</v>
      </c>
      <c r="I740" s="10">
        <v>45679.409328703703</v>
      </c>
      <c r="J740" s="10">
        <v>45679.41238425926</v>
      </c>
      <c r="K740" s="11">
        <v>3.0555555555555561E-3</v>
      </c>
      <c r="L740" s="13"/>
    </row>
    <row r="741" spans="1:12" x14ac:dyDescent="0.25">
      <c r="A741" s="3" t="s">
        <v>3586</v>
      </c>
      <c r="B741" s="3" t="s">
        <v>3995</v>
      </c>
      <c r="C741" s="3" t="s">
        <v>2384</v>
      </c>
      <c r="D741" s="9">
        <v>27</v>
      </c>
      <c r="E741" s="3"/>
      <c r="F741" s="3"/>
      <c r="G741" s="9"/>
      <c r="H741" s="10">
        <v>45679.409872685188</v>
      </c>
      <c r="I741" s="10">
        <v>45679.41070601852</v>
      </c>
      <c r="J741" s="10">
        <v>45679.413761574076</v>
      </c>
      <c r="K741" s="11">
        <v>3.0555555555555561E-3</v>
      </c>
      <c r="L741" s="13"/>
    </row>
    <row r="742" spans="1:12" x14ac:dyDescent="0.25">
      <c r="A742" s="3" t="s">
        <v>3586</v>
      </c>
      <c r="B742" s="3" t="s">
        <v>3996</v>
      </c>
      <c r="C742" s="3" t="s">
        <v>2386</v>
      </c>
      <c r="D742" s="9">
        <v>15.7</v>
      </c>
      <c r="E742" s="3"/>
      <c r="F742" s="3"/>
      <c r="G742" s="9"/>
      <c r="H742" s="10">
        <v>45679.411481481482</v>
      </c>
      <c r="I742" s="10">
        <v>45679.412349537037</v>
      </c>
      <c r="J742" s="10">
        <v>45679.415405092594</v>
      </c>
      <c r="K742" s="11">
        <v>3.0555555555555561E-3</v>
      </c>
      <c r="L742" s="13"/>
    </row>
    <row r="743" spans="1:12" x14ac:dyDescent="0.25">
      <c r="A743" s="3" t="s">
        <v>3586</v>
      </c>
      <c r="B743" s="3" t="s">
        <v>3997</v>
      </c>
      <c r="C743" s="3" t="s">
        <v>2388</v>
      </c>
      <c r="D743" s="9">
        <v>19.899999999999999</v>
      </c>
      <c r="E743" s="3"/>
      <c r="F743" s="3"/>
      <c r="G743" s="9"/>
      <c r="H743" s="10">
        <v>45679.412997685176</v>
      </c>
      <c r="I743" s="10">
        <v>45679.413761574076</v>
      </c>
      <c r="J743" s="10">
        <v>45679.416539351849</v>
      </c>
      <c r="K743" s="11">
        <v>2.7777777777777779E-3</v>
      </c>
      <c r="L743" s="13"/>
    </row>
    <row r="744" spans="1:12" x14ac:dyDescent="0.25">
      <c r="A744" s="3" t="s">
        <v>3586</v>
      </c>
      <c r="B744" s="3" t="s">
        <v>3998</v>
      </c>
      <c r="C744" s="3" t="s">
        <v>2390</v>
      </c>
      <c r="D744" s="9">
        <v>73.900000000000006</v>
      </c>
      <c r="E744" s="3"/>
      <c r="F744" s="3"/>
      <c r="G744" s="9"/>
      <c r="H744" s="10">
        <v>45679.415046296293</v>
      </c>
      <c r="I744" s="10">
        <v>45679.415879629632</v>
      </c>
      <c r="J744" s="10">
        <v>45679.418935185182</v>
      </c>
      <c r="K744" s="11">
        <v>3.0555555555555561E-3</v>
      </c>
      <c r="L744" s="13"/>
    </row>
    <row r="745" spans="1:12" x14ac:dyDescent="0.25">
      <c r="A745" s="3" t="s">
        <v>3586</v>
      </c>
      <c r="B745" s="3" t="s">
        <v>3999</v>
      </c>
      <c r="C745" s="3" t="s">
        <v>2428</v>
      </c>
      <c r="D745" s="9">
        <v>325.39999999999998</v>
      </c>
      <c r="E745" s="3"/>
      <c r="F745" s="3"/>
      <c r="G745" s="9"/>
      <c r="H745" s="10">
        <v>45679.741377314807</v>
      </c>
      <c r="I745" s="10">
        <v>45679.742245370369</v>
      </c>
      <c r="J745" s="10">
        <v>45679.745300925933</v>
      </c>
      <c r="K745" s="11">
        <v>3.0555555555555561E-3</v>
      </c>
      <c r="L745" s="13"/>
    </row>
    <row r="746" spans="1:12" x14ac:dyDescent="0.25">
      <c r="A746" s="3" t="s">
        <v>3586</v>
      </c>
      <c r="B746" s="3" t="s">
        <v>4000</v>
      </c>
      <c r="C746" s="3" t="s">
        <v>2406</v>
      </c>
      <c r="D746" s="9">
        <v>29.7</v>
      </c>
      <c r="E746" s="3"/>
      <c r="F746" s="3"/>
      <c r="G746" s="9"/>
      <c r="H746" s="10">
        <v>45679.746180555558</v>
      </c>
      <c r="I746" s="10">
        <v>45679.747013888889</v>
      </c>
      <c r="J746" s="10">
        <v>45679.750069444453</v>
      </c>
      <c r="K746" s="11">
        <v>3.0555555555555561E-3</v>
      </c>
      <c r="L746" s="13"/>
    </row>
    <row r="747" spans="1:12" x14ac:dyDescent="0.25">
      <c r="A747" s="3" t="s">
        <v>3586</v>
      </c>
      <c r="B747" s="3" t="s">
        <v>4001</v>
      </c>
      <c r="C747" s="3" t="s">
        <v>2408</v>
      </c>
      <c r="D747" s="9">
        <v>19.899999999999999</v>
      </c>
      <c r="E747" s="3"/>
      <c r="F747" s="3"/>
      <c r="G747" s="9"/>
      <c r="H747" s="10">
        <v>45679.747662037043</v>
      </c>
      <c r="I747" s="10">
        <v>45679.748449074083</v>
      </c>
      <c r="J747" s="10">
        <v>45679.751226851848</v>
      </c>
      <c r="K747" s="11">
        <v>2.7777777777777779E-3</v>
      </c>
      <c r="L747" s="13"/>
    </row>
    <row r="748" spans="1:12" x14ac:dyDescent="0.25">
      <c r="A748" s="3" t="s">
        <v>3586</v>
      </c>
      <c r="B748" s="3" t="s">
        <v>4002</v>
      </c>
      <c r="C748" s="3" t="s">
        <v>2413</v>
      </c>
      <c r="D748" s="9">
        <v>99.5</v>
      </c>
      <c r="E748" s="3"/>
      <c r="F748" s="3"/>
      <c r="G748" s="9"/>
      <c r="H748" s="10">
        <v>45679.750324074077</v>
      </c>
      <c r="I748" s="10">
        <v>45679.751192129632</v>
      </c>
      <c r="J748" s="10">
        <v>45679.754247685189</v>
      </c>
      <c r="K748" s="11">
        <v>3.0555555555555561E-3</v>
      </c>
      <c r="L748" s="13"/>
    </row>
    <row r="749" spans="1:12" x14ac:dyDescent="0.25">
      <c r="A749" s="3" t="s">
        <v>3586</v>
      </c>
      <c r="B749" s="3" t="s">
        <v>4003</v>
      </c>
      <c r="C749" s="3" t="s">
        <v>2415</v>
      </c>
      <c r="D749" s="9">
        <v>15.7</v>
      </c>
      <c r="E749" s="3"/>
      <c r="F749" s="3"/>
      <c r="G749" s="9"/>
      <c r="H749" s="10">
        <v>45679.752314814818</v>
      </c>
      <c r="I749" s="10">
        <v>45679.753182870372</v>
      </c>
      <c r="J749" s="10">
        <v>45679.756238425929</v>
      </c>
      <c r="K749" s="11">
        <v>3.0555555555555561E-3</v>
      </c>
      <c r="L749" s="13"/>
    </row>
    <row r="750" spans="1:12" x14ac:dyDescent="0.25">
      <c r="A750" s="3" t="s">
        <v>3586</v>
      </c>
      <c r="B750" s="3" t="s">
        <v>4004</v>
      </c>
      <c r="C750" s="3" t="s">
        <v>2419</v>
      </c>
      <c r="D750" s="9">
        <v>15.7</v>
      </c>
      <c r="E750" s="3"/>
      <c r="F750" s="3"/>
      <c r="G750" s="9"/>
      <c r="H750" s="10">
        <v>45679.755636574067</v>
      </c>
      <c r="I750" s="10">
        <v>45679.756504629629</v>
      </c>
      <c r="J750" s="10">
        <v>45679.759560185194</v>
      </c>
      <c r="K750" s="11">
        <v>3.0555555555555561E-3</v>
      </c>
      <c r="L750" s="13"/>
    </row>
    <row r="751" spans="1:12" x14ac:dyDescent="0.25">
      <c r="A751" s="3" t="s">
        <v>3586</v>
      </c>
      <c r="B751" s="3" t="s">
        <v>4005</v>
      </c>
      <c r="C751" s="3" t="s">
        <v>2423</v>
      </c>
      <c r="D751" s="9">
        <v>21</v>
      </c>
      <c r="E751" s="3"/>
      <c r="F751" s="3"/>
      <c r="G751" s="9"/>
      <c r="H751" s="10">
        <v>45679.759942129633</v>
      </c>
      <c r="I751" s="10">
        <v>45679.760740740741</v>
      </c>
      <c r="J751" s="10">
        <v>45679.763518518521</v>
      </c>
      <c r="K751" s="11">
        <v>2.7777777777777779E-3</v>
      </c>
      <c r="L751" s="13"/>
    </row>
    <row r="752" spans="1:12" x14ac:dyDescent="0.25">
      <c r="A752" s="3" t="s">
        <v>3586</v>
      </c>
      <c r="B752" s="3" t="s">
        <v>4006</v>
      </c>
      <c r="C752" s="3" t="s">
        <v>2436</v>
      </c>
      <c r="D752" s="9">
        <v>14</v>
      </c>
      <c r="E752" s="3"/>
      <c r="F752" s="3"/>
      <c r="G752" s="9"/>
      <c r="H752" s="10">
        <v>45679.855694444443</v>
      </c>
      <c r="I752" s="10">
        <v>45679.856562499997</v>
      </c>
      <c r="J752" s="10">
        <v>45679.859618055547</v>
      </c>
      <c r="K752" s="11">
        <v>3.0555555555555561E-3</v>
      </c>
      <c r="L752" s="13"/>
    </row>
    <row r="753" spans="1:12" x14ac:dyDescent="0.25">
      <c r="A753" s="3" t="s">
        <v>3586</v>
      </c>
      <c r="B753" s="3" t="s">
        <v>4007</v>
      </c>
      <c r="C753" s="3" t="s">
        <v>2438</v>
      </c>
      <c r="D753" s="9">
        <v>33</v>
      </c>
      <c r="E753" s="3"/>
      <c r="F753" s="3"/>
      <c r="G753" s="9"/>
      <c r="H753" s="10">
        <v>45679.85701388889</v>
      </c>
      <c r="I753" s="10">
        <v>45679.857800925929</v>
      </c>
      <c r="J753" s="10">
        <v>45679.860578703701</v>
      </c>
      <c r="K753" s="11">
        <v>2.7777777777777779E-3</v>
      </c>
      <c r="L753" s="13"/>
    </row>
    <row r="754" spans="1:12" x14ac:dyDescent="0.25">
      <c r="A754" s="3" t="s">
        <v>3586</v>
      </c>
      <c r="B754" s="3" t="s">
        <v>4008</v>
      </c>
      <c r="C754" s="3" t="s">
        <v>2440</v>
      </c>
      <c r="D754" s="9">
        <v>61.9</v>
      </c>
      <c r="E754" s="3"/>
      <c r="F754" s="3"/>
      <c r="G754" s="9"/>
      <c r="H754" s="10">
        <v>45679.858877314808</v>
      </c>
      <c r="I754" s="10">
        <v>45679.85974537037</v>
      </c>
      <c r="J754" s="10">
        <v>45679.862800925926</v>
      </c>
      <c r="K754" s="11">
        <v>3.0555555555555561E-3</v>
      </c>
      <c r="L754" s="13"/>
    </row>
    <row r="755" spans="1:12" x14ac:dyDescent="0.25">
      <c r="A755" s="3" t="s">
        <v>3586</v>
      </c>
      <c r="B755" s="3" t="s">
        <v>4009</v>
      </c>
      <c r="C755" s="3" t="s">
        <v>2445</v>
      </c>
      <c r="D755" s="9">
        <v>15.7</v>
      </c>
      <c r="E755" s="3"/>
      <c r="F755" s="3"/>
      <c r="G755" s="9"/>
      <c r="H755" s="10">
        <v>45679.862476851849</v>
      </c>
      <c r="I755" s="10">
        <v>45679.863263888888</v>
      </c>
      <c r="J755" s="10">
        <v>45679.866041666668</v>
      </c>
      <c r="K755" s="11">
        <v>2.7777777777777779E-3</v>
      </c>
      <c r="L755" s="13"/>
    </row>
    <row r="756" spans="1:12" x14ac:dyDescent="0.25">
      <c r="A756" s="3" t="s">
        <v>3586</v>
      </c>
      <c r="B756" s="3" t="s">
        <v>4010</v>
      </c>
      <c r="C756" s="3" t="s">
        <v>2447</v>
      </c>
      <c r="D756" s="9">
        <v>29.7</v>
      </c>
      <c r="E756" s="3"/>
      <c r="F756" s="3"/>
      <c r="G756" s="9"/>
      <c r="H756" s="10">
        <v>45679.864236111112</v>
      </c>
      <c r="I756" s="10">
        <v>45679.865104166667</v>
      </c>
      <c r="J756" s="10">
        <v>45679.868159722217</v>
      </c>
      <c r="K756" s="11">
        <v>3.0555555555555561E-3</v>
      </c>
      <c r="L756" s="13"/>
    </row>
    <row r="757" spans="1:12" x14ac:dyDescent="0.25">
      <c r="A757" s="3" t="s">
        <v>3586</v>
      </c>
      <c r="B757" s="3" t="s">
        <v>4011</v>
      </c>
      <c r="C757" s="3" t="s">
        <v>2466</v>
      </c>
      <c r="D757" s="9">
        <v>54.7</v>
      </c>
      <c r="E757" s="3"/>
      <c r="F757" s="3"/>
      <c r="G757" s="9"/>
      <c r="H757" s="10">
        <v>45680.299421296288</v>
      </c>
      <c r="I757" s="10">
        <v>45680.30028935185</v>
      </c>
      <c r="J757" s="10">
        <v>45680.303344907406</v>
      </c>
      <c r="K757" s="11">
        <v>3.0555555555555561E-3</v>
      </c>
      <c r="L757" s="13"/>
    </row>
    <row r="758" spans="1:12" x14ac:dyDescent="0.25">
      <c r="A758" s="3" t="s">
        <v>3586</v>
      </c>
      <c r="B758" s="3" t="s">
        <v>4012</v>
      </c>
      <c r="C758" s="3" t="s">
        <v>2471</v>
      </c>
      <c r="D758" s="9">
        <v>42</v>
      </c>
      <c r="E758" s="3"/>
      <c r="F758" s="3"/>
      <c r="G758" s="9"/>
      <c r="H758" s="10">
        <v>45680.302789351852</v>
      </c>
      <c r="I758" s="10">
        <v>45680.303657407407</v>
      </c>
      <c r="J758" s="10">
        <v>45680.306712962964</v>
      </c>
      <c r="K758" s="11">
        <v>3.0555555555555561E-3</v>
      </c>
      <c r="L758" s="13"/>
    </row>
    <row r="759" spans="1:12" x14ac:dyDescent="0.25">
      <c r="A759" s="3" t="s">
        <v>3586</v>
      </c>
      <c r="B759" s="3" t="s">
        <v>4013</v>
      </c>
      <c r="C759" s="3" t="s">
        <v>4014</v>
      </c>
      <c r="D759" s="9">
        <v>39</v>
      </c>
      <c r="E759" s="3"/>
      <c r="F759" s="3"/>
      <c r="G759" s="9"/>
      <c r="H759" s="10">
        <v>45680.304791666669</v>
      </c>
      <c r="I759" s="10">
        <v>45680.305659722217</v>
      </c>
      <c r="J759" s="10">
        <v>45680.308715277781</v>
      </c>
      <c r="K759" s="11">
        <v>3.0555555555555561E-3</v>
      </c>
      <c r="L759" s="13"/>
    </row>
    <row r="760" spans="1:12" x14ac:dyDescent="0.25">
      <c r="A760" s="3" t="s">
        <v>3586</v>
      </c>
      <c r="B760" s="3" t="s">
        <v>4015</v>
      </c>
      <c r="C760" s="3" t="s">
        <v>2491</v>
      </c>
      <c r="D760" s="9">
        <v>31.5</v>
      </c>
      <c r="E760" s="3"/>
      <c r="F760" s="3"/>
      <c r="G760" s="9"/>
      <c r="H760" s="10">
        <v>45680.402569444443</v>
      </c>
      <c r="I760" s="10">
        <v>45680.403344907398</v>
      </c>
      <c r="J760" s="10">
        <v>45680.406122685177</v>
      </c>
      <c r="K760" s="11">
        <v>2.7777777777777779E-3</v>
      </c>
      <c r="L760" s="13"/>
    </row>
    <row r="761" spans="1:12" x14ac:dyDescent="0.25">
      <c r="A761" s="3" t="s">
        <v>3586</v>
      </c>
      <c r="B761" s="3" t="s">
        <v>4016</v>
      </c>
      <c r="C761" s="3" t="s">
        <v>2493</v>
      </c>
      <c r="D761" s="9">
        <v>19.899999999999999</v>
      </c>
      <c r="E761" s="3"/>
      <c r="F761" s="3"/>
      <c r="G761" s="9"/>
      <c r="H761" s="10">
        <v>45680.404166666667</v>
      </c>
      <c r="I761" s="10">
        <v>45680.405034722222</v>
      </c>
      <c r="J761" s="10">
        <v>45680.408090277779</v>
      </c>
      <c r="K761" s="11">
        <v>3.0555555555555561E-3</v>
      </c>
      <c r="L761" s="13"/>
    </row>
    <row r="762" spans="1:12" x14ac:dyDescent="0.25">
      <c r="A762" s="3" t="s">
        <v>3586</v>
      </c>
      <c r="B762" s="3" t="s">
        <v>4017</v>
      </c>
      <c r="C762" s="3" t="s">
        <v>2495</v>
      </c>
      <c r="D762" s="9">
        <v>15.7</v>
      </c>
      <c r="E762" s="3"/>
      <c r="F762" s="3"/>
      <c r="G762" s="9"/>
      <c r="H762" s="10">
        <v>45680.405752314808</v>
      </c>
      <c r="I762" s="10">
        <v>45680.406585648147</v>
      </c>
      <c r="J762" s="10">
        <v>45680.409641203703</v>
      </c>
      <c r="K762" s="11">
        <v>3.0555555555555561E-3</v>
      </c>
      <c r="L762" s="13"/>
    </row>
    <row r="763" spans="1:12" x14ac:dyDescent="0.25">
      <c r="A763" s="3" t="s">
        <v>3586</v>
      </c>
      <c r="B763" s="3" t="s">
        <v>4018</v>
      </c>
      <c r="C763" s="3" t="s">
        <v>2497</v>
      </c>
      <c r="D763" s="9">
        <v>82.1</v>
      </c>
      <c r="E763" s="3"/>
      <c r="F763" s="3"/>
      <c r="G763" s="9"/>
      <c r="H763" s="10">
        <v>45680.407789351862</v>
      </c>
      <c r="I763" s="10">
        <v>45680.408553240741</v>
      </c>
      <c r="J763" s="10">
        <v>45680.41133101852</v>
      </c>
      <c r="K763" s="11">
        <v>2.7777777777777779E-3</v>
      </c>
      <c r="L763" s="13"/>
    </row>
    <row r="764" spans="1:12" x14ac:dyDescent="0.25">
      <c r="A764" s="3" t="s">
        <v>3586</v>
      </c>
      <c r="B764" s="3" t="s">
        <v>4019</v>
      </c>
      <c r="C764" s="3" t="s">
        <v>2499</v>
      </c>
      <c r="D764" s="9">
        <v>57.4</v>
      </c>
      <c r="E764" s="3"/>
      <c r="F764" s="3"/>
      <c r="G764" s="9"/>
      <c r="H764" s="10">
        <v>45680.409131944441</v>
      </c>
      <c r="I764" s="10">
        <v>45680.41</v>
      </c>
      <c r="J764" s="10">
        <v>45680.413055555553</v>
      </c>
      <c r="K764" s="11">
        <v>3.0555555555555561E-3</v>
      </c>
      <c r="L764" s="13"/>
    </row>
    <row r="765" spans="1:12" x14ac:dyDescent="0.25">
      <c r="A765" s="3" t="s">
        <v>3586</v>
      </c>
      <c r="B765" s="3" t="s">
        <v>4020</v>
      </c>
      <c r="C765" s="3" t="s">
        <v>2501</v>
      </c>
      <c r="D765" s="9">
        <v>19.899999999999999</v>
      </c>
      <c r="E765" s="3"/>
      <c r="F765" s="3"/>
      <c r="G765" s="9"/>
      <c r="H765" s="10">
        <v>45680.411030092589</v>
      </c>
      <c r="I765" s="10">
        <v>45680.411863425928</v>
      </c>
      <c r="J765" s="10">
        <v>45680.414918981478</v>
      </c>
      <c r="K765" s="11">
        <v>3.0555555555555561E-3</v>
      </c>
      <c r="L765" s="13"/>
    </row>
    <row r="766" spans="1:12" x14ac:dyDescent="0.25">
      <c r="A766" s="3" t="s">
        <v>3586</v>
      </c>
      <c r="B766" s="3" t="s">
        <v>4021</v>
      </c>
      <c r="C766" s="3" t="s">
        <v>2508</v>
      </c>
      <c r="D766" s="9">
        <v>21</v>
      </c>
      <c r="E766" s="3"/>
      <c r="F766" s="3"/>
      <c r="G766" s="9"/>
      <c r="H766" s="10">
        <v>45680.417210648149</v>
      </c>
      <c r="I766" s="10">
        <v>45680.417986111112</v>
      </c>
      <c r="J766" s="10">
        <v>45680.420763888891</v>
      </c>
      <c r="K766" s="11">
        <v>2.7777777777777779E-3</v>
      </c>
      <c r="L766" s="13"/>
    </row>
    <row r="767" spans="1:12" x14ac:dyDescent="0.25">
      <c r="A767" s="3" t="s">
        <v>3586</v>
      </c>
      <c r="B767" s="3" t="s">
        <v>4022</v>
      </c>
      <c r="C767" s="3" t="s">
        <v>2528</v>
      </c>
      <c r="D767" s="9">
        <v>15.7</v>
      </c>
      <c r="E767" s="3"/>
      <c r="F767" s="3"/>
      <c r="G767" s="9"/>
      <c r="H767" s="10">
        <v>45680.632685185177</v>
      </c>
      <c r="I767" s="10">
        <v>45680.633518518523</v>
      </c>
      <c r="J767" s="10">
        <v>45680.636574074073</v>
      </c>
      <c r="K767" s="11">
        <v>3.0555555555555561E-3</v>
      </c>
      <c r="L767" s="13"/>
    </row>
    <row r="768" spans="1:12" x14ac:dyDescent="0.25">
      <c r="A768" s="3" t="s">
        <v>3586</v>
      </c>
      <c r="B768" s="3" t="s">
        <v>4023</v>
      </c>
      <c r="C768" s="3" t="s">
        <v>2530</v>
      </c>
      <c r="D768" s="9">
        <v>15.7</v>
      </c>
      <c r="E768" s="3"/>
      <c r="F768" s="3"/>
      <c r="G768" s="9"/>
      <c r="H768" s="10">
        <v>45680.634409722217</v>
      </c>
      <c r="I768" s="10">
        <v>45680.635277777779</v>
      </c>
      <c r="J768" s="10">
        <v>45680.638333333343</v>
      </c>
      <c r="K768" s="11">
        <v>3.0555555555555561E-3</v>
      </c>
      <c r="L768" s="13"/>
    </row>
    <row r="769" spans="1:12" x14ac:dyDescent="0.25">
      <c r="A769" s="3" t="s">
        <v>3586</v>
      </c>
      <c r="B769" s="3" t="s">
        <v>4024</v>
      </c>
      <c r="C769" s="3" t="s">
        <v>2532</v>
      </c>
      <c r="D769" s="9">
        <v>39.799999999999997</v>
      </c>
      <c r="E769" s="3"/>
      <c r="F769" s="3"/>
      <c r="G769" s="9"/>
      <c r="H769" s="10">
        <v>45680.636354166672</v>
      </c>
      <c r="I769" s="10">
        <v>45680.63722222222</v>
      </c>
      <c r="J769" s="10">
        <v>45680.640277777777</v>
      </c>
      <c r="K769" s="11">
        <v>3.0555555555555561E-3</v>
      </c>
      <c r="L769" s="13"/>
    </row>
    <row r="770" spans="1:12" x14ac:dyDescent="0.25">
      <c r="A770" s="3" t="s">
        <v>3586</v>
      </c>
      <c r="B770" s="3" t="s">
        <v>4025</v>
      </c>
      <c r="C770" s="3" t="s">
        <v>2546</v>
      </c>
      <c r="D770" s="9">
        <v>15.7</v>
      </c>
      <c r="E770" s="3"/>
      <c r="F770" s="3"/>
      <c r="G770" s="9"/>
      <c r="H770" s="10">
        <v>45680.732407407413</v>
      </c>
      <c r="I770" s="10">
        <v>45680.733275462961</v>
      </c>
      <c r="J770" s="10">
        <v>45680.736331018517</v>
      </c>
      <c r="K770" s="11">
        <v>3.0555555555555561E-3</v>
      </c>
      <c r="L770" s="13"/>
    </row>
    <row r="771" spans="1:12" x14ac:dyDescent="0.25">
      <c r="A771" s="3" t="s">
        <v>3586</v>
      </c>
      <c r="B771" s="3" t="s">
        <v>4026</v>
      </c>
      <c r="C771" s="3" t="s">
        <v>2548</v>
      </c>
      <c r="D771" s="9">
        <v>39</v>
      </c>
      <c r="E771" s="3"/>
      <c r="F771" s="3"/>
      <c r="G771" s="9"/>
      <c r="H771" s="10">
        <v>45680.734375</v>
      </c>
      <c r="I771" s="10">
        <v>45680.735208333332</v>
      </c>
      <c r="J771" s="10">
        <v>45680.738263888888</v>
      </c>
      <c r="K771" s="11">
        <v>3.0555555555555561E-3</v>
      </c>
      <c r="L771" s="13"/>
    </row>
    <row r="772" spans="1:12" x14ac:dyDescent="0.25">
      <c r="A772" s="3" t="s">
        <v>3586</v>
      </c>
      <c r="B772" s="3" t="s">
        <v>4027</v>
      </c>
      <c r="C772" s="3" t="s">
        <v>2552</v>
      </c>
      <c r="D772" s="9">
        <v>19.899999999999999</v>
      </c>
      <c r="E772" s="3"/>
      <c r="F772" s="3"/>
      <c r="G772" s="9"/>
      <c r="H772" s="10">
        <v>45680.737187500003</v>
      </c>
      <c r="I772" s="10">
        <v>45680.738055555557</v>
      </c>
      <c r="J772" s="10">
        <v>45680.741111111107</v>
      </c>
      <c r="K772" s="11">
        <v>3.0555555555555561E-3</v>
      </c>
      <c r="L772" s="13"/>
    </row>
    <row r="773" spans="1:12" x14ac:dyDescent="0.25">
      <c r="A773" s="3" t="s">
        <v>3586</v>
      </c>
      <c r="B773" s="3" t="s">
        <v>4028</v>
      </c>
      <c r="C773" s="3" t="s">
        <v>2554</v>
      </c>
      <c r="D773" s="9">
        <v>15.7</v>
      </c>
      <c r="E773" s="3"/>
      <c r="F773" s="3"/>
      <c r="G773" s="9"/>
      <c r="H773" s="10">
        <v>45680.738935185182</v>
      </c>
      <c r="I773" s="10">
        <v>45680.739722222221</v>
      </c>
      <c r="J773" s="10">
        <v>45680.7425</v>
      </c>
      <c r="K773" s="11">
        <v>2.7777777777777779E-3</v>
      </c>
      <c r="L773" s="13"/>
    </row>
    <row r="774" spans="1:12" x14ac:dyDescent="0.25">
      <c r="A774" s="3" t="s">
        <v>3586</v>
      </c>
      <c r="B774" s="3" t="s">
        <v>4029</v>
      </c>
      <c r="C774" s="3" t="s">
        <v>2556</v>
      </c>
      <c r="D774" s="9">
        <v>15.7</v>
      </c>
      <c r="E774" s="3"/>
      <c r="F774" s="3"/>
      <c r="G774" s="9"/>
      <c r="H774" s="10">
        <v>45680.740960648152</v>
      </c>
      <c r="I774" s="10">
        <v>45680.741805555554</v>
      </c>
      <c r="J774" s="10">
        <v>45680.74486111111</v>
      </c>
      <c r="K774" s="11">
        <v>3.0555555555555561E-3</v>
      </c>
      <c r="L774" s="13"/>
    </row>
    <row r="775" spans="1:12" x14ac:dyDescent="0.25">
      <c r="A775" s="3" t="s">
        <v>3586</v>
      </c>
      <c r="B775" s="3" t="s">
        <v>4030</v>
      </c>
      <c r="C775" s="3" t="s">
        <v>2558</v>
      </c>
      <c r="D775" s="9">
        <v>15.7</v>
      </c>
      <c r="E775" s="3"/>
      <c r="F775" s="3"/>
      <c r="G775" s="9"/>
      <c r="H775" s="10">
        <v>45680.742581018523</v>
      </c>
      <c r="I775" s="10">
        <v>45680.743449074071</v>
      </c>
      <c r="J775" s="10">
        <v>45680.746504629627</v>
      </c>
      <c r="K775" s="11">
        <v>3.0555555555555561E-3</v>
      </c>
      <c r="L775" s="13"/>
    </row>
    <row r="776" spans="1:12" x14ac:dyDescent="0.25">
      <c r="A776" s="3" t="s">
        <v>3586</v>
      </c>
      <c r="B776" s="3" t="s">
        <v>4031</v>
      </c>
      <c r="C776" s="3" t="s">
        <v>2560</v>
      </c>
      <c r="D776" s="9">
        <v>15.7</v>
      </c>
      <c r="E776" s="3"/>
      <c r="F776" s="3"/>
      <c r="G776" s="9"/>
      <c r="H776" s="10">
        <v>45680.743738425917</v>
      </c>
      <c r="I776" s="10">
        <v>45680.744525462957</v>
      </c>
      <c r="J776" s="10">
        <v>45680.747303240743</v>
      </c>
      <c r="K776" s="11">
        <v>2.7777777777777779E-3</v>
      </c>
      <c r="L776" s="13"/>
    </row>
    <row r="777" spans="1:12" x14ac:dyDescent="0.25">
      <c r="A777" s="3" t="s">
        <v>3586</v>
      </c>
      <c r="B777" s="3" t="s">
        <v>4032</v>
      </c>
      <c r="C777" s="3" t="s">
        <v>2568</v>
      </c>
      <c r="D777" s="9">
        <v>14</v>
      </c>
      <c r="E777" s="3"/>
      <c r="F777" s="3"/>
      <c r="G777" s="9"/>
      <c r="H777" s="10">
        <v>45680.74832175926</v>
      </c>
      <c r="I777" s="10">
        <v>45680.749108796299</v>
      </c>
      <c r="J777" s="10">
        <v>45680.751886574071</v>
      </c>
      <c r="K777" s="11">
        <v>2.7777777777777779E-3</v>
      </c>
      <c r="L777" s="13"/>
    </row>
    <row r="778" spans="1:12" x14ac:dyDescent="0.25">
      <c r="A778" s="3" t="s">
        <v>3586</v>
      </c>
      <c r="B778" s="3" t="s">
        <v>4033</v>
      </c>
      <c r="C778" s="3" t="s">
        <v>2573</v>
      </c>
      <c r="D778" s="9">
        <v>85.5</v>
      </c>
      <c r="E778" s="3"/>
      <c r="F778" s="3"/>
      <c r="G778" s="9"/>
      <c r="H778" s="10">
        <v>45680.881122685183</v>
      </c>
      <c r="I778" s="10">
        <v>45680.881898148153</v>
      </c>
      <c r="J778" s="10">
        <v>45680.884675925918</v>
      </c>
      <c r="K778" s="11">
        <v>2.7777777777777779E-3</v>
      </c>
      <c r="L778" s="13"/>
    </row>
    <row r="779" spans="1:12" x14ac:dyDescent="0.25">
      <c r="A779" s="3" t="s">
        <v>3586</v>
      </c>
      <c r="B779" s="3" t="s">
        <v>4034</v>
      </c>
      <c r="C779" s="3" t="s">
        <v>2575</v>
      </c>
      <c r="D779" s="9">
        <v>31.5</v>
      </c>
      <c r="E779" s="3"/>
      <c r="F779" s="3"/>
      <c r="G779" s="9"/>
      <c r="H779" s="10">
        <v>45681.124409722222</v>
      </c>
      <c r="I779" s="10">
        <v>45681.125185185178</v>
      </c>
      <c r="J779" s="10">
        <v>45681.127962962957</v>
      </c>
      <c r="K779" s="11">
        <v>2.7777777777777779E-3</v>
      </c>
      <c r="L779" s="13"/>
    </row>
    <row r="780" spans="1:12" x14ac:dyDescent="0.25">
      <c r="A780" s="3" t="s">
        <v>3586</v>
      </c>
      <c r="B780" s="3" t="s">
        <v>4035</v>
      </c>
      <c r="C780" s="3" t="s">
        <v>2579</v>
      </c>
      <c r="D780" s="9">
        <v>35.6</v>
      </c>
      <c r="E780" s="3"/>
      <c r="F780" s="3"/>
      <c r="G780" s="9"/>
      <c r="H780" s="10">
        <v>45681.127916666657</v>
      </c>
      <c r="I780" s="10">
        <v>45681.128750000003</v>
      </c>
      <c r="J780" s="10">
        <v>45681.131805555553</v>
      </c>
      <c r="K780" s="11">
        <v>3.0555555555555561E-3</v>
      </c>
      <c r="L780" s="13"/>
    </row>
    <row r="781" spans="1:12" x14ac:dyDescent="0.25">
      <c r="A781" s="3" t="s">
        <v>3586</v>
      </c>
      <c r="B781" s="3" t="s">
        <v>4036</v>
      </c>
      <c r="C781" s="3" t="s">
        <v>2581</v>
      </c>
      <c r="D781" s="9">
        <v>12</v>
      </c>
      <c r="E781" s="3"/>
      <c r="F781" s="3"/>
      <c r="G781" s="9"/>
      <c r="H781" s="10">
        <v>45681.129861111112</v>
      </c>
      <c r="I781" s="10">
        <v>45681.130636574067</v>
      </c>
      <c r="J781" s="10">
        <v>45681.133414351847</v>
      </c>
      <c r="K781" s="11">
        <v>2.7777777777777779E-3</v>
      </c>
      <c r="L781" s="13"/>
    </row>
    <row r="782" spans="1:12" x14ac:dyDescent="0.25">
      <c r="A782" s="3" t="s">
        <v>3586</v>
      </c>
      <c r="B782" s="3" t="s">
        <v>4037</v>
      </c>
      <c r="C782" s="3" t="s">
        <v>2583</v>
      </c>
      <c r="D782" s="9">
        <v>51.4</v>
      </c>
      <c r="E782" s="3"/>
      <c r="F782" s="3"/>
      <c r="G782" s="9"/>
      <c r="H782" s="10">
        <v>45681.131111111114</v>
      </c>
      <c r="I782" s="10">
        <v>45681.131979166668</v>
      </c>
      <c r="J782" s="10">
        <v>45681.135034722232</v>
      </c>
      <c r="K782" s="11">
        <v>3.0555555555555561E-3</v>
      </c>
      <c r="L782" s="13"/>
    </row>
    <row r="783" spans="1:12" x14ac:dyDescent="0.25">
      <c r="A783" s="3" t="s">
        <v>3586</v>
      </c>
      <c r="B783" s="3" t="s">
        <v>4038</v>
      </c>
      <c r="C783" s="3" t="s">
        <v>2601</v>
      </c>
      <c r="D783" s="9">
        <v>27</v>
      </c>
      <c r="E783" s="3"/>
      <c r="F783" s="3"/>
      <c r="G783" s="9"/>
      <c r="H783" s="10">
        <v>45681.325138888889</v>
      </c>
      <c r="I783" s="10">
        <v>45681.326041666667</v>
      </c>
      <c r="J783" s="10">
        <v>45681.329097222217</v>
      </c>
      <c r="K783" s="11">
        <v>3.0555555555555561E-3</v>
      </c>
      <c r="L783" s="13"/>
    </row>
    <row r="784" spans="1:12" x14ac:dyDescent="0.25">
      <c r="A784" s="3" t="s">
        <v>3586</v>
      </c>
      <c r="B784" s="3" t="s">
        <v>4039</v>
      </c>
      <c r="C784" s="3" t="s">
        <v>2604</v>
      </c>
      <c r="D784" s="9">
        <v>12</v>
      </c>
      <c r="E784" s="3"/>
      <c r="F784" s="3"/>
      <c r="G784" s="9"/>
      <c r="H784" s="10">
        <v>45681.32708333333</v>
      </c>
      <c r="I784" s="10">
        <v>45681.327951388892</v>
      </c>
      <c r="J784" s="10">
        <v>45681.331006944441</v>
      </c>
      <c r="K784" s="11">
        <v>3.0555555555555561E-3</v>
      </c>
      <c r="L784" s="13"/>
    </row>
    <row r="785" spans="1:12" x14ac:dyDescent="0.25">
      <c r="A785" s="3" t="s">
        <v>3586</v>
      </c>
      <c r="B785" s="3" t="s">
        <v>4040</v>
      </c>
      <c r="C785" s="3" t="s">
        <v>2620</v>
      </c>
      <c r="D785" s="9">
        <v>27</v>
      </c>
      <c r="E785" s="3"/>
      <c r="F785" s="3"/>
      <c r="G785" s="9"/>
      <c r="H785" s="10">
        <v>45681.391921296286</v>
      </c>
      <c r="I785" s="10">
        <v>45681.392766203702</v>
      </c>
      <c r="J785" s="10">
        <v>45681.395821759259</v>
      </c>
      <c r="K785" s="11">
        <v>3.0555555555555561E-3</v>
      </c>
      <c r="L785" s="13"/>
    </row>
    <row r="786" spans="1:12" x14ac:dyDescent="0.25">
      <c r="A786" s="3" t="s">
        <v>3586</v>
      </c>
      <c r="B786" s="3" t="s">
        <v>4041</v>
      </c>
      <c r="C786" s="3" t="s">
        <v>2622</v>
      </c>
      <c r="D786" s="9">
        <v>15.7</v>
      </c>
      <c r="E786" s="3"/>
      <c r="F786" s="3"/>
      <c r="G786" s="9"/>
      <c r="H786" s="10">
        <v>45681.393645833326</v>
      </c>
      <c r="I786" s="10">
        <v>45681.394479166673</v>
      </c>
      <c r="J786" s="10">
        <v>45681.397534722222</v>
      </c>
      <c r="K786" s="11">
        <v>3.0555555555555561E-3</v>
      </c>
      <c r="L786" s="13"/>
    </row>
    <row r="787" spans="1:12" x14ac:dyDescent="0.25">
      <c r="A787" s="3" t="s">
        <v>3586</v>
      </c>
      <c r="B787" s="3" t="s">
        <v>4042</v>
      </c>
      <c r="C787" s="3" t="s">
        <v>2627</v>
      </c>
      <c r="D787" s="9">
        <v>14</v>
      </c>
      <c r="E787" s="3"/>
      <c r="F787" s="3"/>
      <c r="G787" s="9"/>
      <c r="H787" s="10">
        <v>45681.397152777783</v>
      </c>
      <c r="I787" s="10">
        <v>45681.397997685177</v>
      </c>
      <c r="J787" s="10">
        <v>45681.401053240741</v>
      </c>
      <c r="K787" s="11">
        <v>3.0555555555555561E-3</v>
      </c>
      <c r="L787" s="13"/>
    </row>
    <row r="788" spans="1:12" x14ac:dyDescent="0.25">
      <c r="A788" s="3" t="s">
        <v>3586</v>
      </c>
      <c r="B788" s="3" t="s">
        <v>4043</v>
      </c>
      <c r="C788" s="3" t="s">
        <v>2634</v>
      </c>
      <c r="D788" s="9">
        <v>61.9</v>
      </c>
      <c r="E788" s="3"/>
      <c r="F788" s="3"/>
      <c r="G788" s="9"/>
      <c r="H788" s="10">
        <v>45681.423078703701</v>
      </c>
      <c r="I788" s="10">
        <v>45681.42391203704</v>
      </c>
      <c r="J788" s="10">
        <v>45681.42696759259</v>
      </c>
      <c r="K788" s="11">
        <v>3.0555555555555561E-3</v>
      </c>
      <c r="L788" s="13"/>
    </row>
    <row r="789" spans="1:12" x14ac:dyDescent="0.25">
      <c r="A789" s="3" t="s">
        <v>3586</v>
      </c>
      <c r="B789" s="3" t="s">
        <v>4044</v>
      </c>
      <c r="C789" s="3" t="s">
        <v>2649</v>
      </c>
      <c r="D789" s="9">
        <v>19.899999999999999</v>
      </c>
      <c r="E789" s="3"/>
      <c r="F789" s="3"/>
      <c r="G789" s="9"/>
      <c r="H789" s="10">
        <v>45681.641087962962</v>
      </c>
      <c r="I789" s="10">
        <v>45681.641956018517</v>
      </c>
      <c r="J789" s="10">
        <v>45681.645011574074</v>
      </c>
      <c r="K789" s="11">
        <v>3.0555555555555561E-3</v>
      </c>
      <c r="L789" s="13"/>
    </row>
    <row r="790" spans="1:12" x14ac:dyDescent="0.25">
      <c r="A790" s="3" t="s">
        <v>3586</v>
      </c>
      <c r="B790" s="3" t="s">
        <v>4045</v>
      </c>
      <c r="C790" s="3" t="s">
        <v>2653</v>
      </c>
      <c r="D790" s="9">
        <v>15.7</v>
      </c>
      <c r="E790" s="3"/>
      <c r="F790" s="3"/>
      <c r="G790" s="9"/>
      <c r="H790" s="10">
        <v>45681.645104166673</v>
      </c>
      <c r="I790" s="10">
        <v>45681.645960648151</v>
      </c>
      <c r="J790" s="10">
        <v>45681.649016203701</v>
      </c>
      <c r="K790" s="11">
        <v>3.0555555555555561E-3</v>
      </c>
      <c r="L790" s="13"/>
    </row>
    <row r="791" spans="1:12" x14ac:dyDescent="0.25">
      <c r="A791" s="3" t="s">
        <v>3586</v>
      </c>
      <c r="B791" s="3" t="s">
        <v>4046</v>
      </c>
      <c r="C791" s="3" t="s">
        <v>2655</v>
      </c>
      <c r="D791" s="9">
        <v>15.7</v>
      </c>
      <c r="E791" s="3"/>
      <c r="F791" s="3"/>
      <c r="G791" s="9"/>
      <c r="H791" s="10">
        <v>45681.647060185183</v>
      </c>
      <c r="I791" s="10">
        <v>45681.647847222222</v>
      </c>
      <c r="J791" s="10">
        <v>45681.650625000002</v>
      </c>
      <c r="K791" s="11">
        <v>2.7777777777777779E-3</v>
      </c>
      <c r="L791" s="13"/>
    </row>
    <row r="792" spans="1:12" x14ac:dyDescent="0.25">
      <c r="A792" s="3" t="s">
        <v>3586</v>
      </c>
      <c r="B792" s="3" t="s">
        <v>4047</v>
      </c>
      <c r="C792" s="3" t="s">
        <v>2658</v>
      </c>
      <c r="D792" s="9">
        <v>15.7</v>
      </c>
      <c r="E792" s="3"/>
      <c r="F792" s="3"/>
      <c r="G792" s="9"/>
      <c r="H792" s="10">
        <v>45681.648819444446</v>
      </c>
      <c r="I792" s="10">
        <v>45681.649687500001</v>
      </c>
      <c r="J792" s="10">
        <v>45681.652743055558</v>
      </c>
      <c r="K792" s="11">
        <v>3.0555555555555561E-3</v>
      </c>
      <c r="L792" s="13"/>
    </row>
    <row r="793" spans="1:12" x14ac:dyDescent="0.25">
      <c r="A793" s="3" t="s">
        <v>3586</v>
      </c>
      <c r="B793" s="3" t="s">
        <v>4048</v>
      </c>
      <c r="C793" s="3" t="s">
        <v>2675</v>
      </c>
      <c r="D793" s="9">
        <v>58.5</v>
      </c>
      <c r="E793" s="3"/>
      <c r="F793" s="3"/>
      <c r="G793" s="9"/>
      <c r="H793" s="10">
        <v>45683.75472222222</v>
      </c>
      <c r="I793" s="10">
        <v>45683.755590277768</v>
      </c>
      <c r="J793" s="10">
        <v>45683.758645833332</v>
      </c>
      <c r="K793" s="11">
        <v>3.0555555555555561E-3</v>
      </c>
      <c r="L793" s="13"/>
    </row>
    <row r="794" spans="1:12" x14ac:dyDescent="0.25">
      <c r="A794" s="3" t="s">
        <v>3586</v>
      </c>
      <c r="B794" s="3" t="s">
        <v>4049</v>
      </c>
      <c r="C794" s="3" t="s">
        <v>2680</v>
      </c>
      <c r="D794" s="9">
        <v>42</v>
      </c>
      <c r="E794" s="3"/>
      <c r="F794" s="3"/>
      <c r="G794" s="9"/>
      <c r="H794" s="10">
        <v>45683.75886574074</v>
      </c>
      <c r="I794" s="10">
        <v>45683.759652777779</v>
      </c>
      <c r="J794" s="10">
        <v>45683.762430555558</v>
      </c>
      <c r="K794" s="11">
        <v>2.7777777777777779E-3</v>
      </c>
      <c r="L794" s="13"/>
    </row>
    <row r="795" spans="1:12" x14ac:dyDescent="0.25">
      <c r="A795" s="3" t="s">
        <v>3586</v>
      </c>
      <c r="B795" s="3" t="s">
        <v>4050</v>
      </c>
      <c r="C795" s="3" t="s">
        <v>2682</v>
      </c>
      <c r="D795" s="9">
        <v>31.5</v>
      </c>
      <c r="E795" s="3"/>
      <c r="F795" s="3"/>
      <c r="G795" s="9"/>
      <c r="H795" s="10">
        <v>45684.121168981481</v>
      </c>
      <c r="I795" s="10">
        <v>45684.122002314813</v>
      </c>
      <c r="J795" s="10">
        <v>45684.125057870369</v>
      </c>
      <c r="K795" s="11">
        <v>3.0555555555555561E-3</v>
      </c>
      <c r="L795" s="13"/>
    </row>
    <row r="796" spans="1:12" x14ac:dyDescent="0.25">
      <c r="A796" s="3" t="s">
        <v>3586</v>
      </c>
      <c r="B796" s="3" t="s">
        <v>4051</v>
      </c>
      <c r="C796" s="3" t="s">
        <v>2687</v>
      </c>
      <c r="D796" s="9">
        <v>183.5</v>
      </c>
      <c r="E796" s="3"/>
      <c r="F796" s="3"/>
      <c r="G796" s="9"/>
      <c r="H796" s="10">
        <v>45684.124803240738</v>
      </c>
      <c r="I796" s="10">
        <v>45684.125578703701</v>
      </c>
      <c r="J796" s="10">
        <v>45684.12835648148</v>
      </c>
      <c r="K796" s="11">
        <v>2.7777777777777779E-3</v>
      </c>
      <c r="L796" s="13"/>
    </row>
    <row r="797" spans="1:12" x14ac:dyDescent="0.25">
      <c r="A797" s="3" t="s">
        <v>3586</v>
      </c>
      <c r="B797" s="3" t="s">
        <v>4052</v>
      </c>
      <c r="C797" s="3" t="s">
        <v>2699</v>
      </c>
      <c r="D797" s="9">
        <v>39</v>
      </c>
      <c r="E797" s="3"/>
      <c r="F797" s="3"/>
      <c r="G797" s="9"/>
      <c r="H797" s="10">
        <v>45684.317685185182</v>
      </c>
      <c r="I797" s="10">
        <v>45684.318553240737</v>
      </c>
      <c r="J797" s="10">
        <v>45684.321608796286</v>
      </c>
      <c r="K797" s="11">
        <v>3.0555555555555561E-3</v>
      </c>
      <c r="L797" s="13"/>
    </row>
    <row r="798" spans="1:12" x14ac:dyDescent="0.25">
      <c r="A798" s="3" t="s">
        <v>3586</v>
      </c>
      <c r="B798" s="3" t="s">
        <v>4053</v>
      </c>
      <c r="C798" s="3" t="s">
        <v>2718</v>
      </c>
      <c r="D798" s="9">
        <v>27</v>
      </c>
      <c r="E798" s="3"/>
      <c r="F798" s="3"/>
      <c r="G798" s="9"/>
      <c r="H798" s="10">
        <v>45684.380069444444</v>
      </c>
      <c r="I798" s="10">
        <v>45684.380856481483</v>
      </c>
      <c r="J798" s="10">
        <v>45684.383634259262</v>
      </c>
      <c r="K798" s="11">
        <v>2.7777777777777779E-3</v>
      </c>
      <c r="L798" s="13"/>
    </row>
    <row r="799" spans="1:12" x14ac:dyDescent="0.25">
      <c r="A799" s="3" t="s">
        <v>3586</v>
      </c>
      <c r="B799" s="3" t="s">
        <v>4054</v>
      </c>
      <c r="C799" s="3" t="s">
        <v>2720</v>
      </c>
      <c r="D799" s="9">
        <v>15.7</v>
      </c>
      <c r="E799" s="3"/>
      <c r="F799" s="3"/>
      <c r="G799" s="9"/>
      <c r="H799" s="10">
        <v>45684.382002314807</v>
      </c>
      <c r="I799" s="10">
        <v>45684.3827662037</v>
      </c>
      <c r="J799" s="10">
        <v>45684.38554398148</v>
      </c>
      <c r="K799" s="11">
        <v>2.7777777777777779E-3</v>
      </c>
      <c r="L799" s="13"/>
    </row>
    <row r="800" spans="1:12" x14ac:dyDescent="0.25">
      <c r="A800" s="3" t="s">
        <v>3586</v>
      </c>
      <c r="B800" s="3" t="s">
        <v>4055</v>
      </c>
      <c r="C800" s="3" t="s">
        <v>2726</v>
      </c>
      <c r="D800" s="9">
        <v>15.7</v>
      </c>
      <c r="E800" s="3"/>
      <c r="F800" s="3"/>
      <c r="G800" s="9"/>
      <c r="H800" s="10">
        <v>45684.386145833327</v>
      </c>
      <c r="I800" s="10">
        <v>45684.386932870373</v>
      </c>
      <c r="J800" s="10">
        <v>45684.389710648153</v>
      </c>
      <c r="K800" s="11">
        <v>2.7777777777777779E-3</v>
      </c>
      <c r="L800" s="13"/>
    </row>
    <row r="801" spans="1:12" x14ac:dyDescent="0.25">
      <c r="A801" s="3" t="s">
        <v>3586</v>
      </c>
      <c r="B801" s="3" t="s">
        <v>4056</v>
      </c>
      <c r="C801" s="3" t="s">
        <v>2728</v>
      </c>
      <c r="D801" s="9">
        <v>19.899999999999999</v>
      </c>
      <c r="E801" s="3"/>
      <c r="F801" s="3"/>
      <c r="G801" s="9"/>
      <c r="H801" s="10">
        <v>45684.387743055559</v>
      </c>
      <c r="I801" s="10">
        <v>45684.38857638889</v>
      </c>
      <c r="J801" s="10">
        <v>45684.391631944447</v>
      </c>
      <c r="K801" s="11">
        <v>3.0555555555555561E-3</v>
      </c>
      <c r="L801" s="13"/>
    </row>
    <row r="802" spans="1:12" x14ac:dyDescent="0.25">
      <c r="A802" s="3" t="s">
        <v>3586</v>
      </c>
      <c r="B802" s="3" t="s">
        <v>4057</v>
      </c>
      <c r="C802" s="3" t="s">
        <v>2730</v>
      </c>
      <c r="D802" s="9">
        <v>42</v>
      </c>
      <c r="E802" s="3"/>
      <c r="F802" s="3"/>
      <c r="G802" s="9"/>
      <c r="H802" s="10">
        <v>45684.388935185183</v>
      </c>
      <c r="I802" s="10">
        <v>45684.389699074083</v>
      </c>
      <c r="J802" s="10">
        <v>45684.392476851863</v>
      </c>
      <c r="K802" s="11">
        <v>2.7777777777777779E-3</v>
      </c>
      <c r="L802" s="13"/>
    </row>
    <row r="803" spans="1:12" x14ac:dyDescent="0.25">
      <c r="A803" s="3" t="s">
        <v>3586</v>
      </c>
      <c r="B803" s="3" t="s">
        <v>4058</v>
      </c>
      <c r="C803" s="3" t="s">
        <v>2733</v>
      </c>
      <c r="D803" s="9">
        <v>15.7</v>
      </c>
      <c r="E803" s="3"/>
      <c r="F803" s="3"/>
      <c r="G803" s="9"/>
      <c r="H803" s="10">
        <v>45684.390856481477</v>
      </c>
      <c r="I803" s="10">
        <v>45684.391643518517</v>
      </c>
      <c r="J803" s="10">
        <v>45684.394421296303</v>
      </c>
      <c r="K803" s="11">
        <v>2.7777777777777779E-3</v>
      </c>
      <c r="L803" s="13"/>
    </row>
    <row r="804" spans="1:12" x14ac:dyDescent="0.25">
      <c r="A804" s="3" t="s">
        <v>3586</v>
      </c>
      <c r="B804" s="3" t="s">
        <v>4059</v>
      </c>
      <c r="C804" s="3" t="s">
        <v>2750</v>
      </c>
      <c r="D804" s="9">
        <v>77.3</v>
      </c>
      <c r="E804" s="3"/>
      <c r="F804" s="3"/>
      <c r="G804" s="9"/>
      <c r="H804" s="10">
        <v>45684.675254629627</v>
      </c>
      <c r="I804" s="10">
        <v>45684.676041666673</v>
      </c>
      <c r="J804" s="10">
        <v>45684.678819444453</v>
      </c>
      <c r="K804" s="11">
        <v>2.7777777777777779E-3</v>
      </c>
      <c r="L804" s="13"/>
    </row>
    <row r="805" spans="1:12" x14ac:dyDescent="0.25">
      <c r="A805" s="3" t="s">
        <v>3586</v>
      </c>
      <c r="B805" s="3" t="s">
        <v>4060</v>
      </c>
      <c r="C805" s="3" t="s">
        <v>2752</v>
      </c>
      <c r="D805" s="9">
        <v>305.8</v>
      </c>
      <c r="E805" s="3"/>
      <c r="F805" s="3"/>
      <c r="G805" s="9"/>
      <c r="H805" s="10">
        <v>45684.67765046296</v>
      </c>
      <c r="I805" s="10">
        <v>45684.678495370368</v>
      </c>
      <c r="J805" s="10">
        <v>45684.681550925918</v>
      </c>
      <c r="K805" s="11">
        <v>3.0555555555555561E-3</v>
      </c>
      <c r="L805" s="13"/>
    </row>
    <row r="806" spans="1:12" x14ac:dyDescent="0.25">
      <c r="A806" s="3" t="s">
        <v>3586</v>
      </c>
      <c r="B806" s="3" t="s">
        <v>4061</v>
      </c>
      <c r="C806" s="3" t="s">
        <v>2764</v>
      </c>
      <c r="D806" s="9">
        <v>397.3</v>
      </c>
      <c r="E806" s="3"/>
      <c r="F806" s="3"/>
      <c r="G806" s="9"/>
      <c r="H806" s="10">
        <v>45684.885462962957</v>
      </c>
      <c r="I806" s="10">
        <v>45684.886307870373</v>
      </c>
      <c r="J806" s="10">
        <v>45684.889363425929</v>
      </c>
      <c r="K806" s="11">
        <v>3.0555555555555561E-3</v>
      </c>
      <c r="L806" s="13"/>
    </row>
    <row r="807" spans="1:12" x14ac:dyDescent="0.25">
      <c r="A807" s="3" t="s">
        <v>3586</v>
      </c>
      <c r="B807" s="3" t="s">
        <v>4062</v>
      </c>
      <c r="C807" s="3" t="s">
        <v>2766</v>
      </c>
      <c r="D807" s="9">
        <v>24.1</v>
      </c>
      <c r="E807" s="3"/>
      <c r="F807" s="3"/>
      <c r="G807" s="9"/>
      <c r="H807" s="10">
        <v>45685.130497685182</v>
      </c>
      <c r="I807" s="10">
        <v>45685.131365740737</v>
      </c>
      <c r="J807" s="10">
        <v>45685.134421296287</v>
      </c>
      <c r="K807" s="11">
        <v>3.0555555555555561E-3</v>
      </c>
      <c r="L807" s="13"/>
    </row>
    <row r="808" spans="1:12" x14ac:dyDescent="0.25">
      <c r="A808" s="3" t="s">
        <v>3586</v>
      </c>
      <c r="B808" s="3" t="s">
        <v>4063</v>
      </c>
      <c r="C808" s="3" t="s">
        <v>2779</v>
      </c>
      <c r="D808" s="9">
        <v>27</v>
      </c>
      <c r="E808" s="3"/>
      <c r="F808" s="3"/>
      <c r="G808" s="9"/>
      <c r="H808" s="10">
        <v>45685.317094907397</v>
      </c>
      <c r="I808" s="10">
        <v>45685.317893518521</v>
      </c>
      <c r="J808" s="10">
        <v>45685.320671296293</v>
      </c>
      <c r="K808" s="11">
        <v>2.7777777777777779E-3</v>
      </c>
      <c r="L808" s="13"/>
    </row>
    <row r="809" spans="1:12" x14ac:dyDescent="0.25">
      <c r="A809" s="3" t="s">
        <v>3586</v>
      </c>
      <c r="B809" s="3" t="s">
        <v>4064</v>
      </c>
      <c r="C809" s="3" t="s">
        <v>2791</v>
      </c>
      <c r="D809" s="9">
        <v>14</v>
      </c>
      <c r="E809" s="3"/>
      <c r="F809" s="3"/>
      <c r="G809" s="9"/>
      <c r="H809" s="10">
        <v>45685.323993055557</v>
      </c>
      <c r="I809" s="10">
        <v>45685.324837962973</v>
      </c>
      <c r="J809" s="10">
        <v>45685.327893518523</v>
      </c>
      <c r="K809" s="11">
        <v>3.0555555555555561E-3</v>
      </c>
      <c r="L809" s="13"/>
    </row>
    <row r="810" spans="1:12" x14ac:dyDescent="0.25">
      <c r="A810" s="3" t="s">
        <v>3586</v>
      </c>
      <c r="B810" s="3" t="s">
        <v>4065</v>
      </c>
      <c r="C810" s="3" t="s">
        <v>2797</v>
      </c>
      <c r="D810" s="9">
        <v>15.7</v>
      </c>
      <c r="E810" s="3"/>
      <c r="F810" s="3"/>
      <c r="G810" s="9"/>
      <c r="H810" s="10">
        <v>45685.395694444444</v>
      </c>
      <c r="I810" s="10">
        <v>45685.396562499998</v>
      </c>
      <c r="J810" s="10">
        <v>45685.399618055562</v>
      </c>
      <c r="K810" s="11">
        <v>3.0555555555555561E-3</v>
      </c>
      <c r="L810" s="13"/>
    </row>
    <row r="811" spans="1:12" x14ac:dyDescent="0.25">
      <c r="A811" s="3" t="s">
        <v>3586</v>
      </c>
      <c r="B811" s="3" t="s">
        <v>4066</v>
      </c>
      <c r="C811" s="3" t="s">
        <v>2800</v>
      </c>
      <c r="D811" s="9">
        <v>15.7</v>
      </c>
      <c r="E811" s="3"/>
      <c r="F811" s="3"/>
      <c r="G811" s="9"/>
      <c r="H811" s="10">
        <v>45685.396828703713</v>
      </c>
      <c r="I811" s="10">
        <v>45685.397604166668</v>
      </c>
      <c r="J811" s="10">
        <v>45685.400381944448</v>
      </c>
      <c r="K811" s="11">
        <v>2.7777777777777779E-3</v>
      </c>
      <c r="L811" s="13"/>
    </row>
    <row r="812" spans="1:12" x14ac:dyDescent="0.25">
      <c r="A812" s="3" t="s">
        <v>3586</v>
      </c>
      <c r="B812" s="3" t="s">
        <v>4067</v>
      </c>
      <c r="C812" s="3" t="s">
        <v>2805</v>
      </c>
      <c r="D812" s="9">
        <v>28</v>
      </c>
      <c r="E812" s="3"/>
      <c r="F812" s="3"/>
      <c r="G812" s="9"/>
      <c r="H812" s="10">
        <v>45685.400034722217</v>
      </c>
      <c r="I812" s="10">
        <v>45685.400879629633</v>
      </c>
      <c r="J812" s="10">
        <v>45685.403935185182</v>
      </c>
      <c r="K812" s="11">
        <v>3.0555555555555561E-3</v>
      </c>
      <c r="L812" s="13"/>
    </row>
    <row r="813" spans="1:12" x14ac:dyDescent="0.25">
      <c r="A813" s="3" t="s">
        <v>3586</v>
      </c>
      <c r="B813" s="3" t="s">
        <v>4068</v>
      </c>
      <c r="C813" s="3" t="s">
        <v>2807</v>
      </c>
      <c r="D813" s="9">
        <v>19.899999999999999</v>
      </c>
      <c r="E813" s="3"/>
      <c r="F813" s="3"/>
      <c r="G813" s="9"/>
      <c r="H813" s="10">
        <v>45685.401967592603</v>
      </c>
      <c r="I813" s="10">
        <v>45685.402800925927</v>
      </c>
      <c r="J813" s="10">
        <v>45685.405856481477</v>
      </c>
      <c r="K813" s="11">
        <v>3.0555555555555561E-3</v>
      </c>
      <c r="L813" s="13"/>
    </row>
    <row r="814" spans="1:12" x14ac:dyDescent="0.25">
      <c r="A814" s="3" t="s">
        <v>3586</v>
      </c>
      <c r="B814" s="3" t="s">
        <v>4069</v>
      </c>
      <c r="C814" s="3" t="s">
        <v>2812</v>
      </c>
      <c r="D814" s="9">
        <v>21</v>
      </c>
      <c r="E814" s="3"/>
      <c r="F814" s="3"/>
      <c r="G814" s="9"/>
      <c r="H814" s="10">
        <v>45685.405104166668</v>
      </c>
      <c r="I814" s="10">
        <v>45685.405949074076</v>
      </c>
      <c r="J814" s="10">
        <v>45685.409004629633</v>
      </c>
      <c r="K814" s="11">
        <v>3.0555555555555561E-3</v>
      </c>
      <c r="L814" s="13"/>
    </row>
    <row r="815" spans="1:12" x14ac:dyDescent="0.25">
      <c r="A815" s="3" t="s">
        <v>3586</v>
      </c>
      <c r="B815" s="3" t="s">
        <v>4070</v>
      </c>
      <c r="C815" s="3" t="s">
        <v>2814</v>
      </c>
      <c r="D815" s="9">
        <v>12</v>
      </c>
      <c r="E815" s="3"/>
      <c r="F815" s="3"/>
      <c r="G815" s="9"/>
      <c r="H815" s="10">
        <v>45685.40697916667</v>
      </c>
      <c r="I815" s="10">
        <v>45685.407754629632</v>
      </c>
      <c r="J815" s="10">
        <v>45685.410532407397</v>
      </c>
      <c r="K815" s="11">
        <v>2.7777777777777779E-3</v>
      </c>
      <c r="L815" s="13"/>
    </row>
    <row r="816" spans="1:12" x14ac:dyDescent="0.25">
      <c r="A816" s="3" t="s">
        <v>3586</v>
      </c>
      <c r="B816" s="3" t="s">
        <v>4071</v>
      </c>
      <c r="C816" s="3" t="s">
        <v>2817</v>
      </c>
      <c r="D816" s="9">
        <v>19.899999999999999</v>
      </c>
      <c r="E816" s="3"/>
      <c r="F816" s="3"/>
      <c r="G816" s="9"/>
      <c r="H816" s="10">
        <v>45685.408125000002</v>
      </c>
      <c r="I816" s="10">
        <v>45685.408958333333</v>
      </c>
      <c r="J816" s="10">
        <v>45685.41201388889</v>
      </c>
      <c r="K816" s="11">
        <v>3.0555555555555561E-3</v>
      </c>
      <c r="L816" s="13"/>
    </row>
    <row r="817" spans="1:12" x14ac:dyDescent="0.25">
      <c r="A817" s="3" t="s">
        <v>3586</v>
      </c>
      <c r="B817" s="3" t="s">
        <v>4072</v>
      </c>
      <c r="C817" s="3" t="s">
        <v>2819</v>
      </c>
      <c r="D817" s="9">
        <v>19.899999999999999</v>
      </c>
      <c r="E817" s="3"/>
      <c r="F817" s="3"/>
      <c r="G817" s="9"/>
      <c r="H817" s="10">
        <v>45685.410057870373</v>
      </c>
      <c r="I817" s="10">
        <v>45685.410902777781</v>
      </c>
      <c r="J817" s="10">
        <v>45685.413958333331</v>
      </c>
      <c r="K817" s="11">
        <v>3.0555555555555561E-3</v>
      </c>
      <c r="L817" s="13"/>
    </row>
    <row r="818" spans="1:12" x14ac:dyDescent="0.25">
      <c r="A818" s="3" t="s">
        <v>3586</v>
      </c>
      <c r="B818" s="3" t="s">
        <v>4073</v>
      </c>
      <c r="C818" s="3" t="s">
        <v>2822</v>
      </c>
      <c r="D818" s="9">
        <v>63</v>
      </c>
      <c r="E818" s="3"/>
      <c r="F818" s="3"/>
      <c r="G818" s="9"/>
      <c r="H818" s="10">
        <v>45685.411631944437</v>
      </c>
      <c r="I818" s="10">
        <v>45685.412407407413</v>
      </c>
      <c r="J818" s="10">
        <v>45685.415185185193</v>
      </c>
      <c r="K818" s="11">
        <v>2.7777777777777779E-3</v>
      </c>
      <c r="L818" s="13"/>
    </row>
    <row r="819" spans="1:12" x14ac:dyDescent="0.25">
      <c r="A819" s="3" t="s">
        <v>3586</v>
      </c>
      <c r="B819" s="3" t="s">
        <v>4074</v>
      </c>
      <c r="C819" s="3" t="s">
        <v>2829</v>
      </c>
      <c r="D819" s="9">
        <v>105</v>
      </c>
      <c r="E819" s="3"/>
      <c r="F819" s="3"/>
      <c r="G819" s="9"/>
      <c r="H819" s="10">
        <v>45685.449699074074</v>
      </c>
      <c r="I819" s="10">
        <v>45685.450474537043</v>
      </c>
      <c r="J819" s="10">
        <v>45685.453252314823</v>
      </c>
      <c r="K819" s="11">
        <v>2.7777777777777779E-3</v>
      </c>
      <c r="L819" s="13"/>
    </row>
    <row r="820" spans="1:12" x14ac:dyDescent="0.25">
      <c r="A820" s="3" t="s">
        <v>3586</v>
      </c>
      <c r="B820" s="3" t="s">
        <v>4075</v>
      </c>
      <c r="C820" s="3" t="s">
        <v>2831</v>
      </c>
      <c r="D820" s="9">
        <v>21</v>
      </c>
      <c r="E820" s="3"/>
      <c r="F820" s="3"/>
      <c r="G820" s="9"/>
      <c r="H820" s="10">
        <v>45685.451666666668</v>
      </c>
      <c r="I820" s="10">
        <v>45685.452499999999</v>
      </c>
      <c r="J820" s="10">
        <v>45685.455555555563</v>
      </c>
      <c r="K820" s="11">
        <v>3.0555555555555561E-3</v>
      </c>
      <c r="L820" s="13"/>
    </row>
    <row r="821" spans="1:12" x14ac:dyDescent="0.25">
      <c r="A821" s="3" t="s">
        <v>3586</v>
      </c>
      <c r="B821" s="3" t="s">
        <v>4076</v>
      </c>
      <c r="C821" s="3" t="s">
        <v>2847</v>
      </c>
      <c r="D821" s="9">
        <v>19.899999999999999</v>
      </c>
      <c r="E821" s="3"/>
      <c r="F821" s="3"/>
      <c r="G821" s="9"/>
      <c r="H821" s="10">
        <v>45685.626122685193</v>
      </c>
      <c r="I821" s="10">
        <v>45685.626967592587</v>
      </c>
      <c r="J821" s="10">
        <v>45685.630023148151</v>
      </c>
      <c r="K821" s="11">
        <v>3.0555555555555561E-3</v>
      </c>
      <c r="L821" s="13"/>
    </row>
    <row r="822" spans="1:12" x14ac:dyDescent="0.25">
      <c r="A822" s="3" t="s">
        <v>3586</v>
      </c>
      <c r="B822" s="3" t="s">
        <v>4077</v>
      </c>
      <c r="C822" s="3" t="s">
        <v>2849</v>
      </c>
      <c r="D822" s="9">
        <v>49.6</v>
      </c>
      <c r="E822" s="3"/>
      <c r="F822" s="3"/>
      <c r="G822" s="9"/>
      <c r="H822" s="10">
        <v>45685.62809027778</v>
      </c>
      <c r="I822" s="10">
        <v>45685.628958333327</v>
      </c>
      <c r="J822" s="10">
        <v>45685.632013888891</v>
      </c>
      <c r="K822" s="11">
        <v>3.0555555555555561E-3</v>
      </c>
      <c r="L822" s="13"/>
    </row>
    <row r="823" spans="1:12" x14ac:dyDescent="0.25">
      <c r="A823" s="3" t="s">
        <v>3586</v>
      </c>
      <c r="B823" s="3" t="s">
        <v>4078</v>
      </c>
      <c r="C823" s="3" t="s">
        <v>2858</v>
      </c>
      <c r="D823" s="9">
        <v>135</v>
      </c>
      <c r="E823" s="3"/>
      <c r="F823" s="3"/>
      <c r="G823" s="9"/>
      <c r="H823" s="10">
        <v>45685.632233796299</v>
      </c>
      <c r="I823" s="10">
        <v>45685.6330787037</v>
      </c>
      <c r="J823" s="10">
        <v>45685.636134259257</v>
      </c>
      <c r="K823" s="11">
        <v>3.0555555555555561E-3</v>
      </c>
      <c r="L823" s="13"/>
    </row>
    <row r="824" spans="1:12" x14ac:dyDescent="0.25">
      <c r="A824" s="3" t="s">
        <v>3586</v>
      </c>
      <c r="B824" s="3" t="s">
        <v>4079</v>
      </c>
      <c r="C824" s="3" t="s">
        <v>2874</v>
      </c>
      <c r="D824" s="9">
        <v>54.7</v>
      </c>
      <c r="E824" s="3"/>
      <c r="F824" s="3"/>
      <c r="G824" s="9"/>
      <c r="H824" s="10">
        <v>45686.129895833343</v>
      </c>
      <c r="I824" s="10">
        <v>45686.13076388889</v>
      </c>
      <c r="J824" s="10">
        <v>45686.133819444447</v>
      </c>
      <c r="K824" s="11">
        <v>3.0555555555555561E-3</v>
      </c>
      <c r="L824" s="13"/>
    </row>
    <row r="825" spans="1:12" x14ac:dyDescent="0.25">
      <c r="A825" s="3" t="s">
        <v>3586</v>
      </c>
      <c r="B825" s="3" t="s">
        <v>4080</v>
      </c>
      <c r="C825" s="3" t="s">
        <v>2876</v>
      </c>
      <c r="D825" s="9">
        <v>19.899999999999999</v>
      </c>
      <c r="E825" s="3"/>
      <c r="F825" s="3"/>
      <c r="G825" s="9"/>
      <c r="H825" s="10">
        <v>45686.13181712963</v>
      </c>
      <c r="I825" s="10">
        <v>45686.132685185177</v>
      </c>
      <c r="J825" s="10">
        <v>45686.135740740741</v>
      </c>
      <c r="K825" s="11">
        <v>3.0555555555555561E-3</v>
      </c>
      <c r="L825" s="13"/>
    </row>
    <row r="826" spans="1:12" x14ac:dyDescent="0.25">
      <c r="A826" s="3" t="s">
        <v>3586</v>
      </c>
      <c r="B826" s="3" t="s">
        <v>4081</v>
      </c>
      <c r="C826" s="3" t="s">
        <v>2893</v>
      </c>
      <c r="D826" s="9">
        <v>19.899999999999999</v>
      </c>
      <c r="E826" s="3"/>
      <c r="F826" s="3"/>
      <c r="G826" s="9"/>
      <c r="H826" s="10">
        <v>45686.397106481483</v>
      </c>
      <c r="I826" s="10">
        <v>45686.397974537038</v>
      </c>
      <c r="J826" s="10">
        <v>45686.401030092587</v>
      </c>
      <c r="K826" s="11">
        <v>3.0555555555555561E-3</v>
      </c>
      <c r="L826" s="13"/>
    </row>
    <row r="827" spans="1:12" x14ac:dyDescent="0.25">
      <c r="A827" s="3" t="s">
        <v>3586</v>
      </c>
      <c r="B827" s="3" t="s">
        <v>4082</v>
      </c>
      <c r="C827" s="3" t="s">
        <v>2895</v>
      </c>
      <c r="D827" s="9">
        <v>14</v>
      </c>
      <c r="E827" s="3"/>
      <c r="F827" s="3"/>
      <c r="G827" s="9"/>
      <c r="H827" s="10">
        <v>45686.398379629631</v>
      </c>
      <c r="I827" s="10">
        <v>45686.399212962962</v>
      </c>
      <c r="J827" s="10">
        <v>45686.402268518519</v>
      </c>
      <c r="K827" s="11">
        <v>3.0555555555555561E-3</v>
      </c>
      <c r="L827" s="13"/>
    </row>
    <row r="828" spans="1:12" x14ac:dyDescent="0.25">
      <c r="A828" s="3" t="s">
        <v>3586</v>
      </c>
      <c r="B828" s="3" t="s">
        <v>4083</v>
      </c>
      <c r="C828" s="3" t="s">
        <v>2898</v>
      </c>
      <c r="D828" s="9">
        <v>189</v>
      </c>
      <c r="E828" s="3"/>
      <c r="F828" s="3"/>
      <c r="G828" s="9"/>
      <c r="H828" s="10">
        <v>45686.399942129632</v>
      </c>
      <c r="I828" s="10">
        <v>45686.400810185187</v>
      </c>
      <c r="J828" s="10">
        <v>45686.403865740736</v>
      </c>
      <c r="K828" s="11">
        <v>3.0555555555555561E-3</v>
      </c>
      <c r="L828" s="13"/>
    </row>
    <row r="829" spans="1:12" x14ac:dyDescent="0.25">
      <c r="A829" s="3" t="s">
        <v>3586</v>
      </c>
      <c r="B829" s="3" t="s">
        <v>4084</v>
      </c>
      <c r="C829" s="3" t="s">
        <v>2904</v>
      </c>
      <c r="D829" s="9">
        <v>15.7</v>
      </c>
      <c r="E829" s="3"/>
      <c r="F829" s="3"/>
      <c r="G829" s="9"/>
      <c r="H829" s="10">
        <v>45686.403611111113</v>
      </c>
      <c r="I829" s="10">
        <v>45686.404444444437</v>
      </c>
      <c r="J829" s="10">
        <v>45686.407500000001</v>
      </c>
      <c r="K829" s="11">
        <v>3.0555555555555561E-3</v>
      </c>
      <c r="L829" s="13"/>
    </row>
    <row r="830" spans="1:12" x14ac:dyDescent="0.25">
      <c r="A830" s="3" t="s">
        <v>3586</v>
      </c>
      <c r="B830" s="3" t="s">
        <v>4085</v>
      </c>
      <c r="C830" s="3" t="s">
        <v>2910</v>
      </c>
      <c r="D830" s="9">
        <v>23.2</v>
      </c>
      <c r="E830" s="3"/>
      <c r="F830" s="3"/>
      <c r="G830" s="9"/>
      <c r="H830" s="10">
        <v>45686.407349537039</v>
      </c>
      <c r="I830" s="10">
        <v>45686.408217592587</v>
      </c>
      <c r="J830" s="10">
        <v>45686.411273148151</v>
      </c>
      <c r="K830" s="11">
        <v>3.0555555555555561E-3</v>
      </c>
      <c r="L830" s="13"/>
    </row>
    <row r="831" spans="1:12" x14ac:dyDescent="0.25">
      <c r="A831" s="3" t="s">
        <v>3586</v>
      </c>
      <c r="B831" s="3" t="s">
        <v>4086</v>
      </c>
      <c r="C831" s="3" t="s">
        <v>2912</v>
      </c>
      <c r="D831" s="9">
        <v>21</v>
      </c>
      <c r="E831" s="3"/>
      <c r="F831" s="3"/>
      <c r="G831" s="9"/>
      <c r="H831" s="10">
        <v>45686.448020833333</v>
      </c>
      <c r="I831" s="10">
        <v>45686.448888888888</v>
      </c>
      <c r="J831" s="10">
        <v>45686.451944444438</v>
      </c>
      <c r="K831" s="11">
        <v>3.0555555555555561E-3</v>
      </c>
      <c r="L831" s="13"/>
    </row>
    <row r="832" spans="1:12" x14ac:dyDescent="0.25">
      <c r="A832" s="3" t="s">
        <v>3586</v>
      </c>
      <c r="B832" s="3" t="s">
        <v>4087</v>
      </c>
      <c r="C832" s="3" t="s">
        <v>2923</v>
      </c>
      <c r="D832" s="9">
        <v>47.2</v>
      </c>
      <c r="E832" s="3"/>
      <c r="F832" s="3"/>
      <c r="G832" s="9"/>
      <c r="H832" s="10">
        <v>45686.6405787037</v>
      </c>
      <c r="I832" s="10">
        <v>45686.641435185193</v>
      </c>
      <c r="J832" s="10">
        <v>45686.644490740742</v>
      </c>
      <c r="K832" s="11">
        <v>3.0555555555555561E-3</v>
      </c>
      <c r="L832" s="13"/>
    </row>
    <row r="833" spans="1:12" x14ac:dyDescent="0.25">
      <c r="A833" s="3" t="s">
        <v>3586</v>
      </c>
      <c r="B833" s="3" t="s">
        <v>4088</v>
      </c>
      <c r="C833" s="3" t="s">
        <v>2928</v>
      </c>
      <c r="D833" s="9">
        <v>14</v>
      </c>
      <c r="E833" s="3"/>
      <c r="F833" s="3"/>
      <c r="G833" s="9"/>
      <c r="H833" s="10">
        <v>45686.643923611111</v>
      </c>
      <c r="I833" s="10">
        <v>45686.644768518519</v>
      </c>
      <c r="J833" s="10">
        <v>45686.647824074083</v>
      </c>
      <c r="K833" s="11">
        <v>3.0555555555555561E-3</v>
      </c>
      <c r="L833" s="13"/>
    </row>
    <row r="834" spans="1:12" x14ac:dyDescent="0.25">
      <c r="A834" s="3" t="s">
        <v>3586</v>
      </c>
      <c r="B834" s="3" t="s">
        <v>4089</v>
      </c>
      <c r="C834" s="3" t="s">
        <v>2939</v>
      </c>
      <c r="D834" s="9">
        <v>59.7</v>
      </c>
      <c r="E834" s="3"/>
      <c r="F834" s="3"/>
      <c r="G834" s="9"/>
      <c r="H834" s="10">
        <v>45686.651273148149</v>
      </c>
      <c r="I834" s="10">
        <v>45686.652118055557</v>
      </c>
      <c r="J834" s="10">
        <v>45686.655173611107</v>
      </c>
      <c r="K834" s="11">
        <v>3.0555555555555561E-3</v>
      </c>
      <c r="L834" s="13"/>
    </row>
    <row r="835" spans="1:12" x14ac:dyDescent="0.25">
      <c r="A835" s="3" t="s">
        <v>3586</v>
      </c>
      <c r="B835" s="3" t="s">
        <v>4090</v>
      </c>
      <c r="C835" s="3" t="s">
        <v>2941</v>
      </c>
      <c r="D835" s="9">
        <v>15.7</v>
      </c>
      <c r="E835" s="3"/>
      <c r="F835" s="3"/>
      <c r="G835" s="9"/>
      <c r="H835" s="10">
        <v>45686.652766203697</v>
      </c>
      <c r="I835" s="10">
        <v>45686.653611111113</v>
      </c>
      <c r="J835" s="10">
        <v>45686.656666666669</v>
      </c>
      <c r="K835" s="11">
        <v>3.0555555555555561E-3</v>
      </c>
      <c r="L835" s="13"/>
    </row>
    <row r="836" spans="1:12" x14ac:dyDescent="0.25">
      <c r="A836" s="3" t="s">
        <v>3586</v>
      </c>
      <c r="B836" s="3" t="s">
        <v>4091</v>
      </c>
      <c r="C836" s="3" t="s">
        <v>2945</v>
      </c>
      <c r="D836" s="9">
        <v>31.5</v>
      </c>
      <c r="E836" s="3"/>
      <c r="F836" s="3"/>
      <c r="G836" s="9"/>
      <c r="H836" s="10">
        <v>45686.654722222222</v>
      </c>
      <c r="I836" s="10">
        <v>45686.655486111107</v>
      </c>
      <c r="J836" s="10">
        <v>45686.658263888887</v>
      </c>
      <c r="K836" s="11">
        <v>2.7777777777777779E-3</v>
      </c>
      <c r="L836" s="13"/>
    </row>
    <row r="837" spans="1:12" x14ac:dyDescent="0.25">
      <c r="A837" s="3" t="s">
        <v>3586</v>
      </c>
      <c r="B837" s="3" t="s">
        <v>4092</v>
      </c>
      <c r="C837" s="3" t="s">
        <v>2952</v>
      </c>
      <c r="D837" s="9">
        <v>14</v>
      </c>
      <c r="E837" s="3"/>
      <c r="F837" s="3"/>
      <c r="G837" s="9"/>
      <c r="H837" s="10">
        <v>45686.756493055553</v>
      </c>
      <c r="I837" s="10">
        <v>45686.757256944453</v>
      </c>
      <c r="J837" s="10">
        <v>45686.760034722232</v>
      </c>
      <c r="K837" s="11">
        <v>2.7777777777777779E-3</v>
      </c>
      <c r="L837" s="13"/>
    </row>
    <row r="838" spans="1:12" x14ac:dyDescent="0.25">
      <c r="A838" s="3" t="s">
        <v>3586</v>
      </c>
      <c r="B838" s="3" t="s">
        <v>4093</v>
      </c>
      <c r="C838" s="3" t="s">
        <v>2957</v>
      </c>
      <c r="D838" s="9">
        <v>15.7</v>
      </c>
      <c r="E838" s="3"/>
      <c r="F838" s="3"/>
      <c r="G838" s="9"/>
      <c r="H838" s="10">
        <v>45686.760324074072</v>
      </c>
      <c r="I838" s="10">
        <v>45686.761157407411</v>
      </c>
      <c r="J838" s="10">
        <v>45686.76421296296</v>
      </c>
      <c r="K838" s="11">
        <v>3.0555555555555561E-3</v>
      </c>
      <c r="L838" s="13"/>
    </row>
    <row r="839" spans="1:12" x14ac:dyDescent="0.25">
      <c r="A839" s="3" t="s">
        <v>3586</v>
      </c>
      <c r="B839" s="3" t="s">
        <v>4094</v>
      </c>
      <c r="C839" s="3" t="s">
        <v>2959</v>
      </c>
      <c r="D839" s="9">
        <v>93.7</v>
      </c>
      <c r="E839" s="3"/>
      <c r="F839" s="3"/>
      <c r="G839" s="9"/>
      <c r="H839" s="10">
        <v>45686.761967592603</v>
      </c>
      <c r="I839" s="10">
        <v>45686.762824074067</v>
      </c>
      <c r="J839" s="10">
        <v>45686.765879629631</v>
      </c>
      <c r="K839" s="11">
        <v>3.0555555555555561E-3</v>
      </c>
      <c r="L839" s="13"/>
    </row>
    <row r="840" spans="1:12" x14ac:dyDescent="0.25">
      <c r="A840" s="3" t="s">
        <v>3586</v>
      </c>
      <c r="B840" s="3" t="s">
        <v>4095</v>
      </c>
      <c r="C840" s="3" t="s">
        <v>2961</v>
      </c>
      <c r="D840" s="9">
        <v>54</v>
      </c>
      <c r="E840" s="3"/>
      <c r="F840" s="3"/>
      <c r="G840" s="9"/>
      <c r="H840" s="10">
        <v>45686.76394675926</v>
      </c>
      <c r="I840" s="10">
        <v>45686.764722222222</v>
      </c>
      <c r="J840" s="10">
        <v>45686.767500000002</v>
      </c>
      <c r="K840" s="11">
        <v>2.7777777777777779E-3</v>
      </c>
      <c r="L840" s="13"/>
    </row>
    <row r="841" spans="1:12" x14ac:dyDescent="0.25">
      <c r="A841" s="3" t="s">
        <v>3586</v>
      </c>
      <c r="B841" s="3" t="s">
        <v>4096</v>
      </c>
      <c r="C841" s="3" t="s">
        <v>2965</v>
      </c>
      <c r="D841" s="9">
        <v>39.799999999999997</v>
      </c>
      <c r="E841" s="3"/>
      <c r="F841" s="3"/>
      <c r="G841" s="9"/>
      <c r="H841" s="10">
        <v>45686.767534722218</v>
      </c>
      <c r="I841" s="10">
        <v>45686.768379629633</v>
      </c>
      <c r="J841" s="10">
        <v>45686.771435185183</v>
      </c>
      <c r="K841" s="11">
        <v>3.0555555555555561E-3</v>
      </c>
      <c r="L841" s="13"/>
    </row>
    <row r="842" spans="1:12" x14ac:dyDescent="0.25">
      <c r="A842" s="3" t="s">
        <v>3586</v>
      </c>
      <c r="B842" s="3" t="s">
        <v>4097</v>
      </c>
      <c r="C842" s="3" t="s">
        <v>2967</v>
      </c>
      <c r="D842" s="9">
        <v>39.799999999999997</v>
      </c>
      <c r="E842" s="3"/>
      <c r="F842" s="3"/>
      <c r="G842" s="9"/>
      <c r="H842" s="10">
        <v>45686.769467592603</v>
      </c>
      <c r="I842" s="10">
        <v>45686.770312499997</v>
      </c>
      <c r="J842" s="10">
        <v>45686.773368055547</v>
      </c>
      <c r="K842" s="11">
        <v>3.0555555555555561E-3</v>
      </c>
      <c r="L842" s="13"/>
    </row>
    <row r="843" spans="1:12" x14ac:dyDescent="0.25">
      <c r="A843" s="3" t="s">
        <v>3586</v>
      </c>
      <c r="B843" s="3" t="s">
        <v>4098</v>
      </c>
      <c r="C843" s="3" t="s">
        <v>2969</v>
      </c>
      <c r="D843" s="9">
        <v>15.7</v>
      </c>
      <c r="E843" s="3"/>
      <c r="F843" s="3"/>
      <c r="G843" s="9"/>
      <c r="H843" s="10">
        <v>45686.771168981482</v>
      </c>
      <c r="I843" s="10">
        <v>45686.771944444437</v>
      </c>
      <c r="J843" s="10">
        <v>45686.774722222217</v>
      </c>
      <c r="K843" s="11">
        <v>2.7777777777777779E-3</v>
      </c>
      <c r="L843" s="13"/>
    </row>
    <row r="844" spans="1:12" x14ac:dyDescent="0.25">
      <c r="A844" s="3" t="s">
        <v>3586</v>
      </c>
      <c r="B844" s="3" t="s">
        <v>4099</v>
      </c>
      <c r="C844" s="3" t="s">
        <v>2975</v>
      </c>
      <c r="D844" s="9">
        <v>21</v>
      </c>
      <c r="E844" s="3"/>
      <c r="F844" s="3"/>
      <c r="G844" s="9"/>
      <c r="H844" s="10">
        <v>45687.125092592592</v>
      </c>
      <c r="I844" s="10">
        <v>45687.125960648147</v>
      </c>
      <c r="J844" s="10">
        <v>45687.129016203697</v>
      </c>
      <c r="K844" s="11">
        <v>3.0555555555555561E-3</v>
      </c>
      <c r="L844" s="13"/>
    </row>
    <row r="845" spans="1:12" x14ac:dyDescent="0.25">
      <c r="A845" s="3" t="s">
        <v>3586</v>
      </c>
      <c r="B845" s="3" t="s">
        <v>4100</v>
      </c>
      <c r="C845" s="3" t="s">
        <v>2977</v>
      </c>
      <c r="D845" s="9">
        <v>51.4</v>
      </c>
      <c r="E845" s="3"/>
      <c r="F845" s="3"/>
      <c r="G845" s="9"/>
      <c r="H845" s="10">
        <v>45687.126898148148</v>
      </c>
      <c r="I845" s="10">
        <v>45687.127696759257</v>
      </c>
      <c r="J845" s="10">
        <v>45687.130474537043</v>
      </c>
      <c r="K845" s="11">
        <v>2.7777777777777779E-3</v>
      </c>
      <c r="L845" s="13"/>
    </row>
    <row r="846" spans="1:12" x14ac:dyDescent="0.25">
      <c r="A846" s="3" t="s">
        <v>3586</v>
      </c>
      <c r="B846" s="3" t="s">
        <v>4101</v>
      </c>
      <c r="C846" s="3" t="s">
        <v>2992</v>
      </c>
      <c r="D846" s="9">
        <v>24.1</v>
      </c>
      <c r="E846" s="3"/>
      <c r="F846" s="3"/>
      <c r="G846" s="9"/>
      <c r="H846" s="10">
        <v>45687.325682870367</v>
      </c>
      <c r="I846" s="10">
        <v>45687.32644675926</v>
      </c>
      <c r="J846" s="10">
        <v>45687.329224537039</v>
      </c>
      <c r="K846" s="11">
        <v>2.7777777777777779E-3</v>
      </c>
      <c r="L846" s="13"/>
    </row>
    <row r="847" spans="1:12" x14ac:dyDescent="0.25">
      <c r="A847" s="3" t="s">
        <v>3586</v>
      </c>
      <c r="B847" s="3" t="s">
        <v>4102</v>
      </c>
      <c r="C847" s="3" t="s">
        <v>2994</v>
      </c>
      <c r="D847" s="9">
        <v>216</v>
      </c>
      <c r="E847" s="3"/>
      <c r="F847" s="3"/>
      <c r="G847" s="9"/>
      <c r="H847" s="10">
        <v>45687.327916666669</v>
      </c>
      <c r="I847" s="10">
        <v>45687.328784722216</v>
      </c>
      <c r="J847" s="10">
        <v>45687.33184027778</v>
      </c>
      <c r="K847" s="11">
        <v>3.0555555555555561E-3</v>
      </c>
      <c r="L847" s="13"/>
    </row>
    <row r="848" spans="1:12" x14ac:dyDescent="0.25">
      <c r="A848" s="3" t="s">
        <v>3586</v>
      </c>
      <c r="B848" s="3" t="s">
        <v>4103</v>
      </c>
      <c r="C848" s="3" t="s">
        <v>2996</v>
      </c>
      <c r="D848" s="9">
        <v>19.899999999999999</v>
      </c>
      <c r="E848" s="3"/>
      <c r="F848" s="3"/>
      <c r="G848" s="9"/>
      <c r="H848" s="10">
        <v>45687.32916666667</v>
      </c>
      <c r="I848" s="10">
        <v>45687.329953703702</v>
      </c>
      <c r="J848" s="10">
        <v>45687.332731481481</v>
      </c>
      <c r="K848" s="11">
        <v>2.7777777777777779E-3</v>
      </c>
      <c r="L848" s="13"/>
    </row>
    <row r="849" spans="1:12" x14ac:dyDescent="0.25">
      <c r="A849" s="3" t="s">
        <v>3586</v>
      </c>
      <c r="B849" s="3" t="s">
        <v>4104</v>
      </c>
      <c r="C849" s="3" t="s">
        <v>3002</v>
      </c>
      <c r="D849" s="9">
        <v>15.7</v>
      </c>
      <c r="E849" s="3"/>
      <c r="F849" s="3"/>
      <c r="G849" s="9"/>
      <c r="H849" s="10">
        <v>45687.332361111112</v>
      </c>
      <c r="I849" s="10">
        <v>45687.333136574067</v>
      </c>
      <c r="J849" s="10">
        <v>45687.335914351846</v>
      </c>
      <c r="K849" s="11">
        <v>2.7777777777777779E-3</v>
      </c>
      <c r="L849" s="13"/>
    </row>
    <row r="850" spans="1:12" x14ac:dyDescent="0.25">
      <c r="A850" s="3" t="s">
        <v>3586</v>
      </c>
      <c r="B850" s="3" t="s">
        <v>4105</v>
      </c>
      <c r="C850" s="3" t="s">
        <v>3004</v>
      </c>
      <c r="D850" s="9">
        <v>60.8</v>
      </c>
      <c r="E850" s="3"/>
      <c r="F850" s="3"/>
      <c r="G850" s="9"/>
      <c r="H850" s="10">
        <v>45687.333715277768</v>
      </c>
      <c r="I850" s="10">
        <v>45687.334502314807</v>
      </c>
      <c r="J850" s="10">
        <v>45687.337280092594</v>
      </c>
      <c r="K850" s="11">
        <v>2.7777777777777779E-3</v>
      </c>
      <c r="L850" s="13"/>
    </row>
    <row r="851" spans="1:12" x14ac:dyDescent="0.25">
      <c r="A851" s="3" t="s">
        <v>3586</v>
      </c>
      <c r="B851" s="3" t="s">
        <v>4106</v>
      </c>
      <c r="C851" s="3" t="s">
        <v>3007</v>
      </c>
      <c r="D851" s="9">
        <v>19.899999999999999</v>
      </c>
      <c r="E851" s="3"/>
      <c r="F851" s="3"/>
      <c r="G851" s="9"/>
      <c r="H851" s="10">
        <v>45687.335601851853</v>
      </c>
      <c r="I851" s="10">
        <v>45687.336446759262</v>
      </c>
      <c r="J851" s="10">
        <v>45687.339502314811</v>
      </c>
      <c r="K851" s="11">
        <v>3.0555555555555561E-3</v>
      </c>
      <c r="L851" s="13"/>
    </row>
    <row r="852" spans="1:12" x14ac:dyDescent="0.25">
      <c r="A852" s="3" t="s">
        <v>3586</v>
      </c>
      <c r="B852" s="3" t="s">
        <v>4107</v>
      </c>
      <c r="C852" s="3" t="s">
        <v>3008</v>
      </c>
      <c r="D852" s="9">
        <v>56</v>
      </c>
      <c r="E852" s="3"/>
      <c r="F852" s="3"/>
      <c r="G852" s="9"/>
      <c r="H852" s="10">
        <v>45687.336840277778</v>
      </c>
      <c r="I852" s="10">
        <v>45687.33761574074</v>
      </c>
      <c r="J852" s="10">
        <v>45687.34039351852</v>
      </c>
      <c r="K852" s="11">
        <v>2.7777777777777779E-3</v>
      </c>
      <c r="L852" s="13"/>
    </row>
    <row r="853" spans="1:12" x14ac:dyDescent="0.25">
      <c r="A853" s="3" t="s">
        <v>3586</v>
      </c>
      <c r="B853" s="3" t="s">
        <v>4108</v>
      </c>
      <c r="C853" s="3" t="s">
        <v>3010</v>
      </c>
      <c r="D853" s="9">
        <v>31.5</v>
      </c>
      <c r="E853" s="3"/>
      <c r="F853" s="3"/>
      <c r="G853" s="9"/>
      <c r="H853" s="10">
        <v>45687.337893518517</v>
      </c>
      <c r="I853" s="10">
        <v>45687.338761574072</v>
      </c>
      <c r="J853" s="10">
        <v>45687.341817129629</v>
      </c>
      <c r="K853" s="11">
        <v>3.0555555555555561E-3</v>
      </c>
      <c r="L853" s="13"/>
    </row>
    <row r="854" spans="1:12" x14ac:dyDescent="0.25">
      <c r="A854" s="3" t="s">
        <v>3586</v>
      </c>
      <c r="B854" s="3" t="s">
        <v>4109</v>
      </c>
      <c r="C854" s="3" t="s">
        <v>3014</v>
      </c>
      <c r="D854" s="9">
        <v>380.8</v>
      </c>
      <c r="E854" s="3"/>
      <c r="F854" s="3"/>
      <c r="G854" s="9"/>
      <c r="H854" s="10">
        <v>45687.34275462963</v>
      </c>
      <c r="I854" s="10">
        <v>45687.343622685177</v>
      </c>
      <c r="J854" s="10">
        <v>45687.346678240741</v>
      </c>
      <c r="K854" s="11">
        <v>3.0555555555555561E-3</v>
      </c>
      <c r="L854" s="13"/>
    </row>
    <row r="855" spans="1:12" x14ac:dyDescent="0.25">
      <c r="A855" s="3" t="s">
        <v>3586</v>
      </c>
      <c r="B855" s="3" t="s">
        <v>4110</v>
      </c>
      <c r="C855" s="3" t="s">
        <v>4111</v>
      </c>
      <c r="D855" s="9">
        <v>57.4</v>
      </c>
      <c r="E855" s="3"/>
      <c r="F855" s="3"/>
      <c r="G855" s="9"/>
      <c r="H855" s="10">
        <v>45687.360324074078</v>
      </c>
      <c r="I855" s="10">
        <v>45687.365995370368</v>
      </c>
      <c r="J855" s="10">
        <v>45687.368773148148</v>
      </c>
      <c r="K855" s="11">
        <v>2.7777777777777779E-3</v>
      </c>
      <c r="L855" s="13"/>
    </row>
    <row r="856" spans="1:12" x14ac:dyDescent="0.25">
      <c r="A856" s="3" t="s">
        <v>3586</v>
      </c>
      <c r="B856" s="3" t="s">
        <v>4112</v>
      </c>
      <c r="C856" s="3" t="s">
        <v>3026</v>
      </c>
      <c r="D856" s="9">
        <v>15.7</v>
      </c>
      <c r="E856" s="3"/>
      <c r="F856" s="3"/>
      <c r="G856" s="9"/>
      <c r="H856" s="10">
        <v>45687.40053240741</v>
      </c>
      <c r="I856" s="10">
        <v>45687.401307870372</v>
      </c>
      <c r="J856" s="10">
        <v>45687.404085648152</v>
      </c>
      <c r="K856" s="11">
        <v>2.7777777777777779E-3</v>
      </c>
      <c r="L856" s="13"/>
    </row>
    <row r="857" spans="1:12" x14ac:dyDescent="0.25">
      <c r="A857" s="3" t="s">
        <v>3586</v>
      </c>
      <c r="B857" s="3" t="s">
        <v>4113</v>
      </c>
      <c r="C857" s="3" t="s">
        <v>3039</v>
      </c>
      <c r="D857" s="9">
        <v>31.9</v>
      </c>
      <c r="E857" s="3"/>
      <c r="F857" s="3"/>
      <c r="G857" s="9"/>
      <c r="H857" s="10">
        <v>45687.636145833327</v>
      </c>
      <c r="I857" s="10">
        <v>45687.637002314812</v>
      </c>
      <c r="J857" s="10">
        <v>45687.640057870369</v>
      </c>
      <c r="K857" s="11">
        <v>3.0555555555555561E-3</v>
      </c>
      <c r="L857" s="13"/>
    </row>
    <row r="858" spans="1:12" x14ac:dyDescent="0.25">
      <c r="A858" s="3" t="s">
        <v>3586</v>
      </c>
      <c r="B858" s="3" t="s">
        <v>4114</v>
      </c>
      <c r="C858" s="3" t="s">
        <v>3043</v>
      </c>
      <c r="D858" s="9">
        <v>14</v>
      </c>
      <c r="E858" s="3"/>
      <c r="F858" s="3"/>
      <c r="G858" s="9"/>
      <c r="H858" s="10">
        <v>45687.639884259261</v>
      </c>
      <c r="I858" s="10">
        <v>45687.640682870369</v>
      </c>
      <c r="J858" s="10">
        <v>45687.643460648149</v>
      </c>
      <c r="K858" s="11">
        <v>2.7777777777777779E-3</v>
      </c>
      <c r="L858" s="13"/>
    </row>
    <row r="859" spans="1:12" x14ac:dyDescent="0.25">
      <c r="A859" s="3" t="s">
        <v>3586</v>
      </c>
      <c r="B859" s="3" t="s">
        <v>4115</v>
      </c>
      <c r="C859" s="3" t="s">
        <v>3045</v>
      </c>
      <c r="D859" s="9">
        <v>15.7</v>
      </c>
      <c r="E859" s="3"/>
      <c r="F859" s="3"/>
      <c r="G859" s="9"/>
      <c r="H859" s="10">
        <v>45687.641840277778</v>
      </c>
      <c r="I859" s="10">
        <v>45687.642708333333</v>
      </c>
      <c r="J859" s="10">
        <v>45687.64576388889</v>
      </c>
      <c r="K859" s="11">
        <v>3.0555555555555561E-3</v>
      </c>
      <c r="L859" s="13"/>
    </row>
    <row r="860" spans="1:12" x14ac:dyDescent="0.25">
      <c r="A860" s="3" t="s">
        <v>3586</v>
      </c>
      <c r="B860" s="3" t="s">
        <v>4116</v>
      </c>
      <c r="C860" s="3" t="s">
        <v>3047</v>
      </c>
      <c r="D860" s="9">
        <v>54</v>
      </c>
      <c r="E860" s="3"/>
      <c r="F860" s="3"/>
      <c r="G860" s="9"/>
      <c r="H860" s="10">
        <v>45687.643888888888</v>
      </c>
      <c r="I860" s="10">
        <v>45687.644733796304</v>
      </c>
      <c r="J860" s="10">
        <v>45687.647789351853</v>
      </c>
      <c r="K860" s="11">
        <v>3.0555555555555561E-3</v>
      </c>
      <c r="L860" s="13"/>
    </row>
    <row r="861" spans="1:12" x14ac:dyDescent="0.25">
      <c r="A861" s="3" t="s">
        <v>3586</v>
      </c>
      <c r="B861" s="3" t="s">
        <v>4117</v>
      </c>
      <c r="C861" s="3" t="s">
        <v>3050</v>
      </c>
      <c r="D861" s="9">
        <v>43.1</v>
      </c>
      <c r="E861" s="3"/>
      <c r="F861" s="3"/>
      <c r="G861" s="9"/>
      <c r="H861" s="10">
        <v>45687.645671296297</v>
      </c>
      <c r="I861" s="10">
        <v>45687.646458333344</v>
      </c>
      <c r="J861" s="10">
        <v>45687.649236111109</v>
      </c>
      <c r="K861" s="11">
        <v>2.7777777777777779E-3</v>
      </c>
      <c r="L861" s="13"/>
    </row>
    <row r="862" spans="1:12" x14ac:dyDescent="0.25">
      <c r="A862" s="3" t="s">
        <v>3586</v>
      </c>
      <c r="B862" s="3" t="s">
        <v>4118</v>
      </c>
      <c r="C862" s="3" t="s">
        <v>3060</v>
      </c>
      <c r="D862" s="9">
        <v>135.1</v>
      </c>
      <c r="E862" s="3"/>
      <c r="F862" s="3"/>
      <c r="G862" s="9"/>
      <c r="H862" s="10">
        <v>45687.829467592594</v>
      </c>
      <c r="I862" s="10">
        <v>45687.830335648148</v>
      </c>
      <c r="J862" s="10">
        <v>45687.833391203712</v>
      </c>
      <c r="K862" s="11">
        <v>3.0555555555555561E-3</v>
      </c>
      <c r="L862" s="13"/>
    </row>
    <row r="863" spans="1:12" x14ac:dyDescent="0.25">
      <c r="A863" s="3" t="s">
        <v>3586</v>
      </c>
      <c r="B863" s="3" t="s">
        <v>4119</v>
      </c>
      <c r="C863" s="3" t="s">
        <v>3073</v>
      </c>
      <c r="D863" s="9">
        <v>15.7</v>
      </c>
      <c r="E863" s="3"/>
      <c r="F863" s="3"/>
      <c r="G863" s="9"/>
      <c r="H863" s="10">
        <v>45688.133449074077</v>
      </c>
      <c r="I863" s="10">
        <v>45688.134293981479</v>
      </c>
      <c r="J863" s="10">
        <v>45688.137349537043</v>
      </c>
      <c r="K863" s="11">
        <v>3.0555555555555561E-3</v>
      </c>
      <c r="L863" s="13"/>
    </row>
    <row r="864" spans="1:12" x14ac:dyDescent="0.25">
      <c r="A864" s="3" t="s">
        <v>3586</v>
      </c>
      <c r="B864" s="3" t="s">
        <v>4120</v>
      </c>
      <c r="C864" s="3" t="s">
        <v>3087</v>
      </c>
      <c r="D864" s="9">
        <v>108</v>
      </c>
      <c r="E864" s="3"/>
      <c r="F864" s="3"/>
      <c r="G864" s="9"/>
      <c r="H864" s="10">
        <v>45688.317430555559</v>
      </c>
      <c r="I864" s="10">
        <v>45688.31821759259</v>
      </c>
      <c r="J864" s="10">
        <v>45688.32099537037</v>
      </c>
      <c r="K864" s="11">
        <v>2.7777777777777779E-3</v>
      </c>
      <c r="L864" s="13"/>
    </row>
    <row r="865" spans="1:12" x14ac:dyDescent="0.25">
      <c r="A865" s="3" t="s">
        <v>3586</v>
      </c>
      <c r="B865" s="3" t="s">
        <v>4121</v>
      </c>
      <c r="C865" s="3" t="s">
        <v>3089</v>
      </c>
      <c r="D865" s="9">
        <v>58.5</v>
      </c>
      <c r="E865" s="3"/>
      <c r="F865" s="3"/>
      <c r="G865" s="9"/>
      <c r="H865" s="10">
        <v>45688.318888888891</v>
      </c>
      <c r="I865" s="10">
        <v>45688.319733796299</v>
      </c>
      <c r="J865" s="10">
        <v>45688.322789351849</v>
      </c>
      <c r="K865" s="11">
        <v>3.0555555555555561E-3</v>
      </c>
      <c r="L865" s="13"/>
    </row>
    <row r="866" spans="1:12" x14ac:dyDescent="0.25">
      <c r="A866" s="3" t="s">
        <v>3586</v>
      </c>
      <c r="B866" s="3" t="s">
        <v>4122</v>
      </c>
      <c r="C866" s="3" t="s">
        <v>3091</v>
      </c>
      <c r="D866" s="9">
        <v>67.099999999999994</v>
      </c>
      <c r="E866" s="3"/>
      <c r="F866" s="3"/>
      <c r="G866" s="9"/>
      <c r="H866" s="10">
        <v>45688.320891203701</v>
      </c>
      <c r="I866" s="10">
        <v>45688.32172453704</v>
      </c>
      <c r="J866" s="10">
        <v>45688.324780092589</v>
      </c>
      <c r="K866" s="11">
        <v>3.0555555555555561E-3</v>
      </c>
      <c r="L866" s="13"/>
    </row>
    <row r="867" spans="1:12" x14ac:dyDescent="0.25">
      <c r="A867" s="3" t="s">
        <v>3586</v>
      </c>
      <c r="B867" s="3" t="s">
        <v>4123</v>
      </c>
      <c r="C867" s="3" t="s">
        <v>3097</v>
      </c>
      <c r="D867" s="9">
        <v>14</v>
      </c>
      <c r="E867" s="3"/>
      <c r="F867" s="3"/>
      <c r="G867" s="9"/>
      <c r="H867" s="10">
        <v>45688.324733796297</v>
      </c>
      <c r="I867" s="10">
        <v>45688.325578703712</v>
      </c>
      <c r="J867" s="10">
        <v>45688.328634259262</v>
      </c>
      <c r="K867" s="11">
        <v>3.0555555555555561E-3</v>
      </c>
      <c r="L867" s="13"/>
    </row>
    <row r="868" spans="1:12" x14ac:dyDescent="0.25">
      <c r="A868" s="3" t="s">
        <v>3586</v>
      </c>
      <c r="B868" s="3" t="s">
        <v>4124</v>
      </c>
      <c r="C868" s="3" t="s">
        <v>3099</v>
      </c>
      <c r="D868" s="9">
        <v>142.6</v>
      </c>
      <c r="E868" s="3"/>
      <c r="F868" s="3"/>
      <c r="G868" s="9"/>
      <c r="H868" s="10">
        <v>45688.326724537037</v>
      </c>
      <c r="I868" s="10">
        <v>45688.327499999999</v>
      </c>
      <c r="J868" s="10">
        <v>45688.330277777779</v>
      </c>
      <c r="K868" s="11">
        <v>2.7777777777777779E-3</v>
      </c>
      <c r="L868" s="13"/>
    </row>
    <row r="869" spans="1:12" x14ac:dyDescent="0.25">
      <c r="A869" s="3" t="s">
        <v>3586</v>
      </c>
      <c r="B869" s="3" t="s">
        <v>4125</v>
      </c>
      <c r="C869" s="3" t="s">
        <v>3102</v>
      </c>
      <c r="D869" s="9">
        <v>19.899999999999999</v>
      </c>
      <c r="E869" s="3"/>
      <c r="F869" s="3"/>
      <c r="G869" s="9"/>
      <c r="H869" s="10">
        <v>45688.328622685192</v>
      </c>
      <c r="I869" s="10">
        <v>45688.329409722217</v>
      </c>
      <c r="J869" s="10">
        <v>45688.332187499997</v>
      </c>
      <c r="K869" s="11">
        <v>2.7777777777777779E-3</v>
      </c>
      <c r="L869" s="13"/>
    </row>
    <row r="870" spans="1:12" x14ac:dyDescent="0.25">
      <c r="A870" s="3" t="s">
        <v>3586</v>
      </c>
      <c r="B870" s="3" t="s">
        <v>4126</v>
      </c>
      <c r="C870" s="3" t="s">
        <v>3104</v>
      </c>
      <c r="D870" s="9">
        <v>59.7</v>
      </c>
      <c r="E870" s="3"/>
      <c r="F870" s="3"/>
      <c r="G870" s="9"/>
      <c r="H870" s="10">
        <v>45688.330648148149</v>
      </c>
      <c r="I870" s="10">
        <v>45688.331493055557</v>
      </c>
      <c r="J870" s="10">
        <v>45688.334548611107</v>
      </c>
      <c r="K870" s="11">
        <v>3.0555555555555561E-3</v>
      </c>
      <c r="L870" s="13"/>
    </row>
    <row r="871" spans="1:12" x14ac:dyDescent="0.25">
      <c r="A871" s="3" t="s">
        <v>3586</v>
      </c>
      <c r="B871" s="3" t="s">
        <v>4127</v>
      </c>
      <c r="C871" s="3" t="s">
        <v>3118</v>
      </c>
      <c r="D871" s="9">
        <v>31.5</v>
      </c>
      <c r="E871" s="3"/>
      <c r="F871" s="3"/>
      <c r="G871" s="9"/>
      <c r="H871" s="10">
        <v>45688.394386574073</v>
      </c>
      <c r="I871" s="10">
        <v>45688.395173611112</v>
      </c>
      <c r="J871" s="10">
        <v>45688.397951388892</v>
      </c>
      <c r="K871" s="11">
        <v>2.7777777777777779E-3</v>
      </c>
      <c r="L871" s="13"/>
    </row>
    <row r="872" spans="1:12" x14ac:dyDescent="0.25">
      <c r="A872" s="3" t="s">
        <v>3586</v>
      </c>
      <c r="B872" s="3" t="s">
        <v>4128</v>
      </c>
      <c r="C872" s="3" t="s">
        <v>3120</v>
      </c>
      <c r="D872" s="9">
        <v>33.9</v>
      </c>
      <c r="E872" s="3"/>
      <c r="F872" s="3"/>
      <c r="G872" s="9"/>
      <c r="H872" s="10">
        <v>45688.396435185183</v>
      </c>
      <c r="I872" s="10">
        <v>45688.397303240738</v>
      </c>
      <c r="J872" s="10">
        <v>45688.400358796287</v>
      </c>
      <c r="K872" s="11">
        <v>3.0555555555555561E-3</v>
      </c>
      <c r="L872" s="13"/>
    </row>
    <row r="873" spans="1:12" x14ac:dyDescent="0.25">
      <c r="A873" s="3" t="s">
        <v>3586</v>
      </c>
      <c r="B873" s="3" t="s">
        <v>4129</v>
      </c>
      <c r="C873" s="3" t="s">
        <v>3121</v>
      </c>
      <c r="D873" s="9">
        <v>15.7</v>
      </c>
      <c r="E873" s="3"/>
      <c r="F873" s="3"/>
      <c r="G873" s="9"/>
      <c r="H873" s="10">
        <v>45688.398159722223</v>
      </c>
      <c r="I873" s="10">
        <v>45688.399537037039</v>
      </c>
      <c r="J873" s="10">
        <v>45688.402314814812</v>
      </c>
      <c r="K873" s="11">
        <v>2.7777777777777779E-3</v>
      </c>
      <c r="L873" s="13"/>
    </row>
    <row r="874" spans="1:12" x14ac:dyDescent="0.25">
      <c r="A874" s="3" t="s">
        <v>3586</v>
      </c>
      <c r="B874" s="3" t="s">
        <v>4130</v>
      </c>
      <c r="C874" s="3" t="s">
        <v>3123</v>
      </c>
      <c r="D874" s="9">
        <v>15.7</v>
      </c>
      <c r="E874" s="3"/>
      <c r="F874" s="3"/>
      <c r="G874" s="9"/>
      <c r="H874" s="10">
        <v>45688.399629629632</v>
      </c>
      <c r="I874" s="10">
        <v>45688.402094907397</v>
      </c>
      <c r="J874" s="10">
        <v>45688.405150462961</v>
      </c>
      <c r="K874" s="11">
        <v>3.0555555555555561E-3</v>
      </c>
      <c r="L874" s="13"/>
    </row>
    <row r="875" spans="1:12" x14ac:dyDescent="0.25">
      <c r="A875" s="3" t="s">
        <v>3586</v>
      </c>
      <c r="B875" s="3" t="s">
        <v>4131</v>
      </c>
      <c r="C875" s="3" t="s">
        <v>3126</v>
      </c>
      <c r="D875" s="9">
        <v>31.5</v>
      </c>
      <c r="E875" s="3"/>
      <c r="F875" s="3"/>
      <c r="G875" s="9"/>
      <c r="H875" s="10">
        <v>45688.401585648149</v>
      </c>
      <c r="I875" s="10">
        <v>45688.40388888889</v>
      </c>
      <c r="J875" s="10">
        <v>45688.406666666669</v>
      </c>
      <c r="K875" s="11">
        <v>2.7777777777777779E-3</v>
      </c>
      <c r="L875" s="13"/>
    </row>
    <row r="876" spans="1:12" x14ac:dyDescent="0.25">
      <c r="A876" s="3" t="s">
        <v>3586</v>
      </c>
      <c r="B876" s="3" t="s">
        <v>4132</v>
      </c>
      <c r="C876" s="3" t="s">
        <v>3131</v>
      </c>
      <c r="D876" s="9">
        <v>82.9</v>
      </c>
      <c r="E876" s="3"/>
      <c r="F876" s="3"/>
      <c r="G876" s="9"/>
      <c r="H876" s="10">
        <v>45688.455231481479</v>
      </c>
      <c r="I876" s="10">
        <v>45688.456076388888</v>
      </c>
      <c r="J876" s="10">
        <v>45688.459131944437</v>
      </c>
      <c r="K876" s="11">
        <v>3.0555555555555561E-3</v>
      </c>
      <c r="L876" s="13"/>
    </row>
    <row r="877" spans="1:12" x14ac:dyDescent="0.25">
      <c r="A877" s="3" t="s">
        <v>3586</v>
      </c>
      <c r="B877" s="3" t="s">
        <v>4133</v>
      </c>
      <c r="C877" s="3" t="s">
        <v>3136</v>
      </c>
      <c r="D877" s="9">
        <v>247.3</v>
      </c>
      <c r="E877" s="3"/>
      <c r="F877" s="3"/>
      <c r="G877" s="9"/>
      <c r="H877" s="10">
        <v>45688.528414351851</v>
      </c>
      <c r="I877" s="10">
        <v>45688.52920138889</v>
      </c>
      <c r="J877" s="10">
        <v>45688.53197916667</v>
      </c>
      <c r="K877" s="11">
        <v>2.7777777777777779E-3</v>
      </c>
      <c r="L877" s="13"/>
    </row>
    <row r="878" spans="1:12" x14ac:dyDescent="0.25">
      <c r="A878" s="3" t="s">
        <v>3586</v>
      </c>
      <c r="B878" s="3" t="s">
        <v>4134</v>
      </c>
      <c r="C878" s="3" t="s">
        <v>3146</v>
      </c>
      <c r="D878" s="9">
        <v>15.7</v>
      </c>
      <c r="E878" s="3"/>
      <c r="F878" s="3"/>
      <c r="G878" s="9"/>
      <c r="H878" s="10">
        <v>45688.648645833331</v>
      </c>
      <c r="I878" s="10">
        <v>45688.64943287037</v>
      </c>
      <c r="J878" s="10">
        <v>45688.65221064815</v>
      </c>
      <c r="K878" s="11">
        <v>2.7777777777777779E-3</v>
      </c>
      <c r="L878" s="13"/>
    </row>
    <row r="879" spans="1:12" x14ac:dyDescent="0.25">
      <c r="A879" s="3" t="s">
        <v>3586</v>
      </c>
      <c r="B879" s="3" t="s">
        <v>4135</v>
      </c>
      <c r="C879" s="3" t="s">
        <v>3150</v>
      </c>
      <c r="D879" s="9">
        <v>80.7</v>
      </c>
      <c r="E879" s="3"/>
      <c r="F879" s="3"/>
      <c r="G879" s="9"/>
      <c r="H879" s="10">
        <v>45688.654108796298</v>
      </c>
      <c r="I879" s="10">
        <v>45688.654953703714</v>
      </c>
      <c r="J879" s="10">
        <v>45688.658009259263</v>
      </c>
      <c r="K879" s="11">
        <v>3.0555555555555561E-3</v>
      </c>
      <c r="L879" s="13"/>
    </row>
    <row r="880" spans="1:12" x14ac:dyDescent="0.25">
      <c r="A880" s="3" t="s">
        <v>3586</v>
      </c>
      <c r="B880" s="3" t="s">
        <v>4136</v>
      </c>
      <c r="C880" s="3" t="s">
        <v>3153</v>
      </c>
      <c r="D880" s="9">
        <v>60.8</v>
      </c>
      <c r="E880" s="3"/>
      <c r="F880" s="3"/>
      <c r="G880" s="9"/>
      <c r="H880" s="10">
        <v>45688.660358796304</v>
      </c>
      <c r="I880" s="10">
        <v>45688.661203703698</v>
      </c>
      <c r="J880" s="10">
        <v>45688.664259259262</v>
      </c>
      <c r="K880" s="11">
        <v>3.0555555555555561E-3</v>
      </c>
      <c r="L880" s="13"/>
    </row>
    <row r="881" spans="1:12" x14ac:dyDescent="0.25">
      <c r="A881" s="3" t="s">
        <v>3586</v>
      </c>
      <c r="B881" s="3" t="s">
        <v>4137</v>
      </c>
      <c r="C881" s="3" t="s">
        <v>3155</v>
      </c>
      <c r="D881" s="9">
        <v>19.899999999999999</v>
      </c>
      <c r="E881" s="3"/>
      <c r="F881" s="3"/>
      <c r="G881" s="9"/>
      <c r="H881" s="10">
        <v>45688.661724537043</v>
      </c>
      <c r="I881" s="10">
        <v>45688.662592592591</v>
      </c>
      <c r="J881" s="10">
        <v>45688.665648148148</v>
      </c>
      <c r="K881" s="11">
        <v>3.0555555555555561E-3</v>
      </c>
      <c r="L881" s="13"/>
    </row>
    <row r="882" spans="1:12" x14ac:dyDescent="0.25">
      <c r="A882" s="3" t="s">
        <v>3586</v>
      </c>
      <c r="B882" s="3" t="s">
        <v>4138</v>
      </c>
      <c r="C882" s="3" t="s">
        <v>3158</v>
      </c>
      <c r="D882" s="9">
        <v>19.899999999999999</v>
      </c>
      <c r="E882" s="3"/>
      <c r="F882" s="3"/>
      <c r="G882" s="9"/>
      <c r="H882" s="10">
        <v>45688.664444444446</v>
      </c>
      <c r="I882" s="10">
        <v>45688.667384259257</v>
      </c>
      <c r="J882" s="10">
        <v>45688.670439814807</v>
      </c>
      <c r="K882" s="11">
        <v>3.0555555555555561E-3</v>
      </c>
      <c r="L882" s="13"/>
    </row>
    <row r="883" spans="1:12" x14ac:dyDescent="0.25">
      <c r="A883" s="3" t="s">
        <v>3586</v>
      </c>
      <c r="B883" s="3" t="s">
        <v>4139</v>
      </c>
      <c r="C883" s="3" t="s">
        <v>3159</v>
      </c>
      <c r="D883" s="9">
        <v>121.8</v>
      </c>
      <c r="E883" s="3"/>
      <c r="F883" s="3"/>
      <c r="G883" s="9"/>
      <c r="H883" s="10">
        <v>45688.666574074072</v>
      </c>
      <c r="I883" s="10">
        <v>45688.669178240743</v>
      </c>
      <c r="J883" s="10">
        <v>45688.672233796293</v>
      </c>
      <c r="K883" s="11">
        <v>3.0555555555555561E-3</v>
      </c>
      <c r="L883" s="13"/>
    </row>
    <row r="884" spans="1:12" x14ac:dyDescent="0.25">
      <c r="A884" s="3" t="s">
        <v>3586</v>
      </c>
      <c r="B884" s="3" t="s">
        <v>4140</v>
      </c>
      <c r="C884" s="3" t="s">
        <v>3164</v>
      </c>
      <c r="D884" s="9">
        <v>15.7</v>
      </c>
      <c r="E884" s="3"/>
      <c r="F884" s="3"/>
      <c r="G884" s="9"/>
      <c r="H884" s="10">
        <v>45688.670289351852</v>
      </c>
      <c r="I884" s="10">
        <v>45688.67392361111</v>
      </c>
      <c r="J884" s="10">
        <v>45688.676979166667</v>
      </c>
      <c r="K884" s="11">
        <v>3.0555555555555561E-3</v>
      </c>
      <c r="L884" s="13"/>
    </row>
    <row r="885" spans="1:12" x14ac:dyDescent="0.25">
      <c r="A885" s="3" t="s">
        <v>3586</v>
      </c>
      <c r="B885" s="3" t="s">
        <v>4141</v>
      </c>
      <c r="C885" s="3" t="s">
        <v>3167</v>
      </c>
      <c r="D885" s="9">
        <v>47.2</v>
      </c>
      <c r="E885" s="3"/>
      <c r="F885" s="3"/>
      <c r="G885" s="9"/>
      <c r="H885" s="10">
        <v>45688.672291666669</v>
      </c>
      <c r="I885" s="10">
        <v>45688.675439814811</v>
      </c>
      <c r="J885" s="10">
        <v>45688.678495370368</v>
      </c>
      <c r="K885" s="11">
        <v>3.0555555555555561E-3</v>
      </c>
      <c r="L885" s="13"/>
    </row>
    <row r="886" spans="1:12" x14ac:dyDescent="0.25">
      <c r="A886" s="3" t="s">
        <v>3586</v>
      </c>
      <c r="B886" s="3" t="s">
        <v>4142</v>
      </c>
      <c r="C886" s="3" t="s">
        <v>3169</v>
      </c>
      <c r="D886" s="9">
        <v>14</v>
      </c>
      <c r="E886" s="3"/>
      <c r="F886" s="3"/>
      <c r="G886" s="9"/>
      <c r="H886" s="10">
        <v>45688.67428240741</v>
      </c>
      <c r="I886" s="10">
        <v>45688.678668981483</v>
      </c>
      <c r="J886" s="10">
        <v>45688.68172453704</v>
      </c>
      <c r="K886" s="11">
        <v>3.0555555555555561E-3</v>
      </c>
      <c r="L886" s="13"/>
    </row>
    <row r="887" spans="1:12" x14ac:dyDescent="0.25">
      <c r="A887" s="3" t="s">
        <v>3586</v>
      </c>
      <c r="B887" s="3" t="s">
        <v>4143</v>
      </c>
      <c r="C887" s="3" t="s">
        <v>3170</v>
      </c>
      <c r="D887" s="9">
        <v>35.6</v>
      </c>
      <c r="E887" s="3"/>
      <c r="F887" s="3"/>
      <c r="G887" s="9"/>
      <c r="H887" s="10">
        <v>45688.675798611112</v>
      </c>
      <c r="I887" s="10">
        <v>45688.680231481478</v>
      </c>
      <c r="J887" s="10">
        <v>45688.683287037027</v>
      </c>
      <c r="K887" s="11">
        <v>3.0555555555555561E-3</v>
      </c>
      <c r="L887" s="13"/>
    </row>
    <row r="888" spans="1:12" x14ac:dyDescent="0.25">
      <c r="A888" s="3" t="s">
        <v>3586</v>
      </c>
      <c r="B888" s="3" t="s">
        <v>4144</v>
      </c>
      <c r="C888" s="3" t="s">
        <v>3182</v>
      </c>
      <c r="D888" s="9">
        <v>23.2</v>
      </c>
      <c r="E888" s="3"/>
      <c r="F888" s="3"/>
      <c r="G888" s="9"/>
      <c r="H888" s="10">
        <v>45688.855092592603</v>
      </c>
      <c r="I888" s="10">
        <v>45688.855856481481</v>
      </c>
      <c r="J888" s="10">
        <v>45688.858634259261</v>
      </c>
      <c r="K888" s="11">
        <v>2.7777777777777779E-3</v>
      </c>
      <c r="L888" s="13"/>
    </row>
    <row r="889" spans="1:12" x14ac:dyDescent="0.25">
      <c r="A889" s="3" t="s">
        <v>3586</v>
      </c>
      <c r="B889" s="3" t="s">
        <v>4145</v>
      </c>
      <c r="C889" s="3" t="s">
        <v>3184</v>
      </c>
      <c r="D889" s="9">
        <v>19.899999999999999</v>
      </c>
      <c r="E889" s="3"/>
      <c r="F889" s="3"/>
      <c r="G889" s="9"/>
      <c r="H889" s="10">
        <v>45688.856712962966</v>
      </c>
      <c r="I889" s="10">
        <v>45688.857546296298</v>
      </c>
      <c r="J889" s="10">
        <v>45688.860601851848</v>
      </c>
      <c r="K889" s="11">
        <v>3.0555555555555561E-3</v>
      </c>
      <c r="L889" s="13"/>
    </row>
    <row r="890" spans="1:12" x14ac:dyDescent="0.25">
      <c r="A890" s="3" t="s">
        <v>3586</v>
      </c>
      <c r="B890" s="3" t="s">
        <v>4146</v>
      </c>
      <c r="C890" s="3" t="s">
        <v>3188</v>
      </c>
      <c r="D890" s="9">
        <v>110.3</v>
      </c>
      <c r="E890" s="3"/>
      <c r="F890" s="3"/>
      <c r="G890" s="9"/>
      <c r="H890" s="10">
        <v>45688.860752314817</v>
      </c>
      <c r="I890" s="10">
        <v>45688.861527777779</v>
      </c>
      <c r="J890" s="10">
        <v>45688.864305555559</v>
      </c>
      <c r="K890" s="11">
        <v>2.7777777777777779E-3</v>
      </c>
      <c r="L890" s="13"/>
    </row>
    <row r="891" spans="1:12" x14ac:dyDescent="0.25">
      <c r="A891" s="3" t="s">
        <v>3586</v>
      </c>
      <c r="B891" s="3" t="s">
        <v>4147</v>
      </c>
      <c r="C891" s="3" t="s">
        <v>3190</v>
      </c>
      <c r="D891" s="9">
        <v>19.899999999999999</v>
      </c>
      <c r="E891" s="3"/>
      <c r="F891" s="3"/>
      <c r="G891" s="9"/>
      <c r="H891" s="10">
        <v>45688.862488425933</v>
      </c>
      <c r="I891" s="10">
        <v>45688.863356481481</v>
      </c>
      <c r="J891" s="10">
        <v>45688.866412037038</v>
      </c>
      <c r="K891" s="11">
        <v>3.0555555555555561E-3</v>
      </c>
      <c r="L891" s="13"/>
    </row>
    <row r="892" spans="1:12" x14ac:dyDescent="0.25">
      <c r="A892" s="3" t="s">
        <v>3223</v>
      </c>
      <c r="B892" s="3" t="s">
        <v>4148</v>
      </c>
      <c r="C892" s="3" t="s">
        <v>489</v>
      </c>
      <c r="D892" s="9">
        <v>103.9</v>
      </c>
      <c r="E892" s="3" t="s">
        <v>3193</v>
      </c>
      <c r="F892" s="3" t="s">
        <v>3224</v>
      </c>
      <c r="G892" s="9">
        <v>205.9</v>
      </c>
      <c r="H892" s="10">
        <v>45659.144733796304</v>
      </c>
      <c r="I892" s="10">
        <v>45659.144733796304</v>
      </c>
      <c r="J892" s="10">
        <v>45659.145405092589</v>
      </c>
      <c r="K892" s="11">
        <v>6.7129629629629625E-4</v>
      </c>
      <c r="L892" s="13"/>
    </row>
    <row r="893" spans="1:12" x14ac:dyDescent="0.25">
      <c r="A893" s="3" t="s">
        <v>3223</v>
      </c>
      <c r="B893" s="3" t="s">
        <v>4149</v>
      </c>
      <c r="C893" s="3" t="s">
        <v>501</v>
      </c>
      <c r="D893" s="9">
        <v>182.7</v>
      </c>
      <c r="E893" s="3" t="s">
        <v>3193</v>
      </c>
      <c r="F893" s="3" t="s">
        <v>3224</v>
      </c>
      <c r="G893" s="9">
        <v>205.9</v>
      </c>
      <c r="H893" s="10">
        <v>45659.3128125</v>
      </c>
      <c r="I893" s="10">
        <v>45659.3128125</v>
      </c>
      <c r="J893" s="10">
        <v>45659.313668981478</v>
      </c>
      <c r="K893" s="11">
        <v>8.564814814814815E-4</v>
      </c>
      <c r="L893" s="13"/>
    </row>
    <row r="894" spans="1:12" x14ac:dyDescent="0.25">
      <c r="A894" s="3" t="s">
        <v>3223</v>
      </c>
      <c r="B894" s="3" t="s">
        <v>4150</v>
      </c>
      <c r="C894" s="3" t="s">
        <v>543</v>
      </c>
      <c r="D894" s="9">
        <v>189</v>
      </c>
      <c r="E894" s="3" t="s">
        <v>3194</v>
      </c>
      <c r="F894" s="3" t="s">
        <v>3224</v>
      </c>
      <c r="G894" s="9">
        <v>259.31</v>
      </c>
      <c r="H894" s="10">
        <v>45659.352349537039</v>
      </c>
      <c r="I894" s="10">
        <v>45659.352349537039</v>
      </c>
      <c r="J894" s="10">
        <v>45659.353333333333</v>
      </c>
      <c r="K894" s="11">
        <v>9.837962962962962E-4</v>
      </c>
      <c r="L894" s="13"/>
    </row>
    <row r="895" spans="1:12" x14ac:dyDescent="0.25">
      <c r="A895" s="3" t="s">
        <v>3223</v>
      </c>
      <c r="B895" s="3" t="s">
        <v>4151</v>
      </c>
      <c r="C895" s="3" t="s">
        <v>507</v>
      </c>
      <c r="D895" s="9">
        <v>264.60000000000002</v>
      </c>
      <c r="E895" s="3" t="s">
        <v>3195</v>
      </c>
      <c r="F895" s="3" t="s">
        <v>3224</v>
      </c>
      <c r="G895" s="9">
        <v>286.14</v>
      </c>
      <c r="H895" s="10">
        <v>45659.371805555558</v>
      </c>
      <c r="I895" s="10">
        <v>45659.371805555558</v>
      </c>
      <c r="J895" s="10">
        <v>45659.373020833344</v>
      </c>
      <c r="K895" s="11">
        <v>1.215277777777778E-3</v>
      </c>
      <c r="L895" s="13"/>
    </row>
    <row r="896" spans="1:12" x14ac:dyDescent="0.25">
      <c r="A896" s="3" t="s">
        <v>3223</v>
      </c>
      <c r="B896" s="3" t="s">
        <v>4152</v>
      </c>
      <c r="C896" s="3" t="s">
        <v>576</v>
      </c>
      <c r="D896" s="9">
        <v>142.19999999999999</v>
      </c>
      <c r="E896" s="3" t="s">
        <v>3196</v>
      </c>
      <c r="F896" s="3" t="s">
        <v>3224</v>
      </c>
      <c r="G896" s="9">
        <v>182.11</v>
      </c>
      <c r="H896" s="10">
        <v>45659.414814814823</v>
      </c>
      <c r="I896" s="10">
        <v>45659.414814814823</v>
      </c>
      <c r="J896" s="10">
        <v>45659.415520833332</v>
      </c>
      <c r="K896" s="11">
        <v>7.0601851851851847E-4</v>
      </c>
      <c r="L896" s="13"/>
    </row>
    <row r="897" spans="1:12" x14ac:dyDescent="0.25">
      <c r="A897" s="3" t="s">
        <v>3223</v>
      </c>
      <c r="B897" s="3" t="s">
        <v>4153</v>
      </c>
      <c r="C897" s="3" t="s">
        <v>546</v>
      </c>
      <c r="D897" s="9">
        <v>396.6</v>
      </c>
      <c r="E897" s="3" t="s">
        <v>3193</v>
      </c>
      <c r="F897" s="3" t="s">
        <v>3224</v>
      </c>
      <c r="G897" s="9">
        <v>205.9</v>
      </c>
      <c r="H897" s="10">
        <v>45659.418298611112</v>
      </c>
      <c r="I897" s="10">
        <v>45659.418298611112</v>
      </c>
      <c r="J897" s="10">
        <v>45659.419641203713</v>
      </c>
      <c r="K897" s="11">
        <v>1.3425925925925921E-3</v>
      </c>
      <c r="L897" s="13"/>
    </row>
    <row r="898" spans="1:12" x14ac:dyDescent="0.25">
      <c r="A898" s="3" t="s">
        <v>3223</v>
      </c>
      <c r="B898" s="3" t="s">
        <v>4154</v>
      </c>
      <c r="C898" s="3" t="s">
        <v>528</v>
      </c>
      <c r="D898" s="9">
        <v>108</v>
      </c>
      <c r="E898" s="3" t="s">
        <v>3198</v>
      </c>
      <c r="F898" s="3" t="s">
        <v>3224</v>
      </c>
      <c r="G898" s="9">
        <v>259.16000000000003</v>
      </c>
      <c r="H898" s="10">
        <v>45659.435243055559</v>
      </c>
      <c r="I898" s="10">
        <v>45659.435243055559</v>
      </c>
      <c r="J898" s="10">
        <v>45659.436030092591</v>
      </c>
      <c r="K898" s="11">
        <v>7.8703703703703705E-4</v>
      </c>
      <c r="L898" s="13"/>
    </row>
    <row r="899" spans="1:12" x14ac:dyDescent="0.25">
      <c r="A899" s="3" t="s">
        <v>3223</v>
      </c>
      <c r="B899" s="3" t="s">
        <v>4155</v>
      </c>
      <c r="C899" s="3" t="s">
        <v>516</v>
      </c>
      <c r="D899" s="9">
        <v>134.19999999999999</v>
      </c>
      <c r="E899" s="3" t="s">
        <v>3197</v>
      </c>
      <c r="F899" s="3" t="s">
        <v>3224</v>
      </c>
      <c r="G899" s="9">
        <v>262.93</v>
      </c>
      <c r="H899" s="10">
        <v>45659.437615740739</v>
      </c>
      <c r="I899" s="10">
        <v>45659.437615740739</v>
      </c>
      <c r="J899" s="10">
        <v>45659.438483796293</v>
      </c>
      <c r="K899" s="11">
        <v>8.6805555555555551E-4</v>
      </c>
      <c r="L899" s="13"/>
    </row>
    <row r="900" spans="1:12" x14ac:dyDescent="0.25">
      <c r="A900" s="3" t="s">
        <v>3223</v>
      </c>
      <c r="B900" s="3" t="s">
        <v>4156</v>
      </c>
      <c r="C900" s="3" t="s">
        <v>567</v>
      </c>
      <c r="D900" s="9">
        <v>194.2</v>
      </c>
      <c r="E900" s="3" t="s">
        <v>3196</v>
      </c>
      <c r="F900" s="3" t="s">
        <v>3224</v>
      </c>
      <c r="G900" s="9">
        <v>182.11</v>
      </c>
      <c r="H900" s="10">
        <v>45659.453738425917</v>
      </c>
      <c r="I900" s="10">
        <v>45659.453738425917</v>
      </c>
      <c r="J900" s="10">
        <v>45659.454571759263</v>
      </c>
      <c r="K900" s="11">
        <v>8.3333333333333339E-4</v>
      </c>
      <c r="L900" s="13"/>
    </row>
    <row r="901" spans="1:12" x14ac:dyDescent="0.25">
      <c r="A901" s="3" t="s">
        <v>3223</v>
      </c>
      <c r="B901" s="3" t="s">
        <v>4157</v>
      </c>
      <c r="C901" s="3" t="s">
        <v>579</v>
      </c>
      <c r="D901" s="9">
        <v>367.2</v>
      </c>
      <c r="E901" s="3" t="s">
        <v>3193</v>
      </c>
      <c r="F901" s="3" t="s">
        <v>3224</v>
      </c>
      <c r="G901" s="9">
        <v>205.9</v>
      </c>
      <c r="H901" s="10">
        <v>45659.521666666667</v>
      </c>
      <c r="I901" s="10">
        <v>45659.521666666667</v>
      </c>
      <c r="J901" s="10">
        <v>45659.522939814808</v>
      </c>
      <c r="K901" s="11">
        <v>1.273148148148148E-3</v>
      </c>
      <c r="L901" s="13"/>
    </row>
    <row r="902" spans="1:12" x14ac:dyDescent="0.25">
      <c r="A902" s="3" t="s">
        <v>3223</v>
      </c>
      <c r="B902" s="3" t="s">
        <v>4158</v>
      </c>
      <c r="C902" s="3" t="s">
        <v>586</v>
      </c>
      <c r="D902" s="9">
        <v>287.10000000000002</v>
      </c>
      <c r="E902" s="3" t="s">
        <v>3193</v>
      </c>
      <c r="F902" s="3" t="s">
        <v>3224</v>
      </c>
      <c r="G902" s="9">
        <v>205.9</v>
      </c>
      <c r="H902" s="10">
        <v>45659.670231481483</v>
      </c>
      <c r="I902" s="10">
        <v>45659.670231481483</v>
      </c>
      <c r="J902" s="10">
        <v>45659.671319444453</v>
      </c>
      <c r="K902" s="11">
        <v>1.0879629629629631E-3</v>
      </c>
      <c r="L902" s="13"/>
    </row>
    <row r="903" spans="1:12" x14ac:dyDescent="0.25">
      <c r="A903" s="3" t="s">
        <v>3223</v>
      </c>
      <c r="B903" s="3" t="s">
        <v>4159</v>
      </c>
      <c r="C903" s="3" t="s">
        <v>520</v>
      </c>
      <c r="D903" s="9">
        <v>114.8</v>
      </c>
      <c r="E903" s="3" t="s">
        <v>3200</v>
      </c>
      <c r="F903" s="3" t="s">
        <v>3224</v>
      </c>
      <c r="G903" s="9">
        <v>245</v>
      </c>
      <c r="H903" s="10">
        <v>45659.681932870371</v>
      </c>
      <c r="I903" s="10">
        <v>45659.681932870371</v>
      </c>
      <c r="J903" s="10">
        <v>45659.682708333326</v>
      </c>
      <c r="K903" s="11">
        <v>7.7546296296296293E-4</v>
      </c>
      <c r="L903" s="13"/>
    </row>
    <row r="904" spans="1:12" x14ac:dyDescent="0.25">
      <c r="A904" s="3" t="s">
        <v>3223</v>
      </c>
      <c r="B904" s="3" t="s">
        <v>4160</v>
      </c>
      <c r="C904" s="3" t="s">
        <v>608</v>
      </c>
      <c r="D904" s="9">
        <v>117.8</v>
      </c>
      <c r="E904" s="3" t="s">
        <v>3196</v>
      </c>
      <c r="F904" s="3" t="s">
        <v>3224</v>
      </c>
      <c r="G904" s="9">
        <v>182.11</v>
      </c>
      <c r="H904" s="10">
        <v>45659.703946759262</v>
      </c>
      <c r="I904" s="10">
        <v>45659.703946759262</v>
      </c>
      <c r="J904" s="10">
        <v>45659.704606481479</v>
      </c>
      <c r="K904" s="11">
        <v>6.5972222222222224E-4</v>
      </c>
      <c r="L904" s="13"/>
    </row>
    <row r="905" spans="1:12" x14ac:dyDescent="0.25">
      <c r="A905" s="3" t="s">
        <v>3223</v>
      </c>
      <c r="B905" s="3" t="s">
        <v>4161</v>
      </c>
      <c r="C905" s="3" t="s">
        <v>493</v>
      </c>
      <c r="D905" s="9">
        <v>363.4</v>
      </c>
      <c r="E905" s="3" t="s">
        <v>3199</v>
      </c>
      <c r="F905" s="3" t="s">
        <v>3224</v>
      </c>
      <c r="G905" s="9">
        <v>188.33</v>
      </c>
      <c r="H905" s="10">
        <v>45659.704479166663</v>
      </c>
      <c r="I905" s="10">
        <v>45659.704606481479</v>
      </c>
      <c r="J905" s="10">
        <v>45659.705833333333</v>
      </c>
      <c r="K905" s="11">
        <v>1.226851851851852E-3</v>
      </c>
      <c r="L905" s="13"/>
    </row>
    <row r="906" spans="1:12" x14ac:dyDescent="0.25">
      <c r="A906" s="3" t="s">
        <v>3223</v>
      </c>
      <c r="B906" s="3" t="s">
        <v>4162</v>
      </c>
      <c r="C906" s="3" t="s">
        <v>601</v>
      </c>
      <c r="D906" s="9">
        <v>257.10000000000002</v>
      </c>
      <c r="E906" s="3" t="s">
        <v>3196</v>
      </c>
      <c r="F906" s="3" t="s">
        <v>3224</v>
      </c>
      <c r="G906" s="9">
        <v>182.11</v>
      </c>
      <c r="H906" s="10">
        <v>45659.716608796298</v>
      </c>
      <c r="I906" s="10">
        <v>45659.716608796298</v>
      </c>
      <c r="J906" s="10">
        <v>45659.717581018522</v>
      </c>
      <c r="K906" s="11">
        <v>9.7222222222222219E-4</v>
      </c>
      <c r="L906" s="13"/>
    </row>
    <row r="907" spans="1:12" x14ac:dyDescent="0.25">
      <c r="A907" s="3" t="s">
        <v>3223</v>
      </c>
      <c r="B907" s="3" t="s">
        <v>4163</v>
      </c>
      <c r="C907" s="3" t="s">
        <v>510</v>
      </c>
      <c r="D907" s="9">
        <v>102.8</v>
      </c>
      <c r="E907" s="3" t="s">
        <v>3201</v>
      </c>
      <c r="F907" s="3" t="s">
        <v>3224</v>
      </c>
      <c r="G907" s="9">
        <v>259.31</v>
      </c>
      <c r="H907" s="10">
        <v>45659.801898148151</v>
      </c>
      <c r="I907" s="10">
        <v>45659.801898148151</v>
      </c>
      <c r="J907" s="10">
        <v>45659.802673611113</v>
      </c>
      <c r="K907" s="11">
        <v>7.7546296296296293E-4</v>
      </c>
      <c r="L907" s="13"/>
    </row>
    <row r="908" spans="1:12" x14ac:dyDescent="0.25">
      <c r="A908" s="3" t="s">
        <v>3223</v>
      </c>
      <c r="B908" s="3" t="s">
        <v>4164</v>
      </c>
      <c r="C908" s="3" t="s">
        <v>589</v>
      </c>
      <c r="D908" s="9">
        <v>216</v>
      </c>
      <c r="E908" s="3" t="s">
        <v>3197</v>
      </c>
      <c r="F908" s="3" t="s">
        <v>3224</v>
      </c>
      <c r="G908" s="9">
        <v>262.93</v>
      </c>
      <c r="H908" s="10">
        <v>45659.809652777767</v>
      </c>
      <c r="I908" s="10">
        <v>45659.809652777767</v>
      </c>
      <c r="J908" s="10">
        <v>45659.810694444437</v>
      </c>
      <c r="K908" s="11">
        <v>1.0416666666666671E-3</v>
      </c>
      <c r="L908" s="13"/>
    </row>
    <row r="909" spans="1:12" x14ac:dyDescent="0.25">
      <c r="A909" s="3" t="s">
        <v>3223</v>
      </c>
      <c r="B909" s="3" t="s">
        <v>4165</v>
      </c>
      <c r="C909" s="3" t="s">
        <v>592</v>
      </c>
      <c r="D909" s="9">
        <v>194.2</v>
      </c>
      <c r="E909" s="3" t="s">
        <v>3199</v>
      </c>
      <c r="F909" s="3" t="s">
        <v>3224</v>
      </c>
      <c r="G909" s="9">
        <v>188.33</v>
      </c>
      <c r="H909" s="10">
        <v>45659.81009259259</v>
      </c>
      <c r="I909" s="10">
        <v>45659.810694444437</v>
      </c>
      <c r="J909" s="10">
        <v>45659.811539351853</v>
      </c>
      <c r="K909" s="11">
        <v>8.4490740740740739E-4</v>
      </c>
      <c r="L909" s="13"/>
    </row>
    <row r="910" spans="1:12" x14ac:dyDescent="0.25">
      <c r="A910" s="3" t="s">
        <v>3223</v>
      </c>
      <c r="B910" s="3" t="s">
        <v>4166</v>
      </c>
      <c r="C910" s="3" t="s">
        <v>534</v>
      </c>
      <c r="D910" s="9">
        <v>157.4</v>
      </c>
      <c r="E910" s="3" t="s">
        <v>3202</v>
      </c>
      <c r="F910" s="3" t="s">
        <v>3224</v>
      </c>
      <c r="G910" s="9">
        <v>231.94</v>
      </c>
      <c r="H910" s="10">
        <v>45659.898125</v>
      </c>
      <c r="I910" s="10">
        <v>45659.898125</v>
      </c>
      <c r="J910" s="10">
        <v>45659.898969907408</v>
      </c>
      <c r="K910" s="11">
        <v>8.4490740740740739E-4</v>
      </c>
      <c r="L910" s="13"/>
    </row>
    <row r="911" spans="1:12" x14ac:dyDescent="0.25">
      <c r="A911" s="3" t="s">
        <v>3223</v>
      </c>
      <c r="B911" s="3" t="s">
        <v>4167</v>
      </c>
      <c r="C911" s="3" t="s">
        <v>617</v>
      </c>
      <c r="D911" s="9">
        <v>101.7</v>
      </c>
      <c r="E911" s="3" t="s">
        <v>3193</v>
      </c>
      <c r="F911" s="3" t="s">
        <v>3224</v>
      </c>
      <c r="G911" s="9">
        <v>205.9</v>
      </c>
      <c r="H911" s="10">
        <v>45659.899351851847</v>
      </c>
      <c r="I911" s="10">
        <v>45659.899351851847</v>
      </c>
      <c r="J911" s="10">
        <v>45659.900023148148</v>
      </c>
      <c r="K911" s="11">
        <v>6.7129629629629625E-4</v>
      </c>
      <c r="L911" s="13"/>
    </row>
    <row r="912" spans="1:12" x14ac:dyDescent="0.25">
      <c r="A912" s="3" t="s">
        <v>3223</v>
      </c>
      <c r="B912" s="3" t="s">
        <v>4168</v>
      </c>
      <c r="C912" s="3" t="s">
        <v>626</v>
      </c>
      <c r="D912" s="9">
        <v>117.8</v>
      </c>
      <c r="E912" s="3" t="s">
        <v>3196</v>
      </c>
      <c r="F912" s="3" t="s">
        <v>3224</v>
      </c>
      <c r="G912" s="9">
        <v>182.11</v>
      </c>
      <c r="H912" s="10">
        <v>45659.899502314824</v>
      </c>
      <c r="I912" s="10">
        <v>45659.900023148148</v>
      </c>
      <c r="J912" s="10">
        <v>45659.900671296287</v>
      </c>
      <c r="K912" s="11">
        <v>6.4814814814814813E-4</v>
      </c>
      <c r="L912" s="13"/>
    </row>
    <row r="913" spans="1:12" x14ac:dyDescent="0.25">
      <c r="A913" s="3" t="s">
        <v>3223</v>
      </c>
      <c r="B913" s="3" t="s">
        <v>4169</v>
      </c>
      <c r="C913" s="3" t="s">
        <v>635</v>
      </c>
      <c r="D913" s="9">
        <v>134.4</v>
      </c>
      <c r="E913" s="3" t="s">
        <v>3199</v>
      </c>
      <c r="F913" s="3" t="s">
        <v>3224</v>
      </c>
      <c r="G913" s="9">
        <v>188.33</v>
      </c>
      <c r="H913" s="10">
        <v>45660.150104166663</v>
      </c>
      <c r="I913" s="10">
        <v>45660.150104166663</v>
      </c>
      <c r="J913" s="10">
        <v>45660.15079861111</v>
      </c>
      <c r="K913" s="11">
        <v>6.9444444444444447E-4</v>
      </c>
      <c r="L913" s="13"/>
    </row>
    <row r="914" spans="1:12" x14ac:dyDescent="0.25">
      <c r="A914" s="3" t="s">
        <v>3223</v>
      </c>
      <c r="B914" s="3" t="s">
        <v>4170</v>
      </c>
      <c r="C914" s="3" t="s">
        <v>485</v>
      </c>
      <c r="D914" s="9">
        <v>102.8</v>
      </c>
      <c r="E914" s="3" t="s">
        <v>3203</v>
      </c>
      <c r="F914" s="3" t="s">
        <v>3224</v>
      </c>
      <c r="G914" s="9">
        <v>223.61</v>
      </c>
      <c r="H914" s="10">
        <v>45660.280532407407</v>
      </c>
      <c r="I914" s="10">
        <v>45660.280532407407</v>
      </c>
      <c r="J914" s="10">
        <v>45660.281238425923</v>
      </c>
      <c r="K914" s="11">
        <v>7.0601851851851847E-4</v>
      </c>
      <c r="L914" s="13"/>
    </row>
    <row r="915" spans="1:12" x14ac:dyDescent="0.25">
      <c r="A915" s="3" t="s">
        <v>3223</v>
      </c>
      <c r="B915" s="3" t="s">
        <v>4171</v>
      </c>
      <c r="C915" s="3" t="s">
        <v>672</v>
      </c>
      <c r="D915" s="9">
        <v>497</v>
      </c>
      <c r="E915" s="3" t="s">
        <v>3193</v>
      </c>
      <c r="F915" s="3" t="s">
        <v>3224</v>
      </c>
      <c r="G915" s="9">
        <v>205.9</v>
      </c>
      <c r="H915" s="10">
        <v>45660.292349537027</v>
      </c>
      <c r="I915" s="10">
        <v>45660.292349537027</v>
      </c>
      <c r="J915" s="10">
        <v>45660.293923611112</v>
      </c>
      <c r="K915" s="11">
        <v>1.5740740740740741E-3</v>
      </c>
      <c r="L915" s="13"/>
    </row>
    <row r="916" spans="1:12" x14ac:dyDescent="0.25">
      <c r="A916" s="3" t="s">
        <v>3223</v>
      </c>
      <c r="B916" s="3" t="s">
        <v>4172</v>
      </c>
      <c r="C916" s="3" t="s">
        <v>677</v>
      </c>
      <c r="D916" s="9">
        <v>144.30000000000001</v>
      </c>
      <c r="E916" s="3" t="s">
        <v>3199</v>
      </c>
      <c r="F916" s="3" t="s">
        <v>3224</v>
      </c>
      <c r="G916" s="9">
        <v>188.33</v>
      </c>
      <c r="H916" s="10">
        <v>45660.307326388887</v>
      </c>
      <c r="I916" s="10">
        <v>45660.307326388887</v>
      </c>
      <c r="J916" s="10">
        <v>45660.308055555557</v>
      </c>
      <c r="K916" s="11">
        <v>7.291666666666667E-4</v>
      </c>
      <c r="L916" s="13"/>
    </row>
    <row r="917" spans="1:12" x14ac:dyDescent="0.25">
      <c r="A917" s="3" t="s">
        <v>3223</v>
      </c>
      <c r="B917" s="3" t="s">
        <v>4173</v>
      </c>
      <c r="C917" s="3" t="s">
        <v>497</v>
      </c>
      <c r="D917" s="9">
        <v>204.6</v>
      </c>
      <c r="E917" s="3" t="s">
        <v>3204</v>
      </c>
      <c r="F917" s="3" t="s">
        <v>3224</v>
      </c>
      <c r="G917" s="9">
        <v>240.31</v>
      </c>
      <c r="H917" s="10">
        <v>45660.312858796293</v>
      </c>
      <c r="I917" s="10">
        <v>45660.312858796293</v>
      </c>
      <c r="J917" s="10">
        <v>45660.313831018517</v>
      </c>
      <c r="K917" s="11">
        <v>9.7222222222222219E-4</v>
      </c>
      <c r="L917" s="13"/>
    </row>
    <row r="918" spans="1:12" x14ac:dyDescent="0.25">
      <c r="A918" s="3" t="s">
        <v>3223</v>
      </c>
      <c r="B918" s="3" t="s">
        <v>4174</v>
      </c>
      <c r="C918" s="3" t="s">
        <v>651</v>
      </c>
      <c r="D918" s="9">
        <v>108</v>
      </c>
      <c r="E918" s="3" t="s">
        <v>3197</v>
      </c>
      <c r="F918" s="3" t="s">
        <v>3224</v>
      </c>
      <c r="G918" s="9">
        <v>262.93</v>
      </c>
      <c r="H918" s="10">
        <v>45660.31753472222</v>
      </c>
      <c r="I918" s="10">
        <v>45660.31753472222</v>
      </c>
      <c r="J918" s="10">
        <v>45660.318333333344</v>
      </c>
      <c r="K918" s="11">
        <v>7.9861111111111116E-4</v>
      </c>
      <c r="L918" s="13"/>
    </row>
    <row r="919" spans="1:12" x14ac:dyDescent="0.25">
      <c r="A919" s="3" t="s">
        <v>3223</v>
      </c>
      <c r="B919" s="3" t="s">
        <v>4175</v>
      </c>
      <c r="C919" s="3" t="s">
        <v>564</v>
      </c>
      <c r="D919" s="9">
        <v>184.1</v>
      </c>
      <c r="E919" s="3" t="s">
        <v>3194</v>
      </c>
      <c r="F919" s="3" t="s">
        <v>3224</v>
      </c>
      <c r="G919" s="9">
        <v>259.31</v>
      </c>
      <c r="H919" s="10">
        <v>45660.362268518518</v>
      </c>
      <c r="I919" s="10">
        <v>45660.362268518518</v>
      </c>
      <c r="J919" s="10">
        <v>45660.363240740742</v>
      </c>
      <c r="K919" s="11">
        <v>9.7222222222222219E-4</v>
      </c>
      <c r="L919" s="13"/>
    </row>
    <row r="920" spans="1:12" x14ac:dyDescent="0.25">
      <c r="A920" s="3" t="s">
        <v>3223</v>
      </c>
      <c r="B920" s="3" t="s">
        <v>4176</v>
      </c>
      <c r="C920" s="3" t="s">
        <v>648</v>
      </c>
      <c r="D920" s="9">
        <v>358.9</v>
      </c>
      <c r="E920" s="3" t="s">
        <v>3201</v>
      </c>
      <c r="F920" s="3" t="s">
        <v>3224</v>
      </c>
      <c r="G920" s="9">
        <v>259.31</v>
      </c>
      <c r="H920" s="10">
        <v>45660.371377314812</v>
      </c>
      <c r="I920" s="10">
        <v>45660.371377314812</v>
      </c>
      <c r="J920" s="10">
        <v>45660.372743055559</v>
      </c>
      <c r="K920" s="11">
        <v>1.3657407407407409E-3</v>
      </c>
      <c r="L920" s="13"/>
    </row>
    <row r="921" spans="1:12" x14ac:dyDescent="0.25">
      <c r="A921" s="3" t="s">
        <v>3223</v>
      </c>
      <c r="B921" s="3" t="s">
        <v>4177</v>
      </c>
      <c r="C921" s="3" t="s">
        <v>720</v>
      </c>
      <c r="D921" s="9">
        <v>256.89999999999998</v>
      </c>
      <c r="E921" s="3" t="s">
        <v>3199</v>
      </c>
      <c r="F921" s="3" t="s">
        <v>3224</v>
      </c>
      <c r="G921" s="9">
        <v>188.33</v>
      </c>
      <c r="H921" s="10">
        <v>45660.380104166667</v>
      </c>
      <c r="I921" s="10">
        <v>45660.380104166667</v>
      </c>
      <c r="J921" s="10">
        <v>45660.381099537037</v>
      </c>
      <c r="K921" s="11">
        <v>9.9537037037037042E-4</v>
      </c>
      <c r="L921" s="13"/>
    </row>
    <row r="922" spans="1:12" x14ac:dyDescent="0.25">
      <c r="A922" s="3" t="s">
        <v>3223</v>
      </c>
      <c r="B922" s="3" t="s">
        <v>4178</v>
      </c>
      <c r="C922" s="3" t="s">
        <v>715</v>
      </c>
      <c r="D922" s="9">
        <v>210.8</v>
      </c>
      <c r="E922" s="3" t="s">
        <v>3197</v>
      </c>
      <c r="F922" s="3" t="s">
        <v>3224</v>
      </c>
      <c r="G922" s="9">
        <v>262.93</v>
      </c>
      <c r="H922" s="10">
        <v>45660.420127314806</v>
      </c>
      <c r="I922" s="10">
        <v>45660.420127314806</v>
      </c>
      <c r="J922" s="10">
        <v>45660.421168981477</v>
      </c>
      <c r="K922" s="11">
        <v>1.0416666666666671E-3</v>
      </c>
      <c r="L922" s="13"/>
    </row>
    <row r="923" spans="1:12" x14ac:dyDescent="0.25">
      <c r="A923" s="3" t="s">
        <v>3223</v>
      </c>
      <c r="B923" s="3" t="s">
        <v>4179</v>
      </c>
      <c r="C923" s="3" t="s">
        <v>573</v>
      </c>
      <c r="D923" s="9">
        <v>221.7</v>
      </c>
      <c r="E923" s="3" t="s">
        <v>3195</v>
      </c>
      <c r="F923" s="3" t="s">
        <v>3224</v>
      </c>
      <c r="G923" s="9">
        <v>286.14</v>
      </c>
      <c r="H923" s="10">
        <v>45660.420266203713</v>
      </c>
      <c r="I923" s="10">
        <v>45660.421168981477</v>
      </c>
      <c r="J923" s="10">
        <v>45660.422280092593</v>
      </c>
      <c r="K923" s="11">
        <v>1.1111111111111109E-3</v>
      </c>
      <c r="L923" s="13"/>
    </row>
    <row r="924" spans="1:12" x14ac:dyDescent="0.25">
      <c r="A924" s="3" t="s">
        <v>3223</v>
      </c>
      <c r="B924" s="3" t="s">
        <v>4180</v>
      </c>
      <c r="C924" s="3" t="s">
        <v>723</v>
      </c>
      <c r="D924" s="9">
        <v>396.6</v>
      </c>
      <c r="E924" s="3" t="s">
        <v>3204</v>
      </c>
      <c r="F924" s="3" t="s">
        <v>3224</v>
      </c>
      <c r="G924" s="9">
        <v>240.31</v>
      </c>
      <c r="H924" s="10">
        <v>45660.436030092591</v>
      </c>
      <c r="I924" s="10">
        <v>45660.436030092591</v>
      </c>
      <c r="J924" s="10">
        <v>45660.437442129631</v>
      </c>
      <c r="K924" s="11">
        <v>1.4120370370370369E-3</v>
      </c>
      <c r="L924" s="13"/>
    </row>
    <row r="925" spans="1:12" x14ac:dyDescent="0.25">
      <c r="A925" s="3" t="s">
        <v>3223</v>
      </c>
      <c r="B925" s="3" t="s">
        <v>4181</v>
      </c>
      <c r="C925" s="3" t="s">
        <v>736</v>
      </c>
      <c r="D925" s="9">
        <v>146.30000000000001</v>
      </c>
      <c r="E925" s="3" t="s">
        <v>3195</v>
      </c>
      <c r="F925" s="3" t="s">
        <v>3224</v>
      </c>
      <c r="G925" s="9">
        <v>286.14</v>
      </c>
      <c r="H925" s="10">
        <v>45660.484733796293</v>
      </c>
      <c r="I925" s="10">
        <v>45660.484733796293</v>
      </c>
      <c r="J925" s="10">
        <v>45660.485671296286</v>
      </c>
      <c r="K925" s="11">
        <v>9.3749999999999997E-4</v>
      </c>
      <c r="L925" s="13"/>
    </row>
    <row r="926" spans="1:12" x14ac:dyDescent="0.25">
      <c r="A926" s="3" t="s">
        <v>3223</v>
      </c>
      <c r="B926" s="3" t="s">
        <v>4182</v>
      </c>
      <c r="C926" s="3" t="s">
        <v>730</v>
      </c>
      <c r="D926" s="9">
        <v>266.39999999999998</v>
      </c>
      <c r="E926" s="3" t="s">
        <v>3199</v>
      </c>
      <c r="F926" s="3" t="s">
        <v>3224</v>
      </c>
      <c r="G926" s="9">
        <v>188.33</v>
      </c>
      <c r="H926" s="10">
        <v>45660.501493055563</v>
      </c>
      <c r="I926" s="10">
        <v>45660.501493055563</v>
      </c>
      <c r="J926" s="10">
        <v>45660.502511574072</v>
      </c>
      <c r="K926" s="11">
        <v>1.018518518518518E-3</v>
      </c>
      <c r="L926" s="13"/>
    </row>
    <row r="927" spans="1:12" x14ac:dyDescent="0.25">
      <c r="A927" s="3" t="s">
        <v>3223</v>
      </c>
      <c r="B927" s="3" t="s">
        <v>4183</v>
      </c>
      <c r="C927" s="3" t="s">
        <v>739</v>
      </c>
      <c r="D927" s="9">
        <v>278</v>
      </c>
      <c r="E927" s="3" t="s">
        <v>3199</v>
      </c>
      <c r="F927" s="3" t="s">
        <v>3224</v>
      </c>
      <c r="G927" s="9">
        <v>188.33</v>
      </c>
      <c r="H927" s="10">
        <v>45660.60292824074</v>
      </c>
      <c r="I927" s="10">
        <v>45660.60292824074</v>
      </c>
      <c r="J927" s="10">
        <v>45660.603958333333</v>
      </c>
      <c r="K927" s="11">
        <v>1.0300925925925931E-3</v>
      </c>
      <c r="L927" s="13"/>
    </row>
    <row r="928" spans="1:12" x14ac:dyDescent="0.25">
      <c r="A928" s="3" t="s">
        <v>3223</v>
      </c>
      <c r="B928" s="3" t="s">
        <v>4184</v>
      </c>
      <c r="C928" s="3" t="s">
        <v>748</v>
      </c>
      <c r="D928" s="9">
        <v>164.2</v>
      </c>
      <c r="E928" s="3" t="s">
        <v>3199</v>
      </c>
      <c r="F928" s="3" t="s">
        <v>3224</v>
      </c>
      <c r="G928" s="9">
        <v>188.33</v>
      </c>
      <c r="H928" s="10">
        <v>45660.682268518518</v>
      </c>
      <c r="I928" s="10">
        <v>45660.682268518518</v>
      </c>
      <c r="J928" s="10">
        <v>45660.68304398148</v>
      </c>
      <c r="K928" s="11">
        <v>7.7546296296296293E-4</v>
      </c>
      <c r="L928" s="13"/>
    </row>
    <row r="929" spans="1:12" x14ac:dyDescent="0.25">
      <c r="A929" s="3" t="s">
        <v>3223</v>
      </c>
      <c r="B929" s="3" t="s">
        <v>4185</v>
      </c>
      <c r="C929" s="3" t="s">
        <v>540</v>
      </c>
      <c r="D929" s="9">
        <v>119.4</v>
      </c>
      <c r="E929" s="3" t="s">
        <v>3205</v>
      </c>
      <c r="F929" s="3" t="s">
        <v>3224</v>
      </c>
      <c r="G929" s="9">
        <v>262.93</v>
      </c>
      <c r="H929" s="10">
        <v>45660.689328703702</v>
      </c>
      <c r="I929" s="10">
        <v>45660.689328703702</v>
      </c>
      <c r="J929" s="10">
        <v>45660.690150462957</v>
      </c>
      <c r="K929" s="11">
        <v>8.2175925925925927E-4</v>
      </c>
      <c r="L929" s="13"/>
    </row>
    <row r="930" spans="1:12" x14ac:dyDescent="0.25">
      <c r="A930" s="3" t="s">
        <v>3223</v>
      </c>
      <c r="B930" s="3" t="s">
        <v>4186</v>
      </c>
      <c r="C930" s="3" t="s">
        <v>742</v>
      </c>
      <c r="D930" s="9">
        <v>125.9</v>
      </c>
      <c r="E930" s="3" t="s">
        <v>3195</v>
      </c>
      <c r="F930" s="3" t="s">
        <v>3224</v>
      </c>
      <c r="G930" s="9">
        <v>286.14</v>
      </c>
      <c r="H930" s="10">
        <v>45660.695567129631</v>
      </c>
      <c r="I930" s="10">
        <v>45660.695567129631</v>
      </c>
      <c r="J930" s="10">
        <v>45660.696458333332</v>
      </c>
      <c r="K930" s="11">
        <v>8.9120370370370373E-4</v>
      </c>
      <c r="L930" s="13"/>
    </row>
    <row r="931" spans="1:12" x14ac:dyDescent="0.25">
      <c r="A931" s="3" t="s">
        <v>3223</v>
      </c>
      <c r="B931" s="3" t="s">
        <v>4187</v>
      </c>
      <c r="C931" s="3" t="s">
        <v>772</v>
      </c>
      <c r="D931" s="9">
        <v>278.89999999999998</v>
      </c>
      <c r="E931" s="3" t="s">
        <v>3199</v>
      </c>
      <c r="F931" s="3" t="s">
        <v>3224</v>
      </c>
      <c r="G931" s="9">
        <v>188.33</v>
      </c>
      <c r="H931" s="10">
        <v>45660.778564814813</v>
      </c>
      <c r="I931" s="10">
        <v>45660.778564814813</v>
      </c>
      <c r="J931" s="10">
        <v>45660.779606481483</v>
      </c>
      <c r="K931" s="11">
        <v>1.0416666666666671E-3</v>
      </c>
      <c r="L931" s="13"/>
    </row>
    <row r="932" spans="1:12" x14ac:dyDescent="0.25">
      <c r="A932" s="3" t="s">
        <v>3223</v>
      </c>
      <c r="B932" s="3" t="s">
        <v>4188</v>
      </c>
      <c r="C932" s="3" t="s">
        <v>689</v>
      </c>
      <c r="D932" s="9">
        <v>110.3</v>
      </c>
      <c r="E932" s="3" t="s">
        <v>3196</v>
      </c>
      <c r="F932" s="3" t="s">
        <v>3224</v>
      </c>
      <c r="G932" s="9">
        <v>182.11</v>
      </c>
      <c r="H932" s="10">
        <v>45660.875763888893</v>
      </c>
      <c r="I932" s="10">
        <v>45660.875763888893</v>
      </c>
      <c r="J932" s="10">
        <v>45660.876400462963</v>
      </c>
      <c r="K932" s="11">
        <v>6.3657407407407413E-4</v>
      </c>
      <c r="L932" s="13"/>
    </row>
    <row r="933" spans="1:12" x14ac:dyDescent="0.25">
      <c r="A933" s="3" t="s">
        <v>3223</v>
      </c>
      <c r="B933" s="3" t="s">
        <v>4189</v>
      </c>
      <c r="C933" s="3" t="s">
        <v>710</v>
      </c>
      <c r="D933" s="9">
        <v>189</v>
      </c>
      <c r="E933" s="3" t="s">
        <v>3193</v>
      </c>
      <c r="F933" s="3" t="s">
        <v>3224</v>
      </c>
      <c r="G933" s="9">
        <v>205.9</v>
      </c>
      <c r="H933" s="10">
        <v>45660.893020833333</v>
      </c>
      <c r="I933" s="10">
        <v>45660.893020833333</v>
      </c>
      <c r="J933" s="10">
        <v>45660.893888888888</v>
      </c>
      <c r="K933" s="11">
        <v>8.6805555555555551E-4</v>
      </c>
      <c r="L933" s="13"/>
    </row>
    <row r="934" spans="1:12" x14ac:dyDescent="0.25">
      <c r="A934" s="3" t="s">
        <v>3223</v>
      </c>
      <c r="B934" s="3" t="s">
        <v>4190</v>
      </c>
      <c r="C934" s="3" t="s">
        <v>745</v>
      </c>
      <c r="D934" s="9">
        <v>173.1</v>
      </c>
      <c r="E934" s="3" t="s">
        <v>3197</v>
      </c>
      <c r="F934" s="3" t="s">
        <v>3224</v>
      </c>
      <c r="G934" s="9">
        <v>262.93</v>
      </c>
      <c r="H934" s="10">
        <v>45660.900983796288</v>
      </c>
      <c r="I934" s="10">
        <v>45660.900983796288</v>
      </c>
      <c r="J934" s="10">
        <v>45660.901932870373</v>
      </c>
      <c r="K934" s="11">
        <v>9.4907407407407408E-4</v>
      </c>
      <c r="L934" s="13"/>
    </row>
    <row r="935" spans="1:12" x14ac:dyDescent="0.25">
      <c r="A935" s="3" t="s">
        <v>3223</v>
      </c>
      <c r="B935" s="3" t="s">
        <v>4191</v>
      </c>
      <c r="C935" s="3" t="s">
        <v>781</v>
      </c>
      <c r="D935" s="9">
        <v>186.7</v>
      </c>
      <c r="E935" s="3" t="s">
        <v>3199</v>
      </c>
      <c r="F935" s="3" t="s">
        <v>3224</v>
      </c>
      <c r="G935" s="9">
        <v>188.33</v>
      </c>
      <c r="H935" s="10">
        <v>45660.909907407397</v>
      </c>
      <c r="I935" s="10">
        <v>45660.909907407397</v>
      </c>
      <c r="J935" s="10">
        <v>45660.910729166673</v>
      </c>
      <c r="K935" s="11">
        <v>8.2175925925925927E-4</v>
      </c>
      <c r="L935" s="13"/>
    </row>
    <row r="936" spans="1:12" x14ac:dyDescent="0.25">
      <c r="A936" s="3" t="s">
        <v>3223</v>
      </c>
      <c r="B936" s="3" t="s">
        <v>4192</v>
      </c>
      <c r="C936" s="3" t="s">
        <v>524</v>
      </c>
      <c r="D936" s="9">
        <v>115</v>
      </c>
      <c r="E936" s="3" t="s">
        <v>3206</v>
      </c>
      <c r="F936" s="3" t="s">
        <v>3224</v>
      </c>
      <c r="G936" s="9">
        <v>286.14</v>
      </c>
      <c r="H936" s="10">
        <v>45660.914722222216</v>
      </c>
      <c r="I936" s="10">
        <v>45660.914722222216</v>
      </c>
      <c r="J936" s="10">
        <v>45660.915590277778</v>
      </c>
      <c r="K936" s="11">
        <v>8.6805555555555551E-4</v>
      </c>
      <c r="L936" s="13"/>
    </row>
    <row r="937" spans="1:12" x14ac:dyDescent="0.25">
      <c r="A937" s="3" t="s">
        <v>3223</v>
      </c>
      <c r="B937" s="3" t="s">
        <v>4193</v>
      </c>
      <c r="C937" s="3" t="s">
        <v>684</v>
      </c>
      <c r="D937" s="9">
        <v>110.3</v>
      </c>
      <c r="E937" s="3" t="s">
        <v>3202</v>
      </c>
      <c r="F937" s="3" t="s">
        <v>3224</v>
      </c>
      <c r="G937" s="9">
        <v>231.94</v>
      </c>
      <c r="H937" s="10">
        <v>45660.938437500001</v>
      </c>
      <c r="I937" s="10">
        <v>45660.938437500001</v>
      </c>
      <c r="J937" s="10">
        <v>45660.93917824074</v>
      </c>
      <c r="K937" s="11">
        <v>7.407407407407407E-4</v>
      </c>
      <c r="L937" s="13"/>
    </row>
    <row r="938" spans="1:12" x14ac:dyDescent="0.25">
      <c r="A938" s="3" t="s">
        <v>3223</v>
      </c>
      <c r="B938" s="3" t="s">
        <v>4194</v>
      </c>
      <c r="C938" s="3" t="s">
        <v>704</v>
      </c>
      <c r="D938" s="9">
        <v>150</v>
      </c>
      <c r="E938" s="3" t="s">
        <v>3203</v>
      </c>
      <c r="F938" s="3" t="s">
        <v>3224</v>
      </c>
      <c r="G938" s="9">
        <v>223.61</v>
      </c>
      <c r="H938" s="10">
        <v>45660.946250000001</v>
      </c>
      <c r="I938" s="10">
        <v>45660.946250000001</v>
      </c>
      <c r="J938" s="10">
        <v>45660.947060185194</v>
      </c>
      <c r="K938" s="11">
        <v>8.1018518518518516E-4</v>
      </c>
      <c r="L938" s="13"/>
    </row>
    <row r="939" spans="1:12" x14ac:dyDescent="0.25">
      <c r="A939" s="3" t="s">
        <v>3223</v>
      </c>
      <c r="B939" s="3" t="s">
        <v>4195</v>
      </c>
      <c r="C939" s="3" t="s">
        <v>820</v>
      </c>
      <c r="D939" s="9">
        <v>220.4</v>
      </c>
      <c r="E939" s="3" t="s">
        <v>3203</v>
      </c>
      <c r="F939" s="3" t="s">
        <v>3224</v>
      </c>
      <c r="G939" s="9">
        <v>223.61</v>
      </c>
      <c r="H939" s="10">
        <v>45661.288495370369</v>
      </c>
      <c r="I939" s="10">
        <v>45661.288495370369</v>
      </c>
      <c r="J939" s="10">
        <v>45661.289467592593</v>
      </c>
      <c r="K939" s="11">
        <v>9.7222222222222219E-4</v>
      </c>
      <c r="L939" s="13"/>
    </row>
    <row r="940" spans="1:12" x14ac:dyDescent="0.25">
      <c r="A940" s="3" t="s">
        <v>3223</v>
      </c>
      <c r="B940" s="3" t="s">
        <v>4196</v>
      </c>
      <c r="C940" s="3" t="s">
        <v>823</v>
      </c>
      <c r="D940" s="9">
        <v>118.2</v>
      </c>
      <c r="E940" s="3" t="s">
        <v>3193</v>
      </c>
      <c r="F940" s="3" t="s">
        <v>3224</v>
      </c>
      <c r="G940" s="9">
        <v>205.9</v>
      </c>
      <c r="H940" s="10">
        <v>45662.774016203701</v>
      </c>
      <c r="I940" s="10">
        <v>45662.774016203701</v>
      </c>
      <c r="J940" s="10">
        <v>45662.774722222217</v>
      </c>
      <c r="K940" s="11">
        <v>7.0601851851851847E-4</v>
      </c>
      <c r="L940" s="13"/>
    </row>
    <row r="941" spans="1:12" x14ac:dyDescent="0.25">
      <c r="A941" s="3" t="s">
        <v>3223</v>
      </c>
      <c r="B941" s="3" t="s">
        <v>4197</v>
      </c>
      <c r="C941" s="3" t="s">
        <v>795</v>
      </c>
      <c r="D941" s="9">
        <v>397.3</v>
      </c>
      <c r="E941" s="3" t="s">
        <v>3197</v>
      </c>
      <c r="F941" s="3" t="s">
        <v>3224</v>
      </c>
      <c r="G941" s="9">
        <v>262.93</v>
      </c>
      <c r="H941" s="10">
        <v>45662.821030092593</v>
      </c>
      <c r="I941" s="10">
        <v>45662.821030092593</v>
      </c>
      <c r="J941" s="10">
        <v>45662.822500000002</v>
      </c>
      <c r="K941" s="11">
        <v>1.469907407407407E-3</v>
      </c>
      <c r="L941" s="13"/>
    </row>
    <row r="942" spans="1:12" x14ac:dyDescent="0.25">
      <c r="A942" s="3" t="s">
        <v>3223</v>
      </c>
      <c r="B942" s="3" t="s">
        <v>4198</v>
      </c>
      <c r="C942" s="3" t="s">
        <v>840</v>
      </c>
      <c r="D942" s="9">
        <v>101.2</v>
      </c>
      <c r="E942" s="3" t="s">
        <v>3197</v>
      </c>
      <c r="F942" s="3" t="s">
        <v>3224</v>
      </c>
      <c r="G942" s="9">
        <v>262.93</v>
      </c>
      <c r="H942" s="10">
        <v>45662.877557870372</v>
      </c>
      <c r="I942" s="10">
        <v>45662.877557870372</v>
      </c>
      <c r="J942" s="10">
        <v>45662.878333333327</v>
      </c>
      <c r="K942" s="11">
        <v>7.7546296296296293E-4</v>
      </c>
      <c r="L942" s="13"/>
    </row>
    <row r="943" spans="1:12" x14ac:dyDescent="0.25">
      <c r="A943" s="3" t="s">
        <v>3223</v>
      </c>
      <c r="B943" s="3" t="s">
        <v>4199</v>
      </c>
      <c r="C943" s="3" t="s">
        <v>835</v>
      </c>
      <c r="D943" s="9">
        <v>428.8</v>
      </c>
      <c r="E943" s="3" t="s">
        <v>3193</v>
      </c>
      <c r="F943" s="3" t="s">
        <v>3224</v>
      </c>
      <c r="G943" s="9">
        <v>205.9</v>
      </c>
      <c r="H943" s="10">
        <v>45662.930289351847</v>
      </c>
      <c r="I943" s="10">
        <v>45662.930289351847</v>
      </c>
      <c r="J943" s="10">
        <v>45662.931701388887</v>
      </c>
      <c r="K943" s="11">
        <v>1.4120370370370369E-3</v>
      </c>
      <c r="L943" s="13"/>
    </row>
    <row r="944" spans="1:12" x14ac:dyDescent="0.25">
      <c r="A944" s="3" t="s">
        <v>3223</v>
      </c>
      <c r="B944" s="3" t="s">
        <v>4200</v>
      </c>
      <c r="C944" s="3" t="s">
        <v>843</v>
      </c>
      <c r="D944" s="9">
        <v>241.4</v>
      </c>
      <c r="E944" s="3" t="s">
        <v>3193</v>
      </c>
      <c r="F944" s="3" t="s">
        <v>3224</v>
      </c>
      <c r="G944" s="9">
        <v>205.9</v>
      </c>
      <c r="H944" s="10">
        <v>45663.790138888893</v>
      </c>
      <c r="I944" s="10">
        <v>45663.790138888893</v>
      </c>
      <c r="J944" s="10">
        <v>45663.791122685187</v>
      </c>
      <c r="K944" s="11">
        <v>9.837962962962962E-4</v>
      </c>
      <c r="L944" s="13"/>
    </row>
    <row r="945" spans="1:12" x14ac:dyDescent="0.25">
      <c r="A945" s="3" t="s">
        <v>3223</v>
      </c>
      <c r="B945" s="3" t="s">
        <v>4201</v>
      </c>
      <c r="C945" s="3" t="s">
        <v>828</v>
      </c>
      <c r="D945" s="9">
        <v>137.6</v>
      </c>
      <c r="E945" s="3" t="s">
        <v>3203</v>
      </c>
      <c r="F945" s="3" t="s">
        <v>3224</v>
      </c>
      <c r="G945" s="9">
        <v>223.61</v>
      </c>
      <c r="H945" s="10">
        <v>45664.162824074083</v>
      </c>
      <c r="I945" s="10">
        <v>45664.162824074083</v>
      </c>
      <c r="J945" s="10">
        <v>45664.163611111107</v>
      </c>
      <c r="K945" s="11">
        <v>7.8703703703703705E-4</v>
      </c>
      <c r="L945" s="13"/>
    </row>
    <row r="946" spans="1:12" x14ac:dyDescent="0.25">
      <c r="A946" s="3" t="s">
        <v>3223</v>
      </c>
      <c r="B946" s="3" t="s">
        <v>4202</v>
      </c>
      <c r="C946" s="3" t="s">
        <v>707</v>
      </c>
      <c r="D946" s="9">
        <v>267.5</v>
      </c>
      <c r="E946" s="3" t="s">
        <v>3201</v>
      </c>
      <c r="F946" s="3" t="s">
        <v>3224</v>
      </c>
      <c r="G946" s="9">
        <v>259.31</v>
      </c>
      <c r="H946" s="10">
        <v>45664.184490740743</v>
      </c>
      <c r="I946" s="10">
        <v>45664.184490740743</v>
      </c>
      <c r="J946" s="10">
        <v>45664.185648148137</v>
      </c>
      <c r="K946" s="11">
        <v>1.1574074074074069E-3</v>
      </c>
      <c r="L946" s="13"/>
    </row>
    <row r="947" spans="1:12" x14ac:dyDescent="0.25">
      <c r="A947" s="3" t="s">
        <v>3223</v>
      </c>
      <c r="B947" s="3" t="s">
        <v>4203</v>
      </c>
      <c r="C947" s="3" t="s">
        <v>856</v>
      </c>
      <c r="D947" s="9">
        <v>297</v>
      </c>
      <c r="E947" s="3" t="s">
        <v>3203</v>
      </c>
      <c r="F947" s="3" t="s">
        <v>3224</v>
      </c>
      <c r="G947" s="9">
        <v>223.61</v>
      </c>
      <c r="H947" s="10">
        <v>45664.335995370369</v>
      </c>
      <c r="I947" s="10">
        <v>45664.335995370369</v>
      </c>
      <c r="J947" s="10">
        <v>45664.337141203701</v>
      </c>
      <c r="K947" s="11">
        <v>1.1458333333333329E-3</v>
      </c>
      <c r="L947" s="13"/>
    </row>
    <row r="948" spans="1:12" x14ac:dyDescent="0.25">
      <c r="A948" s="3" t="s">
        <v>3223</v>
      </c>
      <c r="B948" s="3" t="s">
        <v>4204</v>
      </c>
      <c r="C948" s="3" t="s">
        <v>798</v>
      </c>
      <c r="D948" s="9">
        <v>113.7</v>
      </c>
      <c r="E948" s="3" t="s">
        <v>3199</v>
      </c>
      <c r="F948" s="3" t="s">
        <v>3224</v>
      </c>
      <c r="G948" s="9">
        <v>188.33</v>
      </c>
      <c r="H948" s="10">
        <v>45664.360312500001</v>
      </c>
      <c r="I948" s="10">
        <v>45664.360312500001</v>
      </c>
      <c r="J948" s="10">
        <v>45664.360960648148</v>
      </c>
      <c r="K948" s="11">
        <v>6.4814814814814813E-4</v>
      </c>
      <c r="L948" s="13"/>
    </row>
    <row r="949" spans="1:12" x14ac:dyDescent="0.25">
      <c r="A949" s="3" t="s">
        <v>3223</v>
      </c>
      <c r="B949" s="3" t="s">
        <v>4205</v>
      </c>
      <c r="C949" s="3" t="s">
        <v>879</v>
      </c>
      <c r="D949" s="9">
        <v>189.9</v>
      </c>
      <c r="E949" s="3" t="s">
        <v>3206</v>
      </c>
      <c r="F949" s="3" t="s">
        <v>3224</v>
      </c>
      <c r="G949" s="9">
        <v>286.14</v>
      </c>
      <c r="H949" s="10">
        <v>45664.370787037027</v>
      </c>
      <c r="I949" s="10">
        <v>45664.370787037027</v>
      </c>
      <c r="J949" s="10">
        <v>45664.371817129628</v>
      </c>
      <c r="K949" s="11">
        <v>1.0300925925925931E-3</v>
      </c>
      <c r="L949" s="13"/>
    </row>
    <row r="950" spans="1:12" x14ac:dyDescent="0.25">
      <c r="A950" s="3" t="s">
        <v>3223</v>
      </c>
      <c r="B950" s="3" t="s">
        <v>4206</v>
      </c>
      <c r="C950" s="3" t="s">
        <v>876</v>
      </c>
      <c r="D950" s="9">
        <v>396.6</v>
      </c>
      <c r="E950" s="3" t="s">
        <v>3197</v>
      </c>
      <c r="F950" s="3" t="s">
        <v>3224</v>
      </c>
      <c r="G950" s="9">
        <v>262.93</v>
      </c>
      <c r="H950" s="10">
        <v>45664.390821759262</v>
      </c>
      <c r="I950" s="10">
        <v>45664.390821759262</v>
      </c>
      <c r="J950" s="10">
        <v>45664.392280092587</v>
      </c>
      <c r="K950" s="11">
        <v>1.458333333333333E-3</v>
      </c>
      <c r="L950" s="13"/>
    </row>
    <row r="951" spans="1:12" x14ac:dyDescent="0.25">
      <c r="A951" s="3" t="s">
        <v>3223</v>
      </c>
      <c r="B951" s="3" t="s">
        <v>4207</v>
      </c>
      <c r="C951" s="3" t="s">
        <v>803</v>
      </c>
      <c r="D951" s="9">
        <v>214.1</v>
      </c>
      <c r="E951" s="3" t="s">
        <v>3205</v>
      </c>
      <c r="F951" s="3" t="s">
        <v>3224</v>
      </c>
      <c r="G951" s="9">
        <v>262.93</v>
      </c>
      <c r="H951" s="10">
        <v>45664.404004629629</v>
      </c>
      <c r="I951" s="10">
        <v>45664.404004629629</v>
      </c>
      <c r="J951" s="10">
        <v>45664.405046296299</v>
      </c>
      <c r="K951" s="11">
        <v>1.0416666666666671E-3</v>
      </c>
      <c r="L951" s="13"/>
    </row>
    <row r="952" spans="1:12" x14ac:dyDescent="0.25">
      <c r="A952" s="3" t="s">
        <v>3223</v>
      </c>
      <c r="B952" s="3" t="s">
        <v>4208</v>
      </c>
      <c r="C952" s="3" t="s">
        <v>870</v>
      </c>
      <c r="D952" s="9">
        <v>281.39999999999998</v>
      </c>
      <c r="E952" s="3" t="s">
        <v>3203</v>
      </c>
      <c r="F952" s="3" t="s">
        <v>3224</v>
      </c>
      <c r="G952" s="9">
        <v>223.61</v>
      </c>
      <c r="H952" s="10">
        <v>45664.421377314808</v>
      </c>
      <c r="I952" s="10">
        <v>45664.421377314808</v>
      </c>
      <c r="J952" s="10">
        <v>45664.422488425917</v>
      </c>
      <c r="K952" s="11">
        <v>1.1111111111111109E-3</v>
      </c>
      <c r="L952" s="13"/>
    </row>
    <row r="953" spans="1:12" x14ac:dyDescent="0.25">
      <c r="A953" s="3" t="s">
        <v>3223</v>
      </c>
      <c r="B953" s="3" t="s">
        <v>4209</v>
      </c>
      <c r="C953" s="3" t="s">
        <v>733</v>
      </c>
      <c r="D953" s="9">
        <v>180.7</v>
      </c>
      <c r="E953" s="3" t="s">
        <v>3204</v>
      </c>
      <c r="F953" s="3" t="s">
        <v>3224</v>
      </c>
      <c r="G953" s="9">
        <v>240.31</v>
      </c>
      <c r="H953" s="10">
        <v>45664.437025462961</v>
      </c>
      <c r="I953" s="10">
        <v>45664.437025462961</v>
      </c>
      <c r="J953" s="10">
        <v>45664.437951388893</v>
      </c>
      <c r="K953" s="11">
        <v>9.2592592592592596E-4</v>
      </c>
      <c r="L953" s="13"/>
    </row>
    <row r="954" spans="1:12" x14ac:dyDescent="0.25">
      <c r="A954" s="3" t="s">
        <v>3223</v>
      </c>
      <c r="B954" s="3" t="s">
        <v>4210</v>
      </c>
      <c r="C954" s="3" t="s">
        <v>891</v>
      </c>
      <c r="D954" s="9">
        <v>292.89999999999998</v>
      </c>
      <c r="E954" s="3" t="s">
        <v>3203</v>
      </c>
      <c r="F954" s="3" t="s">
        <v>3224</v>
      </c>
      <c r="G954" s="9">
        <v>223.61</v>
      </c>
      <c r="H954" s="10">
        <v>45664.507025462961</v>
      </c>
      <c r="I954" s="10">
        <v>45664.507025462961</v>
      </c>
      <c r="J954" s="10">
        <v>45664.508171296293</v>
      </c>
      <c r="K954" s="11">
        <v>1.1458333333333329E-3</v>
      </c>
      <c r="L954" s="13"/>
    </row>
    <row r="955" spans="1:12" x14ac:dyDescent="0.25">
      <c r="A955" s="3" t="s">
        <v>3223</v>
      </c>
      <c r="B955" s="3" t="s">
        <v>4211</v>
      </c>
      <c r="C955" s="3" t="s">
        <v>911</v>
      </c>
      <c r="D955" s="9">
        <v>264.3</v>
      </c>
      <c r="E955" s="3" t="s">
        <v>3204</v>
      </c>
      <c r="F955" s="3" t="s">
        <v>3224</v>
      </c>
      <c r="G955" s="9">
        <v>240.31</v>
      </c>
      <c r="H955" s="10">
        <v>45664.601203703707</v>
      </c>
      <c r="I955" s="10">
        <v>45664.601203703707</v>
      </c>
      <c r="J955" s="10">
        <v>45664.602314814823</v>
      </c>
      <c r="K955" s="11">
        <v>1.1111111111111109E-3</v>
      </c>
      <c r="L955" s="13"/>
    </row>
    <row r="956" spans="1:12" x14ac:dyDescent="0.25">
      <c r="A956" s="3" t="s">
        <v>3223</v>
      </c>
      <c r="B956" s="3" t="s">
        <v>4212</v>
      </c>
      <c r="C956" s="3" t="s">
        <v>916</v>
      </c>
      <c r="D956" s="9">
        <v>398</v>
      </c>
      <c r="E956" s="3" t="s">
        <v>3203</v>
      </c>
      <c r="F956" s="3" t="s">
        <v>3224</v>
      </c>
      <c r="G956" s="9">
        <v>223.61</v>
      </c>
      <c r="H956" s="10">
        <v>45664.676724537043</v>
      </c>
      <c r="I956" s="10">
        <v>45664.676724537043</v>
      </c>
      <c r="J956" s="10">
        <v>45664.678113425929</v>
      </c>
      <c r="K956" s="11">
        <v>1.3888888888888889E-3</v>
      </c>
      <c r="L956" s="13"/>
    </row>
    <row r="957" spans="1:12" x14ac:dyDescent="0.25">
      <c r="A957" s="3" t="s">
        <v>3223</v>
      </c>
      <c r="B957" s="3" t="s">
        <v>4213</v>
      </c>
      <c r="C957" s="3" t="s">
        <v>901</v>
      </c>
      <c r="D957" s="9">
        <v>135</v>
      </c>
      <c r="E957" s="3" t="s">
        <v>3196</v>
      </c>
      <c r="F957" s="3" t="s">
        <v>3224</v>
      </c>
      <c r="G957" s="9">
        <v>182.11</v>
      </c>
      <c r="H957" s="10">
        <v>45664.682199074072</v>
      </c>
      <c r="I957" s="10">
        <v>45664.682199074072</v>
      </c>
      <c r="J957" s="10">
        <v>45664.682893518519</v>
      </c>
      <c r="K957" s="11">
        <v>6.9444444444444447E-4</v>
      </c>
      <c r="L957" s="13"/>
    </row>
    <row r="958" spans="1:12" x14ac:dyDescent="0.25">
      <c r="A958" s="3" t="s">
        <v>3223</v>
      </c>
      <c r="B958" s="3" t="s">
        <v>4214</v>
      </c>
      <c r="C958" s="3" t="s">
        <v>898</v>
      </c>
      <c r="D958" s="9">
        <v>101.9</v>
      </c>
      <c r="E958" s="3" t="s">
        <v>3205</v>
      </c>
      <c r="F958" s="3" t="s">
        <v>3224</v>
      </c>
      <c r="G958" s="9">
        <v>262.93</v>
      </c>
      <c r="H958" s="10">
        <v>45664.686226851853</v>
      </c>
      <c r="I958" s="10">
        <v>45664.686226851853</v>
      </c>
      <c r="J958" s="10">
        <v>45664.687013888892</v>
      </c>
      <c r="K958" s="11">
        <v>7.8703703703703705E-4</v>
      </c>
      <c r="L958" s="13"/>
    </row>
    <row r="959" spans="1:12" x14ac:dyDescent="0.25">
      <c r="A959" s="3" t="s">
        <v>3223</v>
      </c>
      <c r="B959" s="3" t="s">
        <v>4215</v>
      </c>
      <c r="C959" s="3" t="s">
        <v>867</v>
      </c>
      <c r="D959" s="9">
        <v>120</v>
      </c>
      <c r="E959" s="3" t="s">
        <v>3193</v>
      </c>
      <c r="F959" s="3" t="s">
        <v>3224</v>
      </c>
      <c r="G959" s="9">
        <v>205.9</v>
      </c>
      <c r="H959" s="10">
        <v>45664.704641203702</v>
      </c>
      <c r="I959" s="10">
        <v>45664.704641203702</v>
      </c>
      <c r="J959" s="10">
        <v>45664.705347222232</v>
      </c>
      <c r="K959" s="11">
        <v>7.0601851851851847E-4</v>
      </c>
      <c r="L959" s="13"/>
    </row>
    <row r="960" spans="1:12" x14ac:dyDescent="0.25">
      <c r="A960" s="3" t="s">
        <v>3223</v>
      </c>
      <c r="B960" s="3" t="s">
        <v>4216</v>
      </c>
      <c r="C960" s="3" t="s">
        <v>908</v>
      </c>
      <c r="D960" s="9">
        <v>100.5</v>
      </c>
      <c r="E960" s="3" t="s">
        <v>3199</v>
      </c>
      <c r="F960" s="3" t="s">
        <v>3224</v>
      </c>
      <c r="G960" s="9">
        <v>188.33</v>
      </c>
      <c r="H960" s="10">
        <v>45664.705405092587</v>
      </c>
      <c r="I960" s="10">
        <v>45664.705405092587</v>
      </c>
      <c r="J960" s="10">
        <v>45664.706030092602</v>
      </c>
      <c r="K960" s="11">
        <v>6.2500000000000001E-4</v>
      </c>
      <c r="L960" s="13"/>
    </row>
    <row r="961" spans="1:12" x14ac:dyDescent="0.25">
      <c r="A961" s="3" t="s">
        <v>3223</v>
      </c>
      <c r="B961" s="3" t="s">
        <v>4217</v>
      </c>
      <c r="C961" s="3" t="s">
        <v>943</v>
      </c>
      <c r="D961" s="9">
        <v>393.5</v>
      </c>
      <c r="E961" s="3" t="s">
        <v>3197</v>
      </c>
      <c r="F961" s="3" t="s">
        <v>3224</v>
      </c>
      <c r="G961" s="9">
        <v>262.93</v>
      </c>
      <c r="H961" s="10">
        <v>45664.752245370371</v>
      </c>
      <c r="I961" s="10">
        <v>45664.752245370371</v>
      </c>
      <c r="J961" s="10">
        <v>45664.753703703696</v>
      </c>
      <c r="K961" s="11">
        <v>1.458333333333333E-3</v>
      </c>
      <c r="L961" s="13"/>
    </row>
    <row r="962" spans="1:12" x14ac:dyDescent="0.25">
      <c r="A962" s="3" t="s">
        <v>3223</v>
      </c>
      <c r="B962" s="3" t="s">
        <v>4218</v>
      </c>
      <c r="C962" s="3" t="s">
        <v>961</v>
      </c>
      <c r="D962" s="9">
        <v>108</v>
      </c>
      <c r="E962" s="3" t="s">
        <v>3193</v>
      </c>
      <c r="F962" s="3" t="s">
        <v>3224</v>
      </c>
      <c r="G962" s="9">
        <v>205.9</v>
      </c>
      <c r="H962" s="10">
        <v>45664.77516203704</v>
      </c>
      <c r="I962" s="10">
        <v>45664.77516203704</v>
      </c>
      <c r="J962" s="10">
        <v>45664.775833333333</v>
      </c>
      <c r="K962" s="11">
        <v>6.7129629629629625E-4</v>
      </c>
      <c r="L962" s="13"/>
    </row>
    <row r="963" spans="1:12" x14ac:dyDescent="0.25">
      <c r="A963" s="3" t="s">
        <v>3223</v>
      </c>
      <c r="B963" s="3" t="s">
        <v>4219</v>
      </c>
      <c r="C963" s="3" t="s">
        <v>792</v>
      </c>
      <c r="D963" s="9">
        <v>139.30000000000001</v>
      </c>
      <c r="E963" s="3" t="s">
        <v>3195</v>
      </c>
      <c r="F963" s="3" t="s">
        <v>3224</v>
      </c>
      <c r="G963" s="9">
        <v>286.14</v>
      </c>
      <c r="H963" s="10">
        <v>45664.779861111107</v>
      </c>
      <c r="I963" s="10">
        <v>45664.779861111107</v>
      </c>
      <c r="J963" s="10">
        <v>45664.780775462961</v>
      </c>
      <c r="K963" s="11">
        <v>9.1435185185185185E-4</v>
      </c>
      <c r="L963" s="13"/>
    </row>
    <row r="964" spans="1:12" x14ac:dyDescent="0.25">
      <c r="A964" s="3" t="s">
        <v>3223</v>
      </c>
      <c r="B964" s="3" t="s">
        <v>4220</v>
      </c>
      <c r="C964" s="3" t="s">
        <v>946</v>
      </c>
      <c r="D964" s="9">
        <v>305.8</v>
      </c>
      <c r="E964" s="3" t="s">
        <v>3206</v>
      </c>
      <c r="F964" s="3" t="s">
        <v>3224</v>
      </c>
      <c r="G964" s="9">
        <v>286.14</v>
      </c>
      <c r="H964" s="10">
        <v>45664.828796296293</v>
      </c>
      <c r="I964" s="10">
        <v>45664.828796296293</v>
      </c>
      <c r="J964" s="10">
        <v>45664.830104166656</v>
      </c>
      <c r="K964" s="11">
        <v>1.30787037037037E-3</v>
      </c>
      <c r="L964" s="13"/>
    </row>
    <row r="965" spans="1:12" x14ac:dyDescent="0.25">
      <c r="A965" s="3" t="s">
        <v>3223</v>
      </c>
      <c r="B965" s="3" t="s">
        <v>4221</v>
      </c>
      <c r="C965" s="3" t="s">
        <v>981</v>
      </c>
      <c r="D965" s="9">
        <v>389.1</v>
      </c>
      <c r="E965" s="3" t="s">
        <v>3193</v>
      </c>
      <c r="F965" s="3" t="s">
        <v>3224</v>
      </c>
      <c r="G965" s="9">
        <v>205.9</v>
      </c>
      <c r="H965" s="10">
        <v>45664.957384259258</v>
      </c>
      <c r="I965" s="10">
        <v>45664.957384259258</v>
      </c>
      <c r="J965" s="10">
        <v>45664.958703703713</v>
      </c>
      <c r="K965" s="11">
        <v>1.3194444444444441E-3</v>
      </c>
      <c r="L965" s="13"/>
    </row>
    <row r="966" spans="1:12" x14ac:dyDescent="0.25">
      <c r="A966" s="3" t="s">
        <v>3223</v>
      </c>
      <c r="B966" s="3" t="s">
        <v>4222</v>
      </c>
      <c r="C966" s="3" t="s">
        <v>966</v>
      </c>
      <c r="D966" s="9">
        <v>102.9</v>
      </c>
      <c r="E966" s="3" t="s">
        <v>3199</v>
      </c>
      <c r="F966" s="3" t="s">
        <v>3224</v>
      </c>
      <c r="G966" s="9">
        <v>188.33</v>
      </c>
      <c r="H966" s="10">
        <v>45665.153622685182</v>
      </c>
      <c r="I966" s="10">
        <v>45665.153622685182</v>
      </c>
      <c r="J966" s="10">
        <v>45665.154247685183</v>
      </c>
      <c r="K966" s="11">
        <v>6.2500000000000001E-4</v>
      </c>
      <c r="L966" s="13"/>
    </row>
    <row r="967" spans="1:12" x14ac:dyDescent="0.25">
      <c r="A967" s="3" t="s">
        <v>3223</v>
      </c>
      <c r="B967" s="3" t="s">
        <v>4223</v>
      </c>
      <c r="C967" s="3" t="s">
        <v>919</v>
      </c>
      <c r="D967" s="9">
        <v>114.3</v>
      </c>
      <c r="E967" s="3" t="s">
        <v>3204</v>
      </c>
      <c r="F967" s="3" t="s">
        <v>3224</v>
      </c>
      <c r="G967" s="9">
        <v>240.31</v>
      </c>
      <c r="H967" s="10">
        <v>45665.158692129633</v>
      </c>
      <c r="I967" s="10">
        <v>45665.158692129633</v>
      </c>
      <c r="J967" s="10">
        <v>45665.159467592603</v>
      </c>
      <c r="K967" s="11">
        <v>7.7546296296296293E-4</v>
      </c>
      <c r="L967" s="13"/>
    </row>
    <row r="968" spans="1:12" x14ac:dyDescent="0.25">
      <c r="A968" s="3" t="s">
        <v>3223</v>
      </c>
      <c r="B968" s="3" t="s">
        <v>4224</v>
      </c>
      <c r="C968" s="3" t="s">
        <v>990</v>
      </c>
      <c r="D968" s="9">
        <v>166.9</v>
      </c>
      <c r="E968" s="3" t="s">
        <v>3193</v>
      </c>
      <c r="F968" s="3" t="s">
        <v>3224</v>
      </c>
      <c r="G968" s="9">
        <v>205.9</v>
      </c>
      <c r="H968" s="10">
        <v>45665.171122685177</v>
      </c>
      <c r="I968" s="10">
        <v>45665.171122685177</v>
      </c>
      <c r="J968" s="10">
        <v>45665.171932870369</v>
      </c>
      <c r="K968" s="11">
        <v>8.1018518518518516E-4</v>
      </c>
      <c r="L968" s="13"/>
    </row>
    <row r="969" spans="1:12" x14ac:dyDescent="0.25">
      <c r="A969" s="3" t="s">
        <v>3223</v>
      </c>
      <c r="B969" s="3" t="s">
        <v>4225</v>
      </c>
      <c r="C969" s="3" t="s">
        <v>873</v>
      </c>
      <c r="D969" s="9">
        <v>141.69999999999999</v>
      </c>
      <c r="E969" s="3" t="s">
        <v>3201</v>
      </c>
      <c r="F969" s="3" t="s">
        <v>3224</v>
      </c>
      <c r="G969" s="9">
        <v>259.31</v>
      </c>
      <c r="H969" s="10">
        <v>45665.179907407408</v>
      </c>
      <c r="I969" s="10">
        <v>45665.179907407408</v>
      </c>
      <c r="J969" s="10">
        <v>45665.180775462963</v>
      </c>
      <c r="K969" s="11">
        <v>8.6805555555555551E-4</v>
      </c>
      <c r="L969" s="13"/>
    </row>
    <row r="970" spans="1:12" x14ac:dyDescent="0.25">
      <c r="A970" s="3" t="s">
        <v>3223</v>
      </c>
      <c r="B970" s="3" t="s">
        <v>4226</v>
      </c>
      <c r="C970" s="3" t="s">
        <v>886</v>
      </c>
      <c r="D970" s="9">
        <v>592.70000000000005</v>
      </c>
      <c r="E970" s="3" t="s">
        <v>3202</v>
      </c>
      <c r="F970" s="3" t="s">
        <v>3224</v>
      </c>
      <c r="G970" s="9">
        <v>231.94</v>
      </c>
      <c r="H970" s="10">
        <v>45665.277638888889</v>
      </c>
      <c r="I970" s="10">
        <v>45665.277638888889</v>
      </c>
      <c r="J970" s="10">
        <v>45665.279490740737</v>
      </c>
      <c r="K970" s="11">
        <v>1.8518518518518519E-3</v>
      </c>
      <c r="L970" s="13"/>
    </row>
    <row r="971" spans="1:12" x14ac:dyDescent="0.25">
      <c r="A971" s="3" t="s">
        <v>3223</v>
      </c>
      <c r="B971" s="3" t="s">
        <v>4227</v>
      </c>
      <c r="C971" s="3" t="s">
        <v>995</v>
      </c>
      <c r="D971" s="9">
        <v>297</v>
      </c>
      <c r="E971" s="3" t="s">
        <v>3193</v>
      </c>
      <c r="F971" s="3" t="s">
        <v>3224</v>
      </c>
      <c r="G971" s="9">
        <v>205.9</v>
      </c>
      <c r="H971" s="10">
        <v>45665.315451388888</v>
      </c>
      <c r="I971" s="10">
        <v>45665.315451388888</v>
      </c>
      <c r="J971" s="10">
        <v>45665.316574074073</v>
      </c>
      <c r="K971" s="11">
        <v>1.1226851851851849E-3</v>
      </c>
      <c r="L971" s="13"/>
    </row>
    <row r="972" spans="1:12" x14ac:dyDescent="0.25">
      <c r="A972" s="3" t="s">
        <v>3223</v>
      </c>
      <c r="B972" s="3" t="s">
        <v>4228</v>
      </c>
      <c r="C972" s="3" t="s">
        <v>1041</v>
      </c>
      <c r="D972" s="9">
        <v>156.69999999999999</v>
      </c>
      <c r="E972" s="3" t="s">
        <v>3202</v>
      </c>
      <c r="F972" s="3" t="s">
        <v>3224</v>
      </c>
      <c r="G972" s="9">
        <v>231.94</v>
      </c>
      <c r="H972" s="10">
        <v>45665.344340277778</v>
      </c>
      <c r="I972" s="10">
        <v>45665.344340277778</v>
      </c>
      <c r="J972" s="10">
        <v>45665.345196759263</v>
      </c>
      <c r="K972" s="11">
        <v>8.564814814814815E-4</v>
      </c>
      <c r="L972" s="13"/>
    </row>
    <row r="973" spans="1:12" x14ac:dyDescent="0.25">
      <c r="A973" s="3" t="s">
        <v>3223</v>
      </c>
      <c r="B973" s="3" t="s">
        <v>4229</v>
      </c>
      <c r="C973" s="3" t="s">
        <v>1023</v>
      </c>
      <c r="D973" s="9">
        <v>108</v>
      </c>
      <c r="E973" s="3" t="s">
        <v>3197</v>
      </c>
      <c r="F973" s="3" t="s">
        <v>3224</v>
      </c>
      <c r="G973" s="9">
        <v>262.93</v>
      </c>
      <c r="H973" s="10">
        <v>45665.367349537039</v>
      </c>
      <c r="I973" s="10">
        <v>45665.367349537039</v>
      </c>
      <c r="J973" s="10">
        <v>45665.368136574078</v>
      </c>
      <c r="K973" s="11">
        <v>7.8703703703703705E-4</v>
      </c>
      <c r="L973" s="13"/>
    </row>
    <row r="974" spans="1:12" x14ac:dyDescent="0.25">
      <c r="A974" s="3" t="s">
        <v>3223</v>
      </c>
      <c r="B974" s="3" t="s">
        <v>4230</v>
      </c>
      <c r="C974" s="3" t="s">
        <v>924</v>
      </c>
      <c r="D974" s="9">
        <v>130.1</v>
      </c>
      <c r="E974" s="3" t="s">
        <v>3203</v>
      </c>
      <c r="F974" s="3" t="s">
        <v>3224</v>
      </c>
      <c r="G974" s="9">
        <v>223.61</v>
      </c>
      <c r="H974" s="10">
        <v>45665.36886574074</v>
      </c>
      <c r="I974" s="10">
        <v>45665.36886574074</v>
      </c>
      <c r="J974" s="10">
        <v>45665.369629629633</v>
      </c>
      <c r="K974" s="11">
        <v>7.6388888888888893E-4</v>
      </c>
      <c r="L974" s="13"/>
    </row>
    <row r="975" spans="1:12" x14ac:dyDescent="0.25">
      <c r="A975" s="3" t="s">
        <v>3223</v>
      </c>
      <c r="B975" s="3" t="s">
        <v>4231</v>
      </c>
      <c r="C975" s="3" t="s">
        <v>1002</v>
      </c>
      <c r="D975" s="9">
        <v>124.4</v>
      </c>
      <c r="E975" s="3" t="s">
        <v>3199</v>
      </c>
      <c r="F975" s="3" t="s">
        <v>3224</v>
      </c>
      <c r="G975" s="9">
        <v>188.33</v>
      </c>
      <c r="H975" s="10">
        <v>45665.387407407397</v>
      </c>
      <c r="I975" s="10">
        <v>45665.387407407397</v>
      </c>
      <c r="J975" s="10">
        <v>45665.388090277767</v>
      </c>
      <c r="K975" s="11">
        <v>6.8287037037037036E-4</v>
      </c>
      <c r="L975" s="13"/>
    </row>
    <row r="976" spans="1:12" x14ac:dyDescent="0.25">
      <c r="A976" s="3" t="s">
        <v>3223</v>
      </c>
      <c r="B976" s="3" t="s">
        <v>4232</v>
      </c>
      <c r="C976" s="3" t="s">
        <v>1028</v>
      </c>
      <c r="D976" s="9">
        <v>114.8</v>
      </c>
      <c r="E976" s="3" t="s">
        <v>3203</v>
      </c>
      <c r="F976" s="3" t="s">
        <v>3224</v>
      </c>
      <c r="G976" s="9">
        <v>223.61</v>
      </c>
      <c r="H976" s="10">
        <v>45665.409039351849</v>
      </c>
      <c r="I976" s="10">
        <v>45665.409039351849</v>
      </c>
      <c r="J976" s="10">
        <v>45665.409768518519</v>
      </c>
      <c r="K976" s="11">
        <v>7.291666666666667E-4</v>
      </c>
      <c r="L976" s="13"/>
    </row>
    <row r="977" spans="1:12" x14ac:dyDescent="0.25">
      <c r="A977" s="3" t="s">
        <v>3223</v>
      </c>
      <c r="B977" s="3" t="s">
        <v>4233</v>
      </c>
      <c r="C977" s="3" t="s">
        <v>1048</v>
      </c>
      <c r="D977" s="9">
        <v>120.4</v>
      </c>
      <c r="E977" s="3" t="s">
        <v>3197</v>
      </c>
      <c r="F977" s="3" t="s">
        <v>3224</v>
      </c>
      <c r="G977" s="9">
        <v>262.93</v>
      </c>
      <c r="H977" s="10">
        <v>45665.411423611113</v>
      </c>
      <c r="I977" s="10">
        <v>45665.411423611113</v>
      </c>
      <c r="J977" s="10">
        <v>45665.412256944437</v>
      </c>
      <c r="K977" s="11">
        <v>8.3333333333333339E-4</v>
      </c>
      <c r="L977" s="13"/>
    </row>
    <row r="978" spans="1:12" x14ac:dyDescent="0.25">
      <c r="A978" s="3" t="s">
        <v>3223</v>
      </c>
      <c r="B978" s="3" t="s">
        <v>4234</v>
      </c>
      <c r="C978" s="3" t="s">
        <v>1015</v>
      </c>
      <c r="D978" s="9">
        <v>401.8</v>
      </c>
      <c r="E978" s="3" t="s">
        <v>3193</v>
      </c>
      <c r="F978" s="3" t="s">
        <v>3224</v>
      </c>
      <c r="G978" s="9">
        <v>205.9</v>
      </c>
      <c r="H978" s="10">
        <v>45665.438842592594</v>
      </c>
      <c r="I978" s="10">
        <v>45665.438842592594</v>
      </c>
      <c r="J978" s="10">
        <v>45665.440208333333</v>
      </c>
      <c r="K978" s="11">
        <v>1.3657407407407409E-3</v>
      </c>
      <c r="L978" s="13"/>
    </row>
    <row r="979" spans="1:12" x14ac:dyDescent="0.25">
      <c r="A979" s="3" t="s">
        <v>3223</v>
      </c>
      <c r="B979" s="3" t="s">
        <v>4235</v>
      </c>
      <c r="C979" s="3" t="s">
        <v>1051</v>
      </c>
      <c r="D979" s="9">
        <v>124.9</v>
      </c>
      <c r="E979" s="3" t="s">
        <v>3203</v>
      </c>
      <c r="F979" s="3" t="s">
        <v>3224</v>
      </c>
      <c r="G979" s="9">
        <v>223.61</v>
      </c>
      <c r="H979" s="10">
        <v>45665.464201388888</v>
      </c>
      <c r="I979" s="10">
        <v>45665.464201388888</v>
      </c>
      <c r="J979" s="10">
        <v>45665.464953703697</v>
      </c>
      <c r="K979" s="11">
        <v>7.5231481481481482E-4</v>
      </c>
      <c r="L979" s="13"/>
    </row>
    <row r="980" spans="1:12" x14ac:dyDescent="0.25">
      <c r="A980" s="3" t="s">
        <v>3223</v>
      </c>
      <c r="B980" s="3" t="s">
        <v>4236</v>
      </c>
      <c r="C980" s="3" t="s">
        <v>1057</v>
      </c>
      <c r="D980" s="9">
        <v>297.3</v>
      </c>
      <c r="E980" s="3" t="s">
        <v>3193</v>
      </c>
      <c r="F980" s="3" t="s">
        <v>3224</v>
      </c>
      <c r="G980" s="9">
        <v>205.9</v>
      </c>
      <c r="H980" s="10">
        <v>45665.49790509259</v>
      </c>
      <c r="I980" s="10">
        <v>45665.49790509259</v>
      </c>
      <c r="J980" s="10">
        <v>45665.499016203707</v>
      </c>
      <c r="K980" s="11">
        <v>1.1111111111111109E-3</v>
      </c>
      <c r="L980" s="13"/>
    </row>
    <row r="981" spans="1:12" x14ac:dyDescent="0.25">
      <c r="A981" s="3" t="s">
        <v>3223</v>
      </c>
      <c r="B981" s="3" t="s">
        <v>4237</v>
      </c>
      <c r="C981" s="3" t="s">
        <v>1060</v>
      </c>
      <c r="D981" s="9">
        <v>296.8</v>
      </c>
      <c r="E981" s="3" t="s">
        <v>3203</v>
      </c>
      <c r="F981" s="3" t="s">
        <v>3224</v>
      </c>
      <c r="G981" s="9">
        <v>223.61</v>
      </c>
      <c r="H981" s="10">
        <v>45665.597071759257</v>
      </c>
      <c r="I981" s="10">
        <v>45665.597071759257</v>
      </c>
      <c r="J981" s="10">
        <v>45665.598229166673</v>
      </c>
      <c r="K981" s="11">
        <v>1.1574074074074069E-3</v>
      </c>
      <c r="L981" s="13"/>
    </row>
    <row r="982" spans="1:12" x14ac:dyDescent="0.25">
      <c r="A982" s="3" t="s">
        <v>3223</v>
      </c>
      <c r="B982" s="3" t="s">
        <v>4238</v>
      </c>
      <c r="C982" s="3" t="s">
        <v>757</v>
      </c>
      <c r="D982" s="9">
        <v>139.30000000000001</v>
      </c>
      <c r="E982" s="3" t="s">
        <v>3194</v>
      </c>
      <c r="F982" s="3" t="s">
        <v>3224</v>
      </c>
      <c r="G982" s="9">
        <v>259.31</v>
      </c>
      <c r="H982" s="10">
        <v>45665.672546296293</v>
      </c>
      <c r="I982" s="10">
        <v>45665.672546296293</v>
      </c>
      <c r="J982" s="10">
        <v>45665.673414351862</v>
      </c>
      <c r="K982" s="11">
        <v>8.6805555555555551E-4</v>
      </c>
      <c r="L982" s="13"/>
    </row>
    <row r="983" spans="1:12" x14ac:dyDescent="0.25">
      <c r="A983" s="3" t="s">
        <v>3223</v>
      </c>
      <c r="B983" s="3" t="s">
        <v>4239</v>
      </c>
      <c r="C983" s="3" t="s">
        <v>1063</v>
      </c>
      <c r="D983" s="9">
        <v>365.8</v>
      </c>
      <c r="E983" s="3" t="s">
        <v>3203</v>
      </c>
      <c r="F983" s="3" t="s">
        <v>3224</v>
      </c>
      <c r="G983" s="9">
        <v>223.61</v>
      </c>
      <c r="H983" s="10">
        <v>45665.679340277777</v>
      </c>
      <c r="I983" s="10">
        <v>45665.679340277777</v>
      </c>
      <c r="J983" s="10">
        <v>45665.680648148147</v>
      </c>
      <c r="K983" s="11">
        <v>1.30787037037037E-3</v>
      </c>
      <c r="L983" s="13"/>
    </row>
    <row r="984" spans="1:12" x14ac:dyDescent="0.25">
      <c r="A984" s="3" t="s">
        <v>3223</v>
      </c>
      <c r="B984" s="3" t="s">
        <v>4240</v>
      </c>
      <c r="C984" s="3" t="s">
        <v>1092</v>
      </c>
      <c r="D984" s="9">
        <v>362</v>
      </c>
      <c r="E984" s="3" t="s">
        <v>3205</v>
      </c>
      <c r="F984" s="3" t="s">
        <v>3224</v>
      </c>
      <c r="G984" s="9">
        <v>262.93</v>
      </c>
      <c r="H984" s="10">
        <v>45665.73170138889</v>
      </c>
      <c r="I984" s="10">
        <v>45665.73170138889</v>
      </c>
      <c r="J984" s="10">
        <v>45665.733090277783</v>
      </c>
      <c r="K984" s="11">
        <v>1.3888888888888889E-3</v>
      </c>
      <c r="L984" s="13"/>
    </row>
    <row r="985" spans="1:12" x14ac:dyDescent="0.25">
      <c r="A985" s="3" t="s">
        <v>3223</v>
      </c>
      <c r="B985" s="3" t="s">
        <v>4241</v>
      </c>
      <c r="C985" s="3" t="s">
        <v>1078</v>
      </c>
      <c r="D985" s="9">
        <v>209.2</v>
      </c>
      <c r="E985" s="3" t="s">
        <v>3203</v>
      </c>
      <c r="F985" s="3" t="s">
        <v>3224</v>
      </c>
      <c r="G985" s="9">
        <v>223.61</v>
      </c>
      <c r="H985" s="10">
        <v>45665.771319444437</v>
      </c>
      <c r="I985" s="10">
        <v>45665.771319444437</v>
      </c>
      <c r="J985" s="10">
        <v>45665.772268518522</v>
      </c>
      <c r="K985" s="11">
        <v>9.4907407407407408E-4</v>
      </c>
      <c r="L985" s="13"/>
    </row>
    <row r="986" spans="1:12" x14ac:dyDescent="0.25">
      <c r="A986" s="3" t="s">
        <v>3223</v>
      </c>
      <c r="B986" s="3" t="s">
        <v>4242</v>
      </c>
      <c r="C986" s="3" t="s">
        <v>1097</v>
      </c>
      <c r="D986" s="9">
        <v>115.2</v>
      </c>
      <c r="E986" s="3" t="s">
        <v>3205</v>
      </c>
      <c r="F986" s="3" t="s">
        <v>3224</v>
      </c>
      <c r="G986" s="9">
        <v>262.93</v>
      </c>
      <c r="H986" s="10">
        <v>45665.877141203702</v>
      </c>
      <c r="I986" s="10">
        <v>45665.877141203702</v>
      </c>
      <c r="J986" s="10">
        <v>45665.877962962957</v>
      </c>
      <c r="K986" s="11">
        <v>8.2175925925925927E-4</v>
      </c>
      <c r="L986" s="13"/>
    </row>
    <row r="987" spans="1:12" x14ac:dyDescent="0.25">
      <c r="A987" s="3" t="s">
        <v>3223</v>
      </c>
      <c r="B987" s="3" t="s">
        <v>4243</v>
      </c>
      <c r="C987" s="3" t="s">
        <v>1070</v>
      </c>
      <c r="D987" s="9">
        <v>110</v>
      </c>
      <c r="E987" s="3" t="s">
        <v>3193</v>
      </c>
      <c r="F987" s="3" t="s">
        <v>3224</v>
      </c>
      <c r="G987" s="9">
        <v>205.9</v>
      </c>
      <c r="H987" s="10">
        <v>45666.149733796286</v>
      </c>
      <c r="I987" s="10">
        <v>45666.149733796286</v>
      </c>
      <c r="J987" s="10">
        <v>45666.150416666656</v>
      </c>
      <c r="K987" s="11">
        <v>6.8287037037037036E-4</v>
      </c>
      <c r="L987" s="13"/>
    </row>
    <row r="988" spans="1:12" x14ac:dyDescent="0.25">
      <c r="A988" s="3" t="s">
        <v>3223</v>
      </c>
      <c r="B988" s="3" t="s">
        <v>4244</v>
      </c>
      <c r="C988" s="3" t="s">
        <v>1009</v>
      </c>
      <c r="D988" s="9">
        <v>197</v>
      </c>
      <c r="E988" s="3" t="s">
        <v>3204</v>
      </c>
      <c r="F988" s="3" t="s">
        <v>3224</v>
      </c>
      <c r="G988" s="9">
        <v>240.31</v>
      </c>
      <c r="H988" s="10">
        <v>45666.168877314813</v>
      </c>
      <c r="I988" s="10">
        <v>45666.168877314813</v>
      </c>
      <c r="J988" s="10">
        <v>45666.16983796296</v>
      </c>
      <c r="K988" s="11">
        <v>9.6064814814814819E-4</v>
      </c>
      <c r="L988" s="13"/>
    </row>
    <row r="989" spans="1:12" x14ac:dyDescent="0.25">
      <c r="A989" s="3" t="s">
        <v>3223</v>
      </c>
      <c r="B989" s="3" t="s">
        <v>4245</v>
      </c>
      <c r="C989" s="3" t="s">
        <v>1108</v>
      </c>
      <c r="D989" s="9">
        <v>141.69999999999999</v>
      </c>
      <c r="E989" s="3" t="s">
        <v>3203</v>
      </c>
      <c r="F989" s="3" t="s">
        <v>3224</v>
      </c>
      <c r="G989" s="9">
        <v>223.61</v>
      </c>
      <c r="H989" s="10">
        <v>45666.302060185182</v>
      </c>
      <c r="I989" s="10">
        <v>45666.302060185182</v>
      </c>
      <c r="J989" s="10">
        <v>45666.302847222221</v>
      </c>
      <c r="K989" s="11">
        <v>7.8703703703703705E-4</v>
      </c>
      <c r="L989" s="13"/>
    </row>
    <row r="990" spans="1:12" x14ac:dyDescent="0.25">
      <c r="A990" s="3" t="s">
        <v>3223</v>
      </c>
      <c r="B990" s="3" t="s">
        <v>4246</v>
      </c>
      <c r="C990" s="3" t="s">
        <v>1073</v>
      </c>
      <c r="D990" s="9">
        <v>175.8</v>
      </c>
      <c r="E990" s="3" t="s">
        <v>3197</v>
      </c>
      <c r="F990" s="3" t="s">
        <v>3224</v>
      </c>
      <c r="G990" s="9">
        <v>262.93</v>
      </c>
      <c r="H990" s="10">
        <v>45666.311203703714</v>
      </c>
      <c r="I990" s="10">
        <v>45666.311203703714</v>
      </c>
      <c r="J990" s="10">
        <v>45666.312164351853</v>
      </c>
      <c r="K990" s="11">
        <v>9.6064814814814819E-4</v>
      </c>
      <c r="L990" s="13"/>
    </row>
    <row r="991" spans="1:12" x14ac:dyDescent="0.25">
      <c r="A991" s="3" t="s">
        <v>3223</v>
      </c>
      <c r="B991" s="3" t="s">
        <v>4247</v>
      </c>
      <c r="C991" s="3" t="s">
        <v>1149</v>
      </c>
      <c r="D991" s="9">
        <v>185.9</v>
      </c>
      <c r="E991" s="3" t="s">
        <v>3196</v>
      </c>
      <c r="F991" s="3" t="s">
        <v>3224</v>
      </c>
      <c r="G991" s="9">
        <v>182.11</v>
      </c>
      <c r="H991" s="10">
        <v>45666.326041666667</v>
      </c>
      <c r="I991" s="10">
        <v>45666.326041666667</v>
      </c>
      <c r="J991" s="10">
        <v>45666.326851851853</v>
      </c>
      <c r="K991" s="11">
        <v>8.1018518518518516E-4</v>
      </c>
      <c r="L991" s="13"/>
    </row>
    <row r="992" spans="1:12" x14ac:dyDescent="0.25">
      <c r="A992" s="3" t="s">
        <v>3223</v>
      </c>
      <c r="B992" s="3" t="s">
        <v>4248</v>
      </c>
      <c r="C992" s="3" t="s">
        <v>1012</v>
      </c>
      <c r="D992" s="9">
        <v>119.4</v>
      </c>
      <c r="E992" s="3" t="s">
        <v>3195</v>
      </c>
      <c r="F992" s="3" t="s">
        <v>3224</v>
      </c>
      <c r="G992" s="9">
        <v>286.14</v>
      </c>
      <c r="H992" s="10">
        <v>45666.353032407409</v>
      </c>
      <c r="I992" s="10">
        <v>45666.353032407409</v>
      </c>
      <c r="J992" s="10">
        <v>45666.353900462957</v>
      </c>
      <c r="K992" s="11">
        <v>8.6805555555555551E-4</v>
      </c>
      <c r="L992" s="13"/>
    </row>
    <row r="993" spans="1:12" x14ac:dyDescent="0.25">
      <c r="A993" s="3" t="s">
        <v>3223</v>
      </c>
      <c r="B993" s="3" t="s">
        <v>4249</v>
      </c>
      <c r="C993" s="3" t="s">
        <v>1085</v>
      </c>
      <c r="D993" s="9">
        <v>133.4</v>
      </c>
      <c r="E993" s="3" t="s">
        <v>3202</v>
      </c>
      <c r="F993" s="3" t="s">
        <v>3224</v>
      </c>
      <c r="G993" s="9">
        <v>231.94</v>
      </c>
      <c r="H993" s="10">
        <v>45666.355150462958</v>
      </c>
      <c r="I993" s="10">
        <v>45666.355150462958</v>
      </c>
      <c r="J993" s="10">
        <v>45666.355937499997</v>
      </c>
      <c r="K993" s="11">
        <v>7.8703703703703705E-4</v>
      </c>
      <c r="L993" s="13"/>
    </row>
    <row r="994" spans="1:12" x14ac:dyDescent="0.25">
      <c r="A994" s="3" t="s">
        <v>3223</v>
      </c>
      <c r="B994" s="3" t="s">
        <v>4250</v>
      </c>
      <c r="C994" s="3" t="s">
        <v>596</v>
      </c>
      <c r="D994" s="9">
        <v>409</v>
      </c>
      <c r="E994" s="3" t="s">
        <v>3198</v>
      </c>
      <c r="F994" s="3" t="s">
        <v>3224</v>
      </c>
      <c r="G994" s="9">
        <v>259.16000000000003</v>
      </c>
      <c r="H994" s="10">
        <v>45666.39607638889</v>
      </c>
      <c r="I994" s="10">
        <v>45666.39607638889</v>
      </c>
      <c r="J994" s="10">
        <v>45666.397569444453</v>
      </c>
      <c r="K994" s="11">
        <v>1.4930555555555561E-3</v>
      </c>
      <c r="L994" s="13"/>
    </row>
    <row r="995" spans="1:12" x14ac:dyDescent="0.25">
      <c r="A995" s="3" t="s">
        <v>3223</v>
      </c>
      <c r="B995" s="3" t="s">
        <v>4251</v>
      </c>
      <c r="C995" s="3" t="s">
        <v>1173</v>
      </c>
      <c r="D995" s="9">
        <v>118.2</v>
      </c>
      <c r="E995" s="3" t="s">
        <v>3195</v>
      </c>
      <c r="F995" s="3" t="s">
        <v>3224</v>
      </c>
      <c r="G995" s="9">
        <v>286.14</v>
      </c>
      <c r="H995" s="10">
        <v>45666.405358796299</v>
      </c>
      <c r="I995" s="10">
        <v>45666.405358796299</v>
      </c>
      <c r="J995" s="10">
        <v>45666.406226851846</v>
      </c>
      <c r="K995" s="11">
        <v>8.6805555555555551E-4</v>
      </c>
      <c r="L995" s="13"/>
    </row>
    <row r="996" spans="1:12" x14ac:dyDescent="0.25">
      <c r="A996" s="3" t="s">
        <v>3223</v>
      </c>
      <c r="B996" s="3" t="s">
        <v>4252</v>
      </c>
      <c r="C996" s="3" t="s">
        <v>1170</v>
      </c>
      <c r="D996" s="9">
        <v>381.6</v>
      </c>
      <c r="E996" s="3" t="s">
        <v>3197</v>
      </c>
      <c r="F996" s="3" t="s">
        <v>3224</v>
      </c>
      <c r="G996" s="9">
        <v>262.93</v>
      </c>
      <c r="H996" s="10">
        <v>45666.423379629632</v>
      </c>
      <c r="I996" s="10">
        <v>45666.423379629632</v>
      </c>
      <c r="J996" s="10">
        <v>45666.424814814818</v>
      </c>
      <c r="K996" s="11">
        <v>1.435185185185185E-3</v>
      </c>
      <c r="L996" s="13"/>
    </row>
    <row r="997" spans="1:12" x14ac:dyDescent="0.25">
      <c r="A997" s="3" t="s">
        <v>3223</v>
      </c>
      <c r="B997" s="3" t="s">
        <v>4253</v>
      </c>
      <c r="C997" s="3" t="s">
        <v>1054</v>
      </c>
      <c r="D997" s="9">
        <v>264.8</v>
      </c>
      <c r="E997" s="3" t="s">
        <v>3199</v>
      </c>
      <c r="F997" s="3" t="s">
        <v>3224</v>
      </c>
      <c r="G997" s="9">
        <v>188.33</v>
      </c>
      <c r="H997" s="10">
        <v>45666.443726851852</v>
      </c>
      <c r="I997" s="10">
        <v>45666.443726851852</v>
      </c>
      <c r="J997" s="10">
        <v>45666.444733796299</v>
      </c>
      <c r="K997" s="11">
        <v>1.006944444444444E-3</v>
      </c>
      <c r="L997" s="13"/>
    </row>
    <row r="998" spans="1:12" x14ac:dyDescent="0.25">
      <c r="A998" s="3" t="s">
        <v>3223</v>
      </c>
      <c r="B998" s="3" t="s">
        <v>4254</v>
      </c>
      <c r="C998" s="3" t="s">
        <v>1181</v>
      </c>
      <c r="D998" s="9">
        <v>414.7</v>
      </c>
      <c r="E998" s="3" t="s">
        <v>3195</v>
      </c>
      <c r="F998" s="3" t="s">
        <v>3224</v>
      </c>
      <c r="G998" s="9">
        <v>286.14</v>
      </c>
      <c r="H998" s="10">
        <v>45666.542314814818</v>
      </c>
      <c r="I998" s="10">
        <v>45666.542314814818</v>
      </c>
      <c r="J998" s="10">
        <v>45666.543865740743</v>
      </c>
      <c r="K998" s="11">
        <v>1.5509259259259261E-3</v>
      </c>
      <c r="L998" s="13"/>
    </row>
    <row r="999" spans="1:12" x14ac:dyDescent="0.25">
      <c r="A999" s="3" t="s">
        <v>3223</v>
      </c>
      <c r="B999" s="3" t="s">
        <v>4255</v>
      </c>
      <c r="C999" s="3" t="s">
        <v>1184</v>
      </c>
      <c r="D999" s="9">
        <v>241.4</v>
      </c>
      <c r="E999" s="3" t="s">
        <v>3195</v>
      </c>
      <c r="F999" s="3" t="s">
        <v>3224</v>
      </c>
      <c r="G999" s="9">
        <v>286.14</v>
      </c>
      <c r="H999" s="10">
        <v>45666.66170138889</v>
      </c>
      <c r="I999" s="10">
        <v>45666.66170138889</v>
      </c>
      <c r="J999" s="10">
        <v>45666.662858796299</v>
      </c>
      <c r="K999" s="11">
        <v>1.1574074074074069E-3</v>
      </c>
      <c r="L999" s="13"/>
    </row>
    <row r="1000" spans="1:12" x14ac:dyDescent="0.25">
      <c r="A1000" s="3" t="s">
        <v>3223</v>
      </c>
      <c r="B1000" s="3" t="s">
        <v>4256</v>
      </c>
      <c r="C1000" s="3" t="s">
        <v>1144</v>
      </c>
      <c r="D1000" s="9">
        <v>117</v>
      </c>
      <c r="E1000" s="3" t="s">
        <v>3194</v>
      </c>
      <c r="F1000" s="3" t="s">
        <v>3224</v>
      </c>
      <c r="G1000" s="9">
        <v>259.31</v>
      </c>
      <c r="H1000" s="10">
        <v>45666.665925925918</v>
      </c>
      <c r="I1000" s="10">
        <v>45666.665925925918</v>
      </c>
      <c r="J1000" s="10">
        <v>45666.66673611111</v>
      </c>
      <c r="K1000" s="11">
        <v>8.1018518518518516E-4</v>
      </c>
      <c r="L1000" s="13"/>
    </row>
    <row r="1001" spans="1:12" x14ac:dyDescent="0.25">
      <c r="A1001" s="3" t="s">
        <v>3223</v>
      </c>
      <c r="B1001" s="3" t="s">
        <v>4257</v>
      </c>
      <c r="C1001" s="3" t="s">
        <v>1165</v>
      </c>
      <c r="D1001" s="9">
        <v>131.9</v>
      </c>
      <c r="E1001" s="3" t="s">
        <v>3202</v>
      </c>
      <c r="F1001" s="3" t="s">
        <v>3224</v>
      </c>
      <c r="G1001" s="9">
        <v>231.94</v>
      </c>
      <c r="H1001" s="10">
        <v>45666.676562499997</v>
      </c>
      <c r="I1001" s="10">
        <v>45666.676562499997</v>
      </c>
      <c r="J1001" s="10">
        <v>45666.677349537043</v>
      </c>
      <c r="K1001" s="11">
        <v>7.8703703703703705E-4</v>
      </c>
      <c r="L1001" s="13"/>
    </row>
    <row r="1002" spans="1:12" x14ac:dyDescent="0.25">
      <c r="A1002" s="3" t="s">
        <v>3223</v>
      </c>
      <c r="B1002" s="3" t="s">
        <v>4258</v>
      </c>
      <c r="C1002" s="3" t="s">
        <v>1152</v>
      </c>
      <c r="D1002" s="9">
        <v>173.1</v>
      </c>
      <c r="E1002" s="3" t="s">
        <v>3203</v>
      </c>
      <c r="F1002" s="3" t="s">
        <v>3224</v>
      </c>
      <c r="G1002" s="9">
        <v>223.61</v>
      </c>
      <c r="H1002" s="10">
        <v>45666.696666666663</v>
      </c>
      <c r="I1002" s="10">
        <v>45666.696666666663</v>
      </c>
      <c r="J1002" s="10">
        <v>45666.697534722232</v>
      </c>
      <c r="K1002" s="11">
        <v>8.6805555555555551E-4</v>
      </c>
      <c r="L1002" s="13"/>
    </row>
    <row r="1003" spans="1:12" x14ac:dyDescent="0.25">
      <c r="A1003" s="3" t="s">
        <v>3223</v>
      </c>
      <c r="B1003" s="3" t="s">
        <v>4259</v>
      </c>
      <c r="C1003" s="3" t="s">
        <v>1198</v>
      </c>
      <c r="D1003" s="9">
        <v>314.8</v>
      </c>
      <c r="E1003" s="3" t="s">
        <v>3198</v>
      </c>
      <c r="F1003" s="3" t="s">
        <v>3224</v>
      </c>
      <c r="G1003" s="9">
        <v>259.16000000000003</v>
      </c>
      <c r="H1003" s="10">
        <v>45666.722268518519</v>
      </c>
      <c r="I1003" s="10">
        <v>45666.722268518519</v>
      </c>
      <c r="J1003" s="10">
        <v>45666.723541666674</v>
      </c>
      <c r="K1003" s="11">
        <v>1.273148148148148E-3</v>
      </c>
      <c r="L1003" s="13"/>
    </row>
    <row r="1004" spans="1:12" x14ac:dyDescent="0.25">
      <c r="A1004" s="3" t="s">
        <v>3223</v>
      </c>
      <c r="B1004" s="3" t="s">
        <v>4260</v>
      </c>
      <c r="C1004" s="3" t="s">
        <v>1207</v>
      </c>
      <c r="D1004" s="9">
        <v>116.9</v>
      </c>
      <c r="E1004" s="3" t="s">
        <v>3203</v>
      </c>
      <c r="F1004" s="3" t="s">
        <v>3224</v>
      </c>
      <c r="G1004" s="9">
        <v>223.61</v>
      </c>
      <c r="H1004" s="10">
        <v>45666.78597222222</v>
      </c>
      <c r="I1004" s="10">
        <v>45666.78597222222</v>
      </c>
      <c r="J1004" s="10">
        <v>45666.78670138889</v>
      </c>
      <c r="K1004" s="11">
        <v>7.291666666666667E-4</v>
      </c>
      <c r="L1004" s="13"/>
    </row>
    <row r="1005" spans="1:12" x14ac:dyDescent="0.25">
      <c r="A1005" s="3" t="s">
        <v>3223</v>
      </c>
      <c r="B1005" s="3" t="s">
        <v>4261</v>
      </c>
      <c r="C1005" s="3" t="s">
        <v>1189</v>
      </c>
      <c r="D1005" s="9">
        <v>154.1</v>
      </c>
      <c r="E1005" s="3" t="s">
        <v>3197</v>
      </c>
      <c r="F1005" s="3" t="s">
        <v>3224</v>
      </c>
      <c r="G1005" s="9">
        <v>262.93</v>
      </c>
      <c r="H1005" s="10">
        <v>45666.796458333331</v>
      </c>
      <c r="I1005" s="10">
        <v>45666.796458333331</v>
      </c>
      <c r="J1005" s="10">
        <v>45666.797361111108</v>
      </c>
      <c r="K1005" s="11">
        <v>9.0277777777777774E-4</v>
      </c>
      <c r="L1005" s="13"/>
    </row>
    <row r="1006" spans="1:12" x14ac:dyDescent="0.25">
      <c r="A1006" s="3" t="s">
        <v>3223</v>
      </c>
      <c r="B1006" s="3" t="s">
        <v>4262</v>
      </c>
      <c r="C1006" s="3" t="s">
        <v>1131</v>
      </c>
      <c r="D1006" s="9">
        <v>107.7</v>
      </c>
      <c r="E1006" s="3" t="s">
        <v>3193</v>
      </c>
      <c r="F1006" s="3" t="s">
        <v>3224</v>
      </c>
      <c r="G1006" s="9">
        <v>205.9</v>
      </c>
      <c r="H1006" s="10">
        <v>45666.809513888889</v>
      </c>
      <c r="I1006" s="10">
        <v>45666.809513888889</v>
      </c>
      <c r="J1006" s="10">
        <v>45666.810185185182</v>
      </c>
      <c r="K1006" s="11">
        <v>6.7129629629629625E-4</v>
      </c>
      <c r="L1006" s="13"/>
    </row>
    <row r="1007" spans="1:12" x14ac:dyDescent="0.25">
      <c r="A1007" s="3" t="s">
        <v>3223</v>
      </c>
      <c r="B1007" s="3" t="s">
        <v>4263</v>
      </c>
      <c r="C1007" s="3" t="s">
        <v>1034</v>
      </c>
      <c r="D1007" s="9">
        <v>101.9</v>
      </c>
      <c r="E1007" s="3" t="s">
        <v>3206</v>
      </c>
      <c r="F1007" s="3" t="s">
        <v>3224</v>
      </c>
      <c r="G1007" s="9">
        <v>286.14</v>
      </c>
      <c r="H1007" s="10">
        <v>45666.815844907411</v>
      </c>
      <c r="I1007" s="10">
        <v>45666.815844907411</v>
      </c>
      <c r="J1007" s="10">
        <v>45666.816678240742</v>
      </c>
      <c r="K1007" s="11">
        <v>8.3333333333333339E-4</v>
      </c>
      <c r="L1007" s="13"/>
    </row>
    <row r="1008" spans="1:12" x14ac:dyDescent="0.25">
      <c r="A1008" s="3" t="s">
        <v>3223</v>
      </c>
      <c r="B1008" s="3" t="s">
        <v>4264</v>
      </c>
      <c r="C1008" s="3" t="s">
        <v>655</v>
      </c>
      <c r="D1008" s="9">
        <v>110.2</v>
      </c>
      <c r="E1008" s="3" t="s">
        <v>3200</v>
      </c>
      <c r="F1008" s="3" t="s">
        <v>3224</v>
      </c>
      <c r="G1008" s="9">
        <v>245</v>
      </c>
      <c r="H1008" s="10">
        <v>45666.81622685185</v>
      </c>
      <c r="I1008" s="10">
        <v>45666.816678240742</v>
      </c>
      <c r="J1008" s="10">
        <v>45666.817453703698</v>
      </c>
      <c r="K1008" s="11">
        <v>7.7546296296296293E-4</v>
      </c>
      <c r="L1008" s="13"/>
    </row>
    <row r="1009" spans="1:12" x14ac:dyDescent="0.25">
      <c r="A1009" s="3" t="s">
        <v>3223</v>
      </c>
      <c r="B1009" s="3" t="s">
        <v>4265</v>
      </c>
      <c r="C1009" s="3" t="s">
        <v>1214</v>
      </c>
      <c r="D1009" s="9">
        <v>120.7</v>
      </c>
      <c r="E1009" s="3" t="s">
        <v>3198</v>
      </c>
      <c r="F1009" s="3" t="s">
        <v>3224</v>
      </c>
      <c r="G1009" s="9">
        <v>259.16000000000003</v>
      </c>
      <c r="H1009" s="10">
        <v>45666.832199074073</v>
      </c>
      <c r="I1009" s="10">
        <v>45666.832199074073</v>
      </c>
      <c r="J1009" s="10">
        <v>45666.833020833343</v>
      </c>
      <c r="K1009" s="11">
        <v>8.2175925925925927E-4</v>
      </c>
      <c r="L1009" s="13"/>
    </row>
    <row r="1010" spans="1:12" x14ac:dyDescent="0.25">
      <c r="A1010" s="3" t="s">
        <v>3223</v>
      </c>
      <c r="B1010" s="3" t="s">
        <v>4266</v>
      </c>
      <c r="C1010" s="3" t="s">
        <v>1217</v>
      </c>
      <c r="D1010" s="9">
        <v>137.30000000000001</v>
      </c>
      <c r="E1010" s="3" t="s">
        <v>3195</v>
      </c>
      <c r="F1010" s="3" t="s">
        <v>3224</v>
      </c>
      <c r="G1010" s="9">
        <v>286.14</v>
      </c>
      <c r="H1010" s="10">
        <v>45666.84138888889</v>
      </c>
      <c r="I1010" s="10">
        <v>45666.84138888889</v>
      </c>
      <c r="J1010" s="10">
        <v>45666.842303240737</v>
      </c>
      <c r="K1010" s="11">
        <v>9.1435185185185185E-4</v>
      </c>
      <c r="L1010" s="13"/>
    </row>
    <row r="1011" spans="1:12" x14ac:dyDescent="0.25">
      <c r="A1011" s="3" t="s">
        <v>3223</v>
      </c>
      <c r="B1011" s="3" t="s">
        <v>4267</v>
      </c>
      <c r="C1011" s="3" t="s">
        <v>1134</v>
      </c>
      <c r="D1011" s="9">
        <v>122.7</v>
      </c>
      <c r="E1011" s="3" t="s">
        <v>3204</v>
      </c>
      <c r="F1011" s="3" t="s">
        <v>3224</v>
      </c>
      <c r="G1011" s="9">
        <v>240.31</v>
      </c>
      <c r="H1011" s="10">
        <v>45666.885844907411</v>
      </c>
      <c r="I1011" s="10">
        <v>45666.885844907411</v>
      </c>
      <c r="J1011" s="10">
        <v>45666.886631944442</v>
      </c>
      <c r="K1011" s="11">
        <v>7.8703703703703705E-4</v>
      </c>
      <c r="L1011" s="13"/>
    </row>
    <row r="1012" spans="1:12" x14ac:dyDescent="0.25">
      <c r="A1012" s="3" t="s">
        <v>3223</v>
      </c>
      <c r="B1012" s="3" t="s">
        <v>4268</v>
      </c>
      <c r="C1012" s="3" t="s">
        <v>1230</v>
      </c>
      <c r="D1012" s="9">
        <v>126</v>
      </c>
      <c r="E1012" s="3" t="s">
        <v>3196</v>
      </c>
      <c r="F1012" s="3" t="s">
        <v>3224</v>
      </c>
      <c r="G1012" s="9">
        <v>182.11</v>
      </c>
      <c r="H1012" s="10">
        <v>45666.8903587963</v>
      </c>
      <c r="I1012" s="10">
        <v>45666.8903587963</v>
      </c>
      <c r="J1012" s="10">
        <v>45666.891030092593</v>
      </c>
      <c r="K1012" s="11">
        <v>6.7129629629629625E-4</v>
      </c>
      <c r="L1012" s="13"/>
    </row>
    <row r="1013" spans="1:12" x14ac:dyDescent="0.25">
      <c r="A1013" s="3" t="s">
        <v>3223</v>
      </c>
      <c r="B1013" s="3" t="s">
        <v>4269</v>
      </c>
      <c r="C1013" s="3" t="s">
        <v>1020</v>
      </c>
      <c r="D1013" s="9">
        <v>130.19999999999999</v>
      </c>
      <c r="E1013" s="3" t="s">
        <v>3201</v>
      </c>
      <c r="F1013" s="3" t="s">
        <v>3224</v>
      </c>
      <c r="G1013" s="9">
        <v>259.31</v>
      </c>
      <c r="H1013" s="10">
        <v>45667.159131944441</v>
      </c>
      <c r="I1013" s="10">
        <v>45667.159131944441</v>
      </c>
      <c r="J1013" s="10">
        <v>45667.15997685185</v>
      </c>
      <c r="K1013" s="11">
        <v>8.4490740740740739E-4</v>
      </c>
      <c r="L1013" s="13"/>
    </row>
    <row r="1014" spans="1:12" x14ac:dyDescent="0.25">
      <c r="A1014" s="3" t="s">
        <v>3223</v>
      </c>
      <c r="B1014" s="3" t="s">
        <v>4270</v>
      </c>
      <c r="C1014" s="3" t="s">
        <v>1225</v>
      </c>
      <c r="D1014" s="9">
        <v>222.2</v>
      </c>
      <c r="E1014" s="3" t="s">
        <v>3194</v>
      </c>
      <c r="F1014" s="3" t="s">
        <v>3224</v>
      </c>
      <c r="G1014" s="9">
        <v>259.31</v>
      </c>
      <c r="H1014" s="10">
        <v>45667.173263888893</v>
      </c>
      <c r="I1014" s="10">
        <v>45667.173263888893</v>
      </c>
      <c r="J1014" s="10">
        <v>45667.174317129633</v>
      </c>
      <c r="K1014" s="11">
        <v>1.0532407407407411E-3</v>
      </c>
      <c r="L1014" s="13"/>
    </row>
    <row r="1015" spans="1:12" x14ac:dyDescent="0.25">
      <c r="A1015" s="3" t="s">
        <v>3223</v>
      </c>
      <c r="B1015" s="3" t="s">
        <v>4271</v>
      </c>
      <c r="C1015" s="3" t="s">
        <v>1252</v>
      </c>
      <c r="D1015" s="9">
        <v>240.5</v>
      </c>
      <c r="E1015" s="3" t="s">
        <v>3203</v>
      </c>
      <c r="F1015" s="3" t="s">
        <v>3224</v>
      </c>
      <c r="G1015" s="9">
        <v>223.61</v>
      </c>
      <c r="H1015" s="10">
        <v>45667.244606481479</v>
      </c>
      <c r="I1015" s="10">
        <v>45667.244606481479</v>
      </c>
      <c r="J1015" s="10">
        <v>45667.245625000003</v>
      </c>
      <c r="K1015" s="11">
        <v>1.018518518518518E-3</v>
      </c>
      <c r="L1015" s="13"/>
    </row>
    <row r="1016" spans="1:12" x14ac:dyDescent="0.25">
      <c r="A1016" s="3" t="s">
        <v>3223</v>
      </c>
      <c r="B1016" s="3" t="s">
        <v>4272</v>
      </c>
      <c r="C1016" s="3" t="s">
        <v>1222</v>
      </c>
      <c r="D1016" s="9">
        <v>345.2</v>
      </c>
      <c r="E1016" s="3" t="s">
        <v>3202</v>
      </c>
      <c r="F1016" s="3" t="s">
        <v>3224</v>
      </c>
      <c r="G1016" s="9">
        <v>231.94</v>
      </c>
      <c r="H1016" s="10">
        <v>45667.315428240741</v>
      </c>
      <c r="I1016" s="10">
        <v>45667.315428240741</v>
      </c>
      <c r="J1016" s="10">
        <v>45667.316712962973</v>
      </c>
      <c r="K1016" s="11">
        <v>1.284722222222222E-3</v>
      </c>
      <c r="L1016" s="13"/>
    </row>
    <row r="1017" spans="1:12" x14ac:dyDescent="0.25">
      <c r="A1017" s="3" t="s">
        <v>3223</v>
      </c>
      <c r="B1017" s="3" t="s">
        <v>4273</v>
      </c>
      <c r="C1017" s="3" t="s">
        <v>1241</v>
      </c>
      <c r="D1017" s="9">
        <v>152.9</v>
      </c>
      <c r="E1017" s="3" t="s">
        <v>3193</v>
      </c>
      <c r="F1017" s="3" t="s">
        <v>3224</v>
      </c>
      <c r="G1017" s="9">
        <v>205.9</v>
      </c>
      <c r="H1017" s="10">
        <v>45667.331817129627</v>
      </c>
      <c r="I1017" s="10">
        <v>45667.331817129627</v>
      </c>
      <c r="J1017" s="10">
        <v>45667.332604166673</v>
      </c>
      <c r="K1017" s="11">
        <v>7.8703703703703705E-4</v>
      </c>
      <c r="L1017" s="13"/>
    </row>
    <row r="1018" spans="1:12" x14ac:dyDescent="0.25">
      <c r="A1018" s="3" t="s">
        <v>3223</v>
      </c>
      <c r="B1018" s="3" t="s">
        <v>4274</v>
      </c>
      <c r="C1018" s="3" t="s">
        <v>1257</v>
      </c>
      <c r="D1018" s="9">
        <v>186.7</v>
      </c>
      <c r="E1018" s="3" t="s">
        <v>3195</v>
      </c>
      <c r="F1018" s="3" t="s">
        <v>3224</v>
      </c>
      <c r="G1018" s="9">
        <v>286.14</v>
      </c>
      <c r="H1018" s="10">
        <v>45667.347696759258</v>
      </c>
      <c r="I1018" s="10">
        <v>45667.347696759258</v>
      </c>
      <c r="J1018" s="10">
        <v>45667.348726851851</v>
      </c>
      <c r="K1018" s="11">
        <v>1.0300925925925931E-3</v>
      </c>
      <c r="L1018" s="13"/>
    </row>
    <row r="1019" spans="1:12" x14ac:dyDescent="0.25">
      <c r="A1019" s="3" t="s">
        <v>3223</v>
      </c>
      <c r="B1019" s="3" t="s">
        <v>4275</v>
      </c>
      <c r="C1019" s="3" t="s">
        <v>1303</v>
      </c>
      <c r="D1019" s="9">
        <v>193.1</v>
      </c>
      <c r="E1019" s="3" t="s">
        <v>3197</v>
      </c>
      <c r="F1019" s="3" t="s">
        <v>3224</v>
      </c>
      <c r="G1019" s="9">
        <v>262.93</v>
      </c>
      <c r="H1019" s="10">
        <v>45667.357418981483</v>
      </c>
      <c r="I1019" s="10">
        <v>45667.357418981483</v>
      </c>
      <c r="J1019" s="10">
        <v>45667.358414351853</v>
      </c>
      <c r="K1019" s="11">
        <v>9.9537037037037042E-4</v>
      </c>
      <c r="L1019" s="13"/>
    </row>
    <row r="1020" spans="1:12" x14ac:dyDescent="0.25">
      <c r="A1020" s="3" t="s">
        <v>3223</v>
      </c>
      <c r="B1020" s="3" t="s">
        <v>4276</v>
      </c>
      <c r="C1020" s="3" t="s">
        <v>1306</v>
      </c>
      <c r="D1020" s="9">
        <v>380.8</v>
      </c>
      <c r="E1020" s="3" t="s">
        <v>3200</v>
      </c>
      <c r="F1020" s="3" t="s">
        <v>3224</v>
      </c>
      <c r="G1020" s="9">
        <v>245</v>
      </c>
      <c r="H1020" s="10">
        <v>45667.411956018521</v>
      </c>
      <c r="I1020" s="10">
        <v>45667.411956018521</v>
      </c>
      <c r="J1020" s="10">
        <v>45667.413344907407</v>
      </c>
      <c r="K1020" s="11">
        <v>1.3888888888888889E-3</v>
      </c>
      <c r="L1020" s="13"/>
    </row>
    <row r="1021" spans="1:12" x14ac:dyDescent="0.25">
      <c r="A1021" s="3" t="s">
        <v>3223</v>
      </c>
      <c r="B1021" s="3" t="s">
        <v>4277</v>
      </c>
      <c r="C1021" s="3" t="s">
        <v>1178</v>
      </c>
      <c r="D1021" s="9">
        <v>137.19999999999999</v>
      </c>
      <c r="E1021" s="3" t="s">
        <v>3199</v>
      </c>
      <c r="F1021" s="3" t="s">
        <v>3224</v>
      </c>
      <c r="G1021" s="9">
        <v>188.33</v>
      </c>
      <c r="H1021" s="10">
        <v>45667.41510416667</v>
      </c>
      <c r="I1021" s="10">
        <v>45667.41510416667</v>
      </c>
      <c r="J1021" s="10">
        <v>45667.415821759263</v>
      </c>
      <c r="K1021" s="11">
        <v>7.1759259259259259E-4</v>
      </c>
      <c r="L1021" s="13"/>
    </row>
    <row r="1022" spans="1:12" x14ac:dyDescent="0.25">
      <c r="A1022" s="3" t="s">
        <v>3223</v>
      </c>
      <c r="B1022" s="3" t="s">
        <v>4278</v>
      </c>
      <c r="C1022" s="3" t="s">
        <v>1295</v>
      </c>
      <c r="D1022" s="9">
        <v>129.30000000000001</v>
      </c>
      <c r="E1022" s="3" t="s">
        <v>3195</v>
      </c>
      <c r="F1022" s="3" t="s">
        <v>3224</v>
      </c>
      <c r="G1022" s="9">
        <v>286.14</v>
      </c>
      <c r="H1022" s="10">
        <v>45667.440405092602</v>
      </c>
      <c r="I1022" s="10">
        <v>45667.440405092602</v>
      </c>
      <c r="J1022" s="10">
        <v>45667.441307870373</v>
      </c>
      <c r="K1022" s="11">
        <v>9.0277777777777774E-4</v>
      </c>
      <c r="L1022" s="13"/>
    </row>
    <row r="1023" spans="1:12" x14ac:dyDescent="0.25">
      <c r="A1023" s="3" t="s">
        <v>3223</v>
      </c>
      <c r="B1023" s="3" t="s">
        <v>4279</v>
      </c>
      <c r="C1023" s="3" t="s">
        <v>1311</v>
      </c>
      <c r="D1023" s="9">
        <v>141.69999999999999</v>
      </c>
      <c r="E1023" s="3" t="s">
        <v>3193</v>
      </c>
      <c r="F1023" s="3" t="s">
        <v>3224</v>
      </c>
      <c r="G1023" s="9">
        <v>205.9</v>
      </c>
      <c r="H1023" s="10">
        <v>45667.441261574073</v>
      </c>
      <c r="I1023" s="10">
        <v>45667.441307870373</v>
      </c>
      <c r="J1023" s="10">
        <v>45667.442060185182</v>
      </c>
      <c r="K1023" s="11">
        <v>7.5231481481481482E-4</v>
      </c>
      <c r="L1023" s="13"/>
    </row>
    <row r="1024" spans="1:12" x14ac:dyDescent="0.25">
      <c r="A1024" s="3" t="s">
        <v>3223</v>
      </c>
      <c r="B1024" s="3" t="s">
        <v>4280</v>
      </c>
      <c r="C1024" s="3" t="s">
        <v>1338</v>
      </c>
      <c r="D1024" s="9">
        <v>168.8</v>
      </c>
      <c r="E1024" s="3" t="s">
        <v>3202</v>
      </c>
      <c r="F1024" s="3" t="s">
        <v>3224</v>
      </c>
      <c r="G1024" s="9">
        <v>231.94</v>
      </c>
      <c r="H1024" s="10">
        <v>45667.442997685182</v>
      </c>
      <c r="I1024" s="10">
        <v>45667.442997685182</v>
      </c>
      <c r="J1024" s="10">
        <v>45667.443865740737</v>
      </c>
      <c r="K1024" s="11">
        <v>8.6805555555555551E-4</v>
      </c>
      <c r="L1024" s="13"/>
    </row>
    <row r="1025" spans="1:12" x14ac:dyDescent="0.25">
      <c r="A1025" s="3" t="s">
        <v>3223</v>
      </c>
      <c r="B1025" s="3" t="s">
        <v>4281</v>
      </c>
      <c r="C1025" s="3" t="s">
        <v>1281</v>
      </c>
      <c r="D1025" s="9">
        <v>114.8</v>
      </c>
      <c r="E1025" s="3" t="s">
        <v>3204</v>
      </c>
      <c r="F1025" s="3" t="s">
        <v>3224</v>
      </c>
      <c r="G1025" s="9">
        <v>240.31</v>
      </c>
      <c r="H1025" s="10">
        <v>45667.462835648148</v>
      </c>
      <c r="I1025" s="10">
        <v>45667.462835648148</v>
      </c>
      <c r="J1025" s="10">
        <v>45667.463599537034</v>
      </c>
      <c r="K1025" s="11">
        <v>7.6388888888888893E-4</v>
      </c>
      <c r="L1025" s="13"/>
    </row>
    <row r="1026" spans="1:12" x14ac:dyDescent="0.25">
      <c r="A1026" s="3" t="s">
        <v>3223</v>
      </c>
      <c r="B1026" s="3" t="s">
        <v>4282</v>
      </c>
      <c r="C1026" s="3" t="s">
        <v>1321</v>
      </c>
      <c r="D1026" s="9">
        <v>259.7</v>
      </c>
      <c r="E1026" s="3" t="s">
        <v>3199</v>
      </c>
      <c r="F1026" s="3" t="s">
        <v>3224</v>
      </c>
      <c r="G1026" s="9">
        <v>188.33</v>
      </c>
      <c r="H1026" s="10">
        <v>45667.489745370367</v>
      </c>
      <c r="I1026" s="10">
        <v>45667.489745370367</v>
      </c>
      <c r="J1026" s="10">
        <v>45667.490740740737</v>
      </c>
      <c r="K1026" s="11">
        <v>9.9537037037037042E-4</v>
      </c>
      <c r="L1026" s="13"/>
    </row>
    <row r="1027" spans="1:12" x14ac:dyDescent="0.25">
      <c r="A1027" s="3" t="s">
        <v>3223</v>
      </c>
      <c r="B1027" s="3" t="s">
        <v>4283</v>
      </c>
      <c r="C1027" s="3" t="s">
        <v>1318</v>
      </c>
      <c r="D1027" s="9">
        <v>118.6</v>
      </c>
      <c r="E1027" s="3" t="s">
        <v>3193</v>
      </c>
      <c r="F1027" s="3" t="s">
        <v>3224</v>
      </c>
      <c r="G1027" s="9">
        <v>205.9</v>
      </c>
      <c r="H1027" s="10">
        <v>45667.623379629629</v>
      </c>
      <c r="I1027" s="10">
        <v>45667.623379629629</v>
      </c>
      <c r="J1027" s="10">
        <v>45667.624085648153</v>
      </c>
      <c r="K1027" s="11">
        <v>7.0601851851851847E-4</v>
      </c>
      <c r="L1027" s="13"/>
    </row>
    <row r="1028" spans="1:12" x14ac:dyDescent="0.25">
      <c r="A1028" s="3" t="s">
        <v>3223</v>
      </c>
      <c r="B1028" s="3" t="s">
        <v>4284</v>
      </c>
      <c r="C1028" s="3" t="s">
        <v>1351</v>
      </c>
      <c r="D1028" s="9">
        <v>393.5</v>
      </c>
      <c r="E1028" s="3" t="s">
        <v>3199</v>
      </c>
      <c r="F1028" s="3" t="s">
        <v>3224</v>
      </c>
      <c r="G1028" s="9">
        <v>188.33</v>
      </c>
      <c r="H1028" s="10">
        <v>45667.700868055559</v>
      </c>
      <c r="I1028" s="10">
        <v>45667.700868055559</v>
      </c>
      <c r="J1028" s="10">
        <v>45667.702164351853</v>
      </c>
      <c r="K1028" s="11">
        <v>1.296296296296296E-3</v>
      </c>
      <c r="L1028" s="13"/>
    </row>
    <row r="1029" spans="1:12" x14ac:dyDescent="0.25">
      <c r="A1029" s="3" t="s">
        <v>3223</v>
      </c>
      <c r="B1029" s="3" t="s">
        <v>4285</v>
      </c>
      <c r="C1029" s="3" t="s">
        <v>1354</v>
      </c>
      <c r="D1029" s="9">
        <v>302.10000000000002</v>
      </c>
      <c r="E1029" s="3" t="s">
        <v>3193</v>
      </c>
      <c r="F1029" s="3" t="s">
        <v>3224</v>
      </c>
      <c r="G1029" s="9">
        <v>205.9</v>
      </c>
      <c r="H1029" s="10">
        <v>45667.794363425928</v>
      </c>
      <c r="I1029" s="10">
        <v>45667.794363425928</v>
      </c>
      <c r="J1029" s="10">
        <v>45667.795497685183</v>
      </c>
      <c r="K1029" s="11">
        <v>1.1342592592592589E-3</v>
      </c>
      <c r="L1029" s="13"/>
    </row>
    <row r="1030" spans="1:12" x14ac:dyDescent="0.25">
      <c r="A1030" s="3" t="s">
        <v>3223</v>
      </c>
      <c r="B1030" s="3" t="s">
        <v>4286</v>
      </c>
      <c r="C1030" s="3" t="s">
        <v>1359</v>
      </c>
      <c r="D1030" s="9">
        <v>218.1</v>
      </c>
      <c r="E1030" s="3" t="s">
        <v>3199</v>
      </c>
      <c r="F1030" s="3" t="s">
        <v>3224</v>
      </c>
      <c r="G1030" s="9">
        <v>188.33</v>
      </c>
      <c r="H1030" s="10">
        <v>45667.803888888891</v>
      </c>
      <c r="I1030" s="10">
        <v>45667.803888888891</v>
      </c>
      <c r="J1030" s="10">
        <v>45667.804780092592</v>
      </c>
      <c r="K1030" s="11">
        <v>8.9120370370370373E-4</v>
      </c>
      <c r="L1030" s="13"/>
    </row>
    <row r="1031" spans="1:12" x14ac:dyDescent="0.25">
      <c r="A1031" s="3" t="s">
        <v>3223</v>
      </c>
      <c r="B1031" s="3" t="s">
        <v>4287</v>
      </c>
      <c r="C1031" s="3" t="s">
        <v>1362</v>
      </c>
      <c r="D1031" s="9">
        <v>110.2</v>
      </c>
      <c r="E1031" s="3" t="s">
        <v>3195</v>
      </c>
      <c r="F1031" s="3" t="s">
        <v>3224</v>
      </c>
      <c r="G1031" s="9">
        <v>286.14</v>
      </c>
      <c r="H1031" s="10">
        <v>45667.807071759264</v>
      </c>
      <c r="I1031" s="10">
        <v>45667.807071759264</v>
      </c>
      <c r="J1031" s="10">
        <v>45667.807928240742</v>
      </c>
      <c r="K1031" s="11">
        <v>8.564814814814815E-4</v>
      </c>
      <c r="L1031" s="13"/>
    </row>
    <row r="1032" spans="1:12" x14ac:dyDescent="0.25">
      <c r="A1032" s="3" t="s">
        <v>3223</v>
      </c>
      <c r="B1032" s="3" t="s">
        <v>4288</v>
      </c>
      <c r="C1032" s="3" t="s">
        <v>1333</v>
      </c>
      <c r="D1032" s="9">
        <v>133.4</v>
      </c>
      <c r="E1032" s="3" t="s">
        <v>3198</v>
      </c>
      <c r="F1032" s="3" t="s">
        <v>3224</v>
      </c>
      <c r="G1032" s="9">
        <v>259.16000000000003</v>
      </c>
      <c r="H1032" s="10">
        <v>45667.81925925926</v>
      </c>
      <c r="I1032" s="10">
        <v>45667.81925925926</v>
      </c>
      <c r="J1032" s="10">
        <v>45667.820104166669</v>
      </c>
      <c r="K1032" s="11">
        <v>8.4490740740740739E-4</v>
      </c>
      <c r="L1032" s="13"/>
    </row>
    <row r="1033" spans="1:12" x14ac:dyDescent="0.25">
      <c r="A1033" s="3" t="s">
        <v>3223</v>
      </c>
      <c r="B1033" s="3" t="s">
        <v>4289</v>
      </c>
      <c r="C1033" s="3" t="s">
        <v>1328</v>
      </c>
      <c r="D1033" s="9">
        <v>142.6</v>
      </c>
      <c r="E1033" s="3" t="s">
        <v>3197</v>
      </c>
      <c r="F1033" s="3" t="s">
        <v>3224</v>
      </c>
      <c r="G1033" s="9">
        <v>262.93</v>
      </c>
      <c r="H1033" s="10">
        <v>45667.830381944441</v>
      </c>
      <c r="I1033" s="10">
        <v>45667.830381944441</v>
      </c>
      <c r="J1033" s="10">
        <v>45667.831261574072</v>
      </c>
      <c r="K1033" s="11">
        <v>8.7962962962962962E-4</v>
      </c>
      <c r="L1033" s="13"/>
    </row>
    <row r="1034" spans="1:12" x14ac:dyDescent="0.25">
      <c r="A1034" s="3" t="s">
        <v>3223</v>
      </c>
      <c r="B1034" s="3" t="s">
        <v>4290</v>
      </c>
      <c r="C1034" s="3" t="s">
        <v>1381</v>
      </c>
      <c r="D1034" s="9">
        <v>112.5</v>
      </c>
      <c r="E1034" s="3" t="s">
        <v>3193</v>
      </c>
      <c r="F1034" s="3" t="s">
        <v>3224</v>
      </c>
      <c r="G1034" s="9">
        <v>205.9</v>
      </c>
      <c r="H1034" s="10">
        <v>45667.889178240737</v>
      </c>
      <c r="I1034" s="10">
        <v>45667.889178240737</v>
      </c>
      <c r="J1034" s="10">
        <v>45667.889872685177</v>
      </c>
      <c r="K1034" s="11">
        <v>6.9444444444444447E-4</v>
      </c>
      <c r="L1034" s="13"/>
    </row>
    <row r="1035" spans="1:12" x14ac:dyDescent="0.25">
      <c r="A1035" s="3" t="s">
        <v>3223</v>
      </c>
      <c r="B1035" s="3" t="s">
        <v>4291</v>
      </c>
      <c r="C1035" s="3" t="s">
        <v>1298</v>
      </c>
      <c r="D1035" s="9">
        <v>114.4</v>
      </c>
      <c r="E1035" s="3" t="s">
        <v>3201</v>
      </c>
      <c r="F1035" s="3" t="s">
        <v>3224</v>
      </c>
      <c r="G1035" s="9">
        <v>259.31</v>
      </c>
      <c r="H1035" s="10">
        <v>45667.892222222217</v>
      </c>
      <c r="I1035" s="10">
        <v>45667.892222222217</v>
      </c>
      <c r="J1035" s="10">
        <v>45667.89303240741</v>
      </c>
      <c r="K1035" s="11">
        <v>8.1018518518518516E-4</v>
      </c>
      <c r="L1035" s="13"/>
    </row>
    <row r="1036" spans="1:12" x14ac:dyDescent="0.25">
      <c r="A1036" s="3" t="s">
        <v>3223</v>
      </c>
      <c r="B1036" s="3" t="s">
        <v>4292</v>
      </c>
      <c r="C1036" s="3" t="s">
        <v>1403</v>
      </c>
      <c r="D1036" s="9">
        <v>110.2</v>
      </c>
      <c r="E1036" s="3" t="s">
        <v>3197</v>
      </c>
      <c r="F1036" s="3" t="s">
        <v>3224</v>
      </c>
      <c r="G1036" s="9">
        <v>262.93</v>
      </c>
      <c r="H1036" s="10">
        <v>45668.243854166663</v>
      </c>
      <c r="I1036" s="10">
        <v>45668.243854166663</v>
      </c>
      <c r="J1036" s="10">
        <v>45668.244664351849</v>
      </c>
      <c r="K1036" s="11">
        <v>8.1018518518518516E-4</v>
      </c>
      <c r="L1036" s="13"/>
    </row>
    <row r="1037" spans="1:12" x14ac:dyDescent="0.25">
      <c r="A1037" s="3" t="s">
        <v>3223</v>
      </c>
      <c r="B1037" s="3" t="s">
        <v>4293</v>
      </c>
      <c r="C1037" s="3" t="s">
        <v>1415</v>
      </c>
      <c r="D1037" s="9">
        <v>110.2</v>
      </c>
      <c r="E1037" s="3" t="s">
        <v>3201</v>
      </c>
      <c r="F1037" s="3" t="s">
        <v>3224</v>
      </c>
      <c r="G1037" s="9">
        <v>259.31</v>
      </c>
      <c r="H1037" s="10">
        <v>45668.267951388887</v>
      </c>
      <c r="I1037" s="10">
        <v>45668.267951388887</v>
      </c>
      <c r="J1037" s="10">
        <v>45668.268738425933</v>
      </c>
      <c r="K1037" s="11">
        <v>7.8703703703703705E-4</v>
      </c>
      <c r="L1037" s="13"/>
    </row>
    <row r="1038" spans="1:12" x14ac:dyDescent="0.25">
      <c r="A1038" s="3" t="s">
        <v>3223</v>
      </c>
      <c r="B1038" s="3" t="s">
        <v>4294</v>
      </c>
      <c r="C1038" s="3" t="s">
        <v>1410</v>
      </c>
      <c r="D1038" s="9">
        <v>302.89999999999998</v>
      </c>
      <c r="E1038" s="3" t="s">
        <v>3193</v>
      </c>
      <c r="F1038" s="3" t="s">
        <v>3224</v>
      </c>
      <c r="G1038" s="9">
        <v>205.9</v>
      </c>
      <c r="H1038" s="10">
        <v>45668.279745370368</v>
      </c>
      <c r="I1038" s="10">
        <v>45668.279745370368</v>
      </c>
      <c r="J1038" s="10">
        <v>45668.280868055554</v>
      </c>
      <c r="K1038" s="11">
        <v>1.1226851851851849E-3</v>
      </c>
      <c r="L1038" s="13"/>
    </row>
    <row r="1039" spans="1:12" x14ac:dyDescent="0.25">
      <c r="A1039" s="3" t="s">
        <v>3223</v>
      </c>
      <c r="B1039" s="3" t="s">
        <v>4295</v>
      </c>
      <c r="C1039" s="3" t="s">
        <v>1418</v>
      </c>
      <c r="D1039" s="9">
        <v>210.6</v>
      </c>
      <c r="E1039" s="3" t="s">
        <v>3202</v>
      </c>
      <c r="F1039" s="3" t="s">
        <v>3224</v>
      </c>
      <c r="G1039" s="9">
        <v>231.94</v>
      </c>
      <c r="H1039" s="10">
        <v>45668.290879629632</v>
      </c>
      <c r="I1039" s="10">
        <v>45668.290879629632</v>
      </c>
      <c r="J1039" s="10">
        <v>45668.291851851849</v>
      </c>
      <c r="K1039" s="11">
        <v>9.7222222222222219E-4</v>
      </c>
      <c r="L1039" s="13"/>
    </row>
    <row r="1040" spans="1:12" x14ac:dyDescent="0.25">
      <c r="A1040" s="3" t="s">
        <v>3223</v>
      </c>
      <c r="B1040" s="3" t="s">
        <v>4296</v>
      </c>
      <c r="C1040" s="3" t="s">
        <v>1365</v>
      </c>
      <c r="D1040" s="9">
        <v>268.2</v>
      </c>
      <c r="E1040" s="3" t="s">
        <v>3204</v>
      </c>
      <c r="F1040" s="3" t="s">
        <v>3224</v>
      </c>
      <c r="G1040" s="9">
        <v>240.31</v>
      </c>
      <c r="H1040" s="10">
        <v>45669.803460648152</v>
      </c>
      <c r="I1040" s="10">
        <v>45669.803460648152</v>
      </c>
      <c r="J1040" s="10">
        <v>45669.804583333331</v>
      </c>
      <c r="K1040" s="11">
        <v>1.1226851851851849E-3</v>
      </c>
      <c r="L1040" s="13"/>
    </row>
    <row r="1041" spans="1:12" x14ac:dyDescent="0.25">
      <c r="A1041" s="3" t="s">
        <v>3223</v>
      </c>
      <c r="B1041" s="3" t="s">
        <v>4297</v>
      </c>
      <c r="C1041" s="3" t="s">
        <v>1425</v>
      </c>
      <c r="D1041" s="9">
        <v>349.3</v>
      </c>
      <c r="E1041" s="3" t="s">
        <v>3193</v>
      </c>
      <c r="F1041" s="3" t="s">
        <v>3224</v>
      </c>
      <c r="G1041" s="9">
        <v>205.9</v>
      </c>
      <c r="H1041" s="10">
        <v>45669.818414351852</v>
      </c>
      <c r="I1041" s="10">
        <v>45669.818414351852</v>
      </c>
      <c r="J1041" s="10">
        <v>45669.819652777784</v>
      </c>
      <c r="K1041" s="11">
        <v>1.238425925925926E-3</v>
      </c>
      <c r="L1041" s="13"/>
    </row>
    <row r="1042" spans="1:12" x14ac:dyDescent="0.25">
      <c r="A1042" s="3" t="s">
        <v>3223</v>
      </c>
      <c r="B1042" s="3" t="s">
        <v>4298</v>
      </c>
      <c r="C1042" s="3" t="s">
        <v>1431</v>
      </c>
      <c r="D1042" s="9">
        <v>106.9</v>
      </c>
      <c r="E1042" s="3" t="s">
        <v>3193</v>
      </c>
      <c r="F1042" s="3" t="s">
        <v>3224</v>
      </c>
      <c r="G1042" s="9">
        <v>205.9</v>
      </c>
      <c r="H1042" s="10">
        <v>45669.866550925923</v>
      </c>
      <c r="I1042" s="10">
        <v>45669.866550925923</v>
      </c>
      <c r="J1042" s="10">
        <v>45669.8672337963</v>
      </c>
      <c r="K1042" s="11">
        <v>6.8287037037037036E-4</v>
      </c>
      <c r="L1042" s="13"/>
    </row>
    <row r="1043" spans="1:12" x14ac:dyDescent="0.25">
      <c r="A1043" s="3" t="s">
        <v>3223</v>
      </c>
      <c r="B1043" s="3" t="s">
        <v>4299</v>
      </c>
      <c r="C1043" s="3" t="s">
        <v>1434</v>
      </c>
      <c r="D1043" s="9">
        <v>101.2</v>
      </c>
      <c r="E1043" s="3" t="s">
        <v>3204</v>
      </c>
      <c r="F1043" s="3" t="s">
        <v>3224</v>
      </c>
      <c r="G1043" s="9">
        <v>240.31</v>
      </c>
      <c r="H1043" s="10">
        <v>45669.867893518523</v>
      </c>
      <c r="I1043" s="10">
        <v>45669.867893518523</v>
      </c>
      <c r="J1043" s="10">
        <v>45669.868634259263</v>
      </c>
      <c r="K1043" s="11">
        <v>7.407407407407407E-4</v>
      </c>
      <c r="L1043" s="13"/>
    </row>
    <row r="1044" spans="1:12" x14ac:dyDescent="0.25">
      <c r="A1044" s="3" t="s">
        <v>3223</v>
      </c>
      <c r="B1044" s="3" t="s">
        <v>4300</v>
      </c>
      <c r="C1044" s="3" t="s">
        <v>1393</v>
      </c>
      <c r="D1044" s="9">
        <v>186.8</v>
      </c>
      <c r="E1044" s="3" t="s">
        <v>3195</v>
      </c>
      <c r="F1044" s="3" t="s">
        <v>3224</v>
      </c>
      <c r="G1044" s="9">
        <v>286.14</v>
      </c>
      <c r="H1044" s="10">
        <v>45670.150868055563</v>
      </c>
      <c r="I1044" s="10">
        <v>45670.150868055563</v>
      </c>
      <c r="J1044" s="10">
        <v>45670.151898148149</v>
      </c>
      <c r="K1044" s="11">
        <v>1.0300925925925931E-3</v>
      </c>
      <c r="L1044" s="13"/>
    </row>
    <row r="1045" spans="1:12" x14ac:dyDescent="0.25">
      <c r="A1045" s="3" t="s">
        <v>3223</v>
      </c>
      <c r="B1045" s="3" t="s">
        <v>4301</v>
      </c>
      <c r="C1045" s="3" t="s">
        <v>1442</v>
      </c>
      <c r="D1045" s="9">
        <v>301.2</v>
      </c>
      <c r="E1045" s="3" t="s">
        <v>3204</v>
      </c>
      <c r="F1045" s="3" t="s">
        <v>3224</v>
      </c>
      <c r="G1045" s="9">
        <v>240.31</v>
      </c>
      <c r="H1045" s="10">
        <v>45670.25309027778</v>
      </c>
      <c r="I1045" s="10">
        <v>45670.25309027778</v>
      </c>
      <c r="J1045" s="10">
        <v>45670.254293981481</v>
      </c>
      <c r="K1045" s="11">
        <v>1.203703703703704E-3</v>
      </c>
      <c r="L1045" s="13"/>
    </row>
    <row r="1046" spans="1:12" x14ac:dyDescent="0.25">
      <c r="A1046" s="3" t="s">
        <v>3223</v>
      </c>
      <c r="B1046" s="3" t="s">
        <v>4302</v>
      </c>
      <c r="C1046" s="3" t="s">
        <v>1445</v>
      </c>
      <c r="D1046" s="9">
        <v>298</v>
      </c>
      <c r="E1046" s="3" t="s">
        <v>3204</v>
      </c>
      <c r="F1046" s="3" t="s">
        <v>3224</v>
      </c>
      <c r="G1046" s="9">
        <v>240.31</v>
      </c>
      <c r="H1046" s="10">
        <v>45670.319131944438</v>
      </c>
      <c r="I1046" s="10">
        <v>45670.319131944438</v>
      </c>
      <c r="J1046" s="10">
        <v>45670.3203125</v>
      </c>
      <c r="K1046" s="11">
        <v>1.180555555555556E-3</v>
      </c>
      <c r="L1046" s="13"/>
    </row>
    <row r="1047" spans="1:12" x14ac:dyDescent="0.25">
      <c r="A1047" s="3" t="s">
        <v>3223</v>
      </c>
      <c r="B1047" s="3" t="s">
        <v>4303</v>
      </c>
      <c r="C1047" s="3" t="s">
        <v>1448</v>
      </c>
      <c r="D1047" s="9">
        <v>205.5</v>
      </c>
      <c r="E1047" s="3" t="s">
        <v>3195</v>
      </c>
      <c r="F1047" s="3" t="s">
        <v>3224</v>
      </c>
      <c r="G1047" s="9">
        <v>286.14</v>
      </c>
      <c r="H1047" s="10">
        <v>45670.341400462959</v>
      </c>
      <c r="I1047" s="10">
        <v>45670.341400462959</v>
      </c>
      <c r="J1047" s="10">
        <v>45670.342465277783</v>
      </c>
      <c r="K1047" s="11">
        <v>1.0648148148148151E-3</v>
      </c>
      <c r="L1047" s="13"/>
    </row>
    <row r="1048" spans="1:12" x14ac:dyDescent="0.25">
      <c r="A1048" s="3" t="s">
        <v>3223</v>
      </c>
      <c r="B1048" s="3" t="s">
        <v>4304</v>
      </c>
      <c r="C1048" s="3" t="s">
        <v>1400</v>
      </c>
      <c r="D1048" s="9">
        <v>162</v>
      </c>
      <c r="E1048" s="3" t="s">
        <v>3200</v>
      </c>
      <c r="F1048" s="3" t="s">
        <v>3224</v>
      </c>
      <c r="G1048" s="9">
        <v>245</v>
      </c>
      <c r="H1048" s="10">
        <v>45670.381458333337</v>
      </c>
      <c r="I1048" s="10">
        <v>45670.381458333337</v>
      </c>
      <c r="J1048" s="10">
        <v>45670.382349537038</v>
      </c>
      <c r="K1048" s="11">
        <v>8.9120370370370373E-4</v>
      </c>
      <c r="L1048" s="13"/>
    </row>
    <row r="1049" spans="1:12" x14ac:dyDescent="0.25">
      <c r="A1049" s="3" t="s">
        <v>3223</v>
      </c>
      <c r="B1049" s="3" t="s">
        <v>4305</v>
      </c>
      <c r="C1049" s="3" t="s">
        <v>1451</v>
      </c>
      <c r="D1049" s="9">
        <v>397.3</v>
      </c>
      <c r="E1049" s="3" t="s">
        <v>3197</v>
      </c>
      <c r="F1049" s="3" t="s">
        <v>3224</v>
      </c>
      <c r="G1049" s="9">
        <v>262.93</v>
      </c>
      <c r="H1049" s="10">
        <v>45670.386608796303</v>
      </c>
      <c r="I1049" s="10">
        <v>45670.386608796303</v>
      </c>
      <c r="J1049" s="10">
        <v>45670.388067129628</v>
      </c>
      <c r="K1049" s="11">
        <v>1.458333333333333E-3</v>
      </c>
      <c r="L1049" s="13"/>
    </row>
    <row r="1050" spans="1:12" x14ac:dyDescent="0.25">
      <c r="A1050" s="3" t="s">
        <v>3223</v>
      </c>
      <c r="B1050" s="3" t="s">
        <v>4306</v>
      </c>
      <c r="C1050" s="3" t="s">
        <v>1139</v>
      </c>
      <c r="D1050" s="9">
        <v>182.9</v>
      </c>
      <c r="E1050" s="3" t="s">
        <v>3205</v>
      </c>
      <c r="F1050" s="3" t="s">
        <v>3224</v>
      </c>
      <c r="G1050" s="9">
        <v>262.93</v>
      </c>
      <c r="H1050" s="10">
        <v>45670.425902777781</v>
      </c>
      <c r="I1050" s="10">
        <v>45670.425902777781</v>
      </c>
      <c r="J1050" s="10">
        <v>45670.426874999997</v>
      </c>
      <c r="K1050" s="11">
        <v>9.7222222222222219E-4</v>
      </c>
      <c r="L1050" s="13"/>
    </row>
    <row r="1051" spans="1:12" x14ac:dyDescent="0.25">
      <c r="A1051" s="3" t="s">
        <v>3223</v>
      </c>
      <c r="B1051" s="3" t="s">
        <v>4307</v>
      </c>
      <c r="C1051" s="3" t="s">
        <v>1290</v>
      </c>
      <c r="D1051" s="9">
        <v>100.6</v>
      </c>
      <c r="E1051" s="3" t="s">
        <v>3203</v>
      </c>
      <c r="F1051" s="3" t="s">
        <v>3224</v>
      </c>
      <c r="G1051" s="9">
        <v>223.61</v>
      </c>
      <c r="H1051" s="10">
        <v>45670.437557870369</v>
      </c>
      <c r="I1051" s="10">
        <v>45670.437557870369</v>
      </c>
      <c r="J1051" s="10">
        <v>45670.438252314823</v>
      </c>
      <c r="K1051" s="11">
        <v>6.9444444444444447E-4</v>
      </c>
      <c r="L1051" s="13"/>
    </row>
    <row r="1052" spans="1:12" x14ac:dyDescent="0.25">
      <c r="A1052" s="3" t="s">
        <v>3223</v>
      </c>
      <c r="B1052" s="3" t="s">
        <v>4308</v>
      </c>
      <c r="C1052" s="3" t="s">
        <v>1486</v>
      </c>
      <c r="D1052" s="9">
        <v>279</v>
      </c>
      <c r="E1052" s="3" t="s">
        <v>3204</v>
      </c>
      <c r="F1052" s="3" t="s">
        <v>3224</v>
      </c>
      <c r="G1052" s="9">
        <v>240.31</v>
      </c>
      <c r="H1052" s="10">
        <v>45670.43954861111</v>
      </c>
      <c r="I1052" s="10">
        <v>45670.43954861111</v>
      </c>
      <c r="J1052" s="10">
        <v>45670.440694444442</v>
      </c>
      <c r="K1052" s="11">
        <v>1.1458333333333329E-3</v>
      </c>
      <c r="L1052" s="13"/>
    </row>
    <row r="1053" spans="1:12" x14ac:dyDescent="0.25">
      <c r="A1053" s="3" t="s">
        <v>3223</v>
      </c>
      <c r="B1053" s="3" t="s">
        <v>4309</v>
      </c>
      <c r="C1053" s="3" t="s">
        <v>1439</v>
      </c>
      <c r="D1053" s="9">
        <v>125.3</v>
      </c>
      <c r="E1053" s="3" t="s">
        <v>3193</v>
      </c>
      <c r="F1053" s="3" t="s">
        <v>3224</v>
      </c>
      <c r="G1053" s="9">
        <v>205.9</v>
      </c>
      <c r="H1053" s="10">
        <v>45670.449386574073</v>
      </c>
      <c r="I1053" s="10">
        <v>45670.449386574073</v>
      </c>
      <c r="J1053" s="10">
        <v>45670.450104166674</v>
      </c>
      <c r="K1053" s="11">
        <v>7.1759259259259259E-4</v>
      </c>
      <c r="L1053" s="13"/>
    </row>
    <row r="1054" spans="1:12" x14ac:dyDescent="0.25">
      <c r="A1054" s="3" t="s">
        <v>3223</v>
      </c>
      <c r="B1054" s="3" t="s">
        <v>4310</v>
      </c>
      <c r="C1054" s="3" t="s">
        <v>1466</v>
      </c>
      <c r="D1054" s="9">
        <v>147</v>
      </c>
      <c r="E1054" s="3" t="s">
        <v>3195</v>
      </c>
      <c r="F1054" s="3" t="s">
        <v>3224</v>
      </c>
      <c r="G1054" s="9">
        <v>286.14</v>
      </c>
      <c r="H1054" s="10">
        <v>45670.46769675926</v>
      </c>
      <c r="I1054" s="10">
        <v>45670.46769675926</v>
      </c>
      <c r="J1054" s="10">
        <v>45670.468634259261</v>
      </c>
      <c r="K1054" s="11">
        <v>9.3749999999999997E-4</v>
      </c>
      <c r="L1054" s="13"/>
    </row>
    <row r="1055" spans="1:12" x14ac:dyDescent="0.25">
      <c r="A1055" s="3" t="s">
        <v>3223</v>
      </c>
      <c r="B1055" s="3" t="s">
        <v>4311</v>
      </c>
      <c r="C1055" s="3" t="s">
        <v>1456</v>
      </c>
      <c r="D1055" s="9">
        <v>218.1</v>
      </c>
      <c r="E1055" s="3" t="s">
        <v>3202</v>
      </c>
      <c r="F1055" s="3" t="s">
        <v>3224</v>
      </c>
      <c r="G1055" s="9">
        <v>231.94</v>
      </c>
      <c r="H1055" s="10">
        <v>45670.48196759259</v>
      </c>
      <c r="I1055" s="10">
        <v>45670.48196759259</v>
      </c>
      <c r="J1055" s="10">
        <v>45670.48296296296</v>
      </c>
      <c r="K1055" s="11">
        <v>9.9537037037037042E-4</v>
      </c>
      <c r="L1055" s="13"/>
    </row>
    <row r="1056" spans="1:12" x14ac:dyDescent="0.25">
      <c r="A1056" s="3" t="s">
        <v>3223</v>
      </c>
      <c r="B1056" s="3" t="s">
        <v>4312</v>
      </c>
      <c r="C1056" s="3" t="s">
        <v>1513</v>
      </c>
      <c r="D1056" s="9">
        <v>267.5</v>
      </c>
      <c r="E1056" s="3" t="s">
        <v>3197</v>
      </c>
      <c r="F1056" s="3" t="s">
        <v>3224</v>
      </c>
      <c r="G1056" s="9">
        <v>262.93</v>
      </c>
      <c r="H1056" s="10">
        <v>45670.497569444437</v>
      </c>
      <c r="I1056" s="10">
        <v>45670.497569444437</v>
      </c>
      <c r="J1056" s="10">
        <v>45670.498738425929</v>
      </c>
      <c r="K1056" s="11">
        <v>1.168981481481482E-3</v>
      </c>
      <c r="L1056" s="13"/>
    </row>
    <row r="1057" spans="1:12" x14ac:dyDescent="0.25">
      <c r="A1057" s="3" t="s">
        <v>3223</v>
      </c>
      <c r="B1057" s="3" t="s">
        <v>4313</v>
      </c>
      <c r="C1057" s="3" t="s">
        <v>1502</v>
      </c>
      <c r="D1057" s="9">
        <v>334.4</v>
      </c>
      <c r="E1057" s="3" t="s">
        <v>3205</v>
      </c>
      <c r="F1057" s="3" t="s">
        <v>3224</v>
      </c>
      <c r="G1057" s="9">
        <v>262.93</v>
      </c>
      <c r="H1057" s="10">
        <v>45670.583726851852</v>
      </c>
      <c r="I1057" s="10">
        <v>45670.583726851852</v>
      </c>
      <c r="J1057" s="10">
        <v>45670.585046296299</v>
      </c>
      <c r="K1057" s="11">
        <v>1.3194444444444441E-3</v>
      </c>
      <c r="L1057" s="13"/>
    </row>
    <row r="1058" spans="1:12" x14ac:dyDescent="0.25">
      <c r="A1058" s="3" t="s">
        <v>3223</v>
      </c>
      <c r="B1058" s="3" t="s">
        <v>4314</v>
      </c>
      <c r="C1058" s="3" t="s">
        <v>1528</v>
      </c>
      <c r="D1058" s="9">
        <v>100.9</v>
      </c>
      <c r="E1058" s="3" t="s">
        <v>3204</v>
      </c>
      <c r="F1058" s="3" t="s">
        <v>3224</v>
      </c>
      <c r="G1058" s="9">
        <v>240.31</v>
      </c>
      <c r="H1058" s="10">
        <v>45670.664756944447</v>
      </c>
      <c r="I1058" s="10">
        <v>45670.664756944447</v>
      </c>
      <c r="J1058" s="10">
        <v>45670.665497685193</v>
      </c>
      <c r="K1058" s="11">
        <v>7.407407407407407E-4</v>
      </c>
      <c r="L1058" s="13"/>
    </row>
    <row r="1059" spans="1:12" x14ac:dyDescent="0.25">
      <c r="A1059" s="3" t="s">
        <v>3223</v>
      </c>
      <c r="B1059" s="3" t="s">
        <v>4315</v>
      </c>
      <c r="C1059" s="3" t="s">
        <v>1390</v>
      </c>
      <c r="D1059" s="9">
        <v>119.4</v>
      </c>
      <c r="E1059" s="3" t="s">
        <v>3198</v>
      </c>
      <c r="F1059" s="3" t="s">
        <v>3224</v>
      </c>
      <c r="G1059" s="9">
        <v>259.16000000000003</v>
      </c>
      <c r="H1059" s="10">
        <v>45670.682766203703</v>
      </c>
      <c r="I1059" s="10">
        <v>45670.682766203703</v>
      </c>
      <c r="J1059" s="10">
        <v>45670.683587962973</v>
      </c>
      <c r="K1059" s="11">
        <v>8.2175925925925927E-4</v>
      </c>
      <c r="L1059" s="13"/>
    </row>
    <row r="1060" spans="1:12" x14ac:dyDescent="0.25">
      <c r="A1060" s="3" t="s">
        <v>3223</v>
      </c>
      <c r="B1060" s="3" t="s">
        <v>4316</v>
      </c>
      <c r="C1060" s="3" t="s">
        <v>1499</v>
      </c>
      <c r="D1060" s="9">
        <v>388.3</v>
      </c>
      <c r="E1060" s="3" t="s">
        <v>3203</v>
      </c>
      <c r="F1060" s="3" t="s">
        <v>3224</v>
      </c>
      <c r="G1060" s="9">
        <v>223.61</v>
      </c>
      <c r="H1060" s="10">
        <v>45670.684074074074</v>
      </c>
      <c r="I1060" s="10">
        <v>45670.684074074074</v>
      </c>
      <c r="J1060" s="10">
        <v>45670.685439814813</v>
      </c>
      <c r="K1060" s="11">
        <v>1.3657407407407409E-3</v>
      </c>
      <c r="L1060" s="13"/>
    </row>
    <row r="1061" spans="1:12" x14ac:dyDescent="0.25">
      <c r="A1061" s="3" t="s">
        <v>3223</v>
      </c>
      <c r="B1061" s="3" t="s">
        <v>4317</v>
      </c>
      <c r="C1061" s="3" t="s">
        <v>1516</v>
      </c>
      <c r="D1061" s="9">
        <v>198.8</v>
      </c>
      <c r="E1061" s="3" t="s">
        <v>3200</v>
      </c>
      <c r="F1061" s="3" t="s">
        <v>3224</v>
      </c>
      <c r="G1061" s="9">
        <v>245</v>
      </c>
      <c r="H1061" s="10">
        <v>45670.723715277767</v>
      </c>
      <c r="I1061" s="10">
        <v>45670.723715277767</v>
      </c>
      <c r="J1061" s="10">
        <v>45670.724687499998</v>
      </c>
      <c r="K1061" s="11">
        <v>9.7222222222222219E-4</v>
      </c>
      <c r="L1061" s="13"/>
    </row>
    <row r="1062" spans="1:12" x14ac:dyDescent="0.25">
      <c r="A1062" s="3" t="s">
        <v>3223</v>
      </c>
      <c r="B1062" s="3" t="s">
        <v>4318</v>
      </c>
      <c r="C1062" s="3" t="s">
        <v>1556</v>
      </c>
      <c r="D1062" s="9">
        <v>229.7</v>
      </c>
      <c r="E1062" s="3" t="s">
        <v>3204</v>
      </c>
      <c r="F1062" s="3" t="s">
        <v>3224</v>
      </c>
      <c r="G1062" s="9">
        <v>240.31</v>
      </c>
      <c r="H1062" s="10">
        <v>45670.726782407408</v>
      </c>
      <c r="I1062" s="10">
        <v>45670.726782407408</v>
      </c>
      <c r="J1062" s="10">
        <v>45670.727812500001</v>
      </c>
      <c r="K1062" s="11">
        <v>1.0300925925925931E-3</v>
      </c>
      <c r="L1062" s="13"/>
    </row>
    <row r="1063" spans="1:12" x14ac:dyDescent="0.25">
      <c r="A1063" s="3" t="s">
        <v>3223</v>
      </c>
      <c r="B1063" s="3" t="s">
        <v>4319</v>
      </c>
      <c r="C1063" s="3" t="s">
        <v>1551</v>
      </c>
      <c r="D1063" s="9">
        <v>393.5</v>
      </c>
      <c r="E1063" s="3" t="s">
        <v>3202</v>
      </c>
      <c r="F1063" s="3" t="s">
        <v>3224</v>
      </c>
      <c r="G1063" s="9">
        <v>231.94</v>
      </c>
      <c r="H1063" s="10">
        <v>45670.734768518523</v>
      </c>
      <c r="I1063" s="10">
        <v>45670.734768518523</v>
      </c>
      <c r="J1063" s="10">
        <v>45670.736168981479</v>
      </c>
      <c r="K1063" s="11">
        <v>1.4004629629629629E-3</v>
      </c>
      <c r="L1063" s="13"/>
    </row>
    <row r="1064" spans="1:12" x14ac:dyDescent="0.25">
      <c r="A1064" s="3" t="s">
        <v>3223</v>
      </c>
      <c r="B1064" s="3" t="s">
        <v>4320</v>
      </c>
      <c r="C1064" s="3" t="s">
        <v>1559</v>
      </c>
      <c r="D1064" s="9">
        <v>185.9</v>
      </c>
      <c r="E1064" s="3" t="s">
        <v>3203</v>
      </c>
      <c r="F1064" s="3" t="s">
        <v>3224</v>
      </c>
      <c r="G1064" s="9">
        <v>223.61</v>
      </c>
      <c r="H1064" s="10">
        <v>45670.77103009259</v>
      </c>
      <c r="I1064" s="10">
        <v>45670.77103009259</v>
      </c>
      <c r="J1064" s="10">
        <v>45670.771932870368</v>
      </c>
      <c r="K1064" s="11">
        <v>9.0277777777777774E-4</v>
      </c>
      <c r="L1064" s="13"/>
    </row>
    <row r="1065" spans="1:12" x14ac:dyDescent="0.25">
      <c r="A1065" s="3" t="s">
        <v>3223</v>
      </c>
      <c r="B1065" s="3" t="s">
        <v>4321</v>
      </c>
      <c r="C1065" s="3" t="s">
        <v>1562</v>
      </c>
      <c r="D1065" s="9">
        <v>389.1</v>
      </c>
      <c r="E1065" s="3" t="s">
        <v>3203</v>
      </c>
      <c r="F1065" s="3" t="s">
        <v>3224</v>
      </c>
      <c r="G1065" s="9">
        <v>223.61</v>
      </c>
      <c r="H1065" s="10">
        <v>45670.960011574083</v>
      </c>
      <c r="I1065" s="10">
        <v>45670.960011574083</v>
      </c>
      <c r="J1065" s="10">
        <v>45670.961377314823</v>
      </c>
      <c r="K1065" s="11">
        <v>1.3657407407407409E-3</v>
      </c>
      <c r="L1065" s="13"/>
    </row>
    <row r="1066" spans="1:12" x14ac:dyDescent="0.25">
      <c r="A1066" s="3" t="s">
        <v>3223</v>
      </c>
      <c r="B1066" s="3" t="s">
        <v>4322</v>
      </c>
      <c r="C1066" s="3" t="s">
        <v>1539</v>
      </c>
      <c r="D1066" s="9">
        <v>124.9</v>
      </c>
      <c r="E1066" s="3" t="s">
        <v>3195</v>
      </c>
      <c r="F1066" s="3" t="s">
        <v>3224</v>
      </c>
      <c r="G1066" s="9">
        <v>286.14</v>
      </c>
      <c r="H1066" s="10">
        <v>45671.140231481477</v>
      </c>
      <c r="I1066" s="10">
        <v>45671.140231481477</v>
      </c>
      <c r="J1066" s="10">
        <v>45671.141122685192</v>
      </c>
      <c r="K1066" s="11">
        <v>8.9120370370370373E-4</v>
      </c>
      <c r="L1066" s="13"/>
    </row>
    <row r="1067" spans="1:12" x14ac:dyDescent="0.25">
      <c r="A1067" s="3" t="s">
        <v>3223</v>
      </c>
      <c r="B1067" s="3" t="s">
        <v>4323</v>
      </c>
      <c r="C1067" s="3" t="s">
        <v>1525</v>
      </c>
      <c r="D1067" s="9">
        <v>101.9</v>
      </c>
      <c r="E1067" s="3" t="s">
        <v>3193</v>
      </c>
      <c r="F1067" s="3" t="s">
        <v>3224</v>
      </c>
      <c r="G1067" s="9">
        <v>205.9</v>
      </c>
      <c r="H1067" s="10">
        <v>45671.326701388891</v>
      </c>
      <c r="I1067" s="10">
        <v>45671.326701388891</v>
      </c>
      <c r="J1067" s="10">
        <v>45671.327361111107</v>
      </c>
      <c r="K1067" s="11">
        <v>6.5972222222222224E-4</v>
      </c>
      <c r="L1067" s="13"/>
    </row>
    <row r="1068" spans="1:12" x14ac:dyDescent="0.25">
      <c r="A1068" s="3" t="s">
        <v>3223</v>
      </c>
      <c r="B1068" s="3" t="s">
        <v>4324</v>
      </c>
      <c r="C1068" s="3" t="s">
        <v>1471</v>
      </c>
      <c r="D1068" s="9">
        <v>187.6</v>
      </c>
      <c r="E1068" s="3" t="s">
        <v>3196</v>
      </c>
      <c r="F1068" s="3" t="s">
        <v>3224</v>
      </c>
      <c r="G1068" s="9">
        <v>182.11</v>
      </c>
      <c r="H1068" s="10">
        <v>45671.331099537027</v>
      </c>
      <c r="I1068" s="10">
        <v>45671.331099537027</v>
      </c>
      <c r="J1068" s="10">
        <v>45671.331921296303</v>
      </c>
      <c r="K1068" s="11">
        <v>8.2175925925925927E-4</v>
      </c>
      <c r="L1068" s="13"/>
    </row>
    <row r="1069" spans="1:12" x14ac:dyDescent="0.25">
      <c r="A1069" s="3" t="s">
        <v>3223</v>
      </c>
      <c r="B1069" s="3" t="s">
        <v>4325</v>
      </c>
      <c r="C1069" s="3" t="s">
        <v>1574</v>
      </c>
      <c r="D1069" s="9">
        <v>297</v>
      </c>
      <c r="E1069" s="3" t="s">
        <v>3203</v>
      </c>
      <c r="F1069" s="3" t="s">
        <v>3224</v>
      </c>
      <c r="G1069" s="9">
        <v>223.61</v>
      </c>
      <c r="H1069" s="10">
        <v>45671.335532407407</v>
      </c>
      <c r="I1069" s="10">
        <v>45671.335532407407</v>
      </c>
      <c r="J1069" s="10">
        <v>45671.336689814823</v>
      </c>
      <c r="K1069" s="11">
        <v>1.1574074074074069E-3</v>
      </c>
      <c r="L1069" s="13"/>
    </row>
    <row r="1070" spans="1:12" x14ac:dyDescent="0.25">
      <c r="A1070" s="3" t="s">
        <v>3223</v>
      </c>
      <c r="B1070" s="3" t="s">
        <v>4326</v>
      </c>
      <c r="C1070" s="3" t="s">
        <v>1593</v>
      </c>
      <c r="D1070" s="9">
        <v>213.8</v>
      </c>
      <c r="E1070" s="3" t="s">
        <v>3200</v>
      </c>
      <c r="F1070" s="3" t="s">
        <v>3224</v>
      </c>
      <c r="G1070" s="9">
        <v>245</v>
      </c>
      <c r="H1070" s="10">
        <v>45671.368449074071</v>
      </c>
      <c r="I1070" s="10">
        <v>45671.368449074071</v>
      </c>
      <c r="J1070" s="10">
        <v>45671.369456018518</v>
      </c>
      <c r="K1070" s="11">
        <v>1.006944444444444E-3</v>
      </c>
      <c r="L1070" s="13"/>
    </row>
    <row r="1071" spans="1:12" x14ac:dyDescent="0.25">
      <c r="A1071" s="3" t="s">
        <v>3223</v>
      </c>
      <c r="B1071" s="3" t="s">
        <v>4327</v>
      </c>
      <c r="C1071" s="3" t="s">
        <v>1596</v>
      </c>
      <c r="D1071" s="9">
        <v>389.8</v>
      </c>
      <c r="E1071" s="3" t="s">
        <v>3193</v>
      </c>
      <c r="F1071" s="3" t="s">
        <v>3224</v>
      </c>
      <c r="G1071" s="9">
        <v>205.9</v>
      </c>
      <c r="H1071" s="10">
        <v>45671.415659722217</v>
      </c>
      <c r="I1071" s="10">
        <v>45671.415659722217</v>
      </c>
      <c r="J1071" s="10">
        <v>45671.416990740741</v>
      </c>
      <c r="K1071" s="11">
        <v>1.3310185185185181E-3</v>
      </c>
      <c r="L1071" s="13"/>
    </row>
    <row r="1072" spans="1:12" x14ac:dyDescent="0.25">
      <c r="A1072" s="3" t="s">
        <v>3223</v>
      </c>
      <c r="B1072" s="3" t="s">
        <v>4328</v>
      </c>
      <c r="C1072" s="3" t="s">
        <v>1629</v>
      </c>
      <c r="D1072" s="9">
        <v>129.1</v>
      </c>
      <c r="E1072" s="3" t="s">
        <v>3196</v>
      </c>
      <c r="F1072" s="3" t="s">
        <v>3224</v>
      </c>
      <c r="G1072" s="9">
        <v>182.11</v>
      </c>
      <c r="H1072" s="10">
        <v>45671.423090277778</v>
      </c>
      <c r="I1072" s="10">
        <v>45671.423090277778</v>
      </c>
      <c r="J1072" s="10">
        <v>45671.423761574071</v>
      </c>
      <c r="K1072" s="11">
        <v>6.7129629629629625E-4</v>
      </c>
      <c r="L1072" s="13"/>
    </row>
    <row r="1073" spans="1:12" x14ac:dyDescent="0.25">
      <c r="A1073" s="3" t="s">
        <v>3223</v>
      </c>
      <c r="B1073" s="3" t="s">
        <v>4329</v>
      </c>
      <c r="C1073" s="3" t="s">
        <v>1584</v>
      </c>
      <c r="D1073" s="9">
        <v>109.4</v>
      </c>
      <c r="E1073" s="3" t="s">
        <v>3195</v>
      </c>
      <c r="F1073" s="3" t="s">
        <v>3224</v>
      </c>
      <c r="G1073" s="9">
        <v>286.14</v>
      </c>
      <c r="H1073" s="10">
        <v>45671.457303240742</v>
      </c>
      <c r="I1073" s="10">
        <v>45671.457303240742</v>
      </c>
      <c r="J1073" s="10">
        <v>45671.458148148151</v>
      </c>
      <c r="K1073" s="11">
        <v>8.4490740740740739E-4</v>
      </c>
      <c r="L1073" s="13"/>
    </row>
    <row r="1074" spans="1:12" x14ac:dyDescent="0.25">
      <c r="A1074" s="3" t="s">
        <v>3223</v>
      </c>
      <c r="B1074" s="3" t="s">
        <v>4330</v>
      </c>
      <c r="C1074" s="3" t="s">
        <v>1264</v>
      </c>
      <c r="D1074" s="9">
        <v>343.5</v>
      </c>
      <c r="E1074" s="3" t="s">
        <v>3206</v>
      </c>
      <c r="F1074" s="3" t="s">
        <v>3224</v>
      </c>
      <c r="G1074" s="9">
        <v>286.14</v>
      </c>
      <c r="H1074" s="10">
        <v>45671.457824074067</v>
      </c>
      <c r="I1074" s="10">
        <v>45671.458148148151</v>
      </c>
      <c r="J1074" s="10">
        <v>45671.459537037037</v>
      </c>
      <c r="K1074" s="11">
        <v>1.3888888888888889E-3</v>
      </c>
      <c r="L1074" s="13"/>
    </row>
    <row r="1075" spans="1:12" x14ac:dyDescent="0.25">
      <c r="A1075" s="3" t="s">
        <v>3223</v>
      </c>
      <c r="B1075" s="3" t="s">
        <v>4331</v>
      </c>
      <c r="C1075" s="3" t="s">
        <v>1581</v>
      </c>
      <c r="D1075" s="9">
        <v>189</v>
      </c>
      <c r="E1075" s="3" t="s">
        <v>3204</v>
      </c>
      <c r="F1075" s="3" t="s">
        <v>3224</v>
      </c>
      <c r="G1075" s="9">
        <v>240.31</v>
      </c>
      <c r="H1075" s="10">
        <v>45671.469201388893</v>
      </c>
      <c r="I1075" s="10">
        <v>45671.469201388893</v>
      </c>
      <c r="J1075" s="10">
        <v>45671.470138888893</v>
      </c>
      <c r="K1075" s="11">
        <v>9.3749999999999997E-4</v>
      </c>
      <c r="L1075" s="13"/>
    </row>
    <row r="1076" spans="1:12" x14ac:dyDescent="0.25">
      <c r="A1076" s="3" t="s">
        <v>3223</v>
      </c>
      <c r="B1076" s="3" t="s">
        <v>4332</v>
      </c>
      <c r="C1076" s="3" t="s">
        <v>1376</v>
      </c>
      <c r="D1076" s="9">
        <v>117.2</v>
      </c>
      <c r="E1076" s="3" t="s">
        <v>3199</v>
      </c>
      <c r="F1076" s="3" t="s">
        <v>3224</v>
      </c>
      <c r="G1076" s="9">
        <v>188.33</v>
      </c>
      <c r="H1076" s="10">
        <v>45671.47991898148</v>
      </c>
      <c r="I1076" s="10">
        <v>45671.47991898148</v>
      </c>
      <c r="J1076" s="10">
        <v>45671.480578703697</v>
      </c>
      <c r="K1076" s="11">
        <v>6.5972222222222224E-4</v>
      </c>
      <c r="L1076" s="13"/>
    </row>
    <row r="1077" spans="1:12" x14ac:dyDescent="0.25">
      <c r="A1077" s="3" t="s">
        <v>3223</v>
      </c>
      <c r="B1077" s="3" t="s">
        <v>4333</v>
      </c>
      <c r="C1077" s="3" t="s">
        <v>1624</v>
      </c>
      <c r="D1077" s="9">
        <v>651.79999999999995</v>
      </c>
      <c r="E1077" s="3" t="s">
        <v>3202</v>
      </c>
      <c r="F1077" s="3" t="s">
        <v>3224</v>
      </c>
      <c r="G1077" s="9">
        <v>231.94</v>
      </c>
      <c r="H1077" s="10">
        <v>45671.572199074071</v>
      </c>
      <c r="I1077" s="10">
        <v>45671.572199074071</v>
      </c>
      <c r="J1077" s="10">
        <v>45671.574189814812</v>
      </c>
      <c r="K1077" s="11">
        <v>1.9907407407407408E-3</v>
      </c>
      <c r="L1077" s="13"/>
    </row>
    <row r="1078" spans="1:12" x14ac:dyDescent="0.25">
      <c r="A1078" s="3" t="s">
        <v>3223</v>
      </c>
      <c r="B1078" s="3" t="s">
        <v>4334</v>
      </c>
      <c r="C1078" s="3" t="s">
        <v>1640</v>
      </c>
      <c r="D1078" s="9">
        <v>297.8</v>
      </c>
      <c r="E1078" s="3" t="s">
        <v>3202</v>
      </c>
      <c r="F1078" s="3" t="s">
        <v>3224</v>
      </c>
      <c r="G1078" s="9">
        <v>231.94</v>
      </c>
      <c r="H1078" s="10">
        <v>45671.600775462961</v>
      </c>
      <c r="I1078" s="10">
        <v>45671.600775462961</v>
      </c>
      <c r="J1078" s="10">
        <v>45671.601944444446</v>
      </c>
      <c r="K1078" s="11">
        <v>1.168981481481482E-3</v>
      </c>
      <c r="L1078" s="13"/>
    </row>
    <row r="1079" spans="1:12" x14ac:dyDescent="0.25">
      <c r="A1079" s="3" t="s">
        <v>3223</v>
      </c>
      <c r="B1079" s="3" t="s">
        <v>4335</v>
      </c>
      <c r="C1079" s="3" t="s">
        <v>1643</v>
      </c>
      <c r="D1079" s="9">
        <v>225.6</v>
      </c>
      <c r="E1079" s="3" t="s">
        <v>3202</v>
      </c>
      <c r="F1079" s="3" t="s">
        <v>3224</v>
      </c>
      <c r="G1079" s="9">
        <v>231.94</v>
      </c>
      <c r="H1079" s="10">
        <v>45671.651435185187</v>
      </c>
      <c r="I1079" s="10">
        <v>45671.651435185187</v>
      </c>
      <c r="J1079" s="10">
        <v>45671.652442129627</v>
      </c>
      <c r="K1079" s="11">
        <v>1.006944444444444E-3</v>
      </c>
      <c r="L1079" s="13"/>
    </row>
    <row r="1080" spans="1:12" x14ac:dyDescent="0.25">
      <c r="A1080" s="3" t="s">
        <v>3223</v>
      </c>
      <c r="B1080" s="3" t="s">
        <v>4336</v>
      </c>
      <c r="C1080" s="3" t="s">
        <v>1613</v>
      </c>
      <c r="D1080" s="9">
        <v>100.6</v>
      </c>
      <c r="E1080" s="3" t="s">
        <v>3198</v>
      </c>
      <c r="F1080" s="3" t="s">
        <v>3224</v>
      </c>
      <c r="G1080" s="9">
        <v>259.16000000000003</v>
      </c>
      <c r="H1080" s="10">
        <v>45671.667812500003</v>
      </c>
      <c r="I1080" s="10">
        <v>45671.667812500003</v>
      </c>
      <c r="J1080" s="10">
        <v>45671.668587962973</v>
      </c>
      <c r="K1080" s="11">
        <v>7.7546296296296293E-4</v>
      </c>
      <c r="L1080" s="13"/>
    </row>
    <row r="1081" spans="1:12" x14ac:dyDescent="0.25">
      <c r="A1081" s="3" t="s">
        <v>3223</v>
      </c>
      <c r="B1081" s="3" t="s">
        <v>4337</v>
      </c>
      <c r="C1081" s="3" t="s">
        <v>1428</v>
      </c>
      <c r="D1081" s="9">
        <v>141.69999999999999</v>
      </c>
      <c r="E1081" s="3" t="s">
        <v>3201</v>
      </c>
      <c r="F1081" s="3" t="s">
        <v>3224</v>
      </c>
      <c r="G1081" s="9">
        <v>259.31</v>
      </c>
      <c r="H1081" s="10">
        <v>45671.67769675926</v>
      </c>
      <c r="I1081" s="10">
        <v>45671.67769675926</v>
      </c>
      <c r="J1081" s="10">
        <v>45671.678564814807</v>
      </c>
      <c r="K1081" s="11">
        <v>8.6805555555555551E-4</v>
      </c>
      <c r="L1081" s="13"/>
    </row>
    <row r="1082" spans="1:12" x14ac:dyDescent="0.25">
      <c r="A1082" s="3" t="s">
        <v>3223</v>
      </c>
      <c r="B1082" s="3" t="s">
        <v>4338</v>
      </c>
      <c r="C1082" s="3" t="s">
        <v>1601</v>
      </c>
      <c r="D1082" s="9">
        <v>132.4</v>
      </c>
      <c r="E1082" s="3" t="s">
        <v>3203</v>
      </c>
      <c r="F1082" s="3" t="s">
        <v>3224</v>
      </c>
      <c r="G1082" s="9">
        <v>223.61</v>
      </c>
      <c r="H1082" s="10">
        <v>45671.692488425928</v>
      </c>
      <c r="I1082" s="10">
        <v>45671.692488425928</v>
      </c>
      <c r="J1082" s="10">
        <v>45671.69326388889</v>
      </c>
      <c r="K1082" s="11">
        <v>7.7546296296296293E-4</v>
      </c>
      <c r="L1082" s="13"/>
    </row>
    <row r="1083" spans="1:12" x14ac:dyDescent="0.25">
      <c r="A1083" s="3" t="s">
        <v>3223</v>
      </c>
      <c r="B1083" s="3" t="s">
        <v>4339</v>
      </c>
      <c r="C1083" s="3" t="s">
        <v>1657</v>
      </c>
      <c r="D1083" s="9">
        <v>163.4</v>
      </c>
      <c r="E1083" s="3" t="s">
        <v>3193</v>
      </c>
      <c r="F1083" s="3" t="s">
        <v>3224</v>
      </c>
      <c r="G1083" s="9">
        <v>205.9</v>
      </c>
      <c r="H1083" s="10">
        <v>45671.699930555558</v>
      </c>
      <c r="I1083" s="10">
        <v>45671.699930555558</v>
      </c>
      <c r="J1083" s="10">
        <v>45671.700740740736</v>
      </c>
      <c r="K1083" s="11">
        <v>8.1018518518518516E-4</v>
      </c>
      <c r="L1083" s="13"/>
    </row>
    <row r="1084" spans="1:12" x14ac:dyDescent="0.25">
      <c r="A1084" s="3" t="s">
        <v>3223</v>
      </c>
      <c r="B1084" s="3" t="s">
        <v>4340</v>
      </c>
      <c r="C1084" s="3" t="s">
        <v>1654</v>
      </c>
      <c r="D1084" s="9">
        <v>139.5</v>
      </c>
      <c r="E1084" s="3" t="s">
        <v>3199</v>
      </c>
      <c r="F1084" s="3" t="s">
        <v>3224</v>
      </c>
      <c r="G1084" s="9">
        <v>188.33</v>
      </c>
      <c r="H1084" s="10">
        <v>45671.703587962962</v>
      </c>
      <c r="I1084" s="10">
        <v>45671.703587962962</v>
      </c>
      <c r="J1084" s="10">
        <v>45671.704305555562</v>
      </c>
      <c r="K1084" s="11">
        <v>7.1759259259259259E-4</v>
      </c>
      <c r="L1084" s="13"/>
    </row>
    <row r="1085" spans="1:12" x14ac:dyDescent="0.25">
      <c r="A1085" s="3" t="s">
        <v>3223</v>
      </c>
      <c r="B1085" s="3" t="s">
        <v>4341</v>
      </c>
      <c r="C1085" s="3" t="s">
        <v>1671</v>
      </c>
      <c r="D1085" s="9">
        <v>173.1</v>
      </c>
      <c r="E1085" s="3" t="s">
        <v>3195</v>
      </c>
      <c r="F1085" s="3" t="s">
        <v>3224</v>
      </c>
      <c r="G1085" s="9">
        <v>286.14</v>
      </c>
      <c r="H1085" s="10">
        <v>45671.724247685182</v>
      </c>
      <c r="I1085" s="10">
        <v>45671.724247685182</v>
      </c>
      <c r="J1085" s="10">
        <v>45671.725243055553</v>
      </c>
      <c r="K1085" s="11">
        <v>9.9537037037037042E-4</v>
      </c>
      <c r="L1085" s="13"/>
    </row>
    <row r="1086" spans="1:12" x14ac:dyDescent="0.25">
      <c r="A1086" s="3" t="s">
        <v>3223</v>
      </c>
      <c r="B1086" s="3" t="s">
        <v>4342</v>
      </c>
      <c r="C1086" s="3" t="s">
        <v>1674</v>
      </c>
      <c r="D1086" s="9">
        <v>103.9</v>
      </c>
      <c r="E1086" s="3" t="s">
        <v>3206</v>
      </c>
      <c r="F1086" s="3" t="s">
        <v>3224</v>
      </c>
      <c r="G1086" s="9">
        <v>286.14</v>
      </c>
      <c r="H1086" s="10">
        <v>45671.774988425917</v>
      </c>
      <c r="I1086" s="10">
        <v>45671.774988425917</v>
      </c>
      <c r="J1086" s="10">
        <v>45671.775821759264</v>
      </c>
      <c r="K1086" s="11">
        <v>8.3333333333333339E-4</v>
      </c>
      <c r="L1086" s="13"/>
    </row>
    <row r="1087" spans="1:12" x14ac:dyDescent="0.25">
      <c r="A1087" s="3" t="s">
        <v>3223</v>
      </c>
      <c r="B1087" s="3" t="s">
        <v>4343</v>
      </c>
      <c r="C1087" s="3" t="s">
        <v>1679</v>
      </c>
      <c r="D1087" s="9">
        <v>108</v>
      </c>
      <c r="E1087" s="3" t="s">
        <v>3203</v>
      </c>
      <c r="F1087" s="3" t="s">
        <v>3224</v>
      </c>
      <c r="G1087" s="9">
        <v>223.61</v>
      </c>
      <c r="H1087" s="10">
        <v>45671.778969907413</v>
      </c>
      <c r="I1087" s="10">
        <v>45671.778969907413</v>
      </c>
      <c r="J1087" s="10">
        <v>45671.779687499999</v>
      </c>
      <c r="K1087" s="11">
        <v>7.1759259259259259E-4</v>
      </c>
      <c r="L1087" s="13"/>
    </row>
    <row r="1088" spans="1:12" x14ac:dyDescent="0.25">
      <c r="A1088" s="3" t="s">
        <v>3223</v>
      </c>
      <c r="B1088" s="3" t="s">
        <v>4344</v>
      </c>
      <c r="C1088" s="3" t="s">
        <v>1567</v>
      </c>
      <c r="D1088" s="9">
        <v>103.7</v>
      </c>
      <c r="E1088" s="3" t="s">
        <v>3205</v>
      </c>
      <c r="F1088" s="3" t="s">
        <v>3224</v>
      </c>
      <c r="G1088" s="9">
        <v>262.93</v>
      </c>
      <c r="H1088" s="10">
        <v>45671.794722222221</v>
      </c>
      <c r="I1088" s="10">
        <v>45671.794722222221</v>
      </c>
      <c r="J1088" s="10">
        <v>45671.79550925926</v>
      </c>
      <c r="K1088" s="11">
        <v>7.8703703703703705E-4</v>
      </c>
      <c r="L1088" s="13"/>
    </row>
    <row r="1089" spans="1:12" x14ac:dyDescent="0.25">
      <c r="A1089" s="3" t="s">
        <v>3223</v>
      </c>
      <c r="B1089" s="3" t="s">
        <v>4345</v>
      </c>
      <c r="C1089" s="3" t="s">
        <v>1463</v>
      </c>
      <c r="D1089" s="9">
        <v>125.9</v>
      </c>
      <c r="E1089" s="3" t="s">
        <v>3194</v>
      </c>
      <c r="F1089" s="3" t="s">
        <v>3224</v>
      </c>
      <c r="G1089" s="9">
        <v>259.31</v>
      </c>
      <c r="H1089" s="10">
        <v>45671.798344907409</v>
      </c>
      <c r="I1089" s="10">
        <v>45671.798344907409</v>
      </c>
      <c r="J1089" s="10">
        <v>45671.799166666657</v>
      </c>
      <c r="K1089" s="11">
        <v>8.2175925925925927E-4</v>
      </c>
      <c r="L1089" s="13"/>
    </row>
    <row r="1090" spans="1:12" x14ac:dyDescent="0.25">
      <c r="A1090" s="3" t="s">
        <v>3223</v>
      </c>
      <c r="B1090" s="3" t="s">
        <v>4346</v>
      </c>
      <c r="C1090" s="3" t="s">
        <v>1695</v>
      </c>
      <c r="D1090" s="9">
        <v>111.4</v>
      </c>
      <c r="E1090" s="3" t="s">
        <v>3201</v>
      </c>
      <c r="F1090" s="3" t="s">
        <v>3224</v>
      </c>
      <c r="G1090" s="9">
        <v>259.31</v>
      </c>
      <c r="H1090" s="10">
        <v>45671.800046296303</v>
      </c>
      <c r="I1090" s="10">
        <v>45671.800046296303</v>
      </c>
      <c r="J1090" s="10">
        <v>45671.800844907397</v>
      </c>
      <c r="K1090" s="11">
        <v>7.9861111111111116E-4</v>
      </c>
      <c r="L1090" s="13"/>
    </row>
    <row r="1091" spans="1:12" x14ac:dyDescent="0.25">
      <c r="A1091" s="3" t="s">
        <v>3223</v>
      </c>
      <c r="B1091" s="3" t="s">
        <v>4347</v>
      </c>
      <c r="C1091" s="3" t="s">
        <v>1692</v>
      </c>
      <c r="D1091" s="9">
        <v>132.69999999999999</v>
      </c>
      <c r="E1091" s="3" t="s">
        <v>3195</v>
      </c>
      <c r="F1091" s="3" t="s">
        <v>3224</v>
      </c>
      <c r="G1091" s="9">
        <v>286.14</v>
      </c>
      <c r="H1091" s="10">
        <v>45671.819490740738</v>
      </c>
      <c r="I1091" s="10">
        <v>45671.819490740738</v>
      </c>
      <c r="J1091" s="10">
        <v>45671.820393518523</v>
      </c>
      <c r="K1091" s="11">
        <v>9.0277777777777774E-4</v>
      </c>
      <c r="L1091" s="13"/>
    </row>
    <row r="1092" spans="1:12" x14ac:dyDescent="0.25">
      <c r="A1092" s="3" t="s">
        <v>3223</v>
      </c>
      <c r="B1092" s="3" t="s">
        <v>4348</v>
      </c>
      <c r="C1092" s="3" t="s">
        <v>1608</v>
      </c>
      <c r="D1092" s="9">
        <v>208.9</v>
      </c>
      <c r="E1092" s="3" t="s">
        <v>3200</v>
      </c>
      <c r="F1092" s="3" t="s">
        <v>3224</v>
      </c>
      <c r="G1092" s="9">
        <v>245</v>
      </c>
      <c r="H1092" s="10">
        <v>45672.154178240737</v>
      </c>
      <c r="I1092" s="10">
        <v>45672.154178240737</v>
      </c>
      <c r="J1092" s="10">
        <v>45672.155173611107</v>
      </c>
      <c r="K1092" s="11">
        <v>9.9537037037037042E-4</v>
      </c>
      <c r="L1092" s="13"/>
    </row>
    <row r="1093" spans="1:12" x14ac:dyDescent="0.25">
      <c r="A1093" s="3" t="s">
        <v>3223</v>
      </c>
      <c r="B1093" s="3" t="s">
        <v>4349</v>
      </c>
      <c r="C1093" s="3" t="s">
        <v>1542</v>
      </c>
      <c r="D1093" s="9">
        <v>177.4</v>
      </c>
      <c r="E1093" s="3" t="s">
        <v>3197</v>
      </c>
      <c r="F1093" s="3" t="s">
        <v>3224</v>
      </c>
      <c r="G1093" s="9">
        <v>262.93</v>
      </c>
      <c r="H1093" s="10">
        <v>45672.154502314806</v>
      </c>
      <c r="I1093" s="10">
        <v>45672.155173611107</v>
      </c>
      <c r="J1093" s="10">
        <v>45672.156134259261</v>
      </c>
      <c r="K1093" s="11">
        <v>9.6064814814814819E-4</v>
      </c>
      <c r="L1093" s="13"/>
    </row>
    <row r="1094" spans="1:12" x14ac:dyDescent="0.25">
      <c r="A1094" s="3" t="s">
        <v>3223</v>
      </c>
      <c r="B1094" s="3" t="s">
        <v>4350</v>
      </c>
      <c r="C1094" s="3" t="s">
        <v>1717</v>
      </c>
      <c r="D1094" s="9">
        <v>521.9</v>
      </c>
      <c r="E1094" s="3" t="s">
        <v>3201</v>
      </c>
      <c r="F1094" s="3" t="s">
        <v>3224</v>
      </c>
      <c r="G1094" s="9">
        <v>259.31</v>
      </c>
      <c r="H1094" s="10">
        <v>45672.298703703702</v>
      </c>
      <c r="I1094" s="10">
        <v>45672.298703703702</v>
      </c>
      <c r="J1094" s="10">
        <v>45672.300451388888</v>
      </c>
      <c r="K1094" s="11">
        <v>1.747685185185185E-3</v>
      </c>
      <c r="L1094" s="13"/>
    </row>
    <row r="1095" spans="1:12" x14ac:dyDescent="0.25">
      <c r="A1095" s="3" t="s">
        <v>3223</v>
      </c>
      <c r="B1095" s="3" t="s">
        <v>4351</v>
      </c>
      <c r="C1095" s="3" t="s">
        <v>1705</v>
      </c>
      <c r="D1095" s="9">
        <v>313.7</v>
      </c>
      <c r="E1095" s="3" t="s">
        <v>3203</v>
      </c>
      <c r="F1095" s="3" t="s">
        <v>3224</v>
      </c>
      <c r="G1095" s="9">
        <v>223.61</v>
      </c>
      <c r="H1095" s="10">
        <v>45672.339131944442</v>
      </c>
      <c r="I1095" s="10">
        <v>45672.339131944442</v>
      </c>
      <c r="J1095" s="10">
        <v>45672.340324074074</v>
      </c>
      <c r="K1095" s="11">
        <v>1.19212962962963E-3</v>
      </c>
      <c r="L1095" s="13"/>
    </row>
    <row r="1096" spans="1:12" x14ac:dyDescent="0.25">
      <c r="A1096" s="3" t="s">
        <v>3223</v>
      </c>
      <c r="B1096" s="3" t="s">
        <v>4352</v>
      </c>
      <c r="C1096" s="3" t="s">
        <v>1689</v>
      </c>
      <c r="D1096" s="9">
        <v>110.2</v>
      </c>
      <c r="E1096" s="3" t="s">
        <v>3199</v>
      </c>
      <c r="F1096" s="3" t="s">
        <v>3224</v>
      </c>
      <c r="G1096" s="9">
        <v>188.33</v>
      </c>
      <c r="H1096" s="10">
        <v>45672.34101851852</v>
      </c>
      <c r="I1096" s="10">
        <v>45672.34101851852</v>
      </c>
      <c r="J1096" s="10">
        <v>45672.341666666667</v>
      </c>
      <c r="K1096" s="11">
        <v>6.4814814814814813E-4</v>
      </c>
      <c r="L1096" s="13"/>
    </row>
    <row r="1097" spans="1:12" x14ac:dyDescent="0.25">
      <c r="A1097" s="3" t="s">
        <v>3223</v>
      </c>
      <c r="B1097" s="3" t="s">
        <v>4353</v>
      </c>
      <c r="C1097" s="3" t="s">
        <v>1742</v>
      </c>
      <c r="D1097" s="9">
        <v>108</v>
      </c>
      <c r="E1097" s="3" t="s">
        <v>3205</v>
      </c>
      <c r="F1097" s="3" t="s">
        <v>3224</v>
      </c>
      <c r="G1097" s="9">
        <v>262.93</v>
      </c>
      <c r="H1097" s="10">
        <v>45672.359618055547</v>
      </c>
      <c r="I1097" s="10">
        <v>45672.359618055547</v>
      </c>
      <c r="J1097" s="10">
        <v>45672.36041666667</v>
      </c>
      <c r="K1097" s="11">
        <v>7.9861111111111116E-4</v>
      </c>
      <c r="L1097" s="13"/>
    </row>
    <row r="1098" spans="1:12" x14ac:dyDescent="0.25">
      <c r="A1098" s="3" t="s">
        <v>3223</v>
      </c>
      <c r="B1098" s="3" t="s">
        <v>4354</v>
      </c>
      <c r="C1098" s="3" t="s">
        <v>1668</v>
      </c>
      <c r="D1098" s="9">
        <v>145.1</v>
      </c>
      <c r="E1098" s="3" t="s">
        <v>3204</v>
      </c>
      <c r="F1098" s="3" t="s">
        <v>3224</v>
      </c>
      <c r="G1098" s="9">
        <v>240.31</v>
      </c>
      <c r="H1098" s="10">
        <v>45672.364421296297</v>
      </c>
      <c r="I1098" s="10">
        <v>45672.364421296297</v>
      </c>
      <c r="J1098" s="10">
        <v>45672.365254629629</v>
      </c>
      <c r="K1098" s="11">
        <v>8.3333333333333339E-4</v>
      </c>
      <c r="L1098" s="13"/>
    </row>
    <row r="1099" spans="1:12" x14ac:dyDescent="0.25">
      <c r="A1099" s="3" t="s">
        <v>3223</v>
      </c>
      <c r="B1099" s="3" t="s">
        <v>4355</v>
      </c>
      <c r="C1099" s="3" t="s">
        <v>1745</v>
      </c>
      <c r="D1099" s="9">
        <v>257</v>
      </c>
      <c r="E1099" s="3" t="s">
        <v>3201</v>
      </c>
      <c r="F1099" s="3" t="s">
        <v>3224</v>
      </c>
      <c r="G1099" s="9">
        <v>259.31</v>
      </c>
      <c r="H1099" s="10">
        <v>45672.387372685182</v>
      </c>
      <c r="I1099" s="10">
        <v>45672.387372685182</v>
      </c>
      <c r="J1099" s="10">
        <v>45672.388506944437</v>
      </c>
      <c r="K1099" s="11">
        <v>1.1342592592592589E-3</v>
      </c>
      <c r="L1099" s="13"/>
    </row>
    <row r="1100" spans="1:12" x14ac:dyDescent="0.25">
      <c r="A1100" s="3" t="s">
        <v>3223</v>
      </c>
      <c r="B1100" s="3" t="s">
        <v>4356</v>
      </c>
      <c r="C1100" s="3" t="s">
        <v>1724</v>
      </c>
      <c r="D1100" s="9">
        <v>108.7</v>
      </c>
      <c r="E1100" s="3" t="s">
        <v>3197</v>
      </c>
      <c r="F1100" s="3" t="s">
        <v>3224</v>
      </c>
      <c r="G1100" s="9">
        <v>262.93</v>
      </c>
      <c r="H1100" s="10">
        <v>45672.413530092592</v>
      </c>
      <c r="I1100" s="10">
        <v>45672.413530092592</v>
      </c>
      <c r="J1100" s="10">
        <v>45672.4143287037</v>
      </c>
      <c r="K1100" s="11">
        <v>7.9861111111111116E-4</v>
      </c>
      <c r="L1100" s="13"/>
    </row>
    <row r="1101" spans="1:12" x14ac:dyDescent="0.25">
      <c r="A1101" s="3" t="s">
        <v>3223</v>
      </c>
      <c r="B1101" s="3" t="s">
        <v>4357</v>
      </c>
      <c r="C1101" s="3" t="s">
        <v>1748</v>
      </c>
      <c r="D1101" s="9">
        <v>374.1</v>
      </c>
      <c r="E1101" s="3" t="s">
        <v>3194</v>
      </c>
      <c r="F1101" s="3" t="s">
        <v>3224</v>
      </c>
      <c r="G1101" s="9">
        <v>259.31</v>
      </c>
      <c r="H1101" s="10">
        <v>45672.429131944453</v>
      </c>
      <c r="I1101" s="10">
        <v>45672.429131944453</v>
      </c>
      <c r="J1101" s="10">
        <v>45672.430532407408</v>
      </c>
      <c r="K1101" s="11">
        <v>1.4004629629629629E-3</v>
      </c>
      <c r="L1101" s="13"/>
    </row>
    <row r="1102" spans="1:12" x14ac:dyDescent="0.25">
      <c r="A1102" s="3" t="s">
        <v>3223</v>
      </c>
      <c r="B1102" s="3" t="s">
        <v>4358</v>
      </c>
      <c r="C1102" s="3" t="s">
        <v>1698</v>
      </c>
      <c r="D1102" s="9">
        <v>114.8</v>
      </c>
      <c r="E1102" s="3" t="s">
        <v>3198</v>
      </c>
      <c r="F1102" s="3" t="s">
        <v>3224</v>
      </c>
      <c r="G1102" s="9">
        <v>259.16000000000003</v>
      </c>
      <c r="H1102" s="10">
        <v>45672.450798611113</v>
      </c>
      <c r="I1102" s="10">
        <v>45672.450798611113</v>
      </c>
      <c r="J1102" s="10">
        <v>45672.451597222222</v>
      </c>
      <c r="K1102" s="11">
        <v>7.9861111111111116E-4</v>
      </c>
      <c r="L1102" s="13"/>
    </row>
    <row r="1103" spans="1:12" x14ac:dyDescent="0.25">
      <c r="A1103" s="3" t="s">
        <v>3223</v>
      </c>
      <c r="B1103" s="3" t="s">
        <v>4359</v>
      </c>
      <c r="C1103" s="3" t="s">
        <v>1770</v>
      </c>
      <c r="D1103" s="9">
        <v>281.39999999999998</v>
      </c>
      <c r="E1103" s="3" t="s">
        <v>3205</v>
      </c>
      <c r="F1103" s="3" t="s">
        <v>3224</v>
      </c>
      <c r="G1103" s="9">
        <v>262.93</v>
      </c>
      <c r="H1103" s="10">
        <v>45672.459513888891</v>
      </c>
      <c r="I1103" s="10">
        <v>45672.459513888891</v>
      </c>
      <c r="J1103" s="10">
        <v>45672.460717592592</v>
      </c>
      <c r="K1103" s="11">
        <v>1.203703703703704E-3</v>
      </c>
      <c r="L1103" s="13"/>
    </row>
    <row r="1104" spans="1:12" x14ac:dyDescent="0.25">
      <c r="A1104" s="3" t="s">
        <v>3223</v>
      </c>
      <c r="B1104" s="3" t="s">
        <v>4360</v>
      </c>
      <c r="C1104" s="3" t="s">
        <v>1777</v>
      </c>
      <c r="D1104" s="9">
        <v>252.6</v>
      </c>
      <c r="E1104" s="3" t="s">
        <v>3201</v>
      </c>
      <c r="F1104" s="3" t="s">
        <v>3224</v>
      </c>
      <c r="G1104" s="9">
        <v>259.31</v>
      </c>
      <c r="H1104" s="10">
        <v>45672.475231481483</v>
      </c>
      <c r="I1104" s="10">
        <v>45672.475231481483</v>
      </c>
      <c r="J1104" s="10">
        <v>45672.476354166669</v>
      </c>
      <c r="K1104" s="11">
        <v>1.1226851851851849E-3</v>
      </c>
      <c r="L1104" s="13"/>
    </row>
    <row r="1105" spans="1:12" x14ac:dyDescent="0.25">
      <c r="A1105" s="3" t="s">
        <v>3223</v>
      </c>
      <c r="B1105" s="3" t="s">
        <v>4361</v>
      </c>
      <c r="C1105" s="3" t="s">
        <v>1780</v>
      </c>
      <c r="D1105" s="9">
        <v>120.9</v>
      </c>
      <c r="E1105" s="3" t="s">
        <v>3201</v>
      </c>
      <c r="F1105" s="3" t="s">
        <v>3224</v>
      </c>
      <c r="G1105" s="9">
        <v>259.31</v>
      </c>
      <c r="H1105" s="10">
        <v>45672.573599537027</v>
      </c>
      <c r="I1105" s="10">
        <v>45672.573599537027</v>
      </c>
      <c r="J1105" s="10">
        <v>45672.574421296304</v>
      </c>
      <c r="K1105" s="11">
        <v>8.2175925925925927E-4</v>
      </c>
      <c r="L1105" s="13"/>
    </row>
    <row r="1106" spans="1:12" x14ac:dyDescent="0.25">
      <c r="A1106" s="3" t="s">
        <v>3223</v>
      </c>
      <c r="B1106" s="3" t="s">
        <v>4362</v>
      </c>
      <c r="C1106" s="3" t="s">
        <v>1755</v>
      </c>
      <c r="D1106" s="9">
        <v>102.8</v>
      </c>
      <c r="E1106" s="3" t="s">
        <v>3203</v>
      </c>
      <c r="F1106" s="3" t="s">
        <v>3224</v>
      </c>
      <c r="G1106" s="9">
        <v>223.61</v>
      </c>
      <c r="H1106" s="10">
        <v>45672.685057870367</v>
      </c>
      <c r="I1106" s="10">
        <v>45672.685057870367</v>
      </c>
      <c r="J1106" s="10">
        <v>45672.685752314806</v>
      </c>
      <c r="K1106" s="11">
        <v>6.9444444444444447E-4</v>
      </c>
      <c r="L1106" s="13"/>
    </row>
    <row r="1107" spans="1:12" x14ac:dyDescent="0.25">
      <c r="A1107" s="3" t="s">
        <v>3223</v>
      </c>
      <c r="B1107" s="3" t="s">
        <v>4363</v>
      </c>
      <c r="C1107" s="3" t="s">
        <v>1765</v>
      </c>
      <c r="D1107" s="9">
        <v>189</v>
      </c>
      <c r="E1107" s="3" t="s">
        <v>3204</v>
      </c>
      <c r="F1107" s="3" t="s">
        <v>3224</v>
      </c>
      <c r="G1107" s="9">
        <v>240.31</v>
      </c>
      <c r="H1107" s="10">
        <v>45672.691111111111</v>
      </c>
      <c r="I1107" s="10">
        <v>45672.691111111111</v>
      </c>
      <c r="J1107" s="10">
        <v>45672.692048611112</v>
      </c>
      <c r="K1107" s="11">
        <v>9.3749999999999997E-4</v>
      </c>
      <c r="L1107" s="13"/>
    </row>
    <row r="1108" spans="1:12" x14ac:dyDescent="0.25">
      <c r="A1108" s="3" t="s">
        <v>3223</v>
      </c>
      <c r="B1108" s="3" t="s">
        <v>4364</v>
      </c>
      <c r="C1108" s="3" t="s">
        <v>1806</v>
      </c>
      <c r="D1108" s="9">
        <v>110.2</v>
      </c>
      <c r="E1108" s="3" t="s">
        <v>3205</v>
      </c>
      <c r="F1108" s="3" t="s">
        <v>3224</v>
      </c>
      <c r="G1108" s="9">
        <v>262.93</v>
      </c>
      <c r="H1108" s="10">
        <v>45672.705879629633</v>
      </c>
      <c r="I1108" s="10">
        <v>45672.705879629633</v>
      </c>
      <c r="J1108" s="10">
        <v>45672.706678240742</v>
      </c>
      <c r="K1108" s="11">
        <v>7.9861111111111116E-4</v>
      </c>
      <c r="L1108" s="13"/>
    </row>
    <row r="1109" spans="1:12" x14ac:dyDescent="0.25">
      <c r="A1109" s="3" t="s">
        <v>3223</v>
      </c>
      <c r="B1109" s="3" t="s">
        <v>4365</v>
      </c>
      <c r="C1109" s="3" t="s">
        <v>1727</v>
      </c>
      <c r="D1109" s="9">
        <v>223.9</v>
      </c>
      <c r="E1109" s="3" t="s">
        <v>3200</v>
      </c>
      <c r="F1109" s="3" t="s">
        <v>3224</v>
      </c>
      <c r="G1109" s="9">
        <v>245</v>
      </c>
      <c r="H1109" s="10">
        <v>45672.710856481477</v>
      </c>
      <c r="I1109" s="10">
        <v>45672.710856481477</v>
      </c>
      <c r="J1109" s="10">
        <v>45672.711886574078</v>
      </c>
      <c r="K1109" s="11">
        <v>1.0300925925925931E-3</v>
      </c>
      <c r="L1109" s="13"/>
    </row>
    <row r="1110" spans="1:12" x14ac:dyDescent="0.25">
      <c r="A1110" s="3" t="s">
        <v>3223</v>
      </c>
      <c r="B1110" s="3" t="s">
        <v>4366</v>
      </c>
      <c r="C1110" s="3" t="s">
        <v>1792</v>
      </c>
      <c r="D1110" s="9">
        <v>116.9</v>
      </c>
      <c r="E1110" s="3" t="s">
        <v>3197</v>
      </c>
      <c r="F1110" s="3" t="s">
        <v>3224</v>
      </c>
      <c r="G1110" s="9">
        <v>262.93</v>
      </c>
      <c r="H1110" s="10">
        <v>45672.784456018519</v>
      </c>
      <c r="I1110" s="10">
        <v>45672.784456018519</v>
      </c>
      <c r="J1110" s="10">
        <v>45672.785277777781</v>
      </c>
      <c r="K1110" s="11">
        <v>8.2175925925925927E-4</v>
      </c>
      <c r="L1110" s="13"/>
    </row>
    <row r="1111" spans="1:12" x14ac:dyDescent="0.25">
      <c r="A1111" s="3" t="s">
        <v>3223</v>
      </c>
      <c r="B1111" s="3" t="s">
        <v>4367</v>
      </c>
      <c r="C1111" s="3" t="s">
        <v>1809</v>
      </c>
      <c r="D1111" s="9">
        <v>325.39999999999998</v>
      </c>
      <c r="E1111" s="3" t="s">
        <v>3203</v>
      </c>
      <c r="F1111" s="3" t="s">
        <v>3224</v>
      </c>
      <c r="G1111" s="9">
        <v>223.61</v>
      </c>
      <c r="H1111" s="10">
        <v>45672.788460648153</v>
      </c>
      <c r="I1111" s="10">
        <v>45672.788460648153</v>
      </c>
      <c r="J1111" s="10">
        <v>45672.789675925917</v>
      </c>
      <c r="K1111" s="11">
        <v>1.215277777777778E-3</v>
      </c>
      <c r="L1111" s="13"/>
    </row>
    <row r="1112" spans="1:12" x14ac:dyDescent="0.25">
      <c r="A1112" s="3" t="s">
        <v>3223</v>
      </c>
      <c r="B1112" s="3" t="s">
        <v>4368</v>
      </c>
      <c r="C1112" s="3" t="s">
        <v>1732</v>
      </c>
      <c r="D1112" s="9">
        <v>118.5</v>
      </c>
      <c r="E1112" s="3" t="s">
        <v>3206</v>
      </c>
      <c r="F1112" s="3" t="s">
        <v>3224</v>
      </c>
      <c r="G1112" s="9">
        <v>286.14</v>
      </c>
      <c r="H1112" s="10">
        <v>45672.79892361111</v>
      </c>
      <c r="I1112" s="10">
        <v>45672.79892361111</v>
      </c>
      <c r="J1112" s="10">
        <v>45672.799803240741</v>
      </c>
      <c r="K1112" s="11">
        <v>8.7962962962962962E-4</v>
      </c>
      <c r="L1112" s="13"/>
    </row>
    <row r="1113" spans="1:12" x14ac:dyDescent="0.25">
      <c r="A1113" s="3" t="s">
        <v>3223</v>
      </c>
      <c r="B1113" s="3" t="s">
        <v>4369</v>
      </c>
      <c r="C1113" s="3" t="s">
        <v>1762</v>
      </c>
      <c r="D1113" s="9">
        <v>125.9</v>
      </c>
      <c r="E1113" s="3" t="s">
        <v>3199</v>
      </c>
      <c r="F1113" s="3" t="s">
        <v>3224</v>
      </c>
      <c r="G1113" s="9">
        <v>188.33</v>
      </c>
      <c r="H1113" s="10">
        <v>45672.808009259257</v>
      </c>
      <c r="I1113" s="10">
        <v>45672.808009259257</v>
      </c>
      <c r="J1113" s="10">
        <v>45672.808692129627</v>
      </c>
      <c r="K1113" s="11">
        <v>6.8287037037037036E-4</v>
      </c>
      <c r="L1113" s="13"/>
    </row>
    <row r="1114" spans="1:12" x14ac:dyDescent="0.25">
      <c r="A1114" s="3" t="s">
        <v>3223</v>
      </c>
      <c r="B1114" s="3" t="s">
        <v>4370</v>
      </c>
      <c r="C1114" s="3" t="s">
        <v>1826</v>
      </c>
      <c r="D1114" s="9">
        <v>144.80000000000001</v>
      </c>
      <c r="E1114" s="3" t="s">
        <v>3203</v>
      </c>
      <c r="F1114" s="3" t="s">
        <v>3224</v>
      </c>
      <c r="G1114" s="9">
        <v>223.61</v>
      </c>
      <c r="H1114" s="10">
        <v>45673.149942129632</v>
      </c>
      <c r="I1114" s="10">
        <v>45673.149942129632</v>
      </c>
      <c r="J1114" s="10">
        <v>45673.150740740741</v>
      </c>
      <c r="K1114" s="11">
        <v>7.9861111111111116E-4</v>
      </c>
      <c r="L1114" s="13"/>
    </row>
    <row r="1115" spans="1:12" x14ac:dyDescent="0.25">
      <c r="A1115" s="3" t="s">
        <v>3223</v>
      </c>
      <c r="B1115" s="3" t="s">
        <v>4371</v>
      </c>
      <c r="C1115" s="3" t="s">
        <v>1846</v>
      </c>
      <c r="D1115" s="9">
        <v>297</v>
      </c>
      <c r="E1115" s="3" t="s">
        <v>3203</v>
      </c>
      <c r="F1115" s="3" t="s">
        <v>3224</v>
      </c>
      <c r="G1115" s="9">
        <v>223.61</v>
      </c>
      <c r="H1115" s="10">
        <v>45673.329409722217</v>
      </c>
      <c r="I1115" s="10">
        <v>45673.329409722217</v>
      </c>
      <c r="J1115" s="10">
        <v>45673.330567129633</v>
      </c>
      <c r="K1115" s="11">
        <v>1.1574074074074069E-3</v>
      </c>
      <c r="L1115" s="13"/>
    </row>
    <row r="1116" spans="1:12" x14ac:dyDescent="0.25">
      <c r="A1116" s="3" t="s">
        <v>3223</v>
      </c>
      <c r="B1116" s="3" t="s">
        <v>4372</v>
      </c>
      <c r="C1116" s="3" t="s">
        <v>1873</v>
      </c>
      <c r="D1116" s="9">
        <v>126</v>
      </c>
      <c r="E1116" s="3" t="s">
        <v>3197</v>
      </c>
      <c r="F1116" s="3" t="s">
        <v>3224</v>
      </c>
      <c r="G1116" s="9">
        <v>262.93</v>
      </c>
      <c r="H1116" s="10">
        <v>45673.334780092591</v>
      </c>
      <c r="I1116" s="10">
        <v>45673.334780092591</v>
      </c>
      <c r="J1116" s="10">
        <v>45673.335625</v>
      </c>
      <c r="K1116" s="11">
        <v>8.4490740740740739E-4</v>
      </c>
      <c r="L1116" s="13"/>
    </row>
    <row r="1117" spans="1:12" x14ac:dyDescent="0.25">
      <c r="A1117" s="3" t="s">
        <v>3223</v>
      </c>
      <c r="B1117" s="3" t="s">
        <v>4373</v>
      </c>
      <c r="C1117" s="3" t="s">
        <v>1823</v>
      </c>
      <c r="D1117" s="9">
        <v>124.4</v>
      </c>
      <c r="E1117" s="3" t="s">
        <v>3194</v>
      </c>
      <c r="F1117" s="3" t="s">
        <v>3224</v>
      </c>
      <c r="G1117" s="9">
        <v>259.31</v>
      </c>
      <c r="H1117" s="10">
        <v>45673.357129629629</v>
      </c>
      <c r="I1117" s="10">
        <v>45673.357129629629</v>
      </c>
      <c r="J1117" s="10">
        <v>45673.357951388891</v>
      </c>
      <c r="K1117" s="11">
        <v>8.2175925925925927E-4</v>
      </c>
      <c r="L1117" s="13"/>
    </row>
    <row r="1118" spans="1:12" x14ac:dyDescent="0.25">
      <c r="A1118" s="3" t="s">
        <v>3223</v>
      </c>
      <c r="B1118" s="3" t="s">
        <v>4374</v>
      </c>
      <c r="C1118" s="3" t="s">
        <v>1712</v>
      </c>
      <c r="D1118" s="9">
        <v>107.9</v>
      </c>
      <c r="E1118" s="3" t="s">
        <v>3195</v>
      </c>
      <c r="F1118" s="3" t="s">
        <v>3224</v>
      </c>
      <c r="G1118" s="9">
        <v>286.14</v>
      </c>
      <c r="H1118" s="10">
        <v>45673.360092592593</v>
      </c>
      <c r="I1118" s="10">
        <v>45673.360092592593</v>
      </c>
      <c r="J1118" s="10">
        <v>45673.360937500001</v>
      </c>
      <c r="K1118" s="11">
        <v>8.4490740740740739E-4</v>
      </c>
      <c r="L1118" s="13"/>
    </row>
    <row r="1119" spans="1:12" x14ac:dyDescent="0.25">
      <c r="A1119" s="3" t="s">
        <v>3223</v>
      </c>
      <c r="B1119" s="3" t="s">
        <v>4375</v>
      </c>
      <c r="C1119" s="3" t="s">
        <v>1876</v>
      </c>
      <c r="D1119" s="9">
        <v>396.6</v>
      </c>
      <c r="E1119" s="3" t="s">
        <v>3203</v>
      </c>
      <c r="F1119" s="3" t="s">
        <v>3224</v>
      </c>
      <c r="G1119" s="9">
        <v>223.61</v>
      </c>
      <c r="H1119" s="10">
        <v>45673.414525462962</v>
      </c>
      <c r="I1119" s="10">
        <v>45673.414525462962</v>
      </c>
      <c r="J1119" s="10">
        <v>45673.415902777779</v>
      </c>
      <c r="K1119" s="11">
        <v>1.3773148148148149E-3</v>
      </c>
      <c r="L1119" s="13"/>
    </row>
    <row r="1120" spans="1:12" x14ac:dyDescent="0.25">
      <c r="A1120" s="3" t="s">
        <v>3223</v>
      </c>
      <c r="B1120" s="3" t="s">
        <v>4376</v>
      </c>
      <c r="C1120" s="3" t="s">
        <v>1902</v>
      </c>
      <c r="D1120" s="9">
        <v>180.8</v>
      </c>
      <c r="E1120" s="3" t="s">
        <v>3197</v>
      </c>
      <c r="F1120" s="3" t="s">
        <v>3224</v>
      </c>
      <c r="G1120" s="9">
        <v>262.93</v>
      </c>
      <c r="H1120" s="10">
        <v>45673.425659722219</v>
      </c>
      <c r="I1120" s="10">
        <v>45673.425659722219</v>
      </c>
      <c r="J1120" s="10">
        <v>45673.426620370366</v>
      </c>
      <c r="K1120" s="11">
        <v>9.6064814814814819E-4</v>
      </c>
      <c r="L1120" s="13"/>
    </row>
    <row r="1121" spans="1:12" x14ac:dyDescent="0.25">
      <c r="A1121" s="3" t="s">
        <v>3223</v>
      </c>
      <c r="B1121" s="3" t="s">
        <v>4377</v>
      </c>
      <c r="C1121" s="3" t="s">
        <v>1899</v>
      </c>
      <c r="D1121" s="9">
        <v>208.6</v>
      </c>
      <c r="E1121" s="3" t="s">
        <v>3195</v>
      </c>
      <c r="F1121" s="3" t="s">
        <v>3224</v>
      </c>
      <c r="G1121" s="9">
        <v>286.14</v>
      </c>
      <c r="H1121" s="10">
        <v>45673.427615740737</v>
      </c>
      <c r="I1121" s="10">
        <v>45673.427615740737</v>
      </c>
      <c r="J1121" s="10">
        <v>45673.42869212963</v>
      </c>
      <c r="K1121" s="11">
        <v>1.0763888888888891E-3</v>
      </c>
      <c r="L1121" s="13"/>
    </row>
    <row r="1122" spans="1:12" x14ac:dyDescent="0.25">
      <c r="A1122" s="3" t="s">
        <v>3223</v>
      </c>
      <c r="B1122" s="3" t="s">
        <v>4378</v>
      </c>
      <c r="C1122" s="3" t="s">
        <v>1820</v>
      </c>
      <c r="D1122" s="9">
        <v>108</v>
      </c>
      <c r="E1122" s="3" t="s">
        <v>3204</v>
      </c>
      <c r="F1122" s="3" t="s">
        <v>3224</v>
      </c>
      <c r="G1122" s="9">
        <v>240.31</v>
      </c>
      <c r="H1122" s="10">
        <v>45673.449386574073</v>
      </c>
      <c r="I1122" s="10">
        <v>45673.449386574073</v>
      </c>
      <c r="J1122" s="10">
        <v>45673.450127314813</v>
      </c>
      <c r="K1122" s="11">
        <v>7.407407407407407E-4</v>
      </c>
      <c r="L1122" s="13"/>
    </row>
    <row r="1123" spans="1:12" x14ac:dyDescent="0.25">
      <c r="A1123" s="3" t="s">
        <v>3223</v>
      </c>
      <c r="B1123" s="3" t="s">
        <v>4379</v>
      </c>
      <c r="C1123" s="3" t="s">
        <v>1836</v>
      </c>
      <c r="D1123" s="9">
        <v>100.5</v>
      </c>
      <c r="E1123" s="3" t="s">
        <v>3205</v>
      </c>
      <c r="F1123" s="3" t="s">
        <v>3224</v>
      </c>
      <c r="G1123" s="9">
        <v>262.93</v>
      </c>
      <c r="H1123" s="10">
        <v>45673.473969907413</v>
      </c>
      <c r="I1123" s="10">
        <v>45673.473969907413</v>
      </c>
      <c r="J1123" s="10">
        <v>45673.474745370368</v>
      </c>
      <c r="K1123" s="11">
        <v>7.7546296296296293E-4</v>
      </c>
      <c r="L1123" s="13"/>
    </row>
    <row r="1124" spans="1:12" x14ac:dyDescent="0.25">
      <c r="A1124" s="3" t="s">
        <v>3223</v>
      </c>
      <c r="B1124" s="3" t="s">
        <v>4380</v>
      </c>
      <c r="C1124" s="3" t="s">
        <v>1686</v>
      </c>
      <c r="D1124" s="9">
        <v>317.60000000000002</v>
      </c>
      <c r="E1124" s="3" t="s">
        <v>3193</v>
      </c>
      <c r="F1124" s="3" t="s">
        <v>3224</v>
      </c>
      <c r="G1124" s="9">
        <v>205.9</v>
      </c>
      <c r="H1124" s="10">
        <v>45673.598275462973</v>
      </c>
      <c r="I1124" s="10">
        <v>45673.598275462973</v>
      </c>
      <c r="J1124" s="10">
        <v>45673.599432870367</v>
      </c>
      <c r="K1124" s="11">
        <v>1.1574074074074069E-3</v>
      </c>
      <c r="L1124" s="13"/>
    </row>
    <row r="1125" spans="1:12" x14ac:dyDescent="0.25">
      <c r="A1125" s="3" t="s">
        <v>3223</v>
      </c>
      <c r="B1125" s="3" t="s">
        <v>4381</v>
      </c>
      <c r="C1125" s="3" t="s">
        <v>1911</v>
      </c>
      <c r="D1125" s="9">
        <v>173</v>
      </c>
      <c r="E1125" s="3" t="s">
        <v>3204</v>
      </c>
      <c r="F1125" s="3" t="s">
        <v>3224</v>
      </c>
      <c r="G1125" s="9">
        <v>240.31</v>
      </c>
      <c r="H1125" s="10">
        <v>45673.673101851848</v>
      </c>
      <c r="I1125" s="10">
        <v>45673.673101851848</v>
      </c>
      <c r="J1125" s="10">
        <v>45673.674004629633</v>
      </c>
      <c r="K1125" s="11">
        <v>9.0277777777777774E-4</v>
      </c>
      <c r="L1125" s="13"/>
    </row>
    <row r="1126" spans="1:12" x14ac:dyDescent="0.25">
      <c r="A1126" s="3" t="s">
        <v>3223</v>
      </c>
      <c r="B1126" s="3" t="s">
        <v>4382</v>
      </c>
      <c r="C1126" s="3" t="s">
        <v>1908</v>
      </c>
      <c r="D1126" s="9">
        <v>338.3</v>
      </c>
      <c r="E1126" s="3" t="s">
        <v>3195</v>
      </c>
      <c r="F1126" s="3" t="s">
        <v>3224</v>
      </c>
      <c r="G1126" s="9">
        <v>286.14</v>
      </c>
      <c r="H1126" s="10">
        <v>45673.674733796302</v>
      </c>
      <c r="I1126" s="10">
        <v>45673.674733796302</v>
      </c>
      <c r="J1126" s="10">
        <v>45673.676111111112</v>
      </c>
      <c r="K1126" s="11">
        <v>1.3773148148148149E-3</v>
      </c>
      <c r="L1126" s="13"/>
    </row>
    <row r="1127" spans="1:12" x14ac:dyDescent="0.25">
      <c r="A1127" s="3" t="s">
        <v>3223</v>
      </c>
      <c r="B1127" s="3" t="s">
        <v>4383</v>
      </c>
      <c r="C1127" s="3" t="s">
        <v>1914</v>
      </c>
      <c r="D1127" s="9">
        <v>233.9</v>
      </c>
      <c r="E1127" s="3" t="s">
        <v>3193</v>
      </c>
      <c r="F1127" s="3" t="s">
        <v>3224</v>
      </c>
      <c r="G1127" s="9">
        <v>205.9</v>
      </c>
      <c r="H1127" s="10">
        <v>45673.695844907408</v>
      </c>
      <c r="I1127" s="10">
        <v>45673.695844907408</v>
      </c>
      <c r="J1127" s="10">
        <v>45673.696805555563</v>
      </c>
      <c r="K1127" s="11">
        <v>9.6064814814814819E-4</v>
      </c>
      <c r="L1127" s="13"/>
    </row>
    <row r="1128" spans="1:12" x14ac:dyDescent="0.25">
      <c r="A1128" s="3" t="s">
        <v>3223</v>
      </c>
      <c r="B1128" s="3" t="s">
        <v>4384</v>
      </c>
      <c r="C1128" s="3" t="s">
        <v>1919</v>
      </c>
      <c r="D1128" s="9">
        <v>171.7</v>
      </c>
      <c r="E1128" s="3" t="s">
        <v>3193</v>
      </c>
      <c r="F1128" s="3" t="s">
        <v>3224</v>
      </c>
      <c r="G1128" s="9">
        <v>205.9</v>
      </c>
      <c r="H1128" s="10">
        <v>45673.712835648148</v>
      </c>
      <c r="I1128" s="10">
        <v>45673.712835648148</v>
      </c>
      <c r="J1128" s="10">
        <v>45673.71365740741</v>
      </c>
      <c r="K1128" s="11">
        <v>8.2175925925925927E-4</v>
      </c>
      <c r="L1128" s="13"/>
    </row>
    <row r="1129" spans="1:12" x14ac:dyDescent="0.25">
      <c r="A1129" s="3" t="s">
        <v>3223</v>
      </c>
      <c r="B1129" s="3" t="s">
        <v>4385</v>
      </c>
      <c r="C1129" s="3" t="s">
        <v>1934</v>
      </c>
      <c r="D1129" s="9">
        <v>120.4</v>
      </c>
      <c r="E1129" s="3" t="s">
        <v>3194</v>
      </c>
      <c r="F1129" s="3" t="s">
        <v>3224</v>
      </c>
      <c r="G1129" s="9">
        <v>259.31</v>
      </c>
      <c r="H1129" s="10">
        <v>45673.77275462963</v>
      </c>
      <c r="I1129" s="10">
        <v>45673.77275462963</v>
      </c>
      <c r="J1129" s="10">
        <v>45673.773576388892</v>
      </c>
      <c r="K1129" s="11">
        <v>8.2175925925925927E-4</v>
      </c>
      <c r="L1129" s="13"/>
    </row>
    <row r="1130" spans="1:12" x14ac:dyDescent="0.25">
      <c r="A1130" s="3" t="s">
        <v>3223</v>
      </c>
      <c r="B1130" s="3" t="s">
        <v>4386</v>
      </c>
      <c r="C1130" s="3" t="s">
        <v>1866</v>
      </c>
      <c r="D1130" s="9">
        <v>126</v>
      </c>
      <c r="E1130" s="3" t="s">
        <v>3196</v>
      </c>
      <c r="F1130" s="3" t="s">
        <v>3224</v>
      </c>
      <c r="G1130" s="9">
        <v>182.11</v>
      </c>
      <c r="H1130" s="10">
        <v>45673.88354166667</v>
      </c>
      <c r="I1130" s="10">
        <v>45673.88354166667</v>
      </c>
      <c r="J1130" s="10">
        <v>45673.884212962963</v>
      </c>
      <c r="K1130" s="11">
        <v>6.7129629629629625E-4</v>
      </c>
      <c r="L1130" s="13"/>
    </row>
    <row r="1131" spans="1:12" x14ac:dyDescent="0.25">
      <c r="A1131" s="3" t="s">
        <v>3223</v>
      </c>
      <c r="B1131" s="3" t="s">
        <v>4387</v>
      </c>
      <c r="C1131" s="3" t="s">
        <v>1945</v>
      </c>
      <c r="D1131" s="9">
        <v>373.3</v>
      </c>
      <c r="E1131" s="3" t="s">
        <v>3193</v>
      </c>
      <c r="F1131" s="3" t="s">
        <v>3224</v>
      </c>
      <c r="G1131" s="9">
        <v>205.9</v>
      </c>
      <c r="H1131" s="10">
        <v>45674.198506944442</v>
      </c>
      <c r="I1131" s="10">
        <v>45674.198506944442</v>
      </c>
      <c r="J1131" s="10">
        <v>45674.199791666673</v>
      </c>
      <c r="K1131" s="11">
        <v>1.284722222222222E-3</v>
      </c>
      <c r="L1131" s="13"/>
    </row>
    <row r="1132" spans="1:12" x14ac:dyDescent="0.25">
      <c r="A1132" s="3" t="s">
        <v>3223</v>
      </c>
      <c r="B1132" s="3" t="s">
        <v>4388</v>
      </c>
      <c r="C1132" s="3" t="s">
        <v>1955</v>
      </c>
      <c r="D1132" s="9">
        <v>108.7</v>
      </c>
      <c r="E1132" s="3" t="s">
        <v>3204</v>
      </c>
      <c r="F1132" s="3" t="s">
        <v>3224</v>
      </c>
      <c r="G1132" s="9">
        <v>240.31</v>
      </c>
      <c r="H1132" s="10">
        <v>45674.218333333331</v>
      </c>
      <c r="I1132" s="10">
        <v>45674.218333333331</v>
      </c>
      <c r="J1132" s="10">
        <v>45674.219085648147</v>
      </c>
      <c r="K1132" s="11">
        <v>7.5231481481481482E-4</v>
      </c>
      <c r="L1132" s="13"/>
    </row>
    <row r="1133" spans="1:12" x14ac:dyDescent="0.25">
      <c r="A1133" s="3" t="s">
        <v>3223</v>
      </c>
      <c r="B1133" s="3" t="s">
        <v>4389</v>
      </c>
      <c r="C1133" s="3" t="s">
        <v>1931</v>
      </c>
      <c r="D1133" s="9">
        <v>108</v>
      </c>
      <c r="E1133" s="3" t="s">
        <v>3205</v>
      </c>
      <c r="F1133" s="3" t="s">
        <v>3224</v>
      </c>
      <c r="G1133" s="9">
        <v>262.93</v>
      </c>
      <c r="H1133" s="10">
        <v>45674.300266203703</v>
      </c>
      <c r="I1133" s="10">
        <v>45674.300266203703</v>
      </c>
      <c r="J1133" s="10">
        <v>45674.301064814812</v>
      </c>
      <c r="K1133" s="11">
        <v>7.9861111111111116E-4</v>
      </c>
      <c r="L1133" s="13"/>
    </row>
    <row r="1134" spans="1:12" x14ac:dyDescent="0.25">
      <c r="A1134" s="3" t="s">
        <v>3223</v>
      </c>
      <c r="B1134" s="3" t="s">
        <v>4390</v>
      </c>
      <c r="C1134" s="3" t="s">
        <v>1849</v>
      </c>
      <c r="D1134" s="9">
        <v>110.2</v>
      </c>
      <c r="E1134" s="3" t="s">
        <v>3206</v>
      </c>
      <c r="F1134" s="3" t="s">
        <v>3224</v>
      </c>
      <c r="G1134" s="9">
        <v>286.14</v>
      </c>
      <c r="H1134" s="10">
        <v>45674.345208333332</v>
      </c>
      <c r="I1134" s="10">
        <v>45674.345208333332</v>
      </c>
      <c r="J1134" s="10">
        <v>45674.346064814818</v>
      </c>
      <c r="K1134" s="11">
        <v>8.564814814814815E-4</v>
      </c>
      <c r="L1134" s="13"/>
    </row>
    <row r="1135" spans="1:12" x14ac:dyDescent="0.25">
      <c r="A1135" s="3" t="s">
        <v>3223</v>
      </c>
      <c r="B1135" s="3" t="s">
        <v>4391</v>
      </c>
      <c r="C1135" s="3" t="s">
        <v>1966</v>
      </c>
      <c r="D1135" s="9">
        <v>165.8</v>
      </c>
      <c r="E1135" s="3" t="s">
        <v>3195</v>
      </c>
      <c r="F1135" s="3" t="s">
        <v>3224</v>
      </c>
      <c r="G1135" s="9">
        <v>286.14</v>
      </c>
      <c r="H1135" s="10">
        <v>45674.357685185183</v>
      </c>
      <c r="I1135" s="10">
        <v>45674.357685185183</v>
      </c>
      <c r="J1135" s="10">
        <v>45674.358657407407</v>
      </c>
      <c r="K1135" s="11">
        <v>9.7222222222222219E-4</v>
      </c>
      <c r="L1135" s="13"/>
    </row>
    <row r="1136" spans="1:12" x14ac:dyDescent="0.25">
      <c r="A1136" s="3" t="s">
        <v>3223</v>
      </c>
      <c r="B1136" s="3" t="s">
        <v>4392</v>
      </c>
      <c r="C1136" s="3" t="s">
        <v>1801</v>
      </c>
      <c r="D1136" s="9">
        <v>134.30000000000001</v>
      </c>
      <c r="E1136" s="3" t="s">
        <v>3198</v>
      </c>
      <c r="F1136" s="3" t="s">
        <v>3224</v>
      </c>
      <c r="G1136" s="9">
        <v>259.16000000000003</v>
      </c>
      <c r="H1136" s="10">
        <v>45674.370185185187</v>
      </c>
      <c r="I1136" s="10">
        <v>45674.370185185187</v>
      </c>
      <c r="J1136" s="10">
        <v>45674.371041666673</v>
      </c>
      <c r="K1136" s="11">
        <v>8.564814814814815E-4</v>
      </c>
      <c r="L1136" s="13"/>
    </row>
    <row r="1137" spans="1:12" x14ac:dyDescent="0.25">
      <c r="A1137" s="3" t="s">
        <v>3223</v>
      </c>
      <c r="B1137" s="3" t="s">
        <v>4393</v>
      </c>
      <c r="C1137" s="3" t="s">
        <v>1950</v>
      </c>
      <c r="D1137" s="9">
        <v>297</v>
      </c>
      <c r="E1137" s="3" t="s">
        <v>3193</v>
      </c>
      <c r="F1137" s="3" t="s">
        <v>3224</v>
      </c>
      <c r="G1137" s="9">
        <v>205.9</v>
      </c>
      <c r="H1137" s="10">
        <v>45674.451261574082</v>
      </c>
      <c r="I1137" s="10">
        <v>45674.451261574082</v>
      </c>
      <c r="J1137" s="10">
        <v>45674.452372685177</v>
      </c>
      <c r="K1137" s="11">
        <v>1.1111111111111109E-3</v>
      </c>
      <c r="L1137" s="13"/>
    </row>
    <row r="1138" spans="1:12" x14ac:dyDescent="0.25">
      <c r="A1138" s="3" t="s">
        <v>3223</v>
      </c>
      <c r="B1138" s="3" t="s">
        <v>4394</v>
      </c>
      <c r="C1138" s="3" t="s">
        <v>1831</v>
      </c>
      <c r="D1138" s="9">
        <v>134.30000000000001</v>
      </c>
      <c r="E1138" s="3" t="s">
        <v>3200</v>
      </c>
      <c r="F1138" s="3" t="s">
        <v>3224</v>
      </c>
      <c r="G1138" s="9">
        <v>245</v>
      </c>
      <c r="H1138" s="10">
        <v>45674.462627314817</v>
      </c>
      <c r="I1138" s="10">
        <v>45674.462627314817</v>
      </c>
      <c r="J1138" s="10">
        <v>45674.463449074072</v>
      </c>
      <c r="K1138" s="11">
        <v>8.2175925925925927E-4</v>
      </c>
      <c r="L1138" s="13"/>
    </row>
    <row r="1139" spans="1:12" x14ac:dyDescent="0.25">
      <c r="A1139" s="3" t="s">
        <v>3223</v>
      </c>
      <c r="B1139" s="3" t="s">
        <v>4395</v>
      </c>
      <c r="C1139" s="3" t="s">
        <v>1928</v>
      </c>
      <c r="D1139" s="9">
        <v>574.1</v>
      </c>
      <c r="E1139" s="3" t="s">
        <v>3197</v>
      </c>
      <c r="F1139" s="3" t="s">
        <v>3224</v>
      </c>
      <c r="G1139" s="9">
        <v>262.93</v>
      </c>
      <c r="H1139" s="10">
        <v>45674.478807870371</v>
      </c>
      <c r="I1139" s="10">
        <v>45674.478807870371</v>
      </c>
      <c r="J1139" s="10">
        <v>45674.480694444443</v>
      </c>
      <c r="K1139" s="11">
        <v>1.8865740740740739E-3</v>
      </c>
      <c r="L1139" s="13"/>
    </row>
    <row r="1140" spans="1:12" x14ac:dyDescent="0.25">
      <c r="A1140" s="3" t="s">
        <v>3223</v>
      </c>
      <c r="B1140" s="3" t="s">
        <v>4396</v>
      </c>
      <c r="C1140" s="3" t="s">
        <v>1984</v>
      </c>
      <c r="D1140" s="9">
        <v>147.69999999999999</v>
      </c>
      <c r="E1140" s="3" t="s">
        <v>3204</v>
      </c>
      <c r="F1140" s="3" t="s">
        <v>3224</v>
      </c>
      <c r="G1140" s="9">
        <v>240.31</v>
      </c>
      <c r="H1140" s="10">
        <v>45674.571099537039</v>
      </c>
      <c r="I1140" s="10">
        <v>45674.571099537039</v>
      </c>
      <c r="J1140" s="10">
        <v>45674.571932870371</v>
      </c>
      <c r="K1140" s="11">
        <v>8.3333333333333339E-4</v>
      </c>
      <c r="L1140" s="13"/>
    </row>
    <row r="1141" spans="1:12" x14ac:dyDescent="0.25">
      <c r="A1141" s="3" t="s">
        <v>3223</v>
      </c>
      <c r="B1141" s="3" t="s">
        <v>4397</v>
      </c>
      <c r="C1141" s="3" t="s">
        <v>1905</v>
      </c>
      <c r="D1141" s="9">
        <v>134.30000000000001</v>
      </c>
      <c r="E1141" s="3" t="s">
        <v>3203</v>
      </c>
      <c r="F1141" s="3" t="s">
        <v>3224</v>
      </c>
      <c r="G1141" s="9">
        <v>223.61</v>
      </c>
      <c r="H1141" s="10">
        <v>45674.682870370372</v>
      </c>
      <c r="I1141" s="10">
        <v>45674.682870370372</v>
      </c>
      <c r="J1141" s="10">
        <v>45674.683645833327</v>
      </c>
      <c r="K1141" s="11">
        <v>7.7546296296296293E-4</v>
      </c>
      <c r="L1141" s="13"/>
    </row>
    <row r="1142" spans="1:12" x14ac:dyDescent="0.25">
      <c r="A1142" s="3" t="s">
        <v>3223</v>
      </c>
      <c r="B1142" s="3" t="s">
        <v>4398</v>
      </c>
      <c r="C1142" s="3" t="s">
        <v>1973</v>
      </c>
      <c r="D1142" s="9">
        <v>141</v>
      </c>
      <c r="E1142" s="3" t="s">
        <v>3194</v>
      </c>
      <c r="F1142" s="3" t="s">
        <v>3224</v>
      </c>
      <c r="G1142" s="9">
        <v>259.31</v>
      </c>
      <c r="H1142" s="10">
        <v>45674.765347222223</v>
      </c>
      <c r="I1142" s="10">
        <v>45674.765347222223</v>
      </c>
      <c r="J1142" s="10">
        <v>45674.766215277778</v>
      </c>
      <c r="K1142" s="11">
        <v>8.6805555555555551E-4</v>
      </c>
      <c r="L1142" s="13"/>
    </row>
    <row r="1143" spans="1:12" x14ac:dyDescent="0.25">
      <c r="A1143" s="3" t="s">
        <v>3223</v>
      </c>
      <c r="B1143" s="3" t="s">
        <v>4399</v>
      </c>
      <c r="C1143" s="3" t="s">
        <v>2004</v>
      </c>
      <c r="D1143" s="9">
        <v>339.8</v>
      </c>
      <c r="E1143" s="3" t="s">
        <v>3205</v>
      </c>
      <c r="F1143" s="3" t="s">
        <v>3224</v>
      </c>
      <c r="G1143" s="9">
        <v>262.93</v>
      </c>
      <c r="H1143" s="10">
        <v>45674.819120370368</v>
      </c>
      <c r="I1143" s="10">
        <v>45674.819120370368</v>
      </c>
      <c r="J1143" s="10">
        <v>45674.820451388892</v>
      </c>
      <c r="K1143" s="11">
        <v>1.3310185185185181E-3</v>
      </c>
      <c r="L1143" s="13"/>
    </row>
    <row r="1144" spans="1:12" x14ac:dyDescent="0.25">
      <c r="A1144" s="3" t="s">
        <v>3223</v>
      </c>
      <c r="B1144" s="3" t="s">
        <v>4400</v>
      </c>
      <c r="C1144" s="3" t="s">
        <v>1789</v>
      </c>
      <c r="D1144" s="9">
        <v>350.8</v>
      </c>
      <c r="E1144" s="3" t="s">
        <v>3201</v>
      </c>
      <c r="F1144" s="3" t="s">
        <v>3224</v>
      </c>
      <c r="G1144" s="9">
        <v>259.31</v>
      </c>
      <c r="H1144" s="10">
        <v>45674.928761574083</v>
      </c>
      <c r="I1144" s="10">
        <v>45674.928761574083</v>
      </c>
      <c r="J1144" s="10">
        <v>45674.930115740739</v>
      </c>
      <c r="K1144" s="11">
        <v>1.3541666666666669E-3</v>
      </c>
      <c r="L1144" s="13"/>
    </row>
    <row r="1145" spans="1:12" x14ac:dyDescent="0.25">
      <c r="A1145" s="3" t="s">
        <v>3223</v>
      </c>
      <c r="B1145" s="3" t="s">
        <v>4401</v>
      </c>
      <c r="C1145" s="3" t="s">
        <v>2034</v>
      </c>
      <c r="D1145" s="9">
        <v>173.3</v>
      </c>
      <c r="E1145" s="3" t="s">
        <v>3203</v>
      </c>
      <c r="F1145" s="3" t="s">
        <v>3224</v>
      </c>
      <c r="G1145" s="9">
        <v>223.61</v>
      </c>
      <c r="H1145" s="10">
        <v>45675.066516203697</v>
      </c>
      <c r="I1145" s="10">
        <v>45675.066516203697</v>
      </c>
      <c r="J1145" s="10">
        <v>45675.067384259259</v>
      </c>
      <c r="K1145" s="11">
        <v>8.6805555555555551E-4</v>
      </c>
      <c r="L1145" s="13"/>
    </row>
    <row r="1146" spans="1:12" x14ac:dyDescent="0.25">
      <c r="A1146" s="3" t="s">
        <v>3223</v>
      </c>
      <c r="B1146" s="3" t="s">
        <v>4402</v>
      </c>
      <c r="C1146" s="3" t="s">
        <v>1991</v>
      </c>
      <c r="D1146" s="9">
        <v>240.6</v>
      </c>
      <c r="E1146" s="3" t="s">
        <v>3206</v>
      </c>
      <c r="F1146" s="3" t="s">
        <v>3224</v>
      </c>
      <c r="G1146" s="9">
        <v>286.14</v>
      </c>
      <c r="H1146" s="10">
        <v>45675.296180555553</v>
      </c>
      <c r="I1146" s="10">
        <v>45675.296180555553</v>
      </c>
      <c r="J1146" s="10">
        <v>45675.297337962962</v>
      </c>
      <c r="K1146" s="11">
        <v>1.1574074074074069E-3</v>
      </c>
      <c r="L1146" s="13"/>
    </row>
    <row r="1147" spans="1:12" x14ac:dyDescent="0.25">
      <c r="A1147" s="3" t="s">
        <v>3223</v>
      </c>
      <c r="B1147" s="3" t="s">
        <v>4403</v>
      </c>
      <c r="C1147" s="3" t="s">
        <v>1843</v>
      </c>
      <c r="D1147" s="9">
        <v>159.69999999999999</v>
      </c>
      <c r="E1147" s="3" t="s">
        <v>3199</v>
      </c>
      <c r="F1147" s="3" t="s">
        <v>3224</v>
      </c>
      <c r="G1147" s="9">
        <v>188.33</v>
      </c>
      <c r="H1147" s="10">
        <v>45675.328321759262</v>
      </c>
      <c r="I1147" s="10">
        <v>45675.328321759262</v>
      </c>
      <c r="J1147" s="10">
        <v>45675.329074074078</v>
      </c>
      <c r="K1147" s="11">
        <v>7.5231481481481482E-4</v>
      </c>
      <c r="L1147" s="13"/>
    </row>
    <row r="1148" spans="1:12" x14ac:dyDescent="0.25">
      <c r="A1148" s="3" t="s">
        <v>3223</v>
      </c>
      <c r="B1148" s="3" t="s">
        <v>4404</v>
      </c>
      <c r="C1148" s="3" t="s">
        <v>1994</v>
      </c>
      <c r="D1148" s="9">
        <v>184.5</v>
      </c>
      <c r="E1148" s="3" t="s">
        <v>3196</v>
      </c>
      <c r="F1148" s="3" t="s">
        <v>3224</v>
      </c>
      <c r="G1148" s="9">
        <v>182.11</v>
      </c>
      <c r="H1148" s="10">
        <v>45676.779965277783</v>
      </c>
      <c r="I1148" s="10">
        <v>45676.779965277783</v>
      </c>
      <c r="J1148" s="10">
        <v>45676.780763888892</v>
      </c>
      <c r="K1148" s="11">
        <v>7.9861111111111116E-4</v>
      </c>
      <c r="L1148" s="13"/>
    </row>
    <row r="1149" spans="1:12" x14ac:dyDescent="0.25">
      <c r="A1149" s="3" t="s">
        <v>3223</v>
      </c>
      <c r="B1149" s="3" t="s">
        <v>4405</v>
      </c>
      <c r="C1149" s="3" t="s">
        <v>2041</v>
      </c>
      <c r="D1149" s="9">
        <v>238.4</v>
      </c>
      <c r="E1149" s="3" t="s">
        <v>3193</v>
      </c>
      <c r="F1149" s="3" t="s">
        <v>3224</v>
      </c>
      <c r="G1149" s="9">
        <v>205.9</v>
      </c>
      <c r="H1149" s="10">
        <v>45676.89707175926</v>
      </c>
      <c r="I1149" s="10">
        <v>45676.89707175926</v>
      </c>
      <c r="J1149" s="10">
        <v>45676.898043981477</v>
      </c>
      <c r="K1149" s="11">
        <v>9.7222222222222219E-4</v>
      </c>
      <c r="L1149" s="13"/>
    </row>
    <row r="1150" spans="1:12" x14ac:dyDescent="0.25">
      <c r="A1150" s="3" t="s">
        <v>3223</v>
      </c>
      <c r="B1150" s="3" t="s">
        <v>4406</v>
      </c>
      <c r="C1150" s="3" t="s">
        <v>2019</v>
      </c>
      <c r="D1150" s="9">
        <v>220.4</v>
      </c>
      <c r="E1150" s="3" t="s">
        <v>3204</v>
      </c>
      <c r="F1150" s="3" t="s">
        <v>3224</v>
      </c>
      <c r="G1150" s="9">
        <v>240.31</v>
      </c>
      <c r="H1150" s="10">
        <v>45677.160983796297</v>
      </c>
      <c r="I1150" s="10">
        <v>45677.160983796297</v>
      </c>
      <c r="J1150" s="10">
        <v>45677.162002314813</v>
      </c>
      <c r="K1150" s="11">
        <v>1.018518518518518E-3</v>
      </c>
      <c r="L1150" s="13"/>
    </row>
    <row r="1151" spans="1:12" x14ac:dyDescent="0.25">
      <c r="A1151" s="3" t="s">
        <v>3223</v>
      </c>
      <c r="B1151" s="3" t="s">
        <v>4407</v>
      </c>
      <c r="C1151" s="3" t="s">
        <v>2037</v>
      </c>
      <c r="D1151" s="9">
        <v>302.10000000000002</v>
      </c>
      <c r="E1151" s="3" t="s">
        <v>3203</v>
      </c>
      <c r="F1151" s="3" t="s">
        <v>3224</v>
      </c>
      <c r="G1151" s="9">
        <v>223.61</v>
      </c>
      <c r="H1151" s="10">
        <v>45677.253784722219</v>
      </c>
      <c r="I1151" s="10">
        <v>45677.253784722219</v>
      </c>
      <c r="J1151" s="10">
        <v>45677.254942129628</v>
      </c>
      <c r="K1151" s="11">
        <v>1.1574074074074069E-3</v>
      </c>
      <c r="L1151" s="13"/>
    </row>
    <row r="1152" spans="1:12" x14ac:dyDescent="0.25">
      <c r="A1152" s="3" t="s">
        <v>3223</v>
      </c>
      <c r="B1152" s="3" t="s">
        <v>4408</v>
      </c>
      <c r="C1152" s="3" t="s">
        <v>1997</v>
      </c>
      <c r="D1152" s="9">
        <v>110.2</v>
      </c>
      <c r="E1152" s="3" t="s">
        <v>3197</v>
      </c>
      <c r="F1152" s="3" t="s">
        <v>3224</v>
      </c>
      <c r="G1152" s="9">
        <v>262.93</v>
      </c>
      <c r="H1152" s="10">
        <v>45677.276192129633</v>
      </c>
      <c r="I1152" s="10">
        <v>45677.276192129633</v>
      </c>
      <c r="J1152" s="10">
        <v>45677.277002314811</v>
      </c>
      <c r="K1152" s="11">
        <v>8.1018518518518516E-4</v>
      </c>
      <c r="L1152" s="13"/>
    </row>
    <row r="1153" spans="1:12" x14ac:dyDescent="0.25">
      <c r="A1153" s="3" t="s">
        <v>3223</v>
      </c>
      <c r="B1153" s="3" t="s">
        <v>4409</v>
      </c>
      <c r="C1153" s="3" t="s">
        <v>2056</v>
      </c>
      <c r="D1153" s="9">
        <v>175.8</v>
      </c>
      <c r="E1153" s="3" t="s">
        <v>3194</v>
      </c>
      <c r="F1153" s="3" t="s">
        <v>3224</v>
      </c>
      <c r="G1153" s="9">
        <v>259.31</v>
      </c>
      <c r="H1153" s="10">
        <v>45677.351770833331</v>
      </c>
      <c r="I1153" s="10">
        <v>45677.351770833331</v>
      </c>
      <c r="J1153" s="10">
        <v>45677.352719907409</v>
      </c>
      <c r="K1153" s="11">
        <v>9.4907407407407408E-4</v>
      </c>
      <c r="L1153" s="13"/>
    </row>
    <row r="1154" spans="1:12" x14ac:dyDescent="0.25">
      <c r="A1154" s="3" t="s">
        <v>3223</v>
      </c>
      <c r="B1154" s="3" t="s">
        <v>4410</v>
      </c>
      <c r="C1154" s="3" t="s">
        <v>2070</v>
      </c>
      <c r="D1154" s="9">
        <v>179.2</v>
      </c>
      <c r="E1154" s="3" t="s">
        <v>3201</v>
      </c>
      <c r="F1154" s="3" t="s">
        <v>3224</v>
      </c>
      <c r="G1154" s="9">
        <v>259.31</v>
      </c>
      <c r="H1154" s="10">
        <v>45677.35392361111</v>
      </c>
      <c r="I1154" s="10">
        <v>45677.35392361111</v>
      </c>
      <c r="J1154" s="10">
        <v>45677.354872685188</v>
      </c>
      <c r="K1154" s="11">
        <v>9.4907407407407408E-4</v>
      </c>
      <c r="L1154" s="13"/>
    </row>
    <row r="1155" spans="1:12" x14ac:dyDescent="0.25">
      <c r="A1155" s="3" t="s">
        <v>3223</v>
      </c>
      <c r="B1155" s="3" t="s">
        <v>4411</v>
      </c>
      <c r="C1155" s="3" t="s">
        <v>2053</v>
      </c>
      <c r="D1155" s="9">
        <v>143.30000000000001</v>
      </c>
      <c r="E1155" s="3" t="s">
        <v>3200</v>
      </c>
      <c r="F1155" s="3" t="s">
        <v>3224</v>
      </c>
      <c r="G1155" s="9">
        <v>245</v>
      </c>
      <c r="H1155" s="10">
        <v>45677.380057870367</v>
      </c>
      <c r="I1155" s="10">
        <v>45677.380057870367</v>
      </c>
      <c r="J1155" s="10">
        <v>45677.380891203713</v>
      </c>
      <c r="K1155" s="11">
        <v>8.3333333333333339E-4</v>
      </c>
      <c r="L1155" s="13"/>
    </row>
    <row r="1156" spans="1:12" x14ac:dyDescent="0.25">
      <c r="A1156" s="3" t="s">
        <v>3223</v>
      </c>
      <c r="B1156" s="3" t="s">
        <v>4412</v>
      </c>
      <c r="C1156" s="3" t="s">
        <v>2080</v>
      </c>
      <c r="D1156" s="9">
        <v>110.3</v>
      </c>
      <c r="E1156" s="3" t="s">
        <v>3203</v>
      </c>
      <c r="F1156" s="3" t="s">
        <v>3224</v>
      </c>
      <c r="G1156" s="9">
        <v>223.61</v>
      </c>
      <c r="H1156" s="10">
        <v>45677.406412037039</v>
      </c>
      <c r="I1156" s="10">
        <v>45677.406412037039</v>
      </c>
      <c r="J1156" s="10">
        <v>45677.407141203701</v>
      </c>
      <c r="K1156" s="11">
        <v>7.291666666666667E-4</v>
      </c>
      <c r="L1156" s="13"/>
    </row>
    <row r="1157" spans="1:12" x14ac:dyDescent="0.25">
      <c r="A1157" s="3" t="s">
        <v>3223</v>
      </c>
      <c r="B1157" s="3" t="s">
        <v>4413</v>
      </c>
      <c r="C1157" s="3" t="s">
        <v>2062</v>
      </c>
      <c r="D1157" s="9">
        <v>132.69999999999999</v>
      </c>
      <c r="E1157" s="3" t="s">
        <v>3196</v>
      </c>
      <c r="F1157" s="3" t="s">
        <v>3224</v>
      </c>
      <c r="G1157" s="9">
        <v>182.11</v>
      </c>
      <c r="H1157" s="10">
        <v>45677.479861111111</v>
      </c>
      <c r="I1157" s="10">
        <v>45677.479861111111</v>
      </c>
      <c r="J1157" s="10">
        <v>45677.480555555558</v>
      </c>
      <c r="K1157" s="11">
        <v>6.9444444444444447E-4</v>
      </c>
      <c r="L1157" s="13"/>
    </row>
    <row r="1158" spans="1:12" x14ac:dyDescent="0.25">
      <c r="A1158" s="3" t="s">
        <v>3223</v>
      </c>
      <c r="B1158" s="3" t="s">
        <v>4414</v>
      </c>
      <c r="C1158" s="3" t="s">
        <v>2087</v>
      </c>
      <c r="D1158" s="9">
        <v>521.70000000000005</v>
      </c>
      <c r="E1158" s="3" t="s">
        <v>3199</v>
      </c>
      <c r="F1158" s="3" t="s">
        <v>3224</v>
      </c>
      <c r="G1158" s="9">
        <v>188.33</v>
      </c>
      <c r="H1158" s="10">
        <v>45677.499895833331</v>
      </c>
      <c r="I1158" s="10">
        <v>45677.499895833331</v>
      </c>
      <c r="J1158" s="10">
        <v>45677.501493055563</v>
      </c>
      <c r="K1158" s="11">
        <v>1.5972222222222221E-3</v>
      </c>
      <c r="L1158" s="13"/>
    </row>
    <row r="1159" spans="1:12" x14ac:dyDescent="0.25">
      <c r="A1159" s="3" t="s">
        <v>3223</v>
      </c>
      <c r="B1159" s="3" t="s">
        <v>4415</v>
      </c>
      <c r="C1159" s="3" t="s">
        <v>2024</v>
      </c>
      <c r="D1159" s="9">
        <v>108</v>
      </c>
      <c r="E1159" s="3" t="s">
        <v>3206</v>
      </c>
      <c r="F1159" s="3" t="s">
        <v>3224</v>
      </c>
      <c r="G1159" s="9">
        <v>286.14</v>
      </c>
      <c r="H1159" s="10">
        <v>45677.559664351851</v>
      </c>
      <c r="I1159" s="10">
        <v>45677.559664351851</v>
      </c>
      <c r="J1159" s="10">
        <v>45677.56050925926</v>
      </c>
      <c r="K1159" s="11">
        <v>8.4490740740740739E-4</v>
      </c>
      <c r="L1159" s="13"/>
    </row>
    <row r="1160" spans="1:12" x14ac:dyDescent="0.25">
      <c r="A1160" s="3" t="s">
        <v>3223</v>
      </c>
      <c r="B1160" s="3" t="s">
        <v>4416</v>
      </c>
      <c r="C1160" s="3" t="s">
        <v>2114</v>
      </c>
      <c r="D1160" s="9">
        <v>165.8</v>
      </c>
      <c r="E1160" s="3" t="s">
        <v>3193</v>
      </c>
      <c r="F1160" s="3" t="s">
        <v>3224</v>
      </c>
      <c r="G1160" s="9">
        <v>205.9</v>
      </c>
      <c r="H1160" s="10">
        <v>45677.641446759262</v>
      </c>
      <c r="I1160" s="10">
        <v>45677.641446759262</v>
      </c>
      <c r="J1160" s="10">
        <v>45677.642256944448</v>
      </c>
      <c r="K1160" s="11">
        <v>8.1018518518518516E-4</v>
      </c>
      <c r="L1160" s="13"/>
    </row>
    <row r="1161" spans="1:12" x14ac:dyDescent="0.25">
      <c r="A1161" s="3" t="s">
        <v>3223</v>
      </c>
      <c r="B1161" s="3" t="s">
        <v>4417</v>
      </c>
      <c r="C1161" s="3" t="s">
        <v>2125</v>
      </c>
      <c r="D1161" s="9">
        <v>102.8</v>
      </c>
      <c r="E1161" s="3" t="s">
        <v>3203</v>
      </c>
      <c r="F1161" s="3" t="s">
        <v>3224</v>
      </c>
      <c r="G1161" s="9">
        <v>223.61</v>
      </c>
      <c r="H1161" s="10">
        <v>45677.685416666667</v>
      </c>
      <c r="I1161" s="10">
        <v>45677.685416666667</v>
      </c>
      <c r="J1161" s="10">
        <v>45677.686111111107</v>
      </c>
      <c r="K1161" s="11">
        <v>6.9444444444444447E-4</v>
      </c>
      <c r="L1161" s="13"/>
    </row>
    <row r="1162" spans="1:12" x14ac:dyDescent="0.25">
      <c r="A1162" s="3" t="s">
        <v>3223</v>
      </c>
      <c r="B1162" s="3" t="s">
        <v>4418</v>
      </c>
      <c r="C1162" s="3" t="s">
        <v>2059</v>
      </c>
      <c r="D1162" s="9">
        <v>135</v>
      </c>
      <c r="E1162" s="3" t="s">
        <v>3205</v>
      </c>
      <c r="F1162" s="3" t="s">
        <v>3224</v>
      </c>
      <c r="G1162" s="9">
        <v>262.93</v>
      </c>
      <c r="H1162" s="10">
        <v>45677.695671296293</v>
      </c>
      <c r="I1162" s="10">
        <v>45677.695671296293</v>
      </c>
      <c r="J1162" s="10">
        <v>45677.696527777778</v>
      </c>
      <c r="K1162" s="11">
        <v>8.564814814814815E-4</v>
      </c>
      <c r="L1162" s="13"/>
    </row>
    <row r="1163" spans="1:12" x14ac:dyDescent="0.25">
      <c r="A1163" s="3" t="s">
        <v>3223</v>
      </c>
      <c r="B1163" s="3" t="s">
        <v>4419</v>
      </c>
      <c r="C1163" s="3" t="s">
        <v>2050</v>
      </c>
      <c r="D1163" s="9">
        <v>329.7</v>
      </c>
      <c r="E1163" s="3" t="s">
        <v>3204</v>
      </c>
      <c r="F1163" s="3" t="s">
        <v>3224</v>
      </c>
      <c r="G1163" s="9">
        <v>240.31</v>
      </c>
      <c r="H1163" s="10">
        <v>45677.723263888889</v>
      </c>
      <c r="I1163" s="10">
        <v>45677.723263888889</v>
      </c>
      <c r="J1163" s="10">
        <v>45677.724537037036</v>
      </c>
      <c r="K1163" s="11">
        <v>1.273148148148148E-3</v>
      </c>
      <c r="L1163" s="13"/>
    </row>
    <row r="1164" spans="1:12" x14ac:dyDescent="0.25">
      <c r="A1164" s="3" t="s">
        <v>3223</v>
      </c>
      <c r="B1164" s="3" t="s">
        <v>4420</v>
      </c>
      <c r="C1164" s="3" t="s">
        <v>1735</v>
      </c>
      <c r="D1164" s="9">
        <v>126</v>
      </c>
      <c r="E1164" s="3" t="s">
        <v>3202</v>
      </c>
      <c r="F1164" s="3" t="s">
        <v>3224</v>
      </c>
      <c r="G1164" s="9">
        <v>231.94</v>
      </c>
      <c r="H1164" s="10">
        <v>45677.741828703707</v>
      </c>
      <c r="I1164" s="10">
        <v>45677.741828703707</v>
      </c>
      <c r="J1164" s="10">
        <v>45677.742604166669</v>
      </c>
      <c r="K1164" s="11">
        <v>7.7546296296296293E-4</v>
      </c>
      <c r="L1164" s="13"/>
    </row>
    <row r="1165" spans="1:12" x14ac:dyDescent="0.25">
      <c r="A1165" s="3" t="s">
        <v>3223</v>
      </c>
      <c r="B1165" s="3" t="s">
        <v>4421</v>
      </c>
      <c r="C1165" s="3" t="s">
        <v>2187</v>
      </c>
      <c r="D1165" s="9">
        <v>145.6</v>
      </c>
      <c r="E1165" s="3" t="s">
        <v>3203</v>
      </c>
      <c r="F1165" s="3" t="s">
        <v>3224</v>
      </c>
      <c r="G1165" s="9">
        <v>223.61</v>
      </c>
      <c r="H1165" s="10">
        <v>45677.914629629631</v>
      </c>
      <c r="I1165" s="10">
        <v>45677.914629629631</v>
      </c>
      <c r="J1165" s="10">
        <v>45677.91542824074</v>
      </c>
      <c r="K1165" s="11">
        <v>7.9861111111111116E-4</v>
      </c>
      <c r="L1165" s="13"/>
    </row>
    <row r="1166" spans="1:12" x14ac:dyDescent="0.25">
      <c r="A1166" s="3" t="s">
        <v>3223</v>
      </c>
      <c r="B1166" s="3" t="s">
        <v>4422</v>
      </c>
      <c r="C1166" s="3" t="s">
        <v>2093</v>
      </c>
      <c r="D1166" s="9">
        <v>135</v>
      </c>
      <c r="E1166" s="3" t="s">
        <v>3194</v>
      </c>
      <c r="F1166" s="3" t="s">
        <v>3224</v>
      </c>
      <c r="G1166" s="9">
        <v>259.31</v>
      </c>
      <c r="H1166" s="10">
        <v>45678.1641087963</v>
      </c>
      <c r="I1166" s="10">
        <v>45678.1641087963</v>
      </c>
      <c r="J1166" s="10">
        <v>45678.164965277778</v>
      </c>
      <c r="K1166" s="11">
        <v>8.564814814814815E-4</v>
      </c>
      <c r="L1166" s="13"/>
    </row>
    <row r="1167" spans="1:12" x14ac:dyDescent="0.25">
      <c r="A1167" s="3" t="s">
        <v>3223</v>
      </c>
      <c r="B1167" s="3" t="s">
        <v>4423</v>
      </c>
      <c r="C1167" s="3" t="s">
        <v>2090</v>
      </c>
      <c r="D1167" s="9">
        <v>136.19999999999999</v>
      </c>
      <c r="E1167" s="3" t="s">
        <v>3197</v>
      </c>
      <c r="F1167" s="3" t="s">
        <v>3224</v>
      </c>
      <c r="G1167" s="9">
        <v>262.93</v>
      </c>
      <c r="H1167" s="10">
        <v>45678.30972222222</v>
      </c>
      <c r="I1167" s="10">
        <v>45678.30972222222</v>
      </c>
      <c r="J1167" s="10">
        <v>45678.310578703713</v>
      </c>
      <c r="K1167" s="11">
        <v>8.564814814814815E-4</v>
      </c>
      <c r="L1167" s="13"/>
    </row>
    <row r="1168" spans="1:12" x14ac:dyDescent="0.25">
      <c r="A1168" s="3" t="s">
        <v>3223</v>
      </c>
      <c r="B1168" s="3" t="s">
        <v>4424</v>
      </c>
      <c r="C1168" s="3" t="s">
        <v>2190</v>
      </c>
      <c r="D1168" s="9">
        <v>165.8</v>
      </c>
      <c r="E1168" s="3" t="s">
        <v>3203</v>
      </c>
      <c r="F1168" s="3" t="s">
        <v>3224</v>
      </c>
      <c r="G1168" s="9">
        <v>223.61</v>
      </c>
      <c r="H1168" s="10">
        <v>45678.34516203704</v>
      </c>
      <c r="I1168" s="10">
        <v>45678.34516203704</v>
      </c>
      <c r="J1168" s="10">
        <v>45678.346018518518</v>
      </c>
      <c r="K1168" s="11">
        <v>8.564814814814815E-4</v>
      </c>
      <c r="L1168" s="13"/>
    </row>
    <row r="1169" spans="1:12" x14ac:dyDescent="0.25">
      <c r="A1169" s="3" t="s">
        <v>3223</v>
      </c>
      <c r="B1169" s="3" t="s">
        <v>4425</v>
      </c>
      <c r="C1169" s="3" t="s">
        <v>2119</v>
      </c>
      <c r="D1169" s="9">
        <v>105</v>
      </c>
      <c r="E1169" s="3" t="s">
        <v>3199</v>
      </c>
      <c r="F1169" s="3" t="s">
        <v>3224</v>
      </c>
      <c r="G1169" s="9">
        <v>188.33</v>
      </c>
      <c r="H1169" s="10">
        <v>45678.358749999999</v>
      </c>
      <c r="I1169" s="10">
        <v>45678.358749999999</v>
      </c>
      <c r="J1169" s="10">
        <v>45678.359386574077</v>
      </c>
      <c r="K1169" s="11">
        <v>6.3657407407407413E-4</v>
      </c>
      <c r="L1169" s="13"/>
    </row>
    <row r="1170" spans="1:12" x14ac:dyDescent="0.25">
      <c r="A1170" s="3" t="s">
        <v>3223</v>
      </c>
      <c r="B1170" s="3" t="s">
        <v>4426</v>
      </c>
      <c r="C1170" s="3" t="s">
        <v>2195</v>
      </c>
      <c r="D1170" s="9">
        <v>153.9</v>
      </c>
      <c r="E1170" s="3" t="s">
        <v>3200</v>
      </c>
      <c r="F1170" s="3" t="s">
        <v>3224</v>
      </c>
      <c r="G1170" s="9">
        <v>245</v>
      </c>
      <c r="H1170" s="10">
        <v>45678.36142361111</v>
      </c>
      <c r="I1170" s="10">
        <v>45678.36142361111</v>
      </c>
      <c r="J1170" s="10">
        <v>45678.362291666657</v>
      </c>
      <c r="K1170" s="11">
        <v>8.6805555555555551E-4</v>
      </c>
      <c r="L1170" s="13"/>
    </row>
    <row r="1171" spans="1:12" x14ac:dyDescent="0.25">
      <c r="A1171" s="3" t="s">
        <v>3223</v>
      </c>
      <c r="B1171" s="3" t="s">
        <v>4427</v>
      </c>
      <c r="C1171" s="3" t="s">
        <v>2146</v>
      </c>
      <c r="D1171" s="9">
        <v>140.19999999999999</v>
      </c>
      <c r="E1171" s="3" t="s">
        <v>3201</v>
      </c>
      <c r="F1171" s="3" t="s">
        <v>3224</v>
      </c>
      <c r="G1171" s="9">
        <v>259.31</v>
      </c>
      <c r="H1171" s="10">
        <v>45678.426261574074</v>
      </c>
      <c r="I1171" s="10">
        <v>45678.426261574074</v>
      </c>
      <c r="J1171" s="10">
        <v>45678.427118055559</v>
      </c>
      <c r="K1171" s="11">
        <v>8.564814814814815E-4</v>
      </c>
      <c r="L1171" s="13"/>
    </row>
    <row r="1172" spans="1:12" x14ac:dyDescent="0.25">
      <c r="A1172" s="3" t="s">
        <v>3223</v>
      </c>
      <c r="B1172" s="3" t="s">
        <v>4428</v>
      </c>
      <c r="C1172" s="3" t="s">
        <v>2150</v>
      </c>
      <c r="D1172" s="9">
        <v>389.1</v>
      </c>
      <c r="E1172" s="3" t="s">
        <v>3206</v>
      </c>
      <c r="F1172" s="3" t="s">
        <v>3224</v>
      </c>
      <c r="G1172" s="9">
        <v>286.14</v>
      </c>
      <c r="H1172" s="10">
        <v>45678.455543981479</v>
      </c>
      <c r="I1172" s="10">
        <v>45678.455543981479</v>
      </c>
      <c r="J1172" s="10">
        <v>45678.457037037027</v>
      </c>
      <c r="K1172" s="11">
        <v>1.4930555555555561E-3</v>
      </c>
      <c r="L1172" s="13"/>
    </row>
    <row r="1173" spans="1:12" x14ac:dyDescent="0.25">
      <c r="A1173" s="3" t="s">
        <v>3223</v>
      </c>
      <c r="B1173" s="3" t="s">
        <v>4429</v>
      </c>
      <c r="C1173" s="3" t="s">
        <v>2223</v>
      </c>
      <c r="D1173" s="9">
        <v>152.30000000000001</v>
      </c>
      <c r="E1173" s="3" t="s">
        <v>3203</v>
      </c>
      <c r="F1173" s="3" t="s">
        <v>3224</v>
      </c>
      <c r="G1173" s="9">
        <v>223.61</v>
      </c>
      <c r="H1173" s="10">
        <v>45678.464849537027</v>
      </c>
      <c r="I1173" s="10">
        <v>45678.464849537027</v>
      </c>
      <c r="J1173" s="10">
        <v>45678.465671296297</v>
      </c>
      <c r="K1173" s="11">
        <v>8.2175925925925927E-4</v>
      </c>
      <c r="L1173" s="13"/>
    </row>
    <row r="1174" spans="1:12" x14ac:dyDescent="0.25">
      <c r="A1174" s="3" t="s">
        <v>3223</v>
      </c>
      <c r="B1174" s="3" t="s">
        <v>4430</v>
      </c>
      <c r="C1174" s="3" t="s">
        <v>2228</v>
      </c>
      <c r="D1174" s="9">
        <v>325.39999999999998</v>
      </c>
      <c r="E1174" s="3" t="s">
        <v>3203</v>
      </c>
      <c r="F1174" s="3" t="s">
        <v>3224</v>
      </c>
      <c r="G1174" s="9">
        <v>223.61</v>
      </c>
      <c r="H1174" s="10">
        <v>45678.672418981478</v>
      </c>
      <c r="I1174" s="10">
        <v>45678.672418981478</v>
      </c>
      <c r="J1174" s="10">
        <v>45678.673634259263</v>
      </c>
      <c r="K1174" s="11">
        <v>1.215277777777778E-3</v>
      </c>
      <c r="L1174" s="13"/>
    </row>
    <row r="1175" spans="1:12" x14ac:dyDescent="0.25">
      <c r="A1175" s="3" t="s">
        <v>3223</v>
      </c>
      <c r="B1175" s="3" t="s">
        <v>4431</v>
      </c>
      <c r="C1175" s="3" t="s">
        <v>2137</v>
      </c>
      <c r="D1175" s="9">
        <v>295.7</v>
      </c>
      <c r="E1175" s="3" t="s">
        <v>3196</v>
      </c>
      <c r="F1175" s="3" t="s">
        <v>3224</v>
      </c>
      <c r="G1175" s="9">
        <v>182.11</v>
      </c>
      <c r="H1175" s="10">
        <v>45678.698703703703</v>
      </c>
      <c r="I1175" s="10">
        <v>45678.698703703703</v>
      </c>
      <c r="J1175" s="10">
        <v>45678.69976851852</v>
      </c>
      <c r="K1175" s="11">
        <v>1.0648148148148151E-3</v>
      </c>
      <c r="L1175" s="13"/>
    </row>
    <row r="1176" spans="1:12" x14ac:dyDescent="0.25">
      <c r="A1176" s="3" t="s">
        <v>3223</v>
      </c>
      <c r="B1176" s="3" t="s">
        <v>4432</v>
      </c>
      <c r="C1176" s="3" t="s">
        <v>2134</v>
      </c>
      <c r="D1176" s="9">
        <v>398</v>
      </c>
      <c r="E1176" s="3" t="s">
        <v>3204</v>
      </c>
      <c r="F1176" s="3" t="s">
        <v>3224</v>
      </c>
      <c r="G1176" s="9">
        <v>240.31</v>
      </c>
      <c r="H1176" s="10">
        <v>45678.7109837963</v>
      </c>
      <c r="I1176" s="10">
        <v>45678.7109837963</v>
      </c>
      <c r="J1176" s="10">
        <v>45678.712407407409</v>
      </c>
      <c r="K1176" s="11">
        <v>1.423611111111111E-3</v>
      </c>
      <c r="L1176" s="13"/>
    </row>
    <row r="1177" spans="1:12" x14ac:dyDescent="0.25">
      <c r="A1177" s="3" t="s">
        <v>3223</v>
      </c>
      <c r="B1177" s="3" t="s">
        <v>4433</v>
      </c>
      <c r="C1177" s="3" t="s">
        <v>2244</v>
      </c>
      <c r="D1177" s="9">
        <v>233.1</v>
      </c>
      <c r="E1177" s="3" t="s">
        <v>3202</v>
      </c>
      <c r="F1177" s="3" t="s">
        <v>3224</v>
      </c>
      <c r="G1177" s="9">
        <v>231.94</v>
      </c>
      <c r="H1177" s="10">
        <v>45678.919907407413</v>
      </c>
      <c r="I1177" s="10">
        <v>45678.919907407413</v>
      </c>
      <c r="J1177" s="10">
        <v>45678.920925925922</v>
      </c>
      <c r="K1177" s="11">
        <v>1.018518518518518E-3</v>
      </c>
      <c r="L1177" s="13"/>
    </row>
    <row r="1178" spans="1:12" x14ac:dyDescent="0.25">
      <c r="A1178" s="3" t="s">
        <v>3223</v>
      </c>
      <c r="B1178" s="3" t="s">
        <v>4434</v>
      </c>
      <c r="C1178" s="3" t="s">
        <v>2182</v>
      </c>
      <c r="D1178" s="9">
        <v>116.9</v>
      </c>
      <c r="E1178" s="3" t="s">
        <v>3194</v>
      </c>
      <c r="F1178" s="3" t="s">
        <v>3224</v>
      </c>
      <c r="G1178" s="9">
        <v>259.31</v>
      </c>
      <c r="H1178" s="10">
        <v>45679.143310185187</v>
      </c>
      <c r="I1178" s="10">
        <v>45679.143310185187</v>
      </c>
      <c r="J1178" s="10">
        <v>45679.144120370373</v>
      </c>
      <c r="K1178" s="11">
        <v>8.1018518518518516E-4</v>
      </c>
      <c r="L1178" s="13"/>
    </row>
    <row r="1179" spans="1:12" x14ac:dyDescent="0.25">
      <c r="A1179" s="3" t="s">
        <v>3223</v>
      </c>
      <c r="B1179" s="3" t="s">
        <v>4435</v>
      </c>
      <c r="C1179" s="3" t="s">
        <v>2204</v>
      </c>
      <c r="D1179" s="9">
        <v>117.1</v>
      </c>
      <c r="E1179" s="3" t="s">
        <v>3197</v>
      </c>
      <c r="F1179" s="3" t="s">
        <v>3224</v>
      </c>
      <c r="G1179" s="9">
        <v>262.93</v>
      </c>
      <c r="H1179" s="10">
        <v>45679.22378472222</v>
      </c>
      <c r="I1179" s="10">
        <v>45679.22378472222</v>
      </c>
      <c r="J1179" s="10">
        <v>45679.224594907413</v>
      </c>
      <c r="K1179" s="11">
        <v>8.1018518518518516E-4</v>
      </c>
      <c r="L1179" s="13"/>
    </row>
    <row r="1180" spans="1:12" x14ac:dyDescent="0.25">
      <c r="A1180" s="3" t="s">
        <v>3223</v>
      </c>
      <c r="B1180" s="3" t="s">
        <v>4436</v>
      </c>
      <c r="C1180" s="3" t="s">
        <v>2269</v>
      </c>
      <c r="D1180" s="9">
        <v>339.1</v>
      </c>
      <c r="E1180" s="3" t="s">
        <v>3197</v>
      </c>
      <c r="F1180" s="3" t="s">
        <v>3224</v>
      </c>
      <c r="G1180" s="9">
        <v>262.93</v>
      </c>
      <c r="H1180" s="10">
        <v>45679.335833333331</v>
      </c>
      <c r="I1180" s="10">
        <v>45679.335833333331</v>
      </c>
      <c r="J1180" s="10">
        <v>45679.337164351848</v>
      </c>
      <c r="K1180" s="11">
        <v>1.3310185185185181E-3</v>
      </c>
      <c r="L1180" s="13"/>
    </row>
    <row r="1181" spans="1:12" x14ac:dyDescent="0.25">
      <c r="A1181" s="3" t="s">
        <v>3223</v>
      </c>
      <c r="B1181" s="3" t="s">
        <v>4437</v>
      </c>
      <c r="C1181" s="3" t="s">
        <v>2281</v>
      </c>
      <c r="D1181" s="9">
        <v>108</v>
      </c>
      <c r="E1181" s="3" t="s">
        <v>3200</v>
      </c>
      <c r="F1181" s="3" t="s">
        <v>3224</v>
      </c>
      <c r="G1181" s="9">
        <v>245</v>
      </c>
      <c r="H1181" s="10">
        <v>45679.343645833331</v>
      </c>
      <c r="I1181" s="10">
        <v>45679.343645833331</v>
      </c>
      <c r="J1181" s="10">
        <v>45679.344409722216</v>
      </c>
      <c r="K1181" s="11">
        <v>7.6388888888888893E-4</v>
      </c>
      <c r="L1181" s="13"/>
    </row>
    <row r="1182" spans="1:12" x14ac:dyDescent="0.25">
      <c r="A1182" s="3" t="s">
        <v>3223</v>
      </c>
      <c r="B1182" s="3" t="s">
        <v>4438</v>
      </c>
      <c r="C1182" s="3" t="s">
        <v>2237</v>
      </c>
      <c r="D1182" s="9">
        <v>143.6</v>
      </c>
      <c r="E1182" s="3" t="s">
        <v>3203</v>
      </c>
      <c r="F1182" s="3" t="s">
        <v>3224</v>
      </c>
      <c r="G1182" s="9">
        <v>223.61</v>
      </c>
      <c r="H1182" s="10">
        <v>45679.347581018519</v>
      </c>
      <c r="I1182" s="10">
        <v>45679.347581018519</v>
      </c>
      <c r="J1182" s="10">
        <v>45679.348368055558</v>
      </c>
      <c r="K1182" s="11">
        <v>7.8703703703703705E-4</v>
      </c>
      <c r="L1182" s="13"/>
    </row>
    <row r="1183" spans="1:12" x14ac:dyDescent="0.25">
      <c r="A1183" s="3" t="s">
        <v>3223</v>
      </c>
      <c r="B1183" s="3" t="s">
        <v>4439</v>
      </c>
      <c r="C1183" s="3" t="s">
        <v>2216</v>
      </c>
      <c r="D1183" s="9">
        <v>111.4</v>
      </c>
      <c r="E1183" s="3" t="s">
        <v>3199</v>
      </c>
      <c r="F1183" s="3" t="s">
        <v>3224</v>
      </c>
      <c r="G1183" s="9">
        <v>188.33</v>
      </c>
      <c r="H1183" s="10">
        <v>45679.360856481479</v>
      </c>
      <c r="I1183" s="10">
        <v>45679.360856481479</v>
      </c>
      <c r="J1183" s="10">
        <v>45679.361504629633</v>
      </c>
      <c r="K1183" s="11">
        <v>6.4814814814814813E-4</v>
      </c>
      <c r="L1183" s="13"/>
    </row>
    <row r="1184" spans="1:12" x14ac:dyDescent="0.25">
      <c r="A1184" s="3" t="s">
        <v>3223</v>
      </c>
      <c r="B1184" s="3" t="s">
        <v>4440</v>
      </c>
      <c r="C1184" s="3" t="s">
        <v>2290</v>
      </c>
      <c r="D1184" s="9">
        <v>454.8</v>
      </c>
      <c r="E1184" s="3" t="s">
        <v>3197</v>
      </c>
      <c r="F1184" s="3" t="s">
        <v>3224</v>
      </c>
      <c r="G1184" s="9">
        <v>262.93</v>
      </c>
      <c r="H1184" s="10">
        <v>45679.44189814815</v>
      </c>
      <c r="I1184" s="10">
        <v>45679.44189814815</v>
      </c>
      <c r="J1184" s="10">
        <v>45679.443506944437</v>
      </c>
      <c r="K1184" s="11">
        <v>1.6087962962962961E-3</v>
      </c>
      <c r="L1184" s="13"/>
    </row>
    <row r="1185" spans="1:12" x14ac:dyDescent="0.25">
      <c r="A1185" s="3" t="s">
        <v>3223</v>
      </c>
      <c r="B1185" s="3" t="s">
        <v>4441</v>
      </c>
      <c r="C1185" s="3" t="s">
        <v>2247</v>
      </c>
      <c r="D1185" s="9">
        <v>101.7</v>
      </c>
      <c r="E1185" s="3" t="s">
        <v>3205</v>
      </c>
      <c r="F1185" s="3" t="s">
        <v>3224</v>
      </c>
      <c r="G1185" s="9">
        <v>262.93</v>
      </c>
      <c r="H1185" s="10">
        <v>45679.463449074072</v>
      </c>
      <c r="I1185" s="10">
        <v>45679.463449074072</v>
      </c>
      <c r="J1185" s="10">
        <v>45679.464224537027</v>
      </c>
      <c r="K1185" s="11">
        <v>7.7546296296296293E-4</v>
      </c>
      <c r="L1185" s="13"/>
    </row>
    <row r="1186" spans="1:12" x14ac:dyDescent="0.25">
      <c r="A1186" s="3" t="s">
        <v>3223</v>
      </c>
      <c r="B1186" s="3" t="s">
        <v>4442</v>
      </c>
      <c r="C1186" s="3" t="s">
        <v>2302</v>
      </c>
      <c r="D1186" s="9">
        <v>398</v>
      </c>
      <c r="E1186" s="3" t="s">
        <v>3197</v>
      </c>
      <c r="F1186" s="3" t="s">
        <v>3224</v>
      </c>
      <c r="G1186" s="9">
        <v>262.93</v>
      </c>
      <c r="H1186" s="10">
        <v>45679.489745370367</v>
      </c>
      <c r="I1186" s="10">
        <v>45679.489745370367</v>
      </c>
      <c r="J1186" s="10">
        <v>45679.491215277783</v>
      </c>
      <c r="K1186" s="11">
        <v>1.469907407407407E-3</v>
      </c>
      <c r="L1186" s="13"/>
    </row>
    <row r="1187" spans="1:12" x14ac:dyDescent="0.25">
      <c r="A1187" s="3" t="s">
        <v>3223</v>
      </c>
      <c r="B1187" s="3" t="s">
        <v>4443</v>
      </c>
      <c r="C1187" s="3" t="s">
        <v>2297</v>
      </c>
      <c r="D1187" s="9">
        <v>173.3</v>
      </c>
      <c r="E1187" s="3" t="s">
        <v>3203</v>
      </c>
      <c r="F1187" s="3" t="s">
        <v>3224</v>
      </c>
      <c r="G1187" s="9">
        <v>223.61</v>
      </c>
      <c r="H1187" s="10">
        <v>45679.580023148148</v>
      </c>
      <c r="I1187" s="10">
        <v>45679.580023148148</v>
      </c>
      <c r="J1187" s="10">
        <v>45679.580891203703</v>
      </c>
      <c r="K1187" s="11">
        <v>8.6805555555555551E-4</v>
      </c>
      <c r="L1187" s="13"/>
    </row>
    <row r="1188" spans="1:12" x14ac:dyDescent="0.25">
      <c r="A1188" s="3" t="s">
        <v>3223</v>
      </c>
      <c r="B1188" s="3" t="s">
        <v>4444</v>
      </c>
      <c r="C1188" s="3" t="s">
        <v>2309</v>
      </c>
      <c r="D1188" s="9">
        <v>123.7</v>
      </c>
      <c r="E1188" s="3" t="s">
        <v>3201</v>
      </c>
      <c r="F1188" s="3" t="s">
        <v>3224</v>
      </c>
      <c r="G1188" s="9">
        <v>259.31</v>
      </c>
      <c r="H1188" s="10">
        <v>45679.663611111107</v>
      </c>
      <c r="I1188" s="10">
        <v>45679.663611111107</v>
      </c>
      <c r="J1188" s="10">
        <v>45679.664444444446</v>
      </c>
      <c r="K1188" s="11">
        <v>8.3333333333333339E-4</v>
      </c>
      <c r="L1188" s="13"/>
    </row>
    <row r="1189" spans="1:12" x14ac:dyDescent="0.25">
      <c r="A1189" s="3" t="s">
        <v>3223</v>
      </c>
      <c r="B1189" s="3" t="s">
        <v>4445</v>
      </c>
      <c r="C1189" s="3" t="s">
        <v>2318</v>
      </c>
      <c r="D1189" s="9">
        <v>209.9</v>
      </c>
      <c r="E1189" s="3" t="s">
        <v>3206</v>
      </c>
      <c r="F1189" s="3" t="s">
        <v>3224</v>
      </c>
      <c r="G1189" s="9">
        <v>286.14</v>
      </c>
      <c r="H1189" s="10">
        <v>45679.779537037037</v>
      </c>
      <c r="I1189" s="10">
        <v>45679.779537037037</v>
      </c>
      <c r="J1189" s="10">
        <v>45679.780613425923</v>
      </c>
      <c r="K1189" s="11">
        <v>1.0763888888888891E-3</v>
      </c>
      <c r="L1189" s="13"/>
    </row>
    <row r="1190" spans="1:12" x14ac:dyDescent="0.25">
      <c r="A1190" s="3" t="s">
        <v>3223</v>
      </c>
      <c r="B1190" s="3" t="s">
        <v>4446</v>
      </c>
      <c r="C1190" s="3" t="s">
        <v>2323</v>
      </c>
      <c r="D1190" s="9">
        <v>125.9</v>
      </c>
      <c r="E1190" s="3" t="s">
        <v>3197</v>
      </c>
      <c r="F1190" s="3" t="s">
        <v>3224</v>
      </c>
      <c r="G1190" s="9">
        <v>262.93</v>
      </c>
      <c r="H1190" s="10">
        <v>45679.784803240742</v>
      </c>
      <c r="I1190" s="10">
        <v>45679.784803240742</v>
      </c>
      <c r="J1190" s="10">
        <v>45679.78564814815</v>
      </c>
      <c r="K1190" s="11">
        <v>8.4490740740740739E-4</v>
      </c>
      <c r="L1190" s="13"/>
    </row>
    <row r="1191" spans="1:12" x14ac:dyDescent="0.25">
      <c r="A1191" s="3" t="s">
        <v>3223</v>
      </c>
      <c r="B1191" s="3" t="s">
        <v>4447</v>
      </c>
      <c r="C1191" s="3" t="s">
        <v>2326</v>
      </c>
      <c r="D1191" s="9">
        <v>187.4</v>
      </c>
      <c r="E1191" s="3" t="s">
        <v>3197</v>
      </c>
      <c r="F1191" s="3" t="s">
        <v>3224</v>
      </c>
      <c r="G1191" s="9">
        <v>262.93</v>
      </c>
      <c r="H1191" s="10">
        <v>45679.797881944447</v>
      </c>
      <c r="I1191" s="10">
        <v>45679.797881944447</v>
      </c>
      <c r="J1191" s="10">
        <v>45679.798854166656</v>
      </c>
      <c r="K1191" s="11">
        <v>9.7222222222222219E-4</v>
      </c>
      <c r="L1191" s="13"/>
    </row>
    <row r="1192" spans="1:12" x14ac:dyDescent="0.25">
      <c r="A1192" s="3" t="s">
        <v>3223</v>
      </c>
      <c r="B1192" s="3" t="s">
        <v>4448</v>
      </c>
      <c r="C1192" s="3" t="s">
        <v>2329</v>
      </c>
      <c r="D1192" s="9">
        <v>219.4</v>
      </c>
      <c r="E1192" s="3" t="s">
        <v>3203</v>
      </c>
      <c r="F1192" s="3" t="s">
        <v>3224</v>
      </c>
      <c r="G1192" s="9">
        <v>223.61</v>
      </c>
      <c r="H1192" s="10">
        <v>45679.904062499998</v>
      </c>
      <c r="I1192" s="10">
        <v>45679.904062499998</v>
      </c>
      <c r="J1192" s="10">
        <v>45679.905034722222</v>
      </c>
      <c r="K1192" s="11">
        <v>9.7222222222222219E-4</v>
      </c>
      <c r="L1192" s="13"/>
    </row>
    <row r="1193" spans="1:12" x14ac:dyDescent="0.25">
      <c r="A1193" s="3" t="s">
        <v>3223</v>
      </c>
      <c r="B1193" s="3" t="s">
        <v>4449</v>
      </c>
      <c r="C1193" s="3" t="s">
        <v>2260</v>
      </c>
      <c r="D1193" s="9">
        <v>366.6</v>
      </c>
      <c r="E1193" s="3" t="s">
        <v>3204</v>
      </c>
      <c r="F1193" s="3" t="s">
        <v>3224</v>
      </c>
      <c r="G1193" s="9">
        <v>240.31</v>
      </c>
      <c r="H1193" s="10">
        <v>45680.195567129631</v>
      </c>
      <c r="I1193" s="10">
        <v>45680.195567129631</v>
      </c>
      <c r="J1193" s="10">
        <v>45680.196909722217</v>
      </c>
      <c r="K1193" s="11">
        <v>1.3425925925925921E-3</v>
      </c>
      <c r="L1193" s="13"/>
    </row>
    <row r="1194" spans="1:12" x14ac:dyDescent="0.25">
      <c r="A1194" s="3" t="s">
        <v>3223</v>
      </c>
      <c r="B1194" s="3" t="s">
        <v>4450</v>
      </c>
      <c r="C1194" s="3" t="s">
        <v>2342</v>
      </c>
      <c r="D1194" s="9">
        <v>291.7</v>
      </c>
      <c r="E1194" s="3" t="s">
        <v>3197</v>
      </c>
      <c r="F1194" s="3" t="s">
        <v>3224</v>
      </c>
      <c r="G1194" s="9">
        <v>262.93</v>
      </c>
      <c r="H1194" s="10">
        <v>45680.324479166673</v>
      </c>
      <c r="I1194" s="10">
        <v>45680.324479166673</v>
      </c>
      <c r="J1194" s="10">
        <v>45680.325706018521</v>
      </c>
      <c r="K1194" s="11">
        <v>1.226851851851852E-3</v>
      </c>
      <c r="L1194" s="13"/>
    </row>
    <row r="1195" spans="1:12" x14ac:dyDescent="0.25">
      <c r="A1195" s="3" t="s">
        <v>3223</v>
      </c>
      <c r="B1195" s="3" t="s">
        <v>4451</v>
      </c>
      <c r="C1195" s="3" t="s">
        <v>2009</v>
      </c>
      <c r="D1195" s="9">
        <v>106.9</v>
      </c>
      <c r="E1195" s="3" t="s">
        <v>3195</v>
      </c>
      <c r="F1195" s="3" t="s">
        <v>3224</v>
      </c>
      <c r="G1195" s="9">
        <v>286.14</v>
      </c>
      <c r="H1195" s="10">
        <v>45680.325069444443</v>
      </c>
      <c r="I1195" s="10">
        <v>45680.325706018521</v>
      </c>
      <c r="J1195" s="10">
        <v>45680.326550925929</v>
      </c>
      <c r="K1195" s="11">
        <v>8.4490740740740739E-4</v>
      </c>
      <c r="L1195" s="13"/>
    </row>
    <row r="1196" spans="1:12" x14ac:dyDescent="0.25">
      <c r="A1196" s="3" t="s">
        <v>3223</v>
      </c>
      <c r="B1196" s="3" t="s">
        <v>4452</v>
      </c>
      <c r="C1196" s="3" t="s">
        <v>2334</v>
      </c>
      <c r="D1196" s="9">
        <v>179.2</v>
      </c>
      <c r="E1196" s="3" t="s">
        <v>3199</v>
      </c>
      <c r="F1196" s="3" t="s">
        <v>3224</v>
      </c>
      <c r="G1196" s="9">
        <v>188.33</v>
      </c>
      <c r="H1196" s="10">
        <v>45680.361111111109</v>
      </c>
      <c r="I1196" s="10">
        <v>45680.361111111109</v>
      </c>
      <c r="J1196" s="10">
        <v>45680.361921296288</v>
      </c>
      <c r="K1196" s="11">
        <v>8.1018518518518516E-4</v>
      </c>
      <c r="L1196" s="13"/>
    </row>
    <row r="1197" spans="1:12" x14ac:dyDescent="0.25">
      <c r="A1197" s="3" t="s">
        <v>3223</v>
      </c>
      <c r="B1197" s="3" t="s">
        <v>4453</v>
      </c>
      <c r="C1197" s="3" t="s">
        <v>2372</v>
      </c>
      <c r="D1197" s="9">
        <v>331.2</v>
      </c>
      <c r="E1197" s="3" t="s">
        <v>3203</v>
      </c>
      <c r="F1197" s="3" t="s">
        <v>3224</v>
      </c>
      <c r="G1197" s="9">
        <v>223.61</v>
      </c>
      <c r="H1197" s="10">
        <v>45680.367951388893</v>
      </c>
      <c r="I1197" s="10">
        <v>45680.367951388893</v>
      </c>
      <c r="J1197" s="10">
        <v>45680.369189814817</v>
      </c>
      <c r="K1197" s="11">
        <v>1.238425925925926E-3</v>
      </c>
      <c r="L1197" s="13"/>
    </row>
    <row r="1198" spans="1:12" x14ac:dyDescent="0.25">
      <c r="A1198" s="3" t="s">
        <v>3223</v>
      </c>
      <c r="B1198" s="3" t="s">
        <v>4454</v>
      </c>
      <c r="C1198" s="3" t="s">
        <v>2337</v>
      </c>
      <c r="D1198" s="9">
        <v>114.8</v>
      </c>
      <c r="E1198" s="3" t="s">
        <v>3194</v>
      </c>
      <c r="F1198" s="3" t="s">
        <v>3224</v>
      </c>
      <c r="G1198" s="9">
        <v>259.31</v>
      </c>
      <c r="H1198" s="10">
        <v>45680.397314814807</v>
      </c>
      <c r="I1198" s="10">
        <v>45680.397314814807</v>
      </c>
      <c r="J1198" s="10">
        <v>45680.398125</v>
      </c>
      <c r="K1198" s="11">
        <v>8.1018518518518516E-4</v>
      </c>
      <c r="L1198" s="13"/>
    </row>
    <row r="1199" spans="1:12" x14ac:dyDescent="0.25">
      <c r="A1199" s="3" t="s">
        <v>3223</v>
      </c>
      <c r="B1199" s="3" t="s">
        <v>4455</v>
      </c>
      <c r="C1199" s="3" t="s">
        <v>2345</v>
      </c>
      <c r="D1199" s="9">
        <v>108</v>
      </c>
      <c r="E1199" s="3" t="s">
        <v>3202</v>
      </c>
      <c r="F1199" s="3" t="s">
        <v>3224</v>
      </c>
      <c r="G1199" s="9">
        <v>231.94</v>
      </c>
      <c r="H1199" s="10">
        <v>45680.437685185178</v>
      </c>
      <c r="I1199" s="10">
        <v>45680.437685185178</v>
      </c>
      <c r="J1199" s="10">
        <v>45680.438414351847</v>
      </c>
      <c r="K1199" s="11">
        <v>7.291666666666667E-4</v>
      </c>
      <c r="L1199" s="13"/>
    </row>
    <row r="1200" spans="1:12" x14ac:dyDescent="0.25">
      <c r="A1200" s="3" t="s">
        <v>3223</v>
      </c>
      <c r="B1200" s="3" t="s">
        <v>4456</v>
      </c>
      <c r="C1200" s="3" t="s">
        <v>2252</v>
      </c>
      <c r="D1200" s="9">
        <v>132.80000000000001</v>
      </c>
      <c r="E1200" s="3" t="s">
        <v>3196</v>
      </c>
      <c r="F1200" s="3" t="s">
        <v>3224</v>
      </c>
      <c r="G1200" s="9">
        <v>182.11</v>
      </c>
      <c r="H1200" s="10">
        <v>45680.47625</v>
      </c>
      <c r="I1200" s="10">
        <v>45680.47625</v>
      </c>
      <c r="J1200" s="10">
        <v>45680.47693287037</v>
      </c>
      <c r="K1200" s="11">
        <v>6.8287037037037036E-4</v>
      </c>
      <c r="L1200" s="13"/>
    </row>
    <row r="1201" spans="1:12" x14ac:dyDescent="0.25">
      <c r="A1201" s="3" t="s">
        <v>3223</v>
      </c>
      <c r="B1201" s="3" t="s">
        <v>4457</v>
      </c>
      <c r="C1201" s="3" t="s">
        <v>2014</v>
      </c>
      <c r="D1201" s="9">
        <v>119.4</v>
      </c>
      <c r="E1201" s="3" t="s">
        <v>3198</v>
      </c>
      <c r="F1201" s="3" t="s">
        <v>3224</v>
      </c>
      <c r="G1201" s="9">
        <v>259.16000000000003</v>
      </c>
      <c r="H1201" s="10">
        <v>45680.67150462963</v>
      </c>
      <c r="I1201" s="10">
        <v>45680.67150462963</v>
      </c>
      <c r="J1201" s="10">
        <v>45680.672326388893</v>
      </c>
      <c r="K1201" s="11">
        <v>8.2175925925925927E-4</v>
      </c>
      <c r="L1201" s="13"/>
    </row>
    <row r="1202" spans="1:12" x14ac:dyDescent="0.25">
      <c r="A1202" s="3" t="s">
        <v>3223</v>
      </c>
      <c r="B1202" s="3" t="s">
        <v>4458</v>
      </c>
      <c r="C1202" s="3" t="s">
        <v>2399</v>
      </c>
      <c r="D1202" s="9">
        <v>446.2</v>
      </c>
      <c r="E1202" s="3" t="s">
        <v>3203</v>
      </c>
      <c r="F1202" s="3" t="s">
        <v>3224</v>
      </c>
      <c r="G1202" s="9">
        <v>223.61</v>
      </c>
      <c r="H1202" s="10">
        <v>45680.692442129628</v>
      </c>
      <c r="I1202" s="10">
        <v>45680.692442129628</v>
      </c>
      <c r="J1202" s="10">
        <v>45680.69394675926</v>
      </c>
      <c r="K1202" s="11">
        <v>1.5046296296296301E-3</v>
      </c>
      <c r="L1202" s="13"/>
    </row>
    <row r="1203" spans="1:12" x14ac:dyDescent="0.25">
      <c r="A1203" s="3" t="s">
        <v>3223</v>
      </c>
      <c r="B1203" s="3" t="s">
        <v>4459</v>
      </c>
      <c r="C1203" s="3" t="s">
        <v>2174</v>
      </c>
      <c r="D1203" s="9">
        <v>159.19999999999999</v>
      </c>
      <c r="E1203" s="3" t="s">
        <v>3193</v>
      </c>
      <c r="F1203" s="3" t="s">
        <v>3224</v>
      </c>
      <c r="G1203" s="9">
        <v>205.9</v>
      </c>
      <c r="H1203" s="10">
        <v>45680.700879629629</v>
      </c>
      <c r="I1203" s="10">
        <v>45680.700879629629</v>
      </c>
      <c r="J1203" s="10">
        <v>45680.701678240737</v>
      </c>
      <c r="K1203" s="11">
        <v>7.9861111111111116E-4</v>
      </c>
      <c r="L1203" s="13"/>
    </row>
    <row r="1204" spans="1:12" x14ac:dyDescent="0.25">
      <c r="A1204" s="3" t="s">
        <v>3223</v>
      </c>
      <c r="B1204" s="3" t="s">
        <v>4460</v>
      </c>
      <c r="C1204" s="3" t="s">
        <v>2402</v>
      </c>
      <c r="D1204" s="9">
        <v>388.3</v>
      </c>
      <c r="E1204" s="3" t="s">
        <v>3203</v>
      </c>
      <c r="F1204" s="3" t="s">
        <v>3224</v>
      </c>
      <c r="G1204" s="9">
        <v>223.61</v>
      </c>
      <c r="H1204" s="10">
        <v>45680.707488425927</v>
      </c>
      <c r="I1204" s="10">
        <v>45680.707488425927</v>
      </c>
      <c r="J1204" s="10">
        <v>45680.708854166667</v>
      </c>
      <c r="K1204" s="11">
        <v>1.3657407407407409E-3</v>
      </c>
      <c r="L1204" s="13"/>
    </row>
    <row r="1205" spans="1:12" x14ac:dyDescent="0.25">
      <c r="A1205" s="3" t="s">
        <v>3223</v>
      </c>
      <c r="B1205" s="3" t="s">
        <v>4461</v>
      </c>
      <c r="C1205" s="3" t="s">
        <v>2432</v>
      </c>
      <c r="D1205" s="9">
        <v>107</v>
      </c>
      <c r="E1205" s="3" t="s">
        <v>3197</v>
      </c>
      <c r="F1205" s="3" t="s">
        <v>3224</v>
      </c>
      <c r="G1205" s="9">
        <v>262.93</v>
      </c>
      <c r="H1205" s="10">
        <v>45680.771435185183</v>
      </c>
      <c r="I1205" s="10">
        <v>45680.771435185183</v>
      </c>
      <c r="J1205" s="10">
        <v>45680.772233796299</v>
      </c>
      <c r="K1205" s="11">
        <v>7.9861111111111116E-4</v>
      </c>
      <c r="L1205" s="13"/>
    </row>
    <row r="1206" spans="1:12" x14ac:dyDescent="0.25">
      <c r="A1206" s="3" t="s">
        <v>3223</v>
      </c>
      <c r="B1206" s="3" t="s">
        <v>4462</v>
      </c>
      <c r="C1206" s="3" t="s">
        <v>2393</v>
      </c>
      <c r="D1206" s="9">
        <v>295.39999999999998</v>
      </c>
      <c r="E1206" s="3" t="s">
        <v>3197</v>
      </c>
      <c r="F1206" s="3" t="s">
        <v>3224</v>
      </c>
      <c r="G1206" s="9">
        <v>262.93</v>
      </c>
      <c r="H1206" s="10">
        <v>45680.80133101852</v>
      </c>
      <c r="I1206" s="10">
        <v>45680.80133101852</v>
      </c>
      <c r="J1206" s="10">
        <v>45680.802557870367</v>
      </c>
      <c r="K1206" s="11">
        <v>1.226851851851852E-3</v>
      </c>
      <c r="L1206" s="13"/>
    </row>
    <row r="1207" spans="1:12" x14ac:dyDescent="0.25">
      <c r="A1207" s="3" t="s">
        <v>3223</v>
      </c>
      <c r="B1207" s="3" t="s">
        <v>4463</v>
      </c>
      <c r="C1207" s="3" t="s">
        <v>2367</v>
      </c>
      <c r="D1207" s="9">
        <v>102.8</v>
      </c>
      <c r="E1207" s="3" t="s">
        <v>3201</v>
      </c>
      <c r="F1207" s="3" t="s">
        <v>3224</v>
      </c>
      <c r="G1207" s="9">
        <v>259.31</v>
      </c>
      <c r="H1207" s="10">
        <v>45680.900706018518</v>
      </c>
      <c r="I1207" s="10">
        <v>45680.900706018518</v>
      </c>
      <c r="J1207" s="10">
        <v>45680.90148148148</v>
      </c>
      <c r="K1207" s="11">
        <v>7.7546296296296293E-4</v>
      </c>
      <c r="L1207" s="13"/>
    </row>
    <row r="1208" spans="1:12" x14ac:dyDescent="0.25">
      <c r="A1208" s="3" t="s">
        <v>3223</v>
      </c>
      <c r="B1208" s="3" t="s">
        <v>4464</v>
      </c>
      <c r="C1208" s="3" t="s">
        <v>2396</v>
      </c>
      <c r="D1208" s="9">
        <v>113.3</v>
      </c>
      <c r="E1208" s="3" t="s">
        <v>3200</v>
      </c>
      <c r="F1208" s="3" t="s">
        <v>3224</v>
      </c>
      <c r="G1208" s="9">
        <v>245</v>
      </c>
      <c r="H1208" s="10">
        <v>45681.152511574073</v>
      </c>
      <c r="I1208" s="10">
        <v>45681.152511574073</v>
      </c>
      <c r="J1208" s="10">
        <v>45681.153275462973</v>
      </c>
      <c r="K1208" s="11">
        <v>7.6388888888888893E-4</v>
      </c>
      <c r="L1208" s="13"/>
    </row>
    <row r="1209" spans="1:12" x14ac:dyDescent="0.25">
      <c r="A1209" s="3" t="s">
        <v>3223</v>
      </c>
      <c r="B1209" s="3" t="s">
        <v>4465</v>
      </c>
      <c r="C1209" s="3" t="s">
        <v>2411</v>
      </c>
      <c r="D1209" s="9">
        <v>123.8</v>
      </c>
      <c r="E1209" s="3" t="s">
        <v>3203</v>
      </c>
      <c r="F1209" s="3" t="s">
        <v>3224</v>
      </c>
      <c r="G1209" s="9">
        <v>223.61</v>
      </c>
      <c r="H1209" s="10">
        <v>45681.220405092587</v>
      </c>
      <c r="I1209" s="10">
        <v>45681.220405092587</v>
      </c>
      <c r="J1209" s="10">
        <v>45681.22115740741</v>
      </c>
      <c r="K1209" s="11">
        <v>7.5231481481481482E-4</v>
      </c>
      <c r="L1209" s="13"/>
    </row>
    <row r="1210" spans="1:12" x14ac:dyDescent="0.25">
      <c r="A1210" s="3" t="s">
        <v>3223</v>
      </c>
      <c r="B1210" s="3" t="s">
        <v>4466</v>
      </c>
      <c r="C1210" s="3" t="s">
        <v>2452</v>
      </c>
      <c r="D1210" s="9">
        <v>107.9</v>
      </c>
      <c r="E1210" s="3" t="s">
        <v>3194</v>
      </c>
      <c r="F1210" s="3" t="s">
        <v>3224</v>
      </c>
      <c r="G1210" s="9">
        <v>259.31</v>
      </c>
      <c r="H1210" s="10">
        <v>45681.288055555553</v>
      </c>
      <c r="I1210" s="10">
        <v>45681.288055555553</v>
      </c>
      <c r="J1210" s="10">
        <v>45681.288842592592</v>
      </c>
      <c r="K1210" s="11">
        <v>7.8703703703703705E-4</v>
      </c>
      <c r="L1210" s="13"/>
    </row>
    <row r="1211" spans="1:12" x14ac:dyDescent="0.25">
      <c r="A1211" s="3" t="s">
        <v>3223</v>
      </c>
      <c r="B1211" s="3" t="s">
        <v>4467</v>
      </c>
      <c r="C1211" s="3" t="s">
        <v>2359</v>
      </c>
      <c r="D1211" s="9">
        <v>144.4</v>
      </c>
      <c r="E1211" s="3" t="s">
        <v>3204</v>
      </c>
      <c r="F1211" s="3" t="s">
        <v>3224</v>
      </c>
      <c r="G1211" s="9">
        <v>240.31</v>
      </c>
      <c r="H1211" s="10">
        <v>45681.326018518521</v>
      </c>
      <c r="I1211" s="10">
        <v>45681.326018518521</v>
      </c>
      <c r="J1211" s="10">
        <v>45681.326851851853</v>
      </c>
      <c r="K1211" s="11">
        <v>8.3333333333333339E-4</v>
      </c>
      <c r="L1211" s="13"/>
    </row>
    <row r="1212" spans="1:12" x14ac:dyDescent="0.25">
      <c r="A1212" s="3" t="s">
        <v>3223</v>
      </c>
      <c r="B1212" s="3" t="s">
        <v>4468</v>
      </c>
      <c r="C1212" s="3" t="s">
        <v>2458</v>
      </c>
      <c r="D1212" s="9">
        <v>117.8</v>
      </c>
      <c r="E1212" s="3" t="s">
        <v>3203</v>
      </c>
      <c r="F1212" s="3" t="s">
        <v>3224</v>
      </c>
      <c r="G1212" s="9">
        <v>223.61</v>
      </c>
      <c r="H1212" s="10">
        <v>45681.334999999999</v>
      </c>
      <c r="I1212" s="10">
        <v>45681.334999999999</v>
      </c>
      <c r="J1212" s="10">
        <v>45681.335729166669</v>
      </c>
      <c r="K1212" s="11">
        <v>7.291666666666667E-4</v>
      </c>
      <c r="L1212" s="13"/>
    </row>
    <row r="1213" spans="1:12" x14ac:dyDescent="0.25">
      <c r="A1213" s="3" t="s">
        <v>3223</v>
      </c>
      <c r="B1213" s="3" t="s">
        <v>4469</v>
      </c>
      <c r="C1213" s="3" t="s">
        <v>2455</v>
      </c>
      <c r="D1213" s="9">
        <v>177.8</v>
      </c>
      <c r="E1213" s="3" t="s">
        <v>3199</v>
      </c>
      <c r="F1213" s="3" t="s">
        <v>3224</v>
      </c>
      <c r="G1213" s="9">
        <v>188.33</v>
      </c>
      <c r="H1213" s="10">
        <v>45681.363518518519</v>
      </c>
      <c r="I1213" s="10">
        <v>45681.363518518519</v>
      </c>
      <c r="J1213" s="10">
        <v>45681.364328703698</v>
      </c>
      <c r="K1213" s="11">
        <v>8.1018518518518516E-4</v>
      </c>
      <c r="L1213" s="13"/>
    </row>
    <row r="1214" spans="1:12" x14ac:dyDescent="0.25">
      <c r="A1214" s="3" t="s">
        <v>3223</v>
      </c>
      <c r="B1214" s="3" t="s">
        <v>4470</v>
      </c>
      <c r="C1214" s="3" t="s">
        <v>2483</v>
      </c>
      <c r="D1214" s="9">
        <v>218.7</v>
      </c>
      <c r="E1214" s="3" t="s">
        <v>3195</v>
      </c>
      <c r="F1214" s="3" t="s">
        <v>3224</v>
      </c>
      <c r="G1214" s="9">
        <v>286.14</v>
      </c>
      <c r="H1214" s="10">
        <v>45681.415949074071</v>
      </c>
      <c r="I1214" s="10">
        <v>45681.415949074071</v>
      </c>
      <c r="J1214" s="10">
        <v>45681.417048611111</v>
      </c>
      <c r="K1214" s="11">
        <v>1.0995370370370371E-3</v>
      </c>
      <c r="L1214" s="13"/>
    </row>
    <row r="1215" spans="1:12" x14ac:dyDescent="0.25">
      <c r="A1215" s="3" t="s">
        <v>3223</v>
      </c>
      <c r="B1215" s="3" t="s">
        <v>4471</v>
      </c>
      <c r="C1215" s="3" t="s">
        <v>2426</v>
      </c>
      <c r="D1215" s="9">
        <v>152.30000000000001</v>
      </c>
      <c r="E1215" s="3" t="s">
        <v>3205</v>
      </c>
      <c r="F1215" s="3" t="s">
        <v>3224</v>
      </c>
      <c r="G1215" s="9">
        <v>262.93</v>
      </c>
      <c r="H1215" s="10">
        <v>45681.427210648151</v>
      </c>
      <c r="I1215" s="10">
        <v>45681.427210648151</v>
      </c>
      <c r="J1215" s="10">
        <v>45681.428113425929</v>
      </c>
      <c r="K1215" s="11">
        <v>9.0277777777777774E-4</v>
      </c>
      <c r="L1215" s="13"/>
    </row>
    <row r="1216" spans="1:12" x14ac:dyDescent="0.25">
      <c r="A1216" s="3" t="s">
        <v>3223</v>
      </c>
      <c r="B1216" s="3" t="s">
        <v>4472</v>
      </c>
      <c r="C1216" s="3" t="s">
        <v>2469</v>
      </c>
      <c r="D1216" s="9">
        <v>165</v>
      </c>
      <c r="E1216" s="3" t="s">
        <v>3196</v>
      </c>
      <c r="F1216" s="3" t="s">
        <v>3224</v>
      </c>
      <c r="G1216" s="9">
        <v>182.11</v>
      </c>
      <c r="H1216" s="10">
        <v>45681.4534375</v>
      </c>
      <c r="I1216" s="10">
        <v>45681.4534375</v>
      </c>
      <c r="J1216" s="10">
        <v>45681.454201388893</v>
      </c>
      <c r="K1216" s="11">
        <v>7.6388888888888893E-4</v>
      </c>
      <c r="L1216" s="13"/>
    </row>
    <row r="1217" spans="1:12" x14ac:dyDescent="0.25">
      <c r="A1217" s="3" t="s">
        <v>3223</v>
      </c>
      <c r="B1217" s="3" t="s">
        <v>4473</v>
      </c>
      <c r="C1217" s="3" t="s">
        <v>2443</v>
      </c>
      <c r="D1217" s="9">
        <v>176.9</v>
      </c>
      <c r="E1217" s="3" t="s">
        <v>3197</v>
      </c>
      <c r="F1217" s="3" t="s">
        <v>3224</v>
      </c>
      <c r="G1217" s="9">
        <v>262.93</v>
      </c>
      <c r="H1217" s="10">
        <v>45681.583912037036</v>
      </c>
      <c r="I1217" s="10">
        <v>45681.583912037036</v>
      </c>
      <c r="J1217" s="10">
        <v>45681.584872685176</v>
      </c>
      <c r="K1217" s="11">
        <v>9.6064814814814819E-4</v>
      </c>
      <c r="L1217" s="13"/>
    </row>
    <row r="1218" spans="1:12" x14ac:dyDescent="0.25">
      <c r="A1218" s="3" t="s">
        <v>3223</v>
      </c>
      <c r="B1218" s="3" t="s">
        <v>4474</v>
      </c>
      <c r="C1218" s="3" t="s">
        <v>2523</v>
      </c>
      <c r="D1218" s="9">
        <v>130.19999999999999</v>
      </c>
      <c r="E1218" s="3" t="s">
        <v>3196</v>
      </c>
      <c r="F1218" s="3" t="s">
        <v>3224</v>
      </c>
      <c r="G1218" s="9">
        <v>182.11</v>
      </c>
      <c r="H1218" s="10">
        <v>45681.677071759259</v>
      </c>
      <c r="I1218" s="10">
        <v>45681.677071759259</v>
      </c>
      <c r="J1218" s="10">
        <v>45681.677754629629</v>
      </c>
      <c r="K1218" s="11">
        <v>6.8287037037037036E-4</v>
      </c>
      <c r="L1218" s="13"/>
    </row>
    <row r="1219" spans="1:12" x14ac:dyDescent="0.25">
      <c r="A1219" s="3" t="s">
        <v>3223</v>
      </c>
      <c r="B1219" s="3" t="s">
        <v>4475</v>
      </c>
      <c r="C1219" s="3" t="s">
        <v>2464</v>
      </c>
      <c r="D1219" s="9">
        <v>407.8</v>
      </c>
      <c r="E1219" s="3" t="s">
        <v>3194</v>
      </c>
      <c r="F1219" s="3" t="s">
        <v>3224</v>
      </c>
      <c r="G1219" s="9">
        <v>259.31</v>
      </c>
      <c r="H1219" s="10">
        <v>45681.686168981483</v>
      </c>
      <c r="I1219" s="10">
        <v>45681.686168981483</v>
      </c>
      <c r="J1219" s="10">
        <v>45681.687650462962</v>
      </c>
      <c r="K1219" s="11">
        <v>1.481481481481481E-3</v>
      </c>
      <c r="L1219" s="13"/>
    </row>
    <row r="1220" spans="1:12" x14ac:dyDescent="0.25">
      <c r="A1220" s="3" t="s">
        <v>3223</v>
      </c>
      <c r="B1220" s="3" t="s">
        <v>4476</v>
      </c>
      <c r="C1220" s="3" t="s">
        <v>2520</v>
      </c>
      <c r="D1220" s="9">
        <v>396.6</v>
      </c>
      <c r="E1220" s="3" t="s">
        <v>3202</v>
      </c>
      <c r="F1220" s="3" t="s">
        <v>3224</v>
      </c>
      <c r="G1220" s="9">
        <v>231.94</v>
      </c>
      <c r="H1220" s="10">
        <v>45681.719548611109</v>
      </c>
      <c r="I1220" s="10">
        <v>45681.719548611109</v>
      </c>
      <c r="J1220" s="10">
        <v>45681.720949074072</v>
      </c>
      <c r="K1220" s="11">
        <v>1.4004629629629629E-3</v>
      </c>
      <c r="L1220" s="13"/>
    </row>
    <row r="1221" spans="1:12" x14ac:dyDescent="0.25">
      <c r="A1221" s="3" t="s">
        <v>3223</v>
      </c>
      <c r="B1221" s="3" t="s">
        <v>4477</v>
      </c>
      <c r="C1221" s="3" t="s">
        <v>2350</v>
      </c>
      <c r="D1221" s="9">
        <v>106.9</v>
      </c>
      <c r="E1221" s="3" t="s">
        <v>3206</v>
      </c>
      <c r="F1221" s="3" t="s">
        <v>3224</v>
      </c>
      <c r="G1221" s="9">
        <v>286.14</v>
      </c>
      <c r="H1221" s="10">
        <v>45681.757233796299</v>
      </c>
      <c r="I1221" s="10">
        <v>45681.757233796299</v>
      </c>
      <c r="J1221" s="10">
        <v>45681.7580787037</v>
      </c>
      <c r="K1221" s="11">
        <v>8.4490740740740739E-4</v>
      </c>
      <c r="L1221" s="13"/>
    </row>
    <row r="1222" spans="1:12" x14ac:dyDescent="0.25">
      <c r="A1222" s="3" t="s">
        <v>3223</v>
      </c>
      <c r="B1222" s="3" t="s">
        <v>4478</v>
      </c>
      <c r="C1222" s="3" t="s">
        <v>2566</v>
      </c>
      <c r="D1222" s="9">
        <v>117.7</v>
      </c>
      <c r="E1222" s="3" t="s">
        <v>3193</v>
      </c>
      <c r="F1222" s="3" t="s">
        <v>3224</v>
      </c>
      <c r="G1222" s="9">
        <v>205.9</v>
      </c>
      <c r="H1222" s="10">
        <v>45681.762407407397</v>
      </c>
      <c r="I1222" s="10">
        <v>45681.762407407397</v>
      </c>
      <c r="J1222" s="10">
        <v>45681.763101851851</v>
      </c>
      <c r="K1222" s="11">
        <v>6.9444444444444447E-4</v>
      </c>
      <c r="L1222" s="13"/>
    </row>
    <row r="1223" spans="1:12" x14ac:dyDescent="0.25">
      <c r="A1223" s="3" t="s">
        <v>3223</v>
      </c>
      <c r="B1223" s="3" t="s">
        <v>4479</v>
      </c>
      <c r="C1223" s="3" t="s">
        <v>2571</v>
      </c>
      <c r="D1223" s="9">
        <v>140.19999999999999</v>
      </c>
      <c r="E1223" s="3" t="s">
        <v>3198</v>
      </c>
      <c r="F1223" s="3" t="s">
        <v>3224</v>
      </c>
      <c r="G1223" s="9">
        <v>259.16000000000003</v>
      </c>
      <c r="H1223" s="10">
        <v>45682.11478009259</v>
      </c>
      <c r="I1223" s="10">
        <v>45682.11478009259</v>
      </c>
      <c r="J1223" s="10">
        <v>45682.115636574083</v>
      </c>
      <c r="K1223" s="11">
        <v>8.564814814814815E-4</v>
      </c>
      <c r="L1223" s="13"/>
    </row>
    <row r="1224" spans="1:12" x14ac:dyDescent="0.25">
      <c r="A1224" s="3" t="s">
        <v>3223</v>
      </c>
      <c r="B1224" s="3" t="s">
        <v>4480</v>
      </c>
      <c r="C1224" s="3" t="s">
        <v>2544</v>
      </c>
      <c r="D1224" s="9">
        <v>164.7</v>
      </c>
      <c r="E1224" s="3" t="s">
        <v>3197</v>
      </c>
      <c r="F1224" s="3" t="s">
        <v>3224</v>
      </c>
      <c r="G1224" s="9">
        <v>262.93</v>
      </c>
      <c r="H1224" s="10">
        <v>45683.789201388892</v>
      </c>
      <c r="I1224" s="10">
        <v>45683.789201388892</v>
      </c>
      <c r="J1224" s="10">
        <v>45683.790127314824</v>
      </c>
      <c r="K1224" s="11">
        <v>9.2592592592592596E-4</v>
      </c>
      <c r="L1224" s="13"/>
    </row>
    <row r="1225" spans="1:12" x14ac:dyDescent="0.25">
      <c r="A1225" s="3" t="s">
        <v>3223</v>
      </c>
      <c r="B1225" s="3" t="s">
        <v>4481</v>
      </c>
      <c r="C1225" s="3" t="s">
        <v>2486</v>
      </c>
      <c r="D1225" s="9">
        <v>143.80000000000001</v>
      </c>
      <c r="E1225" s="3" t="s">
        <v>3203</v>
      </c>
      <c r="F1225" s="3" t="s">
        <v>3224</v>
      </c>
      <c r="G1225" s="9">
        <v>223.61</v>
      </c>
      <c r="H1225" s="10">
        <v>45684.153437499997</v>
      </c>
      <c r="I1225" s="10">
        <v>45684.153437499997</v>
      </c>
      <c r="J1225" s="10">
        <v>45684.154236111113</v>
      </c>
      <c r="K1225" s="11">
        <v>7.9861111111111116E-4</v>
      </c>
      <c r="L1225" s="13"/>
    </row>
    <row r="1226" spans="1:12" x14ac:dyDescent="0.25">
      <c r="A1226" s="3" t="s">
        <v>3223</v>
      </c>
      <c r="B1226" s="3" t="s">
        <v>4482</v>
      </c>
      <c r="C1226" s="3" t="s">
        <v>2489</v>
      </c>
      <c r="D1226" s="9">
        <v>118.2</v>
      </c>
      <c r="E1226" s="3" t="s">
        <v>3201</v>
      </c>
      <c r="F1226" s="3" t="s">
        <v>3224</v>
      </c>
      <c r="G1226" s="9">
        <v>259.31</v>
      </c>
      <c r="H1226" s="10">
        <v>45684.220891203702</v>
      </c>
      <c r="I1226" s="10">
        <v>45684.220891203702</v>
      </c>
      <c r="J1226" s="10">
        <v>45684.221712962957</v>
      </c>
      <c r="K1226" s="11">
        <v>8.2175925925925927E-4</v>
      </c>
      <c r="L1226" s="13"/>
    </row>
    <row r="1227" spans="1:12" x14ac:dyDescent="0.25">
      <c r="A1227" s="3" t="s">
        <v>3223</v>
      </c>
      <c r="B1227" s="3" t="s">
        <v>4483</v>
      </c>
      <c r="C1227" s="3" t="s">
        <v>2588</v>
      </c>
      <c r="D1227" s="9">
        <v>297</v>
      </c>
      <c r="E1227" s="3" t="s">
        <v>3203</v>
      </c>
      <c r="F1227" s="3" t="s">
        <v>3224</v>
      </c>
      <c r="G1227" s="9">
        <v>223.61</v>
      </c>
      <c r="H1227" s="10">
        <v>45684.337754629632</v>
      </c>
      <c r="I1227" s="10">
        <v>45684.337754629632</v>
      </c>
      <c r="J1227" s="10">
        <v>45684.338912037027</v>
      </c>
      <c r="K1227" s="11">
        <v>1.1574074074074069E-3</v>
      </c>
      <c r="L1227" s="13"/>
    </row>
    <row r="1228" spans="1:12" x14ac:dyDescent="0.25">
      <c r="A1228" s="3" t="s">
        <v>3223</v>
      </c>
      <c r="B1228" s="3" t="s">
        <v>4484</v>
      </c>
      <c r="C1228" s="3" t="s">
        <v>2535</v>
      </c>
      <c r="D1228" s="9">
        <v>111.4</v>
      </c>
      <c r="E1228" s="3" t="s">
        <v>3199</v>
      </c>
      <c r="F1228" s="3" t="s">
        <v>3224</v>
      </c>
      <c r="G1228" s="9">
        <v>188.33</v>
      </c>
      <c r="H1228" s="10">
        <v>45684.344849537039</v>
      </c>
      <c r="I1228" s="10">
        <v>45684.344849537039</v>
      </c>
      <c r="J1228" s="10">
        <v>45684.345497685194</v>
      </c>
      <c r="K1228" s="11">
        <v>6.4814814814814813E-4</v>
      </c>
      <c r="L1228" s="13"/>
    </row>
    <row r="1229" spans="1:12" x14ac:dyDescent="0.25">
      <c r="A1229" s="3" t="s">
        <v>3223</v>
      </c>
      <c r="B1229" s="3" t="s">
        <v>4485</v>
      </c>
      <c r="C1229" s="3" t="s">
        <v>2591</v>
      </c>
      <c r="D1229" s="9">
        <v>240.4</v>
      </c>
      <c r="E1229" s="3" t="s">
        <v>3200</v>
      </c>
      <c r="F1229" s="3" t="s">
        <v>3224</v>
      </c>
      <c r="G1229" s="9">
        <v>245</v>
      </c>
      <c r="H1229" s="10">
        <v>45684.365081018521</v>
      </c>
      <c r="I1229" s="10">
        <v>45684.365081018521</v>
      </c>
      <c r="J1229" s="10">
        <v>45684.36614583333</v>
      </c>
      <c r="K1229" s="11">
        <v>1.0648148148148151E-3</v>
      </c>
      <c r="L1229" s="13"/>
    </row>
    <row r="1230" spans="1:12" x14ac:dyDescent="0.25">
      <c r="A1230" s="3" t="s">
        <v>3223</v>
      </c>
      <c r="B1230" s="3" t="s">
        <v>4486</v>
      </c>
      <c r="C1230" s="3" t="s">
        <v>2504</v>
      </c>
      <c r="D1230" s="9">
        <v>178.4</v>
      </c>
      <c r="E1230" s="3" t="s">
        <v>3204</v>
      </c>
      <c r="F1230" s="3" t="s">
        <v>3224</v>
      </c>
      <c r="G1230" s="9">
        <v>240.31</v>
      </c>
      <c r="H1230" s="10">
        <v>45684.370625000003</v>
      </c>
      <c r="I1230" s="10">
        <v>45684.370625000003</v>
      </c>
      <c r="J1230" s="10">
        <v>45684.371539351851</v>
      </c>
      <c r="K1230" s="11">
        <v>9.1435185185185185E-4</v>
      </c>
      <c r="L1230" s="13"/>
    </row>
    <row r="1231" spans="1:12" x14ac:dyDescent="0.25">
      <c r="A1231" s="3" t="s">
        <v>3223</v>
      </c>
      <c r="B1231" s="3" t="s">
        <v>4487</v>
      </c>
      <c r="C1231" s="3" t="s">
        <v>2594</v>
      </c>
      <c r="D1231" s="9">
        <v>139.30000000000001</v>
      </c>
      <c r="E1231" s="3" t="s">
        <v>3203</v>
      </c>
      <c r="F1231" s="3" t="s">
        <v>3224</v>
      </c>
      <c r="G1231" s="9">
        <v>223.61</v>
      </c>
      <c r="H1231" s="10">
        <v>45684.389398148152</v>
      </c>
      <c r="I1231" s="10">
        <v>45684.389398148152</v>
      </c>
      <c r="J1231" s="10">
        <v>45684.390185185177</v>
      </c>
      <c r="K1231" s="11">
        <v>7.8703703703703705E-4</v>
      </c>
      <c r="L1231" s="13"/>
    </row>
    <row r="1232" spans="1:12" x14ac:dyDescent="0.25">
      <c r="A1232" s="3" t="s">
        <v>3223</v>
      </c>
      <c r="B1232" s="3" t="s">
        <v>4488</v>
      </c>
      <c r="C1232" s="3" t="s">
        <v>2638</v>
      </c>
      <c r="D1232" s="9">
        <v>177.5</v>
      </c>
      <c r="E1232" s="3" t="s">
        <v>3195</v>
      </c>
      <c r="F1232" s="3" t="s">
        <v>3224</v>
      </c>
      <c r="G1232" s="9">
        <v>286.14</v>
      </c>
      <c r="H1232" s="10">
        <v>45684.423414351862</v>
      </c>
      <c r="I1232" s="10">
        <v>45684.423414351862</v>
      </c>
      <c r="J1232" s="10">
        <v>45684.424421296288</v>
      </c>
      <c r="K1232" s="11">
        <v>1.006944444444444E-3</v>
      </c>
      <c r="L1232" s="13"/>
    </row>
    <row r="1233" spans="1:12" x14ac:dyDescent="0.25">
      <c r="A1233" s="3" t="s">
        <v>3223</v>
      </c>
      <c r="B1233" s="3" t="s">
        <v>4489</v>
      </c>
      <c r="C1233" s="3" t="s">
        <v>2641</v>
      </c>
      <c r="D1233" s="9">
        <v>296.10000000000002</v>
      </c>
      <c r="E1233" s="3" t="s">
        <v>3197</v>
      </c>
      <c r="F1233" s="3" t="s">
        <v>3224</v>
      </c>
      <c r="G1233" s="9">
        <v>262.93</v>
      </c>
      <c r="H1233" s="10">
        <v>45684.50509259259</v>
      </c>
      <c r="I1233" s="10">
        <v>45684.50509259259</v>
      </c>
      <c r="J1233" s="10">
        <v>45684.506331018521</v>
      </c>
      <c r="K1233" s="11">
        <v>1.238425925925926E-3</v>
      </c>
      <c r="L1233" s="13"/>
    </row>
    <row r="1234" spans="1:12" x14ac:dyDescent="0.25">
      <c r="A1234" s="3" t="s">
        <v>3223</v>
      </c>
      <c r="B1234" s="3" t="s">
        <v>4490</v>
      </c>
      <c r="C1234" s="3" t="s">
        <v>2563</v>
      </c>
      <c r="D1234" s="9">
        <v>101.9</v>
      </c>
      <c r="E1234" s="3" t="s">
        <v>3196</v>
      </c>
      <c r="F1234" s="3" t="s">
        <v>3224</v>
      </c>
      <c r="G1234" s="9">
        <v>182.11</v>
      </c>
      <c r="H1234" s="10">
        <v>45684.557592592602</v>
      </c>
      <c r="I1234" s="10">
        <v>45684.557592592602</v>
      </c>
      <c r="J1234" s="10">
        <v>45684.558217592603</v>
      </c>
      <c r="K1234" s="11">
        <v>6.2500000000000001E-4</v>
      </c>
      <c r="L1234" s="13"/>
    </row>
    <row r="1235" spans="1:12" x14ac:dyDescent="0.25">
      <c r="A1235" s="3" t="s">
        <v>3223</v>
      </c>
      <c r="B1235" s="3" t="s">
        <v>4491</v>
      </c>
      <c r="C1235" s="3" t="s">
        <v>2665</v>
      </c>
      <c r="D1235" s="9">
        <v>134.69999999999999</v>
      </c>
      <c r="E1235" s="3" t="s">
        <v>3202</v>
      </c>
      <c r="F1235" s="3" t="s">
        <v>3224</v>
      </c>
      <c r="G1235" s="9">
        <v>231.94</v>
      </c>
      <c r="H1235" s="10">
        <v>45684.634618055563</v>
      </c>
      <c r="I1235" s="10">
        <v>45684.634618055563</v>
      </c>
      <c r="J1235" s="10">
        <v>45684.635416666657</v>
      </c>
      <c r="K1235" s="11">
        <v>7.9861111111111116E-4</v>
      </c>
      <c r="L1235" s="13"/>
    </row>
    <row r="1236" spans="1:12" x14ac:dyDescent="0.25">
      <c r="A1236" s="3" t="s">
        <v>3223</v>
      </c>
      <c r="B1236" s="3" t="s">
        <v>4492</v>
      </c>
      <c r="C1236" s="3" t="s">
        <v>2526</v>
      </c>
      <c r="D1236" s="9">
        <v>232.4</v>
      </c>
      <c r="E1236" s="3" t="s">
        <v>3194</v>
      </c>
      <c r="F1236" s="3" t="s">
        <v>3224</v>
      </c>
      <c r="G1236" s="9">
        <v>259.31</v>
      </c>
      <c r="H1236" s="10">
        <v>45684.692256944443</v>
      </c>
      <c r="I1236" s="10">
        <v>45684.692256944443</v>
      </c>
      <c r="J1236" s="10">
        <v>45684.693333333344</v>
      </c>
      <c r="K1236" s="11">
        <v>1.0763888888888891E-3</v>
      </c>
      <c r="L1236" s="13"/>
    </row>
    <row r="1237" spans="1:12" x14ac:dyDescent="0.25">
      <c r="A1237" s="3" t="s">
        <v>3223</v>
      </c>
      <c r="B1237" s="3" t="s">
        <v>4493</v>
      </c>
      <c r="C1237" s="3" t="s">
        <v>2668</v>
      </c>
      <c r="D1237" s="9">
        <v>389.1</v>
      </c>
      <c r="E1237" s="3" t="s">
        <v>3193</v>
      </c>
      <c r="F1237" s="3" t="s">
        <v>3224</v>
      </c>
      <c r="G1237" s="9">
        <v>205.9</v>
      </c>
      <c r="H1237" s="10">
        <v>45684.746932870366</v>
      </c>
      <c r="I1237" s="10">
        <v>45684.746932870366</v>
      </c>
      <c r="J1237" s="10">
        <v>45684.748252314806</v>
      </c>
      <c r="K1237" s="11">
        <v>1.3194444444444441E-3</v>
      </c>
      <c r="L1237" s="13"/>
    </row>
    <row r="1238" spans="1:12" x14ac:dyDescent="0.25">
      <c r="A1238" s="3" t="s">
        <v>3223</v>
      </c>
      <c r="B1238" s="3" t="s">
        <v>4494</v>
      </c>
      <c r="C1238" s="3" t="s">
        <v>2673</v>
      </c>
      <c r="D1238" s="9">
        <v>155.9</v>
      </c>
      <c r="E1238" s="3" t="s">
        <v>3196</v>
      </c>
      <c r="F1238" s="3" t="s">
        <v>3224</v>
      </c>
      <c r="G1238" s="9">
        <v>182.11</v>
      </c>
      <c r="H1238" s="10">
        <v>45684.768518518518</v>
      </c>
      <c r="I1238" s="10">
        <v>45684.768518518518</v>
      </c>
      <c r="J1238" s="10">
        <v>45684.769259259258</v>
      </c>
      <c r="K1238" s="11">
        <v>7.407407407407407E-4</v>
      </c>
      <c r="L1238" s="13"/>
    </row>
    <row r="1239" spans="1:12" x14ac:dyDescent="0.25">
      <c r="A1239" s="3" t="s">
        <v>3223</v>
      </c>
      <c r="B1239" s="3" t="s">
        <v>4495</v>
      </c>
      <c r="C1239" s="3" t="s">
        <v>2678</v>
      </c>
      <c r="D1239" s="9">
        <v>459.5</v>
      </c>
      <c r="E1239" s="3" t="s">
        <v>3198</v>
      </c>
      <c r="F1239" s="3" t="s">
        <v>3224</v>
      </c>
      <c r="G1239" s="9">
        <v>259.16000000000003</v>
      </c>
      <c r="H1239" s="10">
        <v>45684.835335648153</v>
      </c>
      <c r="I1239" s="10">
        <v>45684.835335648153</v>
      </c>
      <c r="J1239" s="10">
        <v>45684.83693287037</v>
      </c>
      <c r="K1239" s="11">
        <v>1.5972222222222221E-3</v>
      </c>
      <c r="L1239" s="13"/>
    </row>
    <row r="1240" spans="1:12" x14ac:dyDescent="0.25">
      <c r="A1240" s="3" t="s">
        <v>3223</v>
      </c>
      <c r="B1240" s="3" t="s">
        <v>4496</v>
      </c>
      <c r="C1240" s="3" t="s">
        <v>2613</v>
      </c>
      <c r="D1240" s="9">
        <v>138</v>
      </c>
      <c r="E1240" s="3" t="s">
        <v>3206</v>
      </c>
      <c r="F1240" s="3" t="s">
        <v>3224</v>
      </c>
      <c r="G1240" s="9">
        <v>286.14</v>
      </c>
      <c r="H1240" s="10">
        <v>45684.911157407398</v>
      </c>
      <c r="I1240" s="10">
        <v>45684.911157407398</v>
      </c>
      <c r="J1240" s="10">
        <v>45684.912083333344</v>
      </c>
      <c r="K1240" s="11">
        <v>9.2592592592592596E-4</v>
      </c>
      <c r="L1240" s="13"/>
    </row>
    <row r="1241" spans="1:12" x14ac:dyDescent="0.25">
      <c r="A1241" s="3" t="s">
        <v>3223</v>
      </c>
      <c r="B1241" s="3" t="s">
        <v>4497</v>
      </c>
      <c r="C1241" s="3" t="s">
        <v>2644</v>
      </c>
      <c r="D1241" s="9">
        <v>225.5</v>
      </c>
      <c r="E1241" s="3" t="s">
        <v>3205</v>
      </c>
      <c r="F1241" s="3" t="s">
        <v>3224</v>
      </c>
      <c r="G1241" s="9">
        <v>262.93</v>
      </c>
      <c r="H1241" s="10">
        <v>45685.174675925933</v>
      </c>
      <c r="I1241" s="10">
        <v>45685.174675925933</v>
      </c>
      <c r="J1241" s="10">
        <v>45685.175740740742</v>
      </c>
      <c r="K1241" s="11">
        <v>1.0648148148148151E-3</v>
      </c>
      <c r="L1241" s="13"/>
    </row>
    <row r="1242" spans="1:12" x14ac:dyDescent="0.25">
      <c r="A1242" s="3" t="s">
        <v>3223</v>
      </c>
      <c r="B1242" s="3" t="s">
        <v>4498</v>
      </c>
      <c r="C1242" s="3" t="s">
        <v>2647</v>
      </c>
      <c r="D1242" s="9">
        <v>298.2</v>
      </c>
      <c r="E1242" s="3" t="s">
        <v>3203</v>
      </c>
      <c r="F1242" s="3" t="s">
        <v>3224</v>
      </c>
      <c r="G1242" s="9">
        <v>223.61</v>
      </c>
      <c r="H1242" s="10">
        <v>45685.33425925926</v>
      </c>
      <c r="I1242" s="10">
        <v>45685.33425925926</v>
      </c>
      <c r="J1242" s="10">
        <v>45685.335416666669</v>
      </c>
      <c r="K1242" s="11">
        <v>1.1574074074074069E-3</v>
      </c>
      <c r="L1242" s="13"/>
    </row>
    <row r="1243" spans="1:12" x14ac:dyDescent="0.25">
      <c r="A1243" s="3" t="s">
        <v>3223</v>
      </c>
      <c r="B1243" s="3" t="s">
        <v>4499</v>
      </c>
      <c r="C1243" s="3" t="s">
        <v>2704</v>
      </c>
      <c r="D1243" s="9">
        <v>106.9</v>
      </c>
      <c r="E1243" s="3" t="s">
        <v>3196</v>
      </c>
      <c r="F1243" s="3" t="s">
        <v>3224</v>
      </c>
      <c r="G1243" s="9">
        <v>182.11</v>
      </c>
      <c r="H1243" s="10">
        <v>45685.348171296297</v>
      </c>
      <c r="I1243" s="10">
        <v>45685.348171296297</v>
      </c>
      <c r="J1243" s="10">
        <v>45685.348796296297</v>
      </c>
      <c r="K1243" s="11">
        <v>6.2500000000000001E-4</v>
      </c>
      <c r="L1243" s="13"/>
    </row>
    <row r="1244" spans="1:12" x14ac:dyDescent="0.25">
      <c r="A1244" s="3" t="s">
        <v>3223</v>
      </c>
      <c r="B1244" s="3" t="s">
        <v>4500</v>
      </c>
      <c r="C1244" s="3" t="s">
        <v>2631</v>
      </c>
      <c r="D1244" s="9">
        <v>194.9</v>
      </c>
      <c r="E1244" s="3" t="s">
        <v>3199</v>
      </c>
      <c r="F1244" s="3" t="s">
        <v>3224</v>
      </c>
      <c r="G1244" s="9">
        <v>188.33</v>
      </c>
      <c r="H1244" s="10">
        <v>45685.369837962957</v>
      </c>
      <c r="I1244" s="10">
        <v>45685.369837962957</v>
      </c>
      <c r="J1244" s="10">
        <v>45685.370671296303</v>
      </c>
      <c r="K1244" s="11">
        <v>8.3333333333333339E-4</v>
      </c>
      <c r="L1244" s="13"/>
    </row>
    <row r="1245" spans="1:12" x14ac:dyDescent="0.25">
      <c r="A1245" s="3" t="s">
        <v>3223</v>
      </c>
      <c r="B1245" s="3" t="s">
        <v>4501</v>
      </c>
      <c r="C1245" s="3" t="s">
        <v>2608</v>
      </c>
      <c r="D1245" s="9">
        <v>284.8</v>
      </c>
      <c r="E1245" s="3" t="s">
        <v>3201</v>
      </c>
      <c r="F1245" s="3" t="s">
        <v>3224</v>
      </c>
      <c r="G1245" s="9">
        <v>259.31</v>
      </c>
      <c r="H1245" s="10">
        <v>45685.375138888892</v>
      </c>
      <c r="I1245" s="10">
        <v>45685.375138888892</v>
      </c>
      <c r="J1245" s="10">
        <v>45685.376342592594</v>
      </c>
      <c r="K1245" s="11">
        <v>1.203703703703704E-3</v>
      </c>
      <c r="L1245" s="13"/>
    </row>
    <row r="1246" spans="1:12" x14ac:dyDescent="0.25">
      <c r="A1246" s="3" t="s">
        <v>3223</v>
      </c>
      <c r="B1246" s="3" t="s">
        <v>4502</v>
      </c>
      <c r="C1246" s="3" t="s">
        <v>2743</v>
      </c>
      <c r="D1246" s="9">
        <v>212.1</v>
      </c>
      <c r="E1246" s="3" t="s">
        <v>3195</v>
      </c>
      <c r="F1246" s="3" t="s">
        <v>3224</v>
      </c>
      <c r="G1246" s="9">
        <v>286.14</v>
      </c>
      <c r="H1246" s="10">
        <v>45685.450543981482</v>
      </c>
      <c r="I1246" s="10">
        <v>45685.450543981482</v>
      </c>
      <c r="J1246" s="10">
        <v>45685.451631944437</v>
      </c>
      <c r="K1246" s="11">
        <v>1.0879629629629631E-3</v>
      </c>
      <c r="L1246" s="13"/>
    </row>
    <row r="1247" spans="1:12" x14ac:dyDescent="0.25">
      <c r="A1247" s="3" t="s">
        <v>3223</v>
      </c>
      <c r="B1247" s="3" t="s">
        <v>4503</v>
      </c>
      <c r="C1247" s="3" t="s">
        <v>2697</v>
      </c>
      <c r="D1247" s="9">
        <v>394.6</v>
      </c>
      <c r="E1247" s="3" t="s">
        <v>3203</v>
      </c>
      <c r="F1247" s="3" t="s">
        <v>3224</v>
      </c>
      <c r="G1247" s="9">
        <v>223.61</v>
      </c>
      <c r="H1247" s="10">
        <v>45685.461956018517</v>
      </c>
      <c r="I1247" s="10">
        <v>45685.461956018517</v>
      </c>
      <c r="J1247" s="10">
        <v>45685.463333333333</v>
      </c>
      <c r="K1247" s="11">
        <v>1.3773148148148149E-3</v>
      </c>
      <c r="L1247" s="13"/>
    </row>
    <row r="1248" spans="1:12" x14ac:dyDescent="0.25">
      <c r="A1248" s="3" t="s">
        <v>3223</v>
      </c>
      <c r="B1248" s="3" t="s">
        <v>4504</v>
      </c>
      <c r="C1248" s="3" t="s">
        <v>2685</v>
      </c>
      <c r="D1248" s="9">
        <v>381.6</v>
      </c>
      <c r="E1248" s="3" t="s">
        <v>3197</v>
      </c>
      <c r="F1248" s="3" t="s">
        <v>3224</v>
      </c>
      <c r="G1248" s="9">
        <v>262.93</v>
      </c>
      <c r="H1248" s="10">
        <v>45685.521655092591</v>
      </c>
      <c r="I1248" s="10">
        <v>45685.521655092591</v>
      </c>
      <c r="J1248" s="10">
        <v>45685.523078703707</v>
      </c>
      <c r="K1248" s="11">
        <v>1.423611111111111E-3</v>
      </c>
      <c r="L1248" s="13"/>
    </row>
    <row r="1249" spans="1:12" x14ac:dyDescent="0.25">
      <c r="A1249" s="3" t="s">
        <v>3223</v>
      </c>
      <c r="B1249" s="3" t="s">
        <v>4505</v>
      </c>
      <c r="C1249" s="3" t="s">
        <v>2740</v>
      </c>
      <c r="D1249" s="9">
        <v>118.2</v>
      </c>
      <c r="E1249" s="3" t="s">
        <v>3204</v>
      </c>
      <c r="F1249" s="3" t="s">
        <v>3224</v>
      </c>
      <c r="G1249" s="9">
        <v>240.31</v>
      </c>
      <c r="H1249" s="10">
        <v>45685.570752314823</v>
      </c>
      <c r="I1249" s="10">
        <v>45685.570752314823</v>
      </c>
      <c r="J1249" s="10">
        <v>45685.571527777778</v>
      </c>
      <c r="K1249" s="11">
        <v>7.7546296296296293E-4</v>
      </c>
      <c r="L1249" s="13"/>
    </row>
    <row r="1250" spans="1:12" x14ac:dyDescent="0.25">
      <c r="A1250" s="3" t="s">
        <v>3223</v>
      </c>
      <c r="B1250" s="3" t="s">
        <v>4506</v>
      </c>
      <c r="C1250" s="3" t="s">
        <v>2748</v>
      </c>
      <c r="D1250" s="9">
        <v>321.5</v>
      </c>
      <c r="E1250" s="3" t="s">
        <v>3200</v>
      </c>
      <c r="F1250" s="3" t="s">
        <v>3224</v>
      </c>
      <c r="G1250" s="9">
        <v>245</v>
      </c>
      <c r="H1250" s="10">
        <v>45685.663553240738</v>
      </c>
      <c r="I1250" s="10">
        <v>45685.663553240738</v>
      </c>
      <c r="J1250" s="10">
        <v>45685.664814814823</v>
      </c>
      <c r="K1250" s="11">
        <v>1.261574074074074E-3</v>
      </c>
      <c r="L1250" s="13"/>
    </row>
    <row r="1251" spans="1:12" x14ac:dyDescent="0.25">
      <c r="A1251" s="3" t="s">
        <v>3223</v>
      </c>
      <c r="B1251" s="3" t="s">
        <v>4507</v>
      </c>
      <c r="C1251" s="3" t="s">
        <v>2755</v>
      </c>
      <c r="D1251" s="9">
        <v>232.4</v>
      </c>
      <c r="E1251" s="3" t="s">
        <v>3202</v>
      </c>
      <c r="F1251" s="3" t="s">
        <v>3224</v>
      </c>
      <c r="G1251" s="9">
        <v>231.94</v>
      </c>
      <c r="H1251" s="10">
        <v>45685.674317129633</v>
      </c>
      <c r="I1251" s="10">
        <v>45685.674317129633</v>
      </c>
      <c r="J1251" s="10">
        <v>45685.675335648149</v>
      </c>
      <c r="K1251" s="11">
        <v>1.018518518518518E-3</v>
      </c>
      <c r="L1251" s="13"/>
    </row>
    <row r="1252" spans="1:12" x14ac:dyDescent="0.25">
      <c r="A1252" s="3" t="s">
        <v>3223</v>
      </c>
      <c r="B1252" s="3" t="s">
        <v>4508</v>
      </c>
      <c r="C1252" s="3" t="s">
        <v>2716</v>
      </c>
      <c r="D1252" s="9">
        <v>310.60000000000002</v>
      </c>
      <c r="E1252" s="3" t="s">
        <v>3196</v>
      </c>
      <c r="F1252" s="3" t="s">
        <v>3224</v>
      </c>
      <c r="G1252" s="9">
        <v>182.11</v>
      </c>
      <c r="H1252" s="10">
        <v>45685.707268518519</v>
      </c>
      <c r="I1252" s="10">
        <v>45685.707268518519</v>
      </c>
      <c r="J1252" s="10">
        <v>45685.708368055559</v>
      </c>
      <c r="K1252" s="11">
        <v>1.0995370370370371E-3</v>
      </c>
      <c r="L1252" s="13"/>
    </row>
    <row r="1253" spans="1:12" x14ac:dyDescent="0.25">
      <c r="A1253" s="3" t="s">
        <v>3223</v>
      </c>
      <c r="B1253" s="3" t="s">
        <v>4509</v>
      </c>
      <c r="C1253" s="3" t="s">
        <v>2762</v>
      </c>
      <c r="D1253" s="9">
        <v>448.7</v>
      </c>
      <c r="E1253" s="3" t="s">
        <v>3193</v>
      </c>
      <c r="F1253" s="3" t="s">
        <v>3224</v>
      </c>
      <c r="G1253" s="9">
        <v>205.9</v>
      </c>
      <c r="H1253" s="10">
        <v>45685.901018518518</v>
      </c>
      <c r="I1253" s="10">
        <v>45685.901018518518</v>
      </c>
      <c r="J1253" s="10">
        <v>45685.902488425927</v>
      </c>
      <c r="K1253" s="11">
        <v>1.469907407407407E-3</v>
      </c>
      <c r="L1253" s="13"/>
    </row>
    <row r="1254" spans="1:12" x14ac:dyDescent="0.25">
      <c r="A1254" s="3" t="s">
        <v>3223</v>
      </c>
      <c r="B1254" s="3" t="s">
        <v>4510</v>
      </c>
      <c r="C1254" s="3" t="s">
        <v>2769</v>
      </c>
      <c r="D1254" s="9">
        <v>101.7</v>
      </c>
      <c r="E1254" s="3" t="s">
        <v>3203</v>
      </c>
      <c r="F1254" s="3" t="s">
        <v>3224</v>
      </c>
      <c r="G1254" s="9">
        <v>223.61</v>
      </c>
      <c r="H1254" s="10">
        <v>45685.904999999999</v>
      </c>
      <c r="I1254" s="10">
        <v>45685.904999999999</v>
      </c>
      <c r="J1254" s="10">
        <v>45685.905706018522</v>
      </c>
      <c r="K1254" s="11">
        <v>7.0601851851851847E-4</v>
      </c>
      <c r="L1254" s="13"/>
    </row>
    <row r="1255" spans="1:12" x14ac:dyDescent="0.25">
      <c r="A1255" s="3" t="s">
        <v>3223</v>
      </c>
      <c r="B1255" s="3" t="s">
        <v>4511</v>
      </c>
      <c r="C1255" s="3" t="s">
        <v>2690</v>
      </c>
      <c r="D1255" s="9">
        <v>108.1</v>
      </c>
      <c r="E1255" s="3" t="s">
        <v>3194</v>
      </c>
      <c r="F1255" s="3" t="s">
        <v>3224</v>
      </c>
      <c r="G1255" s="9">
        <v>259.31</v>
      </c>
      <c r="H1255" s="10">
        <v>45686.152291666673</v>
      </c>
      <c r="I1255" s="10">
        <v>45686.152291666673</v>
      </c>
      <c r="J1255" s="10">
        <v>45686.153078703697</v>
      </c>
      <c r="K1255" s="11">
        <v>7.8703703703703705E-4</v>
      </c>
      <c r="L1255" s="13"/>
    </row>
    <row r="1256" spans="1:12" x14ac:dyDescent="0.25">
      <c r="A1256" s="3" t="s">
        <v>3223</v>
      </c>
      <c r="B1256" s="3" t="s">
        <v>4512</v>
      </c>
      <c r="C1256" s="3" t="s">
        <v>2707</v>
      </c>
      <c r="D1256" s="9">
        <v>297</v>
      </c>
      <c r="E1256" s="3" t="s">
        <v>3206</v>
      </c>
      <c r="F1256" s="3" t="s">
        <v>3224</v>
      </c>
      <c r="G1256" s="9">
        <v>286.14</v>
      </c>
      <c r="H1256" s="10">
        <v>45686.240671296298</v>
      </c>
      <c r="I1256" s="10">
        <v>45686.240671296298</v>
      </c>
      <c r="J1256" s="10">
        <v>45686.241944444453</v>
      </c>
      <c r="K1256" s="11">
        <v>1.273148148148148E-3</v>
      </c>
      <c r="L1256" s="13"/>
    </row>
    <row r="1257" spans="1:12" x14ac:dyDescent="0.25">
      <c r="A1257" s="3" t="s">
        <v>3223</v>
      </c>
      <c r="B1257" s="3" t="s">
        <v>4513</v>
      </c>
      <c r="C1257" s="3" t="s">
        <v>2788</v>
      </c>
      <c r="D1257" s="9">
        <v>115.2</v>
      </c>
      <c r="E1257" s="3" t="s">
        <v>3196</v>
      </c>
      <c r="F1257" s="3" t="s">
        <v>3224</v>
      </c>
      <c r="G1257" s="9">
        <v>182.11</v>
      </c>
      <c r="H1257" s="10">
        <v>45686.292326388888</v>
      </c>
      <c r="I1257" s="10">
        <v>45686.292326388888</v>
      </c>
      <c r="J1257" s="10">
        <v>45686.292974537027</v>
      </c>
      <c r="K1257" s="11">
        <v>6.4814814814814813E-4</v>
      </c>
      <c r="L1257" s="13"/>
    </row>
    <row r="1258" spans="1:12" x14ac:dyDescent="0.25">
      <c r="A1258" s="3" t="s">
        <v>3223</v>
      </c>
      <c r="B1258" s="3" t="s">
        <v>4514</v>
      </c>
      <c r="C1258" s="3" t="s">
        <v>2777</v>
      </c>
      <c r="D1258" s="9">
        <v>110.6</v>
      </c>
      <c r="E1258" s="3" t="s">
        <v>3203</v>
      </c>
      <c r="F1258" s="3" t="s">
        <v>3224</v>
      </c>
      <c r="G1258" s="9">
        <v>223.61</v>
      </c>
      <c r="H1258" s="10">
        <v>45686.341319444437</v>
      </c>
      <c r="I1258" s="10">
        <v>45686.341319444437</v>
      </c>
      <c r="J1258" s="10">
        <v>45686.342037037037</v>
      </c>
      <c r="K1258" s="11">
        <v>7.1759259259259259E-4</v>
      </c>
      <c r="L1258" s="13"/>
    </row>
    <row r="1259" spans="1:12" x14ac:dyDescent="0.25">
      <c r="A1259" s="3" t="s">
        <v>3223</v>
      </c>
      <c r="B1259" s="3" t="s">
        <v>4515</v>
      </c>
      <c r="C1259" s="3" t="s">
        <v>2827</v>
      </c>
      <c r="D1259" s="9">
        <v>148.9</v>
      </c>
      <c r="E1259" s="3" t="s">
        <v>3194</v>
      </c>
      <c r="F1259" s="3" t="s">
        <v>3224</v>
      </c>
      <c r="G1259" s="9">
        <v>259.31</v>
      </c>
      <c r="H1259" s="10">
        <v>45686.342685185176</v>
      </c>
      <c r="I1259" s="10">
        <v>45686.342685185176</v>
      </c>
      <c r="J1259" s="10">
        <v>45686.343576388892</v>
      </c>
      <c r="K1259" s="11">
        <v>8.9120370370370373E-4</v>
      </c>
      <c r="L1259" s="13"/>
    </row>
    <row r="1260" spans="1:12" x14ac:dyDescent="0.25">
      <c r="A1260" s="3" t="s">
        <v>3223</v>
      </c>
      <c r="B1260" s="3" t="s">
        <v>4516</v>
      </c>
      <c r="C1260" s="3" t="s">
        <v>2782</v>
      </c>
      <c r="D1260" s="9">
        <v>119.3</v>
      </c>
      <c r="E1260" s="3" t="s">
        <v>3198</v>
      </c>
      <c r="F1260" s="3" t="s">
        <v>3224</v>
      </c>
      <c r="G1260" s="9">
        <v>259.16000000000003</v>
      </c>
      <c r="H1260" s="10">
        <v>45686.378969907397</v>
      </c>
      <c r="I1260" s="10">
        <v>45686.378969907397</v>
      </c>
      <c r="J1260" s="10">
        <v>45686.379791666674</v>
      </c>
      <c r="K1260" s="11">
        <v>8.2175925925925927E-4</v>
      </c>
      <c r="L1260" s="13"/>
    </row>
    <row r="1261" spans="1:12" x14ac:dyDescent="0.25">
      <c r="A1261" s="3" t="s">
        <v>3223</v>
      </c>
      <c r="B1261" s="3" t="s">
        <v>4517</v>
      </c>
      <c r="C1261" s="3" t="s">
        <v>2798</v>
      </c>
      <c r="D1261" s="9">
        <v>194.6</v>
      </c>
      <c r="E1261" s="3" t="s">
        <v>3199</v>
      </c>
      <c r="F1261" s="3" t="s">
        <v>3224</v>
      </c>
      <c r="G1261" s="9">
        <v>188.33</v>
      </c>
      <c r="H1261" s="10">
        <v>45686.442870370367</v>
      </c>
      <c r="I1261" s="10">
        <v>45686.442870370367</v>
      </c>
      <c r="J1261" s="10">
        <v>45686.443715277783</v>
      </c>
      <c r="K1261" s="11">
        <v>8.4490740740740739E-4</v>
      </c>
      <c r="L1261" s="13"/>
    </row>
    <row r="1262" spans="1:12" x14ac:dyDescent="0.25">
      <c r="A1262" s="3" t="s">
        <v>3223</v>
      </c>
      <c r="B1262" s="3" t="s">
        <v>4518</v>
      </c>
      <c r="C1262" s="3" t="s">
        <v>2834</v>
      </c>
      <c r="D1262" s="9">
        <v>147</v>
      </c>
      <c r="E1262" s="3" t="s">
        <v>3195</v>
      </c>
      <c r="F1262" s="3" t="s">
        <v>3224</v>
      </c>
      <c r="G1262" s="9">
        <v>286.14</v>
      </c>
      <c r="H1262" s="10">
        <v>45686.476886574077</v>
      </c>
      <c r="I1262" s="10">
        <v>45686.476886574077</v>
      </c>
      <c r="J1262" s="10">
        <v>45686.477824074071</v>
      </c>
      <c r="K1262" s="11">
        <v>9.3749999999999997E-4</v>
      </c>
      <c r="L1262" s="13"/>
    </row>
    <row r="1263" spans="1:12" x14ac:dyDescent="0.25">
      <c r="A1263" s="3" t="s">
        <v>3223</v>
      </c>
      <c r="B1263" s="3" t="s">
        <v>4519</v>
      </c>
      <c r="C1263" s="3" t="s">
        <v>2837</v>
      </c>
      <c r="D1263" s="9">
        <v>291.89999999999998</v>
      </c>
      <c r="E1263" s="3" t="s">
        <v>3203</v>
      </c>
      <c r="F1263" s="3" t="s">
        <v>3224</v>
      </c>
      <c r="G1263" s="9">
        <v>223.61</v>
      </c>
      <c r="H1263" s="10">
        <v>45686.606689814813</v>
      </c>
      <c r="I1263" s="10">
        <v>45686.606689814813</v>
      </c>
      <c r="J1263" s="10">
        <v>45686.607835648138</v>
      </c>
      <c r="K1263" s="11">
        <v>1.1458333333333329E-3</v>
      </c>
      <c r="L1263" s="13"/>
    </row>
    <row r="1264" spans="1:12" x14ac:dyDescent="0.25">
      <c r="A1264" s="3" t="s">
        <v>3223</v>
      </c>
      <c r="B1264" s="3" t="s">
        <v>4520</v>
      </c>
      <c r="C1264" s="3" t="s">
        <v>2810</v>
      </c>
      <c r="D1264" s="9">
        <v>122.9</v>
      </c>
      <c r="E1264" s="3" t="s">
        <v>3196</v>
      </c>
      <c r="F1264" s="3" t="s">
        <v>3224</v>
      </c>
      <c r="G1264" s="9">
        <v>182.11</v>
      </c>
      <c r="H1264" s="10">
        <v>45686.678206018521</v>
      </c>
      <c r="I1264" s="10">
        <v>45686.678206018521</v>
      </c>
      <c r="J1264" s="10">
        <v>45686.678865740738</v>
      </c>
      <c r="K1264" s="11">
        <v>6.5972222222222224E-4</v>
      </c>
      <c r="L1264" s="13"/>
    </row>
    <row r="1265" spans="1:12" x14ac:dyDescent="0.25">
      <c r="A1265" s="3" t="s">
        <v>3223</v>
      </c>
      <c r="B1265" s="3" t="s">
        <v>4521</v>
      </c>
      <c r="C1265" s="3" t="s">
        <v>2840</v>
      </c>
      <c r="D1265" s="9">
        <v>389.8</v>
      </c>
      <c r="E1265" s="3" t="s">
        <v>3204</v>
      </c>
      <c r="F1265" s="3" t="s">
        <v>3224</v>
      </c>
      <c r="G1265" s="9">
        <v>240.31</v>
      </c>
      <c r="H1265" s="10">
        <v>45686.684039351851</v>
      </c>
      <c r="I1265" s="10">
        <v>45686.684039351851</v>
      </c>
      <c r="J1265" s="10">
        <v>45686.685439814813</v>
      </c>
      <c r="K1265" s="11">
        <v>1.4004629629629629E-3</v>
      </c>
      <c r="L1265" s="13"/>
    </row>
    <row r="1266" spans="1:12" x14ac:dyDescent="0.25">
      <c r="A1266" s="3" t="s">
        <v>3223</v>
      </c>
      <c r="B1266" s="3" t="s">
        <v>4522</v>
      </c>
      <c r="C1266" s="3" t="s">
        <v>2856</v>
      </c>
      <c r="D1266" s="9">
        <v>156</v>
      </c>
      <c r="E1266" s="3" t="s">
        <v>3203</v>
      </c>
      <c r="F1266" s="3" t="s">
        <v>3224</v>
      </c>
      <c r="G1266" s="9">
        <v>223.61</v>
      </c>
      <c r="H1266" s="10">
        <v>45686.69226851852</v>
      </c>
      <c r="I1266" s="10">
        <v>45686.69226851852</v>
      </c>
      <c r="J1266" s="10">
        <v>45686.693101851852</v>
      </c>
      <c r="K1266" s="11">
        <v>8.3333333333333339E-4</v>
      </c>
      <c r="L1266" s="13"/>
    </row>
    <row r="1267" spans="1:12" x14ac:dyDescent="0.25">
      <c r="A1267" s="3" t="s">
        <v>3223</v>
      </c>
      <c r="B1267" s="3" t="s">
        <v>4523</v>
      </c>
      <c r="C1267" s="3" t="s">
        <v>2863</v>
      </c>
      <c r="D1267" s="9">
        <v>232.7</v>
      </c>
      <c r="E1267" s="3" t="s">
        <v>3200</v>
      </c>
      <c r="F1267" s="3" t="s">
        <v>3224</v>
      </c>
      <c r="G1267" s="9">
        <v>245</v>
      </c>
      <c r="H1267" s="10">
        <v>45686.780624999999</v>
      </c>
      <c r="I1267" s="10">
        <v>45686.780624999999</v>
      </c>
      <c r="J1267" s="10">
        <v>45686.781666666669</v>
      </c>
      <c r="K1267" s="11">
        <v>1.0416666666666671E-3</v>
      </c>
      <c r="L1267" s="13"/>
    </row>
    <row r="1268" spans="1:12" x14ac:dyDescent="0.25">
      <c r="A1268" s="3" t="s">
        <v>3223</v>
      </c>
      <c r="B1268" s="3" t="s">
        <v>4524</v>
      </c>
      <c r="C1268" s="3" t="s">
        <v>2866</v>
      </c>
      <c r="D1268" s="9">
        <v>397.3</v>
      </c>
      <c r="E1268" s="3" t="s">
        <v>3202</v>
      </c>
      <c r="F1268" s="3" t="s">
        <v>3224</v>
      </c>
      <c r="G1268" s="9">
        <v>231.94</v>
      </c>
      <c r="H1268" s="10">
        <v>45686.842106481483</v>
      </c>
      <c r="I1268" s="10">
        <v>45686.842106481483</v>
      </c>
      <c r="J1268" s="10">
        <v>45686.843506944453</v>
      </c>
      <c r="K1268" s="11">
        <v>1.4004629629629629E-3</v>
      </c>
      <c r="L1268" s="13"/>
    </row>
    <row r="1269" spans="1:12" x14ac:dyDescent="0.25">
      <c r="A1269" s="3" t="s">
        <v>3223</v>
      </c>
      <c r="B1269" s="3" t="s">
        <v>4525</v>
      </c>
      <c r="C1269" s="3" t="s">
        <v>2872</v>
      </c>
      <c r="D1269" s="9">
        <v>165.8</v>
      </c>
      <c r="E1269" s="3" t="s">
        <v>3203</v>
      </c>
      <c r="F1269" s="3" t="s">
        <v>3224</v>
      </c>
      <c r="G1269" s="9">
        <v>223.61</v>
      </c>
      <c r="H1269" s="10">
        <v>45686.907604166663</v>
      </c>
      <c r="I1269" s="10">
        <v>45686.907604166663</v>
      </c>
      <c r="J1269" s="10">
        <v>45686.908460648148</v>
      </c>
      <c r="K1269" s="11">
        <v>8.564814814814815E-4</v>
      </c>
      <c r="L1269" s="13"/>
    </row>
    <row r="1270" spans="1:12" x14ac:dyDescent="0.25">
      <c r="A1270" s="3" t="s">
        <v>3223</v>
      </c>
      <c r="B1270" s="3" t="s">
        <v>4526</v>
      </c>
      <c r="C1270" s="3" t="s">
        <v>2879</v>
      </c>
      <c r="D1270" s="9">
        <v>106.9</v>
      </c>
      <c r="E1270" s="3" t="s">
        <v>3193</v>
      </c>
      <c r="F1270" s="3" t="s">
        <v>3224</v>
      </c>
      <c r="G1270" s="9">
        <v>205.9</v>
      </c>
      <c r="H1270" s="10">
        <v>45687.151701388888</v>
      </c>
      <c r="I1270" s="10">
        <v>45687.151701388888</v>
      </c>
      <c r="J1270" s="10">
        <v>45687.152372685188</v>
      </c>
      <c r="K1270" s="11">
        <v>6.7129629629629625E-4</v>
      </c>
      <c r="L1270" s="13"/>
    </row>
    <row r="1271" spans="1:12" x14ac:dyDescent="0.25">
      <c r="A1271" s="3" t="s">
        <v>3223</v>
      </c>
      <c r="B1271" s="3" t="s">
        <v>4527</v>
      </c>
      <c r="C1271" s="3" t="s">
        <v>2853</v>
      </c>
      <c r="D1271" s="9">
        <v>297</v>
      </c>
      <c r="E1271" s="3" t="s">
        <v>3206</v>
      </c>
      <c r="F1271" s="3" t="s">
        <v>3224</v>
      </c>
      <c r="G1271" s="9">
        <v>286.14</v>
      </c>
      <c r="H1271" s="10">
        <v>45687.325578703712</v>
      </c>
      <c r="I1271" s="10">
        <v>45687.325578703712</v>
      </c>
      <c r="J1271" s="10">
        <v>45687.326863425929</v>
      </c>
      <c r="K1271" s="11">
        <v>1.284722222222222E-3</v>
      </c>
      <c r="L1271" s="13"/>
    </row>
    <row r="1272" spans="1:12" x14ac:dyDescent="0.25">
      <c r="A1272" s="3" t="s">
        <v>3223</v>
      </c>
      <c r="B1272" s="3" t="s">
        <v>4528</v>
      </c>
      <c r="C1272" s="3" t="s">
        <v>2869</v>
      </c>
      <c r="D1272" s="9">
        <v>129.30000000000001</v>
      </c>
      <c r="E1272" s="3" t="s">
        <v>3196</v>
      </c>
      <c r="F1272" s="3" t="s">
        <v>3224</v>
      </c>
      <c r="G1272" s="9">
        <v>182.11</v>
      </c>
      <c r="H1272" s="10">
        <v>45687.36445601852</v>
      </c>
      <c r="I1272" s="10">
        <v>45687.36445601852</v>
      </c>
      <c r="J1272" s="10">
        <v>45687.365127314813</v>
      </c>
      <c r="K1272" s="11">
        <v>6.7129629629629625E-4</v>
      </c>
      <c r="L1272" s="13"/>
    </row>
    <row r="1273" spans="1:12" x14ac:dyDescent="0.25">
      <c r="A1273" s="3" t="s">
        <v>3223</v>
      </c>
      <c r="B1273" s="3" t="s">
        <v>4529</v>
      </c>
      <c r="C1273" s="3" t="s">
        <v>2772</v>
      </c>
      <c r="D1273" s="9">
        <v>110.3</v>
      </c>
      <c r="E1273" s="3" t="s">
        <v>3197</v>
      </c>
      <c r="F1273" s="3" t="s">
        <v>3224</v>
      </c>
      <c r="G1273" s="9">
        <v>262.93</v>
      </c>
      <c r="H1273" s="10">
        <v>45687.36755787037</v>
      </c>
      <c r="I1273" s="10">
        <v>45687.36755787037</v>
      </c>
      <c r="J1273" s="10">
        <v>45687.368368055562</v>
      </c>
      <c r="K1273" s="11">
        <v>8.1018518518518516E-4</v>
      </c>
      <c r="L1273" s="13"/>
    </row>
    <row r="1274" spans="1:12" x14ac:dyDescent="0.25">
      <c r="A1274" s="3" t="s">
        <v>3223</v>
      </c>
      <c r="B1274" s="3" t="s">
        <v>4530</v>
      </c>
      <c r="C1274" s="3" t="s">
        <v>2803</v>
      </c>
      <c r="D1274" s="9">
        <v>397.3</v>
      </c>
      <c r="E1274" s="3" t="s">
        <v>3194</v>
      </c>
      <c r="F1274" s="3" t="s">
        <v>3224</v>
      </c>
      <c r="G1274" s="9">
        <v>259.31</v>
      </c>
      <c r="H1274" s="10">
        <v>45687.368055555547</v>
      </c>
      <c r="I1274" s="10">
        <v>45687.368368055562</v>
      </c>
      <c r="J1274" s="10">
        <v>45687.369826388887</v>
      </c>
      <c r="K1274" s="11">
        <v>1.458333333333333E-3</v>
      </c>
      <c r="L1274" s="13"/>
    </row>
    <row r="1275" spans="1:12" x14ac:dyDescent="0.25">
      <c r="A1275" s="3" t="s">
        <v>3223</v>
      </c>
      <c r="B1275" s="3" t="s">
        <v>4531</v>
      </c>
      <c r="C1275" s="3" t="s">
        <v>2891</v>
      </c>
      <c r="D1275" s="9">
        <v>252</v>
      </c>
      <c r="E1275" s="3" t="s">
        <v>3203</v>
      </c>
      <c r="F1275" s="3" t="s">
        <v>3224</v>
      </c>
      <c r="G1275" s="9">
        <v>223.61</v>
      </c>
      <c r="H1275" s="10">
        <v>45687.412939814807</v>
      </c>
      <c r="I1275" s="10">
        <v>45687.412939814807</v>
      </c>
      <c r="J1275" s="10">
        <v>45687.413981481477</v>
      </c>
      <c r="K1275" s="11">
        <v>1.0416666666666671E-3</v>
      </c>
      <c r="L1275" s="13"/>
    </row>
    <row r="1276" spans="1:12" x14ac:dyDescent="0.25">
      <c r="A1276" s="3" t="s">
        <v>3223</v>
      </c>
      <c r="B1276" s="3" t="s">
        <v>4532</v>
      </c>
      <c r="C1276" s="3" t="s">
        <v>2915</v>
      </c>
      <c r="D1276" s="9">
        <v>220.3</v>
      </c>
      <c r="E1276" s="3" t="s">
        <v>3203</v>
      </c>
      <c r="F1276" s="3" t="s">
        <v>3224</v>
      </c>
      <c r="G1276" s="9">
        <v>223.61</v>
      </c>
      <c r="H1276" s="10">
        <v>45687.444571759261</v>
      </c>
      <c r="I1276" s="10">
        <v>45687.444571759261</v>
      </c>
      <c r="J1276" s="10">
        <v>45687.445543981477</v>
      </c>
      <c r="K1276" s="11">
        <v>9.7222222222222219E-4</v>
      </c>
      <c r="L1276" s="13"/>
    </row>
    <row r="1277" spans="1:12" x14ac:dyDescent="0.25">
      <c r="A1277" s="3" t="s">
        <v>3223</v>
      </c>
      <c r="B1277" s="3" t="s">
        <v>4533</v>
      </c>
      <c r="C1277" s="3" t="s">
        <v>2918</v>
      </c>
      <c r="D1277" s="9">
        <v>259.7</v>
      </c>
      <c r="E1277" s="3" t="s">
        <v>3203</v>
      </c>
      <c r="F1277" s="3" t="s">
        <v>3224</v>
      </c>
      <c r="G1277" s="9">
        <v>223.61</v>
      </c>
      <c r="H1277" s="10">
        <v>45687.470289351862</v>
      </c>
      <c r="I1277" s="10">
        <v>45687.470289351862</v>
      </c>
      <c r="J1277" s="10">
        <v>45687.471354166657</v>
      </c>
      <c r="K1277" s="11">
        <v>1.0648148148148151E-3</v>
      </c>
      <c r="L1277" s="13"/>
    </row>
    <row r="1278" spans="1:12" x14ac:dyDescent="0.25">
      <c r="A1278" s="3" t="s">
        <v>3223</v>
      </c>
      <c r="B1278" s="3" t="s">
        <v>4534</v>
      </c>
      <c r="C1278" s="3" t="s">
        <v>2921</v>
      </c>
      <c r="D1278" s="9">
        <v>398</v>
      </c>
      <c r="E1278" s="3" t="s">
        <v>3203</v>
      </c>
      <c r="F1278" s="3" t="s">
        <v>3224</v>
      </c>
      <c r="G1278" s="9">
        <v>223.61</v>
      </c>
      <c r="H1278" s="10">
        <v>45687.620081018518</v>
      </c>
      <c r="I1278" s="10">
        <v>45687.620081018518</v>
      </c>
      <c r="J1278" s="10">
        <v>45687.621469907397</v>
      </c>
      <c r="K1278" s="11">
        <v>1.3888888888888889E-3</v>
      </c>
      <c r="L1278" s="13"/>
    </row>
    <row r="1279" spans="1:12" x14ac:dyDescent="0.25">
      <c r="A1279" s="3" t="s">
        <v>3223</v>
      </c>
      <c r="B1279" s="3" t="s">
        <v>4535</v>
      </c>
      <c r="C1279" s="3" t="s">
        <v>2843</v>
      </c>
      <c r="D1279" s="9">
        <v>110.3</v>
      </c>
      <c r="E1279" s="3" t="s">
        <v>3201</v>
      </c>
      <c r="F1279" s="3" t="s">
        <v>3224</v>
      </c>
      <c r="G1279" s="9">
        <v>259.31</v>
      </c>
      <c r="H1279" s="10">
        <v>45687.633773148147</v>
      </c>
      <c r="I1279" s="10">
        <v>45687.633773148147</v>
      </c>
      <c r="J1279" s="10">
        <v>45687.634571759263</v>
      </c>
      <c r="K1279" s="11">
        <v>7.9861111111111116E-4</v>
      </c>
      <c r="L1279" s="13"/>
    </row>
    <row r="1280" spans="1:12" x14ac:dyDescent="0.25">
      <c r="A1280" s="3" t="s">
        <v>3223</v>
      </c>
      <c r="B1280" s="3" t="s">
        <v>4536</v>
      </c>
      <c r="C1280" s="3" t="s">
        <v>2926</v>
      </c>
      <c r="D1280" s="9">
        <v>112.5</v>
      </c>
      <c r="E1280" s="3" t="s">
        <v>3199</v>
      </c>
      <c r="F1280" s="3" t="s">
        <v>3224</v>
      </c>
      <c r="G1280" s="9">
        <v>188.33</v>
      </c>
      <c r="H1280" s="10">
        <v>45687.668935185182</v>
      </c>
      <c r="I1280" s="10">
        <v>45687.668935185182</v>
      </c>
      <c r="J1280" s="10">
        <v>45687.669594907413</v>
      </c>
      <c r="K1280" s="11">
        <v>6.5972222222222224E-4</v>
      </c>
      <c r="L1280" s="13"/>
    </row>
    <row r="1281" spans="1:12" x14ac:dyDescent="0.25">
      <c r="A1281" s="3" t="s">
        <v>3223</v>
      </c>
      <c r="B1281" s="3" t="s">
        <v>4537</v>
      </c>
      <c r="C1281" s="3" t="s">
        <v>2949</v>
      </c>
      <c r="D1281" s="9">
        <v>302.10000000000002</v>
      </c>
      <c r="E1281" s="3" t="s">
        <v>3203</v>
      </c>
      <c r="F1281" s="3" t="s">
        <v>3224</v>
      </c>
      <c r="G1281" s="9">
        <v>223.61</v>
      </c>
      <c r="H1281" s="10">
        <v>45687.708495370367</v>
      </c>
      <c r="I1281" s="10">
        <v>45687.708495370367</v>
      </c>
      <c r="J1281" s="10">
        <v>45687.709664351853</v>
      </c>
      <c r="K1281" s="11">
        <v>1.168981481481482E-3</v>
      </c>
      <c r="L1281" s="13"/>
    </row>
    <row r="1282" spans="1:12" x14ac:dyDescent="0.25">
      <c r="A1282" s="3" t="s">
        <v>3223</v>
      </c>
      <c r="B1282" s="3" t="s">
        <v>4538</v>
      </c>
      <c r="C1282" s="3" t="s">
        <v>2937</v>
      </c>
      <c r="D1282" s="9">
        <v>187.4</v>
      </c>
      <c r="E1282" s="3" t="s">
        <v>3198</v>
      </c>
      <c r="F1282" s="3" t="s">
        <v>3224</v>
      </c>
      <c r="G1282" s="9">
        <v>259.16000000000003</v>
      </c>
      <c r="H1282" s="10">
        <v>45687.76489583333</v>
      </c>
      <c r="I1282" s="10">
        <v>45687.76489583333</v>
      </c>
      <c r="J1282" s="10">
        <v>45687.765868055547</v>
      </c>
      <c r="K1282" s="11">
        <v>9.7222222222222219E-4</v>
      </c>
      <c r="L1282" s="13"/>
    </row>
    <row r="1283" spans="1:12" x14ac:dyDescent="0.25">
      <c r="A1283" s="3" t="s">
        <v>3223</v>
      </c>
      <c r="B1283" s="3" t="s">
        <v>4539</v>
      </c>
      <c r="C1283" s="3" t="s">
        <v>2934</v>
      </c>
      <c r="D1283" s="9">
        <v>102.8</v>
      </c>
      <c r="E1283" s="3" t="s">
        <v>3196</v>
      </c>
      <c r="F1283" s="3" t="s">
        <v>3224</v>
      </c>
      <c r="G1283" s="9">
        <v>182.11</v>
      </c>
      <c r="H1283" s="10">
        <v>45687.882418981477</v>
      </c>
      <c r="I1283" s="10">
        <v>45687.882418981477</v>
      </c>
      <c r="J1283" s="10">
        <v>45687.883032407408</v>
      </c>
      <c r="K1283" s="11">
        <v>6.134259259259259E-4</v>
      </c>
      <c r="L1283" s="13"/>
    </row>
    <row r="1284" spans="1:12" x14ac:dyDescent="0.25">
      <c r="A1284" s="3" t="s">
        <v>3223</v>
      </c>
      <c r="B1284" s="3" t="s">
        <v>4540</v>
      </c>
      <c r="C1284" s="3" t="s">
        <v>2973</v>
      </c>
      <c r="D1284" s="9">
        <v>380.8</v>
      </c>
      <c r="E1284" s="3" t="s">
        <v>3200</v>
      </c>
      <c r="F1284" s="3" t="s">
        <v>3224</v>
      </c>
      <c r="G1284" s="9">
        <v>245</v>
      </c>
      <c r="H1284" s="10">
        <v>45687.897326388891</v>
      </c>
      <c r="I1284" s="10">
        <v>45687.897326388891</v>
      </c>
      <c r="J1284" s="10">
        <v>45687.898715277777</v>
      </c>
      <c r="K1284" s="11">
        <v>1.3888888888888889E-3</v>
      </c>
      <c r="L1284" s="13"/>
    </row>
    <row r="1285" spans="1:12" x14ac:dyDescent="0.25">
      <c r="A1285" s="3" t="s">
        <v>3223</v>
      </c>
      <c r="B1285" s="3" t="s">
        <v>4541</v>
      </c>
      <c r="C1285" s="3" t="s">
        <v>2989</v>
      </c>
      <c r="D1285" s="9">
        <v>297</v>
      </c>
      <c r="E1285" s="3" t="s">
        <v>3193</v>
      </c>
      <c r="F1285" s="3" t="s">
        <v>3224</v>
      </c>
      <c r="G1285" s="9">
        <v>205.9</v>
      </c>
      <c r="H1285" s="10">
        <v>45688.188703703701</v>
      </c>
      <c r="I1285" s="10">
        <v>45688.188703703701</v>
      </c>
      <c r="J1285" s="10">
        <v>45688.189814814818</v>
      </c>
      <c r="K1285" s="11">
        <v>1.1111111111111109E-3</v>
      </c>
      <c r="L1285" s="13"/>
    </row>
    <row r="1286" spans="1:12" x14ac:dyDescent="0.25">
      <c r="A1286" s="3" t="s">
        <v>3223</v>
      </c>
      <c r="B1286" s="3" t="s">
        <v>4542</v>
      </c>
      <c r="C1286" s="3" t="s">
        <v>2955</v>
      </c>
      <c r="D1286" s="9">
        <v>297</v>
      </c>
      <c r="E1286" s="3" t="s">
        <v>3199</v>
      </c>
      <c r="F1286" s="3" t="s">
        <v>3224</v>
      </c>
      <c r="G1286" s="9">
        <v>188.33</v>
      </c>
      <c r="H1286" s="10">
        <v>45688.24591435185</v>
      </c>
      <c r="I1286" s="10">
        <v>45688.24591435185</v>
      </c>
      <c r="J1286" s="10">
        <v>45688.246990740743</v>
      </c>
      <c r="K1286" s="11">
        <v>1.0763888888888891E-3</v>
      </c>
      <c r="L1286" s="13"/>
    </row>
    <row r="1287" spans="1:12" x14ac:dyDescent="0.25">
      <c r="A1287" s="3" t="s">
        <v>3223</v>
      </c>
      <c r="B1287" s="3" t="s">
        <v>4543</v>
      </c>
      <c r="C1287" s="3" t="s">
        <v>2986</v>
      </c>
      <c r="D1287" s="9">
        <v>101.7</v>
      </c>
      <c r="E1287" s="3" t="s">
        <v>3202</v>
      </c>
      <c r="F1287" s="3" t="s">
        <v>3224</v>
      </c>
      <c r="G1287" s="9">
        <v>231.94</v>
      </c>
      <c r="H1287" s="10">
        <v>45688.277361111112</v>
      </c>
      <c r="I1287" s="10">
        <v>45688.277361111112</v>
      </c>
      <c r="J1287" s="10">
        <v>45688.278090277781</v>
      </c>
      <c r="K1287" s="11">
        <v>7.291666666666667E-4</v>
      </c>
      <c r="L1287" s="13"/>
    </row>
    <row r="1288" spans="1:12" x14ac:dyDescent="0.25">
      <c r="A1288" s="3" t="s">
        <v>3223</v>
      </c>
      <c r="B1288" s="3" t="s">
        <v>4544</v>
      </c>
      <c r="C1288" s="3" t="s">
        <v>2785</v>
      </c>
      <c r="D1288" s="9">
        <v>140</v>
      </c>
      <c r="E1288" s="3" t="s">
        <v>3205</v>
      </c>
      <c r="F1288" s="3" t="s">
        <v>3224</v>
      </c>
      <c r="G1288" s="9">
        <v>262.93</v>
      </c>
      <c r="H1288" s="10">
        <v>45688.325277777767</v>
      </c>
      <c r="I1288" s="10">
        <v>45688.325277777767</v>
      </c>
      <c r="J1288" s="10">
        <v>45688.326157407413</v>
      </c>
      <c r="K1288" s="11">
        <v>8.7962962962962962E-4</v>
      </c>
      <c r="L1288" s="13"/>
    </row>
    <row r="1289" spans="1:12" x14ac:dyDescent="0.25">
      <c r="A1289" s="3" t="s">
        <v>3223</v>
      </c>
      <c r="B1289" s="3" t="s">
        <v>4545</v>
      </c>
      <c r="C1289" s="3" t="s">
        <v>2888</v>
      </c>
      <c r="D1289" s="9">
        <v>126.4</v>
      </c>
      <c r="E1289" s="3" t="s">
        <v>3194</v>
      </c>
      <c r="F1289" s="3" t="s">
        <v>3224</v>
      </c>
      <c r="G1289" s="9">
        <v>259.31</v>
      </c>
      <c r="H1289" s="10">
        <v>45688.369166666656</v>
      </c>
      <c r="I1289" s="10">
        <v>45688.369166666656</v>
      </c>
      <c r="J1289" s="10">
        <v>45688.369988425933</v>
      </c>
      <c r="K1289" s="11">
        <v>8.2175925925925927E-4</v>
      </c>
      <c r="L1289" s="13"/>
    </row>
    <row r="1290" spans="1:12" x14ac:dyDescent="0.25">
      <c r="A1290" s="3" t="s">
        <v>3223</v>
      </c>
      <c r="B1290" s="3" t="s">
        <v>4546</v>
      </c>
      <c r="C1290" s="3" t="s">
        <v>2902</v>
      </c>
      <c r="D1290" s="9">
        <v>420.6</v>
      </c>
      <c r="E1290" s="3" t="s">
        <v>3206</v>
      </c>
      <c r="F1290" s="3" t="s">
        <v>3224</v>
      </c>
      <c r="G1290" s="9">
        <v>286.14</v>
      </c>
      <c r="H1290" s="10">
        <v>45688.405370370368</v>
      </c>
      <c r="I1290" s="10">
        <v>45688.405370370368</v>
      </c>
      <c r="J1290" s="10">
        <v>45688.406944444447</v>
      </c>
      <c r="K1290" s="11">
        <v>1.5740740740740741E-3</v>
      </c>
      <c r="L1290" s="13"/>
    </row>
    <row r="1291" spans="1:12" x14ac:dyDescent="0.25">
      <c r="A1291" s="3" t="s">
        <v>3223</v>
      </c>
      <c r="B1291" s="3" t="s">
        <v>4547</v>
      </c>
      <c r="C1291" s="3" t="s">
        <v>3022</v>
      </c>
      <c r="D1291" s="9">
        <v>135</v>
      </c>
      <c r="E1291" s="3" t="s">
        <v>3199</v>
      </c>
      <c r="F1291" s="3" t="s">
        <v>3224</v>
      </c>
      <c r="G1291" s="9">
        <v>188.33</v>
      </c>
      <c r="H1291" s="10">
        <v>45688.406886574077</v>
      </c>
      <c r="I1291" s="10">
        <v>45688.406944444447</v>
      </c>
      <c r="J1291" s="10">
        <v>45688.407650462963</v>
      </c>
      <c r="K1291" s="11">
        <v>7.0601851851851847E-4</v>
      </c>
      <c r="L1291" s="13"/>
    </row>
    <row r="1292" spans="1:12" x14ac:dyDescent="0.25">
      <c r="A1292" s="3" t="s">
        <v>3223</v>
      </c>
      <c r="B1292" s="3" t="s">
        <v>4548</v>
      </c>
      <c r="C1292" s="3" t="s">
        <v>2980</v>
      </c>
      <c r="D1292" s="9">
        <v>291.7</v>
      </c>
      <c r="E1292" s="3" t="s">
        <v>3203</v>
      </c>
      <c r="F1292" s="3" t="s">
        <v>3224</v>
      </c>
      <c r="G1292" s="9">
        <v>223.61</v>
      </c>
      <c r="H1292" s="10">
        <v>45688.457662037043</v>
      </c>
      <c r="I1292" s="10">
        <v>45688.457662037043</v>
      </c>
      <c r="J1292" s="10">
        <v>45688.458796296298</v>
      </c>
      <c r="K1292" s="11">
        <v>1.1342592592592589E-3</v>
      </c>
      <c r="L1292" s="13"/>
    </row>
    <row r="1293" spans="1:12" x14ac:dyDescent="0.25">
      <c r="A1293" s="3" t="s">
        <v>3223</v>
      </c>
      <c r="B1293" s="3" t="s">
        <v>4549</v>
      </c>
      <c r="C1293" s="3" t="s">
        <v>3028</v>
      </c>
      <c r="D1293" s="9">
        <v>148.1</v>
      </c>
      <c r="E1293" s="3" t="s">
        <v>3194</v>
      </c>
      <c r="F1293" s="3" t="s">
        <v>3224</v>
      </c>
      <c r="G1293" s="9">
        <v>259.31</v>
      </c>
      <c r="H1293" s="10">
        <v>45688.484467592592</v>
      </c>
      <c r="I1293" s="10">
        <v>45688.484467592592</v>
      </c>
      <c r="J1293" s="10">
        <v>45688.485358796293</v>
      </c>
      <c r="K1293" s="11">
        <v>8.9120370370370373E-4</v>
      </c>
      <c r="L1293" s="13"/>
    </row>
    <row r="1294" spans="1:12" x14ac:dyDescent="0.25">
      <c r="A1294" s="3" t="s">
        <v>3223</v>
      </c>
      <c r="B1294" s="3" t="s">
        <v>4550</v>
      </c>
      <c r="C1294" s="3" t="s">
        <v>2931</v>
      </c>
      <c r="D1294" s="9">
        <v>141.69999999999999</v>
      </c>
      <c r="E1294" s="3" t="s">
        <v>3195</v>
      </c>
      <c r="F1294" s="3" t="s">
        <v>3224</v>
      </c>
      <c r="G1294" s="9">
        <v>286.14</v>
      </c>
      <c r="H1294" s="10">
        <v>45688.554756944453</v>
      </c>
      <c r="I1294" s="10">
        <v>45688.554756944453</v>
      </c>
      <c r="J1294" s="10">
        <v>45688.55568287037</v>
      </c>
      <c r="K1294" s="11">
        <v>9.2592592592592596E-4</v>
      </c>
      <c r="L1294" s="13"/>
    </row>
    <row r="1295" spans="1:12" x14ac:dyDescent="0.25">
      <c r="A1295" s="3" t="s">
        <v>3223</v>
      </c>
      <c r="B1295" s="3" t="s">
        <v>4551</v>
      </c>
      <c r="C1295" s="3" t="s">
        <v>3056</v>
      </c>
      <c r="D1295" s="9">
        <v>182.4</v>
      </c>
      <c r="E1295" s="3" t="s">
        <v>3203</v>
      </c>
      <c r="F1295" s="3" t="s">
        <v>3224</v>
      </c>
      <c r="G1295" s="9">
        <v>223.61</v>
      </c>
      <c r="H1295" s="10">
        <v>45688.633645833332</v>
      </c>
      <c r="I1295" s="10">
        <v>45688.633645833332</v>
      </c>
      <c r="J1295" s="10">
        <v>45688.63453703704</v>
      </c>
      <c r="K1295" s="11">
        <v>8.9120370370370373E-4</v>
      </c>
      <c r="L1295" s="13"/>
    </row>
    <row r="1296" spans="1:12" x14ac:dyDescent="0.25">
      <c r="A1296" s="3" t="s">
        <v>3223</v>
      </c>
      <c r="B1296" s="3" t="s">
        <v>4552</v>
      </c>
      <c r="C1296" s="3" t="s">
        <v>3079</v>
      </c>
      <c r="D1296" s="9">
        <v>297</v>
      </c>
      <c r="E1296" s="3" t="s">
        <v>3193</v>
      </c>
      <c r="F1296" s="3" t="s">
        <v>3224</v>
      </c>
      <c r="G1296" s="9">
        <v>205.9</v>
      </c>
      <c r="H1296" s="10">
        <v>45688.708240740743</v>
      </c>
      <c r="I1296" s="10">
        <v>45688.708240740743</v>
      </c>
      <c r="J1296" s="10">
        <v>45688.709363425929</v>
      </c>
      <c r="K1296" s="11">
        <v>1.1226851851851849E-3</v>
      </c>
      <c r="L1296" s="13"/>
    </row>
    <row r="1297" spans="1:12" x14ac:dyDescent="0.25">
      <c r="A1297" s="3" t="s">
        <v>3223</v>
      </c>
      <c r="B1297" s="3" t="s">
        <v>4553</v>
      </c>
      <c r="C1297" s="3" t="s">
        <v>3082</v>
      </c>
      <c r="D1297" s="9">
        <v>182.6</v>
      </c>
      <c r="E1297" s="3" t="s">
        <v>3199</v>
      </c>
      <c r="F1297" s="3" t="s">
        <v>3224</v>
      </c>
      <c r="G1297" s="9">
        <v>188.33</v>
      </c>
      <c r="H1297" s="10">
        <v>45688.716724537036</v>
      </c>
      <c r="I1297" s="10">
        <v>45688.716724537036</v>
      </c>
      <c r="J1297" s="10">
        <v>45688.717546296299</v>
      </c>
      <c r="K1297" s="11">
        <v>8.2175925925925927E-4</v>
      </c>
      <c r="L1297" s="13"/>
    </row>
    <row r="1298" spans="1:12" x14ac:dyDescent="0.25">
      <c r="A1298" s="3" t="s">
        <v>3223</v>
      </c>
      <c r="B1298" s="3" t="s">
        <v>4554</v>
      </c>
      <c r="C1298" s="3" t="s">
        <v>3053</v>
      </c>
      <c r="D1298" s="9">
        <v>389.1</v>
      </c>
      <c r="E1298" s="3" t="s">
        <v>3199</v>
      </c>
      <c r="F1298" s="3" t="s">
        <v>3224</v>
      </c>
      <c r="G1298" s="9">
        <v>188.33</v>
      </c>
      <c r="H1298" s="10">
        <v>45688.723391203697</v>
      </c>
      <c r="I1298" s="10">
        <v>45688.723391203697</v>
      </c>
      <c r="J1298" s="10">
        <v>45688.724687499998</v>
      </c>
      <c r="K1298" s="11">
        <v>1.296296296296296E-3</v>
      </c>
      <c r="L1298" s="13"/>
    </row>
    <row r="1299" spans="1:12" x14ac:dyDescent="0.25">
      <c r="A1299" s="3" t="s">
        <v>3223</v>
      </c>
      <c r="B1299" s="3" t="s">
        <v>4555</v>
      </c>
      <c r="C1299" s="3" t="s">
        <v>2983</v>
      </c>
      <c r="D1299" s="9">
        <v>119</v>
      </c>
      <c r="E1299" s="3" t="s">
        <v>3196</v>
      </c>
      <c r="F1299" s="3" t="s">
        <v>3224</v>
      </c>
      <c r="G1299" s="9">
        <v>182.11</v>
      </c>
      <c r="H1299" s="10">
        <v>45688.771377314813</v>
      </c>
      <c r="I1299" s="10">
        <v>45688.771377314813</v>
      </c>
      <c r="J1299" s="10">
        <v>45688.77202546296</v>
      </c>
      <c r="K1299" s="11">
        <v>6.4814814814814813E-4</v>
      </c>
      <c r="L1299" s="13"/>
    </row>
    <row r="1300" spans="1:12" x14ac:dyDescent="0.25">
      <c r="A1300" s="3" t="s">
        <v>3223</v>
      </c>
      <c r="B1300" s="3" t="s">
        <v>4556</v>
      </c>
      <c r="C1300" s="3" t="s">
        <v>3068</v>
      </c>
      <c r="D1300" s="9">
        <v>224.4</v>
      </c>
      <c r="E1300" s="3" t="s">
        <v>3200</v>
      </c>
      <c r="F1300" s="3" t="s">
        <v>3224</v>
      </c>
      <c r="G1300" s="9">
        <v>245</v>
      </c>
      <c r="H1300" s="10">
        <v>45688.780856481477</v>
      </c>
      <c r="I1300" s="10">
        <v>45688.780856481477</v>
      </c>
      <c r="J1300" s="10">
        <v>45688.781886574077</v>
      </c>
      <c r="K1300" s="11">
        <v>1.0300925925925931E-3</v>
      </c>
      <c r="L1300" s="13"/>
    </row>
    <row r="1301" spans="1:12" x14ac:dyDescent="0.25">
      <c r="A1301" s="3" t="s">
        <v>3223</v>
      </c>
      <c r="B1301" s="3" t="s">
        <v>4557</v>
      </c>
      <c r="C1301" s="3" t="s">
        <v>2908</v>
      </c>
      <c r="D1301" s="9">
        <v>115.7</v>
      </c>
      <c r="E1301" s="3" t="s">
        <v>3197</v>
      </c>
      <c r="F1301" s="3" t="s">
        <v>3224</v>
      </c>
      <c r="G1301" s="9">
        <v>262.93</v>
      </c>
      <c r="H1301" s="10">
        <v>45688.884293981479</v>
      </c>
      <c r="I1301" s="10">
        <v>45688.884293981479</v>
      </c>
      <c r="J1301" s="10">
        <v>45688.885115740741</v>
      </c>
      <c r="K1301" s="11">
        <v>8.2175925925925927E-4</v>
      </c>
      <c r="L1301" s="13"/>
    </row>
    <row r="1302" spans="1:12" x14ac:dyDescent="0.25">
      <c r="A1302" s="3" t="s">
        <v>4558</v>
      </c>
      <c r="B1302" s="3" t="s">
        <v>4559</v>
      </c>
      <c r="C1302" s="3" t="s">
        <v>138</v>
      </c>
      <c r="D1302" s="9">
        <v>227</v>
      </c>
      <c r="E1302" s="3"/>
      <c r="F1302" s="3"/>
      <c r="G1302" s="9"/>
      <c r="H1302" s="10">
        <v>45659.113043981481</v>
      </c>
      <c r="I1302" s="10">
        <v>45659.11582175926</v>
      </c>
      <c r="J1302" s="10">
        <v>45659.120138888888</v>
      </c>
      <c r="K1302" s="11">
        <v>4.31712962962963E-3</v>
      </c>
      <c r="L1302" s="13">
        <v>3</v>
      </c>
    </row>
    <row r="1303" spans="1:12" x14ac:dyDescent="0.25">
      <c r="A1303" s="3" t="s">
        <v>4558</v>
      </c>
      <c r="B1303" s="3" t="s">
        <v>4560</v>
      </c>
      <c r="C1303" s="3" t="s">
        <v>140</v>
      </c>
      <c r="D1303" s="9">
        <v>182.7</v>
      </c>
      <c r="E1303" s="3"/>
      <c r="F1303" s="3"/>
      <c r="G1303" s="9"/>
      <c r="H1303" s="10">
        <v>45659.271226851852</v>
      </c>
      <c r="I1303" s="10">
        <v>45659.274004629631</v>
      </c>
      <c r="J1303" s="10">
        <v>45659.275405092587</v>
      </c>
      <c r="K1303" s="11">
        <v>1.4004629629629629E-3</v>
      </c>
      <c r="L1303" s="13">
        <v>0</v>
      </c>
    </row>
    <row r="1304" spans="1:12" x14ac:dyDescent="0.25">
      <c r="A1304" s="3" t="s">
        <v>4558</v>
      </c>
      <c r="B1304" s="3" t="s">
        <v>4561</v>
      </c>
      <c r="C1304" s="3" t="s">
        <v>141</v>
      </c>
      <c r="D1304" s="9">
        <v>578.20000000000005</v>
      </c>
      <c r="E1304" s="3"/>
      <c r="F1304" s="3"/>
      <c r="G1304" s="9"/>
      <c r="H1304" s="10">
        <v>45659.300416666672</v>
      </c>
      <c r="I1304" s="10">
        <v>45659.303194444437</v>
      </c>
      <c r="J1304" s="10">
        <v>45659.318206018521</v>
      </c>
      <c r="K1304" s="11">
        <v>1.501157407407407E-2</v>
      </c>
      <c r="L1304" s="13">
        <v>11</v>
      </c>
    </row>
    <row r="1305" spans="1:12" x14ac:dyDescent="0.25">
      <c r="A1305" s="3" t="s">
        <v>4558</v>
      </c>
      <c r="B1305" s="3" t="s">
        <v>4562</v>
      </c>
      <c r="C1305" s="3" t="s">
        <v>143</v>
      </c>
      <c r="D1305" s="9">
        <v>189</v>
      </c>
      <c r="E1305" s="3"/>
      <c r="F1305" s="3"/>
      <c r="G1305" s="9"/>
      <c r="H1305" s="10">
        <v>45659.308865740742</v>
      </c>
      <c r="I1305" s="10">
        <v>45659.311643518522</v>
      </c>
      <c r="J1305" s="10">
        <v>45659.313090277778</v>
      </c>
      <c r="K1305" s="11">
        <v>1.446759259259259E-3</v>
      </c>
      <c r="L1305" s="13">
        <v>0</v>
      </c>
    </row>
    <row r="1306" spans="1:12" x14ac:dyDescent="0.25">
      <c r="A1306" s="3" t="s">
        <v>4558</v>
      </c>
      <c r="B1306" s="3" t="s">
        <v>4563</v>
      </c>
      <c r="C1306" s="3" t="s">
        <v>144</v>
      </c>
      <c r="D1306" s="9">
        <v>396.6</v>
      </c>
      <c r="E1306" s="3"/>
      <c r="F1306" s="3"/>
      <c r="G1306" s="9"/>
      <c r="H1306" s="10">
        <v>45659.336354166669</v>
      </c>
      <c r="I1306" s="10">
        <v>45659.339131944442</v>
      </c>
      <c r="J1306" s="10">
        <v>45659.342326388891</v>
      </c>
      <c r="K1306" s="11">
        <v>3.1944444444444451E-3</v>
      </c>
      <c r="L1306" s="13">
        <v>0</v>
      </c>
    </row>
    <row r="1307" spans="1:12" x14ac:dyDescent="0.25">
      <c r="A1307" s="3" t="s">
        <v>4558</v>
      </c>
      <c r="B1307" s="3" t="s">
        <v>4564</v>
      </c>
      <c r="C1307" s="3" t="s">
        <v>145</v>
      </c>
      <c r="D1307" s="9">
        <v>440.3</v>
      </c>
      <c r="E1307" s="3"/>
      <c r="F1307" s="3"/>
      <c r="G1307" s="9"/>
      <c r="H1307" s="10">
        <v>45659.369652777779</v>
      </c>
      <c r="I1307" s="10">
        <v>45659.372430555559</v>
      </c>
      <c r="J1307" s="10">
        <v>45659.386145833327</v>
      </c>
      <c r="K1307" s="11">
        <v>1.3715277777777779E-2</v>
      </c>
      <c r="L1307" s="13">
        <v>9</v>
      </c>
    </row>
    <row r="1308" spans="1:12" x14ac:dyDescent="0.25">
      <c r="A1308" s="3" t="s">
        <v>4558</v>
      </c>
      <c r="B1308" s="3" t="s">
        <v>4565</v>
      </c>
      <c r="C1308" s="3" t="s">
        <v>146</v>
      </c>
      <c r="D1308" s="9">
        <v>212.7</v>
      </c>
      <c r="E1308" s="3"/>
      <c r="F1308" s="3"/>
      <c r="G1308" s="9"/>
      <c r="H1308" s="10">
        <v>45659.376759259263</v>
      </c>
      <c r="I1308" s="10">
        <v>45659.379537037043</v>
      </c>
      <c r="J1308" s="10">
        <v>45659.382025462961</v>
      </c>
      <c r="K1308" s="11">
        <v>2.488425925925926E-3</v>
      </c>
      <c r="L1308" s="13">
        <v>1</v>
      </c>
    </row>
    <row r="1309" spans="1:12" x14ac:dyDescent="0.25">
      <c r="A1309" s="3" t="s">
        <v>4558</v>
      </c>
      <c r="B1309" s="3" t="s">
        <v>4566</v>
      </c>
      <c r="C1309" s="3" t="s">
        <v>147</v>
      </c>
      <c r="D1309" s="9">
        <v>387.1</v>
      </c>
      <c r="E1309" s="3"/>
      <c r="F1309" s="3"/>
      <c r="G1309" s="9"/>
      <c r="H1309" s="10">
        <v>45659.439328703702</v>
      </c>
      <c r="I1309" s="10">
        <v>45659.442106481481</v>
      </c>
      <c r="J1309" s="10">
        <v>45659.447187500002</v>
      </c>
      <c r="K1309" s="11">
        <v>5.0810185185185194E-3</v>
      </c>
      <c r="L1309" s="13">
        <v>2</v>
      </c>
    </row>
    <row r="1310" spans="1:12" x14ac:dyDescent="0.25">
      <c r="A1310" s="3" t="s">
        <v>4558</v>
      </c>
      <c r="B1310" s="3" t="s">
        <v>4567</v>
      </c>
      <c r="C1310" s="3" t="s">
        <v>148</v>
      </c>
      <c r="D1310" s="9">
        <v>287.10000000000002</v>
      </c>
      <c r="E1310" s="3"/>
      <c r="F1310" s="3"/>
      <c r="G1310" s="9"/>
      <c r="H1310" s="10">
        <v>45659.609432870369</v>
      </c>
      <c r="I1310" s="10">
        <v>45659.612210648149</v>
      </c>
      <c r="J1310" s="10">
        <v>45659.614560185182</v>
      </c>
      <c r="K1310" s="11">
        <v>2.3495370370370371E-3</v>
      </c>
      <c r="L1310" s="13">
        <v>0</v>
      </c>
    </row>
    <row r="1311" spans="1:12" x14ac:dyDescent="0.25">
      <c r="A1311" s="3" t="s">
        <v>4558</v>
      </c>
      <c r="B1311" s="3" t="s">
        <v>4568</v>
      </c>
      <c r="C1311" s="3" t="s">
        <v>149</v>
      </c>
      <c r="D1311" s="9">
        <v>571.9</v>
      </c>
      <c r="E1311" s="3"/>
      <c r="F1311" s="3"/>
      <c r="G1311" s="9"/>
      <c r="H1311" s="10">
        <v>45659.627152777779</v>
      </c>
      <c r="I1311" s="10">
        <v>45659.629930555559</v>
      </c>
      <c r="J1311" s="10">
        <v>45659.641655092593</v>
      </c>
      <c r="K1311" s="11">
        <v>1.172453703703704E-2</v>
      </c>
      <c r="L1311" s="13">
        <v>7</v>
      </c>
    </row>
    <row r="1312" spans="1:12" x14ac:dyDescent="0.25">
      <c r="A1312" s="3" t="s">
        <v>4558</v>
      </c>
      <c r="B1312" s="3" t="s">
        <v>4569</v>
      </c>
      <c r="C1312" s="3" t="s">
        <v>150</v>
      </c>
      <c r="D1312" s="9">
        <v>267.60000000000002</v>
      </c>
      <c r="E1312" s="3"/>
      <c r="F1312" s="3"/>
      <c r="G1312" s="9"/>
      <c r="H1312" s="10">
        <v>45659.628634259258</v>
      </c>
      <c r="I1312" s="10">
        <v>45659.631412037037</v>
      </c>
      <c r="J1312" s="10">
        <v>45659.633611111109</v>
      </c>
      <c r="K1312" s="11">
        <v>2.1990740740740742E-3</v>
      </c>
      <c r="L1312" s="13">
        <v>0</v>
      </c>
    </row>
    <row r="1313" spans="1:12" x14ac:dyDescent="0.25">
      <c r="A1313" s="3" t="s">
        <v>4558</v>
      </c>
      <c r="B1313" s="3" t="s">
        <v>4570</v>
      </c>
      <c r="C1313" s="3" t="s">
        <v>151</v>
      </c>
      <c r="D1313" s="9">
        <v>581</v>
      </c>
      <c r="E1313" s="3"/>
      <c r="F1313" s="3"/>
      <c r="G1313" s="9"/>
      <c r="H1313" s="10">
        <v>45659.739710648151</v>
      </c>
      <c r="I1313" s="10">
        <v>45659.742488425924</v>
      </c>
      <c r="J1313" s="10">
        <v>45659.758472222216</v>
      </c>
      <c r="K1313" s="11">
        <v>1.5983796296296301E-2</v>
      </c>
      <c r="L1313" s="13">
        <v>10</v>
      </c>
    </row>
    <row r="1314" spans="1:12" x14ac:dyDescent="0.25">
      <c r="A1314" s="3" t="s">
        <v>4558</v>
      </c>
      <c r="B1314" s="3" t="s">
        <v>4571</v>
      </c>
      <c r="C1314" s="3" t="s">
        <v>152</v>
      </c>
      <c r="D1314" s="9">
        <v>350.4</v>
      </c>
      <c r="E1314" s="3"/>
      <c r="F1314" s="3"/>
      <c r="G1314" s="9"/>
      <c r="H1314" s="10">
        <v>45659.840856481482</v>
      </c>
      <c r="I1314" s="10">
        <v>45659.843634259261</v>
      </c>
      <c r="J1314" s="10">
        <v>45659.856759259259</v>
      </c>
      <c r="K1314" s="11">
        <v>1.3125E-2</v>
      </c>
      <c r="L1314" s="13">
        <v>10</v>
      </c>
    </row>
    <row r="1315" spans="1:12" x14ac:dyDescent="0.25">
      <c r="A1315" s="3" t="s">
        <v>4558</v>
      </c>
      <c r="B1315" s="3" t="s">
        <v>4572</v>
      </c>
      <c r="C1315" s="3" t="s">
        <v>153</v>
      </c>
      <c r="D1315" s="9">
        <v>140.4</v>
      </c>
      <c r="E1315" s="3"/>
      <c r="F1315" s="3"/>
      <c r="G1315" s="9"/>
      <c r="H1315" s="10">
        <v>45660.112523148149</v>
      </c>
      <c r="I1315" s="10">
        <v>45660.115300925929</v>
      </c>
      <c r="J1315" s="10">
        <v>45660.119409722232</v>
      </c>
      <c r="K1315" s="11">
        <v>4.1087962962962962E-3</v>
      </c>
      <c r="L1315" s="13">
        <v>3</v>
      </c>
    </row>
    <row r="1316" spans="1:12" x14ac:dyDescent="0.25">
      <c r="A1316" s="3" t="s">
        <v>4558</v>
      </c>
      <c r="B1316" s="3" t="s">
        <v>4573</v>
      </c>
      <c r="C1316" s="3" t="s">
        <v>154</v>
      </c>
      <c r="D1316" s="9">
        <v>497</v>
      </c>
      <c r="E1316" s="3"/>
      <c r="F1316" s="3"/>
      <c r="G1316" s="9"/>
      <c r="H1316" s="10">
        <v>45660.192939814813</v>
      </c>
      <c r="I1316" s="10">
        <v>45660.195717592593</v>
      </c>
      <c r="J1316" s="10">
        <v>45660.199560185189</v>
      </c>
      <c r="K1316" s="11">
        <v>3.8425925925925932E-3</v>
      </c>
      <c r="L1316" s="13">
        <v>0</v>
      </c>
    </row>
    <row r="1317" spans="1:12" x14ac:dyDescent="0.25">
      <c r="A1317" s="3" t="s">
        <v>4558</v>
      </c>
      <c r="B1317" s="3" t="s">
        <v>4574</v>
      </c>
      <c r="C1317" s="3" t="s">
        <v>155</v>
      </c>
      <c r="D1317" s="9">
        <v>412</v>
      </c>
      <c r="E1317" s="3"/>
      <c r="F1317" s="3"/>
      <c r="G1317" s="9"/>
      <c r="H1317" s="10">
        <v>45660.234120370369</v>
      </c>
      <c r="I1317" s="10">
        <v>45660.236898148149</v>
      </c>
      <c r="J1317" s="10">
        <v>45660.250173611108</v>
      </c>
      <c r="K1317" s="11">
        <v>1.3275462962962959E-2</v>
      </c>
      <c r="L1317" s="13">
        <v>10</v>
      </c>
    </row>
    <row r="1318" spans="1:12" x14ac:dyDescent="0.25">
      <c r="A1318" s="3" t="s">
        <v>4558</v>
      </c>
      <c r="B1318" s="3" t="s">
        <v>4575</v>
      </c>
      <c r="C1318" s="3" t="s">
        <v>156</v>
      </c>
      <c r="D1318" s="9">
        <v>297</v>
      </c>
      <c r="E1318" s="3"/>
      <c r="F1318" s="3"/>
      <c r="G1318" s="9"/>
      <c r="H1318" s="10">
        <v>45660.274178240739</v>
      </c>
      <c r="I1318" s="10">
        <v>45660.276956018519</v>
      </c>
      <c r="J1318" s="10">
        <v>45660.27925925926</v>
      </c>
      <c r="K1318" s="11">
        <v>2.3032407407407411E-3</v>
      </c>
      <c r="L1318" s="13">
        <v>0</v>
      </c>
    </row>
    <row r="1319" spans="1:12" x14ac:dyDescent="0.25">
      <c r="A1319" s="3" t="s">
        <v>4558</v>
      </c>
      <c r="B1319" s="3" t="s">
        <v>4576</v>
      </c>
      <c r="C1319" s="3" t="s">
        <v>157</v>
      </c>
      <c r="D1319" s="9">
        <v>306.7</v>
      </c>
      <c r="E1319" s="3"/>
      <c r="F1319" s="3"/>
      <c r="G1319" s="9"/>
      <c r="H1319" s="10">
        <v>45660.304224537038</v>
      </c>
      <c r="I1319" s="10">
        <v>45660.307002314818</v>
      </c>
      <c r="J1319" s="10">
        <v>45660.315428240741</v>
      </c>
      <c r="K1319" s="11">
        <v>8.4259259259259253E-3</v>
      </c>
      <c r="L1319" s="13">
        <v>6</v>
      </c>
    </row>
    <row r="1320" spans="1:12" x14ac:dyDescent="0.25">
      <c r="A1320" s="3" t="s">
        <v>4558</v>
      </c>
      <c r="B1320" s="3" t="s">
        <v>4577</v>
      </c>
      <c r="C1320" s="3" t="s">
        <v>158</v>
      </c>
      <c r="D1320" s="9">
        <v>256.89999999999998</v>
      </c>
      <c r="E1320" s="3"/>
      <c r="F1320" s="3"/>
      <c r="G1320" s="9"/>
      <c r="H1320" s="10">
        <v>45660.311944444453</v>
      </c>
      <c r="I1320" s="10">
        <v>45660.314722222232</v>
      </c>
      <c r="J1320" s="10">
        <v>45660.316712962973</v>
      </c>
      <c r="K1320" s="11">
        <v>1.9907407407407408E-3</v>
      </c>
      <c r="L1320" s="13">
        <v>0</v>
      </c>
    </row>
    <row r="1321" spans="1:12" x14ac:dyDescent="0.25">
      <c r="A1321" s="3" t="s">
        <v>4558</v>
      </c>
      <c r="B1321" s="3" t="s">
        <v>4578</v>
      </c>
      <c r="C1321" s="3" t="s">
        <v>159</v>
      </c>
      <c r="D1321" s="9">
        <v>396.6</v>
      </c>
      <c r="E1321" s="3"/>
      <c r="F1321" s="3"/>
      <c r="G1321" s="9"/>
      <c r="H1321" s="10">
        <v>45660.333969907413</v>
      </c>
      <c r="I1321" s="10">
        <v>45660.336747685193</v>
      </c>
      <c r="J1321" s="10">
        <v>45660.340196759258</v>
      </c>
      <c r="K1321" s="11">
        <v>3.449074074074074E-3</v>
      </c>
      <c r="L1321" s="13">
        <v>0</v>
      </c>
    </row>
    <row r="1322" spans="1:12" x14ac:dyDescent="0.25">
      <c r="A1322" s="3" t="s">
        <v>4558</v>
      </c>
      <c r="B1322" s="3" t="s">
        <v>4579</v>
      </c>
      <c r="C1322" s="3" t="s">
        <v>160</v>
      </c>
      <c r="D1322" s="9">
        <v>279.10000000000002</v>
      </c>
      <c r="E1322" s="3"/>
      <c r="F1322" s="3"/>
      <c r="G1322" s="9"/>
      <c r="H1322" s="10">
        <v>45660.367442129631</v>
      </c>
      <c r="I1322" s="10">
        <v>45660.370219907411</v>
      </c>
      <c r="J1322" s="10">
        <v>45660.373240740737</v>
      </c>
      <c r="K1322" s="11">
        <v>3.0208333333333328E-3</v>
      </c>
      <c r="L1322" s="13">
        <v>1</v>
      </c>
    </row>
    <row r="1323" spans="1:12" x14ac:dyDescent="0.25">
      <c r="A1323" s="3" t="s">
        <v>4558</v>
      </c>
      <c r="B1323" s="3" t="s">
        <v>4580</v>
      </c>
      <c r="C1323" s="3" t="s">
        <v>161</v>
      </c>
      <c r="D1323" s="9">
        <v>433.7</v>
      </c>
      <c r="E1323" s="3"/>
      <c r="F1323" s="3"/>
      <c r="G1323" s="9"/>
      <c r="H1323" s="10">
        <v>45660.439895833333</v>
      </c>
      <c r="I1323" s="10">
        <v>45660.442673611113</v>
      </c>
      <c r="J1323" s="10">
        <v>45660.448750000003</v>
      </c>
      <c r="K1323" s="11">
        <v>6.076388888888889E-3</v>
      </c>
      <c r="L1323" s="13">
        <v>2</v>
      </c>
    </row>
    <row r="1324" spans="1:12" x14ac:dyDescent="0.25">
      <c r="A1324" s="3" t="s">
        <v>4558</v>
      </c>
      <c r="B1324" s="3" t="s">
        <v>4581</v>
      </c>
      <c r="C1324" s="3" t="s">
        <v>162</v>
      </c>
      <c r="D1324" s="9">
        <v>278</v>
      </c>
      <c r="E1324" s="3"/>
      <c r="F1324" s="3"/>
      <c r="G1324" s="9"/>
      <c r="H1324" s="10">
        <v>45660.543206018519</v>
      </c>
      <c r="I1324" s="10">
        <v>45660.545983796299</v>
      </c>
      <c r="J1324" s="10">
        <v>45660.548020833332</v>
      </c>
      <c r="K1324" s="11">
        <v>2.0370370370370369E-3</v>
      </c>
      <c r="L1324" s="13">
        <v>0</v>
      </c>
    </row>
    <row r="1325" spans="1:12" x14ac:dyDescent="0.25">
      <c r="A1325" s="3" t="s">
        <v>4558</v>
      </c>
      <c r="B1325" s="3" t="s">
        <v>4582</v>
      </c>
      <c r="C1325" s="3" t="s">
        <v>163</v>
      </c>
      <c r="D1325" s="9">
        <v>63</v>
      </c>
      <c r="E1325" s="3"/>
      <c r="F1325" s="3"/>
      <c r="G1325" s="9"/>
      <c r="H1325" s="10">
        <v>45660.597997685189</v>
      </c>
      <c r="I1325" s="10">
        <v>45660.600775462961</v>
      </c>
      <c r="J1325" s="10">
        <v>45660.601319444453</v>
      </c>
      <c r="K1325" s="11">
        <v>5.4398148148148144E-4</v>
      </c>
      <c r="L1325" s="13">
        <v>0</v>
      </c>
    </row>
    <row r="1326" spans="1:12" x14ac:dyDescent="0.25">
      <c r="A1326" s="3" t="s">
        <v>4558</v>
      </c>
      <c r="B1326" s="3" t="s">
        <v>4583</v>
      </c>
      <c r="C1326" s="3" t="s">
        <v>165</v>
      </c>
      <c r="D1326" s="9">
        <v>399.8</v>
      </c>
      <c r="E1326" s="3"/>
      <c r="F1326" s="3"/>
      <c r="G1326" s="9"/>
      <c r="H1326" s="10">
        <v>45660.63003472222</v>
      </c>
      <c r="I1326" s="10">
        <v>45660.6328125</v>
      </c>
      <c r="J1326" s="10">
        <v>45660.645474537043</v>
      </c>
      <c r="K1326" s="11">
        <v>1.2662037037037039E-2</v>
      </c>
      <c r="L1326" s="13">
        <v>10</v>
      </c>
    </row>
    <row r="1327" spans="1:12" x14ac:dyDescent="0.25">
      <c r="A1327" s="3" t="s">
        <v>4558</v>
      </c>
      <c r="B1327" s="3" t="s">
        <v>4584</v>
      </c>
      <c r="C1327" s="3" t="s">
        <v>166</v>
      </c>
      <c r="D1327" s="9">
        <v>63</v>
      </c>
      <c r="E1327" s="3"/>
      <c r="F1327" s="3"/>
      <c r="G1327" s="9"/>
      <c r="H1327" s="10">
        <v>45660.650358796287</v>
      </c>
      <c r="I1327" s="10">
        <v>45660.653136574067</v>
      </c>
      <c r="J1327" s="10">
        <v>45660.653599537043</v>
      </c>
      <c r="K1327" s="11">
        <v>4.6296296296296298E-4</v>
      </c>
      <c r="L1327" s="13">
        <v>0</v>
      </c>
    </row>
    <row r="1328" spans="1:12" x14ac:dyDescent="0.25">
      <c r="A1328" s="3" t="s">
        <v>4558</v>
      </c>
      <c r="B1328" s="3" t="s">
        <v>4585</v>
      </c>
      <c r="C1328" s="3" t="s">
        <v>167</v>
      </c>
      <c r="D1328" s="9">
        <v>278.89999999999998</v>
      </c>
      <c r="E1328" s="3"/>
      <c r="F1328" s="3"/>
      <c r="G1328" s="9"/>
      <c r="H1328" s="10">
        <v>45660.718414351853</v>
      </c>
      <c r="I1328" s="10">
        <v>45660.721192129633</v>
      </c>
      <c r="J1328" s="10">
        <v>45660.723622685182</v>
      </c>
      <c r="K1328" s="11">
        <v>2.430555555555556E-3</v>
      </c>
      <c r="L1328" s="13">
        <v>0</v>
      </c>
    </row>
    <row r="1329" spans="1:12" x14ac:dyDescent="0.25">
      <c r="A1329" s="3" t="s">
        <v>4558</v>
      </c>
      <c r="B1329" s="3" t="s">
        <v>4586</v>
      </c>
      <c r="C1329" s="3" t="s">
        <v>168</v>
      </c>
      <c r="D1329" s="9">
        <v>595.9</v>
      </c>
      <c r="E1329" s="3"/>
      <c r="F1329" s="3"/>
      <c r="G1329" s="9"/>
      <c r="H1329" s="10">
        <v>45660.835497685177</v>
      </c>
      <c r="I1329" s="10">
        <v>45660.838275462957</v>
      </c>
      <c r="J1329" s="10">
        <v>45660.849456018521</v>
      </c>
      <c r="K1329" s="11">
        <v>1.1180555555555549E-2</v>
      </c>
      <c r="L1329" s="13">
        <v>7</v>
      </c>
    </row>
    <row r="1330" spans="1:12" x14ac:dyDescent="0.25">
      <c r="A1330" s="3" t="s">
        <v>4558</v>
      </c>
      <c r="B1330" s="3" t="s">
        <v>4587</v>
      </c>
      <c r="C1330" s="3" t="s">
        <v>170</v>
      </c>
      <c r="D1330" s="9">
        <v>541.1</v>
      </c>
      <c r="E1330" s="3"/>
      <c r="F1330" s="3"/>
      <c r="G1330" s="9"/>
      <c r="H1330" s="10">
        <v>45660.873506944437</v>
      </c>
      <c r="I1330" s="10">
        <v>45660.876284722217</v>
      </c>
      <c r="J1330" s="10">
        <v>45660.893009259264</v>
      </c>
      <c r="K1330" s="11">
        <v>1.6724537037037041E-2</v>
      </c>
      <c r="L1330" s="13">
        <v>11</v>
      </c>
    </row>
    <row r="1331" spans="1:12" x14ac:dyDescent="0.25">
      <c r="A1331" s="3" t="s">
        <v>4558</v>
      </c>
      <c r="B1331" s="3" t="s">
        <v>4588</v>
      </c>
      <c r="C1331" s="3" t="s">
        <v>171</v>
      </c>
      <c r="D1331" s="9">
        <v>295</v>
      </c>
      <c r="E1331" s="3"/>
      <c r="F1331" s="3"/>
      <c r="G1331" s="9"/>
      <c r="H1331" s="10">
        <v>45661.23746527778</v>
      </c>
      <c r="I1331" s="10">
        <v>45661.240243055552</v>
      </c>
      <c r="J1331" s="10">
        <v>45661.244513888887</v>
      </c>
      <c r="K1331" s="11">
        <v>4.2708333333333331E-3</v>
      </c>
      <c r="L1331" s="13">
        <v>2</v>
      </c>
    </row>
    <row r="1332" spans="1:12" x14ac:dyDescent="0.25">
      <c r="A1332" s="3" t="s">
        <v>4558</v>
      </c>
      <c r="B1332" s="3" t="s">
        <v>4589</v>
      </c>
      <c r="C1332" s="3" t="s">
        <v>172</v>
      </c>
      <c r="D1332" s="9">
        <v>535.29999999999995</v>
      </c>
      <c r="E1332" s="3"/>
      <c r="F1332" s="3"/>
      <c r="G1332" s="9"/>
      <c r="H1332" s="10">
        <v>45662.732974537037</v>
      </c>
      <c r="I1332" s="10">
        <v>45662.735752314817</v>
      </c>
      <c r="J1332" s="10">
        <v>45662.742430555547</v>
      </c>
      <c r="K1332" s="11">
        <v>6.6782407407407407E-3</v>
      </c>
      <c r="L1332" s="13">
        <v>2</v>
      </c>
    </row>
    <row r="1333" spans="1:12" x14ac:dyDescent="0.25">
      <c r="A1333" s="3" t="s">
        <v>4558</v>
      </c>
      <c r="B1333" s="3" t="s">
        <v>4590</v>
      </c>
      <c r="C1333" s="3" t="s">
        <v>173</v>
      </c>
      <c r="D1333" s="9">
        <v>590.79999999999995</v>
      </c>
      <c r="E1333" s="3"/>
      <c r="F1333" s="3"/>
      <c r="G1333" s="9"/>
      <c r="H1333" s="10">
        <v>45662.840231481481</v>
      </c>
      <c r="I1333" s="10">
        <v>45662.843009259261</v>
      </c>
      <c r="J1333" s="10">
        <v>45662.84952546296</v>
      </c>
      <c r="K1333" s="11">
        <v>6.5162037037037037E-3</v>
      </c>
      <c r="L1333" s="13">
        <v>2</v>
      </c>
    </row>
    <row r="1334" spans="1:12" x14ac:dyDescent="0.25">
      <c r="A1334" s="3" t="s">
        <v>4558</v>
      </c>
      <c r="B1334" s="3" t="s">
        <v>4591</v>
      </c>
      <c r="C1334" s="3" t="s">
        <v>174</v>
      </c>
      <c r="D1334" s="9">
        <v>241.4</v>
      </c>
      <c r="E1334" s="3"/>
      <c r="F1334" s="3"/>
      <c r="G1334" s="9"/>
      <c r="H1334" s="10">
        <v>45663.737546296303</v>
      </c>
      <c r="I1334" s="10">
        <v>45663.740324074082</v>
      </c>
      <c r="J1334" s="10">
        <v>45663.742326388892</v>
      </c>
      <c r="K1334" s="11">
        <v>2.0023148148148148E-3</v>
      </c>
      <c r="L1334" s="13">
        <v>0</v>
      </c>
    </row>
    <row r="1335" spans="1:12" x14ac:dyDescent="0.25">
      <c r="A1335" s="3" t="s">
        <v>4558</v>
      </c>
      <c r="B1335" s="3" t="s">
        <v>4592</v>
      </c>
      <c r="C1335" s="3" t="s">
        <v>175</v>
      </c>
      <c r="D1335" s="9">
        <v>291.2</v>
      </c>
      <c r="E1335" s="3"/>
      <c r="F1335" s="3"/>
      <c r="G1335" s="9"/>
      <c r="H1335" s="10">
        <v>45664.115347222221</v>
      </c>
      <c r="I1335" s="10">
        <v>45664.118125000001</v>
      </c>
      <c r="J1335" s="10">
        <v>45664.124374999999</v>
      </c>
      <c r="K1335" s="11">
        <v>6.2500000000000003E-3</v>
      </c>
      <c r="L1335" s="13">
        <v>4</v>
      </c>
    </row>
    <row r="1336" spans="1:12" x14ac:dyDescent="0.25">
      <c r="A1336" s="3" t="s">
        <v>4558</v>
      </c>
      <c r="B1336" s="3" t="s">
        <v>4593</v>
      </c>
      <c r="C1336" s="3" t="s">
        <v>176</v>
      </c>
      <c r="D1336" s="9">
        <v>297</v>
      </c>
      <c r="E1336" s="3"/>
      <c r="F1336" s="3"/>
      <c r="G1336" s="9"/>
      <c r="H1336" s="10">
        <v>45664.273263888892</v>
      </c>
      <c r="I1336" s="10">
        <v>45664.276041666657</v>
      </c>
      <c r="J1336" s="10">
        <v>45664.27851851852</v>
      </c>
      <c r="K1336" s="11">
        <v>2.476851851851852E-3</v>
      </c>
      <c r="L1336" s="13">
        <v>0</v>
      </c>
    </row>
    <row r="1337" spans="1:12" x14ac:dyDescent="0.25">
      <c r="A1337" s="3" t="s">
        <v>4558</v>
      </c>
      <c r="B1337" s="3" t="s">
        <v>4594</v>
      </c>
      <c r="C1337" s="3" t="s">
        <v>177</v>
      </c>
      <c r="D1337" s="9">
        <v>268.5</v>
      </c>
      <c r="E1337" s="3"/>
      <c r="F1337" s="3"/>
      <c r="G1337" s="9"/>
      <c r="H1337" s="10">
        <v>45664.304016203707</v>
      </c>
      <c r="I1337" s="10">
        <v>45664.306793981479</v>
      </c>
      <c r="J1337" s="10">
        <v>45664.314884259264</v>
      </c>
      <c r="K1337" s="11">
        <v>8.0902777777777778E-3</v>
      </c>
      <c r="L1337" s="13">
        <v>6</v>
      </c>
    </row>
    <row r="1338" spans="1:12" x14ac:dyDescent="0.25">
      <c r="A1338" s="3" t="s">
        <v>4558</v>
      </c>
      <c r="B1338" s="3" t="s">
        <v>4595</v>
      </c>
      <c r="C1338" s="3" t="s">
        <v>178</v>
      </c>
      <c r="D1338" s="9">
        <v>396.6</v>
      </c>
      <c r="E1338" s="3"/>
      <c r="F1338" s="3"/>
      <c r="G1338" s="9"/>
      <c r="H1338" s="10">
        <v>45664.308136574073</v>
      </c>
      <c r="I1338" s="10">
        <v>45664.310914351852</v>
      </c>
      <c r="J1338" s="10">
        <v>45664.314212962963</v>
      </c>
      <c r="K1338" s="11">
        <v>3.2986111111111111E-3</v>
      </c>
      <c r="L1338" s="13">
        <v>0</v>
      </c>
    </row>
    <row r="1339" spans="1:12" x14ac:dyDescent="0.25">
      <c r="A1339" s="3" t="s">
        <v>4558</v>
      </c>
      <c r="B1339" s="3" t="s">
        <v>4596</v>
      </c>
      <c r="C1339" s="3" t="s">
        <v>179</v>
      </c>
      <c r="D1339" s="9">
        <v>189.9</v>
      </c>
      <c r="E1339" s="3"/>
      <c r="F1339" s="3"/>
      <c r="G1339" s="9"/>
      <c r="H1339" s="10">
        <v>45664.310208333343</v>
      </c>
      <c r="I1339" s="10">
        <v>45664.312986111108</v>
      </c>
      <c r="J1339" s="10">
        <v>45664.314467592587</v>
      </c>
      <c r="K1339" s="11">
        <v>1.481481481481481E-3</v>
      </c>
      <c r="L1339" s="13">
        <v>0</v>
      </c>
    </row>
    <row r="1340" spans="1:12" x14ac:dyDescent="0.25">
      <c r="A1340" s="3" t="s">
        <v>4558</v>
      </c>
      <c r="B1340" s="3" t="s">
        <v>4597</v>
      </c>
      <c r="C1340" s="3" t="s">
        <v>180</v>
      </c>
      <c r="D1340" s="9">
        <v>393.9</v>
      </c>
      <c r="E1340" s="3"/>
      <c r="F1340" s="3"/>
      <c r="G1340" s="9"/>
      <c r="H1340" s="10">
        <v>45664.347129629627</v>
      </c>
      <c r="I1340" s="10">
        <v>45664.349907407413</v>
      </c>
      <c r="J1340" s="10">
        <v>45664.354479166657</v>
      </c>
      <c r="K1340" s="11">
        <v>4.5717592592592589E-3</v>
      </c>
      <c r="L1340" s="13">
        <v>1</v>
      </c>
    </row>
    <row r="1341" spans="1:12" x14ac:dyDescent="0.25">
      <c r="A1341" s="3" t="s">
        <v>4558</v>
      </c>
      <c r="B1341" s="3" t="s">
        <v>4598</v>
      </c>
      <c r="C1341" s="3" t="s">
        <v>181</v>
      </c>
      <c r="D1341" s="9">
        <v>297</v>
      </c>
      <c r="E1341" s="3"/>
      <c r="F1341" s="3"/>
      <c r="G1341" s="9"/>
      <c r="H1341" s="10">
        <v>45664.360717592594</v>
      </c>
      <c r="I1341" s="10">
        <v>45664.363495370373</v>
      </c>
      <c r="J1341" s="10">
        <v>45664.372476851851</v>
      </c>
      <c r="K1341" s="11">
        <v>8.9814814814814809E-3</v>
      </c>
      <c r="L1341" s="13">
        <v>7</v>
      </c>
    </row>
    <row r="1342" spans="1:12" x14ac:dyDescent="0.25">
      <c r="A1342" s="3" t="s">
        <v>4558</v>
      </c>
      <c r="B1342" s="3" t="s">
        <v>4599</v>
      </c>
      <c r="C1342" s="3" t="s">
        <v>182</v>
      </c>
      <c r="D1342" s="9">
        <v>448.6</v>
      </c>
      <c r="E1342" s="3"/>
      <c r="F1342" s="3"/>
      <c r="G1342" s="9"/>
      <c r="H1342" s="10">
        <v>45664.441412037027</v>
      </c>
      <c r="I1342" s="10">
        <v>45664.444189814807</v>
      </c>
      <c r="J1342" s="10">
        <v>45664.450381944444</v>
      </c>
      <c r="K1342" s="11">
        <v>6.1921296296296299E-3</v>
      </c>
      <c r="L1342" s="13">
        <v>2</v>
      </c>
    </row>
    <row r="1343" spans="1:12" x14ac:dyDescent="0.25">
      <c r="A1343" s="3" t="s">
        <v>4558</v>
      </c>
      <c r="B1343" s="3" t="s">
        <v>4600</v>
      </c>
      <c r="C1343" s="3" t="s">
        <v>183</v>
      </c>
      <c r="D1343" s="9">
        <v>192.5</v>
      </c>
      <c r="E1343" s="3"/>
      <c r="F1343" s="3"/>
      <c r="G1343" s="9"/>
      <c r="H1343" s="10">
        <v>45664.543391203697</v>
      </c>
      <c r="I1343" s="10">
        <v>45664.546168981477</v>
      </c>
      <c r="J1343" s="10">
        <v>45664.547581018523</v>
      </c>
      <c r="K1343" s="11">
        <v>1.4120370370370369E-3</v>
      </c>
      <c r="L1343" s="13">
        <v>0</v>
      </c>
    </row>
    <row r="1344" spans="1:12" x14ac:dyDescent="0.25">
      <c r="A1344" s="3" t="s">
        <v>4558</v>
      </c>
      <c r="B1344" s="3" t="s">
        <v>4601</v>
      </c>
      <c r="C1344" s="3" t="s">
        <v>184</v>
      </c>
      <c r="D1344" s="9">
        <v>398</v>
      </c>
      <c r="E1344" s="3"/>
      <c r="F1344" s="3"/>
      <c r="G1344" s="9"/>
      <c r="H1344" s="10">
        <v>45664.595567129632</v>
      </c>
      <c r="I1344" s="10">
        <v>45664.598344907397</v>
      </c>
      <c r="J1344" s="10">
        <v>45664.601805555547</v>
      </c>
      <c r="K1344" s="11">
        <v>3.460648148148148E-3</v>
      </c>
      <c r="L1344" s="13">
        <v>0</v>
      </c>
    </row>
    <row r="1345" spans="1:12" x14ac:dyDescent="0.25">
      <c r="A1345" s="3" t="s">
        <v>4558</v>
      </c>
      <c r="B1345" s="3" t="s">
        <v>4602</v>
      </c>
      <c r="C1345" s="3" t="s">
        <v>185</v>
      </c>
      <c r="D1345" s="9">
        <v>321.10000000000002</v>
      </c>
      <c r="E1345" s="3"/>
      <c r="F1345" s="3"/>
      <c r="G1345" s="9"/>
      <c r="H1345" s="10">
        <v>45664.62636574074</v>
      </c>
      <c r="I1345" s="10">
        <v>45664.629143518519</v>
      </c>
      <c r="J1345" s="10">
        <v>45664.642523148148</v>
      </c>
      <c r="K1345" s="11">
        <v>1.337962962962963E-2</v>
      </c>
      <c r="L1345" s="13">
        <v>10</v>
      </c>
    </row>
    <row r="1346" spans="1:12" x14ac:dyDescent="0.25">
      <c r="A1346" s="3" t="s">
        <v>4558</v>
      </c>
      <c r="B1346" s="3" t="s">
        <v>4603</v>
      </c>
      <c r="C1346" s="3" t="s">
        <v>186</v>
      </c>
      <c r="D1346" s="9">
        <v>393.5</v>
      </c>
      <c r="E1346" s="3"/>
      <c r="F1346" s="3"/>
      <c r="G1346" s="9"/>
      <c r="H1346" s="10">
        <v>45664.641967592594</v>
      </c>
      <c r="I1346" s="10">
        <v>45664.644745370373</v>
      </c>
      <c r="J1346" s="10">
        <v>45664.647800925923</v>
      </c>
      <c r="K1346" s="11">
        <v>3.0555555555555561E-3</v>
      </c>
      <c r="L1346" s="13">
        <v>0</v>
      </c>
    </row>
    <row r="1347" spans="1:12" x14ac:dyDescent="0.25">
      <c r="A1347" s="3" t="s">
        <v>4558</v>
      </c>
      <c r="B1347" s="3" t="s">
        <v>4604</v>
      </c>
      <c r="C1347" s="3" t="s">
        <v>187</v>
      </c>
      <c r="D1347" s="9">
        <v>110.3</v>
      </c>
      <c r="E1347" s="3"/>
      <c r="F1347" s="3"/>
      <c r="G1347" s="9"/>
      <c r="H1347" s="10">
        <v>45664.668958333343</v>
      </c>
      <c r="I1347" s="10">
        <v>45664.671736111108</v>
      </c>
      <c r="J1347" s="10">
        <v>45664.673784722218</v>
      </c>
      <c r="K1347" s="11">
        <v>2.0486111111111109E-3</v>
      </c>
      <c r="L1347" s="13">
        <v>1</v>
      </c>
    </row>
    <row r="1348" spans="1:12" x14ac:dyDescent="0.25">
      <c r="A1348" s="3" t="s">
        <v>4558</v>
      </c>
      <c r="B1348" s="3" t="s">
        <v>4605</v>
      </c>
      <c r="C1348" s="3" t="s">
        <v>188</v>
      </c>
      <c r="D1348" s="9">
        <v>424.5</v>
      </c>
      <c r="E1348" s="3"/>
      <c r="F1348" s="3"/>
      <c r="G1348" s="9"/>
      <c r="H1348" s="10">
        <v>45664.725127314807</v>
      </c>
      <c r="I1348" s="10">
        <v>45664.727905092594</v>
      </c>
      <c r="J1348" s="10">
        <v>45664.742222222223</v>
      </c>
      <c r="K1348" s="11">
        <v>1.4317129629629629E-2</v>
      </c>
      <c r="L1348" s="13">
        <v>12</v>
      </c>
    </row>
    <row r="1349" spans="1:12" x14ac:dyDescent="0.25">
      <c r="A1349" s="3" t="s">
        <v>4558</v>
      </c>
      <c r="B1349" s="3" t="s">
        <v>4606</v>
      </c>
      <c r="C1349" s="3" t="s">
        <v>189</v>
      </c>
      <c r="D1349" s="9">
        <v>212</v>
      </c>
      <c r="E1349" s="3"/>
      <c r="F1349" s="3"/>
      <c r="G1349" s="9"/>
      <c r="H1349" s="10">
        <v>45664.754513888889</v>
      </c>
      <c r="I1349" s="10">
        <v>45664.757291666669</v>
      </c>
      <c r="J1349" s="10">
        <v>45664.758819444447</v>
      </c>
      <c r="K1349" s="11">
        <v>1.5277777777777781E-3</v>
      </c>
      <c r="L1349" s="13">
        <v>0</v>
      </c>
    </row>
    <row r="1350" spans="1:12" x14ac:dyDescent="0.25">
      <c r="A1350" s="3" t="s">
        <v>4558</v>
      </c>
      <c r="B1350" s="3" t="s">
        <v>4607</v>
      </c>
      <c r="C1350" s="3" t="s">
        <v>190</v>
      </c>
      <c r="D1350" s="9">
        <v>389.1</v>
      </c>
      <c r="E1350" s="3"/>
      <c r="F1350" s="3"/>
      <c r="G1350" s="9"/>
      <c r="H1350" s="10">
        <v>45664.877743055556</v>
      </c>
      <c r="I1350" s="10">
        <v>45664.880520833343</v>
      </c>
      <c r="J1350" s="10">
        <v>45664.883645833332</v>
      </c>
      <c r="K1350" s="11">
        <v>3.1250000000000002E-3</v>
      </c>
      <c r="L1350" s="13">
        <v>0</v>
      </c>
    </row>
    <row r="1351" spans="1:12" x14ac:dyDescent="0.25">
      <c r="A1351" s="3" t="s">
        <v>4558</v>
      </c>
      <c r="B1351" s="3" t="s">
        <v>4608</v>
      </c>
      <c r="C1351" s="3" t="s">
        <v>191</v>
      </c>
      <c r="D1351" s="9">
        <v>325.2</v>
      </c>
      <c r="E1351" s="3"/>
      <c r="F1351" s="3"/>
      <c r="G1351" s="9"/>
      <c r="H1351" s="10">
        <v>45665.115879629629</v>
      </c>
      <c r="I1351" s="10">
        <v>45665.118657407409</v>
      </c>
      <c r="J1351" s="10">
        <v>45665.126145833332</v>
      </c>
      <c r="K1351" s="11">
        <v>7.4884259259259262E-3</v>
      </c>
      <c r="L1351" s="13">
        <v>5</v>
      </c>
    </row>
    <row r="1352" spans="1:12" x14ac:dyDescent="0.25">
      <c r="A1352" s="3" t="s">
        <v>4558</v>
      </c>
      <c r="B1352" s="3" t="s">
        <v>4609</v>
      </c>
      <c r="C1352" s="3" t="s">
        <v>192</v>
      </c>
      <c r="D1352" s="9">
        <v>514.29999999999995</v>
      </c>
      <c r="E1352" s="3"/>
      <c r="F1352" s="3"/>
      <c r="G1352" s="9"/>
      <c r="H1352" s="10">
        <v>45665.159560185188</v>
      </c>
      <c r="I1352" s="10">
        <v>45665.16233796296</v>
      </c>
      <c r="J1352" s="10">
        <v>45665.166666666657</v>
      </c>
      <c r="K1352" s="11">
        <v>4.3287037037037044E-3</v>
      </c>
      <c r="L1352" s="13">
        <v>0</v>
      </c>
    </row>
    <row r="1353" spans="1:12" x14ac:dyDescent="0.25">
      <c r="A1353" s="3" t="s">
        <v>4558</v>
      </c>
      <c r="B1353" s="3" t="s">
        <v>4610</v>
      </c>
      <c r="C1353" s="3" t="s">
        <v>193</v>
      </c>
      <c r="D1353" s="9">
        <v>297</v>
      </c>
      <c r="E1353" s="3"/>
      <c r="F1353" s="3"/>
      <c r="G1353" s="9"/>
      <c r="H1353" s="10">
        <v>45665.253136574072</v>
      </c>
      <c r="I1353" s="10">
        <v>45665.255914351852</v>
      </c>
      <c r="J1353" s="10">
        <v>45665.258055555547</v>
      </c>
      <c r="K1353" s="11">
        <v>2.1412037037037042E-3</v>
      </c>
      <c r="L1353" s="13">
        <v>0</v>
      </c>
    </row>
    <row r="1354" spans="1:12" x14ac:dyDescent="0.25">
      <c r="A1354" s="3" t="s">
        <v>4558</v>
      </c>
      <c r="B1354" s="3" t="s">
        <v>4611</v>
      </c>
      <c r="C1354" s="3" t="s">
        <v>194</v>
      </c>
      <c r="D1354" s="9">
        <v>572</v>
      </c>
      <c r="E1354" s="3"/>
      <c r="F1354" s="3"/>
      <c r="G1354" s="9"/>
      <c r="H1354" s="10">
        <v>45665.305497685193</v>
      </c>
      <c r="I1354" s="10">
        <v>45665.308275462958</v>
      </c>
      <c r="J1354" s="10">
        <v>45665.328634259262</v>
      </c>
      <c r="K1354" s="11">
        <v>2.0358796296296292E-2</v>
      </c>
      <c r="L1354" s="13">
        <v>14</v>
      </c>
    </row>
    <row r="1355" spans="1:12" x14ac:dyDescent="0.25">
      <c r="A1355" s="3" t="s">
        <v>4558</v>
      </c>
      <c r="B1355" s="3" t="s">
        <v>4612</v>
      </c>
      <c r="C1355" s="3" t="s">
        <v>195</v>
      </c>
      <c r="D1355" s="9">
        <v>156.69999999999999</v>
      </c>
      <c r="E1355" s="3"/>
      <c r="F1355" s="3"/>
      <c r="G1355" s="9"/>
      <c r="H1355" s="10">
        <v>45665.307638888888</v>
      </c>
      <c r="I1355" s="10">
        <v>45665.310416666667</v>
      </c>
      <c r="J1355" s="10">
        <v>45665.311539351853</v>
      </c>
      <c r="K1355" s="11">
        <v>1.1226851851851849E-3</v>
      </c>
      <c r="L1355" s="13">
        <v>0</v>
      </c>
    </row>
    <row r="1356" spans="1:12" x14ac:dyDescent="0.25">
      <c r="A1356" s="3" t="s">
        <v>4558</v>
      </c>
      <c r="B1356" s="3" t="s">
        <v>4613</v>
      </c>
      <c r="C1356" s="3" t="s">
        <v>196</v>
      </c>
      <c r="D1356" s="9">
        <v>389.8</v>
      </c>
      <c r="E1356" s="3"/>
      <c r="F1356" s="3"/>
      <c r="G1356" s="9"/>
      <c r="H1356" s="10">
        <v>45665.336840277778</v>
      </c>
      <c r="I1356" s="10">
        <v>45665.339618055557</v>
      </c>
      <c r="J1356" s="10">
        <v>45665.342893518522</v>
      </c>
      <c r="K1356" s="11">
        <v>3.2754629629629631E-3</v>
      </c>
      <c r="L1356" s="13">
        <v>0</v>
      </c>
    </row>
    <row r="1357" spans="1:12" x14ac:dyDescent="0.25">
      <c r="A1357" s="3" t="s">
        <v>4558</v>
      </c>
      <c r="B1357" s="3" t="s">
        <v>4614</v>
      </c>
      <c r="C1357" s="3" t="s">
        <v>197</v>
      </c>
      <c r="D1357" s="9">
        <v>235.2</v>
      </c>
      <c r="E1357" s="3"/>
      <c r="F1357" s="3"/>
      <c r="G1357" s="9"/>
      <c r="H1357" s="10">
        <v>45665.376284722217</v>
      </c>
      <c r="I1357" s="10">
        <v>45665.379062499997</v>
      </c>
      <c r="J1357" s="10">
        <v>45665.382256944453</v>
      </c>
      <c r="K1357" s="11">
        <v>3.1944444444444451E-3</v>
      </c>
      <c r="L1357" s="13">
        <v>1</v>
      </c>
    </row>
    <row r="1358" spans="1:12" x14ac:dyDescent="0.25">
      <c r="A1358" s="3" t="s">
        <v>4558</v>
      </c>
      <c r="B1358" s="3" t="s">
        <v>4615</v>
      </c>
      <c r="C1358" s="3" t="s">
        <v>198</v>
      </c>
      <c r="D1358" s="9">
        <v>443.2</v>
      </c>
      <c r="E1358" s="3"/>
      <c r="F1358" s="3"/>
      <c r="G1358" s="9"/>
      <c r="H1358" s="10">
        <v>45665.428622685176</v>
      </c>
      <c r="I1358" s="10">
        <v>45665.431400462963</v>
      </c>
      <c r="J1358" s="10">
        <v>45665.436990740738</v>
      </c>
      <c r="K1358" s="11">
        <v>5.5902777777777773E-3</v>
      </c>
      <c r="L1358" s="13">
        <v>2</v>
      </c>
    </row>
    <row r="1359" spans="1:12" x14ac:dyDescent="0.25">
      <c r="A1359" s="3" t="s">
        <v>4558</v>
      </c>
      <c r="B1359" s="3" t="s">
        <v>4616</v>
      </c>
      <c r="C1359" s="3" t="s">
        <v>199</v>
      </c>
      <c r="D1359" s="9">
        <v>296.8</v>
      </c>
      <c r="E1359" s="3"/>
      <c r="F1359" s="3"/>
      <c r="G1359" s="9"/>
      <c r="H1359" s="10">
        <v>45665.534467592603</v>
      </c>
      <c r="I1359" s="10">
        <v>45665.537245370368</v>
      </c>
      <c r="J1359" s="10">
        <v>45665.539814814823</v>
      </c>
      <c r="K1359" s="11">
        <v>2.5694444444444449E-3</v>
      </c>
      <c r="L1359" s="13">
        <v>0</v>
      </c>
    </row>
    <row r="1360" spans="1:12" x14ac:dyDescent="0.25">
      <c r="A1360" s="3" t="s">
        <v>4558</v>
      </c>
      <c r="B1360" s="3" t="s">
        <v>4617</v>
      </c>
      <c r="C1360" s="3" t="s">
        <v>200</v>
      </c>
      <c r="D1360" s="9">
        <v>365.8</v>
      </c>
      <c r="E1360" s="3"/>
      <c r="F1360" s="3"/>
      <c r="G1360" s="9"/>
      <c r="H1360" s="10">
        <v>45665.604131944441</v>
      </c>
      <c r="I1360" s="10">
        <v>45665.606909722221</v>
      </c>
      <c r="J1360" s="10">
        <v>45665.609803240739</v>
      </c>
      <c r="K1360" s="11">
        <v>2.8935185185185179E-3</v>
      </c>
      <c r="L1360" s="13">
        <v>0</v>
      </c>
    </row>
    <row r="1361" spans="1:12" x14ac:dyDescent="0.25">
      <c r="A1361" s="3" t="s">
        <v>4558</v>
      </c>
      <c r="B1361" s="3" t="s">
        <v>4618</v>
      </c>
      <c r="C1361" s="3" t="s">
        <v>201</v>
      </c>
      <c r="D1361" s="9">
        <v>316.60000000000002</v>
      </c>
      <c r="E1361" s="3"/>
      <c r="F1361" s="3"/>
      <c r="G1361" s="9"/>
      <c r="H1361" s="10">
        <v>45665.62295138889</v>
      </c>
      <c r="I1361" s="10">
        <v>45665.62572916667</v>
      </c>
      <c r="J1361" s="10">
        <v>45665.639930555553</v>
      </c>
      <c r="K1361" s="11">
        <v>1.420138888888889E-2</v>
      </c>
      <c r="L1361" s="13">
        <v>10</v>
      </c>
    </row>
    <row r="1362" spans="1:12" x14ac:dyDescent="0.25">
      <c r="A1362" s="3" t="s">
        <v>4558</v>
      </c>
      <c r="B1362" s="3" t="s">
        <v>4619</v>
      </c>
      <c r="C1362" s="3" t="s">
        <v>202</v>
      </c>
      <c r="D1362" s="9">
        <v>362</v>
      </c>
      <c r="E1362" s="3"/>
      <c r="F1362" s="3"/>
      <c r="G1362" s="9"/>
      <c r="H1362" s="10">
        <v>45665.635092592587</v>
      </c>
      <c r="I1362" s="10">
        <v>45665.637870370367</v>
      </c>
      <c r="J1362" s="10">
        <v>45665.640740740739</v>
      </c>
      <c r="K1362" s="11">
        <v>2.8703703703703699E-3</v>
      </c>
      <c r="L1362" s="13">
        <v>0</v>
      </c>
    </row>
    <row r="1363" spans="1:12" x14ac:dyDescent="0.25">
      <c r="A1363" s="3" t="s">
        <v>4558</v>
      </c>
      <c r="B1363" s="3" t="s">
        <v>4620</v>
      </c>
      <c r="C1363" s="3" t="s">
        <v>203</v>
      </c>
      <c r="D1363" s="9">
        <v>209.2</v>
      </c>
      <c r="E1363" s="3"/>
      <c r="F1363" s="3"/>
      <c r="G1363" s="9"/>
      <c r="H1363" s="10">
        <v>45665.725185185183</v>
      </c>
      <c r="I1363" s="10">
        <v>45665.727962962963</v>
      </c>
      <c r="J1363" s="10">
        <v>45665.729618055557</v>
      </c>
      <c r="K1363" s="11">
        <v>1.655092592592593E-3</v>
      </c>
      <c r="L1363" s="13">
        <v>0</v>
      </c>
    </row>
    <row r="1364" spans="1:12" x14ac:dyDescent="0.25">
      <c r="A1364" s="3" t="s">
        <v>4558</v>
      </c>
      <c r="B1364" s="3" t="s">
        <v>4621</v>
      </c>
      <c r="C1364" s="3" t="s">
        <v>204</v>
      </c>
      <c r="D1364" s="9">
        <v>15.7</v>
      </c>
      <c r="E1364" s="3"/>
      <c r="F1364" s="3"/>
      <c r="G1364" s="9"/>
      <c r="H1364" s="10">
        <v>45665.751122685193</v>
      </c>
      <c r="I1364" s="10">
        <v>45665.753900462973</v>
      </c>
      <c r="J1364" s="10">
        <v>45665.754016203697</v>
      </c>
      <c r="K1364" s="11">
        <v>1.157407407407407E-4</v>
      </c>
      <c r="L1364" s="13">
        <v>0</v>
      </c>
    </row>
    <row r="1365" spans="1:12" x14ac:dyDescent="0.25">
      <c r="A1365" s="3" t="s">
        <v>4558</v>
      </c>
      <c r="B1365" s="3" t="s">
        <v>4622</v>
      </c>
      <c r="C1365" s="3" t="s">
        <v>205</v>
      </c>
      <c r="D1365" s="9">
        <v>244.1</v>
      </c>
      <c r="E1365" s="3"/>
      <c r="F1365" s="3"/>
      <c r="G1365" s="9"/>
      <c r="H1365" s="10">
        <v>45665.821875000001</v>
      </c>
      <c r="I1365" s="10">
        <v>45665.824652777781</v>
      </c>
      <c r="J1365" s="10">
        <v>45665.834918981483</v>
      </c>
      <c r="K1365" s="11">
        <v>1.0266203703703699E-2</v>
      </c>
      <c r="L1365" s="13">
        <v>8</v>
      </c>
    </row>
    <row r="1366" spans="1:12" x14ac:dyDescent="0.25">
      <c r="A1366" s="3" t="s">
        <v>4558</v>
      </c>
      <c r="B1366" s="3" t="s">
        <v>4623</v>
      </c>
      <c r="C1366" s="3" t="s">
        <v>206</v>
      </c>
      <c r="D1366" s="9">
        <v>99.5</v>
      </c>
      <c r="E1366" s="3"/>
      <c r="F1366" s="3"/>
      <c r="G1366" s="9"/>
      <c r="H1366" s="10">
        <v>45665.837488425917</v>
      </c>
      <c r="I1366" s="10">
        <v>45665.840266203697</v>
      </c>
      <c r="J1366" s="10">
        <v>45665.841053240743</v>
      </c>
      <c r="K1366" s="11">
        <v>7.8703703703703705E-4</v>
      </c>
      <c r="L1366" s="13">
        <v>0</v>
      </c>
    </row>
    <row r="1367" spans="1:12" x14ac:dyDescent="0.25">
      <c r="A1367" s="3" t="s">
        <v>4558</v>
      </c>
      <c r="B1367" s="3" t="s">
        <v>4624</v>
      </c>
      <c r="C1367" s="3" t="s">
        <v>207</v>
      </c>
      <c r="D1367" s="9">
        <v>164.5</v>
      </c>
      <c r="E1367" s="3"/>
      <c r="F1367" s="3"/>
      <c r="G1367" s="9"/>
      <c r="H1367" s="10">
        <v>45666.117662037039</v>
      </c>
      <c r="I1367" s="10">
        <v>45666.120439814818</v>
      </c>
      <c r="J1367" s="10">
        <v>45666.123703703714</v>
      </c>
      <c r="K1367" s="11">
        <v>3.2638888888888891E-3</v>
      </c>
      <c r="L1367" s="13">
        <v>2</v>
      </c>
    </row>
    <row r="1368" spans="1:12" x14ac:dyDescent="0.25">
      <c r="A1368" s="3" t="s">
        <v>4558</v>
      </c>
      <c r="B1368" s="3" t="s">
        <v>4625</v>
      </c>
      <c r="C1368" s="3" t="s">
        <v>208</v>
      </c>
      <c r="D1368" s="9">
        <v>376.1</v>
      </c>
      <c r="E1368" s="3"/>
      <c r="F1368" s="3"/>
      <c r="G1368" s="9"/>
      <c r="H1368" s="10">
        <v>45666.256979166668</v>
      </c>
      <c r="I1368" s="10">
        <v>45666.259756944448</v>
      </c>
      <c r="J1368" s="10">
        <v>45666.27103009259</v>
      </c>
      <c r="K1368" s="11">
        <v>1.127314814814815E-2</v>
      </c>
      <c r="L1368" s="13">
        <v>8</v>
      </c>
    </row>
    <row r="1369" spans="1:12" x14ac:dyDescent="0.25">
      <c r="A1369" s="3" t="s">
        <v>4558</v>
      </c>
      <c r="B1369" s="3" t="s">
        <v>4626</v>
      </c>
      <c r="C1369" s="3" t="s">
        <v>209</v>
      </c>
      <c r="D1369" s="9">
        <v>185.9</v>
      </c>
      <c r="E1369" s="3"/>
      <c r="F1369" s="3"/>
      <c r="G1369" s="9"/>
      <c r="H1369" s="10">
        <v>45666.273784722223</v>
      </c>
      <c r="I1369" s="10">
        <v>45666.276562500003</v>
      </c>
      <c r="J1369" s="10">
        <v>45666.278020833342</v>
      </c>
      <c r="K1369" s="11">
        <v>1.458333333333333E-3</v>
      </c>
      <c r="L1369" s="13">
        <v>0</v>
      </c>
    </row>
    <row r="1370" spans="1:12" x14ac:dyDescent="0.25">
      <c r="A1370" s="3" t="s">
        <v>4558</v>
      </c>
      <c r="B1370" s="3" t="s">
        <v>4627</v>
      </c>
      <c r="C1370" s="3" t="s">
        <v>210</v>
      </c>
      <c r="D1370" s="9">
        <v>278.7</v>
      </c>
      <c r="E1370" s="3"/>
      <c r="F1370" s="3"/>
      <c r="G1370" s="9"/>
      <c r="H1370" s="10">
        <v>45666.302905092591</v>
      </c>
      <c r="I1370" s="10">
        <v>45666.30568287037</v>
      </c>
      <c r="J1370" s="10">
        <v>45666.313842592594</v>
      </c>
      <c r="K1370" s="11">
        <v>8.1597222222222227E-3</v>
      </c>
      <c r="L1370" s="13">
        <v>6</v>
      </c>
    </row>
    <row r="1371" spans="1:12" x14ac:dyDescent="0.25">
      <c r="A1371" s="3" t="s">
        <v>4558</v>
      </c>
      <c r="B1371" s="3" t="s">
        <v>4628</v>
      </c>
      <c r="C1371" s="3" t="s">
        <v>211</v>
      </c>
      <c r="D1371" s="9">
        <v>325</v>
      </c>
      <c r="E1371" s="3"/>
      <c r="F1371" s="3"/>
      <c r="G1371" s="9"/>
      <c r="H1371" s="10">
        <v>45666.308067129627</v>
      </c>
      <c r="I1371" s="10">
        <v>45666.310844907413</v>
      </c>
      <c r="J1371" s="10">
        <v>45666.313275462962</v>
      </c>
      <c r="K1371" s="11">
        <v>2.430555555555556E-3</v>
      </c>
      <c r="L1371" s="13">
        <v>0</v>
      </c>
    </row>
    <row r="1372" spans="1:12" x14ac:dyDescent="0.25">
      <c r="A1372" s="3" t="s">
        <v>4558</v>
      </c>
      <c r="B1372" s="3" t="s">
        <v>4629</v>
      </c>
      <c r="C1372" s="3" t="s">
        <v>212</v>
      </c>
      <c r="D1372" s="9">
        <v>381.6</v>
      </c>
      <c r="E1372" s="3"/>
      <c r="F1372" s="3"/>
      <c r="G1372" s="9"/>
      <c r="H1372" s="10">
        <v>45666.329351851848</v>
      </c>
      <c r="I1372" s="10">
        <v>45666.332129629627</v>
      </c>
      <c r="J1372" s="10">
        <v>45666.335439814808</v>
      </c>
      <c r="K1372" s="11">
        <v>3.3101851851851851E-3</v>
      </c>
      <c r="L1372" s="13">
        <v>0</v>
      </c>
    </row>
    <row r="1373" spans="1:12" x14ac:dyDescent="0.25">
      <c r="A1373" s="3" t="s">
        <v>4558</v>
      </c>
      <c r="B1373" s="3" t="s">
        <v>4630</v>
      </c>
      <c r="C1373" s="3" t="s">
        <v>213</v>
      </c>
      <c r="D1373" s="9">
        <v>362</v>
      </c>
      <c r="E1373" s="3"/>
      <c r="F1373" s="3"/>
      <c r="G1373" s="9"/>
      <c r="H1373" s="10">
        <v>45666.3671412037</v>
      </c>
      <c r="I1373" s="10">
        <v>45666.36991898148</v>
      </c>
      <c r="J1373" s="10">
        <v>45666.373900462961</v>
      </c>
      <c r="K1373" s="11">
        <v>3.9814814814814817E-3</v>
      </c>
      <c r="L1373" s="13">
        <v>1</v>
      </c>
    </row>
    <row r="1374" spans="1:12" x14ac:dyDescent="0.25">
      <c r="A1374" s="3" t="s">
        <v>4558</v>
      </c>
      <c r="B1374" s="3" t="s">
        <v>4631</v>
      </c>
      <c r="C1374" s="3" t="s">
        <v>214</v>
      </c>
      <c r="D1374" s="9">
        <v>435.7</v>
      </c>
      <c r="E1374" s="3"/>
      <c r="F1374" s="3"/>
      <c r="G1374" s="9"/>
      <c r="H1374" s="10">
        <v>45666.454236111109</v>
      </c>
      <c r="I1374" s="10">
        <v>45666.457013888888</v>
      </c>
      <c r="J1374" s="10">
        <v>45666.461643518523</v>
      </c>
      <c r="K1374" s="11">
        <v>4.6296296296296294E-3</v>
      </c>
      <c r="L1374" s="13">
        <v>1</v>
      </c>
    </row>
    <row r="1375" spans="1:12" x14ac:dyDescent="0.25">
      <c r="A1375" s="3" t="s">
        <v>4558</v>
      </c>
      <c r="B1375" s="3" t="s">
        <v>4632</v>
      </c>
      <c r="C1375" s="3" t="s">
        <v>215</v>
      </c>
      <c r="D1375" s="9">
        <v>241.4</v>
      </c>
      <c r="E1375" s="3"/>
      <c r="F1375" s="3"/>
      <c r="G1375" s="9"/>
      <c r="H1375" s="10">
        <v>45666.608935185177</v>
      </c>
      <c r="I1375" s="10">
        <v>45666.611712962957</v>
      </c>
      <c r="J1375" s="10">
        <v>45666.613645833328</v>
      </c>
      <c r="K1375" s="11">
        <v>1.93287037037037E-3</v>
      </c>
      <c r="L1375" s="13">
        <v>0</v>
      </c>
    </row>
    <row r="1376" spans="1:12" x14ac:dyDescent="0.25">
      <c r="A1376" s="3" t="s">
        <v>4558</v>
      </c>
      <c r="B1376" s="3" t="s">
        <v>4633</v>
      </c>
      <c r="C1376" s="3" t="s">
        <v>216</v>
      </c>
      <c r="D1376" s="9">
        <v>407.5</v>
      </c>
      <c r="E1376" s="3"/>
      <c r="F1376" s="3"/>
      <c r="G1376" s="9"/>
      <c r="H1376" s="10">
        <v>45666.627881944441</v>
      </c>
      <c r="I1376" s="10">
        <v>45666.630659722221</v>
      </c>
      <c r="J1376" s="10">
        <v>45666.638298611113</v>
      </c>
      <c r="K1376" s="11">
        <v>7.6388888888888886E-3</v>
      </c>
      <c r="L1376" s="13">
        <v>4</v>
      </c>
    </row>
    <row r="1377" spans="1:12" x14ac:dyDescent="0.25">
      <c r="A1377" s="3" t="s">
        <v>4558</v>
      </c>
      <c r="B1377" s="3" t="s">
        <v>4634</v>
      </c>
      <c r="C1377" s="3" t="s">
        <v>217</v>
      </c>
      <c r="D1377" s="9">
        <v>314.8</v>
      </c>
      <c r="E1377" s="3"/>
      <c r="F1377" s="3"/>
      <c r="G1377" s="9"/>
      <c r="H1377" s="10">
        <v>45666.645567129628</v>
      </c>
      <c r="I1377" s="10">
        <v>45666.648344907408</v>
      </c>
      <c r="J1377" s="10">
        <v>45666.650914351849</v>
      </c>
      <c r="K1377" s="11">
        <v>2.5694444444444449E-3</v>
      </c>
      <c r="L1377" s="13">
        <v>0</v>
      </c>
    </row>
    <row r="1378" spans="1:12" x14ac:dyDescent="0.25">
      <c r="A1378" s="3" t="s">
        <v>4558</v>
      </c>
      <c r="B1378" s="3" t="s">
        <v>4635</v>
      </c>
      <c r="C1378" s="3" t="s">
        <v>218</v>
      </c>
      <c r="D1378" s="9">
        <v>319</v>
      </c>
      <c r="E1378" s="3"/>
      <c r="F1378" s="3"/>
      <c r="G1378" s="9"/>
      <c r="H1378" s="10">
        <v>45666.740763888891</v>
      </c>
      <c r="I1378" s="10">
        <v>45666.743541666663</v>
      </c>
      <c r="J1378" s="10">
        <v>45666.755115740743</v>
      </c>
      <c r="K1378" s="11">
        <v>1.157407407407407E-2</v>
      </c>
      <c r="L1378" s="13">
        <v>8</v>
      </c>
    </row>
    <row r="1379" spans="1:12" x14ac:dyDescent="0.25">
      <c r="A1379" s="3" t="s">
        <v>4558</v>
      </c>
      <c r="B1379" s="3" t="s">
        <v>4636</v>
      </c>
      <c r="C1379" s="3" t="s">
        <v>219</v>
      </c>
      <c r="D1379" s="9">
        <v>47.2</v>
      </c>
      <c r="E1379" s="3"/>
      <c r="F1379" s="3"/>
      <c r="G1379" s="9"/>
      <c r="H1379" s="10">
        <v>45666.741354166668</v>
      </c>
      <c r="I1379" s="10">
        <v>45666.744131944448</v>
      </c>
      <c r="J1379" s="10">
        <v>45666.744502314818</v>
      </c>
      <c r="K1379" s="11">
        <v>3.7037037037037041E-4</v>
      </c>
      <c r="L1379" s="13">
        <v>0</v>
      </c>
    </row>
    <row r="1380" spans="1:12" x14ac:dyDescent="0.25">
      <c r="A1380" s="3" t="s">
        <v>4558</v>
      </c>
      <c r="B1380" s="3" t="s">
        <v>4637</v>
      </c>
      <c r="C1380" s="3" t="s">
        <v>220</v>
      </c>
      <c r="D1380" s="9">
        <v>417.5</v>
      </c>
      <c r="E1380" s="3"/>
      <c r="F1380" s="3"/>
      <c r="G1380" s="9"/>
      <c r="H1380" s="10">
        <v>45666.743275462963</v>
      </c>
      <c r="I1380" s="10">
        <v>45666.746053240742</v>
      </c>
      <c r="J1380" s="10">
        <v>45666.758900462963</v>
      </c>
      <c r="K1380" s="11">
        <v>1.284722222222222E-2</v>
      </c>
      <c r="L1380" s="13">
        <v>10</v>
      </c>
    </row>
    <row r="1381" spans="1:12" x14ac:dyDescent="0.25">
      <c r="A1381" s="3" t="s">
        <v>4558</v>
      </c>
      <c r="B1381" s="3" t="s">
        <v>4638</v>
      </c>
      <c r="C1381" s="3" t="s">
        <v>221</v>
      </c>
      <c r="D1381" s="9">
        <v>291.7</v>
      </c>
      <c r="E1381" s="3"/>
      <c r="F1381" s="3"/>
      <c r="G1381" s="9"/>
      <c r="H1381" s="10">
        <v>45666.837094907409</v>
      </c>
      <c r="I1381" s="10">
        <v>45666.839872685188</v>
      </c>
      <c r="J1381" s="10">
        <v>45666.849456018521</v>
      </c>
      <c r="K1381" s="11">
        <v>9.5833333333333326E-3</v>
      </c>
      <c r="L1381" s="13">
        <v>7</v>
      </c>
    </row>
    <row r="1382" spans="1:12" x14ac:dyDescent="0.25">
      <c r="A1382" s="3" t="s">
        <v>4558</v>
      </c>
      <c r="B1382" s="3" t="s">
        <v>4639</v>
      </c>
      <c r="C1382" s="3" t="s">
        <v>222</v>
      </c>
      <c r="D1382" s="9">
        <v>309.2</v>
      </c>
      <c r="E1382" s="3"/>
      <c r="F1382" s="3"/>
      <c r="G1382" s="9"/>
      <c r="H1382" s="10">
        <v>45667.114594907413</v>
      </c>
      <c r="I1382" s="10">
        <v>45667.117372685178</v>
      </c>
      <c r="J1382" s="10">
        <v>45667.123506944437</v>
      </c>
      <c r="K1382" s="11">
        <v>6.1342592592592586E-3</v>
      </c>
      <c r="L1382" s="13">
        <v>3</v>
      </c>
    </row>
    <row r="1383" spans="1:12" x14ac:dyDescent="0.25">
      <c r="A1383" s="3" t="s">
        <v>4558</v>
      </c>
      <c r="B1383" s="3" t="s">
        <v>4640</v>
      </c>
      <c r="C1383" s="3" t="s">
        <v>223</v>
      </c>
      <c r="D1383" s="9">
        <v>219.5</v>
      </c>
      <c r="E1383" s="3"/>
      <c r="F1383" s="3"/>
      <c r="G1383" s="9"/>
      <c r="H1383" s="10">
        <v>45667.191180555557</v>
      </c>
      <c r="I1383" s="10">
        <v>45667.193958333337</v>
      </c>
      <c r="J1383" s="10">
        <v>45667.195567129631</v>
      </c>
      <c r="K1383" s="11">
        <v>1.6087962962962961E-3</v>
      </c>
      <c r="L1383" s="13">
        <v>0</v>
      </c>
    </row>
    <row r="1384" spans="1:12" x14ac:dyDescent="0.25">
      <c r="A1384" s="3" t="s">
        <v>4558</v>
      </c>
      <c r="B1384" s="3" t="s">
        <v>4641</v>
      </c>
      <c r="C1384" s="3" t="s">
        <v>224</v>
      </c>
      <c r="D1384" s="9">
        <v>298</v>
      </c>
      <c r="E1384" s="3"/>
      <c r="F1384" s="3"/>
      <c r="G1384" s="9"/>
      <c r="H1384" s="10">
        <v>45667.242546296293</v>
      </c>
      <c r="I1384" s="10">
        <v>45667.245324074072</v>
      </c>
      <c r="J1384" s="10">
        <v>45667.247916666667</v>
      </c>
      <c r="K1384" s="11">
        <v>2.592592592592593E-3</v>
      </c>
      <c r="L1384" s="13">
        <v>0</v>
      </c>
    </row>
    <row r="1385" spans="1:12" x14ac:dyDescent="0.25">
      <c r="A1385" s="3" t="s">
        <v>4558</v>
      </c>
      <c r="B1385" s="3" t="s">
        <v>4642</v>
      </c>
      <c r="C1385" s="3" t="s">
        <v>225</v>
      </c>
      <c r="D1385" s="9">
        <v>386.3</v>
      </c>
      <c r="E1385" s="3"/>
      <c r="F1385" s="3"/>
      <c r="G1385" s="9"/>
      <c r="H1385" s="10">
        <v>45667.279942129629</v>
      </c>
      <c r="I1385" s="10">
        <v>45667.282719907409</v>
      </c>
      <c r="J1385" s="10">
        <v>45667.293321759258</v>
      </c>
      <c r="K1385" s="11">
        <v>1.060185185185185E-2</v>
      </c>
      <c r="L1385" s="13">
        <v>8</v>
      </c>
    </row>
    <row r="1386" spans="1:12" x14ac:dyDescent="0.25">
      <c r="A1386" s="3" t="s">
        <v>4558</v>
      </c>
      <c r="B1386" s="3" t="s">
        <v>4643</v>
      </c>
      <c r="C1386" s="3" t="s">
        <v>226</v>
      </c>
      <c r="D1386" s="9">
        <v>193.1</v>
      </c>
      <c r="E1386" s="3"/>
      <c r="F1386" s="3"/>
      <c r="G1386" s="9"/>
      <c r="H1386" s="10">
        <v>45667.312199074076</v>
      </c>
      <c r="I1386" s="10">
        <v>45667.314976851849</v>
      </c>
      <c r="J1386" s="10">
        <v>45667.31658564815</v>
      </c>
      <c r="K1386" s="11">
        <v>1.6087962962962961E-3</v>
      </c>
      <c r="L1386" s="13">
        <v>0</v>
      </c>
    </row>
    <row r="1387" spans="1:12" x14ac:dyDescent="0.25">
      <c r="A1387" s="3" t="s">
        <v>4558</v>
      </c>
      <c r="B1387" s="3" t="s">
        <v>4644</v>
      </c>
      <c r="C1387" s="3" t="s">
        <v>227</v>
      </c>
      <c r="D1387" s="9">
        <v>380.8</v>
      </c>
      <c r="E1387" s="3"/>
      <c r="F1387" s="3"/>
      <c r="G1387" s="9"/>
      <c r="H1387" s="10">
        <v>45667.33258101852</v>
      </c>
      <c r="I1387" s="10">
        <v>45667.335358796299</v>
      </c>
      <c r="J1387" s="10">
        <v>45667.338263888887</v>
      </c>
      <c r="K1387" s="11">
        <v>2.9050925925925928E-3</v>
      </c>
      <c r="L1387" s="13">
        <v>0</v>
      </c>
    </row>
    <row r="1388" spans="1:12" x14ac:dyDescent="0.25">
      <c r="A1388" s="3" t="s">
        <v>4558</v>
      </c>
      <c r="B1388" s="3" t="s">
        <v>4645</v>
      </c>
      <c r="C1388" s="3" t="s">
        <v>228</v>
      </c>
      <c r="D1388" s="9">
        <v>588.4</v>
      </c>
      <c r="E1388" s="3"/>
      <c r="F1388" s="3"/>
      <c r="G1388" s="9"/>
      <c r="H1388" s="10">
        <v>45667.367372685178</v>
      </c>
      <c r="I1388" s="10">
        <v>45667.370150462957</v>
      </c>
      <c r="J1388" s="10">
        <v>45667.387280092589</v>
      </c>
      <c r="K1388" s="11">
        <v>1.712962962962963E-2</v>
      </c>
      <c r="L1388" s="13">
        <v>11</v>
      </c>
    </row>
    <row r="1389" spans="1:12" x14ac:dyDescent="0.25">
      <c r="A1389" s="3" t="s">
        <v>4558</v>
      </c>
      <c r="B1389" s="3" t="s">
        <v>4646</v>
      </c>
      <c r="C1389" s="3" t="s">
        <v>229</v>
      </c>
      <c r="D1389" s="9">
        <v>206.3</v>
      </c>
      <c r="E1389" s="3"/>
      <c r="F1389" s="3"/>
      <c r="G1389" s="9"/>
      <c r="H1389" s="10">
        <v>45667.376134259262</v>
      </c>
      <c r="I1389" s="10">
        <v>45667.378912037027</v>
      </c>
      <c r="J1389" s="10">
        <v>45667.3825</v>
      </c>
      <c r="K1389" s="11">
        <v>3.5879629629629629E-3</v>
      </c>
      <c r="L1389" s="13">
        <v>2</v>
      </c>
    </row>
    <row r="1390" spans="1:12" x14ac:dyDescent="0.25">
      <c r="A1390" s="3" t="s">
        <v>4558</v>
      </c>
      <c r="B1390" s="3" t="s">
        <v>4647</v>
      </c>
      <c r="C1390" s="3" t="s">
        <v>230</v>
      </c>
      <c r="D1390" s="9">
        <v>259.7</v>
      </c>
      <c r="E1390" s="3"/>
      <c r="F1390" s="3"/>
      <c r="G1390" s="9"/>
      <c r="H1390" s="10">
        <v>45667.431817129633</v>
      </c>
      <c r="I1390" s="10">
        <v>45667.434594907398</v>
      </c>
      <c r="J1390" s="10">
        <v>45667.436863425923</v>
      </c>
      <c r="K1390" s="11">
        <v>2.2685185185185191E-3</v>
      </c>
      <c r="L1390" s="13">
        <v>0</v>
      </c>
    </row>
    <row r="1391" spans="1:12" x14ac:dyDescent="0.25">
      <c r="A1391" s="3" t="s">
        <v>4558</v>
      </c>
      <c r="B1391" s="3" t="s">
        <v>4648</v>
      </c>
      <c r="C1391" s="3" t="s">
        <v>231</v>
      </c>
      <c r="D1391" s="9">
        <v>95.3</v>
      </c>
      <c r="E1391" s="3"/>
      <c r="F1391" s="3"/>
      <c r="G1391" s="9"/>
      <c r="H1391" s="10">
        <v>45667.546793981477</v>
      </c>
      <c r="I1391" s="10">
        <v>45667.549571759257</v>
      </c>
      <c r="J1391" s="10">
        <v>45667.55028935185</v>
      </c>
      <c r="K1391" s="11">
        <v>7.1759259259259259E-4</v>
      </c>
      <c r="L1391" s="13">
        <v>0</v>
      </c>
    </row>
    <row r="1392" spans="1:12" x14ac:dyDescent="0.25">
      <c r="A1392" s="3" t="s">
        <v>4558</v>
      </c>
      <c r="B1392" s="3" t="s">
        <v>4649</v>
      </c>
      <c r="C1392" s="3" t="s">
        <v>232</v>
      </c>
      <c r="D1392" s="9">
        <v>23.2</v>
      </c>
      <c r="E1392" s="3"/>
      <c r="F1392" s="3"/>
      <c r="G1392" s="9"/>
      <c r="H1392" s="10">
        <v>45667.592615740738</v>
      </c>
      <c r="I1392" s="10">
        <v>45667.595393518517</v>
      </c>
      <c r="J1392" s="10">
        <v>45667.595590277779</v>
      </c>
      <c r="K1392" s="11">
        <v>1.9675925925925929E-4</v>
      </c>
      <c r="L1392" s="13">
        <v>0</v>
      </c>
    </row>
    <row r="1393" spans="1:12" x14ac:dyDescent="0.25">
      <c r="A1393" s="3" t="s">
        <v>4558</v>
      </c>
      <c r="B1393" s="3" t="s">
        <v>4650</v>
      </c>
      <c r="C1393" s="3" t="s">
        <v>233</v>
      </c>
      <c r="D1393" s="9">
        <v>393.5</v>
      </c>
      <c r="E1393" s="3"/>
      <c r="F1393" s="3"/>
      <c r="G1393" s="9"/>
      <c r="H1393" s="10">
        <v>45667.619930555556</v>
      </c>
      <c r="I1393" s="10">
        <v>45667.622708333343</v>
      </c>
      <c r="J1393" s="10">
        <v>45667.625648148147</v>
      </c>
      <c r="K1393" s="11">
        <v>2.9398148148148148E-3</v>
      </c>
      <c r="L1393" s="13">
        <v>0</v>
      </c>
    </row>
    <row r="1394" spans="1:12" x14ac:dyDescent="0.25">
      <c r="A1394" s="3" t="s">
        <v>4558</v>
      </c>
      <c r="B1394" s="3" t="s">
        <v>4651</v>
      </c>
      <c r="C1394" s="3" t="s">
        <v>234</v>
      </c>
      <c r="D1394" s="9">
        <v>302.10000000000002</v>
      </c>
      <c r="E1394" s="3"/>
      <c r="F1394" s="3"/>
      <c r="G1394" s="9"/>
      <c r="H1394" s="10">
        <v>45667.730543981481</v>
      </c>
      <c r="I1394" s="10">
        <v>45667.73332175926</v>
      </c>
      <c r="J1394" s="10">
        <v>45667.735949074071</v>
      </c>
      <c r="K1394" s="11">
        <v>2.627314814814815E-3</v>
      </c>
      <c r="L1394" s="13">
        <v>0</v>
      </c>
    </row>
    <row r="1395" spans="1:12" x14ac:dyDescent="0.25">
      <c r="A1395" s="3" t="s">
        <v>4558</v>
      </c>
      <c r="B1395" s="3" t="s">
        <v>4652</v>
      </c>
      <c r="C1395" s="3" t="s">
        <v>235</v>
      </c>
      <c r="D1395" s="9">
        <v>577.6</v>
      </c>
      <c r="E1395" s="3"/>
      <c r="F1395" s="3"/>
      <c r="G1395" s="9"/>
      <c r="H1395" s="10">
        <v>45667.737685185188</v>
      </c>
      <c r="I1395" s="10">
        <v>45667.74046296296</v>
      </c>
      <c r="J1395" s="10">
        <v>45667.758101851847</v>
      </c>
      <c r="K1395" s="11">
        <v>1.7638888888888891E-2</v>
      </c>
      <c r="L1395" s="13">
        <v>11</v>
      </c>
    </row>
    <row r="1396" spans="1:12" x14ac:dyDescent="0.25">
      <c r="A1396" s="3" t="s">
        <v>4558</v>
      </c>
      <c r="B1396" s="3" t="s">
        <v>4653</v>
      </c>
      <c r="C1396" s="3" t="s">
        <v>236</v>
      </c>
      <c r="D1396" s="9">
        <v>300.5</v>
      </c>
      <c r="E1396" s="3"/>
      <c r="F1396" s="3"/>
      <c r="G1396" s="9"/>
      <c r="H1396" s="10">
        <v>45667.843391203707</v>
      </c>
      <c r="I1396" s="10">
        <v>45667.846168981479</v>
      </c>
      <c r="J1396" s="10">
        <v>45667.856122685182</v>
      </c>
      <c r="K1396" s="11">
        <v>9.9537037037037042E-3</v>
      </c>
      <c r="L1396" s="13">
        <v>7</v>
      </c>
    </row>
    <row r="1397" spans="1:12" x14ac:dyDescent="0.25">
      <c r="A1397" s="3" t="s">
        <v>4558</v>
      </c>
      <c r="B1397" s="3" t="s">
        <v>4654</v>
      </c>
      <c r="C1397" s="3" t="s">
        <v>237</v>
      </c>
      <c r="D1397" s="9">
        <v>366.6</v>
      </c>
      <c r="E1397" s="3"/>
      <c r="F1397" s="3"/>
      <c r="G1397" s="9"/>
      <c r="H1397" s="10">
        <v>45668.20925925926</v>
      </c>
      <c r="I1397" s="10">
        <v>45668.212037037039</v>
      </c>
      <c r="J1397" s="10">
        <v>45668.217060185183</v>
      </c>
      <c r="K1397" s="11">
        <v>5.0231481481481481E-3</v>
      </c>
      <c r="L1397" s="13">
        <v>2</v>
      </c>
    </row>
    <row r="1398" spans="1:12" x14ac:dyDescent="0.25">
      <c r="A1398" s="3" t="s">
        <v>4558</v>
      </c>
      <c r="B1398" s="3" t="s">
        <v>4655</v>
      </c>
      <c r="C1398" s="3" t="s">
        <v>238</v>
      </c>
      <c r="D1398" s="9">
        <v>382.7</v>
      </c>
      <c r="E1398" s="3"/>
      <c r="F1398" s="3"/>
      <c r="G1398" s="9"/>
      <c r="H1398" s="10">
        <v>45668.231203703697</v>
      </c>
      <c r="I1398" s="10">
        <v>45668.233981481477</v>
      </c>
      <c r="J1398" s="10">
        <v>45668.240300925929</v>
      </c>
      <c r="K1398" s="11">
        <v>6.3194444444444444E-3</v>
      </c>
      <c r="L1398" s="13">
        <v>3</v>
      </c>
    </row>
    <row r="1399" spans="1:12" x14ac:dyDescent="0.25">
      <c r="A1399" s="3" t="s">
        <v>4558</v>
      </c>
      <c r="B1399" s="3" t="s">
        <v>4656</v>
      </c>
      <c r="C1399" s="3" t="s">
        <v>239</v>
      </c>
      <c r="D1399" s="9">
        <v>554.1</v>
      </c>
      <c r="E1399" s="3"/>
      <c r="F1399" s="3"/>
      <c r="G1399" s="9"/>
      <c r="H1399" s="10">
        <v>45669.739560185182</v>
      </c>
      <c r="I1399" s="10">
        <v>45669.742337962962</v>
      </c>
      <c r="J1399" s="10">
        <v>45669.748865740738</v>
      </c>
      <c r="K1399" s="11">
        <v>6.5277777777777782E-3</v>
      </c>
      <c r="L1399" s="13">
        <v>2</v>
      </c>
    </row>
    <row r="1400" spans="1:12" x14ac:dyDescent="0.25">
      <c r="A1400" s="3" t="s">
        <v>4558</v>
      </c>
      <c r="B1400" s="3" t="s">
        <v>4657</v>
      </c>
      <c r="C1400" s="3" t="s">
        <v>240</v>
      </c>
      <c r="D1400" s="9">
        <v>208.1</v>
      </c>
      <c r="E1400" s="3"/>
      <c r="F1400" s="3"/>
      <c r="G1400" s="9"/>
      <c r="H1400" s="10">
        <v>45669.837060185193</v>
      </c>
      <c r="I1400" s="10">
        <v>45669.839837962973</v>
      </c>
      <c r="J1400" s="10">
        <v>45669.842592592591</v>
      </c>
      <c r="K1400" s="11">
        <v>2.754629629629629E-3</v>
      </c>
      <c r="L1400" s="13">
        <v>1</v>
      </c>
    </row>
    <row r="1401" spans="1:12" x14ac:dyDescent="0.25">
      <c r="A1401" s="3" t="s">
        <v>4558</v>
      </c>
      <c r="B1401" s="3" t="s">
        <v>4658</v>
      </c>
      <c r="C1401" s="3" t="s">
        <v>241</v>
      </c>
      <c r="D1401" s="9">
        <v>181.5</v>
      </c>
      <c r="E1401" s="3"/>
      <c r="F1401" s="3"/>
      <c r="G1401" s="9"/>
      <c r="H1401" s="10">
        <v>45670.105439814812</v>
      </c>
      <c r="I1401" s="10">
        <v>45670.108217592591</v>
      </c>
      <c r="J1401" s="10">
        <v>45670.110706018517</v>
      </c>
      <c r="K1401" s="11">
        <v>2.488425925925926E-3</v>
      </c>
      <c r="L1401" s="13">
        <v>1</v>
      </c>
    </row>
    <row r="1402" spans="1:12" x14ac:dyDescent="0.25">
      <c r="A1402" s="3" t="s">
        <v>4558</v>
      </c>
      <c r="B1402" s="3" t="s">
        <v>4659</v>
      </c>
      <c r="C1402" s="3" t="s">
        <v>242</v>
      </c>
      <c r="D1402" s="9">
        <v>301.2</v>
      </c>
      <c r="E1402" s="3"/>
      <c r="F1402" s="3"/>
      <c r="G1402" s="9"/>
      <c r="H1402" s="10">
        <v>45670.188796296286</v>
      </c>
      <c r="I1402" s="10">
        <v>45670.191574074073</v>
      </c>
      <c r="J1402" s="10">
        <v>45670.194004629629</v>
      </c>
      <c r="K1402" s="11">
        <v>2.430555555555556E-3</v>
      </c>
      <c r="L1402" s="13">
        <v>0</v>
      </c>
    </row>
    <row r="1403" spans="1:12" x14ac:dyDescent="0.25">
      <c r="A1403" s="3" t="s">
        <v>4558</v>
      </c>
      <c r="B1403" s="3" t="s">
        <v>4660</v>
      </c>
      <c r="C1403" s="3" t="s">
        <v>243</v>
      </c>
      <c r="D1403" s="9">
        <v>298</v>
      </c>
      <c r="E1403" s="3"/>
      <c r="F1403" s="3"/>
      <c r="G1403" s="9"/>
      <c r="H1403" s="10">
        <v>45670.255636574067</v>
      </c>
      <c r="I1403" s="10">
        <v>45670.258414351847</v>
      </c>
      <c r="J1403" s="10">
        <v>45670.260798611111</v>
      </c>
      <c r="K1403" s="11">
        <v>2.3842592592592591E-3</v>
      </c>
      <c r="L1403" s="13">
        <v>0</v>
      </c>
    </row>
    <row r="1404" spans="1:12" x14ac:dyDescent="0.25">
      <c r="A1404" s="3" t="s">
        <v>4558</v>
      </c>
      <c r="B1404" s="3" t="s">
        <v>4661</v>
      </c>
      <c r="C1404" s="3" t="s">
        <v>244</v>
      </c>
      <c r="D1404" s="9">
        <v>205.5</v>
      </c>
      <c r="E1404" s="3"/>
      <c r="F1404" s="3"/>
      <c r="G1404" s="9"/>
      <c r="H1404" s="10">
        <v>45670.295254629629</v>
      </c>
      <c r="I1404" s="10">
        <v>45670.298032407409</v>
      </c>
      <c r="J1404" s="10">
        <v>45670.299687500003</v>
      </c>
      <c r="K1404" s="11">
        <v>1.655092592592593E-3</v>
      </c>
      <c r="L1404" s="13">
        <v>0</v>
      </c>
    </row>
    <row r="1405" spans="1:12" x14ac:dyDescent="0.25">
      <c r="A1405" s="3" t="s">
        <v>4558</v>
      </c>
      <c r="B1405" s="3" t="s">
        <v>4662</v>
      </c>
      <c r="C1405" s="3" t="s">
        <v>245</v>
      </c>
      <c r="D1405" s="9">
        <v>397.3</v>
      </c>
      <c r="E1405" s="3"/>
      <c r="F1405" s="3"/>
      <c r="G1405" s="9"/>
      <c r="H1405" s="10">
        <v>45670.304189814808</v>
      </c>
      <c r="I1405" s="10">
        <v>45670.306967592587</v>
      </c>
      <c r="J1405" s="10">
        <v>45670.310150462959</v>
      </c>
      <c r="K1405" s="11">
        <v>3.1828703703703702E-3</v>
      </c>
      <c r="L1405" s="13">
        <v>0</v>
      </c>
    </row>
    <row r="1406" spans="1:12" x14ac:dyDescent="0.25">
      <c r="A1406" s="3" t="s">
        <v>4558</v>
      </c>
      <c r="B1406" s="3" t="s">
        <v>4663</v>
      </c>
      <c r="C1406" s="3" t="s">
        <v>246</v>
      </c>
      <c r="D1406" s="9">
        <v>497.3</v>
      </c>
      <c r="E1406" s="3"/>
      <c r="F1406" s="3"/>
      <c r="G1406" s="9"/>
      <c r="H1406" s="10">
        <v>45670.307256944441</v>
      </c>
      <c r="I1406" s="10">
        <v>45670.310034722221</v>
      </c>
      <c r="J1406" s="10">
        <v>45670.328043981477</v>
      </c>
      <c r="K1406" s="11">
        <v>1.800925925925926E-2</v>
      </c>
      <c r="L1406" s="13">
        <v>13</v>
      </c>
    </row>
    <row r="1407" spans="1:12" x14ac:dyDescent="0.25">
      <c r="A1407" s="3" t="s">
        <v>4558</v>
      </c>
      <c r="B1407" s="3" t="s">
        <v>4664</v>
      </c>
      <c r="C1407" s="3" t="s">
        <v>247</v>
      </c>
      <c r="D1407" s="9">
        <v>393.8</v>
      </c>
      <c r="E1407" s="3"/>
      <c r="F1407" s="3"/>
      <c r="G1407" s="9"/>
      <c r="H1407" s="10">
        <v>45670.377569444441</v>
      </c>
      <c r="I1407" s="10">
        <v>45670.380347222221</v>
      </c>
      <c r="J1407" s="10">
        <v>45670.384375000001</v>
      </c>
      <c r="K1407" s="11">
        <v>4.0277777777777777E-3</v>
      </c>
      <c r="L1407" s="13">
        <v>1</v>
      </c>
    </row>
    <row r="1408" spans="1:12" x14ac:dyDescent="0.25">
      <c r="A1408" s="3" t="s">
        <v>4558</v>
      </c>
      <c r="B1408" s="3" t="s">
        <v>4665</v>
      </c>
      <c r="C1408" s="3" t="s">
        <v>248</v>
      </c>
      <c r="D1408" s="9">
        <v>445.3</v>
      </c>
      <c r="E1408" s="3"/>
      <c r="F1408" s="3"/>
      <c r="G1408" s="9"/>
      <c r="H1408" s="10">
        <v>45670.378229166658</v>
      </c>
      <c r="I1408" s="10">
        <v>45670.381006944437</v>
      </c>
      <c r="J1408" s="10">
        <v>45670.394270833327</v>
      </c>
      <c r="K1408" s="11">
        <v>1.3263888888888889E-2</v>
      </c>
      <c r="L1408" s="13">
        <v>9</v>
      </c>
    </row>
    <row r="1409" spans="1:12" x14ac:dyDescent="0.25">
      <c r="A1409" s="3" t="s">
        <v>4558</v>
      </c>
      <c r="B1409" s="3" t="s">
        <v>4666</v>
      </c>
      <c r="C1409" s="3" t="s">
        <v>249</v>
      </c>
      <c r="D1409" s="9">
        <v>407.9</v>
      </c>
      <c r="E1409" s="3"/>
      <c r="F1409" s="3"/>
      <c r="G1409" s="9"/>
      <c r="H1409" s="10">
        <v>45670.421539351853</v>
      </c>
      <c r="I1409" s="10">
        <v>45670.424317129633</v>
      </c>
      <c r="J1409" s="10">
        <v>45670.429965277777</v>
      </c>
      <c r="K1409" s="11">
        <v>5.6481481481481478E-3</v>
      </c>
      <c r="L1409" s="13">
        <v>2</v>
      </c>
    </row>
    <row r="1410" spans="1:12" x14ac:dyDescent="0.25">
      <c r="A1410" s="3" t="s">
        <v>4558</v>
      </c>
      <c r="B1410" s="3" t="s">
        <v>4667</v>
      </c>
      <c r="C1410" s="3" t="s">
        <v>250</v>
      </c>
      <c r="D1410" s="9">
        <v>234.9</v>
      </c>
      <c r="E1410" s="3"/>
      <c r="F1410" s="3"/>
      <c r="G1410" s="9"/>
      <c r="H1410" s="10">
        <v>45670.513657407413</v>
      </c>
      <c r="I1410" s="10">
        <v>45670.516435185193</v>
      </c>
      <c r="J1410" s="10">
        <v>45670.518240740741</v>
      </c>
      <c r="K1410" s="11">
        <v>1.805555555555555E-3</v>
      </c>
      <c r="L1410" s="13">
        <v>0</v>
      </c>
    </row>
    <row r="1411" spans="1:12" x14ac:dyDescent="0.25">
      <c r="A1411" s="3" t="s">
        <v>4558</v>
      </c>
      <c r="B1411" s="3" t="s">
        <v>4668</v>
      </c>
      <c r="C1411" s="3" t="s">
        <v>251</v>
      </c>
      <c r="D1411" s="9">
        <v>388.3</v>
      </c>
      <c r="E1411" s="3"/>
      <c r="F1411" s="3"/>
      <c r="G1411" s="9"/>
      <c r="H1411" s="10">
        <v>45670.604490740741</v>
      </c>
      <c r="I1411" s="10">
        <v>45670.607268518521</v>
      </c>
      <c r="J1411" s="10">
        <v>45670.610532407409</v>
      </c>
      <c r="K1411" s="11">
        <v>3.2638888888888891E-3</v>
      </c>
      <c r="L1411" s="13">
        <v>0</v>
      </c>
    </row>
    <row r="1412" spans="1:12" x14ac:dyDescent="0.25">
      <c r="A1412" s="3" t="s">
        <v>4558</v>
      </c>
      <c r="B1412" s="3" t="s">
        <v>4669</v>
      </c>
      <c r="C1412" s="3" t="s">
        <v>252</v>
      </c>
      <c r="D1412" s="9">
        <v>367.5</v>
      </c>
      <c r="E1412" s="3"/>
      <c r="F1412" s="3"/>
      <c r="G1412" s="9"/>
      <c r="H1412" s="10">
        <v>45670.617893518523</v>
      </c>
      <c r="I1412" s="10">
        <v>45670.620671296303</v>
      </c>
      <c r="J1412" s="10">
        <v>45670.633564814823</v>
      </c>
      <c r="K1412" s="11">
        <v>1.2893518518518519E-2</v>
      </c>
      <c r="L1412" s="13">
        <v>10</v>
      </c>
    </row>
    <row r="1413" spans="1:12" x14ac:dyDescent="0.25">
      <c r="A1413" s="3" t="s">
        <v>4558</v>
      </c>
      <c r="B1413" s="3" t="s">
        <v>4670</v>
      </c>
      <c r="C1413" s="3" t="s">
        <v>253</v>
      </c>
      <c r="D1413" s="9">
        <v>393.5</v>
      </c>
      <c r="E1413" s="3"/>
      <c r="F1413" s="3"/>
      <c r="G1413" s="9"/>
      <c r="H1413" s="10">
        <v>45670.641481481478</v>
      </c>
      <c r="I1413" s="10">
        <v>45670.644259259258</v>
      </c>
      <c r="J1413" s="10">
        <v>45670.647291666668</v>
      </c>
      <c r="K1413" s="11">
        <v>3.0324074074074068E-3</v>
      </c>
      <c r="L1413" s="13">
        <v>0</v>
      </c>
    </row>
    <row r="1414" spans="1:12" x14ac:dyDescent="0.25">
      <c r="A1414" s="3" t="s">
        <v>4558</v>
      </c>
      <c r="B1414" s="3" t="s">
        <v>4671</v>
      </c>
      <c r="C1414" s="3" t="s">
        <v>254</v>
      </c>
      <c r="D1414" s="9">
        <v>387.6</v>
      </c>
      <c r="E1414" s="3"/>
      <c r="F1414" s="3"/>
      <c r="G1414" s="9"/>
      <c r="H1414" s="10">
        <v>45670.669652777768</v>
      </c>
      <c r="I1414" s="10">
        <v>45670.672430555547</v>
      </c>
      <c r="J1414" s="10">
        <v>45670.676793981482</v>
      </c>
      <c r="K1414" s="11">
        <v>4.363425925925926E-3</v>
      </c>
      <c r="L1414" s="13">
        <v>1</v>
      </c>
    </row>
    <row r="1415" spans="1:12" x14ac:dyDescent="0.25">
      <c r="A1415" s="3" t="s">
        <v>4558</v>
      </c>
      <c r="B1415" s="3" t="s">
        <v>4672</v>
      </c>
      <c r="C1415" s="3" t="s">
        <v>255</v>
      </c>
      <c r="D1415" s="9">
        <v>185.9</v>
      </c>
      <c r="E1415" s="3"/>
      <c r="F1415" s="3"/>
      <c r="G1415" s="9"/>
      <c r="H1415" s="10">
        <v>45670.728865740741</v>
      </c>
      <c r="I1415" s="10">
        <v>45670.73164351852</v>
      </c>
      <c r="J1415" s="10">
        <v>45670.733067129629</v>
      </c>
      <c r="K1415" s="11">
        <v>1.423611111111111E-3</v>
      </c>
      <c r="L1415" s="13">
        <v>0</v>
      </c>
    </row>
    <row r="1416" spans="1:12" x14ac:dyDescent="0.25">
      <c r="A1416" s="3" t="s">
        <v>4558</v>
      </c>
      <c r="B1416" s="3" t="s">
        <v>4673</v>
      </c>
      <c r="C1416" s="3" t="s">
        <v>256</v>
      </c>
      <c r="D1416" s="9">
        <v>389.1</v>
      </c>
      <c r="E1416" s="3"/>
      <c r="F1416" s="3"/>
      <c r="G1416" s="9"/>
      <c r="H1416" s="10">
        <v>45670.880254629628</v>
      </c>
      <c r="I1416" s="10">
        <v>45670.883032407408</v>
      </c>
      <c r="J1416" s="10">
        <v>45670.886307870373</v>
      </c>
      <c r="K1416" s="11">
        <v>3.2754629629629631E-3</v>
      </c>
      <c r="L1416" s="13">
        <v>0</v>
      </c>
    </row>
    <row r="1417" spans="1:12" x14ac:dyDescent="0.25">
      <c r="A1417" s="3" t="s">
        <v>4558</v>
      </c>
      <c r="B1417" s="3" t="s">
        <v>4674</v>
      </c>
      <c r="C1417" s="3" t="s">
        <v>257</v>
      </c>
      <c r="D1417" s="9">
        <v>147.4</v>
      </c>
      <c r="E1417" s="3"/>
      <c r="F1417" s="3"/>
      <c r="G1417" s="9"/>
      <c r="H1417" s="10">
        <v>45671.104409722233</v>
      </c>
      <c r="I1417" s="10">
        <v>45671.107187499998</v>
      </c>
      <c r="J1417" s="10">
        <v>45671.111342592587</v>
      </c>
      <c r="K1417" s="11">
        <v>4.1550925925925922E-3</v>
      </c>
      <c r="L1417" s="13">
        <v>3</v>
      </c>
    </row>
    <row r="1418" spans="1:12" x14ac:dyDescent="0.25">
      <c r="A1418" s="3" t="s">
        <v>4558</v>
      </c>
      <c r="B1418" s="3" t="s">
        <v>4675</v>
      </c>
      <c r="C1418" s="3" t="s">
        <v>258</v>
      </c>
      <c r="D1418" s="9">
        <v>297</v>
      </c>
      <c r="E1418" s="3"/>
      <c r="F1418" s="3"/>
      <c r="G1418" s="9"/>
      <c r="H1418" s="10">
        <v>45671.272777777784</v>
      </c>
      <c r="I1418" s="10">
        <v>45671.275555555563</v>
      </c>
      <c r="J1418" s="10">
        <v>45671.278043981481</v>
      </c>
      <c r="K1418" s="11">
        <v>2.488425925925926E-3</v>
      </c>
      <c r="L1418" s="13">
        <v>0</v>
      </c>
    </row>
    <row r="1419" spans="1:12" x14ac:dyDescent="0.25">
      <c r="A1419" s="3" t="s">
        <v>4558</v>
      </c>
      <c r="B1419" s="3" t="s">
        <v>4676</v>
      </c>
      <c r="C1419" s="3" t="s">
        <v>259</v>
      </c>
      <c r="D1419" s="9">
        <v>363.8</v>
      </c>
      <c r="E1419" s="3"/>
      <c r="F1419" s="3"/>
      <c r="G1419" s="9"/>
      <c r="H1419" s="10">
        <v>45671.278356481482</v>
      </c>
      <c r="I1419" s="10">
        <v>45671.281134259261</v>
      </c>
      <c r="J1419" s="10">
        <v>45671.289965277778</v>
      </c>
      <c r="K1419" s="11">
        <v>8.8310185185185193E-3</v>
      </c>
      <c r="L1419" s="13">
        <v>6</v>
      </c>
    </row>
    <row r="1420" spans="1:12" x14ac:dyDescent="0.25">
      <c r="A1420" s="3" t="s">
        <v>4558</v>
      </c>
      <c r="B1420" s="3" t="s">
        <v>4677</v>
      </c>
      <c r="C1420" s="3" t="s">
        <v>260</v>
      </c>
      <c r="D1420" s="9">
        <v>213.8</v>
      </c>
      <c r="E1420" s="3"/>
      <c r="F1420" s="3"/>
      <c r="G1420" s="9"/>
      <c r="H1420" s="10">
        <v>45671.307430555556</v>
      </c>
      <c r="I1420" s="10">
        <v>45671.310208333343</v>
      </c>
      <c r="J1420" s="10">
        <v>45671.311990740738</v>
      </c>
      <c r="K1420" s="11">
        <v>1.782407407407407E-3</v>
      </c>
      <c r="L1420" s="13">
        <v>0</v>
      </c>
    </row>
    <row r="1421" spans="1:12" x14ac:dyDescent="0.25">
      <c r="A1421" s="3" t="s">
        <v>4558</v>
      </c>
      <c r="B1421" s="3" t="s">
        <v>4678</v>
      </c>
      <c r="C1421" s="3" t="s">
        <v>261</v>
      </c>
      <c r="D1421" s="9">
        <v>389.8</v>
      </c>
      <c r="E1421" s="3"/>
      <c r="F1421" s="3"/>
      <c r="G1421" s="9"/>
      <c r="H1421" s="10">
        <v>45671.336168981477</v>
      </c>
      <c r="I1421" s="10">
        <v>45671.338946759257</v>
      </c>
      <c r="J1421" s="10">
        <v>45671.341724537036</v>
      </c>
      <c r="K1421" s="11">
        <v>2.7777777777777779E-3</v>
      </c>
      <c r="L1421" s="13">
        <v>0</v>
      </c>
    </row>
    <row r="1422" spans="1:12" x14ac:dyDescent="0.25">
      <c r="A1422" s="3" t="s">
        <v>4558</v>
      </c>
      <c r="B1422" s="3" t="s">
        <v>4679</v>
      </c>
      <c r="C1422" s="3" t="s">
        <v>262</v>
      </c>
      <c r="D1422" s="9">
        <v>591.6</v>
      </c>
      <c r="E1422" s="3"/>
      <c r="F1422" s="3"/>
      <c r="G1422" s="9"/>
      <c r="H1422" s="10">
        <v>45671.377557870372</v>
      </c>
      <c r="I1422" s="10">
        <v>45671.380335648151</v>
      </c>
      <c r="J1422" s="10">
        <v>45671.397465277783</v>
      </c>
      <c r="K1422" s="11">
        <v>1.712962962962963E-2</v>
      </c>
      <c r="L1422" s="13">
        <v>12</v>
      </c>
    </row>
    <row r="1423" spans="1:12" x14ac:dyDescent="0.25">
      <c r="A1423" s="3" t="s">
        <v>4558</v>
      </c>
      <c r="B1423" s="3" t="s">
        <v>4680</v>
      </c>
      <c r="C1423" s="3" t="s">
        <v>263</v>
      </c>
      <c r="D1423" s="9">
        <v>393.9</v>
      </c>
      <c r="E1423" s="3"/>
      <c r="F1423" s="3"/>
      <c r="G1423" s="9"/>
      <c r="H1423" s="10">
        <v>45671.380671296298</v>
      </c>
      <c r="I1423" s="10">
        <v>45671.383449074077</v>
      </c>
      <c r="J1423" s="10">
        <v>45671.388356481482</v>
      </c>
      <c r="K1423" s="11">
        <v>4.9074074074074072E-3</v>
      </c>
      <c r="L1423" s="13">
        <v>2</v>
      </c>
    </row>
    <row r="1424" spans="1:12" x14ac:dyDescent="0.25">
      <c r="A1424" s="3" t="s">
        <v>4558</v>
      </c>
      <c r="B1424" s="3" t="s">
        <v>4681</v>
      </c>
      <c r="C1424" s="3" t="s">
        <v>264</v>
      </c>
      <c r="D1424" s="9">
        <v>439.7</v>
      </c>
      <c r="E1424" s="3"/>
      <c r="F1424" s="3"/>
      <c r="G1424" s="9"/>
      <c r="H1424" s="10">
        <v>45671.411851851852</v>
      </c>
      <c r="I1424" s="10">
        <v>45671.414629629631</v>
      </c>
      <c r="J1424" s="10">
        <v>45671.419120370367</v>
      </c>
      <c r="K1424" s="11">
        <v>4.4907407407407396E-3</v>
      </c>
      <c r="L1424" s="13">
        <v>1</v>
      </c>
    </row>
    <row r="1425" spans="1:12" x14ac:dyDescent="0.25">
      <c r="A1425" s="3" t="s">
        <v>4558</v>
      </c>
      <c r="B1425" s="3" t="s">
        <v>4682</v>
      </c>
      <c r="C1425" s="3" t="s">
        <v>265</v>
      </c>
      <c r="D1425" s="9">
        <v>297.8</v>
      </c>
      <c r="E1425" s="3"/>
      <c r="F1425" s="3"/>
      <c r="G1425" s="9"/>
      <c r="H1425" s="10">
        <v>45671.537685185183</v>
      </c>
      <c r="I1425" s="10">
        <v>45671.540462962963</v>
      </c>
      <c r="J1425" s="10">
        <v>45671.542939814812</v>
      </c>
      <c r="K1425" s="11">
        <v>2.476851851851852E-3</v>
      </c>
      <c r="L1425" s="13">
        <v>0</v>
      </c>
    </row>
    <row r="1426" spans="1:12" x14ac:dyDescent="0.25">
      <c r="A1426" s="3" t="s">
        <v>4558</v>
      </c>
      <c r="B1426" s="3" t="s">
        <v>4683</v>
      </c>
      <c r="C1426" s="3" t="s">
        <v>266</v>
      </c>
      <c r="D1426" s="9">
        <v>225.6</v>
      </c>
      <c r="E1426" s="3"/>
      <c r="F1426" s="3"/>
      <c r="G1426" s="9"/>
      <c r="H1426" s="10">
        <v>45671.601724537039</v>
      </c>
      <c r="I1426" s="10">
        <v>45671.604502314818</v>
      </c>
      <c r="J1426" s="10">
        <v>45671.60628472222</v>
      </c>
      <c r="K1426" s="11">
        <v>1.782407407407407E-3</v>
      </c>
      <c r="L1426" s="13">
        <v>0</v>
      </c>
    </row>
    <row r="1427" spans="1:12" x14ac:dyDescent="0.25">
      <c r="A1427" s="3" t="s">
        <v>4558</v>
      </c>
      <c r="B1427" s="3" t="s">
        <v>4684</v>
      </c>
      <c r="C1427" s="3" t="s">
        <v>267</v>
      </c>
      <c r="D1427" s="9">
        <v>584.6</v>
      </c>
      <c r="E1427" s="3"/>
      <c r="F1427" s="3"/>
      <c r="G1427" s="9"/>
      <c r="H1427" s="10">
        <v>45671.622291666667</v>
      </c>
      <c r="I1427" s="10">
        <v>45671.625069444453</v>
      </c>
      <c r="J1427" s="10">
        <v>45671.641030092593</v>
      </c>
      <c r="K1427" s="11">
        <v>1.5960648148148151E-2</v>
      </c>
      <c r="L1427" s="13">
        <v>10</v>
      </c>
    </row>
    <row r="1428" spans="1:12" x14ac:dyDescent="0.25">
      <c r="A1428" s="3" t="s">
        <v>4558</v>
      </c>
      <c r="B1428" s="3" t="s">
        <v>4685</v>
      </c>
      <c r="C1428" s="3" t="s">
        <v>268</v>
      </c>
      <c r="D1428" s="9">
        <v>173.1</v>
      </c>
      <c r="E1428" s="3"/>
      <c r="F1428" s="3"/>
      <c r="G1428" s="9"/>
      <c r="H1428" s="10">
        <v>45671.646006944437</v>
      </c>
      <c r="I1428" s="10">
        <v>45671.648784722223</v>
      </c>
      <c r="J1428" s="10">
        <v>45671.650219907409</v>
      </c>
      <c r="K1428" s="11">
        <v>1.435185185185185E-3</v>
      </c>
      <c r="L1428" s="13">
        <v>0</v>
      </c>
    </row>
    <row r="1429" spans="1:12" x14ac:dyDescent="0.25">
      <c r="A1429" s="3" t="s">
        <v>4558</v>
      </c>
      <c r="B1429" s="3" t="s">
        <v>4686</v>
      </c>
      <c r="C1429" s="3" t="s">
        <v>269</v>
      </c>
      <c r="D1429" s="9">
        <v>40.9</v>
      </c>
      <c r="E1429" s="3"/>
      <c r="F1429" s="3"/>
      <c r="G1429" s="9"/>
      <c r="H1429" s="10">
        <v>45671.65347222222</v>
      </c>
      <c r="I1429" s="10">
        <v>45671.65625</v>
      </c>
      <c r="J1429" s="10">
        <v>45671.656597222223</v>
      </c>
      <c r="K1429" s="11">
        <v>3.4722222222222218E-4</v>
      </c>
      <c r="L1429" s="13">
        <v>0</v>
      </c>
    </row>
    <row r="1430" spans="1:12" x14ac:dyDescent="0.25">
      <c r="A1430" s="3" t="s">
        <v>4558</v>
      </c>
      <c r="B1430" s="3" t="s">
        <v>4687</v>
      </c>
      <c r="C1430" s="3" t="s">
        <v>270</v>
      </c>
      <c r="D1430" s="9">
        <v>490.1</v>
      </c>
      <c r="E1430" s="3"/>
      <c r="F1430" s="3"/>
      <c r="G1430" s="9"/>
      <c r="H1430" s="10">
        <v>45671.732743055552</v>
      </c>
      <c r="I1430" s="10">
        <v>45671.735520833332</v>
      </c>
      <c r="J1430" s="10">
        <v>45671.749641203707</v>
      </c>
      <c r="K1430" s="11">
        <v>1.412037037037037E-2</v>
      </c>
      <c r="L1430" s="13">
        <v>9</v>
      </c>
    </row>
    <row r="1431" spans="1:12" x14ac:dyDescent="0.25">
      <c r="A1431" s="3" t="s">
        <v>4558</v>
      </c>
      <c r="B1431" s="3" t="s">
        <v>4688</v>
      </c>
      <c r="C1431" s="3" t="s">
        <v>271</v>
      </c>
      <c r="D1431" s="9">
        <v>63</v>
      </c>
      <c r="E1431" s="3"/>
      <c r="F1431" s="3"/>
      <c r="G1431" s="9"/>
      <c r="H1431" s="10">
        <v>45671.74596064815</v>
      </c>
      <c r="I1431" s="10">
        <v>45671.748738425929</v>
      </c>
      <c r="J1431" s="10">
        <v>45671.749224537038</v>
      </c>
      <c r="K1431" s="11">
        <v>4.861111111111111E-4</v>
      </c>
      <c r="L1431" s="13">
        <v>0</v>
      </c>
    </row>
    <row r="1432" spans="1:12" x14ac:dyDescent="0.25">
      <c r="A1432" s="3" t="s">
        <v>4558</v>
      </c>
      <c r="B1432" s="3" t="s">
        <v>4689</v>
      </c>
      <c r="C1432" s="3" t="s">
        <v>272</v>
      </c>
      <c r="D1432" s="9">
        <v>15.7</v>
      </c>
      <c r="E1432" s="3"/>
      <c r="F1432" s="3"/>
      <c r="G1432" s="9"/>
      <c r="H1432" s="10">
        <v>45671.826018518521</v>
      </c>
      <c r="I1432" s="10">
        <v>45671.828796296293</v>
      </c>
      <c r="J1432" s="10">
        <v>45671.828935185193</v>
      </c>
      <c r="K1432" s="11">
        <v>1.3888888888888889E-4</v>
      </c>
      <c r="L1432" s="13">
        <v>0</v>
      </c>
    </row>
    <row r="1433" spans="1:12" x14ac:dyDescent="0.25">
      <c r="A1433" s="3" t="s">
        <v>4558</v>
      </c>
      <c r="B1433" s="3" t="s">
        <v>4690</v>
      </c>
      <c r="C1433" s="3" t="s">
        <v>273</v>
      </c>
      <c r="D1433" s="9">
        <v>313.2</v>
      </c>
      <c r="E1433" s="3"/>
      <c r="F1433" s="3"/>
      <c r="G1433" s="9"/>
      <c r="H1433" s="10">
        <v>45672.102152777778</v>
      </c>
      <c r="I1433" s="10">
        <v>45672.104930555557</v>
      </c>
      <c r="J1433" s="10">
        <v>45672.110208333332</v>
      </c>
      <c r="K1433" s="11">
        <v>5.2777777777777779E-3</v>
      </c>
      <c r="L1433" s="13">
        <v>3</v>
      </c>
    </row>
    <row r="1434" spans="1:12" x14ac:dyDescent="0.25">
      <c r="A1434" s="3" t="s">
        <v>4558</v>
      </c>
      <c r="B1434" s="3" t="s">
        <v>4691</v>
      </c>
      <c r="C1434" s="3" t="s">
        <v>274</v>
      </c>
      <c r="D1434" s="9">
        <v>521.9</v>
      </c>
      <c r="E1434" s="3"/>
      <c r="F1434" s="3"/>
      <c r="G1434" s="9"/>
      <c r="H1434" s="10">
        <v>45672.193923611107</v>
      </c>
      <c r="I1434" s="10">
        <v>45672.196701388893</v>
      </c>
      <c r="J1434" s="10">
        <v>45672.20108796296</v>
      </c>
      <c r="K1434" s="11">
        <v>4.386574074074074E-3</v>
      </c>
      <c r="L1434" s="13">
        <v>0</v>
      </c>
    </row>
    <row r="1435" spans="1:12" x14ac:dyDescent="0.25">
      <c r="A1435" s="3" t="s">
        <v>4558</v>
      </c>
      <c r="B1435" s="3" t="s">
        <v>4692</v>
      </c>
      <c r="C1435" s="3" t="s">
        <v>275</v>
      </c>
      <c r="D1435" s="9">
        <v>298</v>
      </c>
      <c r="E1435" s="3"/>
      <c r="F1435" s="3"/>
      <c r="G1435" s="9"/>
      <c r="H1435" s="10">
        <v>45672.272199074083</v>
      </c>
      <c r="I1435" s="10">
        <v>45672.274976851862</v>
      </c>
      <c r="J1435" s="10">
        <v>45672.277222222219</v>
      </c>
      <c r="K1435" s="11">
        <v>2.2453703703703698E-3</v>
      </c>
      <c r="L1435" s="13">
        <v>0</v>
      </c>
    </row>
    <row r="1436" spans="1:12" x14ac:dyDescent="0.25">
      <c r="A1436" s="3" t="s">
        <v>4558</v>
      </c>
      <c r="B1436" s="3" t="s">
        <v>4693</v>
      </c>
      <c r="C1436" s="3" t="s">
        <v>276</v>
      </c>
      <c r="D1436" s="9">
        <v>406.3</v>
      </c>
      <c r="E1436" s="3"/>
      <c r="F1436" s="3"/>
      <c r="G1436" s="9"/>
      <c r="H1436" s="10">
        <v>45672.299525462957</v>
      </c>
      <c r="I1436" s="10">
        <v>45672.302303240736</v>
      </c>
      <c r="J1436" s="10">
        <v>45672.314606481479</v>
      </c>
      <c r="K1436" s="11">
        <v>1.230324074074074E-2</v>
      </c>
      <c r="L1436" s="13">
        <v>8</v>
      </c>
    </row>
    <row r="1437" spans="1:12" x14ac:dyDescent="0.25">
      <c r="A1437" s="3" t="s">
        <v>4558</v>
      </c>
      <c r="B1437" s="3" t="s">
        <v>4694</v>
      </c>
      <c r="C1437" s="3" t="s">
        <v>277</v>
      </c>
      <c r="D1437" s="9">
        <v>257</v>
      </c>
      <c r="E1437" s="3"/>
      <c r="F1437" s="3"/>
      <c r="G1437" s="9"/>
      <c r="H1437" s="10">
        <v>45672.313298611109</v>
      </c>
      <c r="I1437" s="10">
        <v>45672.316076388888</v>
      </c>
      <c r="J1437" s="10">
        <v>45672.318009259259</v>
      </c>
      <c r="K1437" s="11">
        <v>1.93287037037037E-3</v>
      </c>
      <c r="L1437" s="13">
        <v>0</v>
      </c>
    </row>
    <row r="1438" spans="1:12" x14ac:dyDescent="0.25">
      <c r="A1438" s="3" t="s">
        <v>4558</v>
      </c>
      <c r="B1438" s="3" t="s">
        <v>4695</v>
      </c>
      <c r="C1438" s="3" t="s">
        <v>278</v>
      </c>
      <c r="D1438" s="9">
        <v>374.1</v>
      </c>
      <c r="E1438" s="3"/>
      <c r="F1438" s="3"/>
      <c r="G1438" s="9"/>
      <c r="H1438" s="10">
        <v>45672.337858796287</v>
      </c>
      <c r="I1438" s="10">
        <v>45672.340636574067</v>
      </c>
      <c r="J1438" s="10">
        <v>45672.3434375</v>
      </c>
      <c r="K1438" s="11">
        <v>2.8009259259259259E-3</v>
      </c>
      <c r="L1438" s="13">
        <v>0</v>
      </c>
    </row>
    <row r="1439" spans="1:12" x14ac:dyDescent="0.25">
      <c r="A1439" s="3" t="s">
        <v>4558</v>
      </c>
      <c r="B1439" s="3" t="s">
        <v>4696</v>
      </c>
      <c r="C1439" s="3" t="s">
        <v>279</v>
      </c>
      <c r="D1439" s="9">
        <v>285.7</v>
      </c>
      <c r="E1439" s="3"/>
      <c r="F1439" s="3"/>
      <c r="G1439" s="9"/>
      <c r="H1439" s="10">
        <v>45672.372581018521</v>
      </c>
      <c r="I1439" s="10">
        <v>45672.375358796293</v>
      </c>
      <c r="J1439" s="10">
        <v>45672.384895833333</v>
      </c>
      <c r="K1439" s="11">
        <v>9.5370370370370366E-3</v>
      </c>
      <c r="L1439" s="13">
        <v>7</v>
      </c>
    </row>
    <row r="1440" spans="1:12" x14ac:dyDescent="0.25">
      <c r="A1440" s="3" t="s">
        <v>4558</v>
      </c>
      <c r="B1440" s="3" t="s">
        <v>4697</v>
      </c>
      <c r="C1440" s="3" t="s">
        <v>280</v>
      </c>
      <c r="D1440" s="9">
        <v>355.3</v>
      </c>
      <c r="E1440" s="3"/>
      <c r="F1440" s="3"/>
      <c r="G1440" s="9"/>
      <c r="H1440" s="10">
        <v>45672.38071759259</v>
      </c>
      <c r="I1440" s="10">
        <v>45672.38349537037</v>
      </c>
      <c r="J1440" s="10">
        <v>45672.387129629627</v>
      </c>
      <c r="K1440" s="11">
        <v>3.634259259259259E-3</v>
      </c>
      <c r="L1440" s="13">
        <v>1</v>
      </c>
    </row>
    <row r="1441" spans="1:12" x14ac:dyDescent="0.25">
      <c r="A1441" s="3" t="s">
        <v>4558</v>
      </c>
      <c r="B1441" s="3" t="s">
        <v>4698</v>
      </c>
      <c r="C1441" s="3" t="s">
        <v>281</v>
      </c>
      <c r="D1441" s="9">
        <v>273.60000000000002</v>
      </c>
      <c r="E1441" s="3"/>
      <c r="F1441" s="3"/>
      <c r="G1441" s="9"/>
      <c r="H1441" s="10">
        <v>45672.41679398148</v>
      </c>
      <c r="I1441" s="10">
        <v>45672.419571759259</v>
      </c>
      <c r="J1441" s="10">
        <v>45672.422858796293</v>
      </c>
      <c r="K1441" s="11">
        <v>3.2870370370370371E-3</v>
      </c>
      <c r="L1441" s="13">
        <v>1</v>
      </c>
    </row>
    <row r="1442" spans="1:12" x14ac:dyDescent="0.25">
      <c r="A1442" s="3" t="s">
        <v>4558</v>
      </c>
      <c r="B1442" s="3" t="s">
        <v>4699</v>
      </c>
      <c r="C1442" s="3" t="s">
        <v>282</v>
      </c>
      <c r="D1442" s="9">
        <v>120.9</v>
      </c>
      <c r="E1442" s="3"/>
      <c r="F1442" s="3"/>
      <c r="G1442" s="9"/>
      <c r="H1442" s="10">
        <v>45672.54278935185</v>
      </c>
      <c r="I1442" s="10">
        <v>45672.545567129629</v>
      </c>
      <c r="J1442" s="10">
        <v>45672.54650462963</v>
      </c>
      <c r="K1442" s="11">
        <v>9.3749999999999997E-4</v>
      </c>
      <c r="L1442" s="13">
        <v>0</v>
      </c>
    </row>
    <row r="1443" spans="1:12" x14ac:dyDescent="0.25">
      <c r="A1443" s="3" t="s">
        <v>4558</v>
      </c>
      <c r="B1443" s="3" t="s">
        <v>4700</v>
      </c>
      <c r="C1443" s="3" t="s">
        <v>283</v>
      </c>
      <c r="D1443" s="9">
        <v>515.6</v>
      </c>
      <c r="E1443" s="3"/>
      <c r="F1443" s="3"/>
      <c r="G1443" s="9"/>
      <c r="H1443" s="10">
        <v>45672.630208333343</v>
      </c>
      <c r="I1443" s="10">
        <v>45672.632986111108</v>
      </c>
      <c r="J1443" s="10">
        <v>45672.646828703713</v>
      </c>
      <c r="K1443" s="11">
        <v>1.384259259259259E-2</v>
      </c>
      <c r="L1443" s="13">
        <v>9</v>
      </c>
    </row>
    <row r="1444" spans="1:12" x14ac:dyDescent="0.25">
      <c r="A1444" s="3" t="s">
        <v>4558</v>
      </c>
      <c r="B1444" s="3" t="s">
        <v>4701</v>
      </c>
      <c r="C1444" s="3" t="s">
        <v>284</v>
      </c>
      <c r="D1444" s="9">
        <v>110.2</v>
      </c>
      <c r="E1444" s="3"/>
      <c r="F1444" s="3"/>
      <c r="G1444" s="9"/>
      <c r="H1444" s="10">
        <v>45672.649178240739</v>
      </c>
      <c r="I1444" s="10">
        <v>45672.651956018519</v>
      </c>
      <c r="J1444" s="10">
        <v>45672.65284722222</v>
      </c>
      <c r="K1444" s="11">
        <v>8.9120370370370373E-4</v>
      </c>
      <c r="L1444" s="13">
        <v>0</v>
      </c>
    </row>
    <row r="1445" spans="1:12" x14ac:dyDescent="0.25">
      <c r="A1445" s="3" t="s">
        <v>4558</v>
      </c>
      <c r="B1445" s="3" t="s">
        <v>4702</v>
      </c>
      <c r="C1445" s="3" t="s">
        <v>285</v>
      </c>
      <c r="D1445" s="9">
        <v>325.39999999999998</v>
      </c>
      <c r="E1445" s="3"/>
      <c r="F1445" s="3"/>
      <c r="G1445" s="9"/>
      <c r="H1445" s="10">
        <v>45672.720648148148</v>
      </c>
      <c r="I1445" s="10">
        <v>45672.723425925928</v>
      </c>
      <c r="J1445" s="10">
        <v>45672.725960648153</v>
      </c>
      <c r="K1445" s="11">
        <v>2.5347222222222221E-3</v>
      </c>
      <c r="L1445" s="13">
        <v>0</v>
      </c>
    </row>
    <row r="1446" spans="1:12" x14ac:dyDescent="0.25">
      <c r="A1446" s="3" t="s">
        <v>4558</v>
      </c>
      <c r="B1446" s="3" t="s">
        <v>4703</v>
      </c>
      <c r="C1446" s="3" t="s">
        <v>286</v>
      </c>
      <c r="D1446" s="9">
        <v>296.60000000000002</v>
      </c>
      <c r="E1446" s="3"/>
      <c r="F1446" s="3"/>
      <c r="G1446" s="9"/>
      <c r="H1446" s="10">
        <v>45672.737673611111</v>
      </c>
      <c r="I1446" s="10">
        <v>45672.740451388891</v>
      </c>
      <c r="J1446" s="10">
        <v>45672.753611111111</v>
      </c>
      <c r="K1446" s="11">
        <v>1.315972222222222E-2</v>
      </c>
      <c r="L1446" s="13">
        <v>10</v>
      </c>
    </row>
    <row r="1447" spans="1:12" x14ac:dyDescent="0.25">
      <c r="A1447" s="3" t="s">
        <v>4558</v>
      </c>
      <c r="B1447" s="3" t="s">
        <v>4704</v>
      </c>
      <c r="C1447" s="3" t="s">
        <v>287</v>
      </c>
      <c r="D1447" s="9">
        <v>200.3</v>
      </c>
      <c r="E1447" s="3"/>
      <c r="F1447" s="3"/>
      <c r="G1447" s="9"/>
      <c r="H1447" s="10">
        <v>45673.112557870372</v>
      </c>
      <c r="I1447" s="10">
        <v>45673.115335648137</v>
      </c>
      <c r="J1447" s="10">
        <v>45673.119375000002</v>
      </c>
      <c r="K1447" s="11">
        <v>4.0393518518518521E-3</v>
      </c>
      <c r="L1447" s="13">
        <v>2</v>
      </c>
    </row>
    <row r="1448" spans="1:12" x14ac:dyDescent="0.25">
      <c r="A1448" s="3" t="s">
        <v>4558</v>
      </c>
      <c r="B1448" s="3" t="s">
        <v>4705</v>
      </c>
      <c r="C1448" s="3" t="s">
        <v>288</v>
      </c>
      <c r="D1448" s="9">
        <v>297</v>
      </c>
      <c r="E1448" s="3"/>
      <c r="F1448" s="3"/>
      <c r="G1448" s="9"/>
      <c r="H1448" s="10">
        <v>45673.26699074074</v>
      </c>
      <c r="I1448" s="10">
        <v>45673.269768518519</v>
      </c>
      <c r="J1448" s="10">
        <v>45673.271932870368</v>
      </c>
      <c r="K1448" s="11">
        <v>2.1643518518518522E-3</v>
      </c>
      <c r="L1448" s="13">
        <v>0</v>
      </c>
    </row>
    <row r="1449" spans="1:12" x14ac:dyDescent="0.25">
      <c r="A1449" s="3" t="s">
        <v>4558</v>
      </c>
      <c r="B1449" s="3" t="s">
        <v>4706</v>
      </c>
      <c r="C1449" s="3" t="s">
        <v>290</v>
      </c>
      <c r="D1449" s="9">
        <v>126</v>
      </c>
      <c r="E1449" s="3"/>
      <c r="F1449" s="3"/>
      <c r="G1449" s="9"/>
      <c r="H1449" s="10">
        <v>45673.302766203713</v>
      </c>
      <c r="I1449" s="10">
        <v>45673.305543981478</v>
      </c>
      <c r="J1449" s="10">
        <v>45673.306631944448</v>
      </c>
      <c r="K1449" s="11">
        <v>1.0879629629629631E-3</v>
      </c>
      <c r="L1449" s="13">
        <v>0</v>
      </c>
    </row>
    <row r="1450" spans="1:12" x14ac:dyDescent="0.25">
      <c r="A1450" s="3" t="s">
        <v>4558</v>
      </c>
      <c r="B1450" s="3" t="s">
        <v>4707</v>
      </c>
      <c r="C1450" s="3" t="s">
        <v>289</v>
      </c>
      <c r="D1450" s="9">
        <v>390.7</v>
      </c>
      <c r="E1450" s="3"/>
      <c r="F1450" s="3"/>
      <c r="G1450" s="9"/>
      <c r="H1450" s="10">
        <v>45673.303553240738</v>
      </c>
      <c r="I1450" s="10">
        <v>45673.306331018517</v>
      </c>
      <c r="J1450" s="10">
        <v>45673.318541666667</v>
      </c>
      <c r="K1450" s="11">
        <v>1.2210648148148149E-2</v>
      </c>
      <c r="L1450" s="13">
        <v>10</v>
      </c>
    </row>
    <row r="1451" spans="1:12" x14ac:dyDescent="0.25">
      <c r="A1451" s="3" t="s">
        <v>4558</v>
      </c>
      <c r="B1451" s="3" t="s">
        <v>4708</v>
      </c>
      <c r="C1451" s="3" t="s">
        <v>291</v>
      </c>
      <c r="D1451" s="9">
        <v>396.6</v>
      </c>
      <c r="E1451" s="3"/>
      <c r="F1451" s="3"/>
      <c r="G1451" s="9"/>
      <c r="H1451" s="10">
        <v>45673.332905092589</v>
      </c>
      <c r="I1451" s="10">
        <v>45673.335682870369</v>
      </c>
      <c r="J1451" s="10">
        <v>45673.338576388887</v>
      </c>
      <c r="K1451" s="11">
        <v>2.8935185185185179E-3</v>
      </c>
      <c r="L1451" s="13">
        <v>0</v>
      </c>
    </row>
    <row r="1452" spans="1:12" x14ac:dyDescent="0.25">
      <c r="A1452" s="3" t="s">
        <v>4558</v>
      </c>
      <c r="B1452" s="3" t="s">
        <v>4709</v>
      </c>
      <c r="C1452" s="3" t="s">
        <v>292</v>
      </c>
      <c r="D1452" s="9">
        <v>417.5</v>
      </c>
      <c r="E1452" s="3"/>
      <c r="F1452" s="3"/>
      <c r="G1452" s="9"/>
      <c r="H1452" s="10">
        <v>45673.377962962957</v>
      </c>
      <c r="I1452" s="10">
        <v>45673.380740740737</v>
      </c>
      <c r="J1452" s="10">
        <v>45673.394224537027</v>
      </c>
      <c r="K1452" s="11">
        <v>1.3483796296296299E-2</v>
      </c>
      <c r="L1452" s="13">
        <v>9</v>
      </c>
    </row>
    <row r="1453" spans="1:12" x14ac:dyDescent="0.25">
      <c r="A1453" s="3" t="s">
        <v>4558</v>
      </c>
      <c r="B1453" s="3" t="s">
        <v>4710</v>
      </c>
      <c r="C1453" s="3" t="s">
        <v>293</v>
      </c>
      <c r="D1453" s="9">
        <v>389.4</v>
      </c>
      <c r="E1453" s="3"/>
      <c r="F1453" s="3"/>
      <c r="G1453" s="9"/>
      <c r="H1453" s="10">
        <v>45673.378217592603</v>
      </c>
      <c r="I1453" s="10">
        <v>45673.380995370368</v>
      </c>
      <c r="J1453" s="10">
        <v>45673.385254629633</v>
      </c>
      <c r="K1453" s="11">
        <v>4.2592592592592604E-3</v>
      </c>
      <c r="L1453" s="13">
        <v>1</v>
      </c>
    </row>
    <row r="1454" spans="1:12" x14ac:dyDescent="0.25">
      <c r="A1454" s="3" t="s">
        <v>4558</v>
      </c>
      <c r="B1454" s="3" t="s">
        <v>4711</v>
      </c>
      <c r="C1454" s="3" t="s">
        <v>294</v>
      </c>
      <c r="D1454" s="9">
        <v>359.3</v>
      </c>
      <c r="E1454" s="3"/>
      <c r="F1454" s="3"/>
      <c r="G1454" s="9"/>
      <c r="H1454" s="10">
        <v>45673.443576388891</v>
      </c>
      <c r="I1454" s="10">
        <v>45673.44635416667</v>
      </c>
      <c r="J1454" s="10">
        <v>45673.45034722222</v>
      </c>
      <c r="K1454" s="11">
        <v>3.9930555555555552E-3</v>
      </c>
      <c r="L1454" s="13">
        <v>1</v>
      </c>
    </row>
    <row r="1455" spans="1:12" x14ac:dyDescent="0.25">
      <c r="A1455" s="3" t="s">
        <v>4558</v>
      </c>
      <c r="B1455" s="3" t="s">
        <v>4712</v>
      </c>
      <c r="C1455" s="3" t="s">
        <v>295</v>
      </c>
      <c r="D1455" s="9">
        <v>173</v>
      </c>
      <c r="E1455" s="3"/>
      <c r="F1455" s="3"/>
      <c r="G1455" s="9"/>
      <c r="H1455" s="10">
        <v>45673.534050925933</v>
      </c>
      <c r="I1455" s="10">
        <v>45673.536828703713</v>
      </c>
      <c r="J1455" s="10">
        <v>45673.538124999999</v>
      </c>
      <c r="K1455" s="11">
        <v>1.296296296296296E-3</v>
      </c>
      <c r="L1455" s="13">
        <v>0</v>
      </c>
    </row>
    <row r="1456" spans="1:12" x14ac:dyDescent="0.25">
      <c r="A1456" s="3" t="s">
        <v>4558</v>
      </c>
      <c r="B1456" s="3" t="s">
        <v>4713</v>
      </c>
      <c r="C1456" s="3" t="s">
        <v>296</v>
      </c>
      <c r="D1456" s="9">
        <v>233.9</v>
      </c>
      <c r="E1456" s="3"/>
      <c r="F1456" s="3"/>
      <c r="G1456" s="9"/>
      <c r="H1456" s="10">
        <v>45673.60701388889</v>
      </c>
      <c r="I1456" s="10">
        <v>45673.609791666669</v>
      </c>
      <c r="J1456" s="10">
        <v>45673.611689814818</v>
      </c>
      <c r="K1456" s="11">
        <v>1.8981481481481479E-3</v>
      </c>
      <c r="L1456" s="13">
        <v>0</v>
      </c>
    </row>
    <row r="1457" spans="1:12" x14ac:dyDescent="0.25">
      <c r="A1457" s="3" t="s">
        <v>4558</v>
      </c>
      <c r="B1457" s="3" t="s">
        <v>4714</v>
      </c>
      <c r="C1457" s="3" t="s">
        <v>297</v>
      </c>
      <c r="D1457" s="9">
        <v>338.9</v>
      </c>
      <c r="E1457" s="3"/>
      <c r="F1457" s="3"/>
      <c r="G1457" s="9"/>
      <c r="H1457" s="10">
        <v>45673.616747685177</v>
      </c>
      <c r="I1457" s="10">
        <v>45673.619525462957</v>
      </c>
      <c r="J1457" s="10">
        <v>45673.627893518518</v>
      </c>
      <c r="K1457" s="11">
        <v>8.3680555555555557E-3</v>
      </c>
      <c r="L1457" s="13">
        <v>6</v>
      </c>
    </row>
    <row r="1458" spans="1:12" x14ac:dyDescent="0.25">
      <c r="A1458" s="3" t="s">
        <v>4558</v>
      </c>
      <c r="B1458" s="3" t="s">
        <v>4715</v>
      </c>
      <c r="C1458" s="3" t="s">
        <v>298</v>
      </c>
      <c r="D1458" s="9">
        <v>63</v>
      </c>
      <c r="E1458" s="3"/>
      <c r="F1458" s="3"/>
      <c r="G1458" s="9"/>
      <c r="H1458" s="10">
        <v>45673.644942129627</v>
      </c>
      <c r="I1458" s="10">
        <v>45673.647719907407</v>
      </c>
      <c r="J1458" s="10">
        <v>45673.648229166669</v>
      </c>
      <c r="K1458" s="11">
        <v>5.0925925925925921E-4</v>
      </c>
      <c r="L1458" s="13">
        <v>0</v>
      </c>
    </row>
    <row r="1459" spans="1:12" x14ac:dyDescent="0.25">
      <c r="A1459" s="3" t="s">
        <v>4558</v>
      </c>
      <c r="B1459" s="3" t="s">
        <v>4716</v>
      </c>
      <c r="C1459" s="3" t="s">
        <v>299</v>
      </c>
      <c r="D1459" s="9">
        <v>119.3</v>
      </c>
      <c r="E1459" s="3"/>
      <c r="F1459" s="3"/>
      <c r="G1459" s="9"/>
      <c r="H1459" s="10">
        <v>45673.672453703701</v>
      </c>
      <c r="I1459" s="10">
        <v>45673.67523148148</v>
      </c>
      <c r="J1459" s="10">
        <v>45673.677094907413</v>
      </c>
      <c r="K1459" s="11">
        <v>1.8634259259259259E-3</v>
      </c>
      <c r="L1459" s="13">
        <v>1</v>
      </c>
    </row>
    <row r="1460" spans="1:12" x14ac:dyDescent="0.25">
      <c r="A1460" s="3" t="s">
        <v>4558</v>
      </c>
      <c r="B1460" s="3" t="s">
        <v>4717</v>
      </c>
      <c r="C1460" s="3" t="s">
        <v>300</v>
      </c>
      <c r="D1460" s="9">
        <v>503.1</v>
      </c>
      <c r="E1460" s="3"/>
      <c r="F1460" s="3"/>
      <c r="G1460" s="9"/>
      <c r="H1460" s="10">
        <v>45673.729490740741</v>
      </c>
      <c r="I1460" s="10">
        <v>45673.732268518521</v>
      </c>
      <c r="J1460" s="10">
        <v>45673.740648148138</v>
      </c>
      <c r="K1460" s="11">
        <v>8.3796296296296292E-3</v>
      </c>
      <c r="L1460" s="13">
        <v>4</v>
      </c>
    </row>
    <row r="1461" spans="1:12" x14ac:dyDescent="0.25">
      <c r="A1461" s="3" t="s">
        <v>4558</v>
      </c>
      <c r="B1461" s="3" t="s">
        <v>4718</v>
      </c>
      <c r="C1461" s="3" t="s">
        <v>301</v>
      </c>
      <c r="D1461" s="9">
        <v>221</v>
      </c>
      <c r="E1461" s="3"/>
      <c r="F1461" s="3"/>
      <c r="G1461" s="9"/>
      <c r="H1461" s="10">
        <v>45673.837245370371</v>
      </c>
      <c r="I1461" s="10">
        <v>45673.84002314815</v>
      </c>
      <c r="J1461" s="10">
        <v>45673.847500000003</v>
      </c>
      <c r="K1461" s="11">
        <v>7.4768518518518517E-3</v>
      </c>
      <c r="L1461" s="13">
        <v>6</v>
      </c>
    </row>
    <row r="1462" spans="1:12" x14ac:dyDescent="0.25">
      <c r="A1462" s="3" t="s">
        <v>4558</v>
      </c>
      <c r="B1462" s="3" t="s">
        <v>4719</v>
      </c>
      <c r="C1462" s="3" t="s">
        <v>302</v>
      </c>
      <c r="D1462" s="9">
        <v>209.3</v>
      </c>
      <c r="E1462" s="3"/>
      <c r="F1462" s="3"/>
      <c r="G1462" s="9"/>
      <c r="H1462" s="10">
        <v>45674.116030092591</v>
      </c>
      <c r="I1462" s="10">
        <v>45674.118807870371</v>
      </c>
      <c r="J1462" s="10">
        <v>45674.123738425929</v>
      </c>
      <c r="K1462" s="11">
        <v>4.9305555555555552E-3</v>
      </c>
      <c r="L1462" s="13">
        <v>3</v>
      </c>
    </row>
    <row r="1463" spans="1:12" x14ac:dyDescent="0.25">
      <c r="A1463" s="3" t="s">
        <v>4558</v>
      </c>
      <c r="B1463" s="3" t="s">
        <v>4720</v>
      </c>
      <c r="C1463" s="3" t="s">
        <v>303</v>
      </c>
      <c r="D1463" s="9">
        <v>513.29999999999995</v>
      </c>
      <c r="E1463" s="3"/>
      <c r="F1463" s="3"/>
      <c r="G1463" s="9"/>
      <c r="H1463" s="10">
        <v>45674.18712962963</v>
      </c>
      <c r="I1463" s="10">
        <v>45674.18990740741</v>
      </c>
      <c r="J1463" s="10">
        <v>45674.193738425929</v>
      </c>
      <c r="K1463" s="11">
        <v>3.8310185185185179E-3</v>
      </c>
      <c r="L1463" s="13">
        <v>0</v>
      </c>
    </row>
    <row r="1464" spans="1:12" x14ac:dyDescent="0.25">
      <c r="A1464" s="3" t="s">
        <v>4558</v>
      </c>
      <c r="B1464" s="3" t="s">
        <v>4721</v>
      </c>
      <c r="C1464" s="3" t="s">
        <v>304</v>
      </c>
      <c r="D1464" s="9">
        <v>297</v>
      </c>
      <c r="E1464" s="3"/>
      <c r="F1464" s="3"/>
      <c r="G1464" s="9"/>
      <c r="H1464" s="10">
        <v>45674.271886574083</v>
      </c>
      <c r="I1464" s="10">
        <v>45674.274664351848</v>
      </c>
      <c r="J1464" s="10">
        <v>45674.277071759258</v>
      </c>
      <c r="K1464" s="11">
        <v>2.407407407407408E-3</v>
      </c>
      <c r="L1464" s="13">
        <v>0</v>
      </c>
    </row>
    <row r="1465" spans="1:12" x14ac:dyDescent="0.25">
      <c r="A1465" s="3" t="s">
        <v>4558</v>
      </c>
      <c r="B1465" s="3" t="s">
        <v>4722</v>
      </c>
      <c r="C1465" s="3" t="s">
        <v>305</v>
      </c>
      <c r="D1465" s="9">
        <v>492.3</v>
      </c>
      <c r="E1465" s="3"/>
      <c r="F1465" s="3"/>
      <c r="G1465" s="9"/>
      <c r="H1465" s="10">
        <v>45674.292395833327</v>
      </c>
      <c r="I1465" s="10">
        <v>45674.295173611114</v>
      </c>
      <c r="J1465" s="10">
        <v>45674.306620370371</v>
      </c>
      <c r="K1465" s="11">
        <v>1.1446759259259261E-2</v>
      </c>
      <c r="L1465" s="13">
        <v>8</v>
      </c>
    </row>
    <row r="1466" spans="1:12" x14ac:dyDescent="0.25">
      <c r="A1466" s="3" t="s">
        <v>4558</v>
      </c>
      <c r="B1466" s="3" t="s">
        <v>4723</v>
      </c>
      <c r="C1466" s="3" t="s">
        <v>306</v>
      </c>
      <c r="D1466" s="9">
        <v>339.8</v>
      </c>
      <c r="E1466" s="3"/>
      <c r="F1466" s="3"/>
      <c r="G1466" s="9"/>
      <c r="H1466" s="10">
        <v>45674.313402777778</v>
      </c>
      <c r="I1466" s="10">
        <v>45674.316180555557</v>
      </c>
      <c r="J1466" s="10">
        <v>45674.318715277783</v>
      </c>
      <c r="K1466" s="11">
        <v>2.5347222222222221E-3</v>
      </c>
      <c r="L1466" s="13">
        <v>0</v>
      </c>
    </row>
    <row r="1467" spans="1:12" x14ac:dyDescent="0.25">
      <c r="A1467" s="3" t="s">
        <v>4558</v>
      </c>
      <c r="B1467" s="3" t="s">
        <v>4724</v>
      </c>
      <c r="C1467" s="3" t="s">
        <v>307</v>
      </c>
      <c r="D1467" s="9">
        <v>287.89999999999998</v>
      </c>
      <c r="E1467" s="3"/>
      <c r="F1467" s="3"/>
      <c r="G1467" s="9"/>
      <c r="H1467" s="10">
        <v>45674.334537037037</v>
      </c>
      <c r="I1467" s="10">
        <v>45674.337314814817</v>
      </c>
      <c r="J1467" s="10">
        <v>45674.339629629627</v>
      </c>
      <c r="K1467" s="11">
        <v>2.3148148148148151E-3</v>
      </c>
      <c r="L1467" s="13">
        <v>0</v>
      </c>
    </row>
    <row r="1468" spans="1:12" x14ac:dyDescent="0.25">
      <c r="A1468" s="3" t="s">
        <v>4558</v>
      </c>
      <c r="B1468" s="3" t="s">
        <v>4725</v>
      </c>
      <c r="C1468" s="3" t="s">
        <v>308</v>
      </c>
      <c r="D1468" s="9">
        <v>560.6</v>
      </c>
      <c r="E1468" s="3"/>
      <c r="F1468" s="3"/>
      <c r="G1468" s="9"/>
      <c r="H1468" s="10">
        <v>45674.361875000002</v>
      </c>
      <c r="I1468" s="10">
        <v>45674.364652777767</v>
      </c>
      <c r="J1468" s="10">
        <v>45674.378877314812</v>
      </c>
      <c r="K1468" s="11">
        <v>1.4224537037037041E-2</v>
      </c>
      <c r="L1468" s="13">
        <v>9</v>
      </c>
    </row>
    <row r="1469" spans="1:12" x14ac:dyDescent="0.25">
      <c r="A1469" s="3" t="s">
        <v>4558</v>
      </c>
      <c r="B1469" s="3" t="s">
        <v>4726</v>
      </c>
      <c r="C1469" s="3" t="s">
        <v>309</v>
      </c>
      <c r="D1469" s="9">
        <v>336.5</v>
      </c>
      <c r="E1469" s="3"/>
      <c r="F1469" s="3"/>
      <c r="G1469" s="9"/>
      <c r="H1469" s="10">
        <v>45674.368784722217</v>
      </c>
      <c r="I1469" s="10">
        <v>45674.371562499997</v>
      </c>
      <c r="J1469" s="10">
        <v>45674.3750462963</v>
      </c>
      <c r="K1469" s="11">
        <v>3.483796296296296E-3</v>
      </c>
      <c r="L1469" s="13">
        <v>1</v>
      </c>
    </row>
    <row r="1470" spans="1:12" x14ac:dyDescent="0.25">
      <c r="A1470" s="3" t="s">
        <v>4558</v>
      </c>
      <c r="B1470" s="3" t="s">
        <v>4727</v>
      </c>
      <c r="C1470" s="3" t="s">
        <v>310</v>
      </c>
      <c r="D1470" s="9">
        <v>443.2</v>
      </c>
      <c r="E1470" s="3"/>
      <c r="F1470" s="3"/>
      <c r="G1470" s="9"/>
      <c r="H1470" s="10">
        <v>45674.42564814815</v>
      </c>
      <c r="I1470" s="10">
        <v>45674.428425925929</v>
      </c>
      <c r="J1470" s="10">
        <v>45674.433437500003</v>
      </c>
      <c r="K1470" s="11">
        <v>5.0115740740740737E-3</v>
      </c>
      <c r="L1470" s="13">
        <v>1</v>
      </c>
    </row>
    <row r="1471" spans="1:12" x14ac:dyDescent="0.25">
      <c r="A1471" s="3" t="s">
        <v>4558</v>
      </c>
      <c r="B1471" s="3" t="s">
        <v>4728</v>
      </c>
      <c r="C1471" s="3" t="s">
        <v>311</v>
      </c>
      <c r="D1471" s="9">
        <v>238.4</v>
      </c>
      <c r="E1471" s="3"/>
      <c r="F1471" s="3"/>
      <c r="G1471" s="9"/>
      <c r="H1471" s="10">
        <v>45674.536481481482</v>
      </c>
      <c r="I1471" s="10">
        <v>45674.539259259262</v>
      </c>
      <c r="J1471" s="10">
        <v>45674.541076388887</v>
      </c>
      <c r="K1471" s="11">
        <v>1.8171296296296299E-3</v>
      </c>
      <c r="L1471" s="13">
        <v>0</v>
      </c>
    </row>
    <row r="1472" spans="1:12" x14ac:dyDescent="0.25">
      <c r="A1472" s="3" t="s">
        <v>4558</v>
      </c>
      <c r="B1472" s="3" t="s">
        <v>4729</v>
      </c>
      <c r="C1472" s="3" t="s">
        <v>312</v>
      </c>
      <c r="D1472" s="9">
        <v>220.4</v>
      </c>
      <c r="E1472" s="3"/>
      <c r="F1472" s="3"/>
      <c r="G1472" s="9"/>
      <c r="H1472" s="10">
        <v>45674.649745370371</v>
      </c>
      <c r="I1472" s="10">
        <v>45674.65252314815</v>
      </c>
      <c r="J1472" s="10">
        <v>45674.654444444437</v>
      </c>
      <c r="K1472" s="11">
        <v>1.9212962962962959E-3</v>
      </c>
      <c r="L1472" s="13">
        <v>0</v>
      </c>
    </row>
    <row r="1473" spans="1:12" x14ac:dyDescent="0.25">
      <c r="A1473" s="3" t="s">
        <v>4558</v>
      </c>
      <c r="B1473" s="3" t="s">
        <v>4730</v>
      </c>
      <c r="C1473" s="3" t="s">
        <v>313</v>
      </c>
      <c r="D1473" s="9">
        <v>302.10000000000002</v>
      </c>
      <c r="E1473" s="3"/>
      <c r="F1473" s="3"/>
      <c r="G1473" s="9"/>
      <c r="H1473" s="10">
        <v>45674.731377314813</v>
      </c>
      <c r="I1473" s="10">
        <v>45674.734155092592</v>
      </c>
      <c r="J1473" s="10">
        <v>45674.736458333333</v>
      </c>
      <c r="K1473" s="11">
        <v>2.3032407407407411E-3</v>
      </c>
      <c r="L1473" s="13">
        <v>0</v>
      </c>
    </row>
    <row r="1474" spans="1:12" x14ac:dyDescent="0.25">
      <c r="A1474" s="3" t="s">
        <v>4558</v>
      </c>
      <c r="B1474" s="3" t="s">
        <v>4731</v>
      </c>
      <c r="C1474" s="3" t="s">
        <v>314</v>
      </c>
      <c r="D1474" s="9">
        <v>110.2</v>
      </c>
      <c r="E1474" s="3"/>
      <c r="F1474" s="3"/>
      <c r="G1474" s="9"/>
      <c r="H1474" s="10">
        <v>45674.751597222217</v>
      </c>
      <c r="I1474" s="10">
        <v>45674.754374999997</v>
      </c>
      <c r="J1474" s="10">
        <v>45674.755335648151</v>
      </c>
      <c r="K1474" s="11">
        <v>9.6064814814814819E-4</v>
      </c>
      <c r="L1474" s="13">
        <v>0</v>
      </c>
    </row>
    <row r="1475" spans="1:12" x14ac:dyDescent="0.25">
      <c r="A1475" s="3" t="s">
        <v>4558</v>
      </c>
      <c r="B1475" s="3" t="s">
        <v>4732</v>
      </c>
      <c r="C1475" s="3" t="s">
        <v>315</v>
      </c>
      <c r="D1475" s="9">
        <v>345</v>
      </c>
      <c r="E1475" s="3"/>
      <c r="F1475" s="3"/>
      <c r="G1475" s="9"/>
      <c r="H1475" s="10">
        <v>45674.839930555558</v>
      </c>
      <c r="I1475" s="10">
        <v>45674.84270833333</v>
      </c>
      <c r="J1475" s="10">
        <v>45674.852395833332</v>
      </c>
      <c r="K1475" s="11">
        <v>9.6874999999999999E-3</v>
      </c>
      <c r="L1475" s="13">
        <v>7</v>
      </c>
    </row>
    <row r="1476" spans="1:12" x14ac:dyDescent="0.25">
      <c r="A1476" s="3" t="s">
        <v>4558</v>
      </c>
      <c r="B1476" s="3" t="s">
        <v>4733</v>
      </c>
      <c r="C1476" s="3" t="s">
        <v>316</v>
      </c>
      <c r="D1476" s="9">
        <v>371.5</v>
      </c>
      <c r="E1476" s="3"/>
      <c r="F1476" s="3"/>
      <c r="G1476" s="9"/>
      <c r="H1476" s="10">
        <v>45675.018622685187</v>
      </c>
      <c r="I1476" s="10">
        <v>45675.02140046296</v>
      </c>
      <c r="J1476" s="10">
        <v>45675.028078703697</v>
      </c>
      <c r="K1476" s="11">
        <v>6.6782407407407407E-3</v>
      </c>
      <c r="L1476" s="13">
        <v>3</v>
      </c>
    </row>
    <row r="1477" spans="1:12" x14ac:dyDescent="0.25">
      <c r="A1477" s="3" t="s">
        <v>4558</v>
      </c>
      <c r="B1477" s="3" t="s">
        <v>4734</v>
      </c>
      <c r="C1477" s="3" t="s">
        <v>317</v>
      </c>
      <c r="D1477" s="9">
        <v>413.1</v>
      </c>
      <c r="E1477" s="3"/>
      <c r="F1477" s="3"/>
      <c r="G1477" s="9"/>
      <c r="H1477" s="10">
        <v>45675.240439814806</v>
      </c>
      <c r="I1477" s="10">
        <v>45675.243217592593</v>
      </c>
      <c r="J1477" s="10">
        <v>45675.248379629629</v>
      </c>
      <c r="K1477" s="11">
        <v>5.162037037037037E-3</v>
      </c>
      <c r="L1477" s="13">
        <v>2</v>
      </c>
    </row>
    <row r="1478" spans="1:12" x14ac:dyDescent="0.25">
      <c r="A1478" s="3" t="s">
        <v>4558</v>
      </c>
      <c r="B1478" s="3" t="s">
        <v>4735</v>
      </c>
      <c r="C1478" s="3" t="s">
        <v>318</v>
      </c>
      <c r="D1478" s="9">
        <v>256.8</v>
      </c>
      <c r="E1478" s="3"/>
      <c r="F1478" s="3"/>
      <c r="G1478" s="9"/>
      <c r="H1478" s="10">
        <v>45675.270335648151</v>
      </c>
      <c r="I1478" s="10">
        <v>45675.273113425923</v>
      </c>
      <c r="J1478" s="10">
        <v>45675.28565972222</v>
      </c>
      <c r="K1478" s="11">
        <v>1.25462962962963E-2</v>
      </c>
      <c r="L1478" s="13">
        <v>9</v>
      </c>
    </row>
    <row r="1479" spans="1:12" x14ac:dyDescent="0.25">
      <c r="A1479" s="3" t="s">
        <v>4558</v>
      </c>
      <c r="B1479" s="3" t="s">
        <v>4736</v>
      </c>
      <c r="C1479" s="3" t="s">
        <v>319</v>
      </c>
      <c r="D1479" s="9">
        <v>592.20000000000005</v>
      </c>
      <c r="E1479" s="3"/>
      <c r="F1479" s="3"/>
      <c r="G1479" s="9"/>
      <c r="H1479" s="10">
        <v>45676.732233796298</v>
      </c>
      <c r="I1479" s="10">
        <v>45676.735011574077</v>
      </c>
      <c r="J1479" s="10">
        <v>45676.740543981483</v>
      </c>
      <c r="K1479" s="11">
        <v>5.5324074074074078E-3</v>
      </c>
      <c r="L1479" s="13">
        <v>1</v>
      </c>
    </row>
    <row r="1480" spans="1:12" x14ac:dyDescent="0.25">
      <c r="A1480" s="3" t="s">
        <v>4558</v>
      </c>
      <c r="B1480" s="3" t="s">
        <v>4737</v>
      </c>
      <c r="C1480" s="3" t="s">
        <v>320</v>
      </c>
      <c r="D1480" s="9">
        <v>170.2</v>
      </c>
      <c r="E1480" s="3"/>
      <c r="F1480" s="3"/>
      <c r="G1480" s="9"/>
      <c r="H1480" s="10">
        <v>45676.843807870369</v>
      </c>
      <c r="I1480" s="10">
        <v>45676.846585648149</v>
      </c>
      <c r="J1480" s="10">
        <v>45676.849224537043</v>
      </c>
      <c r="K1480" s="11">
        <v>2.638888888888889E-3</v>
      </c>
      <c r="L1480" s="13">
        <v>1</v>
      </c>
    </row>
    <row r="1481" spans="1:12" x14ac:dyDescent="0.25">
      <c r="A1481" s="3" t="s">
        <v>4558</v>
      </c>
      <c r="B1481" s="3" t="s">
        <v>4738</v>
      </c>
      <c r="C1481" s="3" t="s">
        <v>321</v>
      </c>
      <c r="D1481" s="9">
        <v>260.7</v>
      </c>
      <c r="E1481" s="3"/>
      <c r="F1481" s="3"/>
      <c r="G1481" s="9"/>
      <c r="H1481" s="10">
        <v>45677.104780092603</v>
      </c>
      <c r="I1481" s="10">
        <v>45677.107557870368</v>
      </c>
      <c r="J1481" s="10">
        <v>45677.112557870372</v>
      </c>
      <c r="K1481" s="11">
        <v>5.0000000000000001E-3</v>
      </c>
      <c r="L1481" s="13">
        <v>3</v>
      </c>
    </row>
    <row r="1482" spans="1:12" x14ac:dyDescent="0.25">
      <c r="A1482" s="3" t="s">
        <v>4558</v>
      </c>
      <c r="B1482" s="3" t="s">
        <v>4739</v>
      </c>
      <c r="C1482" s="3" t="s">
        <v>322</v>
      </c>
      <c r="D1482" s="9">
        <v>329.7</v>
      </c>
      <c r="E1482" s="3"/>
      <c r="F1482" s="3"/>
      <c r="G1482" s="9"/>
      <c r="H1482" s="10">
        <v>45677.190393518518</v>
      </c>
      <c r="I1482" s="10">
        <v>45677.193171296298</v>
      </c>
      <c r="J1482" s="10">
        <v>45677.196053240739</v>
      </c>
      <c r="K1482" s="11">
        <v>2.8819444444444439E-3</v>
      </c>
      <c r="L1482" s="13">
        <v>0</v>
      </c>
    </row>
    <row r="1483" spans="1:12" x14ac:dyDescent="0.25">
      <c r="A1483" s="3" t="s">
        <v>4558</v>
      </c>
      <c r="B1483" s="3" t="s">
        <v>4740</v>
      </c>
      <c r="C1483" s="3" t="s">
        <v>323</v>
      </c>
      <c r="D1483" s="9">
        <v>293.39999999999998</v>
      </c>
      <c r="E1483" s="3"/>
      <c r="F1483" s="3"/>
      <c r="G1483" s="9"/>
      <c r="H1483" s="10">
        <v>45677.249432870369</v>
      </c>
      <c r="I1483" s="10">
        <v>45677.252210648148</v>
      </c>
      <c r="J1483" s="10">
        <v>45677.25445601852</v>
      </c>
      <c r="K1483" s="11">
        <v>2.2453703703703698E-3</v>
      </c>
      <c r="L1483" s="13">
        <v>0</v>
      </c>
    </row>
    <row r="1484" spans="1:12" x14ac:dyDescent="0.25">
      <c r="A1484" s="3" t="s">
        <v>4558</v>
      </c>
      <c r="B1484" s="3" t="s">
        <v>4741</v>
      </c>
      <c r="C1484" s="3" t="s">
        <v>324</v>
      </c>
      <c r="D1484" s="9">
        <v>594.29999999999995</v>
      </c>
      <c r="E1484" s="3"/>
      <c r="F1484" s="3"/>
      <c r="G1484" s="9"/>
      <c r="H1484" s="10">
        <v>45677.304560185177</v>
      </c>
      <c r="I1484" s="10">
        <v>45677.307337962957</v>
      </c>
      <c r="J1484" s="10">
        <v>45677.329710648148</v>
      </c>
      <c r="K1484" s="11">
        <v>2.237268518518519E-2</v>
      </c>
      <c r="L1484" s="13">
        <v>15</v>
      </c>
    </row>
    <row r="1485" spans="1:12" x14ac:dyDescent="0.25">
      <c r="A1485" s="3" t="s">
        <v>4558</v>
      </c>
      <c r="B1485" s="3" t="s">
        <v>4742</v>
      </c>
      <c r="C1485" s="3" t="s">
        <v>325</v>
      </c>
      <c r="D1485" s="9">
        <v>380.8</v>
      </c>
      <c r="E1485" s="3"/>
      <c r="F1485" s="3"/>
      <c r="G1485" s="9"/>
      <c r="H1485" s="10">
        <v>45677.3122337963</v>
      </c>
      <c r="I1485" s="10">
        <v>45677.315011574072</v>
      </c>
      <c r="J1485" s="10">
        <v>45677.317916666667</v>
      </c>
      <c r="K1485" s="11">
        <v>2.9050925925925928E-3</v>
      </c>
      <c r="L1485" s="13">
        <v>0</v>
      </c>
    </row>
    <row r="1486" spans="1:12" x14ac:dyDescent="0.25">
      <c r="A1486" s="3" t="s">
        <v>4558</v>
      </c>
      <c r="B1486" s="3" t="s">
        <v>4743</v>
      </c>
      <c r="C1486" s="3" t="s">
        <v>326</v>
      </c>
      <c r="D1486" s="9">
        <v>330.8</v>
      </c>
      <c r="E1486" s="3"/>
      <c r="F1486" s="3"/>
      <c r="G1486" s="9"/>
      <c r="H1486" s="10">
        <v>45677.31453703704</v>
      </c>
      <c r="I1486" s="10">
        <v>45677.317314814813</v>
      </c>
      <c r="J1486" s="10">
        <v>45677.319780092592</v>
      </c>
      <c r="K1486" s="11">
        <v>2.465277777777778E-3</v>
      </c>
      <c r="L1486" s="13">
        <v>0</v>
      </c>
    </row>
    <row r="1487" spans="1:12" x14ac:dyDescent="0.25">
      <c r="A1487" s="3" t="s">
        <v>4558</v>
      </c>
      <c r="B1487" s="3" t="s">
        <v>4744</v>
      </c>
      <c r="C1487" s="3" t="s">
        <v>327</v>
      </c>
      <c r="D1487" s="9">
        <v>520.79999999999995</v>
      </c>
      <c r="E1487" s="3"/>
      <c r="F1487" s="3"/>
      <c r="G1487" s="9"/>
      <c r="H1487" s="10">
        <v>45677.366689814808</v>
      </c>
      <c r="I1487" s="10">
        <v>45677.369467592587</v>
      </c>
      <c r="J1487" s="10">
        <v>45677.387754629628</v>
      </c>
      <c r="K1487" s="11">
        <v>1.8287037037037039E-2</v>
      </c>
      <c r="L1487" s="13">
        <v>12</v>
      </c>
    </row>
    <row r="1488" spans="1:12" x14ac:dyDescent="0.25">
      <c r="A1488" s="3" t="s">
        <v>4558</v>
      </c>
      <c r="B1488" s="3" t="s">
        <v>4745</v>
      </c>
      <c r="C1488" s="3" t="s">
        <v>328</v>
      </c>
      <c r="D1488" s="9">
        <v>386.4</v>
      </c>
      <c r="E1488" s="3"/>
      <c r="F1488" s="3"/>
      <c r="G1488" s="9"/>
      <c r="H1488" s="10">
        <v>45677.376423611109</v>
      </c>
      <c r="I1488" s="10">
        <v>45677.379201388889</v>
      </c>
      <c r="J1488" s="10">
        <v>45677.383333333331</v>
      </c>
      <c r="K1488" s="11">
        <v>4.1319444444444442E-3</v>
      </c>
      <c r="L1488" s="13">
        <v>1</v>
      </c>
    </row>
    <row r="1489" spans="1:12" x14ac:dyDescent="0.25">
      <c r="A1489" s="3" t="s">
        <v>4558</v>
      </c>
      <c r="B1489" s="3" t="s">
        <v>4746</v>
      </c>
      <c r="C1489" s="3" t="s">
        <v>329</v>
      </c>
      <c r="D1489" s="9">
        <v>319.7</v>
      </c>
      <c r="E1489" s="3"/>
      <c r="F1489" s="3"/>
      <c r="G1489" s="9"/>
      <c r="H1489" s="10">
        <v>45677.442164351851</v>
      </c>
      <c r="I1489" s="10">
        <v>45677.44494212963</v>
      </c>
      <c r="J1489" s="10">
        <v>45677.449571759258</v>
      </c>
      <c r="K1489" s="11">
        <v>4.6296296296296294E-3</v>
      </c>
      <c r="L1489" s="13">
        <v>2</v>
      </c>
    </row>
    <row r="1490" spans="1:12" x14ac:dyDescent="0.25">
      <c r="A1490" s="3" t="s">
        <v>4558</v>
      </c>
      <c r="B1490" s="3" t="s">
        <v>4747</v>
      </c>
      <c r="C1490" s="3" t="s">
        <v>330</v>
      </c>
      <c r="D1490" s="9">
        <v>105</v>
      </c>
      <c r="E1490" s="3"/>
      <c r="F1490" s="3"/>
      <c r="G1490" s="9"/>
      <c r="H1490" s="10">
        <v>45677.532546296286</v>
      </c>
      <c r="I1490" s="10">
        <v>45677.535324074073</v>
      </c>
      <c r="J1490" s="10">
        <v>45677.536215277767</v>
      </c>
      <c r="K1490" s="11">
        <v>8.9120370370370373E-4</v>
      </c>
      <c r="L1490" s="13">
        <v>0</v>
      </c>
    </row>
    <row r="1491" spans="1:12" x14ac:dyDescent="0.25">
      <c r="A1491" s="3" t="s">
        <v>4558</v>
      </c>
      <c r="B1491" s="3" t="s">
        <v>4748</v>
      </c>
      <c r="C1491" s="3" t="s">
        <v>331</v>
      </c>
      <c r="D1491" s="9">
        <v>389.1</v>
      </c>
      <c r="E1491" s="3"/>
      <c r="F1491" s="3"/>
      <c r="G1491" s="9"/>
      <c r="H1491" s="10">
        <v>45677.601840277777</v>
      </c>
      <c r="I1491" s="10">
        <v>45677.604618055557</v>
      </c>
      <c r="J1491" s="10">
        <v>45677.607592592591</v>
      </c>
      <c r="K1491" s="11">
        <v>2.9745370370370368E-3</v>
      </c>
      <c r="L1491" s="13">
        <v>0</v>
      </c>
    </row>
    <row r="1492" spans="1:12" x14ac:dyDescent="0.25">
      <c r="A1492" s="3" t="s">
        <v>4558</v>
      </c>
      <c r="B1492" s="3" t="s">
        <v>4749</v>
      </c>
      <c r="C1492" s="3" t="s">
        <v>332</v>
      </c>
      <c r="D1492" s="9">
        <v>301.5</v>
      </c>
      <c r="E1492" s="3"/>
      <c r="F1492" s="3"/>
      <c r="G1492" s="9"/>
      <c r="H1492" s="10">
        <v>45677.632118055553</v>
      </c>
      <c r="I1492" s="10">
        <v>45677.634895833333</v>
      </c>
      <c r="J1492" s="10">
        <v>45677.647430555553</v>
      </c>
      <c r="K1492" s="11">
        <v>1.253472222222222E-2</v>
      </c>
      <c r="L1492" s="13">
        <v>9</v>
      </c>
    </row>
    <row r="1493" spans="1:12" x14ac:dyDescent="0.25">
      <c r="A1493" s="3" t="s">
        <v>4558</v>
      </c>
      <c r="B1493" s="3" t="s">
        <v>4750</v>
      </c>
      <c r="C1493" s="3" t="s">
        <v>333</v>
      </c>
      <c r="D1493" s="9">
        <v>229.6</v>
      </c>
      <c r="E1493" s="3"/>
      <c r="F1493" s="3"/>
      <c r="G1493" s="9"/>
      <c r="H1493" s="10">
        <v>45677.659131944441</v>
      </c>
      <c r="I1493" s="10">
        <v>45677.661909722221</v>
      </c>
      <c r="J1493" s="10">
        <v>45677.664953703701</v>
      </c>
      <c r="K1493" s="11">
        <v>3.0439814814814808E-3</v>
      </c>
      <c r="L1493" s="13">
        <v>1</v>
      </c>
    </row>
    <row r="1494" spans="1:12" x14ac:dyDescent="0.25">
      <c r="A1494" s="3" t="s">
        <v>4558</v>
      </c>
      <c r="B1494" s="3" t="s">
        <v>4751</v>
      </c>
      <c r="C1494" s="3" t="s">
        <v>334</v>
      </c>
      <c r="D1494" s="9">
        <v>110.2</v>
      </c>
      <c r="E1494" s="3"/>
      <c r="F1494" s="3"/>
      <c r="G1494" s="9"/>
      <c r="H1494" s="10">
        <v>45677.660428240742</v>
      </c>
      <c r="I1494" s="10">
        <v>45677.663206018522</v>
      </c>
      <c r="J1494" s="10">
        <v>45677.664097222223</v>
      </c>
      <c r="K1494" s="11">
        <v>8.9120370370370373E-4</v>
      </c>
      <c r="L1494" s="13">
        <v>0</v>
      </c>
    </row>
    <row r="1495" spans="1:12" x14ac:dyDescent="0.25">
      <c r="A1495" s="3" t="s">
        <v>4558</v>
      </c>
      <c r="B1495" s="3" t="s">
        <v>4752</v>
      </c>
      <c r="C1495" s="3" t="s">
        <v>335</v>
      </c>
      <c r="D1495" s="9">
        <v>325.39999999999998</v>
      </c>
      <c r="E1495" s="3"/>
      <c r="F1495" s="3"/>
      <c r="G1495" s="9"/>
      <c r="H1495" s="10">
        <v>45677.710173611107</v>
      </c>
      <c r="I1495" s="10">
        <v>45677.712951388887</v>
      </c>
      <c r="J1495" s="10">
        <v>45677.715462962973</v>
      </c>
      <c r="K1495" s="11">
        <v>2.5115740740740741E-3</v>
      </c>
      <c r="L1495" s="13">
        <v>0</v>
      </c>
    </row>
    <row r="1496" spans="1:12" x14ac:dyDescent="0.25">
      <c r="A1496" s="3" t="s">
        <v>4558</v>
      </c>
      <c r="B1496" s="3" t="s">
        <v>4753</v>
      </c>
      <c r="C1496" s="3" t="s">
        <v>336</v>
      </c>
      <c r="D1496" s="9">
        <v>398</v>
      </c>
      <c r="E1496" s="3"/>
      <c r="F1496" s="3"/>
      <c r="G1496" s="9"/>
      <c r="H1496" s="10">
        <v>45677.877893518518</v>
      </c>
      <c r="I1496" s="10">
        <v>45677.880671296298</v>
      </c>
      <c r="J1496" s="10">
        <v>45677.883819444447</v>
      </c>
      <c r="K1496" s="11">
        <v>3.1481481481481482E-3</v>
      </c>
      <c r="L1496" s="13">
        <v>0</v>
      </c>
    </row>
    <row r="1497" spans="1:12" x14ac:dyDescent="0.25">
      <c r="A1497" s="3" t="s">
        <v>4558</v>
      </c>
      <c r="B1497" s="3" t="s">
        <v>4754</v>
      </c>
      <c r="C1497" s="3" t="s">
        <v>337</v>
      </c>
      <c r="D1497" s="9">
        <v>315.60000000000002</v>
      </c>
      <c r="E1497" s="3"/>
      <c r="F1497" s="3"/>
      <c r="G1497" s="9"/>
      <c r="H1497" s="10">
        <v>45678.119456018518</v>
      </c>
      <c r="I1497" s="10">
        <v>45678.122233796297</v>
      </c>
      <c r="J1497" s="10">
        <v>45678.128692129627</v>
      </c>
      <c r="K1497" s="11">
        <v>6.4583333333333333E-3</v>
      </c>
      <c r="L1497" s="13">
        <v>4</v>
      </c>
    </row>
    <row r="1498" spans="1:12" x14ac:dyDescent="0.25">
      <c r="A1498" s="3" t="s">
        <v>4558</v>
      </c>
      <c r="B1498" s="3" t="s">
        <v>4755</v>
      </c>
      <c r="C1498" s="3" t="s">
        <v>338</v>
      </c>
      <c r="D1498" s="9">
        <v>233.1</v>
      </c>
      <c r="E1498" s="3"/>
      <c r="F1498" s="3"/>
      <c r="G1498" s="9"/>
      <c r="H1498" s="10">
        <v>45678.276944444442</v>
      </c>
      <c r="I1498" s="10">
        <v>45678.279722222222</v>
      </c>
      <c r="J1498" s="10">
        <v>45678.281574074077</v>
      </c>
      <c r="K1498" s="11">
        <v>1.8518518518518519E-3</v>
      </c>
      <c r="L1498" s="13">
        <v>0</v>
      </c>
    </row>
    <row r="1499" spans="1:12" x14ac:dyDescent="0.25">
      <c r="A1499" s="3" t="s">
        <v>4558</v>
      </c>
      <c r="B1499" s="3" t="s">
        <v>4756</v>
      </c>
      <c r="C1499" s="3" t="s">
        <v>339</v>
      </c>
      <c r="D1499" s="9">
        <v>395</v>
      </c>
      <c r="E1499" s="3"/>
      <c r="F1499" s="3"/>
      <c r="G1499" s="9"/>
      <c r="H1499" s="10">
        <v>45678.302858796298</v>
      </c>
      <c r="I1499" s="10">
        <v>45678.305636574078</v>
      </c>
      <c r="J1499" s="10">
        <v>45678.317754629628</v>
      </c>
      <c r="K1499" s="11">
        <v>1.2118055555555561E-2</v>
      </c>
      <c r="L1499" s="13">
        <v>9</v>
      </c>
    </row>
    <row r="1500" spans="1:12" x14ac:dyDescent="0.25">
      <c r="A1500" s="3" t="s">
        <v>4558</v>
      </c>
      <c r="B1500" s="3" t="s">
        <v>4757</v>
      </c>
      <c r="C1500" s="3" t="s">
        <v>340</v>
      </c>
      <c r="D1500" s="9">
        <v>381.6</v>
      </c>
      <c r="E1500" s="3"/>
      <c r="F1500" s="3"/>
      <c r="G1500" s="9"/>
      <c r="H1500" s="10">
        <v>45678.307997685188</v>
      </c>
      <c r="I1500" s="10">
        <v>45678.31077546296</v>
      </c>
      <c r="J1500" s="10">
        <v>45678.313796296286</v>
      </c>
      <c r="K1500" s="11">
        <v>3.0208333333333328E-3</v>
      </c>
      <c r="L1500" s="13">
        <v>0</v>
      </c>
    </row>
    <row r="1501" spans="1:12" x14ac:dyDescent="0.25">
      <c r="A1501" s="3" t="s">
        <v>4558</v>
      </c>
      <c r="B1501" s="3" t="s">
        <v>4758</v>
      </c>
      <c r="C1501" s="3" t="s">
        <v>341</v>
      </c>
      <c r="D1501" s="9">
        <v>339.1</v>
      </c>
      <c r="E1501" s="3"/>
      <c r="F1501" s="3"/>
      <c r="G1501" s="9"/>
      <c r="H1501" s="10">
        <v>45678.31585648148</v>
      </c>
      <c r="I1501" s="10">
        <v>45678.31863425926</v>
      </c>
      <c r="J1501" s="10">
        <v>45678.321377314824</v>
      </c>
      <c r="K1501" s="11">
        <v>2.743055555555555E-3</v>
      </c>
      <c r="L1501" s="13">
        <v>0</v>
      </c>
    </row>
    <row r="1502" spans="1:12" x14ac:dyDescent="0.25">
      <c r="A1502" s="3" t="s">
        <v>4558</v>
      </c>
      <c r="B1502" s="3" t="s">
        <v>4759</v>
      </c>
      <c r="C1502" s="3" t="s">
        <v>342</v>
      </c>
      <c r="D1502" s="9">
        <v>469.5</v>
      </c>
      <c r="E1502" s="3"/>
      <c r="F1502" s="3"/>
      <c r="G1502" s="9"/>
      <c r="H1502" s="10">
        <v>45678.368298611109</v>
      </c>
      <c r="I1502" s="10">
        <v>45678.371076388888</v>
      </c>
      <c r="J1502" s="10">
        <v>45678.383483796293</v>
      </c>
      <c r="K1502" s="11">
        <v>1.240740740740741E-2</v>
      </c>
      <c r="L1502" s="13">
        <v>8</v>
      </c>
    </row>
    <row r="1503" spans="1:12" x14ac:dyDescent="0.25">
      <c r="A1503" s="3" t="s">
        <v>4558</v>
      </c>
      <c r="B1503" s="3" t="s">
        <v>4760</v>
      </c>
      <c r="C1503" s="3" t="s">
        <v>343</v>
      </c>
      <c r="D1503" s="9">
        <v>114.8</v>
      </c>
      <c r="E1503" s="3"/>
      <c r="F1503" s="3"/>
      <c r="G1503" s="9"/>
      <c r="H1503" s="10">
        <v>45678.377430555563</v>
      </c>
      <c r="I1503" s="10">
        <v>45678.380208333343</v>
      </c>
      <c r="J1503" s="10">
        <v>45678.382152777784</v>
      </c>
      <c r="K1503" s="11">
        <v>1.944444444444444E-3</v>
      </c>
      <c r="L1503" s="13">
        <v>1</v>
      </c>
    </row>
    <row r="1504" spans="1:12" x14ac:dyDescent="0.25">
      <c r="A1504" s="3" t="s">
        <v>4558</v>
      </c>
      <c r="B1504" s="3" t="s">
        <v>4761</v>
      </c>
      <c r="C1504" s="3" t="s">
        <v>344</v>
      </c>
      <c r="D1504" s="9">
        <v>418.4</v>
      </c>
      <c r="E1504" s="3"/>
      <c r="F1504" s="3"/>
      <c r="G1504" s="9"/>
      <c r="H1504" s="10">
        <v>45678.421284722222</v>
      </c>
      <c r="I1504" s="10">
        <v>45678.424062500002</v>
      </c>
      <c r="J1504" s="10">
        <v>45678.429606481477</v>
      </c>
      <c r="K1504" s="11">
        <v>5.5439814814814813E-3</v>
      </c>
      <c r="L1504" s="13">
        <v>2</v>
      </c>
    </row>
    <row r="1505" spans="1:12" x14ac:dyDescent="0.25">
      <c r="A1505" s="3" t="s">
        <v>4558</v>
      </c>
      <c r="B1505" s="3" t="s">
        <v>4762</v>
      </c>
      <c r="C1505" s="3" t="s">
        <v>345</v>
      </c>
      <c r="D1505" s="9">
        <v>398</v>
      </c>
      <c r="E1505" s="3"/>
      <c r="F1505" s="3"/>
      <c r="G1505" s="9"/>
      <c r="H1505" s="10">
        <v>45678.604641203703</v>
      </c>
      <c r="I1505" s="10">
        <v>45678.607418981483</v>
      </c>
      <c r="J1505" s="10">
        <v>45678.610474537039</v>
      </c>
      <c r="K1505" s="11">
        <v>3.0555555555555561E-3</v>
      </c>
      <c r="L1505" s="13">
        <v>0</v>
      </c>
    </row>
    <row r="1506" spans="1:12" x14ac:dyDescent="0.25">
      <c r="A1506" s="3" t="s">
        <v>4558</v>
      </c>
      <c r="B1506" s="3" t="s">
        <v>4763</v>
      </c>
      <c r="C1506" s="3" t="s">
        <v>346</v>
      </c>
      <c r="D1506" s="9">
        <v>582.4</v>
      </c>
      <c r="E1506" s="3"/>
      <c r="F1506" s="3"/>
      <c r="G1506" s="9"/>
      <c r="H1506" s="10">
        <v>45678.611134259263</v>
      </c>
      <c r="I1506" s="10">
        <v>45678.613912037043</v>
      </c>
      <c r="J1506" s="10">
        <v>45678.625821759262</v>
      </c>
      <c r="K1506" s="11">
        <v>1.1909722222222221E-2</v>
      </c>
      <c r="L1506" s="13">
        <v>7</v>
      </c>
    </row>
    <row r="1507" spans="1:12" x14ac:dyDescent="0.25">
      <c r="A1507" s="3" t="s">
        <v>4558</v>
      </c>
      <c r="B1507" s="3" t="s">
        <v>4764</v>
      </c>
      <c r="C1507" s="3" t="s">
        <v>347</v>
      </c>
      <c r="D1507" s="9">
        <v>125.9</v>
      </c>
      <c r="E1507" s="3"/>
      <c r="F1507" s="3"/>
      <c r="G1507" s="9"/>
      <c r="H1507" s="10">
        <v>45678.627314814818</v>
      </c>
      <c r="I1507" s="10">
        <v>45678.63009259259</v>
      </c>
      <c r="J1507" s="10">
        <v>45678.63108796296</v>
      </c>
      <c r="K1507" s="11">
        <v>9.9537037037037042E-4</v>
      </c>
      <c r="L1507" s="13">
        <v>0</v>
      </c>
    </row>
    <row r="1508" spans="1:12" x14ac:dyDescent="0.25">
      <c r="A1508" s="3" t="s">
        <v>4558</v>
      </c>
      <c r="B1508" s="3" t="s">
        <v>4765</v>
      </c>
      <c r="C1508" s="3" t="s">
        <v>348</v>
      </c>
      <c r="D1508" s="9">
        <v>187.4</v>
      </c>
      <c r="E1508" s="3"/>
      <c r="F1508" s="3"/>
      <c r="G1508" s="9"/>
      <c r="H1508" s="10">
        <v>45678.870289351849</v>
      </c>
      <c r="I1508" s="10">
        <v>45678.873067129629</v>
      </c>
      <c r="J1508" s="10">
        <v>45678.874548611107</v>
      </c>
      <c r="K1508" s="11">
        <v>1.481481481481481E-3</v>
      </c>
      <c r="L1508" s="13">
        <v>0</v>
      </c>
    </row>
    <row r="1509" spans="1:12" x14ac:dyDescent="0.25">
      <c r="A1509" s="3" t="s">
        <v>4558</v>
      </c>
      <c r="B1509" s="3" t="s">
        <v>4766</v>
      </c>
      <c r="C1509" s="3" t="s">
        <v>349</v>
      </c>
      <c r="D1509" s="9">
        <v>298.60000000000002</v>
      </c>
      <c r="E1509" s="3"/>
      <c r="F1509" s="3"/>
      <c r="G1509" s="9"/>
      <c r="H1509" s="10">
        <v>45679.105243055557</v>
      </c>
      <c r="I1509" s="10">
        <v>45679.108020833337</v>
      </c>
      <c r="J1509" s="10">
        <v>45679.113668981481</v>
      </c>
      <c r="K1509" s="11">
        <v>5.6481481481481478E-3</v>
      </c>
      <c r="L1509" s="13">
        <v>3</v>
      </c>
    </row>
    <row r="1510" spans="1:12" x14ac:dyDescent="0.25">
      <c r="A1510" s="3" t="s">
        <v>4558</v>
      </c>
      <c r="B1510" s="3" t="s">
        <v>4767</v>
      </c>
      <c r="C1510" s="3" t="s">
        <v>350</v>
      </c>
      <c r="D1510" s="9">
        <v>366.6</v>
      </c>
      <c r="E1510" s="3"/>
      <c r="F1510" s="3"/>
      <c r="G1510" s="9"/>
      <c r="H1510" s="10">
        <v>45679.192337962973</v>
      </c>
      <c r="I1510" s="10">
        <v>45679.195115740738</v>
      </c>
      <c r="J1510" s="10">
        <v>45679.198020833333</v>
      </c>
      <c r="K1510" s="11">
        <v>2.9050925925925928E-3</v>
      </c>
      <c r="L1510" s="13">
        <v>0</v>
      </c>
    </row>
    <row r="1511" spans="1:12" x14ac:dyDescent="0.25">
      <c r="A1511" s="3" t="s">
        <v>4558</v>
      </c>
      <c r="B1511" s="3" t="s">
        <v>4768</v>
      </c>
      <c r="C1511" s="3" t="s">
        <v>351</v>
      </c>
      <c r="D1511" s="9">
        <v>291.7</v>
      </c>
      <c r="E1511" s="3"/>
      <c r="F1511" s="3"/>
      <c r="G1511" s="9"/>
      <c r="H1511" s="10">
        <v>45679.266643518517</v>
      </c>
      <c r="I1511" s="10">
        <v>45679.269421296303</v>
      </c>
      <c r="J1511" s="10">
        <v>45679.271782407413</v>
      </c>
      <c r="K1511" s="11">
        <v>2.3611111111111111E-3</v>
      </c>
      <c r="L1511" s="13">
        <v>0</v>
      </c>
    </row>
    <row r="1512" spans="1:12" x14ac:dyDescent="0.25">
      <c r="A1512" s="3" t="s">
        <v>4558</v>
      </c>
      <c r="B1512" s="3" t="s">
        <v>4769</v>
      </c>
      <c r="C1512" s="3" t="s">
        <v>352</v>
      </c>
      <c r="D1512" s="9">
        <v>467.5</v>
      </c>
      <c r="E1512" s="3"/>
      <c r="F1512" s="3"/>
      <c r="G1512" s="9"/>
      <c r="H1512" s="10">
        <v>45679.284513888888</v>
      </c>
      <c r="I1512" s="10">
        <v>45679.287291666667</v>
      </c>
      <c r="J1512" s="10">
        <v>45679.301412037043</v>
      </c>
      <c r="K1512" s="11">
        <v>1.412037037037037E-2</v>
      </c>
      <c r="L1512" s="13">
        <v>10</v>
      </c>
    </row>
    <row r="1513" spans="1:12" x14ac:dyDescent="0.25">
      <c r="A1513" s="3" t="s">
        <v>4558</v>
      </c>
      <c r="B1513" s="3" t="s">
        <v>4770</v>
      </c>
      <c r="C1513" s="3" t="s">
        <v>353</v>
      </c>
      <c r="D1513" s="9">
        <v>330.7</v>
      </c>
      <c r="E1513" s="3"/>
      <c r="F1513" s="3"/>
      <c r="G1513" s="9"/>
      <c r="H1513" s="10">
        <v>45679.313460648147</v>
      </c>
      <c r="I1513" s="10">
        <v>45679.316238425927</v>
      </c>
      <c r="J1513" s="10">
        <v>45679.318854166668</v>
      </c>
      <c r="K1513" s="11">
        <v>2.615740740740741E-3</v>
      </c>
      <c r="L1513" s="13">
        <v>0</v>
      </c>
    </row>
    <row r="1514" spans="1:12" x14ac:dyDescent="0.25">
      <c r="A1514" s="3" t="s">
        <v>4558</v>
      </c>
      <c r="B1514" s="3" t="s">
        <v>4771</v>
      </c>
      <c r="C1514" s="3" t="s">
        <v>354</v>
      </c>
      <c r="D1514" s="9">
        <v>295.39999999999998</v>
      </c>
      <c r="E1514" s="3"/>
      <c r="F1514" s="3"/>
      <c r="G1514" s="9"/>
      <c r="H1514" s="10">
        <v>45679.333657407413</v>
      </c>
      <c r="I1514" s="10">
        <v>45679.336435185192</v>
      </c>
      <c r="J1514" s="10">
        <v>45679.339016203703</v>
      </c>
      <c r="K1514" s="11">
        <v>2.5810185185185189E-3</v>
      </c>
      <c r="L1514" s="13">
        <v>0</v>
      </c>
    </row>
    <row r="1515" spans="1:12" x14ac:dyDescent="0.25">
      <c r="A1515" s="3" t="s">
        <v>4558</v>
      </c>
      <c r="B1515" s="3" t="s">
        <v>4772</v>
      </c>
      <c r="C1515" s="3" t="s">
        <v>355</v>
      </c>
      <c r="D1515" s="9">
        <v>331.2</v>
      </c>
      <c r="E1515" s="3"/>
      <c r="F1515" s="3"/>
      <c r="G1515" s="9"/>
      <c r="H1515" s="10">
        <v>45679.351134259261</v>
      </c>
      <c r="I1515" s="10">
        <v>45679.353912037041</v>
      </c>
      <c r="J1515" s="10">
        <v>45679.35733796296</v>
      </c>
      <c r="K1515" s="11">
        <v>3.425925925925926E-3</v>
      </c>
      <c r="L1515" s="13">
        <v>1</v>
      </c>
    </row>
    <row r="1516" spans="1:12" x14ac:dyDescent="0.25">
      <c r="A1516" s="3" t="s">
        <v>4558</v>
      </c>
      <c r="B1516" s="3" t="s">
        <v>4773</v>
      </c>
      <c r="C1516" s="3" t="s">
        <v>356</v>
      </c>
      <c r="D1516" s="9">
        <v>515.20000000000005</v>
      </c>
      <c r="E1516" s="3"/>
      <c r="F1516" s="3"/>
      <c r="G1516" s="9"/>
      <c r="H1516" s="10">
        <v>45679.381874999999</v>
      </c>
      <c r="I1516" s="10">
        <v>45679.384652777779</v>
      </c>
      <c r="J1516" s="10">
        <v>45679.399456018517</v>
      </c>
      <c r="K1516" s="11">
        <v>1.480324074074074E-2</v>
      </c>
      <c r="L1516" s="13">
        <v>9</v>
      </c>
    </row>
    <row r="1517" spans="1:12" x14ac:dyDescent="0.25">
      <c r="A1517" s="3" t="s">
        <v>4558</v>
      </c>
      <c r="B1517" s="3" t="s">
        <v>4774</v>
      </c>
      <c r="C1517" s="3" t="s">
        <v>357</v>
      </c>
      <c r="D1517" s="9">
        <v>446.2</v>
      </c>
      <c r="E1517" s="3"/>
      <c r="F1517" s="3"/>
      <c r="G1517" s="9"/>
      <c r="H1517" s="10">
        <v>45679.435011574067</v>
      </c>
      <c r="I1517" s="10">
        <v>45679.437789351847</v>
      </c>
      <c r="J1517" s="10">
        <v>45679.441099537027</v>
      </c>
      <c r="K1517" s="11">
        <v>3.3101851851851851E-3</v>
      </c>
      <c r="L1517" s="13">
        <v>0</v>
      </c>
    </row>
    <row r="1518" spans="1:12" x14ac:dyDescent="0.25">
      <c r="A1518" s="3" t="s">
        <v>4558</v>
      </c>
      <c r="B1518" s="3" t="s">
        <v>4775</v>
      </c>
      <c r="C1518" s="3" t="s">
        <v>358</v>
      </c>
      <c r="D1518" s="9">
        <v>33.9</v>
      </c>
      <c r="E1518" s="3"/>
      <c r="F1518" s="3"/>
      <c r="G1518" s="9"/>
      <c r="H1518" s="10">
        <v>45679.542800925927</v>
      </c>
      <c r="I1518" s="10">
        <v>45679.545578703714</v>
      </c>
      <c r="J1518" s="10">
        <v>45679.545868055553</v>
      </c>
      <c r="K1518" s="11">
        <v>2.8935185185185178E-4</v>
      </c>
      <c r="L1518" s="13">
        <v>0</v>
      </c>
    </row>
    <row r="1519" spans="1:12" x14ac:dyDescent="0.25">
      <c r="A1519" s="3" t="s">
        <v>4558</v>
      </c>
      <c r="B1519" s="3" t="s">
        <v>4776</v>
      </c>
      <c r="C1519" s="3" t="s">
        <v>359</v>
      </c>
      <c r="D1519" s="9">
        <v>63</v>
      </c>
      <c r="E1519" s="3"/>
      <c r="F1519" s="3"/>
      <c r="G1519" s="9"/>
      <c r="H1519" s="10">
        <v>45679.634652777779</v>
      </c>
      <c r="I1519" s="10">
        <v>45679.637430555558</v>
      </c>
      <c r="J1519" s="10">
        <v>45679.63789351852</v>
      </c>
      <c r="K1519" s="11">
        <v>4.6296296296296298E-4</v>
      </c>
      <c r="L1519" s="13">
        <v>0</v>
      </c>
    </row>
    <row r="1520" spans="1:12" x14ac:dyDescent="0.25">
      <c r="A1520" s="3" t="s">
        <v>4558</v>
      </c>
      <c r="B1520" s="3" t="s">
        <v>4777</v>
      </c>
      <c r="C1520" s="3" t="s">
        <v>360</v>
      </c>
      <c r="D1520" s="9">
        <v>591.5</v>
      </c>
      <c r="E1520" s="3"/>
      <c r="F1520" s="3"/>
      <c r="G1520" s="9"/>
      <c r="H1520" s="10">
        <v>45679.725335648152</v>
      </c>
      <c r="I1520" s="10">
        <v>45679.728113425917</v>
      </c>
      <c r="J1520" s="10">
        <v>45679.743576388893</v>
      </c>
      <c r="K1520" s="11">
        <v>1.546296296296296E-2</v>
      </c>
      <c r="L1520" s="13">
        <v>9</v>
      </c>
    </row>
    <row r="1521" spans="1:12" x14ac:dyDescent="0.25">
      <c r="A1521" s="3" t="s">
        <v>4558</v>
      </c>
      <c r="B1521" s="3" t="s">
        <v>4778</v>
      </c>
      <c r="C1521" s="3" t="s">
        <v>361</v>
      </c>
      <c r="D1521" s="9">
        <v>325.39999999999998</v>
      </c>
      <c r="E1521" s="3"/>
      <c r="F1521" s="3"/>
      <c r="G1521" s="9"/>
      <c r="H1521" s="10">
        <v>45679.733437499999</v>
      </c>
      <c r="I1521" s="10">
        <v>45679.736215277779</v>
      </c>
      <c r="J1521" s="10">
        <v>45679.738634259258</v>
      </c>
      <c r="K1521" s="11">
        <v>2.418981481481482E-3</v>
      </c>
      <c r="L1521" s="13">
        <v>0</v>
      </c>
    </row>
    <row r="1522" spans="1:12" x14ac:dyDescent="0.25">
      <c r="A1522" s="3" t="s">
        <v>4558</v>
      </c>
      <c r="B1522" s="3" t="s">
        <v>4779</v>
      </c>
      <c r="C1522" s="3" t="s">
        <v>362</v>
      </c>
      <c r="D1522" s="9">
        <v>74.599999999999994</v>
      </c>
      <c r="E1522" s="3"/>
      <c r="F1522" s="3"/>
      <c r="G1522" s="9"/>
      <c r="H1522" s="10">
        <v>45679.743692129632</v>
      </c>
      <c r="I1522" s="10">
        <v>45679.746469907397</v>
      </c>
      <c r="J1522" s="10">
        <v>45679.747025462973</v>
      </c>
      <c r="K1522" s="11">
        <v>5.5555555555555556E-4</v>
      </c>
      <c r="L1522" s="13">
        <v>0</v>
      </c>
    </row>
    <row r="1523" spans="1:12" x14ac:dyDescent="0.25">
      <c r="A1523" s="3" t="s">
        <v>4558</v>
      </c>
      <c r="B1523" s="3" t="s">
        <v>4780</v>
      </c>
      <c r="C1523" s="3" t="s">
        <v>363</v>
      </c>
      <c r="D1523" s="9">
        <v>298.7</v>
      </c>
      <c r="E1523" s="3"/>
      <c r="F1523" s="3"/>
      <c r="G1523" s="9"/>
      <c r="H1523" s="10">
        <v>45679.83730324074</v>
      </c>
      <c r="I1523" s="10">
        <v>45679.840081018519</v>
      </c>
      <c r="J1523" s="10">
        <v>45679.849120370367</v>
      </c>
      <c r="K1523" s="11">
        <v>9.0393518518518522E-3</v>
      </c>
      <c r="L1523" s="13">
        <v>7</v>
      </c>
    </row>
    <row r="1524" spans="1:12" x14ac:dyDescent="0.25">
      <c r="A1524" s="3" t="s">
        <v>4558</v>
      </c>
      <c r="B1524" s="3" t="s">
        <v>4781</v>
      </c>
      <c r="C1524" s="3" t="s">
        <v>364</v>
      </c>
      <c r="D1524" s="9">
        <v>310.39999999999998</v>
      </c>
      <c r="E1524" s="3"/>
      <c r="F1524" s="3"/>
      <c r="G1524" s="9"/>
      <c r="H1524" s="10">
        <v>45680.114490740743</v>
      </c>
      <c r="I1524" s="10">
        <v>45680.117268518523</v>
      </c>
      <c r="J1524" s="10">
        <v>45680.122650462959</v>
      </c>
      <c r="K1524" s="11">
        <v>5.3819444444444444E-3</v>
      </c>
      <c r="L1524" s="13">
        <v>3</v>
      </c>
    </row>
    <row r="1525" spans="1:12" x14ac:dyDescent="0.25">
      <c r="A1525" s="3" t="s">
        <v>4558</v>
      </c>
      <c r="B1525" s="3" t="s">
        <v>4782</v>
      </c>
      <c r="C1525" s="3" t="s">
        <v>365</v>
      </c>
      <c r="D1525" s="9">
        <v>144.4</v>
      </c>
      <c r="E1525" s="3"/>
      <c r="F1525" s="3"/>
      <c r="G1525" s="9"/>
      <c r="H1525" s="10">
        <v>45680.265127314808</v>
      </c>
      <c r="I1525" s="10">
        <v>45680.267905092587</v>
      </c>
      <c r="J1525" s="10">
        <v>45680.268993055557</v>
      </c>
      <c r="K1525" s="11">
        <v>1.0879629629629631E-3</v>
      </c>
      <c r="L1525" s="13">
        <v>0</v>
      </c>
    </row>
    <row r="1526" spans="1:12" x14ac:dyDescent="0.25">
      <c r="A1526" s="3" t="s">
        <v>4558</v>
      </c>
      <c r="B1526" s="3" t="s">
        <v>4783</v>
      </c>
      <c r="C1526" s="3" t="s">
        <v>366</v>
      </c>
      <c r="D1526" s="9">
        <v>257.60000000000002</v>
      </c>
      <c r="E1526" s="3"/>
      <c r="F1526" s="3"/>
      <c r="G1526" s="9"/>
      <c r="H1526" s="10">
        <v>45680.283645833333</v>
      </c>
      <c r="I1526" s="10">
        <v>45680.286423611113</v>
      </c>
      <c r="J1526" s="10">
        <v>45680.295439814807</v>
      </c>
      <c r="K1526" s="11">
        <v>9.0162037037037034E-3</v>
      </c>
      <c r="L1526" s="13">
        <v>7</v>
      </c>
    </row>
    <row r="1527" spans="1:12" x14ac:dyDescent="0.25">
      <c r="A1527" s="3" t="s">
        <v>4558</v>
      </c>
      <c r="B1527" s="3" t="s">
        <v>4784</v>
      </c>
      <c r="C1527" s="3" t="s">
        <v>367</v>
      </c>
      <c r="D1527" s="9">
        <v>205.5</v>
      </c>
      <c r="E1527" s="3"/>
      <c r="F1527" s="3"/>
      <c r="G1527" s="9"/>
      <c r="H1527" s="10">
        <v>45680.296898148154</v>
      </c>
      <c r="I1527" s="10">
        <v>45680.299675925933</v>
      </c>
      <c r="J1527" s="10">
        <v>45680.301238425927</v>
      </c>
      <c r="K1527" s="11">
        <v>1.5625000000000001E-3</v>
      </c>
      <c r="L1527" s="13">
        <v>0</v>
      </c>
    </row>
    <row r="1528" spans="1:12" x14ac:dyDescent="0.25">
      <c r="A1528" s="3" t="s">
        <v>4558</v>
      </c>
      <c r="B1528" s="3" t="s">
        <v>4785</v>
      </c>
      <c r="C1528" s="3" t="s">
        <v>368</v>
      </c>
      <c r="D1528" s="9">
        <v>397.3</v>
      </c>
      <c r="E1528" s="3"/>
      <c r="F1528" s="3"/>
      <c r="G1528" s="9"/>
      <c r="H1528" s="10">
        <v>45680.321597222217</v>
      </c>
      <c r="I1528" s="10">
        <v>45680.324374999997</v>
      </c>
      <c r="J1528" s="10">
        <v>45680.327569444453</v>
      </c>
      <c r="K1528" s="11">
        <v>3.1944444444444451E-3</v>
      </c>
      <c r="L1528" s="13">
        <v>0</v>
      </c>
    </row>
    <row r="1529" spans="1:12" x14ac:dyDescent="0.25">
      <c r="A1529" s="3" t="s">
        <v>4558</v>
      </c>
      <c r="B1529" s="3" t="s">
        <v>4786</v>
      </c>
      <c r="C1529" s="3" t="s">
        <v>369</v>
      </c>
      <c r="D1529" s="9">
        <v>396.5</v>
      </c>
      <c r="E1529" s="3"/>
      <c r="F1529" s="3"/>
      <c r="G1529" s="9"/>
      <c r="H1529" s="10">
        <v>45680.363796296297</v>
      </c>
      <c r="I1529" s="10">
        <v>45680.366574074083</v>
      </c>
      <c r="J1529" s="10">
        <v>45680.370289351849</v>
      </c>
      <c r="K1529" s="11">
        <v>3.7152777777777778E-3</v>
      </c>
      <c r="L1529" s="13">
        <v>1</v>
      </c>
    </row>
    <row r="1530" spans="1:12" x14ac:dyDescent="0.25">
      <c r="A1530" s="3" t="s">
        <v>4558</v>
      </c>
      <c r="B1530" s="3" t="s">
        <v>4787</v>
      </c>
      <c r="C1530" s="3" t="s">
        <v>370</v>
      </c>
      <c r="D1530" s="9">
        <v>543.9</v>
      </c>
      <c r="E1530" s="3"/>
      <c r="F1530" s="3"/>
      <c r="G1530" s="9"/>
      <c r="H1530" s="10">
        <v>45680.378784722219</v>
      </c>
      <c r="I1530" s="10">
        <v>45680.381562499999</v>
      </c>
      <c r="J1530" s="10">
        <v>45680.397777777784</v>
      </c>
      <c r="K1530" s="11">
        <v>1.621527777777778E-2</v>
      </c>
      <c r="L1530" s="13">
        <v>11</v>
      </c>
    </row>
    <row r="1531" spans="1:12" x14ac:dyDescent="0.25">
      <c r="A1531" s="3" t="s">
        <v>4558</v>
      </c>
      <c r="B1531" s="3" t="s">
        <v>4788</v>
      </c>
      <c r="C1531" s="3" t="s">
        <v>371</v>
      </c>
      <c r="D1531" s="9">
        <v>448.7</v>
      </c>
      <c r="E1531" s="3"/>
      <c r="F1531" s="3"/>
      <c r="G1531" s="9"/>
      <c r="H1531" s="10">
        <v>45680.437407407408</v>
      </c>
      <c r="I1531" s="10">
        <v>45680.440185185187</v>
      </c>
      <c r="J1531" s="10">
        <v>45680.447870370372</v>
      </c>
      <c r="K1531" s="11">
        <v>7.6851851851851864E-3</v>
      </c>
      <c r="L1531" s="13">
        <v>4</v>
      </c>
    </row>
    <row r="1532" spans="1:12" x14ac:dyDescent="0.25">
      <c r="A1532" s="3" t="s">
        <v>4558</v>
      </c>
      <c r="B1532" s="3" t="s">
        <v>4789</v>
      </c>
      <c r="C1532" s="3" t="s">
        <v>372</v>
      </c>
      <c r="D1532" s="9">
        <v>396.6</v>
      </c>
      <c r="E1532" s="3"/>
      <c r="F1532" s="3"/>
      <c r="G1532" s="9"/>
      <c r="H1532" s="10">
        <v>45680.604456018518</v>
      </c>
      <c r="I1532" s="10">
        <v>45680.607233796298</v>
      </c>
      <c r="J1532" s="10">
        <v>45680.610115740739</v>
      </c>
      <c r="K1532" s="11">
        <v>2.8819444444444439E-3</v>
      </c>
      <c r="L1532" s="13">
        <v>0</v>
      </c>
    </row>
    <row r="1533" spans="1:12" x14ac:dyDescent="0.25">
      <c r="A1533" s="3" t="s">
        <v>4558</v>
      </c>
      <c r="B1533" s="3" t="s">
        <v>4790</v>
      </c>
      <c r="C1533" s="3" t="s">
        <v>373</v>
      </c>
      <c r="D1533" s="9">
        <v>318.39999999999998</v>
      </c>
      <c r="E1533" s="3"/>
      <c r="F1533" s="3"/>
      <c r="G1533" s="9"/>
      <c r="H1533" s="10">
        <v>45680.613437499997</v>
      </c>
      <c r="I1533" s="10">
        <v>45680.616215277783</v>
      </c>
      <c r="J1533" s="10">
        <v>45680.62604166667</v>
      </c>
      <c r="K1533" s="11">
        <v>9.8263888888888897E-3</v>
      </c>
      <c r="L1533" s="13">
        <v>8</v>
      </c>
    </row>
    <row r="1534" spans="1:12" x14ac:dyDescent="0.25">
      <c r="A1534" s="3" t="s">
        <v>4558</v>
      </c>
      <c r="B1534" s="3" t="s">
        <v>4791</v>
      </c>
      <c r="C1534" s="3" t="s">
        <v>374</v>
      </c>
      <c r="D1534" s="9">
        <v>94.4</v>
      </c>
      <c r="E1534" s="3"/>
      <c r="F1534" s="3"/>
      <c r="G1534" s="9"/>
      <c r="H1534" s="10">
        <v>45680.644733796304</v>
      </c>
      <c r="I1534" s="10">
        <v>45680.647511574083</v>
      </c>
      <c r="J1534" s="10">
        <v>45680.648252314822</v>
      </c>
      <c r="K1534" s="11">
        <v>7.407407407407407E-4</v>
      </c>
      <c r="L1534" s="13">
        <v>0</v>
      </c>
    </row>
    <row r="1535" spans="1:12" x14ac:dyDescent="0.25">
      <c r="A1535" s="3" t="s">
        <v>4558</v>
      </c>
      <c r="B1535" s="3" t="s">
        <v>4792</v>
      </c>
      <c r="C1535" s="3" t="s">
        <v>375</v>
      </c>
      <c r="D1535" s="9">
        <v>144.4</v>
      </c>
      <c r="E1535" s="3"/>
      <c r="F1535" s="3"/>
      <c r="G1535" s="9"/>
      <c r="H1535" s="10">
        <v>45680.656863425917</v>
      </c>
      <c r="I1535" s="10">
        <v>45680.659641203703</v>
      </c>
      <c r="J1535" s="10">
        <v>45680.661631944437</v>
      </c>
      <c r="K1535" s="11">
        <v>1.9907407407407408E-3</v>
      </c>
      <c r="L1535" s="13">
        <v>1</v>
      </c>
    </row>
    <row r="1536" spans="1:12" x14ac:dyDescent="0.25">
      <c r="A1536" s="3" t="s">
        <v>4558</v>
      </c>
      <c r="B1536" s="3" t="s">
        <v>4793</v>
      </c>
      <c r="C1536" s="3" t="s">
        <v>376</v>
      </c>
      <c r="D1536" s="9">
        <v>331.3</v>
      </c>
      <c r="E1536" s="3"/>
      <c r="F1536" s="3"/>
      <c r="G1536" s="9"/>
      <c r="H1536" s="10">
        <v>45680.710914351846</v>
      </c>
      <c r="I1536" s="10">
        <v>45680.713692129633</v>
      </c>
      <c r="J1536" s="10">
        <v>45680.727743055562</v>
      </c>
      <c r="K1536" s="11">
        <v>1.405092592592593E-2</v>
      </c>
      <c r="L1536" s="13">
        <v>11</v>
      </c>
    </row>
    <row r="1537" spans="1:12" x14ac:dyDescent="0.25">
      <c r="A1537" s="3" t="s">
        <v>4558</v>
      </c>
      <c r="B1537" s="3" t="s">
        <v>4794</v>
      </c>
      <c r="C1537" s="3" t="s">
        <v>377</v>
      </c>
      <c r="D1537" s="9">
        <v>54.7</v>
      </c>
      <c r="E1537" s="3"/>
      <c r="F1537" s="3"/>
      <c r="G1537" s="9"/>
      <c r="H1537" s="10">
        <v>45680.734594907408</v>
      </c>
      <c r="I1537" s="10">
        <v>45680.737372685187</v>
      </c>
      <c r="J1537" s="10">
        <v>45680.737800925926</v>
      </c>
      <c r="K1537" s="11">
        <v>4.2824074074074081E-4</v>
      </c>
      <c r="L1537" s="13">
        <v>0</v>
      </c>
    </row>
    <row r="1538" spans="1:12" x14ac:dyDescent="0.25">
      <c r="A1538" s="3" t="s">
        <v>4558</v>
      </c>
      <c r="B1538" s="3" t="s">
        <v>4795</v>
      </c>
      <c r="C1538" s="3" t="s">
        <v>378</v>
      </c>
      <c r="D1538" s="9">
        <v>85.5</v>
      </c>
      <c r="E1538" s="3"/>
      <c r="F1538" s="3"/>
      <c r="G1538" s="9"/>
      <c r="H1538" s="10">
        <v>45680.875173611108</v>
      </c>
      <c r="I1538" s="10">
        <v>45680.877951388888</v>
      </c>
      <c r="J1538" s="10">
        <v>45680.878599537027</v>
      </c>
      <c r="K1538" s="11">
        <v>6.4814814814814813E-4</v>
      </c>
      <c r="L1538" s="13">
        <v>0</v>
      </c>
    </row>
    <row r="1539" spans="1:12" x14ac:dyDescent="0.25">
      <c r="A1539" s="3" t="s">
        <v>4558</v>
      </c>
      <c r="B1539" s="3" t="s">
        <v>4796</v>
      </c>
      <c r="C1539" s="3" t="s">
        <v>379</v>
      </c>
      <c r="D1539" s="9">
        <v>295.2</v>
      </c>
      <c r="E1539" s="3"/>
      <c r="F1539" s="3"/>
      <c r="G1539" s="9"/>
      <c r="H1539" s="10">
        <v>45681.11278935185</v>
      </c>
      <c r="I1539" s="10">
        <v>45681.115567129629</v>
      </c>
      <c r="J1539" s="10">
        <v>45681.121678240743</v>
      </c>
      <c r="K1539" s="11">
        <v>6.1111111111111114E-3</v>
      </c>
      <c r="L1539" s="13">
        <v>4</v>
      </c>
    </row>
    <row r="1540" spans="1:12" x14ac:dyDescent="0.25">
      <c r="A1540" s="3" t="s">
        <v>4558</v>
      </c>
      <c r="B1540" s="3" t="s">
        <v>4797</v>
      </c>
      <c r="C1540" s="3" t="s">
        <v>380</v>
      </c>
      <c r="D1540" s="9">
        <v>118.2</v>
      </c>
      <c r="E1540" s="3"/>
      <c r="F1540" s="3"/>
      <c r="G1540" s="9"/>
      <c r="H1540" s="10">
        <v>45681.190636574072</v>
      </c>
      <c r="I1540" s="10">
        <v>45681.193414351852</v>
      </c>
      <c r="J1540" s="10">
        <v>45681.19431712963</v>
      </c>
      <c r="K1540" s="11">
        <v>9.0277777777777774E-4</v>
      </c>
      <c r="L1540" s="13">
        <v>0</v>
      </c>
    </row>
    <row r="1541" spans="1:12" x14ac:dyDescent="0.25">
      <c r="A1541" s="3" t="s">
        <v>4558</v>
      </c>
      <c r="B1541" s="3" t="s">
        <v>4798</v>
      </c>
      <c r="C1541" s="3" t="s">
        <v>381</v>
      </c>
      <c r="D1541" s="9">
        <v>297</v>
      </c>
      <c r="E1541" s="3"/>
      <c r="F1541" s="3"/>
      <c r="G1541" s="9"/>
      <c r="H1541" s="10">
        <v>45681.259988425933</v>
      </c>
      <c r="I1541" s="10">
        <v>45681.262766203698</v>
      </c>
      <c r="J1541" s="10">
        <v>45681.264988425923</v>
      </c>
      <c r="K1541" s="11">
        <v>2.2222222222222218E-3</v>
      </c>
      <c r="L1541" s="13">
        <v>0</v>
      </c>
    </row>
    <row r="1542" spans="1:12" x14ac:dyDescent="0.25">
      <c r="A1542" s="3" t="s">
        <v>4558</v>
      </c>
      <c r="B1542" s="3" t="s">
        <v>4799</v>
      </c>
      <c r="C1542" s="3" t="s">
        <v>382</v>
      </c>
      <c r="D1542" s="9">
        <v>240.4</v>
      </c>
      <c r="E1542" s="3"/>
      <c r="F1542" s="3"/>
      <c r="G1542" s="9"/>
      <c r="H1542" s="10">
        <v>45681.291493055563</v>
      </c>
      <c r="I1542" s="10">
        <v>45681.294270833343</v>
      </c>
      <c r="J1542" s="10">
        <v>45681.296087962961</v>
      </c>
      <c r="K1542" s="11">
        <v>1.8171296296296299E-3</v>
      </c>
      <c r="L1542" s="13">
        <v>0</v>
      </c>
    </row>
    <row r="1543" spans="1:12" x14ac:dyDescent="0.25">
      <c r="A1543" s="3" t="s">
        <v>4558</v>
      </c>
      <c r="B1543" s="3" t="s">
        <v>4800</v>
      </c>
      <c r="C1543" s="3" t="s">
        <v>383</v>
      </c>
      <c r="D1543" s="9">
        <v>406.2</v>
      </c>
      <c r="E1543" s="3"/>
      <c r="F1543" s="3"/>
      <c r="G1543" s="9"/>
      <c r="H1543" s="10">
        <v>45681.302418981482</v>
      </c>
      <c r="I1543" s="10">
        <v>45681.305196759262</v>
      </c>
      <c r="J1543" s="10">
        <v>45681.319907407407</v>
      </c>
      <c r="K1543" s="11">
        <v>1.471064814814815E-2</v>
      </c>
      <c r="L1543" s="13">
        <v>12</v>
      </c>
    </row>
    <row r="1544" spans="1:12" x14ac:dyDescent="0.25">
      <c r="A1544" s="3" t="s">
        <v>4558</v>
      </c>
      <c r="B1544" s="3" t="s">
        <v>4801</v>
      </c>
      <c r="C1544" s="3" t="s">
        <v>384</v>
      </c>
      <c r="D1544" s="9">
        <v>390.5</v>
      </c>
      <c r="E1544" s="3"/>
      <c r="F1544" s="3"/>
      <c r="G1544" s="9"/>
      <c r="H1544" s="10">
        <v>45681.306192129632</v>
      </c>
      <c r="I1544" s="10">
        <v>45681.308969907397</v>
      </c>
      <c r="J1544" s="10">
        <v>45681.311932870369</v>
      </c>
      <c r="K1544" s="11">
        <v>2.9629629629629628E-3</v>
      </c>
      <c r="L1544" s="13">
        <v>0</v>
      </c>
    </row>
    <row r="1545" spans="1:12" x14ac:dyDescent="0.25">
      <c r="A1545" s="3" t="s">
        <v>4558</v>
      </c>
      <c r="B1545" s="3" t="s">
        <v>4802</v>
      </c>
      <c r="C1545" s="3" t="s">
        <v>385</v>
      </c>
      <c r="D1545" s="9">
        <v>147.80000000000001</v>
      </c>
      <c r="E1545" s="3"/>
      <c r="F1545" s="3"/>
      <c r="G1545" s="9"/>
      <c r="H1545" s="10">
        <v>45681.367048611108</v>
      </c>
      <c r="I1545" s="10">
        <v>45681.369826388887</v>
      </c>
      <c r="J1545" s="10">
        <v>45681.372094907398</v>
      </c>
      <c r="K1545" s="11">
        <v>2.2685185185185191E-3</v>
      </c>
      <c r="L1545" s="13">
        <v>1</v>
      </c>
    </row>
    <row r="1546" spans="1:12" x14ac:dyDescent="0.25">
      <c r="A1546" s="3" t="s">
        <v>4558</v>
      </c>
      <c r="B1546" s="3" t="s">
        <v>4803</v>
      </c>
      <c r="C1546" s="3" t="s">
        <v>386</v>
      </c>
      <c r="D1546" s="9">
        <v>318.8</v>
      </c>
      <c r="E1546" s="3"/>
      <c r="F1546" s="3"/>
      <c r="G1546" s="9"/>
      <c r="H1546" s="10">
        <v>45681.377256944441</v>
      </c>
      <c r="I1546" s="10">
        <v>45681.38003472222</v>
      </c>
      <c r="J1546" s="10">
        <v>45681.38989583333</v>
      </c>
      <c r="K1546" s="11">
        <v>9.8611111111111104E-3</v>
      </c>
      <c r="L1546" s="13">
        <v>7</v>
      </c>
    </row>
    <row r="1547" spans="1:12" x14ac:dyDescent="0.25">
      <c r="A1547" s="3" t="s">
        <v>4558</v>
      </c>
      <c r="B1547" s="3" t="s">
        <v>4804</v>
      </c>
      <c r="C1547" s="3" t="s">
        <v>387</v>
      </c>
      <c r="D1547" s="9">
        <v>437.5</v>
      </c>
      <c r="E1547" s="3"/>
      <c r="F1547" s="3"/>
      <c r="G1547" s="9"/>
      <c r="H1547" s="10">
        <v>45681.413541666669</v>
      </c>
      <c r="I1547" s="10">
        <v>45681.416319444441</v>
      </c>
      <c r="J1547" s="10">
        <v>45681.420937499999</v>
      </c>
      <c r="K1547" s="11">
        <v>4.6180555555555558E-3</v>
      </c>
      <c r="L1547" s="13">
        <v>1</v>
      </c>
    </row>
    <row r="1548" spans="1:12" x14ac:dyDescent="0.25">
      <c r="A1548" s="3" t="s">
        <v>4558</v>
      </c>
      <c r="B1548" s="3" t="s">
        <v>4805</v>
      </c>
      <c r="C1548" s="3" t="s">
        <v>388</v>
      </c>
      <c r="D1548" s="9">
        <v>177.5</v>
      </c>
      <c r="E1548" s="3"/>
      <c r="F1548" s="3"/>
      <c r="G1548" s="9"/>
      <c r="H1548" s="10">
        <v>45681.544305555559</v>
      </c>
      <c r="I1548" s="10">
        <v>45681.547083333331</v>
      </c>
      <c r="J1548" s="10">
        <v>45681.548506944448</v>
      </c>
      <c r="K1548" s="11">
        <v>1.423611111111111E-3</v>
      </c>
      <c r="L1548" s="13">
        <v>0</v>
      </c>
    </row>
    <row r="1549" spans="1:12" x14ac:dyDescent="0.25">
      <c r="A1549" s="3" t="s">
        <v>4558</v>
      </c>
      <c r="B1549" s="3" t="s">
        <v>4806</v>
      </c>
      <c r="C1549" s="3" t="s">
        <v>389</v>
      </c>
      <c r="D1549" s="9">
        <v>296.10000000000002</v>
      </c>
      <c r="E1549" s="3"/>
      <c r="F1549" s="3"/>
      <c r="G1549" s="9"/>
      <c r="H1549" s="10">
        <v>45681.604988425926</v>
      </c>
      <c r="I1549" s="10">
        <v>45681.607766203713</v>
      </c>
      <c r="J1549" s="10">
        <v>45681.610162037039</v>
      </c>
      <c r="K1549" s="11">
        <v>2.3958333333333331E-3</v>
      </c>
      <c r="L1549" s="13">
        <v>0</v>
      </c>
    </row>
    <row r="1550" spans="1:12" x14ac:dyDescent="0.25">
      <c r="A1550" s="3" t="s">
        <v>4558</v>
      </c>
      <c r="B1550" s="3" t="s">
        <v>4807</v>
      </c>
      <c r="C1550" s="3" t="s">
        <v>390</v>
      </c>
      <c r="D1550" s="9">
        <v>313</v>
      </c>
      <c r="E1550" s="3"/>
      <c r="F1550" s="3"/>
      <c r="G1550" s="9"/>
      <c r="H1550" s="10">
        <v>45681.622118055559</v>
      </c>
      <c r="I1550" s="10">
        <v>45681.624895833331</v>
      </c>
      <c r="J1550" s="10">
        <v>45681.635740740741</v>
      </c>
      <c r="K1550" s="11">
        <v>1.0844907407407411E-2</v>
      </c>
      <c r="L1550" s="13">
        <v>8</v>
      </c>
    </row>
    <row r="1551" spans="1:12" x14ac:dyDescent="0.25">
      <c r="A1551" s="3" t="s">
        <v>4558</v>
      </c>
      <c r="B1551" s="3" t="s">
        <v>4808</v>
      </c>
      <c r="C1551" s="3" t="s">
        <v>391</v>
      </c>
      <c r="D1551" s="9">
        <v>15.7</v>
      </c>
      <c r="E1551" s="3"/>
      <c r="F1551" s="3"/>
      <c r="G1551" s="9"/>
      <c r="H1551" s="10">
        <v>45681.633969907409</v>
      </c>
      <c r="I1551" s="10">
        <v>45681.636747685188</v>
      </c>
      <c r="J1551" s="10">
        <v>45681.636874999997</v>
      </c>
      <c r="K1551" s="11">
        <v>1.273148148148148E-4</v>
      </c>
      <c r="L1551" s="13">
        <v>0</v>
      </c>
    </row>
    <row r="1552" spans="1:12" x14ac:dyDescent="0.25">
      <c r="A1552" s="3" t="s">
        <v>4558</v>
      </c>
      <c r="B1552" s="3" t="s">
        <v>4809</v>
      </c>
      <c r="C1552" s="3" t="s">
        <v>392</v>
      </c>
      <c r="D1552" s="9">
        <v>232.4</v>
      </c>
      <c r="E1552" s="3"/>
      <c r="F1552" s="3"/>
      <c r="G1552" s="9"/>
      <c r="H1552" s="10">
        <v>45681.73060185185</v>
      </c>
      <c r="I1552" s="10">
        <v>45681.73337962963</v>
      </c>
      <c r="J1552" s="10">
        <v>45681.735266203701</v>
      </c>
      <c r="K1552" s="11">
        <v>1.8865740740740739E-3</v>
      </c>
      <c r="L1552" s="13">
        <v>0</v>
      </c>
    </row>
    <row r="1553" spans="1:12" x14ac:dyDescent="0.25">
      <c r="A1553" s="3" t="s">
        <v>4558</v>
      </c>
      <c r="B1553" s="3" t="s">
        <v>4810</v>
      </c>
      <c r="C1553" s="3" t="s">
        <v>393</v>
      </c>
      <c r="D1553" s="9">
        <v>134.69999999999999</v>
      </c>
      <c r="E1553" s="3"/>
      <c r="F1553" s="3"/>
      <c r="G1553" s="9"/>
      <c r="H1553" s="10">
        <v>45681.730636574073</v>
      </c>
      <c r="I1553" s="10">
        <v>45681.733414351853</v>
      </c>
      <c r="J1553" s="10">
        <v>45681.734432870369</v>
      </c>
      <c r="K1553" s="11">
        <v>1.018518518518518E-3</v>
      </c>
      <c r="L1553" s="13">
        <v>0</v>
      </c>
    </row>
    <row r="1554" spans="1:12" x14ac:dyDescent="0.25">
      <c r="A1554" s="3" t="s">
        <v>4558</v>
      </c>
      <c r="B1554" s="3" t="s">
        <v>4811</v>
      </c>
      <c r="C1554" s="3" t="s">
        <v>394</v>
      </c>
      <c r="D1554" s="9">
        <v>582.5</v>
      </c>
      <c r="E1554" s="3"/>
      <c r="F1554" s="3"/>
      <c r="G1554" s="9"/>
      <c r="H1554" s="10">
        <v>45682.072256944448</v>
      </c>
      <c r="I1554" s="10">
        <v>45682.07503472222</v>
      </c>
      <c r="J1554" s="10">
        <v>45682.081909722219</v>
      </c>
      <c r="K1554" s="11">
        <v>6.875E-3</v>
      </c>
      <c r="L1554" s="13">
        <v>2</v>
      </c>
    </row>
    <row r="1555" spans="1:12" x14ac:dyDescent="0.25">
      <c r="A1555" s="3" t="s">
        <v>4558</v>
      </c>
      <c r="B1555" s="3" t="s">
        <v>4812</v>
      </c>
      <c r="C1555" s="3" t="s">
        <v>395</v>
      </c>
      <c r="D1555" s="9">
        <v>560</v>
      </c>
      <c r="E1555" s="3"/>
      <c r="F1555" s="3"/>
      <c r="G1555" s="9"/>
      <c r="H1555" s="10">
        <v>45683.742812500001</v>
      </c>
      <c r="I1555" s="10">
        <v>45683.74559027778</v>
      </c>
      <c r="J1555" s="10">
        <v>45683.752175925933</v>
      </c>
      <c r="K1555" s="11">
        <v>6.5856481481481478E-3</v>
      </c>
      <c r="L1555" s="13">
        <v>2</v>
      </c>
    </row>
    <row r="1556" spans="1:12" x14ac:dyDescent="0.25">
      <c r="A1556" s="3" t="s">
        <v>4558</v>
      </c>
      <c r="B1556" s="3" t="s">
        <v>4813</v>
      </c>
      <c r="C1556" s="3" t="s">
        <v>396</v>
      </c>
      <c r="D1556" s="9">
        <v>259</v>
      </c>
      <c r="E1556" s="3"/>
      <c r="F1556" s="3"/>
      <c r="G1556" s="9"/>
      <c r="H1556" s="10">
        <v>45684.110243055547</v>
      </c>
      <c r="I1556" s="10">
        <v>45684.113020833327</v>
      </c>
      <c r="J1556" s="10">
        <v>45684.118356481478</v>
      </c>
      <c r="K1556" s="11">
        <v>5.3356481481481484E-3</v>
      </c>
      <c r="L1556" s="13">
        <v>3</v>
      </c>
    </row>
    <row r="1557" spans="1:12" x14ac:dyDescent="0.25">
      <c r="A1557" s="3" t="s">
        <v>4558</v>
      </c>
      <c r="B1557" s="3" t="s">
        <v>4814</v>
      </c>
      <c r="C1557" s="3" t="s">
        <v>397</v>
      </c>
      <c r="D1557" s="9">
        <v>298.2</v>
      </c>
      <c r="E1557" s="3"/>
      <c r="F1557" s="3"/>
      <c r="G1557" s="9"/>
      <c r="H1557" s="10">
        <v>45684.19085648148</v>
      </c>
      <c r="I1557" s="10">
        <v>45684.19363425926</v>
      </c>
      <c r="J1557" s="10">
        <v>45684.196030092593</v>
      </c>
      <c r="K1557" s="11">
        <v>2.3958333333333331E-3</v>
      </c>
      <c r="L1557" s="13">
        <v>0</v>
      </c>
    </row>
    <row r="1558" spans="1:12" x14ac:dyDescent="0.25">
      <c r="A1558" s="3" t="s">
        <v>4558</v>
      </c>
      <c r="B1558" s="3" t="s">
        <v>4815</v>
      </c>
      <c r="C1558" s="3" t="s">
        <v>398</v>
      </c>
      <c r="D1558" s="9">
        <v>284.8</v>
      </c>
      <c r="E1558" s="3"/>
      <c r="F1558" s="3"/>
      <c r="G1558" s="9"/>
      <c r="H1558" s="10">
        <v>45684.27615740741</v>
      </c>
      <c r="I1558" s="10">
        <v>45684.278935185182</v>
      </c>
      <c r="J1558" s="10">
        <v>45684.28125</v>
      </c>
      <c r="K1558" s="11">
        <v>2.3148148148148151E-3</v>
      </c>
      <c r="L1558" s="13">
        <v>0</v>
      </c>
    </row>
    <row r="1559" spans="1:12" x14ac:dyDescent="0.25">
      <c r="A1559" s="3" t="s">
        <v>4558</v>
      </c>
      <c r="B1559" s="3" t="s">
        <v>4816</v>
      </c>
      <c r="C1559" s="3" t="s">
        <v>399</v>
      </c>
      <c r="D1559" s="9">
        <v>589.20000000000005</v>
      </c>
      <c r="E1559" s="3"/>
      <c r="F1559" s="3"/>
      <c r="G1559" s="9"/>
      <c r="H1559" s="10">
        <v>45684.298958333333</v>
      </c>
      <c r="I1559" s="10">
        <v>45684.301736111112</v>
      </c>
      <c r="J1559" s="10">
        <v>45684.313750000001</v>
      </c>
      <c r="K1559" s="11">
        <v>1.201388888888889E-2</v>
      </c>
      <c r="L1559" s="13">
        <v>7</v>
      </c>
    </row>
    <row r="1560" spans="1:12" x14ac:dyDescent="0.25">
      <c r="A1560" s="3" t="s">
        <v>4558</v>
      </c>
      <c r="B1560" s="3" t="s">
        <v>4817</v>
      </c>
      <c r="C1560" s="3" t="s">
        <v>400</v>
      </c>
      <c r="D1560" s="9">
        <v>253.6</v>
      </c>
      <c r="E1560" s="3"/>
      <c r="F1560" s="3"/>
      <c r="G1560" s="9"/>
      <c r="H1560" s="10">
        <v>45684.312592592592</v>
      </c>
      <c r="I1560" s="10">
        <v>45684.315370370372</v>
      </c>
      <c r="J1560" s="10">
        <v>45684.317430555559</v>
      </c>
      <c r="K1560" s="11">
        <v>2.0601851851851849E-3</v>
      </c>
      <c r="L1560" s="13">
        <v>0</v>
      </c>
    </row>
    <row r="1561" spans="1:12" x14ac:dyDescent="0.25">
      <c r="A1561" s="3" t="s">
        <v>4558</v>
      </c>
      <c r="B1561" s="3" t="s">
        <v>4818</v>
      </c>
      <c r="C1561" s="3" t="s">
        <v>401</v>
      </c>
      <c r="D1561" s="9">
        <v>389.1</v>
      </c>
      <c r="E1561" s="3"/>
      <c r="F1561" s="3"/>
      <c r="G1561" s="9"/>
      <c r="H1561" s="10">
        <v>45684.331157407411</v>
      </c>
      <c r="I1561" s="10">
        <v>45684.333935185183</v>
      </c>
      <c r="J1561" s="10">
        <v>45684.337083333332</v>
      </c>
      <c r="K1561" s="11">
        <v>3.1481481481481482E-3</v>
      </c>
      <c r="L1561" s="13">
        <v>0</v>
      </c>
    </row>
    <row r="1562" spans="1:12" x14ac:dyDescent="0.25">
      <c r="A1562" s="3" t="s">
        <v>4558</v>
      </c>
      <c r="B1562" s="3" t="s">
        <v>4819</v>
      </c>
      <c r="C1562" s="3" t="s">
        <v>402</v>
      </c>
      <c r="D1562" s="9">
        <v>586.70000000000005</v>
      </c>
      <c r="E1562" s="3"/>
      <c r="F1562" s="3"/>
      <c r="G1562" s="9"/>
      <c r="H1562" s="10">
        <v>45684.355555555558</v>
      </c>
      <c r="I1562" s="10">
        <v>45684.35833333333</v>
      </c>
      <c r="J1562" s="10">
        <v>45684.374930555547</v>
      </c>
      <c r="K1562" s="11">
        <v>1.6597222222222222E-2</v>
      </c>
      <c r="L1562" s="13">
        <v>11</v>
      </c>
    </row>
    <row r="1563" spans="1:12" x14ac:dyDescent="0.25">
      <c r="A1563" s="3" t="s">
        <v>4558</v>
      </c>
      <c r="B1563" s="3" t="s">
        <v>4820</v>
      </c>
      <c r="C1563" s="3" t="s">
        <v>403</v>
      </c>
      <c r="D1563" s="9">
        <v>390.5</v>
      </c>
      <c r="E1563" s="3"/>
      <c r="F1563" s="3"/>
      <c r="G1563" s="9"/>
      <c r="H1563" s="10">
        <v>45684.355856481481</v>
      </c>
      <c r="I1563" s="10">
        <v>45684.358634259261</v>
      </c>
      <c r="J1563" s="10">
        <v>45684.362604166658</v>
      </c>
      <c r="K1563" s="11">
        <v>3.9699074074074072E-3</v>
      </c>
      <c r="L1563" s="13">
        <v>1</v>
      </c>
    </row>
    <row r="1564" spans="1:12" x14ac:dyDescent="0.25">
      <c r="A1564" s="3" t="s">
        <v>4558</v>
      </c>
      <c r="B1564" s="3" t="s">
        <v>4821</v>
      </c>
      <c r="C1564" s="3" t="s">
        <v>404</v>
      </c>
      <c r="D1564" s="9">
        <v>435.5</v>
      </c>
      <c r="E1564" s="3"/>
      <c r="F1564" s="3"/>
      <c r="G1564" s="9"/>
      <c r="H1564" s="10">
        <v>45684.439722222232</v>
      </c>
      <c r="I1564" s="10">
        <v>45684.442499999997</v>
      </c>
      <c r="J1564" s="10">
        <v>45684.44703703704</v>
      </c>
      <c r="K1564" s="11">
        <v>4.5370370370370373E-3</v>
      </c>
      <c r="L1564" s="13">
        <v>1</v>
      </c>
    </row>
    <row r="1565" spans="1:12" x14ac:dyDescent="0.25">
      <c r="A1565" s="3" t="s">
        <v>4558</v>
      </c>
      <c r="B1565" s="3" t="s">
        <v>4822</v>
      </c>
      <c r="C1565" s="3" t="s">
        <v>405</v>
      </c>
      <c r="D1565" s="9">
        <v>212.1</v>
      </c>
      <c r="E1565" s="3"/>
      <c r="F1565" s="3"/>
      <c r="G1565" s="9"/>
      <c r="H1565" s="10">
        <v>45684.530694444453</v>
      </c>
      <c r="I1565" s="10">
        <v>45684.533472222232</v>
      </c>
      <c r="J1565" s="10">
        <v>45684.535185185188</v>
      </c>
      <c r="K1565" s="11">
        <v>1.712962962962963E-3</v>
      </c>
      <c r="L1565" s="13">
        <v>0</v>
      </c>
    </row>
    <row r="1566" spans="1:12" x14ac:dyDescent="0.25">
      <c r="A1566" s="3" t="s">
        <v>4558</v>
      </c>
      <c r="B1566" s="3" t="s">
        <v>4823</v>
      </c>
      <c r="C1566" s="3" t="s">
        <v>406</v>
      </c>
      <c r="D1566" s="9">
        <v>381.6</v>
      </c>
      <c r="E1566" s="3"/>
      <c r="F1566" s="3"/>
      <c r="G1566" s="9"/>
      <c r="H1566" s="10">
        <v>45684.599988425929</v>
      </c>
      <c r="I1566" s="10">
        <v>45684.602766203701</v>
      </c>
      <c r="J1566" s="10">
        <v>45684.605833333328</v>
      </c>
      <c r="K1566" s="11">
        <v>3.0671296296296302E-3</v>
      </c>
      <c r="L1566" s="13">
        <v>0</v>
      </c>
    </row>
    <row r="1567" spans="1:12" x14ac:dyDescent="0.25">
      <c r="A1567" s="3" t="s">
        <v>4558</v>
      </c>
      <c r="B1567" s="3" t="s">
        <v>4824</v>
      </c>
      <c r="C1567" s="3" t="s">
        <v>407</v>
      </c>
      <c r="D1567" s="9">
        <v>15.7</v>
      </c>
      <c r="E1567" s="3"/>
      <c r="F1567" s="3"/>
      <c r="G1567" s="9"/>
      <c r="H1567" s="10">
        <v>45684.644305555557</v>
      </c>
      <c r="I1567" s="10">
        <v>45684.647083333337</v>
      </c>
      <c r="J1567" s="10">
        <v>45684.647210648152</v>
      </c>
      <c r="K1567" s="11">
        <v>1.273148148148148E-4</v>
      </c>
      <c r="L1567" s="13">
        <v>0</v>
      </c>
    </row>
    <row r="1568" spans="1:12" x14ac:dyDescent="0.25">
      <c r="A1568" s="3" t="s">
        <v>4558</v>
      </c>
      <c r="B1568" s="3" t="s">
        <v>4825</v>
      </c>
      <c r="C1568" s="3" t="s">
        <v>408</v>
      </c>
      <c r="D1568" s="9">
        <v>383.1</v>
      </c>
      <c r="E1568" s="3"/>
      <c r="F1568" s="3"/>
      <c r="G1568" s="9"/>
      <c r="H1568" s="10">
        <v>45684.665312500001</v>
      </c>
      <c r="I1568" s="10">
        <v>45684.668090277781</v>
      </c>
      <c r="J1568" s="10">
        <v>45684.672210648147</v>
      </c>
      <c r="K1568" s="11">
        <v>4.1203703703703706E-3</v>
      </c>
      <c r="L1568" s="13">
        <v>1</v>
      </c>
    </row>
    <row r="1569" spans="1:12" x14ac:dyDescent="0.25">
      <c r="A1569" s="3" t="s">
        <v>4558</v>
      </c>
      <c r="B1569" s="3" t="s">
        <v>4826</v>
      </c>
      <c r="C1569" s="3" t="s">
        <v>409</v>
      </c>
      <c r="D1569" s="9">
        <v>232.4</v>
      </c>
      <c r="E1569" s="3"/>
      <c r="F1569" s="3"/>
      <c r="G1569" s="9"/>
      <c r="H1569" s="10">
        <v>45684.732314814813</v>
      </c>
      <c r="I1569" s="10">
        <v>45684.735092592593</v>
      </c>
      <c r="J1569" s="10">
        <v>45684.736979166657</v>
      </c>
      <c r="K1569" s="11">
        <v>1.8865740740740739E-3</v>
      </c>
      <c r="L1569" s="13">
        <v>0</v>
      </c>
    </row>
    <row r="1570" spans="1:12" x14ac:dyDescent="0.25">
      <c r="A1570" s="3" t="s">
        <v>4558</v>
      </c>
      <c r="B1570" s="3" t="s">
        <v>4827</v>
      </c>
      <c r="C1570" s="3" t="s">
        <v>410</v>
      </c>
      <c r="D1570" s="9">
        <v>446</v>
      </c>
      <c r="E1570" s="3"/>
      <c r="F1570" s="3"/>
      <c r="G1570" s="9"/>
      <c r="H1570" s="10">
        <v>45684.73846064815</v>
      </c>
      <c r="I1570" s="10">
        <v>45684.741238425922</v>
      </c>
      <c r="J1570" s="10">
        <v>45684.747002314813</v>
      </c>
      <c r="K1570" s="11">
        <v>5.7638888888888887E-3</v>
      </c>
      <c r="L1570" s="13">
        <v>2</v>
      </c>
    </row>
    <row r="1571" spans="1:12" x14ac:dyDescent="0.25">
      <c r="A1571" s="3" t="s">
        <v>4558</v>
      </c>
      <c r="B1571" s="3" t="s">
        <v>4828</v>
      </c>
      <c r="C1571" s="3" t="s">
        <v>411</v>
      </c>
      <c r="D1571" s="9">
        <v>397.3</v>
      </c>
      <c r="E1571" s="3"/>
      <c r="F1571" s="3"/>
      <c r="G1571" s="9"/>
      <c r="H1571" s="10">
        <v>45684.876469907409</v>
      </c>
      <c r="I1571" s="10">
        <v>45684.879247685189</v>
      </c>
      <c r="J1571" s="10">
        <v>45684.882430555554</v>
      </c>
      <c r="K1571" s="11">
        <v>3.1828703703703702E-3</v>
      </c>
      <c r="L1571" s="13">
        <v>0</v>
      </c>
    </row>
    <row r="1572" spans="1:12" x14ac:dyDescent="0.25">
      <c r="A1572" s="3" t="s">
        <v>4558</v>
      </c>
      <c r="B1572" s="3" t="s">
        <v>4829</v>
      </c>
      <c r="C1572" s="3" t="s">
        <v>412</v>
      </c>
      <c r="D1572" s="9">
        <v>145.69999999999999</v>
      </c>
      <c r="E1572" s="3"/>
      <c r="F1572" s="3"/>
      <c r="G1572" s="9"/>
      <c r="H1572" s="10">
        <v>45685.121550925927</v>
      </c>
      <c r="I1572" s="10">
        <v>45685.124328703707</v>
      </c>
      <c r="J1572" s="10">
        <v>45685.127662037034</v>
      </c>
      <c r="K1572" s="11">
        <v>3.333333333333334E-3</v>
      </c>
      <c r="L1572" s="13">
        <v>2</v>
      </c>
    </row>
    <row r="1573" spans="1:12" x14ac:dyDescent="0.25">
      <c r="A1573" s="3" t="s">
        <v>4558</v>
      </c>
      <c r="B1573" s="3" t="s">
        <v>4830</v>
      </c>
      <c r="C1573" s="3" t="s">
        <v>413</v>
      </c>
      <c r="D1573" s="9">
        <v>297</v>
      </c>
      <c r="E1573" s="3"/>
      <c r="F1573" s="3"/>
      <c r="G1573" s="9"/>
      <c r="H1573" s="10">
        <v>45685.272453703707</v>
      </c>
      <c r="I1573" s="10">
        <v>45685.275231481479</v>
      </c>
      <c r="J1573" s="10">
        <v>45685.277604166673</v>
      </c>
      <c r="K1573" s="11">
        <v>2.3726851851851851E-3</v>
      </c>
      <c r="L1573" s="13">
        <v>0</v>
      </c>
    </row>
    <row r="1574" spans="1:12" x14ac:dyDescent="0.25">
      <c r="A1574" s="3" t="s">
        <v>4558</v>
      </c>
      <c r="B1574" s="3" t="s">
        <v>4831</v>
      </c>
      <c r="C1574" s="3" t="s">
        <v>414</v>
      </c>
      <c r="D1574" s="9">
        <v>299.89999999999998</v>
      </c>
      <c r="E1574" s="3"/>
      <c r="F1574" s="3"/>
      <c r="G1574" s="9"/>
      <c r="H1574" s="10">
        <v>45685.302199074067</v>
      </c>
      <c r="I1574" s="10">
        <v>45685.304976851847</v>
      </c>
      <c r="J1574" s="10">
        <v>45685.31386574074</v>
      </c>
      <c r="K1574" s="11">
        <v>8.8888888888888889E-3</v>
      </c>
      <c r="L1574" s="13">
        <v>6</v>
      </c>
    </row>
    <row r="1575" spans="1:12" x14ac:dyDescent="0.25">
      <c r="A1575" s="3" t="s">
        <v>4558</v>
      </c>
      <c r="B1575" s="3" t="s">
        <v>4832</v>
      </c>
      <c r="C1575" s="3" t="s">
        <v>415</v>
      </c>
      <c r="D1575" s="9">
        <v>157.5</v>
      </c>
      <c r="E1575" s="3"/>
      <c r="F1575" s="3"/>
      <c r="G1575" s="9"/>
      <c r="H1575" s="10">
        <v>45685.315057870372</v>
      </c>
      <c r="I1575" s="10">
        <v>45685.317835648151</v>
      </c>
      <c r="J1575" s="10">
        <v>45685.319108796299</v>
      </c>
      <c r="K1575" s="11">
        <v>1.273148148148148E-3</v>
      </c>
      <c r="L1575" s="13">
        <v>0</v>
      </c>
    </row>
    <row r="1576" spans="1:12" x14ac:dyDescent="0.25">
      <c r="A1576" s="3" t="s">
        <v>4558</v>
      </c>
      <c r="B1576" s="3" t="s">
        <v>4833</v>
      </c>
      <c r="C1576" s="3" t="s">
        <v>416</v>
      </c>
      <c r="D1576" s="9">
        <v>398</v>
      </c>
      <c r="E1576" s="3"/>
      <c r="F1576" s="3"/>
      <c r="G1576" s="9"/>
      <c r="H1576" s="10">
        <v>45685.322592592587</v>
      </c>
      <c r="I1576" s="10">
        <v>45685.325370370367</v>
      </c>
      <c r="J1576" s="10">
        <v>45685.328599537039</v>
      </c>
      <c r="K1576" s="11">
        <v>3.2291666666666671E-3</v>
      </c>
      <c r="L1576" s="13">
        <v>0</v>
      </c>
    </row>
    <row r="1577" spans="1:12" x14ac:dyDescent="0.25">
      <c r="A1577" s="3" t="s">
        <v>4558</v>
      </c>
      <c r="B1577" s="3" t="s">
        <v>4834</v>
      </c>
      <c r="C1577" s="3" t="s">
        <v>417</v>
      </c>
      <c r="D1577" s="9">
        <v>584.20000000000005</v>
      </c>
      <c r="E1577" s="3"/>
      <c r="F1577" s="3"/>
      <c r="G1577" s="9"/>
      <c r="H1577" s="10">
        <v>45685.367395833331</v>
      </c>
      <c r="I1577" s="10">
        <v>45685.370173611111</v>
      </c>
      <c r="J1577" s="10">
        <v>45685.388888888891</v>
      </c>
      <c r="K1577" s="11">
        <v>1.8715277777777779E-2</v>
      </c>
      <c r="L1577" s="13">
        <v>13</v>
      </c>
    </row>
    <row r="1578" spans="1:12" x14ac:dyDescent="0.25">
      <c r="A1578" s="3" t="s">
        <v>4558</v>
      </c>
      <c r="B1578" s="3" t="s">
        <v>4835</v>
      </c>
      <c r="C1578" s="3" t="s">
        <v>418</v>
      </c>
      <c r="D1578" s="9">
        <v>222.8</v>
      </c>
      <c r="E1578" s="3"/>
      <c r="F1578" s="3"/>
      <c r="G1578" s="9"/>
      <c r="H1578" s="10">
        <v>45685.380879629629</v>
      </c>
      <c r="I1578" s="10">
        <v>45685.383657407408</v>
      </c>
      <c r="J1578" s="10">
        <v>45685.38652777778</v>
      </c>
      <c r="K1578" s="11">
        <v>2.8703703703703699E-3</v>
      </c>
      <c r="L1578" s="13">
        <v>1</v>
      </c>
    </row>
    <row r="1579" spans="1:12" x14ac:dyDescent="0.25">
      <c r="A1579" s="3" t="s">
        <v>4558</v>
      </c>
      <c r="B1579" s="3" t="s">
        <v>4836</v>
      </c>
      <c r="C1579" s="3" t="s">
        <v>419</v>
      </c>
      <c r="D1579" s="9">
        <v>273</v>
      </c>
      <c r="E1579" s="3"/>
      <c r="F1579" s="3"/>
      <c r="G1579" s="9"/>
      <c r="H1579" s="10">
        <v>45685.439513888887</v>
      </c>
      <c r="I1579" s="10">
        <v>45685.442291666674</v>
      </c>
      <c r="J1579" s="10">
        <v>45685.446817129632</v>
      </c>
      <c r="K1579" s="11">
        <v>4.5254629629629629E-3</v>
      </c>
      <c r="L1579" s="13">
        <v>2</v>
      </c>
    </row>
    <row r="1580" spans="1:12" x14ac:dyDescent="0.25">
      <c r="A1580" s="3" t="s">
        <v>4558</v>
      </c>
      <c r="B1580" s="3" t="s">
        <v>4837</v>
      </c>
      <c r="C1580" s="3" t="s">
        <v>420</v>
      </c>
      <c r="D1580" s="9">
        <v>291.89999999999998</v>
      </c>
      <c r="E1580" s="3"/>
      <c r="F1580" s="3"/>
      <c r="G1580" s="9"/>
      <c r="H1580" s="10">
        <v>45685.540937500002</v>
      </c>
      <c r="I1580" s="10">
        <v>45685.543715277781</v>
      </c>
      <c r="J1580" s="10">
        <v>45685.545844907407</v>
      </c>
      <c r="K1580" s="11">
        <v>2.1296296296296302E-3</v>
      </c>
      <c r="L1580" s="13">
        <v>0</v>
      </c>
    </row>
    <row r="1581" spans="1:12" x14ac:dyDescent="0.25">
      <c r="A1581" s="3" t="s">
        <v>4558</v>
      </c>
      <c r="B1581" s="3" t="s">
        <v>4838</v>
      </c>
      <c r="C1581" s="3" t="s">
        <v>421</v>
      </c>
      <c r="D1581" s="9">
        <v>389.8</v>
      </c>
      <c r="E1581" s="3"/>
      <c r="F1581" s="3"/>
      <c r="G1581" s="9"/>
      <c r="H1581" s="10">
        <v>45685.596273148149</v>
      </c>
      <c r="I1581" s="10">
        <v>45685.599050925928</v>
      </c>
      <c r="J1581" s="10">
        <v>45685.602337962962</v>
      </c>
      <c r="K1581" s="11">
        <v>3.2870370370370371E-3</v>
      </c>
      <c r="L1581" s="13">
        <v>0</v>
      </c>
    </row>
    <row r="1582" spans="1:12" x14ac:dyDescent="0.25">
      <c r="A1582" s="3" t="s">
        <v>4558</v>
      </c>
      <c r="B1582" s="3" t="s">
        <v>4839</v>
      </c>
      <c r="C1582" s="3" t="s">
        <v>422</v>
      </c>
      <c r="D1582" s="9">
        <v>558.1</v>
      </c>
      <c r="E1582" s="3"/>
      <c r="F1582" s="3"/>
      <c r="G1582" s="9"/>
      <c r="H1582" s="10">
        <v>45685.603344907409</v>
      </c>
      <c r="I1582" s="10">
        <v>45685.606122685182</v>
      </c>
      <c r="J1582" s="10">
        <v>45685.619722222233</v>
      </c>
      <c r="K1582" s="11">
        <v>1.359953703703704E-2</v>
      </c>
      <c r="L1582" s="13">
        <v>8</v>
      </c>
    </row>
    <row r="1583" spans="1:12" x14ac:dyDescent="0.25">
      <c r="A1583" s="3" t="s">
        <v>4558</v>
      </c>
      <c r="B1583" s="3" t="s">
        <v>4840</v>
      </c>
      <c r="C1583" s="3" t="s">
        <v>423</v>
      </c>
      <c r="D1583" s="9">
        <v>31.5</v>
      </c>
      <c r="E1583" s="3"/>
      <c r="F1583" s="3"/>
      <c r="G1583" s="9"/>
      <c r="H1583" s="10">
        <v>45685.647731481477</v>
      </c>
      <c r="I1583" s="10">
        <v>45685.650509259263</v>
      </c>
      <c r="J1583" s="10">
        <v>45685.650763888887</v>
      </c>
      <c r="K1583" s="11">
        <v>2.5462962962962961E-4</v>
      </c>
      <c r="L1583" s="13">
        <v>0</v>
      </c>
    </row>
    <row r="1584" spans="1:12" x14ac:dyDescent="0.25">
      <c r="A1584" s="3" t="s">
        <v>4558</v>
      </c>
      <c r="B1584" s="3" t="s">
        <v>4841</v>
      </c>
      <c r="C1584" s="3" t="s">
        <v>424</v>
      </c>
      <c r="D1584" s="9">
        <v>232.7</v>
      </c>
      <c r="E1584" s="3"/>
      <c r="F1584" s="3"/>
      <c r="G1584" s="9"/>
      <c r="H1584" s="10">
        <v>45685.813703703701</v>
      </c>
      <c r="I1584" s="10">
        <v>45685.816481481481</v>
      </c>
      <c r="J1584" s="10">
        <v>45685.818298611113</v>
      </c>
      <c r="K1584" s="11">
        <v>1.8171296296296299E-3</v>
      </c>
      <c r="L1584" s="13">
        <v>0</v>
      </c>
    </row>
    <row r="1585" spans="1:12" x14ac:dyDescent="0.25">
      <c r="A1585" s="3" t="s">
        <v>4558</v>
      </c>
      <c r="B1585" s="3" t="s">
        <v>4842</v>
      </c>
      <c r="C1585" s="3" t="s">
        <v>425</v>
      </c>
      <c r="D1585" s="9">
        <v>397.3</v>
      </c>
      <c r="E1585" s="3"/>
      <c r="F1585" s="3"/>
      <c r="G1585" s="9"/>
      <c r="H1585" s="10">
        <v>45685.876574074071</v>
      </c>
      <c r="I1585" s="10">
        <v>45685.879351851851</v>
      </c>
      <c r="J1585" s="10">
        <v>45685.882465277777</v>
      </c>
      <c r="K1585" s="11">
        <v>3.1134259259259262E-3</v>
      </c>
      <c r="L1585" s="13">
        <v>0</v>
      </c>
    </row>
    <row r="1586" spans="1:12" x14ac:dyDescent="0.25">
      <c r="A1586" s="3" t="s">
        <v>4558</v>
      </c>
      <c r="B1586" s="3" t="s">
        <v>4843</v>
      </c>
      <c r="C1586" s="3" t="s">
        <v>426</v>
      </c>
      <c r="D1586" s="9">
        <v>260.3</v>
      </c>
      <c r="E1586" s="3"/>
      <c r="F1586" s="3"/>
      <c r="G1586" s="9"/>
      <c r="H1586" s="10">
        <v>45686.115717592591</v>
      </c>
      <c r="I1586" s="10">
        <v>45686.118495370371</v>
      </c>
      <c r="J1586" s="10">
        <v>45686.123553240737</v>
      </c>
      <c r="K1586" s="11">
        <v>5.0578703703703714E-3</v>
      </c>
      <c r="L1586" s="13">
        <v>3</v>
      </c>
    </row>
    <row r="1587" spans="1:12" x14ac:dyDescent="0.25">
      <c r="A1587" s="3" t="s">
        <v>4558</v>
      </c>
      <c r="B1587" s="3" t="s">
        <v>4844</v>
      </c>
      <c r="C1587" s="3" t="s">
        <v>427</v>
      </c>
      <c r="D1587" s="9">
        <v>106.9</v>
      </c>
      <c r="E1587" s="3"/>
      <c r="F1587" s="3"/>
      <c r="G1587" s="9"/>
      <c r="H1587" s="10">
        <v>45686.181388888886</v>
      </c>
      <c r="I1587" s="10">
        <v>45686.184166666673</v>
      </c>
      <c r="J1587" s="10">
        <v>45686.184999999998</v>
      </c>
      <c r="K1587" s="11">
        <v>8.3333333333333339E-4</v>
      </c>
      <c r="L1587" s="13">
        <v>0</v>
      </c>
    </row>
    <row r="1588" spans="1:12" x14ac:dyDescent="0.25">
      <c r="A1588" s="3" t="s">
        <v>4558</v>
      </c>
      <c r="B1588" s="3" t="s">
        <v>4845</v>
      </c>
      <c r="C1588" s="3" t="s">
        <v>428</v>
      </c>
      <c r="D1588" s="9">
        <v>297</v>
      </c>
      <c r="E1588" s="3"/>
      <c r="F1588" s="3"/>
      <c r="G1588" s="9"/>
      <c r="H1588" s="10">
        <v>45686.262384259258</v>
      </c>
      <c r="I1588" s="10">
        <v>45686.265162037038</v>
      </c>
      <c r="J1588" s="10">
        <v>45686.267476851863</v>
      </c>
      <c r="K1588" s="11">
        <v>2.3148148148148151E-3</v>
      </c>
      <c r="L1588" s="13">
        <v>0</v>
      </c>
    </row>
    <row r="1589" spans="1:12" x14ac:dyDescent="0.25">
      <c r="A1589" s="3" t="s">
        <v>4558</v>
      </c>
      <c r="B1589" s="3" t="s">
        <v>4846</v>
      </c>
      <c r="C1589" s="3" t="s">
        <v>429</v>
      </c>
      <c r="D1589" s="9">
        <v>397.3</v>
      </c>
      <c r="E1589" s="3"/>
      <c r="F1589" s="3"/>
      <c r="G1589" s="9"/>
      <c r="H1589" s="10">
        <v>45686.305497685193</v>
      </c>
      <c r="I1589" s="10">
        <v>45686.308275462958</v>
      </c>
      <c r="J1589" s="10">
        <v>45686.311388888891</v>
      </c>
      <c r="K1589" s="11">
        <v>3.1134259259259262E-3</v>
      </c>
      <c r="L1589" s="13">
        <v>0</v>
      </c>
    </row>
    <row r="1590" spans="1:12" x14ac:dyDescent="0.25">
      <c r="A1590" s="3" t="s">
        <v>4558</v>
      </c>
      <c r="B1590" s="3" t="s">
        <v>4847</v>
      </c>
      <c r="C1590" s="3" t="s">
        <v>430</v>
      </c>
      <c r="D1590" s="9">
        <v>129.30000000000001</v>
      </c>
      <c r="E1590" s="3"/>
      <c r="F1590" s="3"/>
      <c r="G1590" s="9"/>
      <c r="H1590" s="10">
        <v>45686.31355324074</v>
      </c>
      <c r="I1590" s="10">
        <v>45686.316331018519</v>
      </c>
      <c r="J1590" s="10">
        <v>45686.317349537043</v>
      </c>
      <c r="K1590" s="11">
        <v>1.018518518518518E-3</v>
      </c>
      <c r="L1590" s="13">
        <v>0</v>
      </c>
    </row>
    <row r="1591" spans="1:12" x14ac:dyDescent="0.25">
      <c r="A1591" s="3" t="s">
        <v>4558</v>
      </c>
      <c r="B1591" s="3" t="s">
        <v>4848</v>
      </c>
      <c r="C1591" s="3" t="s">
        <v>431</v>
      </c>
      <c r="D1591" s="9">
        <v>79.5</v>
      </c>
      <c r="E1591" s="3"/>
      <c r="F1591" s="3"/>
      <c r="G1591" s="9"/>
      <c r="H1591" s="10">
        <v>45686.348020833328</v>
      </c>
      <c r="I1591" s="10">
        <v>45686.350798611107</v>
      </c>
      <c r="J1591" s="10">
        <v>45686.352418981478</v>
      </c>
      <c r="K1591" s="11">
        <v>1.6203703703703701E-3</v>
      </c>
      <c r="L1591" s="13">
        <v>1</v>
      </c>
    </row>
    <row r="1592" spans="1:12" x14ac:dyDescent="0.25">
      <c r="A1592" s="3" t="s">
        <v>4558</v>
      </c>
      <c r="B1592" s="3" t="s">
        <v>4849</v>
      </c>
      <c r="C1592" s="3" t="s">
        <v>432</v>
      </c>
      <c r="D1592" s="9">
        <v>436</v>
      </c>
      <c r="E1592" s="3"/>
      <c r="F1592" s="3"/>
      <c r="G1592" s="9"/>
      <c r="H1592" s="10">
        <v>45686.378657407397</v>
      </c>
      <c r="I1592" s="10">
        <v>45686.381435185183</v>
      </c>
      <c r="J1592" s="10">
        <v>45686.394270833327</v>
      </c>
      <c r="K1592" s="11">
        <v>1.283564814814815E-2</v>
      </c>
      <c r="L1592" s="13">
        <v>9</v>
      </c>
    </row>
    <row r="1593" spans="1:12" x14ac:dyDescent="0.25">
      <c r="A1593" s="3" t="s">
        <v>4558</v>
      </c>
      <c r="B1593" s="3" t="s">
        <v>4850</v>
      </c>
      <c r="C1593" s="3" t="s">
        <v>433</v>
      </c>
      <c r="D1593" s="9">
        <v>241.3</v>
      </c>
      <c r="E1593" s="3"/>
      <c r="F1593" s="3"/>
      <c r="G1593" s="9"/>
      <c r="H1593" s="10">
        <v>45686.43953703704</v>
      </c>
      <c r="I1593" s="10">
        <v>45686.442314814813</v>
      </c>
      <c r="J1593" s="10">
        <v>45686.445173611108</v>
      </c>
      <c r="K1593" s="11">
        <v>2.8587962962962959E-3</v>
      </c>
      <c r="L1593" s="13">
        <v>1</v>
      </c>
    </row>
    <row r="1594" spans="1:12" x14ac:dyDescent="0.25">
      <c r="A1594" s="3" t="s">
        <v>4558</v>
      </c>
      <c r="B1594" s="3" t="s">
        <v>4851</v>
      </c>
      <c r="C1594" s="3" t="s">
        <v>434</v>
      </c>
      <c r="D1594" s="9">
        <v>259.7</v>
      </c>
      <c r="E1594" s="3"/>
      <c r="F1594" s="3"/>
      <c r="G1594" s="9"/>
      <c r="H1594" s="10">
        <v>45686.546840277777</v>
      </c>
      <c r="I1594" s="10">
        <v>45686.549618055556</v>
      </c>
      <c r="J1594" s="10">
        <v>45686.551689814813</v>
      </c>
      <c r="K1594" s="11">
        <v>2.0717592592592589E-3</v>
      </c>
      <c r="L1594" s="13">
        <v>0</v>
      </c>
    </row>
    <row r="1595" spans="1:12" x14ac:dyDescent="0.25">
      <c r="A1595" s="3" t="s">
        <v>4558</v>
      </c>
      <c r="B1595" s="3" t="s">
        <v>4852</v>
      </c>
      <c r="C1595" s="3" t="s">
        <v>435</v>
      </c>
      <c r="D1595" s="9">
        <v>398</v>
      </c>
      <c r="E1595" s="3"/>
      <c r="F1595" s="3"/>
      <c r="G1595" s="9"/>
      <c r="H1595" s="10">
        <v>45686.605868055558</v>
      </c>
      <c r="I1595" s="10">
        <v>45686.60864583333</v>
      </c>
      <c r="J1595" s="10">
        <v>45686.611701388887</v>
      </c>
      <c r="K1595" s="11">
        <v>3.0555555555555561E-3</v>
      </c>
      <c r="L1595" s="13">
        <v>0</v>
      </c>
    </row>
    <row r="1596" spans="1:12" x14ac:dyDescent="0.25">
      <c r="A1596" s="3" t="s">
        <v>4558</v>
      </c>
      <c r="B1596" s="3" t="s">
        <v>4853</v>
      </c>
      <c r="C1596" s="3" t="s">
        <v>436</v>
      </c>
      <c r="D1596" s="9">
        <v>504.1</v>
      </c>
      <c r="E1596" s="3"/>
      <c r="F1596" s="3"/>
      <c r="G1596" s="9"/>
      <c r="H1596" s="10">
        <v>45686.620682870373</v>
      </c>
      <c r="I1596" s="10">
        <v>45686.623460648138</v>
      </c>
      <c r="J1596" s="10">
        <v>45686.63789351852</v>
      </c>
      <c r="K1596" s="11">
        <v>1.443287037037037E-2</v>
      </c>
      <c r="L1596" s="13">
        <v>10</v>
      </c>
    </row>
    <row r="1597" spans="1:12" x14ac:dyDescent="0.25">
      <c r="A1597" s="3" t="s">
        <v>4558</v>
      </c>
      <c r="B1597" s="3" t="s">
        <v>4854</v>
      </c>
      <c r="C1597" s="3" t="s">
        <v>437</v>
      </c>
      <c r="D1597" s="9">
        <v>15.7</v>
      </c>
      <c r="E1597" s="3"/>
      <c r="F1597" s="3"/>
      <c r="G1597" s="9"/>
      <c r="H1597" s="10">
        <v>45686.659780092603</v>
      </c>
      <c r="I1597" s="10">
        <v>45686.662557870368</v>
      </c>
      <c r="J1597" s="10">
        <v>45686.66269675926</v>
      </c>
      <c r="K1597" s="11">
        <v>1.3888888888888889E-4</v>
      </c>
      <c r="L1597" s="13">
        <v>0</v>
      </c>
    </row>
    <row r="1598" spans="1:12" x14ac:dyDescent="0.25">
      <c r="A1598" s="3" t="s">
        <v>4558</v>
      </c>
      <c r="B1598" s="3" t="s">
        <v>4855</v>
      </c>
      <c r="C1598" s="3" t="s">
        <v>438</v>
      </c>
      <c r="D1598" s="9">
        <v>302.10000000000002</v>
      </c>
      <c r="E1598" s="3"/>
      <c r="F1598" s="3"/>
      <c r="G1598" s="9"/>
      <c r="H1598" s="10">
        <v>45686.730798611112</v>
      </c>
      <c r="I1598" s="10">
        <v>45686.733576388891</v>
      </c>
      <c r="J1598" s="10">
        <v>45686.735798611109</v>
      </c>
      <c r="K1598" s="11">
        <v>2.2222222222222218E-3</v>
      </c>
      <c r="L1598" s="13">
        <v>0</v>
      </c>
    </row>
    <row r="1599" spans="1:12" x14ac:dyDescent="0.25">
      <c r="A1599" s="3" t="s">
        <v>4558</v>
      </c>
      <c r="B1599" s="3" t="s">
        <v>4856</v>
      </c>
      <c r="C1599" s="3" t="s">
        <v>439</v>
      </c>
      <c r="D1599" s="9">
        <v>377.4</v>
      </c>
      <c r="E1599" s="3"/>
      <c r="F1599" s="3"/>
      <c r="G1599" s="9"/>
      <c r="H1599" s="10">
        <v>45686.735335648147</v>
      </c>
      <c r="I1599" s="10">
        <v>45686.738113425927</v>
      </c>
      <c r="J1599" s="10">
        <v>45686.752372685187</v>
      </c>
      <c r="K1599" s="11">
        <v>1.425925925925926E-2</v>
      </c>
      <c r="L1599" s="13">
        <v>10</v>
      </c>
    </row>
    <row r="1600" spans="1:12" x14ac:dyDescent="0.25">
      <c r="A1600" s="3" t="s">
        <v>4558</v>
      </c>
      <c r="B1600" s="3" t="s">
        <v>4857</v>
      </c>
      <c r="C1600" s="3" t="s">
        <v>440</v>
      </c>
      <c r="D1600" s="9">
        <v>380.8</v>
      </c>
      <c r="E1600" s="3"/>
      <c r="F1600" s="3"/>
      <c r="G1600" s="9"/>
      <c r="H1600" s="10">
        <v>45686.86755787037</v>
      </c>
      <c r="I1600" s="10">
        <v>45686.870335648149</v>
      </c>
      <c r="J1600" s="10">
        <v>45686.873645833337</v>
      </c>
      <c r="K1600" s="11">
        <v>3.3101851851851851E-3</v>
      </c>
      <c r="L1600" s="13">
        <v>0</v>
      </c>
    </row>
    <row r="1601" spans="1:12" x14ac:dyDescent="0.25">
      <c r="A1601" s="3" t="s">
        <v>4558</v>
      </c>
      <c r="B1601" s="3" t="s">
        <v>4858</v>
      </c>
      <c r="C1601" s="3" t="s">
        <v>441</v>
      </c>
      <c r="D1601" s="9">
        <v>136.9</v>
      </c>
      <c r="E1601" s="3"/>
      <c r="F1601" s="3"/>
      <c r="G1601" s="9"/>
      <c r="H1601" s="10">
        <v>45687.114293981482</v>
      </c>
      <c r="I1601" s="10">
        <v>45687.117071759261</v>
      </c>
      <c r="J1601" s="10">
        <v>45687.122303240743</v>
      </c>
      <c r="K1601" s="11">
        <v>5.2314814814814811E-3</v>
      </c>
      <c r="L1601" s="13">
        <v>4</v>
      </c>
    </row>
    <row r="1602" spans="1:12" x14ac:dyDescent="0.25">
      <c r="A1602" s="3" t="s">
        <v>4558</v>
      </c>
      <c r="B1602" s="3" t="s">
        <v>4859</v>
      </c>
      <c r="C1602" s="3" t="s">
        <v>442</v>
      </c>
      <c r="D1602" s="9">
        <v>297</v>
      </c>
      <c r="E1602" s="3"/>
      <c r="F1602" s="3"/>
      <c r="G1602" s="9"/>
      <c r="H1602" s="10">
        <v>45687.264120370368</v>
      </c>
      <c r="I1602" s="10">
        <v>45687.266898148147</v>
      </c>
      <c r="J1602" s="10">
        <v>45687.269490740742</v>
      </c>
      <c r="K1602" s="11">
        <v>2.592592592592593E-3</v>
      </c>
      <c r="L1602" s="13">
        <v>0</v>
      </c>
    </row>
    <row r="1603" spans="1:12" x14ac:dyDescent="0.25">
      <c r="A1603" s="3" t="s">
        <v>4558</v>
      </c>
      <c r="B1603" s="3" t="s">
        <v>4860</v>
      </c>
      <c r="C1603" s="3" t="s">
        <v>443</v>
      </c>
      <c r="D1603" s="9">
        <v>336.5</v>
      </c>
      <c r="E1603" s="3"/>
      <c r="F1603" s="3"/>
      <c r="G1603" s="9"/>
      <c r="H1603" s="10">
        <v>45687.291087962964</v>
      </c>
      <c r="I1603" s="10">
        <v>45687.293865740743</v>
      </c>
      <c r="J1603" s="10">
        <v>45687.296469907407</v>
      </c>
      <c r="K1603" s="11">
        <v>2.604166666666667E-3</v>
      </c>
      <c r="L1603" s="13">
        <v>0</v>
      </c>
    </row>
    <row r="1604" spans="1:12" x14ac:dyDescent="0.25">
      <c r="A1604" s="3" t="s">
        <v>4558</v>
      </c>
      <c r="B1604" s="3" t="s">
        <v>4861</v>
      </c>
      <c r="C1604" s="3" t="s">
        <v>444</v>
      </c>
      <c r="D1604" s="9">
        <v>598.9</v>
      </c>
      <c r="E1604" s="3"/>
      <c r="F1604" s="3"/>
      <c r="G1604" s="9"/>
      <c r="H1604" s="10">
        <v>45687.302418981482</v>
      </c>
      <c r="I1604" s="10">
        <v>45687.305196759262</v>
      </c>
      <c r="J1604" s="10">
        <v>45687.323020833333</v>
      </c>
      <c r="K1604" s="11">
        <v>1.7824074074074079E-2</v>
      </c>
      <c r="L1604" s="13">
        <v>11</v>
      </c>
    </row>
    <row r="1605" spans="1:12" x14ac:dyDescent="0.25">
      <c r="A1605" s="3" t="s">
        <v>4558</v>
      </c>
      <c r="B1605" s="3" t="s">
        <v>4862</v>
      </c>
      <c r="C1605" s="3" t="s">
        <v>445</v>
      </c>
      <c r="D1605" s="9">
        <v>380.8</v>
      </c>
      <c r="E1605" s="3"/>
      <c r="F1605" s="3"/>
      <c r="G1605" s="9"/>
      <c r="H1605" s="10">
        <v>45687.329965277779</v>
      </c>
      <c r="I1605" s="10">
        <v>45687.332743055558</v>
      </c>
      <c r="J1605" s="10">
        <v>45687.336053240739</v>
      </c>
      <c r="K1605" s="11">
        <v>3.3101851851851851E-3</v>
      </c>
      <c r="L1605" s="13">
        <v>0</v>
      </c>
    </row>
    <row r="1606" spans="1:12" x14ac:dyDescent="0.25">
      <c r="A1606" s="3" t="s">
        <v>4558</v>
      </c>
      <c r="B1606" s="3" t="s">
        <v>4863</v>
      </c>
      <c r="C1606" s="3" t="s">
        <v>446</v>
      </c>
      <c r="D1606" s="9">
        <v>213.1</v>
      </c>
      <c r="E1606" s="3"/>
      <c r="F1606" s="3"/>
      <c r="G1606" s="9"/>
      <c r="H1606" s="10">
        <v>45687.350474537037</v>
      </c>
      <c r="I1606" s="10">
        <v>45687.353252314817</v>
      </c>
      <c r="J1606" s="10">
        <v>45687.357407407413</v>
      </c>
      <c r="K1606" s="11">
        <v>4.1550925925925922E-3</v>
      </c>
      <c r="L1606" s="13">
        <v>2</v>
      </c>
    </row>
    <row r="1607" spans="1:12" x14ac:dyDescent="0.25">
      <c r="A1607" s="3" t="s">
        <v>4558</v>
      </c>
      <c r="B1607" s="3" t="s">
        <v>4864</v>
      </c>
      <c r="C1607" s="3" t="s">
        <v>447</v>
      </c>
      <c r="D1607" s="9">
        <v>355.8</v>
      </c>
      <c r="E1607" s="3"/>
      <c r="F1607" s="3"/>
      <c r="G1607" s="9"/>
      <c r="H1607" s="10">
        <v>45687.382719907408</v>
      </c>
      <c r="I1607" s="10">
        <v>45687.385497685187</v>
      </c>
      <c r="J1607" s="10">
        <v>45687.393460648149</v>
      </c>
      <c r="K1607" s="11">
        <v>7.9629629629629634E-3</v>
      </c>
      <c r="L1607" s="13">
        <v>5</v>
      </c>
    </row>
    <row r="1608" spans="1:12" x14ac:dyDescent="0.25">
      <c r="A1608" s="3" t="s">
        <v>4558</v>
      </c>
      <c r="B1608" s="3" t="s">
        <v>4865</v>
      </c>
      <c r="C1608" s="3" t="s">
        <v>448</v>
      </c>
      <c r="D1608" s="9">
        <v>435.1</v>
      </c>
      <c r="E1608" s="3"/>
      <c r="F1608" s="3"/>
      <c r="G1608" s="9"/>
      <c r="H1608" s="10">
        <v>45687.413761574076</v>
      </c>
      <c r="I1608" s="10">
        <v>45687.416539351849</v>
      </c>
      <c r="J1608" s="10">
        <v>45687.422627314823</v>
      </c>
      <c r="K1608" s="11">
        <v>6.0879629629629634E-3</v>
      </c>
      <c r="L1608" s="13">
        <v>2</v>
      </c>
    </row>
    <row r="1609" spans="1:12" x14ac:dyDescent="0.25">
      <c r="A1609" s="3" t="s">
        <v>4558</v>
      </c>
      <c r="B1609" s="3" t="s">
        <v>4866</v>
      </c>
      <c r="C1609" s="3" t="s">
        <v>449</v>
      </c>
      <c r="D1609" s="9">
        <v>291.7</v>
      </c>
      <c r="E1609" s="3"/>
      <c r="F1609" s="3"/>
      <c r="G1609" s="9"/>
      <c r="H1609" s="10">
        <v>45687.541550925933</v>
      </c>
      <c r="I1609" s="10">
        <v>45687.544328703712</v>
      </c>
      <c r="J1609" s="10">
        <v>45687.546585648153</v>
      </c>
      <c r="K1609" s="11">
        <v>2.2569444444444438E-3</v>
      </c>
      <c r="L1609" s="13">
        <v>0</v>
      </c>
    </row>
    <row r="1610" spans="1:12" x14ac:dyDescent="0.25">
      <c r="A1610" s="3" t="s">
        <v>4558</v>
      </c>
      <c r="B1610" s="3" t="s">
        <v>4867</v>
      </c>
      <c r="C1610" s="3" t="s">
        <v>450</v>
      </c>
      <c r="D1610" s="9">
        <v>388.3</v>
      </c>
      <c r="E1610" s="3"/>
      <c r="F1610" s="3"/>
      <c r="G1610" s="9"/>
      <c r="H1610" s="10">
        <v>45687.605868055558</v>
      </c>
      <c r="I1610" s="10">
        <v>45687.60864583333</v>
      </c>
      <c r="J1610" s="10">
        <v>45687.612037037034</v>
      </c>
      <c r="K1610" s="11">
        <v>3.391203703703704E-3</v>
      </c>
      <c r="L1610" s="13">
        <v>0</v>
      </c>
    </row>
    <row r="1611" spans="1:12" x14ac:dyDescent="0.25">
      <c r="A1611" s="3" t="s">
        <v>4558</v>
      </c>
      <c r="B1611" s="3" t="s">
        <v>4868</v>
      </c>
      <c r="C1611" s="3" t="s">
        <v>451</v>
      </c>
      <c r="D1611" s="9">
        <v>267.5</v>
      </c>
      <c r="E1611" s="3"/>
      <c r="F1611" s="3"/>
      <c r="G1611" s="9"/>
      <c r="H1611" s="10">
        <v>45687.621180555558</v>
      </c>
      <c r="I1611" s="10">
        <v>45687.62395833333</v>
      </c>
      <c r="J1611" s="10">
        <v>45687.633321759262</v>
      </c>
      <c r="K1611" s="11">
        <v>9.3634259259259261E-3</v>
      </c>
      <c r="L1611" s="13">
        <v>7</v>
      </c>
    </row>
    <row r="1612" spans="1:12" x14ac:dyDescent="0.25">
      <c r="A1612" s="3" t="s">
        <v>4558</v>
      </c>
      <c r="B1612" s="3" t="s">
        <v>4869</v>
      </c>
      <c r="C1612" s="3" t="s">
        <v>452</v>
      </c>
      <c r="D1612" s="9">
        <v>15.7</v>
      </c>
      <c r="E1612" s="3"/>
      <c r="F1612" s="3"/>
      <c r="G1612" s="9"/>
      <c r="H1612" s="10">
        <v>45687.649004629631</v>
      </c>
      <c r="I1612" s="10">
        <v>45687.651782407411</v>
      </c>
      <c r="J1612" s="10">
        <v>45687.651921296303</v>
      </c>
      <c r="K1612" s="11">
        <v>1.3888888888888889E-4</v>
      </c>
      <c r="L1612" s="13">
        <v>0</v>
      </c>
    </row>
    <row r="1613" spans="1:12" x14ac:dyDescent="0.25">
      <c r="A1613" s="3" t="s">
        <v>4558</v>
      </c>
      <c r="B1613" s="3" t="s">
        <v>4870</v>
      </c>
      <c r="C1613" s="3" t="s">
        <v>453</v>
      </c>
      <c r="D1613" s="9">
        <v>47.2</v>
      </c>
      <c r="E1613" s="3"/>
      <c r="F1613" s="3"/>
      <c r="G1613" s="9"/>
      <c r="H1613" s="10">
        <v>45687.725023148138</v>
      </c>
      <c r="I1613" s="10">
        <v>45687.727800925917</v>
      </c>
      <c r="J1613" s="10">
        <v>45687.728159722217</v>
      </c>
      <c r="K1613" s="11">
        <v>3.5879629629629629E-4</v>
      </c>
      <c r="L1613" s="13">
        <v>0</v>
      </c>
    </row>
    <row r="1614" spans="1:12" x14ac:dyDescent="0.25">
      <c r="A1614" s="3" t="s">
        <v>4558</v>
      </c>
      <c r="B1614" s="3" t="s">
        <v>4871</v>
      </c>
      <c r="C1614" s="3" t="s">
        <v>454</v>
      </c>
      <c r="D1614" s="9">
        <v>135.1</v>
      </c>
      <c r="E1614" s="3"/>
      <c r="F1614" s="3"/>
      <c r="G1614" s="9"/>
      <c r="H1614" s="10">
        <v>45687.823206018518</v>
      </c>
      <c r="I1614" s="10">
        <v>45687.825983796298</v>
      </c>
      <c r="J1614" s="10">
        <v>45687.827164351853</v>
      </c>
      <c r="K1614" s="11">
        <v>1.180555555555556E-3</v>
      </c>
      <c r="L1614" s="13">
        <v>0</v>
      </c>
    </row>
    <row r="1615" spans="1:12" x14ac:dyDescent="0.25">
      <c r="A1615" s="3" t="s">
        <v>4558</v>
      </c>
      <c r="B1615" s="3" t="s">
        <v>4872</v>
      </c>
      <c r="C1615" s="3" t="s">
        <v>455</v>
      </c>
      <c r="D1615" s="9">
        <v>389.1</v>
      </c>
      <c r="E1615" s="3"/>
      <c r="F1615" s="3"/>
      <c r="G1615" s="9"/>
      <c r="H1615" s="10">
        <v>45687.853402777779</v>
      </c>
      <c r="I1615" s="10">
        <v>45687.856180555558</v>
      </c>
      <c r="J1615" s="10">
        <v>45687.859201388892</v>
      </c>
      <c r="K1615" s="11">
        <v>3.0208333333333328E-3</v>
      </c>
      <c r="L1615" s="13">
        <v>0</v>
      </c>
    </row>
    <row r="1616" spans="1:12" x14ac:dyDescent="0.25">
      <c r="A1616" s="3" t="s">
        <v>4558</v>
      </c>
      <c r="B1616" s="3" t="s">
        <v>4873</v>
      </c>
      <c r="C1616" s="3" t="s">
        <v>456</v>
      </c>
      <c r="D1616" s="9">
        <v>199.9</v>
      </c>
      <c r="E1616" s="3"/>
      <c r="F1616" s="3"/>
      <c r="G1616" s="9"/>
      <c r="H1616" s="10">
        <v>45688.117685185192</v>
      </c>
      <c r="I1616" s="10">
        <v>45688.120462962957</v>
      </c>
      <c r="J1616" s="10">
        <v>45688.126793981479</v>
      </c>
      <c r="K1616" s="11">
        <v>6.3310185185185188E-3</v>
      </c>
      <c r="L1616" s="13">
        <v>4</v>
      </c>
    </row>
    <row r="1617" spans="1:12" x14ac:dyDescent="0.25">
      <c r="A1617" s="3" t="s">
        <v>4558</v>
      </c>
      <c r="B1617" s="3" t="s">
        <v>4874</v>
      </c>
      <c r="C1617" s="3" t="s">
        <v>457</v>
      </c>
      <c r="D1617" s="9">
        <v>238.6</v>
      </c>
      <c r="E1617" s="3"/>
      <c r="F1617" s="3"/>
      <c r="G1617" s="9"/>
      <c r="H1617" s="10">
        <v>45688.187106481477</v>
      </c>
      <c r="I1617" s="10">
        <v>45688.189884259264</v>
      </c>
      <c r="J1617" s="10">
        <v>45688.191736111112</v>
      </c>
      <c r="K1617" s="11">
        <v>1.8518518518518519E-3</v>
      </c>
      <c r="L1617" s="13">
        <v>0</v>
      </c>
    </row>
    <row r="1618" spans="1:12" x14ac:dyDescent="0.25">
      <c r="A1618" s="3" t="s">
        <v>4558</v>
      </c>
      <c r="B1618" s="3" t="s">
        <v>4875</v>
      </c>
      <c r="C1618" s="3" t="s">
        <v>458</v>
      </c>
      <c r="D1618" s="9">
        <v>297</v>
      </c>
      <c r="E1618" s="3"/>
      <c r="F1618" s="3"/>
      <c r="G1618" s="9"/>
      <c r="H1618" s="10">
        <v>45688.249814814822</v>
      </c>
      <c r="I1618" s="10">
        <v>45688.252592592587</v>
      </c>
      <c r="J1618" s="10">
        <v>45688.255185185182</v>
      </c>
      <c r="K1618" s="11">
        <v>2.592592592592593E-3</v>
      </c>
      <c r="L1618" s="13">
        <v>0</v>
      </c>
    </row>
    <row r="1619" spans="1:12" x14ac:dyDescent="0.25">
      <c r="A1619" s="3" t="s">
        <v>4558</v>
      </c>
      <c r="B1619" s="3" t="s">
        <v>4876</v>
      </c>
      <c r="C1619" s="3" t="s">
        <v>459</v>
      </c>
      <c r="D1619" s="9">
        <v>74.599999999999994</v>
      </c>
      <c r="E1619" s="3"/>
      <c r="F1619" s="3"/>
      <c r="G1619" s="9"/>
      <c r="H1619" s="10">
        <v>45688.292951388888</v>
      </c>
      <c r="I1619" s="10">
        <v>45688.295729166668</v>
      </c>
      <c r="J1619" s="10">
        <v>45688.296307870369</v>
      </c>
      <c r="K1619" s="11">
        <v>5.7870370370370367E-4</v>
      </c>
      <c r="L1619" s="13">
        <v>0</v>
      </c>
    </row>
    <row r="1620" spans="1:12" x14ac:dyDescent="0.25">
      <c r="A1620" s="3" t="s">
        <v>4558</v>
      </c>
      <c r="B1620" s="3" t="s">
        <v>4877</v>
      </c>
      <c r="C1620" s="3" t="s">
        <v>460</v>
      </c>
      <c r="D1620" s="9">
        <v>585.29999999999995</v>
      </c>
      <c r="E1620" s="3"/>
      <c r="F1620" s="3"/>
      <c r="G1620" s="9"/>
      <c r="H1620" s="10">
        <v>45688.296585648153</v>
      </c>
      <c r="I1620" s="10">
        <v>45688.299363425933</v>
      </c>
      <c r="J1620" s="10">
        <v>45688.313043981478</v>
      </c>
      <c r="K1620" s="11">
        <v>1.368055555555556E-2</v>
      </c>
      <c r="L1620" s="13">
        <v>10</v>
      </c>
    </row>
    <row r="1621" spans="1:12" x14ac:dyDescent="0.25">
      <c r="A1621" s="3" t="s">
        <v>4558</v>
      </c>
      <c r="B1621" s="3" t="s">
        <v>4878</v>
      </c>
      <c r="C1621" s="3" t="s">
        <v>461</v>
      </c>
      <c r="D1621" s="9">
        <v>381.6</v>
      </c>
      <c r="E1621" s="3"/>
      <c r="F1621" s="3"/>
      <c r="G1621" s="9"/>
      <c r="H1621" s="10">
        <v>45688.336261574077</v>
      </c>
      <c r="I1621" s="10">
        <v>45688.339039351849</v>
      </c>
      <c r="J1621" s="10">
        <v>45688.341840277782</v>
      </c>
      <c r="K1621" s="11">
        <v>2.8009259259259259E-3</v>
      </c>
      <c r="L1621" s="13">
        <v>0</v>
      </c>
    </row>
    <row r="1622" spans="1:12" x14ac:dyDescent="0.25">
      <c r="A1622" s="3" t="s">
        <v>4558</v>
      </c>
      <c r="B1622" s="3" t="s">
        <v>4879</v>
      </c>
      <c r="C1622" s="3" t="s">
        <v>462</v>
      </c>
      <c r="D1622" s="9">
        <v>237.1</v>
      </c>
      <c r="E1622" s="3"/>
      <c r="F1622" s="3"/>
      <c r="G1622" s="9"/>
      <c r="H1622" s="10">
        <v>45688.371481481481</v>
      </c>
      <c r="I1622" s="10">
        <v>45688.374259259261</v>
      </c>
      <c r="J1622" s="10">
        <v>45688.377175925933</v>
      </c>
      <c r="K1622" s="11">
        <v>2.9166666666666668E-3</v>
      </c>
      <c r="L1622" s="13">
        <v>1</v>
      </c>
    </row>
    <row r="1623" spans="1:12" x14ac:dyDescent="0.25">
      <c r="A1623" s="3" t="s">
        <v>4558</v>
      </c>
      <c r="B1623" s="3" t="s">
        <v>4880</v>
      </c>
      <c r="C1623" s="3" t="s">
        <v>463</v>
      </c>
      <c r="D1623" s="9">
        <v>376.6</v>
      </c>
      <c r="E1623" s="3"/>
      <c r="F1623" s="3"/>
      <c r="G1623" s="9"/>
      <c r="H1623" s="10">
        <v>45688.376666666663</v>
      </c>
      <c r="I1623" s="10">
        <v>45688.379444444443</v>
      </c>
      <c r="J1623" s="10">
        <v>45688.389768518522</v>
      </c>
      <c r="K1623" s="11">
        <v>1.0324074074074071E-2</v>
      </c>
      <c r="L1623" s="13">
        <v>7</v>
      </c>
    </row>
    <row r="1624" spans="1:12" x14ac:dyDescent="0.25">
      <c r="A1624" s="3" t="s">
        <v>4558</v>
      </c>
      <c r="B1624" s="3" t="s">
        <v>4881</v>
      </c>
      <c r="C1624" s="3" t="s">
        <v>464</v>
      </c>
      <c r="D1624" s="9">
        <v>445.4</v>
      </c>
      <c r="E1624" s="3"/>
      <c r="F1624" s="3"/>
      <c r="G1624" s="9"/>
      <c r="H1624" s="10">
        <v>45688.441701388889</v>
      </c>
      <c r="I1624" s="10">
        <v>45688.444479166668</v>
      </c>
      <c r="J1624" s="10">
        <v>45688.450416666667</v>
      </c>
      <c r="K1624" s="11">
        <v>5.9375000000000001E-3</v>
      </c>
      <c r="L1624" s="13">
        <v>2</v>
      </c>
    </row>
    <row r="1625" spans="1:12" x14ac:dyDescent="0.25">
      <c r="A1625" s="3" t="s">
        <v>4558</v>
      </c>
      <c r="B1625" s="3" t="s">
        <v>4882</v>
      </c>
      <c r="C1625" s="3" t="s">
        <v>465</v>
      </c>
      <c r="D1625" s="9">
        <v>247.3</v>
      </c>
      <c r="E1625" s="3"/>
      <c r="F1625" s="3"/>
      <c r="G1625" s="9"/>
      <c r="H1625" s="10">
        <v>45688.520752314813</v>
      </c>
      <c r="I1625" s="10">
        <v>45688.523530092592</v>
      </c>
      <c r="J1625" s="10">
        <v>45688.525381944448</v>
      </c>
      <c r="K1625" s="11">
        <v>1.8518518518518519E-3</v>
      </c>
      <c r="L1625" s="13">
        <v>0</v>
      </c>
    </row>
    <row r="1626" spans="1:12" x14ac:dyDescent="0.25">
      <c r="A1626" s="3" t="s">
        <v>4558</v>
      </c>
      <c r="B1626" s="3" t="s">
        <v>4883</v>
      </c>
      <c r="C1626" s="3" t="s">
        <v>466</v>
      </c>
      <c r="D1626" s="9">
        <v>186.7</v>
      </c>
      <c r="E1626" s="3"/>
      <c r="F1626" s="3"/>
      <c r="G1626" s="9"/>
      <c r="H1626" s="10">
        <v>45688.593495370369</v>
      </c>
      <c r="I1626" s="10">
        <v>45688.596273148149</v>
      </c>
      <c r="J1626" s="10">
        <v>45688.597824074073</v>
      </c>
      <c r="K1626" s="11">
        <v>1.5509259259259261E-3</v>
      </c>
      <c r="L1626" s="13">
        <v>0</v>
      </c>
    </row>
    <row r="1627" spans="1:12" x14ac:dyDescent="0.25">
      <c r="A1627" s="3" t="s">
        <v>4558</v>
      </c>
      <c r="B1627" s="3" t="s">
        <v>4884</v>
      </c>
      <c r="C1627" s="3" t="s">
        <v>467</v>
      </c>
      <c r="D1627" s="9">
        <v>332.5</v>
      </c>
      <c r="E1627" s="3"/>
      <c r="F1627" s="3"/>
      <c r="G1627" s="9"/>
      <c r="H1627" s="10">
        <v>45688.628101851849</v>
      </c>
      <c r="I1627" s="10">
        <v>45688.630879629629</v>
      </c>
      <c r="J1627" s="10">
        <v>45688.640173611107</v>
      </c>
      <c r="K1627" s="11">
        <v>9.2939814814814812E-3</v>
      </c>
      <c r="L1627" s="13">
        <v>7</v>
      </c>
    </row>
    <row r="1628" spans="1:12" x14ac:dyDescent="0.25">
      <c r="A1628" s="3" t="s">
        <v>4558</v>
      </c>
      <c r="B1628" s="3" t="s">
        <v>4885</v>
      </c>
      <c r="C1628" s="3" t="s">
        <v>468</v>
      </c>
      <c r="D1628" s="9">
        <v>420.6</v>
      </c>
      <c r="E1628" s="3"/>
      <c r="F1628" s="3"/>
      <c r="G1628" s="9"/>
      <c r="H1628" s="10">
        <v>45688.640069444453</v>
      </c>
      <c r="I1628" s="10">
        <v>45688.642847222232</v>
      </c>
      <c r="J1628" s="10">
        <v>45688.657465277778</v>
      </c>
      <c r="K1628" s="11">
        <v>1.4618055555555559E-2</v>
      </c>
      <c r="L1628" s="13">
        <v>10</v>
      </c>
    </row>
    <row r="1629" spans="1:12" x14ac:dyDescent="0.25">
      <c r="A1629" s="3" t="s">
        <v>4558</v>
      </c>
      <c r="B1629" s="3" t="s">
        <v>4886</v>
      </c>
      <c r="C1629" s="3" t="s">
        <v>469</v>
      </c>
      <c r="D1629" s="9">
        <v>47.2</v>
      </c>
      <c r="E1629" s="3"/>
      <c r="F1629" s="3"/>
      <c r="G1629" s="9"/>
      <c r="H1629" s="10">
        <v>45688.64875</v>
      </c>
      <c r="I1629" s="10">
        <v>45688.65152777778</v>
      </c>
      <c r="J1629" s="10">
        <v>45688.651875000003</v>
      </c>
      <c r="K1629" s="11">
        <v>3.4722222222222218E-4</v>
      </c>
      <c r="L1629" s="13">
        <v>0</v>
      </c>
    </row>
    <row r="1630" spans="1:12" x14ac:dyDescent="0.25">
      <c r="A1630" s="3" t="s">
        <v>4558</v>
      </c>
      <c r="B1630" s="3" t="s">
        <v>4887</v>
      </c>
      <c r="C1630" s="3" t="s">
        <v>470</v>
      </c>
      <c r="D1630" s="9">
        <v>302.10000000000002</v>
      </c>
      <c r="E1630" s="3"/>
      <c r="F1630" s="3"/>
      <c r="G1630" s="9"/>
      <c r="H1630" s="10">
        <v>45688.732060185182</v>
      </c>
      <c r="I1630" s="10">
        <v>45688.734837962962</v>
      </c>
      <c r="J1630" s="10">
        <v>45688.737349537027</v>
      </c>
      <c r="K1630" s="11">
        <v>2.5115740740740741E-3</v>
      </c>
      <c r="L1630" s="13">
        <v>0</v>
      </c>
    </row>
    <row r="1631" spans="1:12" x14ac:dyDescent="0.25">
      <c r="A1631" s="3" t="s">
        <v>4558</v>
      </c>
      <c r="B1631" s="3" t="s">
        <v>4888</v>
      </c>
      <c r="C1631" s="3" t="s">
        <v>471</v>
      </c>
      <c r="D1631" s="9">
        <v>193.1</v>
      </c>
      <c r="E1631" s="3"/>
      <c r="F1631" s="3"/>
      <c r="G1631" s="9"/>
      <c r="H1631" s="10">
        <v>45688.741550925923</v>
      </c>
      <c r="I1631" s="10">
        <v>45688.744328703702</v>
      </c>
      <c r="J1631" s="10">
        <v>45688.745833333327</v>
      </c>
      <c r="K1631" s="11">
        <v>1.5046296296296301E-3</v>
      </c>
      <c r="L1631" s="13">
        <v>0</v>
      </c>
    </row>
    <row r="1632" spans="1:12" x14ac:dyDescent="0.25">
      <c r="A1632" s="3" t="s">
        <v>4558</v>
      </c>
      <c r="B1632" s="3" t="s">
        <v>4889</v>
      </c>
      <c r="C1632" s="3" t="s">
        <v>472</v>
      </c>
      <c r="D1632" s="9">
        <v>351</v>
      </c>
      <c r="E1632" s="3"/>
      <c r="F1632" s="3"/>
      <c r="G1632" s="9"/>
      <c r="H1632" s="10">
        <v>45688.838935185187</v>
      </c>
      <c r="I1632" s="10">
        <v>45688.84171296296</v>
      </c>
      <c r="J1632" s="10">
        <v>45688.850173611107</v>
      </c>
      <c r="K1632" s="11">
        <v>8.4606481481481477E-3</v>
      </c>
      <c r="L1632" s="13">
        <v>5</v>
      </c>
    </row>
    <row r="1633" spans="1:12" x14ac:dyDescent="0.25">
      <c r="A1633" s="3" t="s">
        <v>4890</v>
      </c>
      <c r="B1633" s="3" t="s">
        <v>4891</v>
      </c>
      <c r="C1633" s="3" t="s">
        <v>489</v>
      </c>
      <c r="D1633" s="9">
        <v>103.9</v>
      </c>
      <c r="E1633" s="3"/>
      <c r="F1633" s="3"/>
      <c r="G1633" s="9"/>
      <c r="H1633" s="10">
        <v>45659.125833333332</v>
      </c>
      <c r="I1633" s="10">
        <v>45659.126701388886</v>
      </c>
      <c r="J1633" s="10">
        <v>45659.144733796304</v>
      </c>
      <c r="K1633" s="11">
        <v>1.803240740740741E-2</v>
      </c>
      <c r="L1633" s="13"/>
    </row>
    <row r="1634" spans="1:12" x14ac:dyDescent="0.25">
      <c r="A1634" s="3" t="s">
        <v>4890</v>
      </c>
      <c r="B1634" s="3" t="s">
        <v>4892</v>
      </c>
      <c r="C1634" s="3" t="s">
        <v>501</v>
      </c>
      <c r="D1634" s="9">
        <v>182.7</v>
      </c>
      <c r="E1634" s="3"/>
      <c r="F1634" s="3"/>
      <c r="G1634" s="9"/>
      <c r="H1634" s="10">
        <v>45659.28025462963</v>
      </c>
      <c r="I1634" s="10">
        <v>45659.281099537038</v>
      </c>
      <c r="J1634" s="10">
        <v>45659.3128125</v>
      </c>
      <c r="K1634" s="11">
        <v>3.1712962962962957E-2</v>
      </c>
      <c r="L1634" s="13"/>
    </row>
    <row r="1635" spans="1:12" x14ac:dyDescent="0.25">
      <c r="A1635" s="3" t="s">
        <v>4890</v>
      </c>
      <c r="B1635" s="3" t="s">
        <v>4893</v>
      </c>
      <c r="C1635" s="3" t="s">
        <v>543</v>
      </c>
      <c r="D1635" s="9">
        <v>189</v>
      </c>
      <c r="E1635" s="3"/>
      <c r="F1635" s="3"/>
      <c r="G1635" s="9"/>
      <c r="H1635" s="10">
        <v>45659.318715277783</v>
      </c>
      <c r="I1635" s="10">
        <v>45659.319548611107</v>
      </c>
      <c r="J1635" s="10">
        <v>45659.352349537039</v>
      </c>
      <c r="K1635" s="11">
        <v>3.2800925925925928E-2</v>
      </c>
      <c r="L1635" s="13"/>
    </row>
    <row r="1636" spans="1:12" x14ac:dyDescent="0.25">
      <c r="A1636" s="3" t="s">
        <v>4890</v>
      </c>
      <c r="B1636" s="3" t="s">
        <v>4894</v>
      </c>
      <c r="C1636" s="3" t="s">
        <v>507</v>
      </c>
      <c r="D1636" s="9">
        <v>264.60000000000002</v>
      </c>
      <c r="E1636" s="3"/>
      <c r="F1636" s="3"/>
      <c r="G1636" s="9"/>
      <c r="H1636" s="10">
        <v>45659.324884259258</v>
      </c>
      <c r="I1636" s="10">
        <v>45659.325868055559</v>
      </c>
      <c r="J1636" s="10">
        <v>45659.371805555558</v>
      </c>
      <c r="K1636" s="11">
        <v>4.5937499999999999E-2</v>
      </c>
      <c r="L1636" s="13"/>
    </row>
    <row r="1637" spans="1:12" x14ac:dyDescent="0.25">
      <c r="A1637" s="3" t="s">
        <v>4890</v>
      </c>
      <c r="B1637" s="3" t="s">
        <v>4895</v>
      </c>
      <c r="C1637" s="3" t="s">
        <v>546</v>
      </c>
      <c r="D1637" s="9">
        <v>396.6</v>
      </c>
      <c r="E1637" s="3"/>
      <c r="F1637" s="3"/>
      <c r="G1637" s="9"/>
      <c r="H1637" s="10">
        <v>45659.347731481481</v>
      </c>
      <c r="I1637" s="10">
        <v>45659.349444444437</v>
      </c>
      <c r="J1637" s="10">
        <v>45659.418298611112</v>
      </c>
      <c r="K1637" s="11">
        <v>6.8854166666666661E-2</v>
      </c>
      <c r="L1637" s="13"/>
    </row>
    <row r="1638" spans="1:12" x14ac:dyDescent="0.25">
      <c r="A1638" s="3" t="s">
        <v>4890</v>
      </c>
      <c r="B1638" s="3" t="s">
        <v>4896</v>
      </c>
      <c r="C1638" s="3" t="s">
        <v>576</v>
      </c>
      <c r="D1638" s="9">
        <v>142.19999999999999</v>
      </c>
      <c r="E1638" s="3"/>
      <c r="F1638" s="3"/>
      <c r="G1638" s="9"/>
      <c r="H1638" s="10">
        <v>45659.389293981483</v>
      </c>
      <c r="I1638" s="10">
        <v>45659.390127314808</v>
      </c>
      <c r="J1638" s="10">
        <v>45659.414814814823</v>
      </c>
      <c r="K1638" s="11">
        <v>2.4687500000000001E-2</v>
      </c>
      <c r="L1638" s="13"/>
    </row>
    <row r="1639" spans="1:12" x14ac:dyDescent="0.25">
      <c r="A1639" s="3" t="s">
        <v>4890</v>
      </c>
      <c r="B1639" s="3" t="s">
        <v>4897</v>
      </c>
      <c r="C1639" s="3" t="s">
        <v>516</v>
      </c>
      <c r="D1639" s="9">
        <v>134.19999999999999</v>
      </c>
      <c r="E1639" s="3"/>
      <c r="F1639" s="3"/>
      <c r="G1639" s="9"/>
      <c r="H1639" s="10">
        <v>45659.397314814807</v>
      </c>
      <c r="I1639" s="10">
        <v>45659.414317129631</v>
      </c>
      <c r="J1639" s="10">
        <v>45659.437615740739</v>
      </c>
      <c r="K1639" s="11">
        <v>2.329861111111111E-2</v>
      </c>
      <c r="L1639" s="13"/>
    </row>
    <row r="1640" spans="1:12" x14ac:dyDescent="0.25">
      <c r="A1640" s="3" t="s">
        <v>4890</v>
      </c>
      <c r="B1640" s="3" t="s">
        <v>4898</v>
      </c>
      <c r="C1640" s="3" t="s">
        <v>528</v>
      </c>
      <c r="D1640" s="9">
        <v>108</v>
      </c>
      <c r="E1640" s="3"/>
      <c r="F1640" s="3"/>
      <c r="G1640" s="9"/>
      <c r="H1640" s="10">
        <v>45659.401678240742</v>
      </c>
      <c r="I1640" s="10">
        <v>45659.416493055563</v>
      </c>
      <c r="J1640" s="10">
        <v>45659.435243055559</v>
      </c>
      <c r="K1640" s="11">
        <v>1.8749999999999999E-2</v>
      </c>
      <c r="L1640" s="13"/>
    </row>
    <row r="1641" spans="1:12" x14ac:dyDescent="0.25">
      <c r="A1641" s="3" t="s">
        <v>4890</v>
      </c>
      <c r="B1641" s="3" t="s">
        <v>4899</v>
      </c>
      <c r="C1641" s="3" t="s">
        <v>567</v>
      </c>
      <c r="D1641" s="9">
        <v>194.2</v>
      </c>
      <c r="E1641" s="3"/>
      <c r="F1641" s="3"/>
      <c r="G1641" s="9"/>
      <c r="H1641" s="10">
        <v>45659.408993055556</v>
      </c>
      <c r="I1641" s="10">
        <v>45659.420034722221</v>
      </c>
      <c r="J1641" s="10">
        <v>45659.453738425917</v>
      </c>
      <c r="K1641" s="11">
        <v>3.3703703703703701E-2</v>
      </c>
      <c r="L1641" s="13"/>
    </row>
    <row r="1642" spans="1:12" x14ac:dyDescent="0.25">
      <c r="A1642" s="3" t="s">
        <v>4890</v>
      </c>
      <c r="B1642" s="3" t="s">
        <v>4900</v>
      </c>
      <c r="C1642" s="3" t="s">
        <v>579</v>
      </c>
      <c r="D1642" s="9">
        <v>367.2</v>
      </c>
      <c r="E1642" s="3"/>
      <c r="F1642" s="3"/>
      <c r="G1642" s="9"/>
      <c r="H1642" s="10">
        <v>45659.457048611112</v>
      </c>
      <c r="I1642" s="10">
        <v>45659.457916666674</v>
      </c>
      <c r="J1642" s="10">
        <v>45659.521666666667</v>
      </c>
      <c r="K1642" s="11">
        <v>6.3750000000000001E-2</v>
      </c>
      <c r="L1642" s="13"/>
    </row>
    <row r="1643" spans="1:12" x14ac:dyDescent="0.25">
      <c r="A1643" s="3" t="s">
        <v>4890</v>
      </c>
      <c r="B1643" s="3" t="s">
        <v>4901</v>
      </c>
      <c r="C1643" s="3" t="s">
        <v>586</v>
      </c>
      <c r="D1643" s="9">
        <v>287.10000000000002</v>
      </c>
      <c r="E1643" s="3"/>
      <c r="F1643" s="3"/>
      <c r="G1643" s="9"/>
      <c r="H1643" s="10">
        <v>45659.619513888887</v>
      </c>
      <c r="I1643" s="10">
        <v>45659.620381944442</v>
      </c>
      <c r="J1643" s="10">
        <v>45659.670231481483</v>
      </c>
      <c r="K1643" s="11">
        <v>4.9849537037037039E-2</v>
      </c>
      <c r="L1643" s="13"/>
    </row>
    <row r="1644" spans="1:12" x14ac:dyDescent="0.25">
      <c r="A1644" s="3" t="s">
        <v>4890</v>
      </c>
      <c r="B1644" s="3" t="s">
        <v>4902</v>
      </c>
      <c r="C1644" s="3" t="s">
        <v>493</v>
      </c>
      <c r="D1644" s="9">
        <v>363.4</v>
      </c>
      <c r="E1644" s="3"/>
      <c r="F1644" s="3"/>
      <c r="G1644" s="9"/>
      <c r="H1644" s="10">
        <v>45659.640532407408</v>
      </c>
      <c r="I1644" s="10">
        <v>45659.641388888893</v>
      </c>
      <c r="J1644" s="10">
        <v>45659.704479166663</v>
      </c>
      <c r="K1644" s="11">
        <v>6.3090277777777773E-2</v>
      </c>
      <c r="L1644" s="13"/>
    </row>
    <row r="1645" spans="1:12" x14ac:dyDescent="0.25">
      <c r="A1645" s="3" t="s">
        <v>4890</v>
      </c>
      <c r="B1645" s="3" t="s">
        <v>4903</v>
      </c>
      <c r="C1645" s="3" t="s">
        <v>520</v>
      </c>
      <c r="D1645" s="9">
        <v>114.8</v>
      </c>
      <c r="E1645" s="3"/>
      <c r="F1645" s="3"/>
      <c r="G1645" s="9"/>
      <c r="H1645" s="10">
        <v>45659.653182870366</v>
      </c>
      <c r="I1645" s="10">
        <v>45659.662002314813</v>
      </c>
      <c r="J1645" s="10">
        <v>45659.681932870371</v>
      </c>
      <c r="K1645" s="11">
        <v>1.9930555555555559E-2</v>
      </c>
      <c r="L1645" s="13"/>
    </row>
    <row r="1646" spans="1:12" x14ac:dyDescent="0.25">
      <c r="A1646" s="3" t="s">
        <v>4890</v>
      </c>
      <c r="B1646" s="3" t="s">
        <v>4904</v>
      </c>
      <c r="C1646" s="3" t="s">
        <v>601</v>
      </c>
      <c r="D1646" s="9">
        <v>257.10000000000002</v>
      </c>
      <c r="E1646" s="3"/>
      <c r="F1646" s="3"/>
      <c r="G1646" s="9"/>
      <c r="H1646" s="10">
        <v>45659.65425925926</v>
      </c>
      <c r="I1646" s="10">
        <v>45659.671967592592</v>
      </c>
      <c r="J1646" s="10">
        <v>45659.716608796298</v>
      </c>
      <c r="K1646" s="11">
        <v>4.4641203703703697E-2</v>
      </c>
      <c r="L1646" s="13"/>
    </row>
    <row r="1647" spans="1:12" x14ac:dyDescent="0.25">
      <c r="A1647" s="3" t="s">
        <v>4890</v>
      </c>
      <c r="B1647" s="3" t="s">
        <v>4905</v>
      </c>
      <c r="C1647" s="3" t="s">
        <v>608</v>
      </c>
      <c r="D1647" s="9">
        <v>117.8</v>
      </c>
      <c r="E1647" s="3"/>
      <c r="F1647" s="3"/>
      <c r="G1647" s="9"/>
      <c r="H1647" s="10">
        <v>45659.660439814812</v>
      </c>
      <c r="I1647" s="10">
        <v>45659.683506944442</v>
      </c>
      <c r="J1647" s="10">
        <v>45659.703946759262</v>
      </c>
      <c r="K1647" s="11">
        <v>2.043981481481481E-2</v>
      </c>
      <c r="L1647" s="13"/>
    </row>
    <row r="1648" spans="1:12" x14ac:dyDescent="0.25">
      <c r="A1648" s="3" t="s">
        <v>4890</v>
      </c>
      <c r="B1648" s="3" t="s">
        <v>4906</v>
      </c>
      <c r="C1648" s="3" t="s">
        <v>589</v>
      </c>
      <c r="D1648" s="9">
        <v>216</v>
      </c>
      <c r="E1648" s="3"/>
      <c r="F1648" s="3"/>
      <c r="G1648" s="9"/>
      <c r="H1648" s="10">
        <v>45659.771319444437</v>
      </c>
      <c r="I1648" s="10">
        <v>45659.772152777783</v>
      </c>
      <c r="J1648" s="10">
        <v>45659.809652777767</v>
      </c>
      <c r="K1648" s="11">
        <v>3.7499999999999999E-2</v>
      </c>
      <c r="L1648" s="13"/>
    </row>
    <row r="1649" spans="1:12" x14ac:dyDescent="0.25">
      <c r="A1649" s="3" t="s">
        <v>4890</v>
      </c>
      <c r="B1649" s="3" t="s">
        <v>4907</v>
      </c>
      <c r="C1649" s="3" t="s">
        <v>592</v>
      </c>
      <c r="D1649" s="9">
        <v>194.2</v>
      </c>
      <c r="E1649" s="3"/>
      <c r="F1649" s="3"/>
      <c r="G1649" s="9"/>
      <c r="H1649" s="10">
        <v>45659.775520833333</v>
      </c>
      <c r="I1649" s="10">
        <v>45659.776388888888</v>
      </c>
      <c r="J1649" s="10">
        <v>45659.81009259259</v>
      </c>
      <c r="K1649" s="11">
        <v>3.3703703703703701E-2</v>
      </c>
      <c r="L1649" s="13"/>
    </row>
    <row r="1650" spans="1:12" x14ac:dyDescent="0.25">
      <c r="A1650" s="3" t="s">
        <v>4890</v>
      </c>
      <c r="B1650" s="3" t="s">
        <v>4908</v>
      </c>
      <c r="C1650" s="3" t="s">
        <v>510</v>
      </c>
      <c r="D1650" s="9">
        <v>102.8</v>
      </c>
      <c r="E1650" s="3"/>
      <c r="F1650" s="3"/>
      <c r="G1650" s="9"/>
      <c r="H1650" s="10">
        <v>45659.780763888892</v>
      </c>
      <c r="I1650" s="10">
        <v>45659.784050925933</v>
      </c>
      <c r="J1650" s="10">
        <v>45659.801898148151</v>
      </c>
      <c r="K1650" s="11">
        <v>1.7847222222222219E-2</v>
      </c>
      <c r="L1650" s="13"/>
    </row>
    <row r="1651" spans="1:12" x14ac:dyDescent="0.25">
      <c r="A1651" s="3" t="s">
        <v>4890</v>
      </c>
      <c r="B1651" s="3" t="s">
        <v>4909</v>
      </c>
      <c r="C1651" s="3" t="s">
        <v>534</v>
      </c>
      <c r="D1651" s="9">
        <v>157.4</v>
      </c>
      <c r="E1651" s="3"/>
      <c r="F1651" s="3"/>
      <c r="G1651" s="9"/>
      <c r="H1651" s="10">
        <v>45659.869930555556</v>
      </c>
      <c r="I1651" s="10">
        <v>45659.870798611111</v>
      </c>
      <c r="J1651" s="10">
        <v>45659.898125</v>
      </c>
      <c r="K1651" s="11">
        <v>2.732638888888889E-2</v>
      </c>
      <c r="L1651" s="13"/>
    </row>
    <row r="1652" spans="1:12" x14ac:dyDescent="0.25">
      <c r="A1652" s="3" t="s">
        <v>4890</v>
      </c>
      <c r="B1652" s="3" t="s">
        <v>4910</v>
      </c>
      <c r="C1652" s="3" t="s">
        <v>626</v>
      </c>
      <c r="D1652" s="9">
        <v>117.8</v>
      </c>
      <c r="E1652" s="3"/>
      <c r="F1652" s="3"/>
      <c r="G1652" s="9"/>
      <c r="H1652" s="10">
        <v>45659.87736111111</v>
      </c>
      <c r="I1652" s="10">
        <v>45659.879062499997</v>
      </c>
      <c r="J1652" s="10">
        <v>45659.899502314824</v>
      </c>
      <c r="K1652" s="11">
        <v>2.043981481481481E-2</v>
      </c>
      <c r="L1652" s="13"/>
    </row>
    <row r="1653" spans="1:12" x14ac:dyDescent="0.25">
      <c r="A1653" s="3" t="s">
        <v>4890</v>
      </c>
      <c r="B1653" s="3" t="s">
        <v>4911</v>
      </c>
      <c r="C1653" s="3" t="s">
        <v>617</v>
      </c>
      <c r="D1653" s="9">
        <v>101.7</v>
      </c>
      <c r="E1653" s="3"/>
      <c r="F1653" s="3"/>
      <c r="G1653" s="9"/>
      <c r="H1653" s="10">
        <v>45659.879965277767</v>
      </c>
      <c r="I1653" s="10">
        <v>45659.881701388891</v>
      </c>
      <c r="J1653" s="10">
        <v>45659.899351851847</v>
      </c>
      <c r="K1653" s="11">
        <v>1.7650462962962962E-2</v>
      </c>
      <c r="L1653" s="13"/>
    </row>
    <row r="1654" spans="1:12" x14ac:dyDescent="0.25">
      <c r="A1654" s="3" t="s">
        <v>4890</v>
      </c>
      <c r="B1654" s="3" t="s">
        <v>4912</v>
      </c>
      <c r="C1654" s="3" t="s">
        <v>635</v>
      </c>
      <c r="D1654" s="9">
        <v>134.4</v>
      </c>
      <c r="E1654" s="3"/>
      <c r="F1654" s="3"/>
      <c r="G1654" s="9"/>
      <c r="H1654" s="10">
        <v>45660.125925925917</v>
      </c>
      <c r="I1654" s="10">
        <v>45660.126759259263</v>
      </c>
      <c r="J1654" s="10">
        <v>45660.150104166663</v>
      </c>
      <c r="K1654" s="11">
        <v>2.3344907407407411E-2</v>
      </c>
      <c r="L1654" s="13"/>
    </row>
    <row r="1655" spans="1:12" x14ac:dyDescent="0.25">
      <c r="A1655" s="3" t="s">
        <v>4890</v>
      </c>
      <c r="B1655" s="3" t="s">
        <v>4913</v>
      </c>
      <c r="C1655" s="3" t="s">
        <v>672</v>
      </c>
      <c r="D1655" s="9">
        <v>497</v>
      </c>
      <c r="E1655" s="3"/>
      <c r="F1655" s="3"/>
      <c r="G1655" s="9"/>
      <c r="H1655" s="10">
        <v>45660.205196759263</v>
      </c>
      <c r="I1655" s="10">
        <v>45660.206064814818</v>
      </c>
      <c r="J1655" s="10">
        <v>45660.292349537027</v>
      </c>
      <c r="K1655" s="11">
        <v>8.6284722222222221E-2</v>
      </c>
      <c r="L1655" s="13"/>
    </row>
    <row r="1656" spans="1:12" x14ac:dyDescent="0.25">
      <c r="A1656" s="3" t="s">
        <v>4890</v>
      </c>
      <c r="B1656" s="3" t="s">
        <v>4914</v>
      </c>
      <c r="C1656" s="3" t="s">
        <v>485</v>
      </c>
      <c r="D1656" s="9">
        <v>102.8</v>
      </c>
      <c r="E1656" s="3"/>
      <c r="F1656" s="3"/>
      <c r="G1656" s="9"/>
      <c r="H1656" s="10">
        <v>45660.261053240742</v>
      </c>
      <c r="I1656" s="10">
        <v>45660.262696759259</v>
      </c>
      <c r="J1656" s="10">
        <v>45660.280532407407</v>
      </c>
      <c r="K1656" s="11">
        <v>1.7835648148148149E-2</v>
      </c>
      <c r="L1656" s="13"/>
    </row>
    <row r="1657" spans="1:12" x14ac:dyDescent="0.25">
      <c r="A1657" s="3" t="s">
        <v>4890</v>
      </c>
      <c r="B1657" s="3" t="s">
        <v>4915</v>
      </c>
      <c r="C1657" s="3" t="s">
        <v>497</v>
      </c>
      <c r="D1657" s="9">
        <v>204.6</v>
      </c>
      <c r="E1657" s="3"/>
      <c r="F1657" s="3"/>
      <c r="G1657" s="9"/>
      <c r="H1657" s="10">
        <v>45660.270891203712</v>
      </c>
      <c r="I1657" s="10">
        <v>45660.277326388888</v>
      </c>
      <c r="J1657" s="10">
        <v>45660.312858796293</v>
      </c>
      <c r="K1657" s="11">
        <v>3.5532407407407408E-2</v>
      </c>
      <c r="L1657" s="13"/>
    </row>
    <row r="1658" spans="1:12" x14ac:dyDescent="0.25">
      <c r="A1658" s="3" t="s">
        <v>4890</v>
      </c>
      <c r="B1658" s="3" t="s">
        <v>4916</v>
      </c>
      <c r="C1658" s="3" t="s">
        <v>677</v>
      </c>
      <c r="D1658" s="9">
        <v>144.30000000000001</v>
      </c>
      <c r="E1658" s="3"/>
      <c r="F1658" s="3"/>
      <c r="G1658" s="9"/>
      <c r="H1658" s="10">
        <v>45660.273148148153</v>
      </c>
      <c r="I1658" s="10">
        <v>45660.282268518517</v>
      </c>
      <c r="J1658" s="10">
        <v>45660.307326388887</v>
      </c>
      <c r="K1658" s="11">
        <v>2.5057870370370369E-2</v>
      </c>
      <c r="L1658" s="13"/>
    </row>
    <row r="1659" spans="1:12" x14ac:dyDescent="0.25">
      <c r="A1659" s="3" t="s">
        <v>4890</v>
      </c>
      <c r="B1659" s="3" t="s">
        <v>4917</v>
      </c>
      <c r="C1659" s="3" t="s">
        <v>651</v>
      </c>
      <c r="D1659" s="9">
        <v>108</v>
      </c>
      <c r="E1659" s="3"/>
      <c r="F1659" s="3"/>
      <c r="G1659" s="9"/>
      <c r="H1659" s="10">
        <v>45660.275636574072</v>
      </c>
      <c r="I1659" s="10">
        <v>45660.298784722218</v>
      </c>
      <c r="J1659" s="10">
        <v>45660.31753472222</v>
      </c>
      <c r="K1659" s="11">
        <v>1.8749999999999999E-2</v>
      </c>
      <c r="L1659" s="13"/>
    </row>
    <row r="1660" spans="1:12" x14ac:dyDescent="0.25">
      <c r="A1660" s="3" t="s">
        <v>4890</v>
      </c>
      <c r="B1660" s="3" t="s">
        <v>4918</v>
      </c>
      <c r="C1660" s="3" t="s">
        <v>648</v>
      </c>
      <c r="D1660" s="9">
        <v>358.9</v>
      </c>
      <c r="E1660" s="3"/>
      <c r="F1660" s="3"/>
      <c r="G1660" s="9"/>
      <c r="H1660" s="10">
        <v>45660.297083333331</v>
      </c>
      <c r="I1660" s="10">
        <v>45660.309062499997</v>
      </c>
      <c r="J1660" s="10">
        <v>45660.371377314812</v>
      </c>
      <c r="K1660" s="11">
        <v>6.2314814814814823E-2</v>
      </c>
      <c r="L1660" s="13"/>
    </row>
    <row r="1661" spans="1:12" x14ac:dyDescent="0.25">
      <c r="A1661" s="3" t="s">
        <v>4890</v>
      </c>
      <c r="B1661" s="3" t="s">
        <v>4919</v>
      </c>
      <c r="C1661" s="3" t="s">
        <v>564</v>
      </c>
      <c r="D1661" s="9">
        <v>184.1</v>
      </c>
      <c r="E1661" s="3"/>
      <c r="F1661" s="3"/>
      <c r="G1661" s="9"/>
      <c r="H1661" s="10">
        <v>45660.328599537039</v>
      </c>
      <c r="I1661" s="10">
        <v>45660.330300925933</v>
      </c>
      <c r="J1661" s="10">
        <v>45660.362268518518</v>
      </c>
      <c r="K1661" s="11">
        <v>3.1967592592592603E-2</v>
      </c>
      <c r="L1661" s="13"/>
    </row>
    <row r="1662" spans="1:12" x14ac:dyDescent="0.25">
      <c r="A1662" s="3" t="s">
        <v>4890</v>
      </c>
      <c r="B1662" s="3" t="s">
        <v>4920</v>
      </c>
      <c r="C1662" s="3" t="s">
        <v>720</v>
      </c>
      <c r="D1662" s="9">
        <v>256.89999999999998</v>
      </c>
      <c r="E1662" s="3"/>
      <c r="F1662" s="3"/>
      <c r="G1662" s="9"/>
      <c r="H1662" s="10">
        <v>45660.333865740737</v>
      </c>
      <c r="I1662" s="10">
        <v>45660.335509259261</v>
      </c>
      <c r="J1662" s="10">
        <v>45660.380104166667</v>
      </c>
      <c r="K1662" s="11">
        <v>4.4594907407407409E-2</v>
      </c>
      <c r="L1662" s="13"/>
    </row>
    <row r="1663" spans="1:12" x14ac:dyDescent="0.25">
      <c r="A1663" s="3" t="s">
        <v>4890</v>
      </c>
      <c r="B1663" s="3" t="s">
        <v>4921</v>
      </c>
      <c r="C1663" s="3" t="s">
        <v>723</v>
      </c>
      <c r="D1663" s="9">
        <v>396.6</v>
      </c>
      <c r="E1663" s="3"/>
      <c r="F1663" s="3"/>
      <c r="G1663" s="9"/>
      <c r="H1663" s="10">
        <v>45660.365474537037</v>
      </c>
      <c r="I1663" s="10">
        <v>45660.367175925923</v>
      </c>
      <c r="J1663" s="10">
        <v>45660.436030092591</v>
      </c>
      <c r="K1663" s="11">
        <v>6.8854166666666661E-2</v>
      </c>
      <c r="L1663" s="13"/>
    </row>
    <row r="1664" spans="1:12" x14ac:dyDescent="0.25">
      <c r="A1664" s="3" t="s">
        <v>4890</v>
      </c>
      <c r="B1664" s="3" t="s">
        <v>4922</v>
      </c>
      <c r="C1664" s="3" t="s">
        <v>573</v>
      </c>
      <c r="D1664" s="9">
        <v>221.7</v>
      </c>
      <c r="E1664" s="3"/>
      <c r="F1664" s="3"/>
      <c r="G1664" s="9"/>
      <c r="H1664" s="10">
        <v>45660.38003472222</v>
      </c>
      <c r="I1664" s="10">
        <v>45660.38177083333</v>
      </c>
      <c r="J1664" s="10">
        <v>45660.420266203713</v>
      </c>
      <c r="K1664" s="11">
        <v>3.8495370370370367E-2</v>
      </c>
      <c r="L1664" s="13"/>
    </row>
    <row r="1665" spans="1:12" x14ac:dyDescent="0.25">
      <c r="A1665" s="3" t="s">
        <v>4890</v>
      </c>
      <c r="B1665" s="3" t="s">
        <v>4923</v>
      </c>
      <c r="C1665" s="3" t="s">
        <v>715</v>
      </c>
      <c r="D1665" s="9">
        <v>210.8</v>
      </c>
      <c r="E1665" s="3"/>
      <c r="F1665" s="3"/>
      <c r="G1665" s="9"/>
      <c r="H1665" s="10">
        <v>45660.381921296299</v>
      </c>
      <c r="I1665" s="10">
        <v>45660.38354166667</v>
      </c>
      <c r="J1665" s="10">
        <v>45660.420127314806</v>
      </c>
      <c r="K1665" s="11">
        <v>3.6585648148148138E-2</v>
      </c>
      <c r="L1665" s="13"/>
    </row>
    <row r="1666" spans="1:12" x14ac:dyDescent="0.25">
      <c r="A1666" s="3" t="s">
        <v>4890</v>
      </c>
      <c r="B1666" s="3" t="s">
        <v>4924</v>
      </c>
      <c r="C1666" s="3" t="s">
        <v>730</v>
      </c>
      <c r="D1666" s="9">
        <v>266.39999999999998</v>
      </c>
      <c r="E1666" s="3"/>
      <c r="F1666" s="3"/>
      <c r="G1666" s="9"/>
      <c r="H1666" s="10">
        <v>45660.454398148147</v>
      </c>
      <c r="I1666" s="10">
        <v>45660.455243055563</v>
      </c>
      <c r="J1666" s="10">
        <v>45660.501493055563</v>
      </c>
      <c r="K1666" s="11">
        <v>4.6249999999999999E-2</v>
      </c>
      <c r="L1666" s="13"/>
    </row>
    <row r="1667" spans="1:12" x14ac:dyDescent="0.25">
      <c r="A1667" s="3" t="s">
        <v>4890</v>
      </c>
      <c r="B1667" s="3" t="s">
        <v>4925</v>
      </c>
      <c r="C1667" s="3" t="s">
        <v>736</v>
      </c>
      <c r="D1667" s="9">
        <v>146.30000000000001</v>
      </c>
      <c r="E1667" s="3"/>
      <c r="F1667" s="3"/>
      <c r="G1667" s="9"/>
      <c r="H1667" s="10">
        <v>45660.458472222221</v>
      </c>
      <c r="I1667" s="10">
        <v>45660.459340277783</v>
      </c>
      <c r="J1667" s="10">
        <v>45660.484733796293</v>
      </c>
      <c r="K1667" s="11">
        <v>2.539351851851852E-2</v>
      </c>
      <c r="L1667" s="13"/>
    </row>
    <row r="1668" spans="1:12" x14ac:dyDescent="0.25">
      <c r="A1668" s="3" t="s">
        <v>4890</v>
      </c>
      <c r="B1668" s="3" t="s">
        <v>4926</v>
      </c>
      <c r="C1668" s="3" t="s">
        <v>739</v>
      </c>
      <c r="D1668" s="9">
        <v>278</v>
      </c>
      <c r="E1668" s="3"/>
      <c r="F1668" s="3"/>
      <c r="G1668" s="9"/>
      <c r="H1668" s="10">
        <v>45660.553784722222</v>
      </c>
      <c r="I1668" s="10">
        <v>45660.554652777777</v>
      </c>
      <c r="J1668" s="10">
        <v>45660.60292824074</v>
      </c>
      <c r="K1668" s="11">
        <v>4.8275462962962958E-2</v>
      </c>
      <c r="L1668" s="13"/>
    </row>
    <row r="1669" spans="1:12" x14ac:dyDescent="0.25">
      <c r="A1669" s="3" t="s">
        <v>4890</v>
      </c>
      <c r="B1669" s="3" t="s">
        <v>4927</v>
      </c>
      <c r="C1669" s="3" t="s">
        <v>748</v>
      </c>
      <c r="D1669" s="9">
        <v>164.2</v>
      </c>
      <c r="E1669" s="3"/>
      <c r="F1669" s="3"/>
      <c r="G1669" s="9"/>
      <c r="H1669" s="10">
        <v>45660.652939814812</v>
      </c>
      <c r="I1669" s="10">
        <v>45660.653773148151</v>
      </c>
      <c r="J1669" s="10">
        <v>45660.682268518518</v>
      </c>
      <c r="K1669" s="11">
        <v>2.8495370370370369E-2</v>
      </c>
      <c r="L1669" s="13"/>
    </row>
    <row r="1670" spans="1:12" x14ac:dyDescent="0.25">
      <c r="A1670" s="3" t="s">
        <v>4890</v>
      </c>
      <c r="B1670" s="3" t="s">
        <v>4928</v>
      </c>
      <c r="C1670" s="3" t="s">
        <v>540</v>
      </c>
      <c r="D1670" s="9">
        <v>119.4</v>
      </c>
      <c r="E1670" s="3"/>
      <c r="F1670" s="3"/>
      <c r="G1670" s="9"/>
      <c r="H1670" s="10">
        <v>45660.667731481481</v>
      </c>
      <c r="I1670" s="10">
        <v>45660.668599537043</v>
      </c>
      <c r="J1670" s="10">
        <v>45660.689328703702</v>
      </c>
      <c r="K1670" s="11">
        <v>2.072916666666667E-2</v>
      </c>
      <c r="L1670" s="13"/>
    </row>
    <row r="1671" spans="1:12" x14ac:dyDescent="0.25">
      <c r="A1671" s="3" t="s">
        <v>4890</v>
      </c>
      <c r="B1671" s="3" t="s">
        <v>4929</v>
      </c>
      <c r="C1671" s="3" t="s">
        <v>742</v>
      </c>
      <c r="D1671" s="9">
        <v>125.9</v>
      </c>
      <c r="E1671" s="3"/>
      <c r="F1671" s="3"/>
      <c r="G1671" s="9"/>
      <c r="H1671" s="10">
        <v>45660.672071759262</v>
      </c>
      <c r="I1671" s="10">
        <v>45660.673715277779</v>
      </c>
      <c r="J1671" s="10">
        <v>45660.695567129631</v>
      </c>
      <c r="K1671" s="11">
        <v>2.1851851851851851E-2</v>
      </c>
      <c r="L1671" s="13"/>
    </row>
    <row r="1672" spans="1:12" x14ac:dyDescent="0.25">
      <c r="A1672" s="3" t="s">
        <v>4890</v>
      </c>
      <c r="B1672" s="3" t="s">
        <v>4930</v>
      </c>
      <c r="C1672" s="3" t="s">
        <v>772</v>
      </c>
      <c r="D1672" s="9">
        <v>278.89999999999998</v>
      </c>
      <c r="E1672" s="3"/>
      <c r="F1672" s="3"/>
      <c r="G1672" s="9"/>
      <c r="H1672" s="10">
        <v>45660.729305555556</v>
      </c>
      <c r="I1672" s="10">
        <v>45660.730150462958</v>
      </c>
      <c r="J1672" s="10">
        <v>45660.778564814813</v>
      </c>
      <c r="K1672" s="11">
        <v>4.8414351851851847E-2</v>
      </c>
      <c r="L1672" s="13"/>
    </row>
    <row r="1673" spans="1:12" x14ac:dyDescent="0.25">
      <c r="A1673" s="3" t="s">
        <v>4890</v>
      </c>
      <c r="B1673" s="3" t="s">
        <v>4931</v>
      </c>
      <c r="C1673" s="3" t="s">
        <v>689</v>
      </c>
      <c r="D1673" s="9">
        <v>110.3</v>
      </c>
      <c r="E1673" s="3"/>
      <c r="F1673" s="3"/>
      <c r="G1673" s="9"/>
      <c r="H1673" s="10">
        <v>45660.855752314812</v>
      </c>
      <c r="I1673" s="10">
        <v>45660.856620370367</v>
      </c>
      <c r="J1673" s="10">
        <v>45660.875763888893</v>
      </c>
      <c r="K1673" s="11">
        <v>1.9143518518518522E-2</v>
      </c>
      <c r="L1673" s="13"/>
    </row>
    <row r="1674" spans="1:12" x14ac:dyDescent="0.25">
      <c r="A1674" s="3" t="s">
        <v>4890</v>
      </c>
      <c r="B1674" s="3" t="s">
        <v>4932</v>
      </c>
      <c r="C1674" s="3" t="s">
        <v>710</v>
      </c>
      <c r="D1674" s="9">
        <v>189</v>
      </c>
      <c r="E1674" s="3"/>
      <c r="F1674" s="3"/>
      <c r="G1674" s="9"/>
      <c r="H1674" s="10">
        <v>45660.859340277777</v>
      </c>
      <c r="I1674" s="10">
        <v>45660.860208333332</v>
      </c>
      <c r="J1674" s="10">
        <v>45660.893020833333</v>
      </c>
      <c r="K1674" s="11">
        <v>3.2812500000000001E-2</v>
      </c>
      <c r="L1674" s="13"/>
    </row>
    <row r="1675" spans="1:12" x14ac:dyDescent="0.25">
      <c r="A1675" s="3" t="s">
        <v>4890</v>
      </c>
      <c r="B1675" s="3" t="s">
        <v>4933</v>
      </c>
      <c r="C1675" s="3" t="s">
        <v>745</v>
      </c>
      <c r="D1675" s="9">
        <v>173.1</v>
      </c>
      <c r="E1675" s="3"/>
      <c r="F1675" s="3"/>
      <c r="G1675" s="9"/>
      <c r="H1675" s="10">
        <v>45660.864085648151</v>
      </c>
      <c r="I1675" s="10">
        <v>45660.870925925927</v>
      </c>
      <c r="J1675" s="10">
        <v>45660.900983796288</v>
      </c>
      <c r="K1675" s="11">
        <v>3.005787037037037E-2</v>
      </c>
      <c r="L1675" s="13"/>
    </row>
    <row r="1676" spans="1:12" x14ac:dyDescent="0.25">
      <c r="A1676" s="3" t="s">
        <v>4890</v>
      </c>
      <c r="B1676" s="3" t="s">
        <v>4934</v>
      </c>
      <c r="C1676" s="3" t="s">
        <v>781</v>
      </c>
      <c r="D1676" s="9">
        <v>186.7</v>
      </c>
      <c r="E1676" s="3"/>
      <c r="F1676" s="3"/>
      <c r="G1676" s="9"/>
      <c r="H1676" s="10">
        <v>45660.864988425928</v>
      </c>
      <c r="I1676" s="10">
        <v>45660.877500000002</v>
      </c>
      <c r="J1676" s="10">
        <v>45660.909907407397</v>
      </c>
      <c r="K1676" s="11">
        <v>3.2407407407407413E-2</v>
      </c>
      <c r="L1676" s="13"/>
    </row>
    <row r="1677" spans="1:12" x14ac:dyDescent="0.25">
      <c r="A1677" s="3" t="s">
        <v>4890</v>
      </c>
      <c r="B1677" s="3" t="s">
        <v>4935</v>
      </c>
      <c r="C1677" s="3" t="s">
        <v>524</v>
      </c>
      <c r="D1677" s="9">
        <v>115</v>
      </c>
      <c r="E1677" s="3"/>
      <c r="F1677" s="3"/>
      <c r="G1677" s="9"/>
      <c r="H1677" s="10">
        <v>45660.868831018517</v>
      </c>
      <c r="I1677" s="10">
        <v>45660.894756944443</v>
      </c>
      <c r="J1677" s="10">
        <v>45660.914722222216</v>
      </c>
      <c r="K1677" s="11">
        <v>1.996527777777778E-2</v>
      </c>
      <c r="L1677" s="13"/>
    </row>
    <row r="1678" spans="1:12" x14ac:dyDescent="0.25">
      <c r="A1678" s="3" t="s">
        <v>4890</v>
      </c>
      <c r="B1678" s="3" t="s">
        <v>4936</v>
      </c>
      <c r="C1678" s="3" t="s">
        <v>684</v>
      </c>
      <c r="D1678" s="9">
        <v>110.3</v>
      </c>
      <c r="E1678" s="3"/>
      <c r="F1678" s="3"/>
      <c r="G1678" s="9"/>
      <c r="H1678" s="10">
        <v>45660.918425925927</v>
      </c>
      <c r="I1678" s="10">
        <v>45660.919293981482</v>
      </c>
      <c r="J1678" s="10">
        <v>45660.938437500001</v>
      </c>
      <c r="K1678" s="11">
        <v>1.9143518518518522E-2</v>
      </c>
      <c r="L1678" s="13"/>
    </row>
    <row r="1679" spans="1:12" x14ac:dyDescent="0.25">
      <c r="A1679" s="3" t="s">
        <v>4890</v>
      </c>
      <c r="B1679" s="3" t="s">
        <v>4937</v>
      </c>
      <c r="C1679" s="3" t="s">
        <v>704</v>
      </c>
      <c r="D1679" s="9">
        <v>150</v>
      </c>
      <c r="E1679" s="3"/>
      <c r="F1679" s="3"/>
      <c r="G1679" s="9"/>
      <c r="H1679" s="10">
        <v>45660.919363425928</v>
      </c>
      <c r="I1679" s="10">
        <v>45660.920208333337</v>
      </c>
      <c r="J1679" s="10">
        <v>45660.946250000001</v>
      </c>
      <c r="K1679" s="11">
        <v>2.6041666666666671E-2</v>
      </c>
      <c r="L1679" s="13"/>
    </row>
    <row r="1680" spans="1:12" x14ac:dyDescent="0.25">
      <c r="A1680" s="3" t="s">
        <v>4890</v>
      </c>
      <c r="B1680" s="3" t="s">
        <v>4938</v>
      </c>
      <c r="C1680" s="3" t="s">
        <v>820</v>
      </c>
      <c r="D1680" s="9">
        <v>220.4</v>
      </c>
      <c r="E1680" s="3"/>
      <c r="F1680" s="3"/>
      <c r="G1680" s="9"/>
      <c r="H1680" s="10">
        <v>45661.249398148153</v>
      </c>
      <c r="I1680" s="10">
        <v>45661.250243055547</v>
      </c>
      <c r="J1680" s="10">
        <v>45661.288495370369</v>
      </c>
      <c r="K1680" s="11">
        <v>3.8252314814814822E-2</v>
      </c>
      <c r="L1680" s="13"/>
    </row>
    <row r="1681" spans="1:12" x14ac:dyDescent="0.25">
      <c r="A1681" s="3" t="s">
        <v>4890</v>
      </c>
      <c r="B1681" s="3" t="s">
        <v>4939</v>
      </c>
      <c r="C1681" s="3" t="s">
        <v>795</v>
      </c>
      <c r="D1681" s="9">
        <v>397.3</v>
      </c>
      <c r="E1681" s="3"/>
      <c r="F1681" s="3"/>
      <c r="G1681" s="9"/>
      <c r="H1681" s="10">
        <v>45662.751192129632</v>
      </c>
      <c r="I1681" s="10">
        <v>45662.752060185187</v>
      </c>
      <c r="J1681" s="10">
        <v>45662.821030092593</v>
      </c>
      <c r="K1681" s="11">
        <v>6.896990740740741E-2</v>
      </c>
      <c r="L1681" s="13"/>
    </row>
    <row r="1682" spans="1:12" x14ac:dyDescent="0.25">
      <c r="A1682" s="3" t="s">
        <v>4890</v>
      </c>
      <c r="B1682" s="3" t="s">
        <v>4940</v>
      </c>
      <c r="C1682" s="3" t="s">
        <v>823</v>
      </c>
      <c r="D1682" s="9">
        <v>118.2</v>
      </c>
      <c r="E1682" s="3"/>
      <c r="F1682" s="3"/>
      <c r="G1682" s="9"/>
      <c r="H1682" s="10">
        <v>45662.752662037034</v>
      </c>
      <c r="I1682" s="10">
        <v>45662.753495370373</v>
      </c>
      <c r="J1682" s="10">
        <v>45662.774016203701</v>
      </c>
      <c r="K1682" s="11">
        <v>2.0520833333333328E-2</v>
      </c>
      <c r="L1682" s="13"/>
    </row>
    <row r="1683" spans="1:12" x14ac:dyDescent="0.25">
      <c r="A1683" s="3" t="s">
        <v>4890</v>
      </c>
      <c r="B1683" s="3" t="s">
        <v>4941</v>
      </c>
      <c r="C1683" s="3" t="s">
        <v>835</v>
      </c>
      <c r="D1683" s="9">
        <v>428.8</v>
      </c>
      <c r="E1683" s="3"/>
      <c r="F1683" s="3"/>
      <c r="G1683" s="9"/>
      <c r="H1683" s="10">
        <v>45662.855011574073</v>
      </c>
      <c r="I1683" s="10">
        <v>45662.855844907397</v>
      </c>
      <c r="J1683" s="10">
        <v>45662.930289351847</v>
      </c>
      <c r="K1683" s="11">
        <v>7.4444444444444438E-2</v>
      </c>
      <c r="L1683" s="13"/>
    </row>
    <row r="1684" spans="1:12" x14ac:dyDescent="0.25">
      <c r="A1684" s="3" t="s">
        <v>4890</v>
      </c>
      <c r="B1684" s="3" t="s">
        <v>4942</v>
      </c>
      <c r="C1684" s="3" t="s">
        <v>840</v>
      </c>
      <c r="D1684" s="9">
        <v>101.2</v>
      </c>
      <c r="E1684" s="3"/>
      <c r="F1684" s="3"/>
      <c r="G1684" s="9"/>
      <c r="H1684" s="10">
        <v>45662.859120370369</v>
      </c>
      <c r="I1684" s="10">
        <v>45662.859988425917</v>
      </c>
      <c r="J1684" s="10">
        <v>45662.877557870372</v>
      </c>
      <c r="K1684" s="11">
        <v>1.756944444444444E-2</v>
      </c>
      <c r="L1684" s="13"/>
    </row>
    <row r="1685" spans="1:12" x14ac:dyDescent="0.25">
      <c r="A1685" s="3" t="s">
        <v>4890</v>
      </c>
      <c r="B1685" s="3" t="s">
        <v>4943</v>
      </c>
      <c r="C1685" s="3" t="s">
        <v>843</v>
      </c>
      <c r="D1685" s="9">
        <v>241.4</v>
      </c>
      <c r="E1685" s="3"/>
      <c r="F1685" s="3"/>
      <c r="G1685" s="9"/>
      <c r="H1685" s="10">
        <v>45663.747361111113</v>
      </c>
      <c r="I1685" s="10">
        <v>45663.748229166667</v>
      </c>
      <c r="J1685" s="10">
        <v>45663.790138888893</v>
      </c>
      <c r="K1685" s="11">
        <v>4.1909722222222223E-2</v>
      </c>
      <c r="L1685" s="13"/>
    </row>
    <row r="1686" spans="1:12" x14ac:dyDescent="0.25">
      <c r="A1686" s="3" t="s">
        <v>4890</v>
      </c>
      <c r="B1686" s="3" t="s">
        <v>4944</v>
      </c>
      <c r="C1686" s="3" t="s">
        <v>707</v>
      </c>
      <c r="D1686" s="9">
        <v>267.5</v>
      </c>
      <c r="E1686" s="3"/>
      <c r="F1686" s="3"/>
      <c r="G1686" s="9"/>
      <c r="H1686" s="10">
        <v>45664.13721064815</v>
      </c>
      <c r="I1686" s="10">
        <v>45664.138043981482</v>
      </c>
      <c r="J1686" s="10">
        <v>45664.184490740743</v>
      </c>
      <c r="K1686" s="11">
        <v>4.6446759259259257E-2</v>
      </c>
      <c r="L1686" s="13"/>
    </row>
    <row r="1687" spans="1:12" x14ac:dyDescent="0.25">
      <c r="A1687" s="3" t="s">
        <v>4890</v>
      </c>
      <c r="B1687" s="3" t="s">
        <v>4945</v>
      </c>
      <c r="C1687" s="3" t="s">
        <v>828</v>
      </c>
      <c r="D1687" s="9">
        <v>137.6</v>
      </c>
      <c r="E1687" s="3"/>
      <c r="F1687" s="3"/>
      <c r="G1687" s="9"/>
      <c r="H1687" s="10">
        <v>45664.138078703712</v>
      </c>
      <c r="I1687" s="10">
        <v>45664.13894675926</v>
      </c>
      <c r="J1687" s="10">
        <v>45664.162824074083</v>
      </c>
      <c r="K1687" s="11">
        <v>2.387731481481482E-2</v>
      </c>
      <c r="L1687" s="13"/>
    </row>
    <row r="1688" spans="1:12" x14ac:dyDescent="0.25">
      <c r="A1688" s="3" t="s">
        <v>4890</v>
      </c>
      <c r="B1688" s="3" t="s">
        <v>4946</v>
      </c>
      <c r="C1688" s="3" t="s">
        <v>856</v>
      </c>
      <c r="D1688" s="9">
        <v>297</v>
      </c>
      <c r="E1688" s="3"/>
      <c r="F1688" s="3"/>
      <c r="G1688" s="9"/>
      <c r="H1688" s="10">
        <v>45664.283564814818</v>
      </c>
      <c r="I1688" s="10">
        <v>45664.284432870372</v>
      </c>
      <c r="J1688" s="10">
        <v>45664.335995370369</v>
      </c>
      <c r="K1688" s="11">
        <v>5.1562499999999997E-2</v>
      </c>
      <c r="L1688" s="13"/>
    </row>
    <row r="1689" spans="1:12" x14ac:dyDescent="0.25">
      <c r="A1689" s="3" t="s">
        <v>4890</v>
      </c>
      <c r="B1689" s="3" t="s">
        <v>4947</v>
      </c>
      <c r="C1689" s="3" t="s">
        <v>876</v>
      </c>
      <c r="D1689" s="9">
        <v>396.6</v>
      </c>
      <c r="E1689" s="3"/>
      <c r="F1689" s="3"/>
      <c r="G1689" s="9"/>
      <c r="H1689" s="10">
        <v>45664.321122685193</v>
      </c>
      <c r="I1689" s="10">
        <v>45664.321967592587</v>
      </c>
      <c r="J1689" s="10">
        <v>45664.390821759262</v>
      </c>
      <c r="K1689" s="11">
        <v>6.8854166666666661E-2</v>
      </c>
      <c r="L1689" s="13"/>
    </row>
    <row r="1690" spans="1:12" x14ac:dyDescent="0.25">
      <c r="A1690" s="3" t="s">
        <v>4890</v>
      </c>
      <c r="B1690" s="3" t="s">
        <v>4948</v>
      </c>
      <c r="C1690" s="3" t="s">
        <v>879</v>
      </c>
      <c r="D1690" s="9">
        <v>189.9</v>
      </c>
      <c r="E1690" s="3"/>
      <c r="F1690" s="3"/>
      <c r="G1690" s="9"/>
      <c r="H1690" s="10">
        <v>45664.323900462958</v>
      </c>
      <c r="I1690" s="10">
        <v>45664.337824074071</v>
      </c>
      <c r="J1690" s="10">
        <v>45664.370787037027</v>
      </c>
      <c r="K1690" s="11">
        <v>3.2962962962962958E-2</v>
      </c>
      <c r="L1690" s="13"/>
    </row>
    <row r="1691" spans="1:12" x14ac:dyDescent="0.25">
      <c r="A1691" s="3" t="s">
        <v>4890</v>
      </c>
      <c r="B1691" s="3" t="s">
        <v>4949</v>
      </c>
      <c r="C1691" s="3" t="s">
        <v>798</v>
      </c>
      <c r="D1691" s="9">
        <v>113.7</v>
      </c>
      <c r="E1691" s="3"/>
      <c r="F1691" s="3"/>
      <c r="G1691" s="9"/>
      <c r="H1691" s="10">
        <v>45664.328182870369</v>
      </c>
      <c r="I1691" s="10">
        <v>45664.340567129628</v>
      </c>
      <c r="J1691" s="10">
        <v>45664.360312500001</v>
      </c>
      <c r="K1691" s="11">
        <v>1.9745370370370371E-2</v>
      </c>
      <c r="L1691" s="13"/>
    </row>
    <row r="1692" spans="1:12" x14ac:dyDescent="0.25">
      <c r="A1692" s="3" t="s">
        <v>4890</v>
      </c>
      <c r="B1692" s="3" t="s">
        <v>4950</v>
      </c>
      <c r="C1692" s="3" t="s">
        <v>803</v>
      </c>
      <c r="D1692" s="9">
        <v>214.1</v>
      </c>
      <c r="E1692" s="3"/>
      <c r="F1692" s="3"/>
      <c r="G1692" s="9"/>
      <c r="H1692" s="10">
        <v>45664.334791666668</v>
      </c>
      <c r="I1692" s="10">
        <v>45664.366840277777</v>
      </c>
      <c r="J1692" s="10">
        <v>45664.404004629629</v>
      </c>
      <c r="K1692" s="11">
        <v>3.7164351851851851E-2</v>
      </c>
      <c r="L1692" s="13"/>
    </row>
    <row r="1693" spans="1:12" x14ac:dyDescent="0.25">
      <c r="A1693" s="3" t="s">
        <v>4890</v>
      </c>
      <c r="B1693" s="3" t="s">
        <v>4951</v>
      </c>
      <c r="C1693" s="3" t="s">
        <v>870</v>
      </c>
      <c r="D1693" s="9">
        <v>281.39999999999998</v>
      </c>
      <c r="E1693" s="3"/>
      <c r="F1693" s="3"/>
      <c r="G1693" s="9"/>
      <c r="H1693" s="10">
        <v>45664.363240740742</v>
      </c>
      <c r="I1693" s="10">
        <v>45664.372523148151</v>
      </c>
      <c r="J1693" s="10">
        <v>45664.421377314808</v>
      </c>
      <c r="K1693" s="11">
        <v>4.8854166666666657E-2</v>
      </c>
      <c r="L1693" s="13"/>
    </row>
    <row r="1694" spans="1:12" x14ac:dyDescent="0.25">
      <c r="A1694" s="3" t="s">
        <v>4890</v>
      </c>
      <c r="B1694" s="3" t="s">
        <v>4952</v>
      </c>
      <c r="C1694" s="3" t="s">
        <v>733</v>
      </c>
      <c r="D1694" s="9">
        <v>180.7</v>
      </c>
      <c r="E1694" s="3"/>
      <c r="F1694" s="3"/>
      <c r="G1694" s="9"/>
      <c r="H1694" s="10">
        <v>45664.365104166667</v>
      </c>
      <c r="I1694" s="10">
        <v>45664.405659722222</v>
      </c>
      <c r="J1694" s="10">
        <v>45664.437025462961</v>
      </c>
      <c r="K1694" s="11">
        <v>3.1365740740740743E-2</v>
      </c>
      <c r="L1694" s="13"/>
    </row>
    <row r="1695" spans="1:12" x14ac:dyDescent="0.25">
      <c r="A1695" s="3" t="s">
        <v>4890</v>
      </c>
      <c r="B1695" s="3" t="s">
        <v>4953</v>
      </c>
      <c r="C1695" s="3" t="s">
        <v>891</v>
      </c>
      <c r="D1695" s="9">
        <v>292.89999999999998</v>
      </c>
      <c r="E1695" s="3"/>
      <c r="F1695" s="3"/>
      <c r="G1695" s="9"/>
      <c r="H1695" s="10">
        <v>45664.455335648148</v>
      </c>
      <c r="I1695" s="10">
        <v>45664.456180555557</v>
      </c>
      <c r="J1695" s="10">
        <v>45664.507025462961</v>
      </c>
      <c r="K1695" s="11">
        <v>5.0844907407407408E-2</v>
      </c>
      <c r="L1695" s="13"/>
    </row>
    <row r="1696" spans="1:12" x14ac:dyDescent="0.25">
      <c r="A1696" s="3" t="s">
        <v>4890</v>
      </c>
      <c r="B1696" s="3" t="s">
        <v>4954</v>
      </c>
      <c r="C1696" s="3" t="s">
        <v>911</v>
      </c>
      <c r="D1696" s="9">
        <v>264.3</v>
      </c>
      <c r="E1696" s="3"/>
      <c r="F1696" s="3"/>
      <c r="G1696" s="9"/>
      <c r="H1696" s="10">
        <v>45664.554456018523</v>
      </c>
      <c r="I1696" s="10">
        <v>45664.555324074077</v>
      </c>
      <c r="J1696" s="10">
        <v>45664.601203703707</v>
      </c>
      <c r="K1696" s="11">
        <v>4.5879629629629631E-2</v>
      </c>
      <c r="L1696" s="13"/>
    </row>
    <row r="1697" spans="1:12" x14ac:dyDescent="0.25">
      <c r="A1697" s="3" t="s">
        <v>4890</v>
      </c>
      <c r="B1697" s="3" t="s">
        <v>4955</v>
      </c>
      <c r="C1697" s="3" t="s">
        <v>916</v>
      </c>
      <c r="D1697" s="9">
        <v>398</v>
      </c>
      <c r="E1697" s="3"/>
      <c r="F1697" s="3"/>
      <c r="G1697" s="9"/>
      <c r="H1697" s="10">
        <v>45664.606782407413</v>
      </c>
      <c r="I1697" s="10">
        <v>45664.607627314806</v>
      </c>
      <c r="J1697" s="10">
        <v>45664.676724537043</v>
      </c>
      <c r="K1697" s="11">
        <v>6.9097222222222227E-2</v>
      </c>
      <c r="L1697" s="13"/>
    </row>
    <row r="1698" spans="1:12" x14ac:dyDescent="0.25">
      <c r="A1698" s="3" t="s">
        <v>4890</v>
      </c>
      <c r="B1698" s="3" t="s">
        <v>4956</v>
      </c>
      <c r="C1698" s="3" t="s">
        <v>901</v>
      </c>
      <c r="D1698" s="9">
        <v>135</v>
      </c>
      <c r="E1698" s="3"/>
      <c r="F1698" s="3"/>
      <c r="G1698" s="9"/>
      <c r="H1698" s="10">
        <v>45664.65388888889</v>
      </c>
      <c r="I1698" s="10">
        <v>45664.658761574072</v>
      </c>
      <c r="J1698" s="10">
        <v>45664.682199074072</v>
      </c>
      <c r="K1698" s="11">
        <v>2.34375E-2</v>
      </c>
      <c r="L1698" s="13"/>
    </row>
    <row r="1699" spans="1:12" x14ac:dyDescent="0.25">
      <c r="A1699" s="3" t="s">
        <v>4890</v>
      </c>
      <c r="B1699" s="3" t="s">
        <v>4957</v>
      </c>
      <c r="C1699" s="3" t="s">
        <v>898</v>
      </c>
      <c r="D1699" s="9">
        <v>101.9</v>
      </c>
      <c r="E1699" s="3"/>
      <c r="F1699" s="3"/>
      <c r="G1699" s="9"/>
      <c r="H1699" s="10">
        <v>45664.656956018523</v>
      </c>
      <c r="I1699" s="10">
        <v>45664.668530092589</v>
      </c>
      <c r="J1699" s="10">
        <v>45664.686226851853</v>
      </c>
      <c r="K1699" s="11">
        <v>1.7696759259259259E-2</v>
      </c>
      <c r="L1699" s="13"/>
    </row>
    <row r="1700" spans="1:12" x14ac:dyDescent="0.25">
      <c r="A1700" s="3" t="s">
        <v>4890</v>
      </c>
      <c r="B1700" s="3" t="s">
        <v>4958</v>
      </c>
      <c r="C1700" s="3" t="s">
        <v>867</v>
      </c>
      <c r="D1700" s="9">
        <v>120</v>
      </c>
      <c r="E1700" s="3"/>
      <c r="F1700" s="3"/>
      <c r="G1700" s="9"/>
      <c r="H1700" s="10">
        <v>45664.661192129628</v>
      </c>
      <c r="I1700" s="10">
        <v>45664.683819444443</v>
      </c>
      <c r="J1700" s="10">
        <v>45664.704641203702</v>
      </c>
      <c r="K1700" s="11">
        <v>2.0821759259259259E-2</v>
      </c>
      <c r="L1700" s="13"/>
    </row>
    <row r="1701" spans="1:12" x14ac:dyDescent="0.25">
      <c r="A1701" s="3" t="s">
        <v>4890</v>
      </c>
      <c r="B1701" s="3" t="s">
        <v>4959</v>
      </c>
      <c r="C1701" s="3" t="s">
        <v>943</v>
      </c>
      <c r="D1701" s="9">
        <v>393.5</v>
      </c>
      <c r="E1701" s="3"/>
      <c r="F1701" s="3"/>
      <c r="G1701" s="9"/>
      <c r="H1701" s="10">
        <v>45664.666875000003</v>
      </c>
      <c r="I1701" s="10">
        <v>45664.683935185189</v>
      </c>
      <c r="J1701" s="10">
        <v>45664.752245370371</v>
      </c>
      <c r="K1701" s="11">
        <v>6.8310185185185182E-2</v>
      </c>
      <c r="L1701" s="13"/>
    </row>
    <row r="1702" spans="1:12" x14ac:dyDescent="0.25">
      <c r="A1702" s="3" t="s">
        <v>4890</v>
      </c>
      <c r="B1702" s="3" t="s">
        <v>4960</v>
      </c>
      <c r="C1702" s="3" t="s">
        <v>908</v>
      </c>
      <c r="D1702" s="9">
        <v>100.5</v>
      </c>
      <c r="E1702" s="3"/>
      <c r="F1702" s="3"/>
      <c r="G1702" s="9"/>
      <c r="H1702" s="10">
        <v>45664.682141203702</v>
      </c>
      <c r="I1702" s="10">
        <v>45664.687962962962</v>
      </c>
      <c r="J1702" s="10">
        <v>45664.705405092587</v>
      </c>
      <c r="K1702" s="11">
        <v>1.744212962962963E-2</v>
      </c>
      <c r="L1702" s="13"/>
    </row>
    <row r="1703" spans="1:12" x14ac:dyDescent="0.25">
      <c r="A1703" s="3" t="s">
        <v>4890</v>
      </c>
      <c r="B1703" s="3" t="s">
        <v>4961</v>
      </c>
      <c r="C1703" s="3" t="s">
        <v>792</v>
      </c>
      <c r="D1703" s="9">
        <v>139.30000000000001</v>
      </c>
      <c r="E1703" s="3"/>
      <c r="F1703" s="3"/>
      <c r="G1703" s="9"/>
      <c r="H1703" s="10">
        <v>45664.754826388889</v>
      </c>
      <c r="I1703" s="10">
        <v>45664.755682870367</v>
      </c>
      <c r="J1703" s="10">
        <v>45664.779861111107</v>
      </c>
      <c r="K1703" s="11">
        <v>2.417824074074074E-2</v>
      </c>
      <c r="L1703" s="13"/>
    </row>
    <row r="1704" spans="1:12" x14ac:dyDescent="0.25">
      <c r="A1704" s="3" t="s">
        <v>4890</v>
      </c>
      <c r="B1704" s="3" t="s">
        <v>4962</v>
      </c>
      <c r="C1704" s="3" t="s">
        <v>961</v>
      </c>
      <c r="D1704" s="9">
        <v>108</v>
      </c>
      <c r="E1704" s="3"/>
      <c r="F1704" s="3"/>
      <c r="G1704" s="9"/>
      <c r="H1704" s="10">
        <v>45664.755150462966</v>
      </c>
      <c r="I1704" s="10">
        <v>45664.756412037037</v>
      </c>
      <c r="J1704" s="10">
        <v>45664.77516203704</v>
      </c>
      <c r="K1704" s="11">
        <v>1.8749999999999999E-2</v>
      </c>
      <c r="L1704" s="13"/>
    </row>
    <row r="1705" spans="1:12" x14ac:dyDescent="0.25">
      <c r="A1705" s="3" t="s">
        <v>4890</v>
      </c>
      <c r="B1705" s="3" t="s">
        <v>4963</v>
      </c>
      <c r="C1705" s="3" t="s">
        <v>946</v>
      </c>
      <c r="D1705" s="9">
        <v>305.8</v>
      </c>
      <c r="E1705" s="3"/>
      <c r="F1705" s="3"/>
      <c r="G1705" s="9"/>
      <c r="H1705" s="10">
        <v>45664.773981481478</v>
      </c>
      <c r="I1705" s="10">
        <v>45664.775717592587</v>
      </c>
      <c r="J1705" s="10">
        <v>45664.828796296293</v>
      </c>
      <c r="K1705" s="11">
        <v>5.3078703703703697E-2</v>
      </c>
      <c r="L1705" s="13"/>
    </row>
    <row r="1706" spans="1:12" x14ac:dyDescent="0.25">
      <c r="A1706" s="3" t="s">
        <v>4890</v>
      </c>
      <c r="B1706" s="3" t="s">
        <v>4964</v>
      </c>
      <c r="C1706" s="3" t="s">
        <v>981</v>
      </c>
      <c r="D1706" s="9">
        <v>389.1</v>
      </c>
      <c r="E1706" s="3"/>
      <c r="F1706" s="3"/>
      <c r="G1706" s="9"/>
      <c r="H1706" s="10">
        <v>45664.888969907413</v>
      </c>
      <c r="I1706" s="10">
        <v>45664.889837962961</v>
      </c>
      <c r="J1706" s="10">
        <v>45664.957384259258</v>
      </c>
      <c r="K1706" s="11">
        <v>6.7546296296296299E-2</v>
      </c>
      <c r="L1706" s="13"/>
    </row>
    <row r="1707" spans="1:12" x14ac:dyDescent="0.25">
      <c r="A1707" s="3" t="s">
        <v>4890</v>
      </c>
      <c r="B1707" s="3" t="s">
        <v>4965</v>
      </c>
      <c r="C1707" s="3" t="s">
        <v>966</v>
      </c>
      <c r="D1707" s="9">
        <v>102.9</v>
      </c>
      <c r="E1707" s="3"/>
      <c r="F1707" s="3"/>
      <c r="G1707" s="9"/>
      <c r="H1707" s="10">
        <v>45665.134930555563</v>
      </c>
      <c r="I1707" s="10">
        <v>45665.135763888888</v>
      </c>
      <c r="J1707" s="10">
        <v>45665.153622685182</v>
      </c>
      <c r="K1707" s="11">
        <v>1.78587962962963E-2</v>
      </c>
      <c r="L1707" s="13"/>
    </row>
    <row r="1708" spans="1:12" x14ac:dyDescent="0.25">
      <c r="A1708" s="3" t="s">
        <v>4890</v>
      </c>
      <c r="B1708" s="3" t="s">
        <v>4966</v>
      </c>
      <c r="C1708" s="3" t="s">
        <v>919</v>
      </c>
      <c r="D1708" s="9">
        <v>114.3</v>
      </c>
      <c r="E1708" s="3"/>
      <c r="F1708" s="3"/>
      <c r="G1708" s="9"/>
      <c r="H1708" s="10">
        <v>45665.137013888889</v>
      </c>
      <c r="I1708" s="10">
        <v>45665.138842592591</v>
      </c>
      <c r="J1708" s="10">
        <v>45665.158692129633</v>
      </c>
      <c r="K1708" s="11">
        <v>1.9849537037037041E-2</v>
      </c>
      <c r="L1708" s="13"/>
    </row>
    <row r="1709" spans="1:12" x14ac:dyDescent="0.25">
      <c r="A1709" s="3" t="s">
        <v>4890</v>
      </c>
      <c r="B1709" s="3" t="s">
        <v>4967</v>
      </c>
      <c r="C1709" s="3" t="s">
        <v>990</v>
      </c>
      <c r="D1709" s="9">
        <v>166.9</v>
      </c>
      <c r="E1709" s="3"/>
      <c r="F1709" s="3"/>
      <c r="G1709" s="9"/>
      <c r="H1709" s="10">
        <v>45665.137106481481</v>
      </c>
      <c r="I1709" s="10">
        <v>45665.142141203702</v>
      </c>
      <c r="J1709" s="10">
        <v>45665.171122685177</v>
      </c>
      <c r="K1709" s="11">
        <v>2.898148148148148E-2</v>
      </c>
      <c r="L1709" s="13"/>
    </row>
    <row r="1710" spans="1:12" x14ac:dyDescent="0.25">
      <c r="A1710" s="3" t="s">
        <v>4890</v>
      </c>
      <c r="B1710" s="3" t="s">
        <v>4968</v>
      </c>
      <c r="C1710" s="3" t="s">
        <v>873</v>
      </c>
      <c r="D1710" s="9">
        <v>141.69999999999999</v>
      </c>
      <c r="E1710" s="3"/>
      <c r="F1710" s="3"/>
      <c r="G1710" s="9"/>
      <c r="H1710" s="10">
        <v>45665.140451388892</v>
      </c>
      <c r="I1710" s="10">
        <v>45665.155300925922</v>
      </c>
      <c r="J1710" s="10">
        <v>45665.179907407408</v>
      </c>
      <c r="K1710" s="11">
        <v>2.4606481481481479E-2</v>
      </c>
      <c r="L1710" s="13"/>
    </row>
    <row r="1711" spans="1:12" x14ac:dyDescent="0.25">
      <c r="A1711" s="3" t="s">
        <v>4890</v>
      </c>
      <c r="B1711" s="3" t="s">
        <v>4969</v>
      </c>
      <c r="C1711" s="3" t="s">
        <v>886</v>
      </c>
      <c r="D1711" s="9">
        <v>592.70000000000005</v>
      </c>
      <c r="E1711" s="3"/>
      <c r="F1711" s="3"/>
      <c r="G1711" s="9"/>
      <c r="H1711" s="10">
        <v>45665.173888888887</v>
      </c>
      <c r="I1711" s="10">
        <v>45665.174733796302</v>
      </c>
      <c r="J1711" s="10">
        <v>45665.277638888889</v>
      </c>
      <c r="K1711" s="11">
        <v>0.1029050925925926</v>
      </c>
      <c r="L1711" s="13"/>
    </row>
    <row r="1712" spans="1:12" x14ac:dyDescent="0.25">
      <c r="A1712" s="3" t="s">
        <v>4890</v>
      </c>
      <c r="B1712" s="3" t="s">
        <v>4970</v>
      </c>
      <c r="C1712" s="3" t="s">
        <v>995</v>
      </c>
      <c r="D1712" s="9">
        <v>297</v>
      </c>
      <c r="E1712" s="3"/>
      <c r="F1712" s="3"/>
      <c r="G1712" s="9"/>
      <c r="H1712" s="10">
        <v>45665.263020833343</v>
      </c>
      <c r="I1712" s="10">
        <v>45665.263888888891</v>
      </c>
      <c r="J1712" s="10">
        <v>45665.315451388888</v>
      </c>
      <c r="K1712" s="11">
        <v>5.1562499999999997E-2</v>
      </c>
      <c r="L1712" s="13"/>
    </row>
    <row r="1713" spans="1:12" x14ac:dyDescent="0.25">
      <c r="A1713" s="3" t="s">
        <v>4890</v>
      </c>
      <c r="B1713" s="3" t="s">
        <v>4971</v>
      </c>
      <c r="C1713" s="3" t="s">
        <v>1041</v>
      </c>
      <c r="D1713" s="9">
        <v>156.69999999999999</v>
      </c>
      <c r="E1713" s="3"/>
      <c r="F1713" s="3"/>
      <c r="G1713" s="9"/>
      <c r="H1713" s="10">
        <v>45665.316284722219</v>
      </c>
      <c r="I1713" s="10">
        <v>45665.317129629628</v>
      </c>
      <c r="J1713" s="10">
        <v>45665.344340277778</v>
      </c>
      <c r="K1713" s="11">
        <v>2.721064814814815E-2</v>
      </c>
      <c r="L1713" s="13"/>
    </row>
    <row r="1714" spans="1:12" x14ac:dyDescent="0.25">
      <c r="A1714" s="3" t="s">
        <v>4890</v>
      </c>
      <c r="B1714" s="3" t="s">
        <v>4972</v>
      </c>
      <c r="C1714" s="3" t="s">
        <v>924</v>
      </c>
      <c r="D1714" s="9">
        <v>130.1</v>
      </c>
      <c r="E1714" s="3"/>
      <c r="F1714" s="3"/>
      <c r="G1714" s="9"/>
      <c r="H1714" s="10">
        <v>45665.345416666663</v>
      </c>
      <c r="I1714" s="10">
        <v>45665.346284722233</v>
      </c>
      <c r="J1714" s="10">
        <v>45665.36886574074</v>
      </c>
      <c r="K1714" s="11">
        <v>2.2581018518518521E-2</v>
      </c>
      <c r="L1714" s="13"/>
    </row>
    <row r="1715" spans="1:12" x14ac:dyDescent="0.25">
      <c r="A1715" s="3" t="s">
        <v>4890</v>
      </c>
      <c r="B1715" s="3" t="s">
        <v>4973</v>
      </c>
      <c r="C1715" s="3" t="s">
        <v>1023</v>
      </c>
      <c r="D1715" s="9">
        <v>108</v>
      </c>
      <c r="E1715" s="3"/>
      <c r="F1715" s="3"/>
      <c r="G1715" s="9"/>
      <c r="H1715" s="10">
        <v>45665.347731481481</v>
      </c>
      <c r="I1715" s="10">
        <v>45665.348599537043</v>
      </c>
      <c r="J1715" s="10">
        <v>45665.367349537039</v>
      </c>
      <c r="K1715" s="11">
        <v>1.8749999999999999E-2</v>
      </c>
      <c r="L1715" s="13"/>
    </row>
    <row r="1716" spans="1:12" x14ac:dyDescent="0.25">
      <c r="A1716" s="3" t="s">
        <v>4890</v>
      </c>
      <c r="B1716" s="3" t="s">
        <v>4974</v>
      </c>
      <c r="C1716" s="3" t="s">
        <v>1002</v>
      </c>
      <c r="D1716" s="9">
        <v>124.4</v>
      </c>
      <c r="E1716" s="3"/>
      <c r="F1716" s="3"/>
      <c r="G1716" s="9"/>
      <c r="H1716" s="10">
        <v>45665.355787037042</v>
      </c>
      <c r="I1716" s="10">
        <v>45665.365798611107</v>
      </c>
      <c r="J1716" s="10">
        <v>45665.387407407397</v>
      </c>
      <c r="K1716" s="11">
        <v>2.16087962962963E-2</v>
      </c>
      <c r="L1716" s="13"/>
    </row>
    <row r="1717" spans="1:12" x14ac:dyDescent="0.25">
      <c r="A1717" s="3" t="s">
        <v>4890</v>
      </c>
      <c r="B1717" s="3" t="s">
        <v>4975</v>
      </c>
      <c r="C1717" s="3" t="s">
        <v>1015</v>
      </c>
      <c r="D1717" s="9">
        <v>401.8</v>
      </c>
      <c r="E1717" s="3"/>
      <c r="F1717" s="3"/>
      <c r="G1717" s="9"/>
      <c r="H1717" s="10">
        <v>45665.364120370366</v>
      </c>
      <c r="I1717" s="10">
        <v>45665.369085648148</v>
      </c>
      <c r="J1717" s="10">
        <v>45665.438842592594</v>
      </c>
      <c r="K1717" s="11">
        <v>6.9756944444444441E-2</v>
      </c>
      <c r="L1717" s="13"/>
    </row>
    <row r="1718" spans="1:12" x14ac:dyDescent="0.25">
      <c r="A1718" s="3" t="s">
        <v>4890</v>
      </c>
      <c r="B1718" s="3" t="s">
        <v>4976</v>
      </c>
      <c r="C1718" s="3" t="s">
        <v>1028</v>
      </c>
      <c r="D1718" s="9">
        <v>114.8</v>
      </c>
      <c r="E1718" s="3"/>
      <c r="F1718" s="3"/>
      <c r="G1718" s="9"/>
      <c r="H1718" s="10">
        <v>45665.38690972222</v>
      </c>
      <c r="I1718" s="10">
        <v>45665.389108796298</v>
      </c>
      <c r="J1718" s="10">
        <v>45665.409039351849</v>
      </c>
      <c r="K1718" s="11">
        <v>1.9930555555555559E-2</v>
      </c>
      <c r="L1718" s="13"/>
    </row>
    <row r="1719" spans="1:12" x14ac:dyDescent="0.25">
      <c r="A1719" s="3" t="s">
        <v>4890</v>
      </c>
      <c r="B1719" s="3" t="s">
        <v>4977</v>
      </c>
      <c r="C1719" s="3" t="s">
        <v>1048</v>
      </c>
      <c r="D1719" s="9">
        <v>120.4</v>
      </c>
      <c r="E1719" s="3"/>
      <c r="F1719" s="3"/>
      <c r="G1719" s="9"/>
      <c r="H1719" s="10">
        <v>45665.388888888891</v>
      </c>
      <c r="I1719" s="10">
        <v>45665.390520833331</v>
      </c>
      <c r="J1719" s="10">
        <v>45665.411423611113</v>
      </c>
      <c r="K1719" s="11">
        <v>2.0902777777777781E-2</v>
      </c>
      <c r="L1719" s="13"/>
    </row>
    <row r="1720" spans="1:12" x14ac:dyDescent="0.25">
      <c r="A1720" s="3" t="s">
        <v>4890</v>
      </c>
      <c r="B1720" s="3" t="s">
        <v>4978</v>
      </c>
      <c r="C1720" s="3" t="s">
        <v>1051</v>
      </c>
      <c r="D1720" s="9">
        <v>124.9</v>
      </c>
      <c r="E1720" s="3"/>
      <c r="F1720" s="3"/>
      <c r="G1720" s="9"/>
      <c r="H1720" s="10">
        <v>45665.441655092603</v>
      </c>
      <c r="I1720" s="10">
        <v>45665.442523148151</v>
      </c>
      <c r="J1720" s="10">
        <v>45665.464201388888</v>
      </c>
      <c r="K1720" s="11">
        <v>2.1678240740740741E-2</v>
      </c>
      <c r="L1720" s="13"/>
    </row>
    <row r="1721" spans="1:12" x14ac:dyDescent="0.25">
      <c r="A1721" s="3" t="s">
        <v>4890</v>
      </c>
      <c r="B1721" s="3" t="s">
        <v>4979</v>
      </c>
      <c r="C1721" s="3" t="s">
        <v>1057</v>
      </c>
      <c r="D1721" s="9">
        <v>297.3</v>
      </c>
      <c r="E1721" s="3"/>
      <c r="F1721" s="3"/>
      <c r="G1721" s="9"/>
      <c r="H1721" s="10">
        <v>45665.445509259262</v>
      </c>
      <c r="I1721" s="10">
        <v>45665.446296296293</v>
      </c>
      <c r="J1721" s="10">
        <v>45665.49790509259</v>
      </c>
      <c r="K1721" s="11">
        <v>5.1608796296296298E-2</v>
      </c>
      <c r="L1721" s="13"/>
    </row>
    <row r="1722" spans="1:12" x14ac:dyDescent="0.25">
      <c r="A1722" s="3" t="s">
        <v>4890</v>
      </c>
      <c r="B1722" s="3" t="s">
        <v>4980</v>
      </c>
      <c r="C1722" s="3" t="s">
        <v>1060</v>
      </c>
      <c r="D1722" s="9">
        <v>296.8</v>
      </c>
      <c r="E1722" s="3"/>
      <c r="F1722" s="3"/>
      <c r="G1722" s="9"/>
      <c r="H1722" s="10">
        <v>45665.544675925928</v>
      </c>
      <c r="I1722" s="10">
        <v>45665.545543981483</v>
      </c>
      <c r="J1722" s="10">
        <v>45665.597071759257</v>
      </c>
      <c r="K1722" s="11">
        <v>5.1527777777777783E-2</v>
      </c>
      <c r="L1722" s="13"/>
    </row>
    <row r="1723" spans="1:12" x14ac:dyDescent="0.25">
      <c r="A1723" s="3" t="s">
        <v>4890</v>
      </c>
      <c r="B1723" s="3" t="s">
        <v>4981</v>
      </c>
      <c r="C1723" s="3" t="s">
        <v>1063</v>
      </c>
      <c r="D1723" s="9">
        <v>365.8</v>
      </c>
      <c r="E1723" s="3"/>
      <c r="F1723" s="3"/>
      <c r="G1723" s="9"/>
      <c r="H1723" s="10">
        <v>45665.615034722221</v>
      </c>
      <c r="I1723" s="10">
        <v>45665.61582175926</v>
      </c>
      <c r="J1723" s="10">
        <v>45665.679340277777</v>
      </c>
      <c r="K1723" s="11">
        <v>6.3518518518518516E-2</v>
      </c>
      <c r="L1723" s="13"/>
    </row>
    <row r="1724" spans="1:12" x14ac:dyDescent="0.25">
      <c r="A1724" s="3" t="s">
        <v>4890</v>
      </c>
      <c r="B1724" s="3" t="s">
        <v>4982</v>
      </c>
      <c r="C1724" s="3" t="s">
        <v>757</v>
      </c>
      <c r="D1724" s="9">
        <v>139.30000000000001</v>
      </c>
      <c r="E1724" s="3"/>
      <c r="F1724" s="3"/>
      <c r="G1724" s="9"/>
      <c r="H1724" s="10">
        <v>45665.646631944437</v>
      </c>
      <c r="I1724" s="10">
        <v>45665.648368055547</v>
      </c>
      <c r="J1724" s="10">
        <v>45665.672546296293</v>
      </c>
      <c r="K1724" s="11">
        <v>2.417824074074074E-2</v>
      </c>
      <c r="L1724" s="13"/>
    </row>
    <row r="1725" spans="1:12" x14ac:dyDescent="0.25">
      <c r="A1725" s="3" t="s">
        <v>4890</v>
      </c>
      <c r="B1725" s="3" t="s">
        <v>4983</v>
      </c>
      <c r="C1725" s="3" t="s">
        <v>1092</v>
      </c>
      <c r="D1725" s="9">
        <v>362</v>
      </c>
      <c r="E1725" s="3"/>
      <c r="F1725" s="3"/>
      <c r="G1725" s="9"/>
      <c r="H1725" s="10">
        <v>45665.66715277778</v>
      </c>
      <c r="I1725" s="10">
        <v>45665.668854166674</v>
      </c>
      <c r="J1725" s="10">
        <v>45665.73170138889</v>
      </c>
      <c r="K1725" s="11">
        <v>6.2847222222222221E-2</v>
      </c>
      <c r="L1725" s="13"/>
    </row>
    <row r="1726" spans="1:12" x14ac:dyDescent="0.25">
      <c r="A1726" s="3" t="s">
        <v>4890</v>
      </c>
      <c r="B1726" s="3" t="s">
        <v>4984</v>
      </c>
      <c r="C1726" s="3" t="s">
        <v>1078</v>
      </c>
      <c r="D1726" s="9">
        <v>209.2</v>
      </c>
      <c r="E1726" s="3"/>
      <c r="F1726" s="3"/>
      <c r="G1726" s="9"/>
      <c r="H1726" s="10">
        <v>45665.734178240738</v>
      </c>
      <c r="I1726" s="10">
        <v>45665.735011574077</v>
      </c>
      <c r="J1726" s="10">
        <v>45665.771319444437</v>
      </c>
      <c r="K1726" s="11">
        <v>3.6307870370370372E-2</v>
      </c>
      <c r="L1726" s="13"/>
    </row>
    <row r="1727" spans="1:12" x14ac:dyDescent="0.25">
      <c r="A1727" s="3" t="s">
        <v>4890</v>
      </c>
      <c r="B1727" s="3" t="s">
        <v>4985</v>
      </c>
      <c r="C1727" s="3" t="s">
        <v>1097</v>
      </c>
      <c r="D1727" s="9">
        <v>115.2</v>
      </c>
      <c r="E1727" s="3"/>
      <c r="F1727" s="3"/>
      <c r="G1727" s="9"/>
      <c r="H1727" s="10">
        <v>45665.856273148151</v>
      </c>
      <c r="I1727" s="10">
        <v>45665.857141203713</v>
      </c>
      <c r="J1727" s="10">
        <v>45665.877141203702</v>
      </c>
      <c r="K1727" s="11">
        <v>0.02</v>
      </c>
      <c r="L1727" s="13"/>
    </row>
    <row r="1728" spans="1:12" x14ac:dyDescent="0.25">
      <c r="A1728" s="3" t="s">
        <v>4890</v>
      </c>
      <c r="B1728" s="3" t="s">
        <v>4986</v>
      </c>
      <c r="C1728" s="3" t="s">
        <v>1070</v>
      </c>
      <c r="D1728" s="9">
        <v>110</v>
      </c>
      <c r="E1728" s="3"/>
      <c r="F1728" s="3"/>
      <c r="G1728" s="9"/>
      <c r="H1728" s="10">
        <v>45666.129837962973</v>
      </c>
      <c r="I1728" s="10">
        <v>45666.130624999998</v>
      </c>
      <c r="J1728" s="10">
        <v>45666.149733796286</v>
      </c>
      <c r="K1728" s="11">
        <v>1.9108796296296301E-2</v>
      </c>
      <c r="L1728" s="13"/>
    </row>
    <row r="1729" spans="1:12" x14ac:dyDescent="0.25">
      <c r="A1729" s="3" t="s">
        <v>4890</v>
      </c>
      <c r="B1729" s="3" t="s">
        <v>4987</v>
      </c>
      <c r="C1729" s="3" t="s">
        <v>1009</v>
      </c>
      <c r="D1729" s="9">
        <v>197</v>
      </c>
      <c r="E1729" s="3"/>
      <c r="F1729" s="3"/>
      <c r="G1729" s="9"/>
      <c r="H1729" s="10">
        <v>45666.13380787037</v>
      </c>
      <c r="I1729" s="10">
        <v>45666.134675925918</v>
      </c>
      <c r="J1729" s="10">
        <v>45666.168877314813</v>
      </c>
      <c r="K1729" s="11">
        <v>3.4201388888888892E-2</v>
      </c>
      <c r="L1729" s="13"/>
    </row>
    <row r="1730" spans="1:12" x14ac:dyDescent="0.25">
      <c r="A1730" s="3" t="s">
        <v>4890</v>
      </c>
      <c r="B1730" s="3" t="s">
        <v>4988</v>
      </c>
      <c r="C1730" s="3" t="s">
        <v>1108</v>
      </c>
      <c r="D1730" s="9">
        <v>141.69999999999999</v>
      </c>
      <c r="E1730" s="3"/>
      <c r="F1730" s="3"/>
      <c r="G1730" s="9"/>
      <c r="H1730" s="10">
        <v>45666.276620370372</v>
      </c>
      <c r="I1730" s="10">
        <v>45666.277465277781</v>
      </c>
      <c r="J1730" s="10">
        <v>45666.302060185182</v>
      </c>
      <c r="K1730" s="11">
        <v>2.4594907407407409E-2</v>
      </c>
      <c r="L1730" s="13"/>
    </row>
    <row r="1731" spans="1:12" x14ac:dyDescent="0.25">
      <c r="A1731" s="3" t="s">
        <v>4890</v>
      </c>
      <c r="B1731" s="3" t="s">
        <v>4989</v>
      </c>
      <c r="C1731" s="3" t="s">
        <v>1073</v>
      </c>
      <c r="D1731" s="9">
        <v>175.8</v>
      </c>
      <c r="E1731" s="3"/>
      <c r="F1731" s="3"/>
      <c r="G1731" s="9"/>
      <c r="H1731" s="10">
        <v>45666.279189814813</v>
      </c>
      <c r="I1731" s="10">
        <v>45666.280682870369</v>
      </c>
      <c r="J1731" s="10">
        <v>45666.311203703714</v>
      </c>
      <c r="K1731" s="11">
        <v>3.052083333333333E-2</v>
      </c>
      <c r="L1731" s="13"/>
    </row>
    <row r="1732" spans="1:12" x14ac:dyDescent="0.25">
      <c r="A1732" s="3" t="s">
        <v>4890</v>
      </c>
      <c r="B1732" s="3" t="s">
        <v>4990</v>
      </c>
      <c r="C1732" s="3" t="s">
        <v>1149</v>
      </c>
      <c r="D1732" s="9">
        <v>185.9</v>
      </c>
      <c r="E1732" s="3"/>
      <c r="F1732" s="3"/>
      <c r="G1732" s="9"/>
      <c r="H1732" s="10">
        <v>45666.291712962957</v>
      </c>
      <c r="I1732" s="10">
        <v>45666.293773148151</v>
      </c>
      <c r="J1732" s="10">
        <v>45666.326041666667</v>
      </c>
      <c r="K1732" s="11">
        <v>3.2268518518518523E-2</v>
      </c>
      <c r="L1732" s="13"/>
    </row>
    <row r="1733" spans="1:12" x14ac:dyDescent="0.25">
      <c r="A1733" s="3" t="s">
        <v>4890</v>
      </c>
      <c r="B1733" s="3" t="s">
        <v>4991</v>
      </c>
      <c r="C1733" s="3" t="s">
        <v>596</v>
      </c>
      <c r="D1733" s="9">
        <v>409</v>
      </c>
      <c r="E1733" s="3"/>
      <c r="F1733" s="3"/>
      <c r="G1733" s="9"/>
      <c r="H1733" s="10">
        <v>45666.323449074072</v>
      </c>
      <c r="I1733" s="10">
        <v>45666.32508101852</v>
      </c>
      <c r="J1733" s="10">
        <v>45666.39607638889</v>
      </c>
      <c r="K1733" s="11">
        <v>7.0995370370370375E-2</v>
      </c>
      <c r="L1733" s="13"/>
    </row>
    <row r="1734" spans="1:12" x14ac:dyDescent="0.25">
      <c r="A1734" s="3" t="s">
        <v>4890</v>
      </c>
      <c r="B1734" s="3" t="s">
        <v>4992</v>
      </c>
      <c r="C1734" s="3" t="s">
        <v>1085</v>
      </c>
      <c r="D1734" s="9">
        <v>133.4</v>
      </c>
      <c r="E1734" s="3"/>
      <c r="F1734" s="3"/>
      <c r="G1734" s="9"/>
      <c r="H1734" s="10">
        <v>45666.327210648153</v>
      </c>
      <c r="I1734" s="10">
        <v>45666.331979166673</v>
      </c>
      <c r="J1734" s="10">
        <v>45666.355150462958</v>
      </c>
      <c r="K1734" s="11">
        <v>2.3171296296296301E-2</v>
      </c>
      <c r="L1734" s="13"/>
    </row>
    <row r="1735" spans="1:12" x14ac:dyDescent="0.25">
      <c r="A1735" s="3" t="s">
        <v>4890</v>
      </c>
      <c r="B1735" s="3" t="s">
        <v>4993</v>
      </c>
      <c r="C1735" s="3" t="s">
        <v>1012</v>
      </c>
      <c r="D1735" s="9">
        <v>119.4</v>
      </c>
      <c r="E1735" s="3"/>
      <c r="F1735" s="3"/>
      <c r="G1735" s="9"/>
      <c r="H1735" s="10">
        <v>45666.330567129633</v>
      </c>
      <c r="I1735" s="10">
        <v>45666.332303240742</v>
      </c>
      <c r="J1735" s="10">
        <v>45666.353032407409</v>
      </c>
      <c r="K1735" s="11">
        <v>2.072916666666667E-2</v>
      </c>
      <c r="L1735" s="13"/>
    </row>
    <row r="1736" spans="1:12" x14ac:dyDescent="0.25">
      <c r="A1736" s="3" t="s">
        <v>4890</v>
      </c>
      <c r="B1736" s="3" t="s">
        <v>4994</v>
      </c>
      <c r="C1736" s="3" t="s">
        <v>1170</v>
      </c>
      <c r="D1736" s="9">
        <v>381.6</v>
      </c>
      <c r="E1736" s="3"/>
      <c r="F1736" s="3"/>
      <c r="G1736" s="9"/>
      <c r="H1736" s="10">
        <v>45666.356296296297</v>
      </c>
      <c r="I1736" s="10">
        <v>45666.357141203713</v>
      </c>
      <c r="J1736" s="10">
        <v>45666.423379629632</v>
      </c>
      <c r="K1736" s="11">
        <v>6.6238425925925923E-2</v>
      </c>
      <c r="L1736" s="13"/>
    </row>
    <row r="1737" spans="1:12" x14ac:dyDescent="0.25">
      <c r="A1737" s="3" t="s">
        <v>4890</v>
      </c>
      <c r="B1737" s="3" t="s">
        <v>4995</v>
      </c>
      <c r="C1737" s="3" t="s">
        <v>1173</v>
      </c>
      <c r="D1737" s="9">
        <v>118.2</v>
      </c>
      <c r="E1737" s="3"/>
      <c r="F1737" s="3"/>
      <c r="G1737" s="9"/>
      <c r="H1737" s="10">
        <v>45666.379131944443</v>
      </c>
      <c r="I1737" s="10">
        <v>45666.384837962964</v>
      </c>
      <c r="J1737" s="10">
        <v>45666.405358796299</v>
      </c>
      <c r="K1737" s="11">
        <v>2.0520833333333328E-2</v>
      </c>
      <c r="L1737" s="13"/>
    </row>
    <row r="1738" spans="1:12" x14ac:dyDescent="0.25">
      <c r="A1738" s="3" t="s">
        <v>4890</v>
      </c>
      <c r="B1738" s="3" t="s">
        <v>4996</v>
      </c>
      <c r="C1738" s="3" t="s">
        <v>1054</v>
      </c>
      <c r="D1738" s="9">
        <v>264.8</v>
      </c>
      <c r="E1738" s="3"/>
      <c r="F1738" s="3"/>
      <c r="G1738" s="9"/>
      <c r="H1738" s="10">
        <v>45666.383101851847</v>
      </c>
      <c r="I1738" s="10">
        <v>45666.39775462963</v>
      </c>
      <c r="J1738" s="10">
        <v>45666.443726851852</v>
      </c>
      <c r="K1738" s="11">
        <v>4.597222222222222E-2</v>
      </c>
      <c r="L1738" s="13"/>
    </row>
    <row r="1739" spans="1:12" x14ac:dyDescent="0.25">
      <c r="A1739" s="3" t="s">
        <v>4890</v>
      </c>
      <c r="B1739" s="3" t="s">
        <v>4997</v>
      </c>
      <c r="C1739" s="3" t="s">
        <v>1181</v>
      </c>
      <c r="D1739" s="9">
        <v>414.7</v>
      </c>
      <c r="E1739" s="3"/>
      <c r="F1739" s="3"/>
      <c r="G1739" s="9"/>
      <c r="H1739" s="10">
        <v>45666.46947916667</v>
      </c>
      <c r="I1739" s="10">
        <v>45666.470324074071</v>
      </c>
      <c r="J1739" s="10">
        <v>45666.542314814818</v>
      </c>
      <c r="K1739" s="11">
        <v>7.1990740740740744E-2</v>
      </c>
      <c r="L1739" s="13"/>
    </row>
    <row r="1740" spans="1:12" x14ac:dyDescent="0.25">
      <c r="A1740" s="3" t="s">
        <v>4890</v>
      </c>
      <c r="B1740" s="3" t="s">
        <v>4998</v>
      </c>
      <c r="C1740" s="3" t="s">
        <v>1184</v>
      </c>
      <c r="D1740" s="9">
        <v>241.4</v>
      </c>
      <c r="E1740" s="3"/>
      <c r="F1740" s="3"/>
      <c r="G1740" s="9"/>
      <c r="H1740" s="10">
        <v>45666.618923611109</v>
      </c>
      <c r="I1740" s="10">
        <v>45666.619791666657</v>
      </c>
      <c r="J1740" s="10">
        <v>45666.66170138889</v>
      </c>
      <c r="K1740" s="11">
        <v>4.1909722222222223E-2</v>
      </c>
      <c r="L1740" s="13"/>
    </row>
    <row r="1741" spans="1:12" x14ac:dyDescent="0.25">
      <c r="A1741" s="3" t="s">
        <v>4890</v>
      </c>
      <c r="B1741" s="3" t="s">
        <v>4999</v>
      </c>
      <c r="C1741" s="3" t="s">
        <v>1144</v>
      </c>
      <c r="D1741" s="9">
        <v>117</v>
      </c>
      <c r="E1741" s="3"/>
      <c r="F1741" s="3"/>
      <c r="G1741" s="9"/>
      <c r="H1741" s="10">
        <v>45666.644768518519</v>
      </c>
      <c r="I1741" s="10">
        <v>45666.645613425928</v>
      </c>
      <c r="J1741" s="10">
        <v>45666.665925925918</v>
      </c>
      <c r="K1741" s="11">
        <v>2.0312500000000001E-2</v>
      </c>
      <c r="L1741" s="13"/>
    </row>
    <row r="1742" spans="1:12" x14ac:dyDescent="0.25">
      <c r="A1742" s="3" t="s">
        <v>4890</v>
      </c>
      <c r="B1742" s="3" t="s">
        <v>5000</v>
      </c>
      <c r="C1742" s="3" t="s">
        <v>1165</v>
      </c>
      <c r="D1742" s="9">
        <v>131.9</v>
      </c>
      <c r="E1742" s="3"/>
      <c r="F1742" s="3"/>
      <c r="G1742" s="9"/>
      <c r="H1742" s="10">
        <v>45666.647696759261</v>
      </c>
      <c r="I1742" s="10">
        <v>45666.653657407413</v>
      </c>
      <c r="J1742" s="10">
        <v>45666.676562499997</v>
      </c>
      <c r="K1742" s="11">
        <v>2.2905092592592591E-2</v>
      </c>
      <c r="L1742" s="13"/>
    </row>
    <row r="1743" spans="1:12" x14ac:dyDescent="0.25">
      <c r="A1743" s="3" t="s">
        <v>4890</v>
      </c>
      <c r="B1743" s="3" t="s">
        <v>5001</v>
      </c>
      <c r="C1743" s="3" t="s">
        <v>1152</v>
      </c>
      <c r="D1743" s="9">
        <v>173.1</v>
      </c>
      <c r="E1743" s="3"/>
      <c r="F1743" s="3"/>
      <c r="G1743" s="9"/>
      <c r="H1743" s="10">
        <v>45666.65053240741</v>
      </c>
      <c r="I1743" s="10">
        <v>45666.666608796288</v>
      </c>
      <c r="J1743" s="10">
        <v>45666.696666666663</v>
      </c>
      <c r="K1743" s="11">
        <v>3.005787037037037E-2</v>
      </c>
      <c r="L1743" s="13"/>
    </row>
    <row r="1744" spans="1:12" x14ac:dyDescent="0.25">
      <c r="A1744" s="3" t="s">
        <v>4890</v>
      </c>
      <c r="B1744" s="3" t="s">
        <v>5002</v>
      </c>
      <c r="C1744" s="3" t="s">
        <v>1198</v>
      </c>
      <c r="D1744" s="9">
        <v>314.8</v>
      </c>
      <c r="E1744" s="3"/>
      <c r="F1744" s="3"/>
      <c r="G1744" s="9"/>
      <c r="H1744" s="10">
        <v>45666.664907407408</v>
      </c>
      <c r="I1744" s="10">
        <v>45666.667615740742</v>
      </c>
      <c r="J1744" s="10">
        <v>45666.722268518519</v>
      </c>
      <c r="K1744" s="11">
        <v>5.4652777777777779E-2</v>
      </c>
      <c r="L1744" s="13"/>
    </row>
    <row r="1745" spans="1:12" x14ac:dyDescent="0.25">
      <c r="A1745" s="3" t="s">
        <v>4890</v>
      </c>
      <c r="B1745" s="3" t="s">
        <v>5003</v>
      </c>
      <c r="C1745" s="3" t="s">
        <v>1207</v>
      </c>
      <c r="D1745" s="9">
        <v>116.9</v>
      </c>
      <c r="E1745" s="3"/>
      <c r="F1745" s="3"/>
      <c r="G1745" s="9"/>
      <c r="H1745" s="10">
        <v>45666.764826388891</v>
      </c>
      <c r="I1745" s="10">
        <v>45666.7656712963</v>
      </c>
      <c r="J1745" s="10">
        <v>45666.78597222222</v>
      </c>
      <c r="K1745" s="11">
        <v>2.0300925925925931E-2</v>
      </c>
      <c r="L1745" s="13"/>
    </row>
    <row r="1746" spans="1:12" x14ac:dyDescent="0.25">
      <c r="A1746" s="3" t="s">
        <v>4890</v>
      </c>
      <c r="B1746" s="3" t="s">
        <v>5004</v>
      </c>
      <c r="C1746" s="3" t="s">
        <v>1189</v>
      </c>
      <c r="D1746" s="9">
        <v>154.1</v>
      </c>
      <c r="E1746" s="3"/>
      <c r="F1746" s="3"/>
      <c r="G1746" s="9"/>
      <c r="H1746" s="10">
        <v>45666.768067129633</v>
      </c>
      <c r="I1746" s="10">
        <v>45666.769699074073</v>
      </c>
      <c r="J1746" s="10">
        <v>45666.796458333331</v>
      </c>
      <c r="K1746" s="11">
        <v>2.675925925925926E-2</v>
      </c>
      <c r="L1746" s="13"/>
    </row>
    <row r="1747" spans="1:12" x14ac:dyDescent="0.25">
      <c r="A1747" s="3" t="s">
        <v>4890</v>
      </c>
      <c r="B1747" s="3" t="s">
        <v>5005</v>
      </c>
      <c r="C1747" s="3" t="s">
        <v>1131</v>
      </c>
      <c r="D1747" s="9">
        <v>107.7</v>
      </c>
      <c r="E1747" s="3"/>
      <c r="F1747" s="3"/>
      <c r="G1747" s="9"/>
      <c r="H1747" s="10">
        <v>45666.769699074073</v>
      </c>
      <c r="I1747" s="10">
        <v>45666.790810185194</v>
      </c>
      <c r="J1747" s="10">
        <v>45666.809513888889</v>
      </c>
      <c r="K1747" s="11">
        <v>1.8703703703703708E-2</v>
      </c>
      <c r="L1747" s="13"/>
    </row>
    <row r="1748" spans="1:12" x14ac:dyDescent="0.25">
      <c r="A1748" s="3" t="s">
        <v>4890</v>
      </c>
      <c r="B1748" s="3" t="s">
        <v>5006</v>
      </c>
      <c r="C1748" s="3" t="s">
        <v>655</v>
      </c>
      <c r="D1748" s="9">
        <v>110.2</v>
      </c>
      <c r="E1748" s="3"/>
      <c r="F1748" s="3"/>
      <c r="G1748" s="9"/>
      <c r="H1748" s="10">
        <v>45666.779282407413</v>
      </c>
      <c r="I1748" s="10">
        <v>45666.797094907408</v>
      </c>
      <c r="J1748" s="10">
        <v>45666.81622685185</v>
      </c>
      <c r="K1748" s="11">
        <v>1.9131944444444441E-2</v>
      </c>
      <c r="L1748" s="13"/>
    </row>
    <row r="1749" spans="1:12" x14ac:dyDescent="0.25">
      <c r="A1749" s="3" t="s">
        <v>4890</v>
      </c>
      <c r="B1749" s="3" t="s">
        <v>5007</v>
      </c>
      <c r="C1749" s="3" t="s">
        <v>1034</v>
      </c>
      <c r="D1749" s="9">
        <v>101.9</v>
      </c>
      <c r="E1749" s="3"/>
      <c r="F1749" s="3"/>
      <c r="G1749" s="9"/>
      <c r="H1749" s="10">
        <v>45666.784074074072</v>
      </c>
      <c r="I1749" s="10">
        <v>45666.798148148147</v>
      </c>
      <c r="J1749" s="10">
        <v>45666.815844907411</v>
      </c>
      <c r="K1749" s="11">
        <v>1.7696759259259259E-2</v>
      </c>
      <c r="L1749" s="13"/>
    </row>
    <row r="1750" spans="1:12" x14ac:dyDescent="0.25">
      <c r="A1750" s="3" t="s">
        <v>4890</v>
      </c>
      <c r="B1750" s="3" t="s">
        <v>5008</v>
      </c>
      <c r="C1750" s="3" t="s">
        <v>1214</v>
      </c>
      <c r="D1750" s="9">
        <v>120.7</v>
      </c>
      <c r="E1750" s="3"/>
      <c r="F1750" s="3"/>
      <c r="G1750" s="9"/>
      <c r="H1750" s="10">
        <v>45666.790694444448</v>
      </c>
      <c r="I1750" s="10">
        <v>45666.811249999999</v>
      </c>
      <c r="J1750" s="10">
        <v>45666.832199074073</v>
      </c>
      <c r="K1750" s="11">
        <v>2.0949074074074071E-2</v>
      </c>
      <c r="L1750" s="13"/>
    </row>
    <row r="1751" spans="1:12" x14ac:dyDescent="0.25">
      <c r="A1751" s="3" t="s">
        <v>4890</v>
      </c>
      <c r="B1751" s="3" t="s">
        <v>5009</v>
      </c>
      <c r="C1751" s="3" t="s">
        <v>1217</v>
      </c>
      <c r="D1751" s="9">
        <v>137.30000000000001</v>
      </c>
      <c r="E1751" s="3"/>
      <c r="F1751" s="3"/>
      <c r="G1751" s="9"/>
      <c r="H1751" s="10">
        <v>45666.795428240737</v>
      </c>
      <c r="I1751" s="10">
        <v>45666.817546296297</v>
      </c>
      <c r="J1751" s="10">
        <v>45666.84138888889</v>
      </c>
      <c r="K1751" s="11">
        <v>2.3842592592592589E-2</v>
      </c>
      <c r="L1751" s="13"/>
    </row>
    <row r="1752" spans="1:12" x14ac:dyDescent="0.25">
      <c r="A1752" s="3" t="s">
        <v>4890</v>
      </c>
      <c r="B1752" s="3" t="s">
        <v>5010</v>
      </c>
      <c r="C1752" s="3" t="s">
        <v>1134</v>
      </c>
      <c r="D1752" s="9">
        <v>122.7</v>
      </c>
      <c r="E1752" s="3"/>
      <c r="F1752" s="3"/>
      <c r="G1752" s="9"/>
      <c r="H1752" s="10">
        <v>45666.863680555558</v>
      </c>
      <c r="I1752" s="10">
        <v>45666.864548611113</v>
      </c>
      <c r="J1752" s="10">
        <v>45666.885844907411</v>
      </c>
      <c r="K1752" s="11">
        <v>2.1296296296296299E-2</v>
      </c>
      <c r="L1752" s="13"/>
    </row>
    <row r="1753" spans="1:12" x14ac:dyDescent="0.25">
      <c r="A1753" s="3" t="s">
        <v>4890</v>
      </c>
      <c r="B1753" s="3" t="s">
        <v>5011</v>
      </c>
      <c r="C1753" s="3" t="s">
        <v>1230</v>
      </c>
      <c r="D1753" s="9">
        <v>126</v>
      </c>
      <c r="E1753" s="3"/>
      <c r="F1753" s="3"/>
      <c r="G1753" s="9"/>
      <c r="H1753" s="10">
        <v>45666.867650462962</v>
      </c>
      <c r="I1753" s="10">
        <v>45666.868483796286</v>
      </c>
      <c r="J1753" s="10">
        <v>45666.8903587963</v>
      </c>
      <c r="K1753" s="11">
        <v>2.1874999999999999E-2</v>
      </c>
      <c r="L1753" s="13"/>
    </row>
    <row r="1754" spans="1:12" x14ac:dyDescent="0.25">
      <c r="A1754" s="3" t="s">
        <v>4890</v>
      </c>
      <c r="B1754" s="3" t="s">
        <v>5012</v>
      </c>
      <c r="C1754" s="3" t="s">
        <v>1225</v>
      </c>
      <c r="D1754" s="9">
        <v>222.2</v>
      </c>
      <c r="E1754" s="3"/>
      <c r="F1754" s="3"/>
      <c r="G1754" s="9"/>
      <c r="H1754" s="10">
        <v>45667.133842592593</v>
      </c>
      <c r="I1754" s="10">
        <v>45667.134687500002</v>
      </c>
      <c r="J1754" s="10">
        <v>45667.173263888893</v>
      </c>
      <c r="K1754" s="11">
        <v>3.8576388888888889E-2</v>
      </c>
      <c r="L1754" s="13"/>
    </row>
    <row r="1755" spans="1:12" x14ac:dyDescent="0.25">
      <c r="A1755" s="3" t="s">
        <v>4890</v>
      </c>
      <c r="B1755" s="3" t="s">
        <v>5013</v>
      </c>
      <c r="C1755" s="3" t="s">
        <v>1020</v>
      </c>
      <c r="D1755" s="9">
        <v>130.19999999999999</v>
      </c>
      <c r="E1755" s="3"/>
      <c r="F1755" s="3"/>
      <c r="G1755" s="9"/>
      <c r="H1755" s="10">
        <v>45667.135671296302</v>
      </c>
      <c r="I1755" s="10">
        <v>45667.13653935185</v>
      </c>
      <c r="J1755" s="10">
        <v>45667.159131944441</v>
      </c>
      <c r="K1755" s="11">
        <v>2.2592592592592591E-2</v>
      </c>
      <c r="L1755" s="13"/>
    </row>
    <row r="1756" spans="1:12" x14ac:dyDescent="0.25">
      <c r="A1756" s="3" t="s">
        <v>4890</v>
      </c>
      <c r="B1756" s="3" t="s">
        <v>5014</v>
      </c>
      <c r="C1756" s="3" t="s">
        <v>1252</v>
      </c>
      <c r="D1756" s="9">
        <v>240.5</v>
      </c>
      <c r="E1756" s="3"/>
      <c r="F1756" s="3"/>
      <c r="G1756" s="9"/>
      <c r="H1756" s="10">
        <v>45667.201990740738</v>
      </c>
      <c r="I1756" s="10">
        <v>45667.2028587963</v>
      </c>
      <c r="J1756" s="10">
        <v>45667.244606481479</v>
      </c>
      <c r="K1756" s="11">
        <v>4.1747685185185193E-2</v>
      </c>
      <c r="L1756" s="13"/>
    </row>
    <row r="1757" spans="1:12" x14ac:dyDescent="0.25">
      <c r="A1757" s="3" t="s">
        <v>4890</v>
      </c>
      <c r="B1757" s="3" t="s">
        <v>5015</v>
      </c>
      <c r="C1757" s="3" t="s">
        <v>1222</v>
      </c>
      <c r="D1757" s="9">
        <v>345.2</v>
      </c>
      <c r="E1757" s="3"/>
      <c r="F1757" s="3"/>
      <c r="G1757" s="9"/>
      <c r="H1757" s="10">
        <v>45667.254652777781</v>
      </c>
      <c r="I1757" s="10">
        <v>45667.255497685182</v>
      </c>
      <c r="J1757" s="10">
        <v>45667.315428240741</v>
      </c>
      <c r="K1757" s="11">
        <v>5.9930555555555563E-2</v>
      </c>
      <c r="L1757" s="13"/>
    </row>
    <row r="1758" spans="1:12" x14ac:dyDescent="0.25">
      <c r="A1758" s="3" t="s">
        <v>4890</v>
      </c>
      <c r="B1758" s="3" t="s">
        <v>5016</v>
      </c>
      <c r="C1758" s="3" t="s">
        <v>1241</v>
      </c>
      <c r="D1758" s="9">
        <v>152.9</v>
      </c>
      <c r="E1758" s="3"/>
      <c r="F1758" s="3"/>
      <c r="G1758" s="9"/>
      <c r="H1758" s="10">
        <v>45667.303541666668</v>
      </c>
      <c r="I1758" s="10">
        <v>45667.305277777778</v>
      </c>
      <c r="J1758" s="10">
        <v>45667.331817129627</v>
      </c>
      <c r="K1758" s="11">
        <v>2.6539351851851849E-2</v>
      </c>
      <c r="L1758" s="13"/>
    </row>
    <row r="1759" spans="1:12" x14ac:dyDescent="0.25">
      <c r="A1759" s="3" t="s">
        <v>4890</v>
      </c>
      <c r="B1759" s="3" t="s">
        <v>5017</v>
      </c>
      <c r="C1759" s="3" t="s">
        <v>1257</v>
      </c>
      <c r="D1759" s="9">
        <v>186.7</v>
      </c>
      <c r="E1759" s="3"/>
      <c r="F1759" s="3"/>
      <c r="G1759" s="9"/>
      <c r="H1759" s="10">
        <v>45667.305520833332</v>
      </c>
      <c r="I1759" s="10">
        <v>45667.315300925933</v>
      </c>
      <c r="J1759" s="10">
        <v>45667.347696759258</v>
      </c>
      <c r="K1759" s="11">
        <v>3.2395833333333332E-2</v>
      </c>
      <c r="L1759" s="13"/>
    </row>
    <row r="1760" spans="1:12" x14ac:dyDescent="0.25">
      <c r="A1760" s="3" t="s">
        <v>4890</v>
      </c>
      <c r="B1760" s="3" t="s">
        <v>5018</v>
      </c>
      <c r="C1760" s="3" t="s">
        <v>1303</v>
      </c>
      <c r="D1760" s="9">
        <v>193.1</v>
      </c>
      <c r="E1760" s="3"/>
      <c r="F1760" s="3"/>
      <c r="G1760" s="9"/>
      <c r="H1760" s="10">
        <v>45667.322187500002</v>
      </c>
      <c r="I1760" s="10">
        <v>45667.323888888888</v>
      </c>
      <c r="J1760" s="10">
        <v>45667.357418981483</v>
      </c>
      <c r="K1760" s="11">
        <v>3.3530092592592591E-2</v>
      </c>
      <c r="L1760" s="13"/>
    </row>
    <row r="1761" spans="1:12" x14ac:dyDescent="0.25">
      <c r="A1761" s="3" t="s">
        <v>4890</v>
      </c>
      <c r="B1761" s="3" t="s">
        <v>5019</v>
      </c>
      <c r="C1761" s="3" t="s">
        <v>1306</v>
      </c>
      <c r="D1761" s="9">
        <v>380.8</v>
      </c>
      <c r="E1761" s="3"/>
      <c r="F1761" s="3"/>
      <c r="G1761" s="9"/>
      <c r="H1761" s="10">
        <v>45667.344108796293</v>
      </c>
      <c r="I1761" s="10">
        <v>45667.34584490741</v>
      </c>
      <c r="J1761" s="10">
        <v>45667.411956018521</v>
      </c>
      <c r="K1761" s="11">
        <v>6.6111111111111107E-2</v>
      </c>
      <c r="L1761" s="13"/>
    </row>
    <row r="1762" spans="1:12" x14ac:dyDescent="0.25">
      <c r="A1762" s="3" t="s">
        <v>4890</v>
      </c>
      <c r="B1762" s="3" t="s">
        <v>5020</v>
      </c>
      <c r="C1762" s="3" t="s">
        <v>1178</v>
      </c>
      <c r="D1762" s="9">
        <v>137.19999999999999</v>
      </c>
      <c r="E1762" s="3"/>
      <c r="F1762" s="3"/>
      <c r="G1762" s="9"/>
      <c r="H1762" s="10">
        <v>45667.390416666669</v>
      </c>
      <c r="I1762" s="10">
        <v>45667.391284722216</v>
      </c>
      <c r="J1762" s="10">
        <v>45667.41510416667</v>
      </c>
      <c r="K1762" s="11">
        <v>2.3819444444444449E-2</v>
      </c>
      <c r="L1762" s="13"/>
    </row>
    <row r="1763" spans="1:12" x14ac:dyDescent="0.25">
      <c r="A1763" s="3" t="s">
        <v>4890</v>
      </c>
      <c r="B1763" s="3" t="s">
        <v>5021</v>
      </c>
      <c r="C1763" s="3" t="s">
        <v>1338</v>
      </c>
      <c r="D1763" s="9">
        <v>168.8</v>
      </c>
      <c r="E1763" s="3"/>
      <c r="F1763" s="3"/>
      <c r="G1763" s="9"/>
      <c r="H1763" s="10">
        <v>45667.392326388886</v>
      </c>
      <c r="I1763" s="10">
        <v>45667.41369212963</v>
      </c>
      <c r="J1763" s="10">
        <v>45667.442997685182</v>
      </c>
      <c r="K1763" s="11">
        <v>2.930555555555556E-2</v>
      </c>
      <c r="L1763" s="13"/>
    </row>
    <row r="1764" spans="1:12" x14ac:dyDescent="0.25">
      <c r="A1764" s="3" t="s">
        <v>4890</v>
      </c>
      <c r="B1764" s="3" t="s">
        <v>5022</v>
      </c>
      <c r="C1764" s="3" t="s">
        <v>1311</v>
      </c>
      <c r="D1764" s="9">
        <v>141.69999999999999</v>
      </c>
      <c r="E1764" s="3"/>
      <c r="F1764" s="3"/>
      <c r="G1764" s="9"/>
      <c r="H1764" s="10">
        <v>45667.395543981482</v>
      </c>
      <c r="I1764" s="10">
        <v>45667.416666666657</v>
      </c>
      <c r="J1764" s="10">
        <v>45667.441261574073</v>
      </c>
      <c r="K1764" s="11">
        <v>2.4594907407407409E-2</v>
      </c>
      <c r="L1764" s="13"/>
    </row>
    <row r="1765" spans="1:12" x14ac:dyDescent="0.25">
      <c r="A1765" s="3" t="s">
        <v>4890</v>
      </c>
      <c r="B1765" s="3" t="s">
        <v>5023</v>
      </c>
      <c r="C1765" s="3" t="s">
        <v>1295</v>
      </c>
      <c r="D1765" s="9">
        <v>129.30000000000001</v>
      </c>
      <c r="E1765" s="3"/>
      <c r="F1765" s="3"/>
      <c r="G1765" s="9"/>
      <c r="H1765" s="10">
        <v>45667.405162037037</v>
      </c>
      <c r="I1765" s="10">
        <v>45667.417951388888</v>
      </c>
      <c r="J1765" s="10">
        <v>45667.440405092602</v>
      </c>
      <c r="K1765" s="11">
        <v>2.2453703703703701E-2</v>
      </c>
      <c r="L1765" s="13"/>
    </row>
    <row r="1766" spans="1:12" x14ac:dyDescent="0.25">
      <c r="A1766" s="3" t="s">
        <v>4890</v>
      </c>
      <c r="B1766" s="3" t="s">
        <v>5024</v>
      </c>
      <c r="C1766" s="3" t="s">
        <v>1281</v>
      </c>
      <c r="D1766" s="9">
        <v>114.8</v>
      </c>
      <c r="E1766" s="3"/>
      <c r="F1766" s="3"/>
      <c r="G1766" s="9"/>
      <c r="H1766" s="10">
        <v>45667.412488425929</v>
      </c>
      <c r="I1766" s="10">
        <v>45667.44290509259</v>
      </c>
      <c r="J1766" s="10">
        <v>45667.462835648148</v>
      </c>
      <c r="K1766" s="11">
        <v>1.9930555555555559E-2</v>
      </c>
      <c r="L1766" s="13"/>
    </row>
    <row r="1767" spans="1:12" x14ac:dyDescent="0.25">
      <c r="A1767" s="3" t="s">
        <v>4890</v>
      </c>
      <c r="B1767" s="3" t="s">
        <v>5025</v>
      </c>
      <c r="C1767" s="3" t="s">
        <v>1321</v>
      </c>
      <c r="D1767" s="9">
        <v>259.7</v>
      </c>
      <c r="E1767" s="3"/>
      <c r="F1767" s="3"/>
      <c r="G1767" s="9"/>
      <c r="H1767" s="10">
        <v>45667.443622685183</v>
      </c>
      <c r="I1767" s="10">
        <v>45667.444664351853</v>
      </c>
      <c r="J1767" s="10">
        <v>45667.489745370367</v>
      </c>
      <c r="K1767" s="11">
        <v>4.508101851851852E-2</v>
      </c>
      <c r="L1767" s="13"/>
    </row>
    <row r="1768" spans="1:12" x14ac:dyDescent="0.25">
      <c r="A1768" s="3" t="s">
        <v>4890</v>
      </c>
      <c r="B1768" s="3" t="s">
        <v>5026</v>
      </c>
      <c r="C1768" s="3" t="s">
        <v>1318</v>
      </c>
      <c r="D1768" s="9">
        <v>118.6</v>
      </c>
      <c r="E1768" s="3"/>
      <c r="F1768" s="3"/>
      <c r="G1768" s="9"/>
      <c r="H1768" s="10">
        <v>45667.601921296293</v>
      </c>
      <c r="I1768" s="10">
        <v>45667.602789351848</v>
      </c>
      <c r="J1768" s="10">
        <v>45667.623379629629</v>
      </c>
      <c r="K1768" s="11">
        <v>2.059027777777778E-2</v>
      </c>
      <c r="L1768" s="13"/>
    </row>
    <row r="1769" spans="1:12" x14ac:dyDescent="0.25">
      <c r="A1769" s="3" t="s">
        <v>4890</v>
      </c>
      <c r="B1769" s="3" t="s">
        <v>5027</v>
      </c>
      <c r="C1769" s="3" t="s">
        <v>1351</v>
      </c>
      <c r="D1769" s="9">
        <v>393.5</v>
      </c>
      <c r="E1769" s="3"/>
      <c r="F1769" s="3"/>
      <c r="G1769" s="9"/>
      <c r="H1769" s="10">
        <v>45667.631712962961</v>
      </c>
      <c r="I1769" s="10">
        <v>45667.6325462963</v>
      </c>
      <c r="J1769" s="10">
        <v>45667.700868055559</v>
      </c>
      <c r="K1769" s="11">
        <v>6.8321759259259263E-2</v>
      </c>
      <c r="L1769" s="13"/>
    </row>
    <row r="1770" spans="1:12" x14ac:dyDescent="0.25">
      <c r="A1770" s="3" t="s">
        <v>4890</v>
      </c>
      <c r="B1770" s="3" t="s">
        <v>5028</v>
      </c>
      <c r="C1770" s="3" t="s">
        <v>1354</v>
      </c>
      <c r="D1770" s="9">
        <v>302.10000000000002</v>
      </c>
      <c r="E1770" s="3"/>
      <c r="F1770" s="3"/>
      <c r="G1770" s="9"/>
      <c r="H1770" s="10">
        <v>45667.741041666668</v>
      </c>
      <c r="I1770" s="10">
        <v>45667.741909722223</v>
      </c>
      <c r="J1770" s="10">
        <v>45667.794363425928</v>
      </c>
      <c r="K1770" s="11">
        <v>5.2453703703703697E-2</v>
      </c>
      <c r="L1770" s="13"/>
    </row>
    <row r="1771" spans="1:12" x14ac:dyDescent="0.25">
      <c r="A1771" s="3" t="s">
        <v>4890</v>
      </c>
      <c r="B1771" s="3" t="s">
        <v>5029</v>
      </c>
      <c r="C1771" s="3" t="s">
        <v>1359</v>
      </c>
      <c r="D1771" s="9">
        <v>218.1</v>
      </c>
      <c r="E1771" s="3"/>
      <c r="F1771" s="3"/>
      <c r="G1771" s="9"/>
      <c r="H1771" s="10">
        <v>45667.764930555553</v>
      </c>
      <c r="I1771" s="10">
        <v>45667.766018518523</v>
      </c>
      <c r="J1771" s="10">
        <v>45667.803888888891</v>
      </c>
      <c r="K1771" s="11">
        <v>3.7870370370370367E-2</v>
      </c>
      <c r="L1771" s="13"/>
    </row>
    <row r="1772" spans="1:12" x14ac:dyDescent="0.25">
      <c r="A1772" s="3" t="s">
        <v>4890</v>
      </c>
      <c r="B1772" s="3" t="s">
        <v>5030</v>
      </c>
      <c r="C1772" s="3" t="s">
        <v>1362</v>
      </c>
      <c r="D1772" s="9">
        <v>110.2</v>
      </c>
      <c r="E1772" s="3"/>
      <c r="F1772" s="3"/>
      <c r="G1772" s="9"/>
      <c r="H1772" s="10">
        <v>45667.772245370368</v>
      </c>
      <c r="I1772" s="10">
        <v>45667.787939814807</v>
      </c>
      <c r="J1772" s="10">
        <v>45667.807071759264</v>
      </c>
      <c r="K1772" s="11">
        <v>1.9131944444444441E-2</v>
      </c>
      <c r="L1772" s="13"/>
    </row>
    <row r="1773" spans="1:12" x14ac:dyDescent="0.25">
      <c r="A1773" s="3" t="s">
        <v>4890</v>
      </c>
      <c r="B1773" s="3" t="s">
        <v>5031</v>
      </c>
      <c r="C1773" s="3" t="s">
        <v>1333</v>
      </c>
      <c r="D1773" s="9">
        <v>133.4</v>
      </c>
      <c r="E1773" s="3"/>
      <c r="F1773" s="3"/>
      <c r="G1773" s="9"/>
      <c r="H1773" s="10">
        <v>45667.777002314811</v>
      </c>
      <c r="I1773" s="10">
        <v>45667.796099537038</v>
      </c>
      <c r="J1773" s="10">
        <v>45667.81925925926</v>
      </c>
      <c r="K1773" s="11">
        <v>2.315972222222222E-2</v>
      </c>
      <c r="L1773" s="13"/>
    </row>
    <row r="1774" spans="1:12" x14ac:dyDescent="0.25">
      <c r="A1774" s="3" t="s">
        <v>4890</v>
      </c>
      <c r="B1774" s="3" t="s">
        <v>5032</v>
      </c>
      <c r="C1774" s="3" t="s">
        <v>1328</v>
      </c>
      <c r="D1774" s="9">
        <v>142.6</v>
      </c>
      <c r="E1774" s="3"/>
      <c r="F1774" s="3"/>
      <c r="G1774" s="9"/>
      <c r="H1774" s="10">
        <v>45667.78633101852</v>
      </c>
      <c r="I1774" s="10">
        <v>45667.805625000001</v>
      </c>
      <c r="J1774" s="10">
        <v>45667.830381944441</v>
      </c>
      <c r="K1774" s="11">
        <v>2.4756944444444449E-2</v>
      </c>
      <c r="L1774" s="13"/>
    </row>
    <row r="1775" spans="1:12" x14ac:dyDescent="0.25">
      <c r="A1775" s="3" t="s">
        <v>4890</v>
      </c>
      <c r="B1775" s="3" t="s">
        <v>5033</v>
      </c>
      <c r="C1775" s="3" t="s">
        <v>1381</v>
      </c>
      <c r="D1775" s="9">
        <v>112.5</v>
      </c>
      <c r="E1775" s="3"/>
      <c r="F1775" s="3"/>
      <c r="G1775" s="9"/>
      <c r="H1775" s="10">
        <v>45667.868784722217</v>
      </c>
      <c r="I1775" s="10">
        <v>45667.869652777779</v>
      </c>
      <c r="J1775" s="10">
        <v>45667.889178240737</v>
      </c>
      <c r="K1775" s="11">
        <v>1.952546296296296E-2</v>
      </c>
      <c r="L1775" s="13"/>
    </row>
    <row r="1776" spans="1:12" x14ac:dyDescent="0.25">
      <c r="A1776" s="3" t="s">
        <v>4890</v>
      </c>
      <c r="B1776" s="3" t="s">
        <v>5034</v>
      </c>
      <c r="C1776" s="3" t="s">
        <v>1298</v>
      </c>
      <c r="D1776" s="9">
        <v>114.4</v>
      </c>
      <c r="E1776" s="3"/>
      <c r="F1776" s="3"/>
      <c r="G1776" s="9"/>
      <c r="H1776" s="10">
        <v>45667.870625000003</v>
      </c>
      <c r="I1776" s="10">
        <v>45667.872361111113</v>
      </c>
      <c r="J1776" s="10">
        <v>45667.892222222217</v>
      </c>
      <c r="K1776" s="11">
        <v>1.9861111111111111E-2</v>
      </c>
      <c r="L1776" s="13"/>
    </row>
    <row r="1777" spans="1:12" x14ac:dyDescent="0.25">
      <c r="A1777" s="3" t="s">
        <v>4890</v>
      </c>
      <c r="B1777" s="3" t="s">
        <v>5035</v>
      </c>
      <c r="C1777" s="3" t="s">
        <v>1403</v>
      </c>
      <c r="D1777" s="9">
        <v>110.2</v>
      </c>
      <c r="E1777" s="3"/>
      <c r="F1777" s="3"/>
      <c r="G1777" s="9"/>
      <c r="H1777" s="10">
        <v>45668.22388888889</v>
      </c>
      <c r="I1777" s="10">
        <v>45668.224733796298</v>
      </c>
      <c r="J1777" s="10">
        <v>45668.243854166663</v>
      </c>
      <c r="K1777" s="11">
        <v>1.9120370370370371E-2</v>
      </c>
      <c r="L1777" s="13"/>
    </row>
    <row r="1778" spans="1:12" x14ac:dyDescent="0.25">
      <c r="A1778" s="3" t="s">
        <v>4890</v>
      </c>
      <c r="B1778" s="3" t="s">
        <v>5036</v>
      </c>
      <c r="C1778" s="3" t="s">
        <v>1410</v>
      </c>
      <c r="D1778" s="9">
        <v>302.89999999999998</v>
      </c>
      <c r="E1778" s="3"/>
      <c r="F1778" s="3"/>
      <c r="G1778" s="9"/>
      <c r="H1778" s="10">
        <v>45668.2262962963</v>
      </c>
      <c r="I1778" s="10">
        <v>45668.227164351847</v>
      </c>
      <c r="J1778" s="10">
        <v>45668.279745370368</v>
      </c>
      <c r="K1778" s="11">
        <v>5.258101851851852E-2</v>
      </c>
      <c r="L1778" s="13"/>
    </row>
    <row r="1779" spans="1:12" x14ac:dyDescent="0.25">
      <c r="A1779" s="3" t="s">
        <v>4890</v>
      </c>
      <c r="B1779" s="3" t="s">
        <v>5037</v>
      </c>
      <c r="C1779" s="3" t="s">
        <v>1415</v>
      </c>
      <c r="D1779" s="9">
        <v>110.2</v>
      </c>
      <c r="E1779" s="3"/>
      <c r="F1779" s="3"/>
      <c r="G1779" s="9"/>
      <c r="H1779" s="10">
        <v>45668.247407407413</v>
      </c>
      <c r="I1779" s="10">
        <v>45668.248819444438</v>
      </c>
      <c r="J1779" s="10">
        <v>45668.267951388887</v>
      </c>
      <c r="K1779" s="11">
        <v>1.9131944444444441E-2</v>
      </c>
      <c r="L1779" s="13"/>
    </row>
    <row r="1780" spans="1:12" x14ac:dyDescent="0.25">
      <c r="A1780" s="3" t="s">
        <v>4890</v>
      </c>
      <c r="B1780" s="3" t="s">
        <v>5038</v>
      </c>
      <c r="C1780" s="3" t="s">
        <v>1418</v>
      </c>
      <c r="D1780" s="9">
        <v>210.6</v>
      </c>
      <c r="E1780" s="3"/>
      <c r="F1780" s="3"/>
      <c r="G1780" s="9"/>
      <c r="H1780" s="10">
        <v>45668.249444444453</v>
      </c>
      <c r="I1780" s="10">
        <v>45668.254305555558</v>
      </c>
      <c r="J1780" s="10">
        <v>45668.290879629632</v>
      </c>
      <c r="K1780" s="11">
        <v>3.6574074074074071E-2</v>
      </c>
      <c r="L1780" s="13"/>
    </row>
    <row r="1781" spans="1:12" x14ac:dyDescent="0.25">
      <c r="A1781" s="3" t="s">
        <v>4890</v>
      </c>
      <c r="B1781" s="3" t="s">
        <v>5039</v>
      </c>
      <c r="C1781" s="3" t="s">
        <v>1365</v>
      </c>
      <c r="D1781" s="9">
        <v>268.2</v>
      </c>
      <c r="E1781" s="3"/>
      <c r="F1781" s="3"/>
      <c r="G1781" s="9"/>
      <c r="H1781" s="10">
        <v>45669.756030092591</v>
      </c>
      <c r="I1781" s="10">
        <v>45669.756898148153</v>
      </c>
      <c r="J1781" s="10">
        <v>45669.803460648152</v>
      </c>
      <c r="K1781" s="11">
        <v>4.65625E-2</v>
      </c>
      <c r="L1781" s="13"/>
    </row>
    <row r="1782" spans="1:12" x14ac:dyDescent="0.25">
      <c r="A1782" s="3" t="s">
        <v>4890</v>
      </c>
      <c r="B1782" s="3" t="s">
        <v>5040</v>
      </c>
      <c r="C1782" s="3" t="s">
        <v>1425</v>
      </c>
      <c r="D1782" s="9">
        <v>349.3</v>
      </c>
      <c r="E1782" s="3"/>
      <c r="F1782" s="3"/>
      <c r="G1782" s="9"/>
      <c r="H1782" s="10">
        <v>45669.756493055553</v>
      </c>
      <c r="I1782" s="10">
        <v>45669.7577662037</v>
      </c>
      <c r="J1782" s="10">
        <v>45669.818414351852</v>
      </c>
      <c r="K1782" s="11">
        <v>6.0648148148148152E-2</v>
      </c>
      <c r="L1782" s="13"/>
    </row>
    <row r="1783" spans="1:12" x14ac:dyDescent="0.25">
      <c r="A1783" s="3" t="s">
        <v>4890</v>
      </c>
      <c r="B1783" s="3" t="s">
        <v>5041</v>
      </c>
      <c r="C1783" s="3" t="s">
        <v>1431</v>
      </c>
      <c r="D1783" s="9">
        <v>106.9</v>
      </c>
      <c r="E1783" s="3"/>
      <c r="F1783" s="3"/>
      <c r="G1783" s="9"/>
      <c r="H1783" s="10">
        <v>45669.847129629627</v>
      </c>
      <c r="I1783" s="10">
        <v>45669.847997685189</v>
      </c>
      <c r="J1783" s="10">
        <v>45669.866550925923</v>
      </c>
      <c r="K1783" s="11">
        <v>1.8553240740740742E-2</v>
      </c>
      <c r="L1783" s="13"/>
    </row>
    <row r="1784" spans="1:12" x14ac:dyDescent="0.25">
      <c r="A1784" s="3" t="s">
        <v>4890</v>
      </c>
      <c r="B1784" s="3" t="s">
        <v>5042</v>
      </c>
      <c r="C1784" s="3" t="s">
        <v>1434</v>
      </c>
      <c r="D1784" s="9">
        <v>101.2</v>
      </c>
      <c r="E1784" s="3"/>
      <c r="F1784" s="3"/>
      <c r="G1784" s="9"/>
      <c r="H1784" s="10">
        <v>45669.849537037036</v>
      </c>
      <c r="I1784" s="10">
        <v>45669.850324074083</v>
      </c>
      <c r="J1784" s="10">
        <v>45669.867893518523</v>
      </c>
      <c r="K1784" s="11">
        <v>1.756944444444444E-2</v>
      </c>
      <c r="L1784" s="13"/>
    </row>
    <row r="1785" spans="1:12" x14ac:dyDescent="0.25">
      <c r="A1785" s="3" t="s">
        <v>4890</v>
      </c>
      <c r="B1785" s="3" t="s">
        <v>5043</v>
      </c>
      <c r="C1785" s="3" t="s">
        <v>1393</v>
      </c>
      <c r="D1785" s="9">
        <v>186.8</v>
      </c>
      <c r="E1785" s="3"/>
      <c r="F1785" s="3"/>
      <c r="G1785" s="9"/>
      <c r="H1785" s="10">
        <v>45670.117569444446</v>
      </c>
      <c r="I1785" s="10">
        <v>45670.118437500001</v>
      </c>
      <c r="J1785" s="10">
        <v>45670.150868055563</v>
      </c>
      <c r="K1785" s="11">
        <v>3.2430555555555553E-2</v>
      </c>
      <c r="L1785" s="13"/>
    </row>
    <row r="1786" spans="1:12" x14ac:dyDescent="0.25">
      <c r="A1786" s="3" t="s">
        <v>4890</v>
      </c>
      <c r="B1786" s="3" t="s">
        <v>5044</v>
      </c>
      <c r="C1786" s="3" t="s">
        <v>1442</v>
      </c>
      <c r="D1786" s="9">
        <v>301.2</v>
      </c>
      <c r="E1786" s="3"/>
      <c r="F1786" s="3"/>
      <c r="G1786" s="9"/>
      <c r="H1786" s="10">
        <v>45670.199953703697</v>
      </c>
      <c r="I1786" s="10">
        <v>45670.200798611113</v>
      </c>
      <c r="J1786" s="10">
        <v>45670.25309027778</v>
      </c>
      <c r="K1786" s="11">
        <v>5.2291666666666667E-2</v>
      </c>
      <c r="L1786" s="13"/>
    </row>
    <row r="1787" spans="1:12" x14ac:dyDescent="0.25">
      <c r="A1787" s="3" t="s">
        <v>4890</v>
      </c>
      <c r="B1787" s="3" t="s">
        <v>5045</v>
      </c>
      <c r="C1787" s="3" t="s">
        <v>1445</v>
      </c>
      <c r="D1787" s="9">
        <v>298</v>
      </c>
      <c r="E1787" s="3"/>
      <c r="F1787" s="3"/>
      <c r="G1787" s="9"/>
      <c r="H1787" s="10">
        <v>45670.266527777778</v>
      </c>
      <c r="I1787" s="10">
        <v>45670.267395833333</v>
      </c>
      <c r="J1787" s="10">
        <v>45670.319131944438</v>
      </c>
      <c r="K1787" s="11">
        <v>5.1736111111111108E-2</v>
      </c>
      <c r="L1787" s="13"/>
    </row>
    <row r="1788" spans="1:12" x14ac:dyDescent="0.25">
      <c r="A1788" s="3" t="s">
        <v>4890</v>
      </c>
      <c r="B1788" s="3" t="s">
        <v>5046</v>
      </c>
      <c r="C1788" s="3" t="s">
        <v>1448</v>
      </c>
      <c r="D1788" s="9">
        <v>205.5</v>
      </c>
      <c r="E1788" s="3"/>
      <c r="F1788" s="3"/>
      <c r="G1788" s="9"/>
      <c r="H1788" s="10">
        <v>45670.304884259262</v>
      </c>
      <c r="I1788" s="10">
        <v>45670.305717592593</v>
      </c>
      <c r="J1788" s="10">
        <v>45670.341400462959</v>
      </c>
      <c r="K1788" s="11">
        <v>3.5682870370370372E-2</v>
      </c>
      <c r="L1788" s="13"/>
    </row>
    <row r="1789" spans="1:12" x14ac:dyDescent="0.25">
      <c r="A1789" s="3" t="s">
        <v>4890</v>
      </c>
      <c r="B1789" s="3" t="s">
        <v>5047</v>
      </c>
      <c r="C1789" s="3" t="s">
        <v>1451</v>
      </c>
      <c r="D1789" s="9">
        <v>397.3</v>
      </c>
      <c r="E1789" s="3"/>
      <c r="F1789" s="3"/>
      <c r="G1789" s="9"/>
      <c r="H1789" s="10">
        <v>45670.315983796303</v>
      </c>
      <c r="I1789" s="10">
        <v>45670.317627314813</v>
      </c>
      <c r="J1789" s="10">
        <v>45670.386608796303</v>
      </c>
      <c r="K1789" s="11">
        <v>6.8981481481481477E-2</v>
      </c>
      <c r="L1789" s="13"/>
    </row>
    <row r="1790" spans="1:12" x14ac:dyDescent="0.25">
      <c r="A1790" s="3" t="s">
        <v>4890</v>
      </c>
      <c r="B1790" s="3" t="s">
        <v>5048</v>
      </c>
      <c r="C1790" s="3" t="s">
        <v>1400</v>
      </c>
      <c r="D1790" s="9">
        <v>162</v>
      </c>
      <c r="E1790" s="3"/>
      <c r="F1790" s="3"/>
      <c r="G1790" s="9"/>
      <c r="H1790" s="10">
        <v>45670.349606481483</v>
      </c>
      <c r="I1790" s="10">
        <v>45670.353333333333</v>
      </c>
      <c r="J1790" s="10">
        <v>45670.381458333337</v>
      </c>
      <c r="K1790" s="11">
        <v>2.8125000000000001E-2</v>
      </c>
      <c r="L1790" s="13"/>
    </row>
    <row r="1791" spans="1:12" x14ac:dyDescent="0.25">
      <c r="A1791" s="3" t="s">
        <v>4890</v>
      </c>
      <c r="B1791" s="3" t="s">
        <v>5049</v>
      </c>
      <c r="C1791" s="3" t="s">
        <v>1486</v>
      </c>
      <c r="D1791" s="9">
        <v>279</v>
      </c>
      <c r="E1791" s="3"/>
      <c r="F1791" s="3"/>
      <c r="G1791" s="9"/>
      <c r="H1791" s="10">
        <v>45670.390243055554</v>
      </c>
      <c r="I1791" s="10">
        <v>45670.391111111108</v>
      </c>
      <c r="J1791" s="10">
        <v>45670.43954861111</v>
      </c>
      <c r="K1791" s="11">
        <v>4.8437500000000001E-2</v>
      </c>
      <c r="L1791" s="13"/>
    </row>
    <row r="1792" spans="1:12" x14ac:dyDescent="0.25">
      <c r="A1792" s="3" t="s">
        <v>4890</v>
      </c>
      <c r="B1792" s="3" t="s">
        <v>5050</v>
      </c>
      <c r="C1792" s="3" t="s">
        <v>1139</v>
      </c>
      <c r="D1792" s="9">
        <v>182.9</v>
      </c>
      <c r="E1792" s="3"/>
      <c r="F1792" s="3"/>
      <c r="G1792" s="9"/>
      <c r="H1792" s="10">
        <v>45670.393287037034</v>
      </c>
      <c r="I1792" s="10">
        <v>45670.394155092603</v>
      </c>
      <c r="J1792" s="10">
        <v>45670.425902777781</v>
      </c>
      <c r="K1792" s="11">
        <v>3.1747685185185177E-2</v>
      </c>
      <c r="L1792" s="13"/>
    </row>
    <row r="1793" spans="1:12" x14ac:dyDescent="0.25">
      <c r="A1793" s="3" t="s">
        <v>4890</v>
      </c>
      <c r="B1793" s="3" t="s">
        <v>5051</v>
      </c>
      <c r="C1793" s="3" t="s">
        <v>1290</v>
      </c>
      <c r="D1793" s="9">
        <v>100.6</v>
      </c>
      <c r="E1793" s="3"/>
      <c r="F1793" s="3"/>
      <c r="G1793" s="9"/>
      <c r="H1793" s="10">
        <v>45670.401736111111</v>
      </c>
      <c r="I1793" s="10">
        <v>45670.420092592591</v>
      </c>
      <c r="J1793" s="10">
        <v>45670.437557870369</v>
      </c>
      <c r="K1793" s="11">
        <v>1.7465277777777781E-2</v>
      </c>
      <c r="L1793" s="13"/>
    </row>
    <row r="1794" spans="1:12" x14ac:dyDescent="0.25">
      <c r="A1794" s="3" t="s">
        <v>4890</v>
      </c>
      <c r="B1794" s="3" t="s">
        <v>5052</v>
      </c>
      <c r="C1794" s="3" t="s">
        <v>1439</v>
      </c>
      <c r="D1794" s="9">
        <v>125.3</v>
      </c>
      <c r="E1794" s="3"/>
      <c r="F1794" s="3"/>
      <c r="G1794" s="9"/>
      <c r="H1794" s="10">
        <v>45670.405671296299</v>
      </c>
      <c r="I1794" s="10">
        <v>45670.42763888889</v>
      </c>
      <c r="J1794" s="10">
        <v>45670.449386574073</v>
      </c>
      <c r="K1794" s="11">
        <v>2.1747685185185189E-2</v>
      </c>
      <c r="L1794" s="13"/>
    </row>
    <row r="1795" spans="1:12" x14ac:dyDescent="0.25">
      <c r="A1795" s="3" t="s">
        <v>4890</v>
      </c>
      <c r="B1795" s="3" t="s">
        <v>5053</v>
      </c>
      <c r="C1795" s="3" t="s">
        <v>1466</v>
      </c>
      <c r="D1795" s="9">
        <v>147</v>
      </c>
      <c r="E1795" s="3"/>
      <c r="F1795" s="3"/>
      <c r="G1795" s="9"/>
      <c r="H1795" s="10">
        <v>45670.413414351853</v>
      </c>
      <c r="I1795" s="10">
        <v>45670.442175925928</v>
      </c>
      <c r="J1795" s="10">
        <v>45670.46769675926</v>
      </c>
      <c r="K1795" s="11">
        <v>2.5520833333333329E-2</v>
      </c>
      <c r="L1795" s="13"/>
    </row>
    <row r="1796" spans="1:12" x14ac:dyDescent="0.25">
      <c r="A1796" s="3" t="s">
        <v>4890</v>
      </c>
      <c r="B1796" s="3" t="s">
        <v>5054</v>
      </c>
      <c r="C1796" s="3" t="s">
        <v>1456</v>
      </c>
      <c r="D1796" s="9">
        <v>218.1</v>
      </c>
      <c r="E1796" s="3"/>
      <c r="F1796" s="3"/>
      <c r="G1796" s="9"/>
      <c r="H1796" s="10">
        <v>45670.413645833331</v>
      </c>
      <c r="I1796" s="10">
        <v>45670.444097222222</v>
      </c>
      <c r="J1796" s="10">
        <v>45670.48196759259</v>
      </c>
      <c r="K1796" s="11">
        <v>3.7870370370370367E-2</v>
      </c>
      <c r="L1796" s="13"/>
    </row>
    <row r="1797" spans="1:12" x14ac:dyDescent="0.25">
      <c r="A1797" s="3" t="s">
        <v>4890</v>
      </c>
      <c r="B1797" s="3" t="s">
        <v>5055</v>
      </c>
      <c r="C1797" s="3" t="s">
        <v>1513</v>
      </c>
      <c r="D1797" s="9">
        <v>267.5</v>
      </c>
      <c r="E1797" s="3"/>
      <c r="F1797" s="3"/>
      <c r="G1797" s="9"/>
      <c r="H1797" s="10">
        <v>45670.440520833326</v>
      </c>
      <c r="I1797" s="10">
        <v>45670.451122685183</v>
      </c>
      <c r="J1797" s="10">
        <v>45670.497569444437</v>
      </c>
      <c r="K1797" s="11">
        <v>4.6446759259259257E-2</v>
      </c>
      <c r="L1797" s="13"/>
    </row>
    <row r="1798" spans="1:12" x14ac:dyDescent="0.25">
      <c r="A1798" s="3" t="s">
        <v>4890</v>
      </c>
      <c r="B1798" s="3" t="s">
        <v>5056</v>
      </c>
      <c r="C1798" s="3" t="s">
        <v>1502</v>
      </c>
      <c r="D1798" s="9">
        <v>334.4</v>
      </c>
      <c r="E1798" s="3"/>
      <c r="F1798" s="3"/>
      <c r="G1798" s="9"/>
      <c r="H1798" s="10">
        <v>45670.524826388893</v>
      </c>
      <c r="I1798" s="10">
        <v>45670.525671296287</v>
      </c>
      <c r="J1798" s="10">
        <v>45670.583726851852</v>
      </c>
      <c r="K1798" s="11">
        <v>5.8055555555555548E-2</v>
      </c>
      <c r="L1798" s="13"/>
    </row>
    <row r="1799" spans="1:12" x14ac:dyDescent="0.25">
      <c r="A1799" s="3" t="s">
        <v>4890</v>
      </c>
      <c r="B1799" s="3" t="s">
        <v>5057</v>
      </c>
      <c r="C1799" s="3" t="s">
        <v>1499</v>
      </c>
      <c r="D1799" s="9">
        <v>388.3</v>
      </c>
      <c r="E1799" s="3"/>
      <c r="F1799" s="3"/>
      <c r="G1799" s="9"/>
      <c r="H1799" s="10">
        <v>45670.615787037037</v>
      </c>
      <c r="I1799" s="10">
        <v>45670.616655092592</v>
      </c>
      <c r="J1799" s="10">
        <v>45670.684074074074</v>
      </c>
      <c r="K1799" s="11">
        <v>6.7418981481481483E-2</v>
      </c>
      <c r="L1799" s="13"/>
    </row>
    <row r="1800" spans="1:12" x14ac:dyDescent="0.25">
      <c r="A1800" s="3" t="s">
        <v>4890</v>
      </c>
      <c r="B1800" s="3" t="s">
        <v>5058</v>
      </c>
      <c r="C1800" s="3" t="s">
        <v>1528</v>
      </c>
      <c r="D1800" s="9">
        <v>100.9</v>
      </c>
      <c r="E1800" s="3"/>
      <c r="F1800" s="3"/>
      <c r="G1800" s="9"/>
      <c r="H1800" s="10">
        <v>45670.645543981482</v>
      </c>
      <c r="I1800" s="10">
        <v>45670.647245370368</v>
      </c>
      <c r="J1800" s="10">
        <v>45670.664756944447</v>
      </c>
      <c r="K1800" s="11">
        <v>1.7511574074074079E-2</v>
      </c>
      <c r="L1800" s="13"/>
    </row>
    <row r="1801" spans="1:12" x14ac:dyDescent="0.25">
      <c r="A1801" s="3" t="s">
        <v>4890</v>
      </c>
      <c r="B1801" s="3" t="s">
        <v>5059</v>
      </c>
      <c r="C1801" s="3" t="s">
        <v>1390</v>
      </c>
      <c r="D1801" s="9">
        <v>119.4</v>
      </c>
      <c r="E1801" s="3"/>
      <c r="F1801" s="3"/>
      <c r="G1801" s="9"/>
      <c r="H1801" s="10">
        <v>45670.660173611112</v>
      </c>
      <c r="I1801" s="10">
        <v>45670.662037037036</v>
      </c>
      <c r="J1801" s="10">
        <v>45670.682766203703</v>
      </c>
      <c r="K1801" s="11">
        <v>2.072916666666667E-2</v>
      </c>
      <c r="L1801" s="13"/>
    </row>
    <row r="1802" spans="1:12" x14ac:dyDescent="0.25">
      <c r="A1802" s="3" t="s">
        <v>4890</v>
      </c>
      <c r="B1802" s="3" t="s">
        <v>5060</v>
      </c>
      <c r="C1802" s="3" t="s">
        <v>1551</v>
      </c>
      <c r="D1802" s="9">
        <v>393.5</v>
      </c>
      <c r="E1802" s="3"/>
      <c r="F1802" s="3"/>
      <c r="G1802" s="9"/>
      <c r="H1802" s="10">
        <v>45670.66033564815</v>
      </c>
      <c r="I1802" s="10">
        <v>45670.666458333333</v>
      </c>
      <c r="J1802" s="10">
        <v>45670.734768518523</v>
      </c>
      <c r="K1802" s="11">
        <v>6.8310185185185182E-2</v>
      </c>
      <c r="L1802" s="13"/>
    </row>
    <row r="1803" spans="1:12" x14ac:dyDescent="0.25">
      <c r="A1803" s="3" t="s">
        <v>4890</v>
      </c>
      <c r="B1803" s="3" t="s">
        <v>5061</v>
      </c>
      <c r="C1803" s="3" t="s">
        <v>1556</v>
      </c>
      <c r="D1803" s="9">
        <v>229.7</v>
      </c>
      <c r="E1803" s="3"/>
      <c r="F1803" s="3"/>
      <c r="G1803" s="9"/>
      <c r="H1803" s="10">
        <v>45670.686030092591</v>
      </c>
      <c r="I1803" s="10">
        <v>45670.686898148153</v>
      </c>
      <c r="J1803" s="10">
        <v>45670.726782407408</v>
      </c>
      <c r="K1803" s="11">
        <v>3.9884259259259258E-2</v>
      </c>
      <c r="L1803" s="13"/>
    </row>
    <row r="1804" spans="1:12" x14ac:dyDescent="0.25">
      <c r="A1804" s="3" t="s">
        <v>4890</v>
      </c>
      <c r="B1804" s="3" t="s">
        <v>5062</v>
      </c>
      <c r="C1804" s="3" t="s">
        <v>1516</v>
      </c>
      <c r="D1804" s="9">
        <v>198.8</v>
      </c>
      <c r="E1804" s="3"/>
      <c r="F1804" s="3"/>
      <c r="G1804" s="9"/>
      <c r="H1804" s="10">
        <v>45670.6875</v>
      </c>
      <c r="I1804" s="10">
        <v>45670.689201388886</v>
      </c>
      <c r="J1804" s="10">
        <v>45670.723715277767</v>
      </c>
      <c r="K1804" s="11">
        <v>3.4513888888888893E-2</v>
      </c>
      <c r="L1804" s="13"/>
    </row>
    <row r="1805" spans="1:12" x14ac:dyDescent="0.25">
      <c r="A1805" s="3" t="s">
        <v>4890</v>
      </c>
      <c r="B1805" s="3" t="s">
        <v>5063</v>
      </c>
      <c r="C1805" s="3" t="s">
        <v>1559</v>
      </c>
      <c r="D1805" s="9">
        <v>185.9</v>
      </c>
      <c r="E1805" s="3"/>
      <c r="F1805" s="3"/>
      <c r="G1805" s="9"/>
      <c r="H1805" s="10">
        <v>45670.737881944442</v>
      </c>
      <c r="I1805" s="10">
        <v>45670.738749999997</v>
      </c>
      <c r="J1805" s="10">
        <v>45670.77103009259</v>
      </c>
      <c r="K1805" s="11">
        <v>3.2280092592592589E-2</v>
      </c>
      <c r="L1805" s="13"/>
    </row>
    <row r="1806" spans="1:12" x14ac:dyDescent="0.25">
      <c r="A1806" s="3" t="s">
        <v>4890</v>
      </c>
      <c r="B1806" s="3" t="s">
        <v>5064</v>
      </c>
      <c r="C1806" s="3" t="s">
        <v>1562</v>
      </c>
      <c r="D1806" s="9">
        <v>389.1</v>
      </c>
      <c r="E1806" s="3"/>
      <c r="F1806" s="3"/>
      <c r="G1806" s="9"/>
      <c r="H1806" s="10">
        <v>45670.891597222217</v>
      </c>
      <c r="I1806" s="10">
        <v>45670.892465277779</v>
      </c>
      <c r="J1806" s="10">
        <v>45670.960011574083</v>
      </c>
      <c r="K1806" s="11">
        <v>6.7546296296296299E-2</v>
      </c>
      <c r="L1806" s="13"/>
    </row>
    <row r="1807" spans="1:12" x14ac:dyDescent="0.25">
      <c r="A1807" s="3" t="s">
        <v>4890</v>
      </c>
      <c r="B1807" s="3" t="s">
        <v>5065</v>
      </c>
      <c r="C1807" s="3" t="s">
        <v>1539</v>
      </c>
      <c r="D1807" s="9">
        <v>124.9</v>
      </c>
      <c r="E1807" s="3"/>
      <c r="F1807" s="3"/>
      <c r="G1807" s="9"/>
      <c r="H1807" s="10">
        <v>45671.117708333331</v>
      </c>
      <c r="I1807" s="10">
        <v>45671.11855324074</v>
      </c>
      <c r="J1807" s="10">
        <v>45671.140231481477</v>
      </c>
      <c r="K1807" s="11">
        <v>2.1678240740740741E-2</v>
      </c>
      <c r="L1807" s="13"/>
    </row>
    <row r="1808" spans="1:12" x14ac:dyDescent="0.25">
      <c r="A1808" s="3" t="s">
        <v>4890</v>
      </c>
      <c r="B1808" s="3" t="s">
        <v>5066</v>
      </c>
      <c r="C1808" s="3" t="s">
        <v>1574</v>
      </c>
      <c r="D1808" s="9">
        <v>297</v>
      </c>
      <c r="E1808" s="3"/>
      <c r="F1808" s="3"/>
      <c r="G1808" s="9"/>
      <c r="H1808" s="10">
        <v>45671.283101851863</v>
      </c>
      <c r="I1808" s="10">
        <v>45671.28396990741</v>
      </c>
      <c r="J1808" s="10">
        <v>45671.335532407407</v>
      </c>
      <c r="K1808" s="11">
        <v>5.1562499999999997E-2</v>
      </c>
      <c r="L1808" s="13"/>
    </row>
    <row r="1809" spans="1:12" x14ac:dyDescent="0.25">
      <c r="A1809" s="3" t="s">
        <v>4890</v>
      </c>
      <c r="B1809" s="3" t="s">
        <v>5067</v>
      </c>
      <c r="C1809" s="3" t="s">
        <v>1471</v>
      </c>
      <c r="D1809" s="9">
        <v>187.6</v>
      </c>
      <c r="E1809" s="3"/>
      <c r="F1809" s="3"/>
      <c r="G1809" s="9"/>
      <c r="H1809" s="10">
        <v>45671.296840277777</v>
      </c>
      <c r="I1809" s="10">
        <v>45671.298530092587</v>
      </c>
      <c r="J1809" s="10">
        <v>45671.331099537027</v>
      </c>
      <c r="K1809" s="11">
        <v>3.2569444444444443E-2</v>
      </c>
      <c r="L1809" s="13"/>
    </row>
    <row r="1810" spans="1:12" x14ac:dyDescent="0.25">
      <c r="A1810" s="3" t="s">
        <v>4890</v>
      </c>
      <c r="B1810" s="3" t="s">
        <v>5068</v>
      </c>
      <c r="C1810" s="3" t="s">
        <v>1525</v>
      </c>
      <c r="D1810" s="9">
        <v>101.9</v>
      </c>
      <c r="E1810" s="3"/>
      <c r="F1810" s="3"/>
      <c r="G1810" s="9"/>
      <c r="H1810" s="10">
        <v>45671.29824074074</v>
      </c>
      <c r="I1810" s="10">
        <v>45671.309004629627</v>
      </c>
      <c r="J1810" s="10">
        <v>45671.326701388891</v>
      </c>
      <c r="K1810" s="11">
        <v>1.7696759259259259E-2</v>
      </c>
      <c r="L1810" s="13"/>
    </row>
    <row r="1811" spans="1:12" x14ac:dyDescent="0.25">
      <c r="A1811" s="3" t="s">
        <v>4890</v>
      </c>
      <c r="B1811" s="3" t="s">
        <v>5069</v>
      </c>
      <c r="C1811" s="3" t="s">
        <v>1593</v>
      </c>
      <c r="D1811" s="9">
        <v>213.8</v>
      </c>
      <c r="E1811" s="3"/>
      <c r="F1811" s="3"/>
      <c r="G1811" s="9"/>
      <c r="H1811" s="10">
        <v>45671.329664351862</v>
      </c>
      <c r="I1811" s="10">
        <v>45671.331331018519</v>
      </c>
      <c r="J1811" s="10">
        <v>45671.368449074071</v>
      </c>
      <c r="K1811" s="11">
        <v>3.7118055555555557E-2</v>
      </c>
      <c r="L1811" s="13"/>
    </row>
    <row r="1812" spans="1:12" x14ac:dyDescent="0.25">
      <c r="A1812" s="3" t="s">
        <v>4890</v>
      </c>
      <c r="B1812" s="3" t="s">
        <v>5070</v>
      </c>
      <c r="C1812" s="3" t="s">
        <v>1596</v>
      </c>
      <c r="D1812" s="9">
        <v>389.8</v>
      </c>
      <c r="E1812" s="3"/>
      <c r="F1812" s="3"/>
      <c r="G1812" s="9"/>
      <c r="H1812" s="10">
        <v>45671.347118055557</v>
      </c>
      <c r="I1812" s="10">
        <v>45671.347986111112</v>
      </c>
      <c r="J1812" s="10">
        <v>45671.415659722217</v>
      </c>
      <c r="K1812" s="11">
        <v>6.7673611111111115E-2</v>
      </c>
      <c r="L1812" s="13"/>
    </row>
    <row r="1813" spans="1:12" x14ac:dyDescent="0.25">
      <c r="A1813" s="3" t="s">
        <v>4890</v>
      </c>
      <c r="B1813" s="3" t="s">
        <v>5071</v>
      </c>
      <c r="C1813" s="3" t="s">
        <v>1264</v>
      </c>
      <c r="D1813" s="9">
        <v>343.5</v>
      </c>
      <c r="E1813" s="3"/>
      <c r="F1813" s="3"/>
      <c r="G1813" s="9"/>
      <c r="H1813" s="10">
        <v>45671.397326388891</v>
      </c>
      <c r="I1813" s="10">
        <v>45671.398194444453</v>
      </c>
      <c r="J1813" s="10">
        <v>45671.457824074067</v>
      </c>
      <c r="K1813" s="11">
        <v>5.962962962962963E-2</v>
      </c>
      <c r="L1813" s="13"/>
    </row>
    <row r="1814" spans="1:12" x14ac:dyDescent="0.25">
      <c r="A1814" s="3" t="s">
        <v>4890</v>
      </c>
      <c r="B1814" s="3" t="s">
        <v>5072</v>
      </c>
      <c r="C1814" s="3" t="s">
        <v>1629</v>
      </c>
      <c r="D1814" s="9">
        <v>129.1</v>
      </c>
      <c r="E1814" s="3"/>
      <c r="F1814" s="3"/>
      <c r="G1814" s="9"/>
      <c r="H1814" s="10">
        <v>45671.399039351847</v>
      </c>
      <c r="I1814" s="10">
        <v>45671.400671296287</v>
      </c>
      <c r="J1814" s="10">
        <v>45671.423090277778</v>
      </c>
      <c r="K1814" s="11">
        <v>2.2418981481481481E-2</v>
      </c>
      <c r="L1814" s="13"/>
    </row>
    <row r="1815" spans="1:12" x14ac:dyDescent="0.25">
      <c r="A1815" s="3" t="s">
        <v>4890</v>
      </c>
      <c r="B1815" s="3" t="s">
        <v>5073</v>
      </c>
      <c r="C1815" s="3" t="s">
        <v>1581</v>
      </c>
      <c r="D1815" s="9">
        <v>189</v>
      </c>
      <c r="E1815" s="3"/>
      <c r="F1815" s="3"/>
      <c r="G1815" s="9"/>
      <c r="H1815" s="10">
        <v>45671.425115740742</v>
      </c>
      <c r="I1815" s="10">
        <v>45671.436388888891</v>
      </c>
      <c r="J1815" s="10">
        <v>45671.469201388893</v>
      </c>
      <c r="K1815" s="11">
        <v>3.2812500000000001E-2</v>
      </c>
      <c r="L1815" s="13"/>
    </row>
    <row r="1816" spans="1:12" x14ac:dyDescent="0.25">
      <c r="A1816" s="3" t="s">
        <v>4890</v>
      </c>
      <c r="B1816" s="3" t="s">
        <v>5074</v>
      </c>
      <c r="C1816" s="3" t="s">
        <v>1584</v>
      </c>
      <c r="D1816" s="9">
        <v>109.4</v>
      </c>
      <c r="E1816" s="3"/>
      <c r="F1816" s="3"/>
      <c r="G1816" s="9"/>
      <c r="H1816" s="10">
        <v>45671.430405092593</v>
      </c>
      <c r="I1816" s="10">
        <v>45671.438298611109</v>
      </c>
      <c r="J1816" s="10">
        <v>45671.457303240742</v>
      </c>
      <c r="K1816" s="11">
        <v>1.9004629629629632E-2</v>
      </c>
      <c r="L1816" s="13"/>
    </row>
    <row r="1817" spans="1:12" x14ac:dyDescent="0.25">
      <c r="A1817" s="3" t="s">
        <v>4890</v>
      </c>
      <c r="B1817" s="3" t="s">
        <v>5075</v>
      </c>
      <c r="C1817" s="3" t="s">
        <v>1624</v>
      </c>
      <c r="D1817" s="9">
        <v>651.79999999999995</v>
      </c>
      <c r="E1817" s="3"/>
      <c r="F1817" s="3"/>
      <c r="G1817" s="9"/>
      <c r="H1817" s="10">
        <v>45671.435810185183</v>
      </c>
      <c r="I1817" s="10">
        <v>45671.459039351852</v>
      </c>
      <c r="J1817" s="10">
        <v>45671.572199074071</v>
      </c>
      <c r="K1817" s="11">
        <v>0.1131597222222222</v>
      </c>
      <c r="L1817" s="13"/>
    </row>
    <row r="1818" spans="1:12" x14ac:dyDescent="0.25">
      <c r="A1818" s="3" t="s">
        <v>4890</v>
      </c>
      <c r="B1818" s="3" t="s">
        <v>5076</v>
      </c>
      <c r="C1818" s="3" t="s">
        <v>1376</v>
      </c>
      <c r="D1818" s="9">
        <v>117.2</v>
      </c>
      <c r="E1818" s="3"/>
      <c r="F1818" s="3"/>
      <c r="G1818" s="9"/>
      <c r="H1818" s="10">
        <v>45671.436562499999</v>
      </c>
      <c r="I1818" s="10">
        <v>45671.459560185183</v>
      </c>
      <c r="J1818" s="10">
        <v>45671.47991898148</v>
      </c>
      <c r="K1818" s="11">
        <v>2.0358796296296292E-2</v>
      </c>
      <c r="L1818" s="13"/>
    </row>
    <row r="1819" spans="1:12" x14ac:dyDescent="0.25">
      <c r="A1819" s="3" t="s">
        <v>4890</v>
      </c>
      <c r="B1819" s="3" t="s">
        <v>5077</v>
      </c>
      <c r="C1819" s="3" t="s">
        <v>1640</v>
      </c>
      <c r="D1819" s="9">
        <v>297.8</v>
      </c>
      <c r="E1819" s="3"/>
      <c r="F1819" s="3"/>
      <c r="G1819" s="9"/>
      <c r="H1819" s="10">
        <v>45671.54824074074</v>
      </c>
      <c r="I1819" s="10">
        <v>45671.549074074072</v>
      </c>
      <c r="J1819" s="10">
        <v>45671.600775462961</v>
      </c>
      <c r="K1819" s="11">
        <v>5.1701388888888887E-2</v>
      </c>
      <c r="L1819" s="13"/>
    </row>
    <row r="1820" spans="1:12" x14ac:dyDescent="0.25">
      <c r="A1820" s="3" t="s">
        <v>4890</v>
      </c>
      <c r="B1820" s="3" t="s">
        <v>5078</v>
      </c>
      <c r="C1820" s="3" t="s">
        <v>1643</v>
      </c>
      <c r="D1820" s="9">
        <v>225.6</v>
      </c>
      <c r="E1820" s="3"/>
      <c r="F1820" s="3"/>
      <c r="G1820" s="9"/>
      <c r="H1820" s="10">
        <v>45671.61142361111</v>
      </c>
      <c r="I1820" s="10">
        <v>45671.612256944441</v>
      </c>
      <c r="J1820" s="10">
        <v>45671.651435185187</v>
      </c>
      <c r="K1820" s="11">
        <v>3.9178240740740743E-2</v>
      </c>
      <c r="L1820" s="13"/>
    </row>
    <row r="1821" spans="1:12" x14ac:dyDescent="0.25">
      <c r="A1821" s="3" t="s">
        <v>4890</v>
      </c>
      <c r="B1821" s="3" t="s">
        <v>5079</v>
      </c>
      <c r="C1821" s="3" t="s">
        <v>1613</v>
      </c>
      <c r="D1821" s="9">
        <v>100.6</v>
      </c>
      <c r="E1821" s="3"/>
      <c r="F1821" s="3"/>
      <c r="G1821" s="9"/>
      <c r="H1821" s="10">
        <v>45671.648634259262</v>
      </c>
      <c r="I1821" s="10">
        <v>45671.650347222218</v>
      </c>
      <c r="J1821" s="10">
        <v>45671.667812500003</v>
      </c>
      <c r="K1821" s="11">
        <v>1.7465277777777781E-2</v>
      </c>
      <c r="L1821" s="13"/>
    </row>
    <row r="1822" spans="1:12" x14ac:dyDescent="0.25">
      <c r="A1822" s="3" t="s">
        <v>4890</v>
      </c>
      <c r="B1822" s="3" t="s">
        <v>5080</v>
      </c>
      <c r="C1822" s="3" t="s">
        <v>1428</v>
      </c>
      <c r="D1822" s="9">
        <v>141.69999999999999</v>
      </c>
      <c r="E1822" s="3"/>
      <c r="F1822" s="3"/>
      <c r="G1822" s="9"/>
      <c r="H1822" s="10">
        <v>45671.650451388887</v>
      </c>
      <c r="I1822" s="10">
        <v>45671.653101851851</v>
      </c>
      <c r="J1822" s="10">
        <v>45671.67769675926</v>
      </c>
      <c r="K1822" s="11">
        <v>2.4594907407407409E-2</v>
      </c>
      <c r="L1822" s="13"/>
    </row>
    <row r="1823" spans="1:12" x14ac:dyDescent="0.25">
      <c r="A1823" s="3" t="s">
        <v>4890</v>
      </c>
      <c r="B1823" s="3" t="s">
        <v>5081</v>
      </c>
      <c r="C1823" s="3" t="s">
        <v>1601</v>
      </c>
      <c r="D1823" s="9">
        <v>132.4</v>
      </c>
      <c r="E1823" s="3"/>
      <c r="F1823" s="3"/>
      <c r="G1823" s="9"/>
      <c r="H1823" s="10">
        <v>45671.651412037027</v>
      </c>
      <c r="I1823" s="10">
        <v>45671.669502314813</v>
      </c>
      <c r="J1823" s="10">
        <v>45671.692488425928</v>
      </c>
      <c r="K1823" s="11">
        <v>2.298611111111111E-2</v>
      </c>
      <c r="L1823" s="13"/>
    </row>
    <row r="1824" spans="1:12" x14ac:dyDescent="0.25">
      <c r="A1824" s="3" t="s">
        <v>4890</v>
      </c>
      <c r="B1824" s="3" t="s">
        <v>5082</v>
      </c>
      <c r="C1824" s="3" t="s">
        <v>1657</v>
      </c>
      <c r="D1824" s="9">
        <v>163.4</v>
      </c>
      <c r="E1824" s="3"/>
      <c r="F1824" s="3"/>
      <c r="G1824" s="9"/>
      <c r="H1824" s="10">
        <v>45671.654386574082</v>
      </c>
      <c r="I1824" s="10">
        <v>45671.6715625</v>
      </c>
      <c r="J1824" s="10">
        <v>45671.699930555558</v>
      </c>
      <c r="K1824" s="11">
        <v>2.836805555555556E-2</v>
      </c>
      <c r="L1824" s="13"/>
    </row>
    <row r="1825" spans="1:12" x14ac:dyDescent="0.25">
      <c r="A1825" s="3" t="s">
        <v>4890</v>
      </c>
      <c r="B1825" s="3" t="s">
        <v>5083</v>
      </c>
      <c r="C1825" s="3" t="s">
        <v>1654</v>
      </c>
      <c r="D1825" s="9">
        <v>139.5</v>
      </c>
      <c r="E1825" s="3"/>
      <c r="F1825" s="3"/>
      <c r="G1825" s="9"/>
      <c r="H1825" s="10">
        <v>45671.663807870369</v>
      </c>
      <c r="I1825" s="10">
        <v>45671.679375</v>
      </c>
      <c r="J1825" s="10">
        <v>45671.703587962962</v>
      </c>
      <c r="K1825" s="11">
        <v>2.421296296296296E-2</v>
      </c>
      <c r="L1825" s="13"/>
    </row>
    <row r="1826" spans="1:12" x14ac:dyDescent="0.25">
      <c r="A1826" s="3" t="s">
        <v>4890</v>
      </c>
      <c r="B1826" s="3" t="s">
        <v>5084</v>
      </c>
      <c r="C1826" s="3" t="s">
        <v>1671</v>
      </c>
      <c r="D1826" s="9">
        <v>173.1</v>
      </c>
      <c r="E1826" s="3"/>
      <c r="F1826" s="3"/>
      <c r="G1826" s="9"/>
      <c r="H1826" s="10">
        <v>45671.66678240741</v>
      </c>
      <c r="I1826" s="10">
        <v>45671.694189814807</v>
      </c>
      <c r="J1826" s="10">
        <v>45671.724247685182</v>
      </c>
      <c r="K1826" s="11">
        <v>3.005787037037037E-2</v>
      </c>
      <c r="L1826" s="13"/>
    </row>
    <row r="1827" spans="1:12" x14ac:dyDescent="0.25">
      <c r="A1827" s="3" t="s">
        <v>4890</v>
      </c>
      <c r="B1827" s="3" t="s">
        <v>5085</v>
      </c>
      <c r="C1827" s="3" t="s">
        <v>1674</v>
      </c>
      <c r="D1827" s="9">
        <v>103.9</v>
      </c>
      <c r="E1827" s="3"/>
      <c r="F1827" s="3"/>
      <c r="G1827" s="9"/>
      <c r="H1827" s="10">
        <v>45671.75608796296</v>
      </c>
      <c r="I1827" s="10">
        <v>45671.756956018522</v>
      </c>
      <c r="J1827" s="10">
        <v>45671.774988425917</v>
      </c>
      <c r="K1827" s="11">
        <v>1.803240740740741E-2</v>
      </c>
      <c r="L1827" s="13"/>
    </row>
    <row r="1828" spans="1:12" x14ac:dyDescent="0.25">
      <c r="A1828" s="3" t="s">
        <v>4890</v>
      </c>
      <c r="B1828" s="3" t="s">
        <v>5086</v>
      </c>
      <c r="C1828" s="3" t="s">
        <v>1679</v>
      </c>
      <c r="D1828" s="9">
        <v>108</v>
      </c>
      <c r="E1828" s="3"/>
      <c r="F1828" s="3"/>
      <c r="G1828" s="9"/>
      <c r="H1828" s="10">
        <v>45671.758576388893</v>
      </c>
      <c r="I1828" s="10">
        <v>45671.76021990741</v>
      </c>
      <c r="J1828" s="10">
        <v>45671.778969907413</v>
      </c>
      <c r="K1828" s="11">
        <v>1.8749999999999999E-2</v>
      </c>
      <c r="L1828" s="13"/>
    </row>
    <row r="1829" spans="1:12" x14ac:dyDescent="0.25">
      <c r="A1829" s="3" t="s">
        <v>4890</v>
      </c>
      <c r="B1829" s="3" t="s">
        <v>5087</v>
      </c>
      <c r="C1829" s="3" t="s">
        <v>1463</v>
      </c>
      <c r="D1829" s="9">
        <v>125.9</v>
      </c>
      <c r="E1829" s="3"/>
      <c r="F1829" s="3"/>
      <c r="G1829" s="9"/>
      <c r="H1829" s="10">
        <v>45671.758935185193</v>
      </c>
      <c r="I1829" s="10">
        <v>45671.77648148148</v>
      </c>
      <c r="J1829" s="10">
        <v>45671.798344907409</v>
      </c>
      <c r="K1829" s="11">
        <v>2.1863425925925929E-2</v>
      </c>
      <c r="L1829" s="13"/>
    </row>
    <row r="1830" spans="1:12" x14ac:dyDescent="0.25">
      <c r="A1830" s="3" t="s">
        <v>4890</v>
      </c>
      <c r="B1830" s="3" t="s">
        <v>5088</v>
      </c>
      <c r="C1830" s="3" t="s">
        <v>1567</v>
      </c>
      <c r="D1830" s="9">
        <v>103.7</v>
      </c>
      <c r="E1830" s="3"/>
      <c r="F1830" s="3"/>
      <c r="G1830" s="9"/>
      <c r="H1830" s="10">
        <v>45671.761597222219</v>
      </c>
      <c r="I1830" s="10">
        <v>45671.776724537027</v>
      </c>
      <c r="J1830" s="10">
        <v>45671.794722222221</v>
      </c>
      <c r="K1830" s="11">
        <v>1.7997685185185189E-2</v>
      </c>
      <c r="L1830" s="13"/>
    </row>
    <row r="1831" spans="1:12" x14ac:dyDescent="0.25">
      <c r="A1831" s="3" t="s">
        <v>4890</v>
      </c>
      <c r="B1831" s="3" t="s">
        <v>5089</v>
      </c>
      <c r="C1831" s="3" t="s">
        <v>1695</v>
      </c>
      <c r="D1831" s="9">
        <v>111.4</v>
      </c>
      <c r="E1831" s="3"/>
      <c r="F1831" s="3"/>
      <c r="G1831" s="9"/>
      <c r="H1831" s="10">
        <v>45671.770069444443</v>
      </c>
      <c r="I1831" s="10">
        <v>45671.780706018522</v>
      </c>
      <c r="J1831" s="10">
        <v>45671.800046296303</v>
      </c>
      <c r="K1831" s="11">
        <v>1.9340277777777779E-2</v>
      </c>
      <c r="L1831" s="13"/>
    </row>
    <row r="1832" spans="1:12" x14ac:dyDescent="0.25">
      <c r="A1832" s="3" t="s">
        <v>4890</v>
      </c>
      <c r="B1832" s="3" t="s">
        <v>5090</v>
      </c>
      <c r="C1832" s="3" t="s">
        <v>1692</v>
      </c>
      <c r="D1832" s="9">
        <v>132.69999999999999</v>
      </c>
      <c r="E1832" s="3"/>
      <c r="F1832" s="3"/>
      <c r="G1832" s="9"/>
      <c r="H1832" s="10">
        <v>45671.774791666663</v>
      </c>
      <c r="I1832" s="10">
        <v>45671.796458333331</v>
      </c>
      <c r="J1832" s="10">
        <v>45671.819490740738</v>
      </c>
      <c r="K1832" s="11">
        <v>2.3032407407407411E-2</v>
      </c>
      <c r="L1832" s="13"/>
    </row>
    <row r="1833" spans="1:12" x14ac:dyDescent="0.25">
      <c r="A1833" s="3" t="s">
        <v>4890</v>
      </c>
      <c r="B1833" s="3" t="s">
        <v>5091</v>
      </c>
      <c r="C1833" s="3" t="s">
        <v>1608</v>
      </c>
      <c r="D1833" s="9">
        <v>208.9</v>
      </c>
      <c r="E1833" s="3"/>
      <c r="F1833" s="3"/>
      <c r="G1833" s="9"/>
      <c r="H1833" s="10">
        <v>45672.117048611108</v>
      </c>
      <c r="I1833" s="10">
        <v>45672.11791666667</v>
      </c>
      <c r="J1833" s="10">
        <v>45672.154178240737</v>
      </c>
      <c r="K1833" s="11">
        <v>3.6261574074074071E-2</v>
      </c>
      <c r="L1833" s="13"/>
    </row>
    <row r="1834" spans="1:12" x14ac:dyDescent="0.25">
      <c r="A1834" s="3" t="s">
        <v>4890</v>
      </c>
      <c r="B1834" s="3" t="s">
        <v>5092</v>
      </c>
      <c r="C1834" s="3" t="s">
        <v>1542</v>
      </c>
      <c r="D1834" s="9">
        <v>177.4</v>
      </c>
      <c r="E1834" s="3"/>
      <c r="F1834" s="3"/>
      <c r="G1834" s="9"/>
      <c r="H1834" s="10">
        <v>45672.122870370367</v>
      </c>
      <c r="I1834" s="10">
        <v>45672.123703703714</v>
      </c>
      <c r="J1834" s="10">
        <v>45672.154502314806</v>
      </c>
      <c r="K1834" s="11">
        <v>3.079861111111111E-2</v>
      </c>
      <c r="L1834" s="13"/>
    </row>
    <row r="1835" spans="1:12" x14ac:dyDescent="0.25">
      <c r="A1835" s="3" t="s">
        <v>4890</v>
      </c>
      <c r="B1835" s="3" t="s">
        <v>5093</v>
      </c>
      <c r="C1835" s="3" t="s">
        <v>1717</v>
      </c>
      <c r="D1835" s="9">
        <v>521.9</v>
      </c>
      <c r="E1835" s="3"/>
      <c r="F1835" s="3"/>
      <c r="G1835" s="9"/>
      <c r="H1835" s="10">
        <v>45672.207256944443</v>
      </c>
      <c r="I1835" s="10">
        <v>45672.208101851851</v>
      </c>
      <c r="J1835" s="10">
        <v>45672.298703703702</v>
      </c>
      <c r="K1835" s="11">
        <v>9.060185185185185E-2</v>
      </c>
      <c r="L1835" s="13"/>
    </row>
    <row r="1836" spans="1:12" x14ac:dyDescent="0.25">
      <c r="A1836" s="3" t="s">
        <v>4890</v>
      </c>
      <c r="B1836" s="3" t="s">
        <v>5094</v>
      </c>
      <c r="C1836" s="3" t="s">
        <v>1705</v>
      </c>
      <c r="D1836" s="9">
        <v>313.7</v>
      </c>
      <c r="E1836" s="3"/>
      <c r="F1836" s="3"/>
      <c r="G1836" s="9"/>
      <c r="H1836" s="10">
        <v>45672.283796296288</v>
      </c>
      <c r="I1836" s="10">
        <v>45672.28466435185</v>
      </c>
      <c r="J1836" s="10">
        <v>45672.339131944442</v>
      </c>
      <c r="K1836" s="11">
        <v>5.4467592592592602E-2</v>
      </c>
      <c r="L1836" s="13"/>
    </row>
    <row r="1837" spans="1:12" x14ac:dyDescent="0.25">
      <c r="A1837" s="3" t="s">
        <v>4890</v>
      </c>
      <c r="B1837" s="3" t="s">
        <v>5095</v>
      </c>
      <c r="C1837" s="3" t="s">
        <v>1689</v>
      </c>
      <c r="D1837" s="9">
        <v>110.2</v>
      </c>
      <c r="E1837" s="3"/>
      <c r="F1837" s="3"/>
      <c r="G1837" s="9"/>
      <c r="H1837" s="10">
        <v>45672.321018518523</v>
      </c>
      <c r="I1837" s="10">
        <v>45672.321886574071</v>
      </c>
      <c r="J1837" s="10">
        <v>45672.34101851852</v>
      </c>
      <c r="K1837" s="11">
        <v>1.9131944444444441E-2</v>
      </c>
      <c r="L1837" s="13"/>
    </row>
    <row r="1838" spans="1:12" x14ac:dyDescent="0.25">
      <c r="A1838" s="3" t="s">
        <v>4890</v>
      </c>
      <c r="B1838" s="3" t="s">
        <v>5096</v>
      </c>
      <c r="C1838" s="3" t="s">
        <v>1668</v>
      </c>
      <c r="D1838" s="9">
        <v>145.1</v>
      </c>
      <c r="E1838" s="3"/>
      <c r="F1838" s="3"/>
      <c r="G1838" s="9"/>
      <c r="H1838" s="10">
        <v>45672.331666666672</v>
      </c>
      <c r="I1838" s="10">
        <v>45672.339236111111</v>
      </c>
      <c r="J1838" s="10">
        <v>45672.364421296297</v>
      </c>
      <c r="K1838" s="11">
        <v>2.5185185185185189E-2</v>
      </c>
      <c r="L1838" s="13"/>
    </row>
    <row r="1839" spans="1:12" x14ac:dyDescent="0.25">
      <c r="A1839" s="3" t="s">
        <v>4890</v>
      </c>
      <c r="B1839" s="3" t="s">
        <v>5097</v>
      </c>
      <c r="C1839" s="3" t="s">
        <v>1742</v>
      </c>
      <c r="D1839" s="9">
        <v>108</v>
      </c>
      <c r="E1839" s="3"/>
      <c r="F1839" s="3"/>
      <c r="G1839" s="9"/>
      <c r="H1839" s="10">
        <v>45672.334641203714</v>
      </c>
      <c r="I1839" s="10">
        <v>45672.340868055559</v>
      </c>
      <c r="J1839" s="10">
        <v>45672.359618055547</v>
      </c>
      <c r="K1839" s="11">
        <v>1.8749999999999999E-2</v>
      </c>
      <c r="L1839" s="13"/>
    </row>
    <row r="1840" spans="1:12" x14ac:dyDescent="0.25">
      <c r="A1840" s="3" t="s">
        <v>4890</v>
      </c>
      <c r="B1840" s="3" t="s">
        <v>5098</v>
      </c>
      <c r="C1840" s="3" t="s">
        <v>1745</v>
      </c>
      <c r="D1840" s="9">
        <v>257</v>
      </c>
      <c r="E1840" s="3"/>
      <c r="F1840" s="3"/>
      <c r="G1840" s="9"/>
      <c r="H1840" s="10">
        <v>45672.337604166663</v>
      </c>
      <c r="I1840" s="10">
        <v>45672.34275462963</v>
      </c>
      <c r="J1840" s="10">
        <v>45672.387372685182</v>
      </c>
      <c r="K1840" s="11">
        <v>4.4618055555555557E-2</v>
      </c>
      <c r="L1840" s="13"/>
    </row>
    <row r="1841" spans="1:12" x14ac:dyDescent="0.25">
      <c r="A1841" s="3" t="s">
        <v>4890</v>
      </c>
      <c r="B1841" s="3" t="s">
        <v>5099</v>
      </c>
      <c r="C1841" s="3" t="s">
        <v>1748</v>
      </c>
      <c r="D1841" s="9">
        <v>374.1</v>
      </c>
      <c r="E1841" s="3"/>
      <c r="F1841" s="3"/>
      <c r="G1841" s="9"/>
      <c r="H1841" s="10">
        <v>45672.362546296303</v>
      </c>
      <c r="I1841" s="10">
        <v>45672.364189814813</v>
      </c>
      <c r="J1841" s="10">
        <v>45672.429131944453</v>
      </c>
      <c r="K1841" s="11">
        <v>6.4942129629629627E-2</v>
      </c>
      <c r="L1841" s="13"/>
    </row>
    <row r="1842" spans="1:12" x14ac:dyDescent="0.25">
      <c r="A1842" s="3" t="s">
        <v>4890</v>
      </c>
      <c r="B1842" s="3" t="s">
        <v>5100</v>
      </c>
      <c r="C1842" s="3" t="s">
        <v>1724</v>
      </c>
      <c r="D1842" s="9">
        <v>108.7</v>
      </c>
      <c r="E1842" s="3"/>
      <c r="F1842" s="3"/>
      <c r="G1842" s="9"/>
      <c r="H1842" s="10">
        <v>45672.39162037037</v>
      </c>
      <c r="I1842" s="10">
        <v>45672.394652777781</v>
      </c>
      <c r="J1842" s="10">
        <v>45672.413530092592</v>
      </c>
      <c r="K1842" s="11">
        <v>1.8877314814814819E-2</v>
      </c>
      <c r="L1842" s="13"/>
    </row>
    <row r="1843" spans="1:12" x14ac:dyDescent="0.25">
      <c r="A1843" s="3" t="s">
        <v>4890</v>
      </c>
      <c r="B1843" s="3" t="s">
        <v>5101</v>
      </c>
      <c r="C1843" s="3" t="s">
        <v>1770</v>
      </c>
      <c r="D1843" s="9">
        <v>281.39999999999998</v>
      </c>
      <c r="E1843" s="3"/>
      <c r="F1843" s="3"/>
      <c r="G1843" s="9"/>
      <c r="H1843" s="10">
        <v>45672.404398148137</v>
      </c>
      <c r="I1843" s="10">
        <v>45672.41065972222</v>
      </c>
      <c r="J1843" s="10">
        <v>45672.459513888891</v>
      </c>
      <c r="K1843" s="11">
        <v>4.8854166666666657E-2</v>
      </c>
      <c r="L1843" s="13"/>
    </row>
    <row r="1844" spans="1:12" x14ac:dyDescent="0.25">
      <c r="A1844" s="3" t="s">
        <v>4890</v>
      </c>
      <c r="B1844" s="3" t="s">
        <v>5102</v>
      </c>
      <c r="C1844" s="3" t="s">
        <v>1698</v>
      </c>
      <c r="D1844" s="9">
        <v>114.8</v>
      </c>
      <c r="E1844" s="3"/>
      <c r="F1844" s="3"/>
      <c r="G1844" s="9"/>
      <c r="H1844" s="10">
        <v>45672.429166666669</v>
      </c>
      <c r="I1844" s="10">
        <v>45672.430868055562</v>
      </c>
      <c r="J1844" s="10">
        <v>45672.450798611113</v>
      </c>
      <c r="K1844" s="11">
        <v>1.9930555555555559E-2</v>
      </c>
      <c r="L1844" s="13"/>
    </row>
    <row r="1845" spans="1:12" x14ac:dyDescent="0.25">
      <c r="A1845" s="3" t="s">
        <v>4890</v>
      </c>
      <c r="B1845" s="3" t="s">
        <v>5103</v>
      </c>
      <c r="C1845" s="3" t="s">
        <v>1777</v>
      </c>
      <c r="D1845" s="9">
        <v>252.6</v>
      </c>
      <c r="E1845" s="3"/>
      <c r="F1845" s="3"/>
      <c r="G1845" s="9"/>
      <c r="H1845" s="10">
        <v>45672.429722222223</v>
      </c>
      <c r="I1845" s="10">
        <v>45672.431377314817</v>
      </c>
      <c r="J1845" s="10">
        <v>45672.475231481483</v>
      </c>
      <c r="K1845" s="11">
        <v>4.3854166666666673E-2</v>
      </c>
      <c r="L1845" s="13"/>
    </row>
    <row r="1846" spans="1:12" x14ac:dyDescent="0.25">
      <c r="A1846" s="3" t="s">
        <v>4890</v>
      </c>
      <c r="B1846" s="3" t="s">
        <v>5104</v>
      </c>
      <c r="C1846" s="3" t="s">
        <v>1780</v>
      </c>
      <c r="D1846" s="9">
        <v>120.9</v>
      </c>
      <c r="E1846" s="3"/>
      <c r="F1846" s="3"/>
      <c r="G1846" s="9"/>
      <c r="H1846" s="10">
        <v>45672.551747685182</v>
      </c>
      <c r="I1846" s="10">
        <v>45672.552615740737</v>
      </c>
      <c r="J1846" s="10">
        <v>45672.573599537027</v>
      </c>
      <c r="K1846" s="11">
        <v>2.0983796296296299E-2</v>
      </c>
      <c r="L1846" s="13"/>
    </row>
    <row r="1847" spans="1:12" x14ac:dyDescent="0.25">
      <c r="A1847" s="3" t="s">
        <v>4890</v>
      </c>
      <c r="B1847" s="3" t="s">
        <v>5105</v>
      </c>
      <c r="C1847" s="3" t="s">
        <v>1765</v>
      </c>
      <c r="D1847" s="9">
        <v>189</v>
      </c>
      <c r="E1847" s="3"/>
      <c r="F1847" s="3"/>
      <c r="G1847" s="9"/>
      <c r="H1847" s="10">
        <v>45672.657430555562</v>
      </c>
      <c r="I1847" s="10">
        <v>45672.65829861111</v>
      </c>
      <c r="J1847" s="10">
        <v>45672.691111111111</v>
      </c>
      <c r="K1847" s="11">
        <v>3.2812500000000001E-2</v>
      </c>
      <c r="L1847" s="13"/>
    </row>
    <row r="1848" spans="1:12" x14ac:dyDescent="0.25">
      <c r="A1848" s="3" t="s">
        <v>4890</v>
      </c>
      <c r="B1848" s="3" t="s">
        <v>5106</v>
      </c>
      <c r="C1848" s="3" t="s">
        <v>1755</v>
      </c>
      <c r="D1848" s="9">
        <v>102.8</v>
      </c>
      <c r="E1848" s="3"/>
      <c r="F1848" s="3"/>
      <c r="G1848" s="9"/>
      <c r="H1848" s="10">
        <v>45672.665578703702</v>
      </c>
      <c r="I1848" s="10">
        <v>45672.667210648149</v>
      </c>
      <c r="J1848" s="10">
        <v>45672.685057870367</v>
      </c>
      <c r="K1848" s="11">
        <v>1.7847222222222219E-2</v>
      </c>
      <c r="L1848" s="13"/>
    </row>
    <row r="1849" spans="1:12" x14ac:dyDescent="0.25">
      <c r="A1849" s="3" t="s">
        <v>4890</v>
      </c>
      <c r="B1849" s="3" t="s">
        <v>5107</v>
      </c>
      <c r="C1849" s="3" t="s">
        <v>1727</v>
      </c>
      <c r="D1849" s="9">
        <v>223.9</v>
      </c>
      <c r="E1849" s="3"/>
      <c r="F1849" s="3"/>
      <c r="G1849" s="9"/>
      <c r="H1849" s="10">
        <v>45672.669398148151</v>
      </c>
      <c r="I1849" s="10">
        <v>45672.671979166669</v>
      </c>
      <c r="J1849" s="10">
        <v>45672.710856481477</v>
      </c>
      <c r="K1849" s="11">
        <v>3.8877314814814823E-2</v>
      </c>
      <c r="L1849" s="13"/>
    </row>
    <row r="1850" spans="1:12" x14ac:dyDescent="0.25">
      <c r="A1850" s="3" t="s">
        <v>4890</v>
      </c>
      <c r="B1850" s="3" t="s">
        <v>5108</v>
      </c>
      <c r="C1850" s="3" t="s">
        <v>1806</v>
      </c>
      <c r="D1850" s="9">
        <v>110.2</v>
      </c>
      <c r="E1850" s="3"/>
      <c r="F1850" s="3"/>
      <c r="G1850" s="9"/>
      <c r="H1850" s="10">
        <v>45672.670243055552</v>
      </c>
      <c r="I1850" s="10">
        <v>45672.686747685177</v>
      </c>
      <c r="J1850" s="10">
        <v>45672.705879629633</v>
      </c>
      <c r="K1850" s="11">
        <v>1.9131944444444441E-2</v>
      </c>
      <c r="L1850" s="13"/>
    </row>
    <row r="1851" spans="1:12" x14ac:dyDescent="0.25">
      <c r="A1851" s="3" t="s">
        <v>4890</v>
      </c>
      <c r="B1851" s="3" t="s">
        <v>5109</v>
      </c>
      <c r="C1851" s="3" t="s">
        <v>1809</v>
      </c>
      <c r="D1851" s="9">
        <v>325.39999999999998</v>
      </c>
      <c r="E1851" s="3"/>
      <c r="F1851" s="3"/>
      <c r="G1851" s="9"/>
      <c r="H1851" s="10">
        <v>45672.731099537043</v>
      </c>
      <c r="I1851" s="10">
        <v>45672.73196759259</v>
      </c>
      <c r="J1851" s="10">
        <v>45672.788460648153</v>
      </c>
      <c r="K1851" s="11">
        <v>5.6493055555555553E-2</v>
      </c>
      <c r="L1851" s="13"/>
    </row>
    <row r="1852" spans="1:12" x14ac:dyDescent="0.25">
      <c r="A1852" s="3" t="s">
        <v>4890</v>
      </c>
      <c r="B1852" s="3" t="s">
        <v>5110</v>
      </c>
      <c r="C1852" s="3" t="s">
        <v>1792</v>
      </c>
      <c r="D1852" s="9">
        <v>116.9</v>
      </c>
      <c r="E1852" s="3"/>
      <c r="F1852" s="3"/>
      <c r="G1852" s="9"/>
      <c r="H1852" s="10">
        <v>45672.763310185182</v>
      </c>
      <c r="I1852" s="10">
        <v>45672.764155092591</v>
      </c>
      <c r="J1852" s="10">
        <v>45672.784456018519</v>
      </c>
      <c r="K1852" s="11">
        <v>2.0300925925925931E-2</v>
      </c>
      <c r="L1852" s="13"/>
    </row>
    <row r="1853" spans="1:12" x14ac:dyDescent="0.25">
      <c r="A1853" s="3" t="s">
        <v>4890</v>
      </c>
      <c r="B1853" s="3" t="s">
        <v>5111</v>
      </c>
      <c r="C1853" s="3" t="s">
        <v>1732</v>
      </c>
      <c r="D1853" s="9">
        <v>118.5</v>
      </c>
      <c r="E1853" s="3"/>
      <c r="F1853" s="3"/>
      <c r="G1853" s="9"/>
      <c r="H1853" s="10">
        <v>45672.765289351853</v>
      </c>
      <c r="I1853" s="10">
        <v>45672.778344907398</v>
      </c>
      <c r="J1853" s="10">
        <v>45672.79892361111</v>
      </c>
      <c r="K1853" s="11">
        <v>2.05787037037037E-2</v>
      </c>
      <c r="L1853" s="13"/>
    </row>
    <row r="1854" spans="1:12" x14ac:dyDescent="0.25">
      <c r="A1854" s="3" t="s">
        <v>4890</v>
      </c>
      <c r="B1854" s="3" t="s">
        <v>5112</v>
      </c>
      <c r="C1854" s="3" t="s">
        <v>1762</v>
      </c>
      <c r="D1854" s="9">
        <v>125.9</v>
      </c>
      <c r="E1854" s="3"/>
      <c r="F1854" s="3"/>
      <c r="G1854" s="9"/>
      <c r="H1854" s="10">
        <v>45672.776562500003</v>
      </c>
      <c r="I1854" s="10">
        <v>45672.786157407398</v>
      </c>
      <c r="J1854" s="10">
        <v>45672.808009259257</v>
      </c>
      <c r="K1854" s="11">
        <v>2.1851851851851851E-2</v>
      </c>
      <c r="L1854" s="13"/>
    </row>
    <row r="1855" spans="1:12" x14ac:dyDescent="0.25">
      <c r="A1855" s="3" t="s">
        <v>4890</v>
      </c>
      <c r="B1855" s="3" t="s">
        <v>5113</v>
      </c>
      <c r="C1855" s="3" t="s">
        <v>1826</v>
      </c>
      <c r="D1855" s="9">
        <v>144.80000000000001</v>
      </c>
      <c r="E1855" s="3"/>
      <c r="F1855" s="3"/>
      <c r="G1855" s="9"/>
      <c r="H1855" s="10">
        <v>45673.124016203707</v>
      </c>
      <c r="I1855" s="10">
        <v>45673.124803240738</v>
      </c>
      <c r="J1855" s="10">
        <v>45673.149942129632</v>
      </c>
      <c r="K1855" s="11">
        <v>2.5138888888888891E-2</v>
      </c>
      <c r="L1855" s="13"/>
    </row>
    <row r="1856" spans="1:12" x14ac:dyDescent="0.25">
      <c r="A1856" s="3" t="s">
        <v>4890</v>
      </c>
      <c r="B1856" s="3" t="s">
        <v>5114</v>
      </c>
      <c r="C1856" s="3" t="s">
        <v>1846</v>
      </c>
      <c r="D1856" s="9">
        <v>297</v>
      </c>
      <c r="E1856" s="3"/>
      <c r="F1856" s="3"/>
      <c r="G1856" s="9"/>
      <c r="H1856" s="10">
        <v>45673.276979166672</v>
      </c>
      <c r="I1856" s="10">
        <v>45673.27784722222</v>
      </c>
      <c r="J1856" s="10">
        <v>45673.329409722217</v>
      </c>
      <c r="K1856" s="11">
        <v>5.1562499999999997E-2</v>
      </c>
      <c r="L1856" s="13"/>
    </row>
    <row r="1857" spans="1:12" x14ac:dyDescent="0.25">
      <c r="A1857" s="3" t="s">
        <v>4890</v>
      </c>
      <c r="B1857" s="3" t="s">
        <v>5115</v>
      </c>
      <c r="C1857" s="3" t="s">
        <v>1873</v>
      </c>
      <c r="D1857" s="9">
        <v>126</v>
      </c>
      <c r="E1857" s="3"/>
      <c r="F1857" s="3"/>
      <c r="G1857" s="9"/>
      <c r="H1857" s="10">
        <v>45673.312071759261</v>
      </c>
      <c r="I1857" s="10">
        <v>45673.312905092593</v>
      </c>
      <c r="J1857" s="10">
        <v>45673.334780092591</v>
      </c>
      <c r="K1857" s="11">
        <v>2.1874999999999999E-2</v>
      </c>
      <c r="L1857" s="13"/>
    </row>
    <row r="1858" spans="1:12" x14ac:dyDescent="0.25">
      <c r="A1858" s="3" t="s">
        <v>4890</v>
      </c>
      <c r="B1858" s="3" t="s">
        <v>5116</v>
      </c>
      <c r="C1858" s="3" t="s">
        <v>1823</v>
      </c>
      <c r="D1858" s="9">
        <v>124.4</v>
      </c>
      <c r="E1858" s="3"/>
      <c r="F1858" s="3"/>
      <c r="G1858" s="9"/>
      <c r="H1858" s="10">
        <v>45673.327187499999</v>
      </c>
      <c r="I1858" s="10">
        <v>45673.335520833331</v>
      </c>
      <c r="J1858" s="10">
        <v>45673.357129629629</v>
      </c>
      <c r="K1858" s="11">
        <v>2.16087962962963E-2</v>
      </c>
      <c r="L1858" s="13"/>
    </row>
    <row r="1859" spans="1:12" x14ac:dyDescent="0.25">
      <c r="A1859" s="3" t="s">
        <v>4890</v>
      </c>
      <c r="B1859" s="3" t="s">
        <v>5117</v>
      </c>
      <c r="C1859" s="3" t="s">
        <v>1712</v>
      </c>
      <c r="D1859" s="9">
        <v>107.9</v>
      </c>
      <c r="E1859" s="3"/>
      <c r="F1859" s="3"/>
      <c r="G1859" s="9"/>
      <c r="H1859" s="10">
        <v>45673.340532407397</v>
      </c>
      <c r="I1859" s="10">
        <v>45673.341365740736</v>
      </c>
      <c r="J1859" s="10">
        <v>45673.360092592593</v>
      </c>
      <c r="K1859" s="11">
        <v>1.8726851851851849E-2</v>
      </c>
      <c r="L1859" s="13"/>
    </row>
    <row r="1860" spans="1:12" x14ac:dyDescent="0.25">
      <c r="A1860" s="3" t="s">
        <v>4890</v>
      </c>
      <c r="B1860" s="3" t="s">
        <v>5118</v>
      </c>
      <c r="C1860" s="3" t="s">
        <v>1876</v>
      </c>
      <c r="D1860" s="9">
        <v>396.6</v>
      </c>
      <c r="E1860" s="3"/>
      <c r="F1860" s="3"/>
      <c r="G1860" s="9"/>
      <c r="H1860" s="10">
        <v>45673.343935185178</v>
      </c>
      <c r="I1860" s="10">
        <v>45673.345671296287</v>
      </c>
      <c r="J1860" s="10">
        <v>45673.414525462962</v>
      </c>
      <c r="K1860" s="11">
        <v>6.8854166666666661E-2</v>
      </c>
      <c r="L1860" s="13"/>
    </row>
    <row r="1861" spans="1:12" x14ac:dyDescent="0.25">
      <c r="A1861" s="3" t="s">
        <v>4890</v>
      </c>
      <c r="B1861" s="3" t="s">
        <v>5119</v>
      </c>
      <c r="C1861" s="3" t="s">
        <v>1899</v>
      </c>
      <c r="D1861" s="9">
        <v>208.6</v>
      </c>
      <c r="E1861" s="3"/>
      <c r="F1861" s="3"/>
      <c r="G1861" s="9"/>
      <c r="H1861" s="10">
        <v>45673.390555555547</v>
      </c>
      <c r="I1861" s="10">
        <v>45673.391400462962</v>
      </c>
      <c r="J1861" s="10">
        <v>45673.427615740737</v>
      </c>
      <c r="K1861" s="11">
        <v>3.6215277777777777E-2</v>
      </c>
      <c r="L1861" s="13"/>
    </row>
    <row r="1862" spans="1:12" x14ac:dyDescent="0.25">
      <c r="A1862" s="3" t="s">
        <v>4890</v>
      </c>
      <c r="B1862" s="3" t="s">
        <v>5120</v>
      </c>
      <c r="C1862" s="3" t="s">
        <v>1902</v>
      </c>
      <c r="D1862" s="9">
        <v>180.8</v>
      </c>
      <c r="E1862" s="3"/>
      <c r="F1862" s="3"/>
      <c r="G1862" s="9"/>
      <c r="H1862" s="10">
        <v>45673.39266203704</v>
      </c>
      <c r="I1862" s="10">
        <v>45673.394270833327</v>
      </c>
      <c r="J1862" s="10">
        <v>45673.425659722219</v>
      </c>
      <c r="K1862" s="11">
        <v>3.138888888888889E-2</v>
      </c>
      <c r="L1862" s="13"/>
    </row>
    <row r="1863" spans="1:12" x14ac:dyDescent="0.25">
      <c r="A1863" s="3" t="s">
        <v>4890</v>
      </c>
      <c r="B1863" s="3" t="s">
        <v>5121</v>
      </c>
      <c r="C1863" s="3" t="s">
        <v>1820</v>
      </c>
      <c r="D1863" s="9">
        <v>108</v>
      </c>
      <c r="E1863" s="3"/>
      <c r="F1863" s="3"/>
      <c r="G1863" s="9"/>
      <c r="H1863" s="10">
        <v>45673.428900462961</v>
      </c>
      <c r="I1863" s="10">
        <v>45673.430636574078</v>
      </c>
      <c r="J1863" s="10">
        <v>45673.449386574073</v>
      </c>
      <c r="K1863" s="11">
        <v>1.8749999999999999E-2</v>
      </c>
      <c r="L1863" s="13"/>
    </row>
    <row r="1864" spans="1:12" x14ac:dyDescent="0.25">
      <c r="A1864" s="3" t="s">
        <v>4890</v>
      </c>
      <c r="B1864" s="3" t="s">
        <v>5122</v>
      </c>
      <c r="C1864" s="3" t="s">
        <v>1836</v>
      </c>
      <c r="D1864" s="9">
        <v>100.5</v>
      </c>
      <c r="E1864" s="3"/>
      <c r="F1864" s="3"/>
      <c r="G1864" s="9"/>
      <c r="H1864" s="10">
        <v>45673.428900462961</v>
      </c>
      <c r="I1864" s="10">
        <v>45673.456516203703</v>
      </c>
      <c r="J1864" s="10">
        <v>45673.473969907413</v>
      </c>
      <c r="K1864" s="11">
        <v>1.74537037037037E-2</v>
      </c>
      <c r="L1864" s="13"/>
    </row>
    <row r="1865" spans="1:12" x14ac:dyDescent="0.25">
      <c r="A1865" s="3" t="s">
        <v>4890</v>
      </c>
      <c r="B1865" s="3" t="s">
        <v>5123</v>
      </c>
      <c r="C1865" s="3" t="s">
        <v>1686</v>
      </c>
      <c r="D1865" s="9">
        <v>317.60000000000002</v>
      </c>
      <c r="E1865" s="3"/>
      <c r="F1865" s="3"/>
      <c r="G1865" s="9"/>
      <c r="H1865" s="10">
        <v>45673.43310185185</v>
      </c>
      <c r="I1865" s="10">
        <v>45673.543124999997</v>
      </c>
      <c r="J1865" s="10">
        <v>45673.598275462973</v>
      </c>
      <c r="K1865" s="11">
        <v>5.5150462962962957E-2</v>
      </c>
      <c r="L1865" s="13"/>
    </row>
    <row r="1866" spans="1:12" x14ac:dyDescent="0.25">
      <c r="A1866" s="3" t="s">
        <v>4890</v>
      </c>
      <c r="B1866" s="3" t="s">
        <v>5124</v>
      </c>
      <c r="C1866" s="3" t="s">
        <v>1908</v>
      </c>
      <c r="D1866" s="9">
        <v>338.3</v>
      </c>
      <c r="E1866" s="3"/>
      <c r="F1866" s="3"/>
      <c r="G1866" s="9"/>
      <c r="H1866" s="10">
        <v>45673.457175925927</v>
      </c>
      <c r="I1866" s="10">
        <v>45673.615995370368</v>
      </c>
      <c r="J1866" s="10">
        <v>45673.674733796302</v>
      </c>
      <c r="K1866" s="11">
        <v>5.8738425925925923E-2</v>
      </c>
      <c r="L1866" s="13"/>
    </row>
    <row r="1867" spans="1:12" x14ac:dyDescent="0.25">
      <c r="A1867" s="3" t="s">
        <v>4890</v>
      </c>
      <c r="B1867" s="3" t="s">
        <v>5125</v>
      </c>
      <c r="C1867" s="3" t="s">
        <v>1911</v>
      </c>
      <c r="D1867" s="9">
        <v>173</v>
      </c>
      <c r="E1867" s="3"/>
      <c r="F1867" s="3"/>
      <c r="G1867" s="9"/>
      <c r="H1867" s="10">
        <v>45673.54378472222</v>
      </c>
      <c r="I1867" s="10">
        <v>45673.643078703702</v>
      </c>
      <c r="J1867" s="10">
        <v>45673.673101851848</v>
      </c>
      <c r="K1867" s="11">
        <v>3.0023148148148149E-2</v>
      </c>
      <c r="L1867" s="13"/>
    </row>
    <row r="1868" spans="1:12" x14ac:dyDescent="0.25">
      <c r="A1868" s="3" t="s">
        <v>4890</v>
      </c>
      <c r="B1868" s="3" t="s">
        <v>5126</v>
      </c>
      <c r="C1868" s="3" t="s">
        <v>1914</v>
      </c>
      <c r="D1868" s="9">
        <v>233.9</v>
      </c>
      <c r="E1868" s="3"/>
      <c r="F1868" s="3"/>
      <c r="G1868" s="9"/>
      <c r="H1868" s="10">
        <v>45673.616655092592</v>
      </c>
      <c r="I1868" s="10">
        <v>45673.655231481483</v>
      </c>
      <c r="J1868" s="10">
        <v>45673.695844907408</v>
      </c>
      <c r="K1868" s="11">
        <v>4.0613425925925928E-2</v>
      </c>
      <c r="L1868" s="13"/>
    </row>
    <row r="1869" spans="1:12" x14ac:dyDescent="0.25">
      <c r="A1869" s="3" t="s">
        <v>4890</v>
      </c>
      <c r="B1869" s="3" t="s">
        <v>5127</v>
      </c>
      <c r="C1869" s="3" t="s">
        <v>1919</v>
      </c>
      <c r="D1869" s="9">
        <v>171.7</v>
      </c>
      <c r="E1869" s="3"/>
      <c r="F1869" s="3"/>
      <c r="G1869" s="9"/>
      <c r="H1869" s="10">
        <v>45673.634560185194</v>
      </c>
      <c r="I1869" s="10">
        <v>45673.683032407411</v>
      </c>
      <c r="J1869" s="10">
        <v>45673.712835648148</v>
      </c>
      <c r="K1869" s="11">
        <v>2.9803240740740741E-2</v>
      </c>
      <c r="L1869" s="13"/>
    </row>
    <row r="1870" spans="1:12" x14ac:dyDescent="0.25">
      <c r="A1870" s="3" t="s">
        <v>4890</v>
      </c>
      <c r="B1870" s="3" t="s">
        <v>5128</v>
      </c>
      <c r="C1870" s="3" t="s">
        <v>1934</v>
      </c>
      <c r="D1870" s="9">
        <v>120.4</v>
      </c>
      <c r="E1870" s="3"/>
      <c r="F1870" s="3"/>
      <c r="G1870" s="9"/>
      <c r="H1870" s="10">
        <v>45673.685219907413</v>
      </c>
      <c r="I1870" s="10">
        <v>45673.751863425918</v>
      </c>
      <c r="J1870" s="10">
        <v>45673.77275462963</v>
      </c>
      <c r="K1870" s="11">
        <v>2.08912037037037E-2</v>
      </c>
      <c r="L1870" s="13"/>
    </row>
    <row r="1871" spans="1:12" x14ac:dyDescent="0.25">
      <c r="A1871" s="3" t="s">
        <v>4890</v>
      </c>
      <c r="B1871" s="3" t="s">
        <v>5129</v>
      </c>
      <c r="C1871" s="3" t="s">
        <v>1866</v>
      </c>
      <c r="D1871" s="9">
        <v>126</v>
      </c>
      <c r="E1871" s="3"/>
      <c r="F1871" s="3"/>
      <c r="G1871" s="9"/>
      <c r="H1871" s="10">
        <v>45673.748645833337</v>
      </c>
      <c r="I1871" s="10">
        <v>45673.861666666657</v>
      </c>
      <c r="J1871" s="10">
        <v>45673.88354166667</v>
      </c>
      <c r="K1871" s="11">
        <v>2.1874999999999999E-2</v>
      </c>
      <c r="L1871" s="13"/>
    </row>
    <row r="1872" spans="1:12" x14ac:dyDescent="0.25">
      <c r="A1872" s="3" t="s">
        <v>4890</v>
      </c>
      <c r="B1872" s="3" t="s">
        <v>5130</v>
      </c>
      <c r="C1872" s="3" t="s">
        <v>1945</v>
      </c>
      <c r="D1872" s="9">
        <v>373.3</v>
      </c>
      <c r="E1872" s="3"/>
      <c r="F1872" s="3"/>
      <c r="G1872" s="9"/>
      <c r="H1872" s="10">
        <v>45673.748993055553</v>
      </c>
      <c r="I1872" s="10">
        <v>45674.133692129632</v>
      </c>
      <c r="J1872" s="10">
        <v>45674.198506944442</v>
      </c>
      <c r="K1872" s="11">
        <v>6.4814814814814811E-2</v>
      </c>
      <c r="L1872" s="13"/>
    </row>
    <row r="1873" spans="1:12" x14ac:dyDescent="0.25">
      <c r="A1873" s="3" t="s">
        <v>4890</v>
      </c>
      <c r="B1873" s="3" t="s">
        <v>5131</v>
      </c>
      <c r="C1873" s="3" t="s">
        <v>1955</v>
      </c>
      <c r="D1873" s="9">
        <v>108.7</v>
      </c>
      <c r="E1873" s="3"/>
      <c r="F1873" s="3"/>
      <c r="G1873" s="9"/>
      <c r="H1873" s="10">
        <v>45673.854398148149</v>
      </c>
      <c r="I1873" s="10">
        <v>45674.199456018519</v>
      </c>
      <c r="J1873" s="10">
        <v>45674.218333333331</v>
      </c>
      <c r="K1873" s="11">
        <v>1.8877314814814819E-2</v>
      </c>
      <c r="L1873" s="13"/>
    </row>
    <row r="1874" spans="1:12" x14ac:dyDescent="0.25">
      <c r="A1874" s="3" t="s">
        <v>4890</v>
      </c>
      <c r="B1874" s="3" t="s">
        <v>5132</v>
      </c>
      <c r="C1874" s="3" t="s">
        <v>1931</v>
      </c>
      <c r="D1874" s="9">
        <v>108</v>
      </c>
      <c r="E1874" s="3"/>
      <c r="F1874" s="3"/>
      <c r="G1874" s="9"/>
      <c r="H1874" s="10">
        <v>45673.860497685193</v>
      </c>
      <c r="I1874" s="10">
        <v>45674.2815162037</v>
      </c>
      <c r="J1874" s="10">
        <v>45674.300266203703</v>
      </c>
      <c r="K1874" s="11">
        <v>1.8749999999999999E-2</v>
      </c>
      <c r="L1874" s="13"/>
    </row>
    <row r="1875" spans="1:12" x14ac:dyDescent="0.25">
      <c r="A1875" s="3" t="s">
        <v>4890</v>
      </c>
      <c r="B1875" s="3" t="s">
        <v>5133</v>
      </c>
      <c r="C1875" s="3" t="s">
        <v>1849</v>
      </c>
      <c r="D1875" s="9">
        <v>110.2</v>
      </c>
      <c r="E1875" s="3"/>
      <c r="F1875" s="3"/>
      <c r="G1875" s="9"/>
      <c r="H1875" s="10">
        <v>45673.86173611111</v>
      </c>
      <c r="I1875" s="10">
        <v>45674.32607638889</v>
      </c>
      <c r="J1875" s="10">
        <v>45674.345208333332</v>
      </c>
      <c r="K1875" s="11">
        <v>1.9131944444444441E-2</v>
      </c>
      <c r="L1875" s="13"/>
    </row>
    <row r="1876" spans="1:12" x14ac:dyDescent="0.25">
      <c r="A1876" s="3" t="s">
        <v>4890</v>
      </c>
      <c r="B1876" s="3" t="s">
        <v>5134</v>
      </c>
      <c r="C1876" s="3" t="s">
        <v>1966</v>
      </c>
      <c r="D1876" s="9">
        <v>165.8</v>
      </c>
      <c r="E1876" s="3"/>
      <c r="F1876" s="3"/>
      <c r="G1876" s="9"/>
      <c r="H1876" s="10">
        <v>45674.130474537043</v>
      </c>
      <c r="I1876" s="10">
        <v>45674.328900462962</v>
      </c>
      <c r="J1876" s="10">
        <v>45674.357685185183</v>
      </c>
      <c r="K1876" s="11">
        <v>2.8784722222222218E-2</v>
      </c>
      <c r="L1876" s="13"/>
    </row>
    <row r="1877" spans="1:12" x14ac:dyDescent="0.25">
      <c r="A1877" s="3" t="s">
        <v>4890</v>
      </c>
      <c r="B1877" s="3" t="s">
        <v>5135</v>
      </c>
      <c r="C1877" s="3" t="s">
        <v>1801</v>
      </c>
      <c r="D1877" s="9">
        <v>134.30000000000001</v>
      </c>
      <c r="E1877" s="3"/>
      <c r="F1877" s="3"/>
      <c r="G1877" s="9"/>
      <c r="H1877" s="10">
        <v>45674.135879629634</v>
      </c>
      <c r="I1877" s="10">
        <v>45674.346863425933</v>
      </c>
      <c r="J1877" s="10">
        <v>45674.370185185187</v>
      </c>
      <c r="K1877" s="11">
        <v>2.3321759259259261E-2</v>
      </c>
      <c r="L1877" s="13"/>
    </row>
    <row r="1878" spans="1:12" x14ac:dyDescent="0.25">
      <c r="A1878" s="3" t="s">
        <v>4890</v>
      </c>
      <c r="B1878" s="3" t="s">
        <v>5136</v>
      </c>
      <c r="C1878" s="3" t="s">
        <v>1928</v>
      </c>
      <c r="D1878" s="9">
        <v>574.1</v>
      </c>
      <c r="E1878" s="3"/>
      <c r="F1878" s="3"/>
      <c r="G1878" s="9"/>
      <c r="H1878" s="10">
        <v>45674.201273148137</v>
      </c>
      <c r="I1878" s="10">
        <v>45674.379143518519</v>
      </c>
      <c r="J1878" s="10">
        <v>45674.478807870371</v>
      </c>
      <c r="K1878" s="11">
        <v>9.9664351851851851E-2</v>
      </c>
      <c r="L1878" s="13"/>
    </row>
    <row r="1879" spans="1:12" x14ac:dyDescent="0.25">
      <c r="A1879" s="3" t="s">
        <v>4890</v>
      </c>
      <c r="B1879" s="3" t="s">
        <v>5137</v>
      </c>
      <c r="C1879" s="3" t="s">
        <v>1950</v>
      </c>
      <c r="D1879" s="9">
        <v>297</v>
      </c>
      <c r="E1879" s="3"/>
      <c r="F1879" s="3"/>
      <c r="G1879" s="9"/>
      <c r="H1879" s="10">
        <v>45674.281944444447</v>
      </c>
      <c r="I1879" s="10">
        <v>45674.399699074071</v>
      </c>
      <c r="J1879" s="10">
        <v>45674.451261574082</v>
      </c>
      <c r="K1879" s="11">
        <v>5.1562499999999997E-2</v>
      </c>
      <c r="L1879" s="13"/>
    </row>
    <row r="1880" spans="1:12" x14ac:dyDescent="0.25">
      <c r="A1880" s="3" t="s">
        <v>4890</v>
      </c>
      <c r="B1880" s="3" t="s">
        <v>5138</v>
      </c>
      <c r="C1880" s="3" t="s">
        <v>1831</v>
      </c>
      <c r="D1880" s="9">
        <v>134.30000000000001</v>
      </c>
      <c r="E1880" s="3"/>
      <c r="F1880" s="3"/>
      <c r="G1880" s="9"/>
      <c r="H1880" s="10">
        <v>45674.312847222223</v>
      </c>
      <c r="I1880" s="10">
        <v>45674.439317129632</v>
      </c>
      <c r="J1880" s="10">
        <v>45674.462627314817</v>
      </c>
      <c r="K1880" s="11">
        <v>2.331018518518518E-2</v>
      </c>
      <c r="L1880" s="13"/>
    </row>
    <row r="1881" spans="1:12" x14ac:dyDescent="0.25">
      <c r="A1881" s="3" t="s">
        <v>4890</v>
      </c>
      <c r="B1881" s="3" t="s">
        <v>5139</v>
      </c>
      <c r="C1881" s="3" t="s">
        <v>1984</v>
      </c>
      <c r="D1881" s="9">
        <v>147.69999999999999</v>
      </c>
      <c r="E1881" s="3"/>
      <c r="F1881" s="3"/>
      <c r="G1881" s="9"/>
      <c r="H1881" s="10">
        <v>45674.314016203702</v>
      </c>
      <c r="I1881" s="10">
        <v>45674.545451388891</v>
      </c>
      <c r="J1881" s="10">
        <v>45674.571099537039</v>
      </c>
      <c r="K1881" s="11">
        <v>2.5648148148148149E-2</v>
      </c>
      <c r="L1881" s="13"/>
    </row>
    <row r="1882" spans="1:12" x14ac:dyDescent="0.25">
      <c r="A1882" s="3" t="s">
        <v>4890</v>
      </c>
      <c r="B1882" s="3" t="s">
        <v>5140</v>
      </c>
      <c r="C1882" s="3" t="s">
        <v>1905</v>
      </c>
      <c r="D1882" s="9">
        <v>134.30000000000001</v>
      </c>
      <c r="E1882" s="3"/>
      <c r="F1882" s="3"/>
      <c r="G1882" s="9"/>
      <c r="H1882" s="10">
        <v>45674.318541666667</v>
      </c>
      <c r="I1882" s="10">
        <v>45674.659560185188</v>
      </c>
      <c r="J1882" s="10">
        <v>45674.682870370372</v>
      </c>
      <c r="K1882" s="11">
        <v>2.331018518518518E-2</v>
      </c>
      <c r="L1882" s="13"/>
    </row>
    <row r="1883" spans="1:12" x14ac:dyDescent="0.25">
      <c r="A1883" s="3" t="s">
        <v>4890</v>
      </c>
      <c r="B1883" s="3" t="s">
        <v>5141</v>
      </c>
      <c r="C1883" s="3" t="s">
        <v>1973</v>
      </c>
      <c r="D1883" s="9">
        <v>141</v>
      </c>
      <c r="E1883" s="3"/>
      <c r="F1883" s="3"/>
      <c r="G1883" s="9"/>
      <c r="H1883" s="10">
        <v>45674.328287037039</v>
      </c>
      <c r="I1883" s="10">
        <v>45674.740868055553</v>
      </c>
      <c r="J1883" s="10">
        <v>45674.765347222223</v>
      </c>
      <c r="K1883" s="11">
        <v>2.447916666666667E-2</v>
      </c>
      <c r="L1883" s="13"/>
    </row>
    <row r="1884" spans="1:12" x14ac:dyDescent="0.25">
      <c r="A1884" s="3" t="s">
        <v>4890</v>
      </c>
      <c r="B1884" s="3" t="s">
        <v>5142</v>
      </c>
      <c r="C1884" s="3" t="s">
        <v>2004</v>
      </c>
      <c r="D1884" s="9">
        <v>339.8</v>
      </c>
      <c r="E1884" s="3"/>
      <c r="F1884" s="3"/>
      <c r="G1884" s="9"/>
      <c r="H1884" s="10">
        <v>45674.329525462963</v>
      </c>
      <c r="I1884" s="10">
        <v>45674.760115740741</v>
      </c>
      <c r="J1884" s="10">
        <v>45674.819120370368</v>
      </c>
      <c r="K1884" s="11">
        <v>5.9004629629629629E-2</v>
      </c>
      <c r="L1884" s="13"/>
    </row>
    <row r="1885" spans="1:12" x14ac:dyDescent="0.25">
      <c r="A1885" s="3" t="s">
        <v>4890</v>
      </c>
      <c r="B1885" s="3" t="s">
        <v>5143</v>
      </c>
      <c r="C1885" s="3" t="s">
        <v>1789</v>
      </c>
      <c r="D1885" s="9">
        <v>350.8</v>
      </c>
      <c r="E1885" s="3"/>
      <c r="F1885" s="3"/>
      <c r="G1885" s="9"/>
      <c r="H1885" s="10">
        <v>45674.346782407411</v>
      </c>
      <c r="I1885" s="10">
        <v>45674.867858796293</v>
      </c>
      <c r="J1885" s="10">
        <v>45674.928761574083</v>
      </c>
      <c r="K1885" s="11">
        <v>6.0902777777777778E-2</v>
      </c>
      <c r="L1885" s="13"/>
    </row>
    <row r="1886" spans="1:12" x14ac:dyDescent="0.25">
      <c r="A1886" s="3" t="s">
        <v>4890</v>
      </c>
      <c r="B1886" s="3" t="s">
        <v>5144</v>
      </c>
      <c r="C1886" s="3" t="s">
        <v>2034</v>
      </c>
      <c r="D1886" s="9">
        <v>173.3</v>
      </c>
      <c r="E1886" s="3"/>
      <c r="F1886" s="3"/>
      <c r="G1886" s="9"/>
      <c r="H1886" s="10">
        <v>45674.379837962973</v>
      </c>
      <c r="I1886" s="10">
        <v>45675.036435185182</v>
      </c>
      <c r="J1886" s="10">
        <v>45675.066516203697</v>
      </c>
      <c r="K1886" s="11">
        <v>3.0081018518518521E-2</v>
      </c>
      <c r="L1886" s="13"/>
    </row>
    <row r="1887" spans="1:12" x14ac:dyDescent="0.25">
      <c r="A1887" s="3" t="s">
        <v>4890</v>
      </c>
      <c r="B1887" s="3" t="s">
        <v>5145</v>
      </c>
      <c r="C1887" s="3" t="s">
        <v>1991</v>
      </c>
      <c r="D1887" s="9">
        <v>240.6</v>
      </c>
      <c r="E1887" s="3"/>
      <c r="F1887" s="3"/>
      <c r="G1887" s="9"/>
      <c r="H1887" s="10">
        <v>45674.385949074072</v>
      </c>
      <c r="I1887" s="10">
        <v>45675.25440972222</v>
      </c>
      <c r="J1887" s="10">
        <v>45675.296180555553</v>
      </c>
      <c r="K1887" s="11">
        <v>4.1770833333333333E-2</v>
      </c>
      <c r="L1887" s="13"/>
    </row>
    <row r="1888" spans="1:12" x14ac:dyDescent="0.25">
      <c r="A1888" s="3" t="s">
        <v>4890</v>
      </c>
      <c r="B1888" s="3" t="s">
        <v>5146</v>
      </c>
      <c r="C1888" s="3" t="s">
        <v>1843</v>
      </c>
      <c r="D1888" s="9">
        <v>159.69999999999999</v>
      </c>
      <c r="E1888" s="3"/>
      <c r="F1888" s="3"/>
      <c r="G1888" s="9"/>
      <c r="H1888" s="10">
        <v>45674.400000000001</v>
      </c>
      <c r="I1888" s="10">
        <v>45675.30059027778</v>
      </c>
      <c r="J1888" s="10">
        <v>45675.328321759262</v>
      </c>
      <c r="K1888" s="11">
        <v>2.7731481481481478E-2</v>
      </c>
      <c r="L1888" s="13"/>
    </row>
    <row r="1889" spans="1:12" x14ac:dyDescent="0.25">
      <c r="A1889" s="3" t="s">
        <v>4890</v>
      </c>
      <c r="B1889" s="3" t="s">
        <v>5147</v>
      </c>
      <c r="C1889" s="3" t="s">
        <v>1994</v>
      </c>
      <c r="D1889" s="9">
        <v>184.5</v>
      </c>
      <c r="E1889" s="3"/>
      <c r="F1889" s="3"/>
      <c r="G1889" s="9"/>
      <c r="H1889" s="10">
        <v>45674.40152777778</v>
      </c>
      <c r="I1889" s="10">
        <v>45676.747916666667</v>
      </c>
      <c r="J1889" s="10">
        <v>45676.779965277783</v>
      </c>
      <c r="K1889" s="11">
        <v>3.2048611111111111E-2</v>
      </c>
      <c r="L1889" s="13"/>
    </row>
    <row r="1890" spans="1:12" x14ac:dyDescent="0.25">
      <c r="A1890" s="3" t="s">
        <v>4890</v>
      </c>
      <c r="B1890" s="3" t="s">
        <v>5148</v>
      </c>
      <c r="C1890" s="3" t="s">
        <v>2041</v>
      </c>
      <c r="D1890" s="9">
        <v>238.4</v>
      </c>
      <c r="E1890" s="3"/>
      <c r="F1890" s="3"/>
      <c r="G1890" s="9"/>
      <c r="H1890" s="10">
        <v>45674.54614583333</v>
      </c>
      <c r="I1890" s="10">
        <v>45676.855671296304</v>
      </c>
      <c r="J1890" s="10">
        <v>45676.89707175926</v>
      </c>
      <c r="K1890" s="11">
        <v>4.1400462962962972E-2</v>
      </c>
      <c r="L1890" s="13"/>
    </row>
    <row r="1891" spans="1:12" x14ac:dyDescent="0.25">
      <c r="A1891" s="3" t="s">
        <v>4890</v>
      </c>
      <c r="B1891" s="3" t="s">
        <v>5149</v>
      </c>
      <c r="C1891" s="3" t="s">
        <v>2019</v>
      </c>
      <c r="D1891" s="9">
        <v>220.4</v>
      </c>
      <c r="E1891" s="3"/>
      <c r="F1891" s="3"/>
      <c r="G1891" s="9"/>
      <c r="H1891" s="10">
        <v>45674.660185185188</v>
      </c>
      <c r="I1891" s="10">
        <v>45677.122731481482</v>
      </c>
      <c r="J1891" s="10">
        <v>45677.160983796297</v>
      </c>
      <c r="K1891" s="11">
        <v>3.8252314814814822E-2</v>
      </c>
      <c r="L1891" s="13"/>
    </row>
    <row r="1892" spans="1:12" x14ac:dyDescent="0.25">
      <c r="A1892" s="3" t="s">
        <v>4890</v>
      </c>
      <c r="B1892" s="3" t="s">
        <v>5150</v>
      </c>
      <c r="C1892" s="3" t="s">
        <v>2037</v>
      </c>
      <c r="D1892" s="9">
        <v>302.10000000000002</v>
      </c>
      <c r="E1892" s="3"/>
      <c r="F1892" s="3"/>
      <c r="G1892" s="9"/>
      <c r="H1892" s="10">
        <v>45674.741562499999</v>
      </c>
      <c r="I1892" s="10">
        <v>45677.201331018521</v>
      </c>
      <c r="J1892" s="10">
        <v>45677.253784722219</v>
      </c>
      <c r="K1892" s="11">
        <v>5.2453703703703697E-2</v>
      </c>
      <c r="L1892" s="13"/>
    </row>
    <row r="1893" spans="1:12" x14ac:dyDescent="0.25">
      <c r="A1893" s="3" t="s">
        <v>4890</v>
      </c>
      <c r="B1893" s="3" t="s">
        <v>5151</v>
      </c>
      <c r="C1893" s="3" t="s">
        <v>1997</v>
      </c>
      <c r="D1893" s="9">
        <v>110.2</v>
      </c>
      <c r="E1893" s="3"/>
      <c r="F1893" s="3"/>
      <c r="G1893" s="9"/>
      <c r="H1893" s="10">
        <v>45674.760775462957</v>
      </c>
      <c r="I1893" s="10">
        <v>45677.257071759261</v>
      </c>
      <c r="J1893" s="10">
        <v>45677.276192129633</v>
      </c>
      <c r="K1893" s="11">
        <v>1.9120370370370371E-2</v>
      </c>
      <c r="L1893" s="13"/>
    </row>
    <row r="1894" spans="1:12" x14ac:dyDescent="0.25">
      <c r="A1894" s="3" t="s">
        <v>4890</v>
      </c>
      <c r="B1894" s="3" t="s">
        <v>5152</v>
      </c>
      <c r="C1894" s="3" t="s">
        <v>2056</v>
      </c>
      <c r="D1894" s="9">
        <v>175.8</v>
      </c>
      <c r="E1894" s="3"/>
      <c r="F1894" s="3"/>
      <c r="G1894" s="9"/>
      <c r="H1894" s="10">
        <v>45674.868159722217</v>
      </c>
      <c r="I1894" s="10">
        <v>45677.321250000001</v>
      </c>
      <c r="J1894" s="10">
        <v>45677.351770833331</v>
      </c>
      <c r="K1894" s="11">
        <v>3.052083333333333E-2</v>
      </c>
      <c r="L1894" s="13"/>
    </row>
    <row r="1895" spans="1:12" x14ac:dyDescent="0.25">
      <c r="A1895" s="3" t="s">
        <v>4890</v>
      </c>
      <c r="B1895" s="3" t="s">
        <v>5153</v>
      </c>
      <c r="C1895" s="3" t="s">
        <v>2070</v>
      </c>
      <c r="D1895" s="9">
        <v>179.2</v>
      </c>
      <c r="E1895" s="3"/>
      <c r="F1895" s="3"/>
      <c r="G1895" s="9"/>
      <c r="H1895" s="10">
        <v>45675.033229166656</v>
      </c>
      <c r="I1895" s="10">
        <v>45677.322812500002</v>
      </c>
      <c r="J1895" s="10">
        <v>45677.35392361111</v>
      </c>
      <c r="K1895" s="11">
        <v>3.111111111111111E-2</v>
      </c>
      <c r="L1895" s="13"/>
    </row>
    <row r="1896" spans="1:12" x14ac:dyDescent="0.25">
      <c r="A1896" s="3" t="s">
        <v>4890</v>
      </c>
      <c r="B1896" s="3" t="s">
        <v>5154</v>
      </c>
      <c r="C1896" s="3" t="s">
        <v>2053</v>
      </c>
      <c r="D1896" s="9">
        <v>143.30000000000001</v>
      </c>
      <c r="E1896" s="3"/>
      <c r="F1896" s="3"/>
      <c r="G1896" s="9"/>
      <c r="H1896" s="10">
        <v>45675.038240740738</v>
      </c>
      <c r="I1896" s="10">
        <v>45677.355173611111</v>
      </c>
      <c r="J1896" s="10">
        <v>45677.380057870367</v>
      </c>
      <c r="K1896" s="11">
        <v>2.4884259259259259E-2</v>
      </c>
      <c r="L1896" s="13"/>
    </row>
    <row r="1897" spans="1:12" x14ac:dyDescent="0.25">
      <c r="A1897" s="3" t="s">
        <v>4890</v>
      </c>
      <c r="B1897" s="3" t="s">
        <v>5155</v>
      </c>
      <c r="C1897" s="3" t="s">
        <v>2080</v>
      </c>
      <c r="D1897" s="9">
        <v>110.3</v>
      </c>
      <c r="E1897" s="3"/>
      <c r="F1897" s="3"/>
      <c r="G1897" s="9"/>
      <c r="H1897" s="10">
        <v>45675.302858796298</v>
      </c>
      <c r="I1897" s="10">
        <v>45677.38726851852</v>
      </c>
      <c r="J1897" s="10">
        <v>45677.406412037039</v>
      </c>
      <c r="K1897" s="11">
        <v>1.9143518518518522E-2</v>
      </c>
      <c r="L1897" s="13"/>
    </row>
    <row r="1898" spans="1:12" x14ac:dyDescent="0.25">
      <c r="A1898" s="3" t="s">
        <v>4890</v>
      </c>
      <c r="B1898" s="3" t="s">
        <v>5156</v>
      </c>
      <c r="C1898" s="3" t="s">
        <v>2087</v>
      </c>
      <c r="D1898" s="9">
        <v>521.70000000000005</v>
      </c>
      <c r="E1898" s="3"/>
      <c r="F1898" s="3"/>
      <c r="G1898" s="9"/>
      <c r="H1898" s="10">
        <v>45676.746655092589</v>
      </c>
      <c r="I1898" s="10">
        <v>45677.409317129634</v>
      </c>
      <c r="J1898" s="10">
        <v>45677.499895833331</v>
      </c>
      <c r="K1898" s="11">
        <v>9.0578703703703703E-2</v>
      </c>
      <c r="L1898" s="13"/>
    </row>
    <row r="1899" spans="1:12" x14ac:dyDescent="0.25">
      <c r="A1899" s="3" t="s">
        <v>4890</v>
      </c>
      <c r="B1899" s="3" t="s">
        <v>5157</v>
      </c>
      <c r="C1899" s="3" t="s">
        <v>2062</v>
      </c>
      <c r="D1899" s="9">
        <v>132.69999999999999</v>
      </c>
      <c r="E1899" s="3"/>
      <c r="F1899" s="3"/>
      <c r="G1899" s="9"/>
      <c r="H1899" s="10">
        <v>45676.854444444441</v>
      </c>
      <c r="I1899" s="10">
        <v>45677.456828703696</v>
      </c>
      <c r="J1899" s="10">
        <v>45677.479861111111</v>
      </c>
      <c r="K1899" s="11">
        <v>2.3032407407407411E-2</v>
      </c>
      <c r="L1899" s="13"/>
    </row>
    <row r="1900" spans="1:12" x14ac:dyDescent="0.25">
      <c r="A1900" s="3" t="s">
        <v>4890</v>
      </c>
      <c r="B1900" s="3" t="s">
        <v>5158</v>
      </c>
      <c r="C1900" s="3" t="s">
        <v>2024</v>
      </c>
      <c r="D1900" s="9">
        <v>108</v>
      </c>
      <c r="E1900" s="3"/>
      <c r="F1900" s="3"/>
      <c r="G1900" s="9"/>
      <c r="H1900" s="10">
        <v>45676.857858796298</v>
      </c>
      <c r="I1900" s="10">
        <v>45677.540914351863</v>
      </c>
      <c r="J1900" s="10">
        <v>45677.559664351851</v>
      </c>
      <c r="K1900" s="11">
        <v>1.8749999999999999E-2</v>
      </c>
      <c r="L1900" s="13"/>
    </row>
    <row r="1901" spans="1:12" x14ac:dyDescent="0.25">
      <c r="A1901" s="3" t="s">
        <v>4890</v>
      </c>
      <c r="B1901" s="3" t="s">
        <v>5159</v>
      </c>
      <c r="C1901" s="3" t="s">
        <v>2114</v>
      </c>
      <c r="D1901" s="9">
        <v>165.8</v>
      </c>
      <c r="E1901" s="3"/>
      <c r="F1901" s="3"/>
      <c r="G1901" s="9"/>
      <c r="H1901" s="10">
        <v>45677.119409722232</v>
      </c>
      <c r="I1901" s="10">
        <v>45677.612662037027</v>
      </c>
      <c r="J1901" s="10">
        <v>45677.641446759262</v>
      </c>
      <c r="K1901" s="11">
        <v>2.8784722222222218E-2</v>
      </c>
      <c r="L1901" s="13"/>
    </row>
    <row r="1902" spans="1:12" x14ac:dyDescent="0.25">
      <c r="A1902" s="3" t="s">
        <v>4890</v>
      </c>
      <c r="B1902" s="3" t="s">
        <v>5160</v>
      </c>
      <c r="C1902" s="3" t="s">
        <v>2050</v>
      </c>
      <c r="D1902" s="9">
        <v>329.7</v>
      </c>
      <c r="E1902" s="3"/>
      <c r="F1902" s="3"/>
      <c r="G1902" s="9"/>
      <c r="H1902" s="10">
        <v>45677.20207175926</v>
      </c>
      <c r="I1902" s="10">
        <v>45677.666030092587</v>
      </c>
      <c r="J1902" s="10">
        <v>45677.723263888889</v>
      </c>
      <c r="K1902" s="11">
        <v>5.7233796296296303E-2</v>
      </c>
      <c r="L1902" s="13"/>
    </row>
    <row r="1903" spans="1:12" x14ac:dyDescent="0.25">
      <c r="A1903" s="3" t="s">
        <v>4890</v>
      </c>
      <c r="B1903" s="3" t="s">
        <v>5161</v>
      </c>
      <c r="C1903" s="3" t="s">
        <v>2125</v>
      </c>
      <c r="D1903" s="9">
        <v>102.8</v>
      </c>
      <c r="E1903" s="3"/>
      <c r="F1903" s="3"/>
      <c r="G1903" s="9"/>
      <c r="H1903" s="10">
        <v>45677.333958333344</v>
      </c>
      <c r="I1903" s="10">
        <v>45677.667569444442</v>
      </c>
      <c r="J1903" s="10">
        <v>45677.685416666667</v>
      </c>
      <c r="K1903" s="11">
        <v>1.7847222222222219E-2</v>
      </c>
      <c r="L1903" s="13"/>
    </row>
    <row r="1904" spans="1:12" x14ac:dyDescent="0.25">
      <c r="A1904" s="3" t="s">
        <v>4890</v>
      </c>
      <c r="B1904" s="3" t="s">
        <v>5162</v>
      </c>
      <c r="C1904" s="3" t="s">
        <v>2059</v>
      </c>
      <c r="D1904" s="9">
        <v>135</v>
      </c>
      <c r="E1904" s="3"/>
      <c r="F1904" s="3"/>
      <c r="G1904" s="9"/>
      <c r="H1904" s="10">
        <v>45677.338391203702</v>
      </c>
      <c r="I1904" s="10">
        <v>45677.672233796293</v>
      </c>
      <c r="J1904" s="10">
        <v>45677.695671296293</v>
      </c>
      <c r="K1904" s="11">
        <v>2.34375E-2</v>
      </c>
      <c r="L1904" s="13"/>
    </row>
    <row r="1905" spans="1:12" x14ac:dyDescent="0.25">
      <c r="A1905" s="3" t="s">
        <v>4890</v>
      </c>
      <c r="B1905" s="3" t="s">
        <v>5163</v>
      </c>
      <c r="C1905" s="3" t="s">
        <v>1735</v>
      </c>
      <c r="D1905" s="9">
        <v>126</v>
      </c>
      <c r="E1905" s="3"/>
      <c r="F1905" s="3"/>
      <c r="G1905" s="9"/>
      <c r="H1905" s="10">
        <v>45677.356562499997</v>
      </c>
      <c r="I1905" s="10">
        <v>45677.719953703701</v>
      </c>
      <c r="J1905" s="10">
        <v>45677.741828703707</v>
      </c>
      <c r="K1905" s="11">
        <v>2.1874999999999999E-2</v>
      </c>
      <c r="L1905" s="13"/>
    </row>
    <row r="1906" spans="1:12" x14ac:dyDescent="0.25">
      <c r="A1906" s="3" t="s">
        <v>4890</v>
      </c>
      <c r="B1906" s="3" t="s">
        <v>5164</v>
      </c>
      <c r="C1906" s="3" t="s">
        <v>2187</v>
      </c>
      <c r="D1906" s="9">
        <v>145.6</v>
      </c>
      <c r="E1906" s="3"/>
      <c r="F1906" s="3"/>
      <c r="G1906" s="9"/>
      <c r="H1906" s="10">
        <v>45677.38795138889</v>
      </c>
      <c r="I1906" s="10">
        <v>45677.889351851853</v>
      </c>
      <c r="J1906" s="10">
        <v>45677.914629629631</v>
      </c>
      <c r="K1906" s="11">
        <v>2.5277777777777781E-2</v>
      </c>
      <c r="L1906" s="13"/>
    </row>
    <row r="1907" spans="1:12" x14ac:dyDescent="0.25">
      <c r="A1907" s="3" t="s">
        <v>4890</v>
      </c>
      <c r="B1907" s="3" t="s">
        <v>5165</v>
      </c>
      <c r="C1907" s="3" t="s">
        <v>2093</v>
      </c>
      <c r="D1907" s="9">
        <v>135</v>
      </c>
      <c r="E1907" s="3"/>
      <c r="F1907" s="3"/>
      <c r="G1907" s="9"/>
      <c r="H1907" s="10">
        <v>45677.397094907406</v>
      </c>
      <c r="I1907" s="10">
        <v>45678.1406712963</v>
      </c>
      <c r="J1907" s="10">
        <v>45678.1641087963</v>
      </c>
      <c r="K1907" s="11">
        <v>2.34375E-2</v>
      </c>
      <c r="L1907" s="13"/>
    </row>
    <row r="1908" spans="1:12" x14ac:dyDescent="0.25">
      <c r="A1908" s="3" t="s">
        <v>4890</v>
      </c>
      <c r="B1908" s="3" t="s">
        <v>5166</v>
      </c>
      <c r="C1908" s="3" t="s">
        <v>2090</v>
      </c>
      <c r="D1908" s="9">
        <v>136.19999999999999</v>
      </c>
      <c r="E1908" s="3"/>
      <c r="F1908" s="3"/>
      <c r="G1908" s="9"/>
      <c r="H1908" s="10">
        <v>45677.409537037027</v>
      </c>
      <c r="I1908" s="10">
        <v>45678.286076388889</v>
      </c>
      <c r="J1908" s="10">
        <v>45678.30972222222</v>
      </c>
      <c r="K1908" s="11">
        <v>2.3645833333333331E-2</v>
      </c>
      <c r="L1908" s="13"/>
    </row>
    <row r="1909" spans="1:12" x14ac:dyDescent="0.25">
      <c r="A1909" s="3" t="s">
        <v>4890</v>
      </c>
      <c r="B1909" s="3" t="s">
        <v>5167</v>
      </c>
      <c r="C1909" s="3" t="s">
        <v>2190</v>
      </c>
      <c r="D1909" s="9">
        <v>165.8</v>
      </c>
      <c r="E1909" s="3"/>
      <c r="F1909" s="3"/>
      <c r="G1909" s="9"/>
      <c r="H1909" s="10">
        <v>45677.456990740742</v>
      </c>
      <c r="I1909" s="10">
        <v>45678.316377314812</v>
      </c>
      <c r="J1909" s="10">
        <v>45678.34516203704</v>
      </c>
      <c r="K1909" s="11">
        <v>2.8784722222222218E-2</v>
      </c>
      <c r="L1909" s="13"/>
    </row>
    <row r="1910" spans="1:12" x14ac:dyDescent="0.25">
      <c r="A1910" s="3" t="s">
        <v>4890</v>
      </c>
      <c r="B1910" s="3" t="s">
        <v>5168</v>
      </c>
      <c r="C1910" s="3" t="s">
        <v>2195</v>
      </c>
      <c r="D1910" s="9">
        <v>153.9</v>
      </c>
      <c r="E1910" s="3"/>
      <c r="F1910" s="3"/>
      <c r="G1910" s="9"/>
      <c r="H1910" s="10">
        <v>45677.457476851851</v>
      </c>
      <c r="I1910" s="10">
        <v>45678.334710648152</v>
      </c>
      <c r="J1910" s="10">
        <v>45678.36142361111</v>
      </c>
      <c r="K1910" s="11">
        <v>2.6712962962962959E-2</v>
      </c>
      <c r="L1910" s="13"/>
    </row>
    <row r="1911" spans="1:12" x14ac:dyDescent="0.25">
      <c r="A1911" s="3" t="s">
        <v>4890</v>
      </c>
      <c r="B1911" s="3" t="s">
        <v>5169</v>
      </c>
      <c r="C1911" s="3" t="s">
        <v>2119</v>
      </c>
      <c r="D1911" s="9">
        <v>105</v>
      </c>
      <c r="E1911" s="3"/>
      <c r="F1911" s="3"/>
      <c r="G1911" s="9"/>
      <c r="H1911" s="10">
        <v>45677.541597222233</v>
      </c>
      <c r="I1911" s="10">
        <v>45678.340532407397</v>
      </c>
      <c r="J1911" s="10">
        <v>45678.358749999999</v>
      </c>
      <c r="K1911" s="11">
        <v>1.8217592592592591E-2</v>
      </c>
      <c r="L1911" s="13"/>
    </row>
    <row r="1912" spans="1:12" x14ac:dyDescent="0.25">
      <c r="A1912" s="3" t="s">
        <v>4890</v>
      </c>
      <c r="B1912" s="3" t="s">
        <v>5170</v>
      </c>
      <c r="C1912" s="3" t="s">
        <v>2150</v>
      </c>
      <c r="D1912" s="9">
        <v>389.1</v>
      </c>
      <c r="E1912" s="3"/>
      <c r="F1912" s="3"/>
      <c r="G1912" s="9"/>
      <c r="H1912" s="10">
        <v>45677.613344907397</v>
      </c>
      <c r="I1912" s="10">
        <v>45678.387997685182</v>
      </c>
      <c r="J1912" s="10">
        <v>45678.455543981479</v>
      </c>
      <c r="K1912" s="11">
        <v>6.7546296296296299E-2</v>
      </c>
      <c r="L1912" s="13"/>
    </row>
    <row r="1913" spans="1:12" x14ac:dyDescent="0.25">
      <c r="A1913" s="3" t="s">
        <v>4890</v>
      </c>
      <c r="B1913" s="3" t="s">
        <v>5171</v>
      </c>
      <c r="C1913" s="3" t="s">
        <v>2146</v>
      </c>
      <c r="D1913" s="9">
        <v>140.19999999999999</v>
      </c>
      <c r="E1913" s="3"/>
      <c r="F1913" s="3"/>
      <c r="G1913" s="9"/>
      <c r="H1913" s="10">
        <v>45677.662523148138</v>
      </c>
      <c r="I1913" s="10">
        <v>45678.401921296303</v>
      </c>
      <c r="J1913" s="10">
        <v>45678.426261574074</v>
      </c>
      <c r="K1913" s="11">
        <v>2.434027777777778E-2</v>
      </c>
      <c r="L1913" s="13"/>
    </row>
    <row r="1914" spans="1:12" x14ac:dyDescent="0.25">
      <c r="A1914" s="3" t="s">
        <v>4890</v>
      </c>
      <c r="B1914" s="3" t="s">
        <v>5172</v>
      </c>
      <c r="C1914" s="3" t="s">
        <v>2223</v>
      </c>
      <c r="D1914" s="9">
        <v>152.30000000000001</v>
      </c>
      <c r="E1914" s="3"/>
      <c r="F1914" s="3"/>
      <c r="G1914" s="9"/>
      <c r="H1914" s="10">
        <v>45677.670520833337</v>
      </c>
      <c r="I1914" s="10">
        <v>45678.438402777778</v>
      </c>
      <c r="J1914" s="10">
        <v>45678.464849537027</v>
      </c>
      <c r="K1914" s="11">
        <v>2.644675925925926E-2</v>
      </c>
      <c r="L1914" s="13"/>
    </row>
    <row r="1915" spans="1:12" x14ac:dyDescent="0.25">
      <c r="A1915" s="3" t="s">
        <v>4890</v>
      </c>
      <c r="B1915" s="3" t="s">
        <v>5173</v>
      </c>
      <c r="C1915" s="3" t="s">
        <v>2228</v>
      </c>
      <c r="D1915" s="9">
        <v>325.39999999999998</v>
      </c>
      <c r="E1915" s="3"/>
      <c r="F1915" s="3"/>
      <c r="G1915" s="9"/>
      <c r="H1915" s="10">
        <v>45677.720613425918</v>
      </c>
      <c r="I1915" s="10">
        <v>45678.615937499999</v>
      </c>
      <c r="J1915" s="10">
        <v>45678.672418981478</v>
      </c>
      <c r="K1915" s="11">
        <v>5.648148148148148E-2</v>
      </c>
      <c r="L1915" s="13"/>
    </row>
    <row r="1916" spans="1:12" x14ac:dyDescent="0.25">
      <c r="A1916" s="3" t="s">
        <v>4890</v>
      </c>
      <c r="B1916" s="3" t="s">
        <v>5174</v>
      </c>
      <c r="C1916" s="3" t="s">
        <v>2134</v>
      </c>
      <c r="D1916" s="9">
        <v>398</v>
      </c>
      <c r="E1916" s="3"/>
      <c r="F1916" s="3"/>
      <c r="G1916" s="9"/>
      <c r="H1916" s="10">
        <v>45677.890011574083</v>
      </c>
      <c r="I1916" s="10">
        <v>45678.641886574071</v>
      </c>
      <c r="J1916" s="10">
        <v>45678.7109837963</v>
      </c>
      <c r="K1916" s="11">
        <v>6.9097222222222227E-2</v>
      </c>
      <c r="L1916" s="13"/>
    </row>
    <row r="1917" spans="1:12" x14ac:dyDescent="0.25">
      <c r="A1917" s="3" t="s">
        <v>4890</v>
      </c>
      <c r="B1917" s="3" t="s">
        <v>5175</v>
      </c>
      <c r="C1917" s="3" t="s">
        <v>2137</v>
      </c>
      <c r="D1917" s="9">
        <v>295.7</v>
      </c>
      <c r="E1917" s="3"/>
      <c r="F1917" s="3"/>
      <c r="G1917" s="9"/>
      <c r="H1917" s="10">
        <v>45678.142881944441</v>
      </c>
      <c r="I1917" s="10">
        <v>45678.647372685176</v>
      </c>
      <c r="J1917" s="10">
        <v>45678.698703703703</v>
      </c>
      <c r="K1917" s="11">
        <v>5.1331018518518519E-2</v>
      </c>
      <c r="L1917" s="13"/>
    </row>
    <row r="1918" spans="1:12" x14ac:dyDescent="0.25">
      <c r="A1918" s="3" t="s">
        <v>4890</v>
      </c>
      <c r="B1918" s="3" t="s">
        <v>5176</v>
      </c>
      <c r="C1918" s="3" t="s">
        <v>2244</v>
      </c>
      <c r="D1918" s="9">
        <v>233.1</v>
      </c>
      <c r="E1918" s="3"/>
      <c r="F1918" s="3"/>
      <c r="G1918" s="9"/>
      <c r="H1918" s="10">
        <v>45678.286712962959</v>
      </c>
      <c r="I1918" s="10">
        <v>45678.879432870373</v>
      </c>
      <c r="J1918" s="10">
        <v>45678.919907407413</v>
      </c>
      <c r="K1918" s="11">
        <v>4.0474537037037038E-2</v>
      </c>
      <c r="L1918" s="13"/>
    </row>
    <row r="1919" spans="1:12" x14ac:dyDescent="0.25">
      <c r="A1919" s="3" t="s">
        <v>4890</v>
      </c>
      <c r="B1919" s="3" t="s">
        <v>5177</v>
      </c>
      <c r="C1919" s="3" t="s">
        <v>2182</v>
      </c>
      <c r="D1919" s="9">
        <v>116.9</v>
      </c>
      <c r="E1919" s="3"/>
      <c r="F1919" s="3"/>
      <c r="G1919" s="9"/>
      <c r="H1919" s="10">
        <v>45678.327696759261</v>
      </c>
      <c r="I1919" s="10">
        <v>45679.12300925926</v>
      </c>
      <c r="J1919" s="10">
        <v>45679.143310185187</v>
      </c>
      <c r="K1919" s="11">
        <v>2.0300925925925931E-2</v>
      </c>
      <c r="L1919" s="13"/>
    </row>
    <row r="1920" spans="1:12" x14ac:dyDescent="0.25">
      <c r="A1920" s="3" t="s">
        <v>4890</v>
      </c>
      <c r="B1920" s="3" t="s">
        <v>5178</v>
      </c>
      <c r="C1920" s="3" t="s">
        <v>2204</v>
      </c>
      <c r="D1920" s="9">
        <v>117.1</v>
      </c>
      <c r="E1920" s="3"/>
      <c r="F1920" s="3"/>
      <c r="G1920" s="9"/>
      <c r="H1920" s="10">
        <v>45678.335370370369</v>
      </c>
      <c r="I1920" s="10">
        <v>45679.203449074077</v>
      </c>
      <c r="J1920" s="10">
        <v>45679.22378472222</v>
      </c>
      <c r="K1920" s="11">
        <v>2.0335648148148151E-2</v>
      </c>
      <c r="L1920" s="13"/>
    </row>
    <row r="1921" spans="1:12" x14ac:dyDescent="0.25">
      <c r="A1921" s="3" t="s">
        <v>4890</v>
      </c>
      <c r="B1921" s="3" t="s">
        <v>5179</v>
      </c>
      <c r="C1921" s="3" t="s">
        <v>2269</v>
      </c>
      <c r="D1921" s="9">
        <v>339.1</v>
      </c>
      <c r="E1921" s="3"/>
      <c r="F1921" s="3"/>
      <c r="G1921" s="9"/>
      <c r="H1921" s="10">
        <v>45678.338796296302</v>
      </c>
      <c r="I1921" s="10">
        <v>45679.276956018519</v>
      </c>
      <c r="J1921" s="10">
        <v>45679.335833333331</v>
      </c>
      <c r="K1921" s="11">
        <v>5.8877314814814813E-2</v>
      </c>
      <c r="L1921" s="13"/>
    </row>
    <row r="1922" spans="1:12" x14ac:dyDescent="0.25">
      <c r="A1922" s="3" t="s">
        <v>4890</v>
      </c>
      <c r="B1922" s="3" t="s">
        <v>5180</v>
      </c>
      <c r="C1922" s="3" t="s">
        <v>2237</v>
      </c>
      <c r="D1922" s="9">
        <v>143.6</v>
      </c>
      <c r="E1922" s="3"/>
      <c r="F1922" s="3"/>
      <c r="G1922" s="9"/>
      <c r="H1922" s="10">
        <v>45678.394826388889</v>
      </c>
      <c r="I1922" s="10">
        <v>45679.322650462957</v>
      </c>
      <c r="J1922" s="10">
        <v>45679.347581018519</v>
      </c>
      <c r="K1922" s="11">
        <v>2.493055555555556E-2</v>
      </c>
      <c r="L1922" s="13"/>
    </row>
    <row r="1923" spans="1:12" x14ac:dyDescent="0.25">
      <c r="A1923" s="3" t="s">
        <v>4890</v>
      </c>
      <c r="B1923" s="3" t="s">
        <v>5181</v>
      </c>
      <c r="C1923" s="3" t="s">
        <v>2281</v>
      </c>
      <c r="D1923" s="9">
        <v>108</v>
      </c>
      <c r="E1923" s="3"/>
      <c r="F1923" s="3"/>
      <c r="G1923" s="9"/>
      <c r="H1923" s="10">
        <v>45678.397349537037</v>
      </c>
      <c r="I1923" s="10">
        <v>45679.324895833342</v>
      </c>
      <c r="J1923" s="10">
        <v>45679.343645833331</v>
      </c>
      <c r="K1923" s="11">
        <v>1.8749999999999999E-2</v>
      </c>
      <c r="L1923" s="13"/>
    </row>
    <row r="1924" spans="1:12" x14ac:dyDescent="0.25">
      <c r="A1924" s="3" t="s">
        <v>4890</v>
      </c>
      <c r="B1924" s="3" t="s">
        <v>5182</v>
      </c>
      <c r="C1924" s="3" t="s">
        <v>2216</v>
      </c>
      <c r="D1924" s="9">
        <v>111.4</v>
      </c>
      <c r="E1924" s="3"/>
      <c r="F1924" s="3"/>
      <c r="G1924" s="9"/>
      <c r="H1924" s="10">
        <v>45678.402199074073</v>
      </c>
      <c r="I1924" s="10">
        <v>45679.341516203713</v>
      </c>
      <c r="J1924" s="10">
        <v>45679.360856481479</v>
      </c>
      <c r="K1924" s="11">
        <v>1.9340277777777779E-2</v>
      </c>
      <c r="L1924" s="13"/>
    </row>
    <row r="1925" spans="1:12" x14ac:dyDescent="0.25">
      <c r="A1925" s="3" t="s">
        <v>4890</v>
      </c>
      <c r="B1925" s="3" t="s">
        <v>5183</v>
      </c>
      <c r="C1925" s="3" t="s">
        <v>2290</v>
      </c>
      <c r="D1925" s="9">
        <v>454.8</v>
      </c>
      <c r="E1925" s="3"/>
      <c r="F1925" s="3"/>
      <c r="G1925" s="9"/>
      <c r="H1925" s="10">
        <v>45678.440324074072</v>
      </c>
      <c r="I1925" s="10">
        <v>45679.362951388888</v>
      </c>
      <c r="J1925" s="10">
        <v>45679.44189814815</v>
      </c>
      <c r="K1925" s="11">
        <v>7.8946759259259258E-2</v>
      </c>
      <c r="L1925" s="13"/>
    </row>
    <row r="1926" spans="1:12" x14ac:dyDescent="0.25">
      <c r="A1926" s="3" t="s">
        <v>4890</v>
      </c>
      <c r="B1926" s="3" t="s">
        <v>5184</v>
      </c>
      <c r="C1926" s="3" t="s">
        <v>2302</v>
      </c>
      <c r="D1926" s="9">
        <v>398</v>
      </c>
      <c r="E1926" s="3"/>
      <c r="F1926" s="3"/>
      <c r="G1926" s="9"/>
      <c r="H1926" s="10">
        <v>45678.616377314807</v>
      </c>
      <c r="I1926" s="10">
        <v>45679.420636574083</v>
      </c>
      <c r="J1926" s="10">
        <v>45679.489745370367</v>
      </c>
      <c r="K1926" s="11">
        <v>6.9108796296296293E-2</v>
      </c>
      <c r="L1926" s="13"/>
    </row>
    <row r="1927" spans="1:12" x14ac:dyDescent="0.25">
      <c r="A1927" s="3" t="s">
        <v>4890</v>
      </c>
      <c r="B1927" s="3" t="s">
        <v>5185</v>
      </c>
      <c r="C1927" s="3" t="s">
        <v>2247</v>
      </c>
      <c r="D1927" s="9">
        <v>101.7</v>
      </c>
      <c r="E1927" s="3"/>
      <c r="F1927" s="3"/>
      <c r="G1927" s="9"/>
      <c r="H1927" s="10">
        <v>45678.631504629629</v>
      </c>
      <c r="I1927" s="10">
        <v>45679.445787037039</v>
      </c>
      <c r="J1927" s="10">
        <v>45679.463449074072</v>
      </c>
      <c r="K1927" s="11">
        <v>1.7662037037037039E-2</v>
      </c>
      <c r="L1927" s="13"/>
    </row>
    <row r="1928" spans="1:12" x14ac:dyDescent="0.25">
      <c r="A1928" s="3" t="s">
        <v>4890</v>
      </c>
      <c r="B1928" s="3" t="s">
        <v>5186</v>
      </c>
      <c r="C1928" s="3" t="s">
        <v>2297</v>
      </c>
      <c r="D1928" s="9">
        <v>173.3</v>
      </c>
      <c r="E1928" s="3"/>
      <c r="F1928" s="3"/>
      <c r="G1928" s="9"/>
      <c r="H1928" s="10">
        <v>45678.634826388887</v>
      </c>
      <c r="I1928" s="10">
        <v>45679.549930555557</v>
      </c>
      <c r="J1928" s="10">
        <v>45679.580023148148</v>
      </c>
      <c r="K1928" s="11">
        <v>3.0092592592592591E-2</v>
      </c>
      <c r="L1928" s="13"/>
    </row>
    <row r="1929" spans="1:12" x14ac:dyDescent="0.25">
      <c r="A1929" s="3" t="s">
        <v>4890</v>
      </c>
      <c r="B1929" s="3" t="s">
        <v>5187</v>
      </c>
      <c r="C1929" s="3" t="s">
        <v>2309</v>
      </c>
      <c r="D1929" s="9">
        <v>123.7</v>
      </c>
      <c r="E1929" s="3"/>
      <c r="F1929" s="3"/>
      <c r="G1929" s="9"/>
      <c r="H1929" s="10">
        <v>45678.638495370367</v>
      </c>
      <c r="I1929" s="10">
        <v>45679.642129629632</v>
      </c>
      <c r="J1929" s="10">
        <v>45679.663611111107</v>
      </c>
      <c r="K1929" s="11">
        <v>2.148148148148148E-2</v>
      </c>
      <c r="L1929" s="13"/>
    </row>
    <row r="1930" spans="1:12" x14ac:dyDescent="0.25">
      <c r="A1930" s="3" t="s">
        <v>4890</v>
      </c>
      <c r="B1930" s="3" t="s">
        <v>5188</v>
      </c>
      <c r="C1930" s="3" t="s">
        <v>2318</v>
      </c>
      <c r="D1930" s="9">
        <v>209.9</v>
      </c>
      <c r="E1930" s="3"/>
      <c r="F1930" s="3"/>
      <c r="G1930" s="9"/>
      <c r="H1930" s="10">
        <v>45678.6408912037</v>
      </c>
      <c r="I1930" s="10">
        <v>45679.743090277778</v>
      </c>
      <c r="J1930" s="10">
        <v>45679.779537037037</v>
      </c>
      <c r="K1930" s="11">
        <v>3.6446759259259262E-2</v>
      </c>
      <c r="L1930" s="13"/>
    </row>
    <row r="1931" spans="1:12" x14ac:dyDescent="0.25">
      <c r="A1931" s="3" t="s">
        <v>4890</v>
      </c>
      <c r="B1931" s="3" t="s">
        <v>5189</v>
      </c>
      <c r="C1931" s="3" t="s">
        <v>2323</v>
      </c>
      <c r="D1931" s="9">
        <v>125.9</v>
      </c>
      <c r="E1931" s="3"/>
      <c r="F1931" s="3"/>
      <c r="G1931" s="9"/>
      <c r="H1931" s="10">
        <v>45678.645682870367</v>
      </c>
      <c r="I1931" s="10">
        <v>45679.76295138889</v>
      </c>
      <c r="J1931" s="10">
        <v>45679.784803240742</v>
      </c>
      <c r="K1931" s="11">
        <v>2.1851851851851851E-2</v>
      </c>
      <c r="L1931" s="13"/>
    </row>
    <row r="1932" spans="1:12" x14ac:dyDescent="0.25">
      <c r="A1932" s="3" t="s">
        <v>4890</v>
      </c>
      <c r="B1932" s="3" t="s">
        <v>5190</v>
      </c>
      <c r="C1932" s="3" t="s">
        <v>2326</v>
      </c>
      <c r="D1932" s="9">
        <v>187.4</v>
      </c>
      <c r="E1932" s="3"/>
      <c r="F1932" s="3"/>
      <c r="G1932" s="9"/>
      <c r="H1932" s="10">
        <v>45678.880173611113</v>
      </c>
      <c r="I1932" s="10">
        <v>45679.765347222223</v>
      </c>
      <c r="J1932" s="10">
        <v>45679.797881944447</v>
      </c>
      <c r="K1932" s="11">
        <v>3.2534722222222222E-2</v>
      </c>
      <c r="L1932" s="13"/>
    </row>
    <row r="1933" spans="1:12" x14ac:dyDescent="0.25">
      <c r="A1933" s="3" t="s">
        <v>4890</v>
      </c>
      <c r="B1933" s="3" t="s">
        <v>5191</v>
      </c>
      <c r="C1933" s="3" t="s">
        <v>2329</v>
      </c>
      <c r="D1933" s="9">
        <v>219.4</v>
      </c>
      <c r="E1933" s="3"/>
      <c r="F1933" s="3"/>
      <c r="G1933" s="9"/>
      <c r="H1933" s="10">
        <v>45679.121203703697</v>
      </c>
      <c r="I1933" s="10">
        <v>45679.865972222222</v>
      </c>
      <c r="J1933" s="10">
        <v>45679.904062499998</v>
      </c>
      <c r="K1933" s="11">
        <v>3.8090277777777778E-2</v>
      </c>
      <c r="L1933" s="13"/>
    </row>
    <row r="1934" spans="1:12" x14ac:dyDescent="0.25">
      <c r="A1934" s="3" t="s">
        <v>4890</v>
      </c>
      <c r="B1934" s="3" t="s">
        <v>5192</v>
      </c>
      <c r="C1934" s="3" t="s">
        <v>2260</v>
      </c>
      <c r="D1934" s="9">
        <v>366.6</v>
      </c>
      <c r="E1934" s="3"/>
      <c r="F1934" s="3"/>
      <c r="G1934" s="9"/>
      <c r="H1934" s="10">
        <v>45679.204131944447</v>
      </c>
      <c r="I1934" s="10">
        <v>45680.131921296299</v>
      </c>
      <c r="J1934" s="10">
        <v>45680.195567129631</v>
      </c>
      <c r="K1934" s="11">
        <v>6.3645833333333332E-2</v>
      </c>
      <c r="L1934" s="13"/>
    </row>
    <row r="1935" spans="1:12" x14ac:dyDescent="0.25">
      <c r="A1935" s="3" t="s">
        <v>4890</v>
      </c>
      <c r="B1935" s="3" t="s">
        <v>5193</v>
      </c>
      <c r="C1935" s="3" t="s">
        <v>2342</v>
      </c>
      <c r="D1935" s="9">
        <v>291.7</v>
      </c>
      <c r="E1935" s="3"/>
      <c r="F1935" s="3"/>
      <c r="G1935" s="9"/>
      <c r="H1935" s="10">
        <v>45679.277638888889</v>
      </c>
      <c r="I1935" s="10">
        <v>45680.273842592593</v>
      </c>
      <c r="J1935" s="10">
        <v>45680.324479166673</v>
      </c>
      <c r="K1935" s="11">
        <v>5.0636574074074077E-2</v>
      </c>
      <c r="L1935" s="13"/>
    </row>
    <row r="1936" spans="1:12" x14ac:dyDescent="0.25">
      <c r="A1936" s="3" t="s">
        <v>4890</v>
      </c>
      <c r="B1936" s="3" t="s">
        <v>5194</v>
      </c>
      <c r="C1936" s="3" t="s">
        <v>2009</v>
      </c>
      <c r="D1936" s="9">
        <v>106.9</v>
      </c>
      <c r="E1936" s="3"/>
      <c r="F1936" s="3"/>
      <c r="G1936" s="9"/>
      <c r="H1936" s="10">
        <v>45679.314988425933</v>
      </c>
      <c r="I1936" s="10">
        <v>45680.306504629632</v>
      </c>
      <c r="J1936" s="10">
        <v>45680.325069444443</v>
      </c>
      <c r="K1936" s="11">
        <v>1.8564814814814819E-2</v>
      </c>
      <c r="L1936" s="13"/>
    </row>
    <row r="1937" spans="1:12" x14ac:dyDescent="0.25">
      <c r="A1937" s="3" t="s">
        <v>4890</v>
      </c>
      <c r="B1937" s="3" t="s">
        <v>5195</v>
      </c>
      <c r="C1937" s="3" t="s">
        <v>2372</v>
      </c>
      <c r="D1937" s="9">
        <v>331.2</v>
      </c>
      <c r="E1937" s="3"/>
      <c r="F1937" s="3"/>
      <c r="G1937" s="9"/>
      <c r="H1937" s="10">
        <v>45679.365127314813</v>
      </c>
      <c r="I1937" s="10">
        <v>45680.31045138889</v>
      </c>
      <c r="J1937" s="10">
        <v>45680.367951388893</v>
      </c>
      <c r="K1937" s="11">
        <v>5.7500000000000002E-2</v>
      </c>
      <c r="L1937" s="13"/>
    </row>
    <row r="1938" spans="1:12" x14ac:dyDescent="0.25">
      <c r="A1938" s="3" t="s">
        <v>4890</v>
      </c>
      <c r="B1938" s="3" t="s">
        <v>5196</v>
      </c>
      <c r="C1938" s="3" t="s">
        <v>2334</v>
      </c>
      <c r="D1938" s="9">
        <v>179.2</v>
      </c>
      <c r="E1938" s="3"/>
      <c r="F1938" s="3"/>
      <c r="G1938" s="9"/>
      <c r="H1938" s="10">
        <v>45679.406851851847</v>
      </c>
      <c r="I1938" s="10">
        <v>45680.33</v>
      </c>
      <c r="J1938" s="10">
        <v>45680.361111111109</v>
      </c>
      <c r="K1938" s="11">
        <v>3.111111111111111E-2</v>
      </c>
      <c r="L1938" s="13"/>
    </row>
    <row r="1939" spans="1:12" x14ac:dyDescent="0.25">
      <c r="A1939" s="3" t="s">
        <v>4890</v>
      </c>
      <c r="B1939" s="3" t="s">
        <v>5197</v>
      </c>
      <c r="C1939" s="3" t="s">
        <v>2337</v>
      </c>
      <c r="D1939" s="9">
        <v>114.8</v>
      </c>
      <c r="E1939" s="3"/>
      <c r="F1939" s="3"/>
      <c r="G1939" s="9"/>
      <c r="H1939" s="10">
        <v>45679.41238425926</v>
      </c>
      <c r="I1939" s="10">
        <v>45680.377384259264</v>
      </c>
      <c r="J1939" s="10">
        <v>45680.397314814807</v>
      </c>
      <c r="K1939" s="11">
        <v>1.9930555555555559E-2</v>
      </c>
      <c r="L1939" s="13"/>
    </row>
    <row r="1940" spans="1:12" x14ac:dyDescent="0.25">
      <c r="A1940" s="3" t="s">
        <v>4890</v>
      </c>
      <c r="B1940" s="3" t="s">
        <v>5198</v>
      </c>
      <c r="C1940" s="3" t="s">
        <v>2345</v>
      </c>
      <c r="D1940" s="9">
        <v>108</v>
      </c>
      <c r="E1940" s="3"/>
      <c r="F1940" s="3"/>
      <c r="G1940" s="9"/>
      <c r="H1940" s="10">
        <v>45679.413761574076</v>
      </c>
      <c r="I1940" s="10">
        <v>45680.418935185182</v>
      </c>
      <c r="J1940" s="10">
        <v>45680.437685185178</v>
      </c>
      <c r="K1940" s="11">
        <v>1.8749999999999999E-2</v>
      </c>
      <c r="L1940" s="13"/>
    </row>
    <row r="1941" spans="1:12" x14ac:dyDescent="0.25">
      <c r="A1941" s="3" t="s">
        <v>4890</v>
      </c>
      <c r="B1941" s="3" t="s">
        <v>5199</v>
      </c>
      <c r="C1941" s="3" t="s">
        <v>2252</v>
      </c>
      <c r="D1941" s="9">
        <v>132.80000000000001</v>
      </c>
      <c r="E1941" s="3"/>
      <c r="F1941" s="3"/>
      <c r="G1941" s="9"/>
      <c r="H1941" s="10">
        <v>45679.418935185182</v>
      </c>
      <c r="I1941" s="10">
        <v>45680.453194444453</v>
      </c>
      <c r="J1941" s="10">
        <v>45680.47625</v>
      </c>
      <c r="K1941" s="11">
        <v>2.3055555555555551E-2</v>
      </c>
      <c r="L1941" s="13"/>
    </row>
    <row r="1942" spans="1:12" x14ac:dyDescent="0.25">
      <c r="A1942" s="3" t="s">
        <v>4890</v>
      </c>
      <c r="B1942" s="3" t="s">
        <v>5200</v>
      </c>
      <c r="C1942" s="3" t="s">
        <v>2399</v>
      </c>
      <c r="D1942" s="9">
        <v>446.2</v>
      </c>
      <c r="E1942" s="3"/>
      <c r="F1942" s="3"/>
      <c r="G1942" s="9"/>
      <c r="H1942" s="10">
        <v>45679.446504629632</v>
      </c>
      <c r="I1942" s="10">
        <v>45680.614976851852</v>
      </c>
      <c r="J1942" s="10">
        <v>45680.692442129628</v>
      </c>
      <c r="K1942" s="11">
        <v>7.7465277777777772E-2</v>
      </c>
      <c r="L1942" s="13"/>
    </row>
    <row r="1943" spans="1:12" x14ac:dyDescent="0.25">
      <c r="A1943" s="3" t="s">
        <v>4890</v>
      </c>
      <c r="B1943" s="3" t="s">
        <v>5201</v>
      </c>
      <c r="C1943" s="3" t="s">
        <v>2402</v>
      </c>
      <c r="D1943" s="9">
        <v>388.3</v>
      </c>
      <c r="E1943" s="3"/>
      <c r="F1943" s="3"/>
      <c r="G1943" s="9"/>
      <c r="H1943" s="10">
        <v>45679.745300925933</v>
      </c>
      <c r="I1943" s="10">
        <v>45680.640069444453</v>
      </c>
      <c r="J1943" s="10">
        <v>45680.707488425927</v>
      </c>
      <c r="K1943" s="11">
        <v>6.7418981481481483E-2</v>
      </c>
      <c r="L1943" s="13"/>
    </row>
    <row r="1944" spans="1:12" x14ac:dyDescent="0.25">
      <c r="A1944" s="3" t="s">
        <v>4890</v>
      </c>
      <c r="B1944" s="3" t="s">
        <v>5202</v>
      </c>
      <c r="C1944" s="3" t="s">
        <v>2014</v>
      </c>
      <c r="D1944" s="9">
        <v>119.4</v>
      </c>
      <c r="E1944" s="3"/>
      <c r="F1944" s="3"/>
      <c r="G1944" s="9"/>
      <c r="H1944" s="10">
        <v>45679.751226851848</v>
      </c>
      <c r="I1944" s="10">
        <v>45680.650775462957</v>
      </c>
      <c r="J1944" s="10">
        <v>45680.67150462963</v>
      </c>
      <c r="K1944" s="11">
        <v>2.072916666666667E-2</v>
      </c>
      <c r="L1944" s="13"/>
    </row>
    <row r="1945" spans="1:12" x14ac:dyDescent="0.25">
      <c r="A1945" s="3" t="s">
        <v>4890</v>
      </c>
      <c r="B1945" s="3" t="s">
        <v>5203</v>
      </c>
      <c r="C1945" s="3" t="s">
        <v>2174</v>
      </c>
      <c r="D1945" s="9">
        <v>159.19999999999999</v>
      </c>
      <c r="E1945" s="3"/>
      <c r="F1945" s="3"/>
      <c r="G1945" s="9"/>
      <c r="H1945" s="10">
        <v>45679.754247685189</v>
      </c>
      <c r="I1945" s="10">
        <v>45680.67324074074</v>
      </c>
      <c r="J1945" s="10">
        <v>45680.700879629629</v>
      </c>
      <c r="K1945" s="11">
        <v>2.763888888888889E-2</v>
      </c>
      <c r="L1945" s="13"/>
    </row>
    <row r="1946" spans="1:12" x14ac:dyDescent="0.25">
      <c r="A1946" s="3" t="s">
        <v>4890</v>
      </c>
      <c r="B1946" s="3" t="s">
        <v>5204</v>
      </c>
      <c r="C1946" s="3" t="s">
        <v>2393</v>
      </c>
      <c r="D1946" s="9">
        <v>295.39999999999998</v>
      </c>
      <c r="E1946" s="3"/>
      <c r="F1946" s="3"/>
      <c r="G1946" s="9"/>
      <c r="H1946" s="10">
        <v>45679.760601851849</v>
      </c>
      <c r="I1946" s="10">
        <v>45680.750057870369</v>
      </c>
      <c r="J1946" s="10">
        <v>45680.80133101852</v>
      </c>
      <c r="K1946" s="11">
        <v>5.1273148148148151E-2</v>
      </c>
      <c r="L1946" s="13"/>
    </row>
    <row r="1947" spans="1:12" x14ac:dyDescent="0.25">
      <c r="A1947" s="3" t="s">
        <v>4890</v>
      </c>
      <c r="B1947" s="3" t="s">
        <v>5205</v>
      </c>
      <c r="C1947" s="3" t="s">
        <v>2432</v>
      </c>
      <c r="D1947" s="9">
        <v>107</v>
      </c>
      <c r="E1947" s="3"/>
      <c r="F1947" s="3"/>
      <c r="G1947" s="9"/>
      <c r="H1947" s="10">
        <v>45679.859618055547</v>
      </c>
      <c r="I1947" s="10">
        <v>45680.752858796302</v>
      </c>
      <c r="J1947" s="10">
        <v>45680.771435185183</v>
      </c>
      <c r="K1947" s="11">
        <v>1.8576388888888889E-2</v>
      </c>
      <c r="L1947" s="13"/>
    </row>
    <row r="1948" spans="1:12" x14ac:dyDescent="0.25">
      <c r="A1948" s="3" t="s">
        <v>4890</v>
      </c>
      <c r="B1948" s="3" t="s">
        <v>5206</v>
      </c>
      <c r="C1948" s="3" t="s">
        <v>2367</v>
      </c>
      <c r="D1948" s="9">
        <v>102.8</v>
      </c>
      <c r="E1948" s="3"/>
      <c r="F1948" s="3"/>
      <c r="G1948" s="9"/>
      <c r="H1948" s="10">
        <v>45679.862800925926</v>
      </c>
      <c r="I1948" s="10">
        <v>45680.8828587963</v>
      </c>
      <c r="J1948" s="10">
        <v>45680.900706018518</v>
      </c>
      <c r="K1948" s="11">
        <v>1.7847222222222219E-2</v>
      </c>
      <c r="L1948" s="13"/>
    </row>
    <row r="1949" spans="1:12" x14ac:dyDescent="0.25">
      <c r="A1949" s="3" t="s">
        <v>4890</v>
      </c>
      <c r="B1949" s="3" t="s">
        <v>5207</v>
      </c>
      <c r="C1949" s="3" t="s">
        <v>2396</v>
      </c>
      <c r="D1949" s="9">
        <v>113.3</v>
      </c>
      <c r="E1949" s="3"/>
      <c r="F1949" s="3"/>
      <c r="G1949" s="9"/>
      <c r="H1949" s="10">
        <v>45679.868159722217</v>
      </c>
      <c r="I1949" s="10">
        <v>45681.132847222223</v>
      </c>
      <c r="J1949" s="10">
        <v>45681.152511574073</v>
      </c>
      <c r="K1949" s="11">
        <v>1.966435185185185E-2</v>
      </c>
      <c r="L1949" s="13"/>
    </row>
    <row r="1950" spans="1:12" x14ac:dyDescent="0.25">
      <c r="A1950" s="3" t="s">
        <v>4890</v>
      </c>
      <c r="B1950" s="3" t="s">
        <v>5208</v>
      </c>
      <c r="C1950" s="3" t="s">
        <v>2411</v>
      </c>
      <c r="D1950" s="9">
        <v>123.8</v>
      </c>
      <c r="E1950" s="3"/>
      <c r="F1950" s="3"/>
      <c r="G1950" s="9"/>
      <c r="H1950" s="10">
        <v>45680.127245370371</v>
      </c>
      <c r="I1950" s="10">
        <v>45681.198912037027</v>
      </c>
      <c r="J1950" s="10">
        <v>45681.220405092587</v>
      </c>
      <c r="K1950" s="11">
        <v>2.149305555555556E-2</v>
      </c>
      <c r="L1950" s="13"/>
    </row>
    <row r="1951" spans="1:12" x14ac:dyDescent="0.25">
      <c r="A1951" s="3" t="s">
        <v>4890</v>
      </c>
      <c r="B1951" s="3" t="s">
        <v>5209</v>
      </c>
      <c r="C1951" s="3" t="s">
        <v>2452</v>
      </c>
      <c r="D1951" s="9">
        <v>107.9</v>
      </c>
      <c r="E1951" s="3"/>
      <c r="F1951" s="3"/>
      <c r="G1951" s="9"/>
      <c r="H1951" s="10">
        <v>45680.129201388889</v>
      </c>
      <c r="I1951" s="10">
        <v>45681.269328703696</v>
      </c>
      <c r="J1951" s="10">
        <v>45681.288055555553</v>
      </c>
      <c r="K1951" s="11">
        <v>1.8726851851851849E-2</v>
      </c>
      <c r="L1951" s="13"/>
    </row>
    <row r="1952" spans="1:12" x14ac:dyDescent="0.25">
      <c r="A1952" s="3" t="s">
        <v>4890</v>
      </c>
      <c r="B1952" s="3" t="s">
        <v>5210</v>
      </c>
      <c r="C1952" s="3" t="s">
        <v>2359</v>
      </c>
      <c r="D1952" s="9">
        <v>144.4</v>
      </c>
      <c r="E1952" s="3"/>
      <c r="F1952" s="3"/>
      <c r="G1952" s="9"/>
      <c r="H1952" s="10">
        <v>45680.274560185193</v>
      </c>
      <c r="I1952" s="10">
        <v>45681.300937499997</v>
      </c>
      <c r="J1952" s="10">
        <v>45681.326018518521</v>
      </c>
      <c r="K1952" s="11">
        <v>2.508101851851852E-2</v>
      </c>
      <c r="L1952" s="13"/>
    </row>
    <row r="1953" spans="1:12" x14ac:dyDescent="0.25">
      <c r="A1953" s="3" t="s">
        <v>4890</v>
      </c>
      <c r="B1953" s="3" t="s">
        <v>5211</v>
      </c>
      <c r="C1953" s="3" t="s">
        <v>2458</v>
      </c>
      <c r="D1953" s="9">
        <v>117.8</v>
      </c>
      <c r="E1953" s="3"/>
      <c r="F1953" s="3"/>
      <c r="G1953" s="9"/>
      <c r="H1953" s="10">
        <v>45680.303344907406</v>
      </c>
      <c r="I1953" s="10">
        <v>45681.31454861111</v>
      </c>
      <c r="J1953" s="10">
        <v>45681.334999999999</v>
      </c>
      <c r="K1953" s="11">
        <v>2.045138888888889E-2</v>
      </c>
      <c r="L1953" s="13"/>
    </row>
    <row r="1954" spans="1:12" x14ac:dyDescent="0.25">
      <c r="A1954" s="3" t="s">
        <v>4890</v>
      </c>
      <c r="B1954" s="3" t="s">
        <v>5212</v>
      </c>
      <c r="C1954" s="3" t="s">
        <v>2455</v>
      </c>
      <c r="D1954" s="9">
        <v>177.8</v>
      </c>
      <c r="E1954" s="3"/>
      <c r="F1954" s="3"/>
      <c r="G1954" s="9"/>
      <c r="H1954" s="10">
        <v>45680.375810185193</v>
      </c>
      <c r="I1954" s="10">
        <v>45681.332650462973</v>
      </c>
      <c r="J1954" s="10">
        <v>45681.363518518519</v>
      </c>
      <c r="K1954" s="11">
        <v>3.0868055555555551E-2</v>
      </c>
      <c r="L1954" s="13"/>
    </row>
    <row r="1955" spans="1:12" x14ac:dyDescent="0.25">
      <c r="A1955" s="3" t="s">
        <v>4890</v>
      </c>
      <c r="B1955" s="3" t="s">
        <v>5213</v>
      </c>
      <c r="C1955" s="3" t="s">
        <v>2483</v>
      </c>
      <c r="D1955" s="9">
        <v>218.7</v>
      </c>
      <c r="E1955" s="3"/>
      <c r="F1955" s="3"/>
      <c r="G1955" s="9"/>
      <c r="H1955" s="10">
        <v>45680.37804398148</v>
      </c>
      <c r="I1955" s="10">
        <v>45681.377974537027</v>
      </c>
      <c r="J1955" s="10">
        <v>45681.415949074071</v>
      </c>
      <c r="K1955" s="11">
        <v>3.7974537037037043E-2</v>
      </c>
      <c r="L1955" s="13"/>
    </row>
    <row r="1956" spans="1:12" x14ac:dyDescent="0.25">
      <c r="A1956" s="3" t="s">
        <v>4890</v>
      </c>
      <c r="B1956" s="3" t="s">
        <v>5214</v>
      </c>
      <c r="C1956" s="3" t="s">
        <v>2426</v>
      </c>
      <c r="D1956" s="9">
        <v>152.30000000000001</v>
      </c>
      <c r="E1956" s="3"/>
      <c r="F1956" s="3"/>
      <c r="G1956" s="9"/>
      <c r="H1956" s="10">
        <v>45680.413055555553</v>
      </c>
      <c r="I1956" s="10">
        <v>45681.400775462957</v>
      </c>
      <c r="J1956" s="10">
        <v>45681.427210648151</v>
      </c>
      <c r="K1956" s="11">
        <v>2.643518518518519E-2</v>
      </c>
      <c r="L1956" s="13"/>
    </row>
    <row r="1957" spans="1:12" x14ac:dyDescent="0.25">
      <c r="A1957" s="3" t="s">
        <v>4890</v>
      </c>
      <c r="B1957" s="3" t="s">
        <v>5215</v>
      </c>
      <c r="C1957" s="3" t="s">
        <v>2469</v>
      </c>
      <c r="D1957" s="9">
        <v>165</v>
      </c>
      <c r="E1957" s="3"/>
      <c r="F1957" s="3"/>
      <c r="G1957" s="9"/>
      <c r="H1957" s="10">
        <v>45680.414918981478</v>
      </c>
      <c r="I1957" s="10">
        <v>45681.424791666657</v>
      </c>
      <c r="J1957" s="10">
        <v>45681.4534375</v>
      </c>
      <c r="K1957" s="11">
        <v>2.8645833333333329E-2</v>
      </c>
      <c r="L1957" s="13"/>
    </row>
    <row r="1958" spans="1:12" x14ac:dyDescent="0.25">
      <c r="A1958" s="3" t="s">
        <v>4890</v>
      </c>
      <c r="B1958" s="3" t="s">
        <v>5216</v>
      </c>
      <c r="C1958" s="3" t="s">
        <v>2443</v>
      </c>
      <c r="D1958" s="9">
        <v>176.9</v>
      </c>
      <c r="E1958" s="3"/>
      <c r="F1958" s="3"/>
      <c r="G1958" s="9"/>
      <c r="H1958" s="10">
        <v>45680.420763888891</v>
      </c>
      <c r="I1958" s="10">
        <v>45681.553194444437</v>
      </c>
      <c r="J1958" s="10">
        <v>45681.583912037036</v>
      </c>
      <c r="K1958" s="11">
        <v>3.0717592592592591E-2</v>
      </c>
      <c r="L1958" s="13"/>
    </row>
    <row r="1959" spans="1:12" x14ac:dyDescent="0.25">
      <c r="A1959" s="3" t="s">
        <v>4890</v>
      </c>
      <c r="B1959" s="3" t="s">
        <v>5217</v>
      </c>
      <c r="C1959" s="3" t="s">
        <v>2464</v>
      </c>
      <c r="D1959" s="9">
        <v>407.8</v>
      </c>
      <c r="E1959" s="3"/>
      <c r="F1959" s="3"/>
      <c r="G1959" s="9"/>
      <c r="H1959" s="10">
        <v>45680.453865740739</v>
      </c>
      <c r="I1959" s="10">
        <v>45681.615370370368</v>
      </c>
      <c r="J1959" s="10">
        <v>45681.686168981483</v>
      </c>
      <c r="K1959" s="11">
        <v>7.0798611111111118E-2</v>
      </c>
      <c r="L1959" s="13"/>
    </row>
    <row r="1960" spans="1:12" x14ac:dyDescent="0.25">
      <c r="A1960" s="3" t="s">
        <v>4890</v>
      </c>
      <c r="B1960" s="3" t="s">
        <v>5218</v>
      </c>
      <c r="C1960" s="3" t="s">
        <v>2520</v>
      </c>
      <c r="D1960" s="9">
        <v>396.6</v>
      </c>
      <c r="E1960" s="3"/>
      <c r="F1960" s="3"/>
      <c r="G1960" s="9"/>
      <c r="H1960" s="10">
        <v>45680.615624999999</v>
      </c>
      <c r="I1960" s="10">
        <v>45681.650706018518</v>
      </c>
      <c r="J1960" s="10">
        <v>45681.719548611109</v>
      </c>
      <c r="K1960" s="11">
        <v>6.8842592592592594E-2</v>
      </c>
      <c r="L1960" s="13"/>
    </row>
    <row r="1961" spans="1:12" x14ac:dyDescent="0.25">
      <c r="A1961" s="3" t="s">
        <v>4890</v>
      </c>
      <c r="B1961" s="3" t="s">
        <v>5219</v>
      </c>
      <c r="C1961" s="3" t="s">
        <v>2523</v>
      </c>
      <c r="D1961" s="9">
        <v>130.19999999999999</v>
      </c>
      <c r="E1961" s="3"/>
      <c r="F1961" s="3"/>
      <c r="G1961" s="9"/>
      <c r="H1961" s="10">
        <v>45680.738263888888</v>
      </c>
      <c r="I1961" s="10">
        <v>45681.654479166667</v>
      </c>
      <c r="J1961" s="10">
        <v>45681.677071759259</v>
      </c>
      <c r="K1961" s="11">
        <v>2.2592592592592591E-2</v>
      </c>
      <c r="L1961" s="13"/>
    </row>
    <row r="1962" spans="1:12" x14ac:dyDescent="0.25">
      <c r="A1962" s="3" t="s">
        <v>4890</v>
      </c>
      <c r="B1962" s="3" t="s">
        <v>5220</v>
      </c>
      <c r="C1962" s="3" t="s">
        <v>2350</v>
      </c>
      <c r="D1962" s="9">
        <v>106.9</v>
      </c>
      <c r="E1962" s="3"/>
      <c r="F1962" s="3"/>
      <c r="G1962" s="9"/>
      <c r="H1962" s="10">
        <v>45680.746504629627</v>
      </c>
      <c r="I1962" s="10">
        <v>45681.738668981481</v>
      </c>
      <c r="J1962" s="10">
        <v>45681.757233796299</v>
      </c>
      <c r="K1962" s="11">
        <v>1.8564814814814819E-2</v>
      </c>
      <c r="L1962" s="13"/>
    </row>
    <row r="1963" spans="1:12" x14ac:dyDescent="0.25">
      <c r="A1963" s="3" t="s">
        <v>4890</v>
      </c>
      <c r="B1963" s="3" t="s">
        <v>5221</v>
      </c>
      <c r="C1963" s="3" t="s">
        <v>2566</v>
      </c>
      <c r="D1963" s="9">
        <v>117.7</v>
      </c>
      <c r="E1963" s="3"/>
      <c r="F1963" s="3"/>
      <c r="G1963" s="9"/>
      <c r="H1963" s="10">
        <v>45680.749525462961</v>
      </c>
      <c r="I1963" s="10">
        <v>45681.741979166669</v>
      </c>
      <c r="J1963" s="10">
        <v>45681.762407407397</v>
      </c>
      <c r="K1963" s="11">
        <v>2.042824074074074E-2</v>
      </c>
      <c r="L1963" s="13"/>
    </row>
    <row r="1964" spans="1:12" x14ac:dyDescent="0.25">
      <c r="A1964" s="3" t="s">
        <v>4890</v>
      </c>
      <c r="B1964" s="3" t="s">
        <v>5222</v>
      </c>
      <c r="C1964" s="3" t="s">
        <v>2571</v>
      </c>
      <c r="D1964" s="9">
        <v>140.19999999999999</v>
      </c>
      <c r="E1964" s="3"/>
      <c r="F1964" s="3"/>
      <c r="G1964" s="9"/>
      <c r="H1964" s="10">
        <v>45680.884675925918</v>
      </c>
      <c r="I1964" s="10">
        <v>45682.090439814812</v>
      </c>
      <c r="J1964" s="10">
        <v>45682.11478009259</v>
      </c>
      <c r="K1964" s="11">
        <v>2.434027777777778E-2</v>
      </c>
      <c r="L1964" s="13"/>
    </row>
    <row r="1965" spans="1:12" x14ac:dyDescent="0.25">
      <c r="A1965" s="3" t="s">
        <v>4890</v>
      </c>
      <c r="B1965" s="3" t="s">
        <v>5223</v>
      </c>
      <c r="C1965" s="3" t="s">
        <v>2544</v>
      </c>
      <c r="D1965" s="9">
        <v>164.7</v>
      </c>
      <c r="E1965" s="3"/>
      <c r="F1965" s="3"/>
      <c r="G1965" s="9"/>
      <c r="H1965" s="10">
        <v>45681.129108796304</v>
      </c>
      <c r="I1965" s="10">
        <v>45683.760601851849</v>
      </c>
      <c r="J1965" s="10">
        <v>45683.789201388892</v>
      </c>
      <c r="K1965" s="11">
        <v>2.8599537037037041E-2</v>
      </c>
      <c r="L1965" s="13"/>
    </row>
    <row r="1966" spans="1:12" x14ac:dyDescent="0.25">
      <c r="A1966" s="3" t="s">
        <v>4890</v>
      </c>
      <c r="B1966" s="3" t="s">
        <v>5224</v>
      </c>
      <c r="C1966" s="3" t="s">
        <v>2486</v>
      </c>
      <c r="D1966" s="9">
        <v>143.80000000000001</v>
      </c>
      <c r="E1966" s="3"/>
      <c r="F1966" s="3"/>
      <c r="G1966" s="9"/>
      <c r="H1966" s="10">
        <v>45681.135034722232</v>
      </c>
      <c r="I1966" s="10">
        <v>45684.128483796303</v>
      </c>
      <c r="J1966" s="10">
        <v>45684.153437499997</v>
      </c>
      <c r="K1966" s="11">
        <v>2.49537037037037E-2</v>
      </c>
      <c r="L1966" s="13"/>
    </row>
    <row r="1967" spans="1:12" x14ac:dyDescent="0.25">
      <c r="A1967" s="3" t="s">
        <v>4890</v>
      </c>
      <c r="B1967" s="3" t="s">
        <v>5225</v>
      </c>
      <c r="C1967" s="3" t="s">
        <v>2489</v>
      </c>
      <c r="D1967" s="9">
        <v>118.2</v>
      </c>
      <c r="E1967" s="3"/>
      <c r="F1967" s="3"/>
      <c r="G1967" s="9"/>
      <c r="H1967" s="10">
        <v>45681.199571759258</v>
      </c>
      <c r="I1967" s="10">
        <v>45684.200370370367</v>
      </c>
      <c r="J1967" s="10">
        <v>45684.220891203702</v>
      </c>
      <c r="K1967" s="11">
        <v>2.0520833333333328E-2</v>
      </c>
      <c r="L1967" s="13"/>
    </row>
    <row r="1968" spans="1:12" x14ac:dyDescent="0.25">
      <c r="A1968" s="3" t="s">
        <v>4890</v>
      </c>
      <c r="B1968" s="3" t="s">
        <v>5226</v>
      </c>
      <c r="C1968" s="3" t="s">
        <v>2588</v>
      </c>
      <c r="D1968" s="9">
        <v>297</v>
      </c>
      <c r="E1968" s="3"/>
      <c r="F1968" s="3"/>
      <c r="G1968" s="9"/>
      <c r="H1968" s="10">
        <v>45681.269988425927</v>
      </c>
      <c r="I1968" s="10">
        <v>45684.286192129628</v>
      </c>
      <c r="J1968" s="10">
        <v>45684.337754629632</v>
      </c>
      <c r="K1968" s="11">
        <v>5.1562499999999997E-2</v>
      </c>
      <c r="L1968" s="13"/>
    </row>
    <row r="1969" spans="1:12" x14ac:dyDescent="0.25">
      <c r="A1969" s="3" t="s">
        <v>4890</v>
      </c>
      <c r="B1969" s="3" t="s">
        <v>5227</v>
      </c>
      <c r="C1969" s="3" t="s">
        <v>2591</v>
      </c>
      <c r="D1969" s="9">
        <v>240.4</v>
      </c>
      <c r="E1969" s="3"/>
      <c r="F1969" s="3"/>
      <c r="G1969" s="9"/>
      <c r="H1969" s="10">
        <v>45681.30159722222</v>
      </c>
      <c r="I1969" s="10">
        <v>45684.323344907411</v>
      </c>
      <c r="J1969" s="10">
        <v>45684.365081018521</v>
      </c>
      <c r="K1969" s="11">
        <v>4.1736111111111113E-2</v>
      </c>
      <c r="L1969" s="13"/>
    </row>
    <row r="1970" spans="1:12" x14ac:dyDescent="0.25">
      <c r="A1970" s="3" t="s">
        <v>4890</v>
      </c>
      <c r="B1970" s="3" t="s">
        <v>5228</v>
      </c>
      <c r="C1970" s="3" t="s">
        <v>2535</v>
      </c>
      <c r="D1970" s="9">
        <v>111.4</v>
      </c>
      <c r="E1970" s="3"/>
      <c r="F1970" s="3"/>
      <c r="G1970" s="9"/>
      <c r="H1970" s="10">
        <v>45681.378692129627</v>
      </c>
      <c r="I1970" s="10">
        <v>45684.325509259259</v>
      </c>
      <c r="J1970" s="10">
        <v>45684.344849537039</v>
      </c>
      <c r="K1970" s="11">
        <v>1.9340277777777779E-2</v>
      </c>
      <c r="L1970" s="13"/>
    </row>
    <row r="1971" spans="1:12" x14ac:dyDescent="0.25">
      <c r="A1971" s="3" t="s">
        <v>4890</v>
      </c>
      <c r="B1971" s="3" t="s">
        <v>5229</v>
      </c>
      <c r="C1971" s="3" t="s">
        <v>2504</v>
      </c>
      <c r="D1971" s="9">
        <v>178.4</v>
      </c>
      <c r="E1971" s="3"/>
      <c r="F1971" s="3"/>
      <c r="G1971" s="9"/>
      <c r="H1971" s="10">
        <v>45681.398414351846</v>
      </c>
      <c r="I1971" s="10">
        <v>45684.33965277778</v>
      </c>
      <c r="J1971" s="10">
        <v>45684.370625000003</v>
      </c>
      <c r="K1971" s="11">
        <v>3.097222222222222E-2</v>
      </c>
      <c r="L1971" s="13"/>
    </row>
    <row r="1972" spans="1:12" x14ac:dyDescent="0.25">
      <c r="A1972" s="3" t="s">
        <v>4890</v>
      </c>
      <c r="B1972" s="3" t="s">
        <v>5230</v>
      </c>
      <c r="C1972" s="3" t="s">
        <v>2594</v>
      </c>
      <c r="D1972" s="9">
        <v>139.30000000000001</v>
      </c>
      <c r="E1972" s="3"/>
      <c r="F1972" s="3"/>
      <c r="G1972" s="9"/>
      <c r="H1972" s="10">
        <v>45681.42696759259</v>
      </c>
      <c r="I1972" s="10">
        <v>45684.365208333344</v>
      </c>
      <c r="J1972" s="10">
        <v>45684.389398148152</v>
      </c>
      <c r="K1972" s="11">
        <v>2.418981481481481E-2</v>
      </c>
      <c r="L1972" s="13"/>
    </row>
    <row r="1973" spans="1:12" x14ac:dyDescent="0.25">
      <c r="A1973" s="3" t="s">
        <v>4890</v>
      </c>
      <c r="B1973" s="3" t="s">
        <v>5231</v>
      </c>
      <c r="C1973" s="3" t="s">
        <v>2638</v>
      </c>
      <c r="D1973" s="9">
        <v>177.5</v>
      </c>
      <c r="E1973" s="3"/>
      <c r="F1973" s="3"/>
      <c r="G1973" s="9"/>
      <c r="H1973" s="10">
        <v>45681.553877314807</v>
      </c>
      <c r="I1973" s="10">
        <v>45684.392592592587</v>
      </c>
      <c r="J1973" s="10">
        <v>45684.423414351862</v>
      </c>
      <c r="K1973" s="11">
        <v>3.0821759259259261E-2</v>
      </c>
      <c r="L1973" s="13"/>
    </row>
    <row r="1974" spans="1:12" x14ac:dyDescent="0.25">
      <c r="A1974" s="3" t="s">
        <v>4890</v>
      </c>
      <c r="B1974" s="3" t="s">
        <v>5232</v>
      </c>
      <c r="C1974" s="3" t="s">
        <v>2641</v>
      </c>
      <c r="D1974" s="9">
        <v>296.10000000000002</v>
      </c>
      <c r="E1974" s="3"/>
      <c r="F1974" s="3"/>
      <c r="G1974" s="9"/>
      <c r="H1974" s="10">
        <v>45681.616006944438</v>
      </c>
      <c r="I1974" s="10">
        <v>45684.453692129631</v>
      </c>
      <c r="J1974" s="10">
        <v>45684.50509259259</v>
      </c>
      <c r="K1974" s="11">
        <v>5.140046296296296E-2</v>
      </c>
      <c r="L1974" s="13"/>
    </row>
    <row r="1975" spans="1:12" x14ac:dyDescent="0.25">
      <c r="A1975" s="3" t="s">
        <v>4890</v>
      </c>
      <c r="B1975" s="3" t="s">
        <v>5233</v>
      </c>
      <c r="C1975" s="3" t="s">
        <v>2563</v>
      </c>
      <c r="D1975" s="9">
        <v>101.9</v>
      </c>
      <c r="E1975" s="3"/>
      <c r="F1975" s="3"/>
      <c r="G1975" s="9"/>
      <c r="H1975" s="10">
        <v>45681.645370370366</v>
      </c>
      <c r="I1975" s="10">
        <v>45684.539895833332</v>
      </c>
      <c r="J1975" s="10">
        <v>45684.557592592602</v>
      </c>
      <c r="K1975" s="11">
        <v>1.7696759259259259E-2</v>
      </c>
      <c r="L1975" s="13"/>
    </row>
    <row r="1976" spans="1:12" x14ac:dyDescent="0.25">
      <c r="A1976" s="3" t="s">
        <v>4890</v>
      </c>
      <c r="B1976" s="3" t="s">
        <v>5234</v>
      </c>
      <c r="C1976" s="3" t="s">
        <v>2665</v>
      </c>
      <c r="D1976" s="9">
        <v>134.69999999999999</v>
      </c>
      <c r="E1976" s="3"/>
      <c r="F1976" s="3"/>
      <c r="G1976" s="9"/>
      <c r="H1976" s="10">
        <v>45681.739305555559</v>
      </c>
      <c r="I1976" s="10">
        <v>45684.611238425918</v>
      </c>
      <c r="J1976" s="10">
        <v>45684.634618055563</v>
      </c>
      <c r="K1976" s="11">
        <v>2.3379629629629629E-2</v>
      </c>
      <c r="L1976" s="13"/>
    </row>
    <row r="1977" spans="1:12" x14ac:dyDescent="0.25">
      <c r="A1977" s="3" t="s">
        <v>4890</v>
      </c>
      <c r="B1977" s="3" t="s">
        <v>5235</v>
      </c>
      <c r="C1977" s="3" t="s">
        <v>2526</v>
      </c>
      <c r="D1977" s="9">
        <v>232.4</v>
      </c>
      <c r="E1977" s="3"/>
      <c r="F1977" s="3"/>
      <c r="G1977" s="9"/>
      <c r="H1977" s="10">
        <v>45681.742638888893</v>
      </c>
      <c r="I1977" s="10">
        <v>45684.651909722219</v>
      </c>
      <c r="J1977" s="10">
        <v>45684.692256944443</v>
      </c>
      <c r="K1977" s="11">
        <v>4.0347222222222222E-2</v>
      </c>
      <c r="L1977" s="13"/>
    </row>
    <row r="1978" spans="1:12" x14ac:dyDescent="0.25">
      <c r="A1978" s="3" t="s">
        <v>4890</v>
      </c>
      <c r="B1978" s="3" t="s">
        <v>5236</v>
      </c>
      <c r="C1978" s="3" t="s">
        <v>2668</v>
      </c>
      <c r="D1978" s="9">
        <v>389.1</v>
      </c>
      <c r="E1978" s="3"/>
      <c r="F1978" s="3"/>
      <c r="G1978" s="9"/>
      <c r="H1978" s="10">
        <v>45682.087291666663</v>
      </c>
      <c r="I1978" s="10">
        <v>45684.679386574076</v>
      </c>
      <c r="J1978" s="10">
        <v>45684.746932870366</v>
      </c>
      <c r="K1978" s="11">
        <v>6.7546296296296299E-2</v>
      </c>
      <c r="L1978" s="13"/>
    </row>
    <row r="1979" spans="1:12" x14ac:dyDescent="0.25">
      <c r="A1979" s="3" t="s">
        <v>4890</v>
      </c>
      <c r="B1979" s="3" t="s">
        <v>5237</v>
      </c>
      <c r="C1979" s="3" t="s">
        <v>2673</v>
      </c>
      <c r="D1979" s="9">
        <v>155.9</v>
      </c>
      <c r="E1979" s="3"/>
      <c r="F1979" s="3"/>
      <c r="G1979" s="9"/>
      <c r="H1979" s="10">
        <v>45682.091134259259</v>
      </c>
      <c r="I1979" s="10">
        <v>45684.741446759261</v>
      </c>
      <c r="J1979" s="10">
        <v>45684.768518518518</v>
      </c>
      <c r="K1979" s="11">
        <v>2.7071759259259261E-2</v>
      </c>
      <c r="L1979" s="13"/>
    </row>
    <row r="1980" spans="1:12" x14ac:dyDescent="0.25">
      <c r="A1980" s="3" t="s">
        <v>4890</v>
      </c>
      <c r="B1980" s="3" t="s">
        <v>5238</v>
      </c>
      <c r="C1980" s="3" t="s">
        <v>2678</v>
      </c>
      <c r="D1980" s="9">
        <v>459.5</v>
      </c>
      <c r="E1980" s="3"/>
      <c r="F1980" s="3"/>
      <c r="G1980" s="9"/>
      <c r="H1980" s="10">
        <v>45683.759583333333</v>
      </c>
      <c r="I1980" s="10">
        <v>45684.755555555559</v>
      </c>
      <c r="J1980" s="10">
        <v>45684.835335648153</v>
      </c>
      <c r="K1980" s="11">
        <v>7.9780092592592597E-2</v>
      </c>
      <c r="L1980" s="13"/>
    </row>
    <row r="1981" spans="1:12" x14ac:dyDescent="0.25">
      <c r="A1981" s="3" t="s">
        <v>4890</v>
      </c>
      <c r="B1981" s="3" t="s">
        <v>5239</v>
      </c>
      <c r="C1981" s="3" t="s">
        <v>2613</v>
      </c>
      <c r="D1981" s="9">
        <v>138</v>
      </c>
      <c r="E1981" s="3"/>
      <c r="F1981" s="3"/>
      <c r="G1981" s="9"/>
      <c r="H1981" s="10">
        <v>45683.762430555558</v>
      </c>
      <c r="I1981" s="10">
        <v>45684.887199074074</v>
      </c>
      <c r="J1981" s="10">
        <v>45684.911157407398</v>
      </c>
      <c r="K1981" s="11">
        <v>2.3958333333333331E-2</v>
      </c>
      <c r="L1981" s="13"/>
    </row>
    <row r="1982" spans="1:12" x14ac:dyDescent="0.25">
      <c r="A1982" s="3" t="s">
        <v>4890</v>
      </c>
      <c r="B1982" s="3" t="s">
        <v>5240</v>
      </c>
      <c r="C1982" s="3" t="s">
        <v>2644</v>
      </c>
      <c r="D1982" s="9">
        <v>225.5</v>
      </c>
      <c r="E1982" s="3"/>
      <c r="F1982" s="3"/>
      <c r="G1982" s="9"/>
      <c r="H1982" s="10">
        <v>45684.12835648148</v>
      </c>
      <c r="I1982" s="10">
        <v>45685.135520833333</v>
      </c>
      <c r="J1982" s="10">
        <v>45685.174675925933</v>
      </c>
      <c r="K1982" s="11">
        <v>3.9155092592592602E-2</v>
      </c>
      <c r="L1982" s="13"/>
    </row>
    <row r="1983" spans="1:12" x14ac:dyDescent="0.25">
      <c r="A1983" s="3" t="s">
        <v>4890</v>
      </c>
      <c r="B1983" s="3" t="s">
        <v>5241</v>
      </c>
      <c r="C1983" s="3" t="s">
        <v>2647</v>
      </c>
      <c r="D1983" s="9">
        <v>298.2</v>
      </c>
      <c r="E1983" s="3"/>
      <c r="F1983" s="3"/>
      <c r="G1983" s="9"/>
      <c r="H1983" s="10">
        <v>45684.20108796296</v>
      </c>
      <c r="I1983" s="10">
        <v>45685.282488425917</v>
      </c>
      <c r="J1983" s="10">
        <v>45685.33425925926</v>
      </c>
      <c r="K1983" s="11">
        <v>5.1770833333333342E-2</v>
      </c>
      <c r="L1983" s="13"/>
    </row>
    <row r="1984" spans="1:12" x14ac:dyDescent="0.25">
      <c r="A1984" s="3" t="s">
        <v>4890</v>
      </c>
      <c r="B1984" s="3" t="s">
        <v>5242</v>
      </c>
      <c r="C1984" s="3" t="s">
        <v>2608</v>
      </c>
      <c r="D1984" s="9">
        <v>284.8</v>
      </c>
      <c r="E1984" s="3"/>
      <c r="F1984" s="3"/>
      <c r="G1984" s="9"/>
      <c r="H1984" s="10">
        <v>45684.286666666667</v>
      </c>
      <c r="I1984" s="10">
        <v>45685.325694444437</v>
      </c>
      <c r="J1984" s="10">
        <v>45685.375138888892</v>
      </c>
      <c r="K1984" s="11">
        <v>4.9444444444444437E-2</v>
      </c>
      <c r="L1984" s="13"/>
    </row>
    <row r="1985" spans="1:12" x14ac:dyDescent="0.25">
      <c r="A1985" s="3" t="s">
        <v>4890</v>
      </c>
      <c r="B1985" s="3" t="s">
        <v>5243</v>
      </c>
      <c r="C1985" s="3" t="s">
        <v>2704</v>
      </c>
      <c r="D1985" s="9">
        <v>106.9</v>
      </c>
      <c r="E1985" s="3"/>
      <c r="F1985" s="3"/>
      <c r="G1985" s="9"/>
      <c r="H1985" s="10">
        <v>45684.322175925918</v>
      </c>
      <c r="I1985" s="10">
        <v>45685.329606481479</v>
      </c>
      <c r="J1985" s="10">
        <v>45685.348171296297</v>
      </c>
      <c r="K1985" s="11">
        <v>1.8564814814814819E-2</v>
      </c>
      <c r="L1985" s="13"/>
    </row>
    <row r="1986" spans="1:12" x14ac:dyDescent="0.25">
      <c r="A1986" s="3" t="s">
        <v>4890</v>
      </c>
      <c r="B1986" s="3" t="s">
        <v>5244</v>
      </c>
      <c r="C1986" s="3" t="s">
        <v>2631</v>
      </c>
      <c r="D1986" s="9">
        <v>194.9</v>
      </c>
      <c r="E1986" s="3"/>
      <c r="F1986" s="3"/>
      <c r="G1986" s="9"/>
      <c r="H1986" s="10">
        <v>45684.389710648153</v>
      </c>
      <c r="I1986" s="10">
        <v>45685.335995370369</v>
      </c>
      <c r="J1986" s="10">
        <v>45685.369837962957</v>
      </c>
      <c r="K1986" s="11">
        <v>3.3842592592592591E-2</v>
      </c>
      <c r="L1986" s="13"/>
    </row>
    <row r="1987" spans="1:12" x14ac:dyDescent="0.25">
      <c r="A1987" s="3" t="s">
        <v>4890</v>
      </c>
      <c r="B1987" s="3" t="s">
        <v>5245</v>
      </c>
      <c r="C1987" s="3" t="s">
        <v>2697</v>
      </c>
      <c r="D1987" s="9">
        <v>394.6</v>
      </c>
      <c r="E1987" s="3"/>
      <c r="F1987" s="3"/>
      <c r="G1987" s="9"/>
      <c r="H1987" s="10">
        <v>45684.452337962961</v>
      </c>
      <c r="I1987" s="10">
        <v>45685.393449074072</v>
      </c>
      <c r="J1987" s="10">
        <v>45685.461956018517</v>
      </c>
      <c r="K1987" s="11">
        <v>6.850694444444444E-2</v>
      </c>
      <c r="L1987" s="13"/>
    </row>
    <row r="1988" spans="1:12" x14ac:dyDescent="0.25">
      <c r="A1988" s="3" t="s">
        <v>4890</v>
      </c>
      <c r="B1988" s="3" t="s">
        <v>5246</v>
      </c>
      <c r="C1988" s="3" t="s">
        <v>2743</v>
      </c>
      <c r="D1988" s="9">
        <v>212.1</v>
      </c>
      <c r="E1988" s="3"/>
      <c r="F1988" s="3"/>
      <c r="G1988" s="9"/>
      <c r="H1988" s="10">
        <v>45684.540636574071</v>
      </c>
      <c r="I1988" s="10">
        <v>45685.413715277777</v>
      </c>
      <c r="J1988" s="10">
        <v>45685.450543981482</v>
      </c>
      <c r="K1988" s="11">
        <v>3.6828703703703697E-2</v>
      </c>
      <c r="L1988" s="13"/>
    </row>
    <row r="1989" spans="1:12" x14ac:dyDescent="0.25">
      <c r="A1989" s="3" t="s">
        <v>4890</v>
      </c>
      <c r="B1989" s="3" t="s">
        <v>5247</v>
      </c>
      <c r="C1989" s="3" t="s">
        <v>2685</v>
      </c>
      <c r="D1989" s="9">
        <v>381.6</v>
      </c>
      <c r="E1989" s="3"/>
      <c r="F1989" s="3"/>
      <c r="G1989" s="9"/>
      <c r="H1989" s="10">
        <v>45684.611678240741</v>
      </c>
      <c r="I1989" s="10">
        <v>45685.455405092587</v>
      </c>
      <c r="J1989" s="10">
        <v>45685.521655092591</v>
      </c>
      <c r="K1989" s="11">
        <v>6.6250000000000003E-2</v>
      </c>
      <c r="L1989" s="13"/>
    </row>
    <row r="1990" spans="1:12" x14ac:dyDescent="0.25">
      <c r="A1990" s="3" t="s">
        <v>4890</v>
      </c>
      <c r="B1990" s="3" t="s">
        <v>5248</v>
      </c>
      <c r="C1990" s="3" t="s">
        <v>2740</v>
      </c>
      <c r="D1990" s="9">
        <v>118.2</v>
      </c>
      <c r="E1990" s="3"/>
      <c r="F1990" s="3"/>
      <c r="G1990" s="9"/>
      <c r="H1990" s="10">
        <v>45684.678819444453</v>
      </c>
      <c r="I1990" s="10">
        <v>45685.55023148148</v>
      </c>
      <c r="J1990" s="10">
        <v>45685.570752314823</v>
      </c>
      <c r="K1990" s="11">
        <v>2.0520833333333328E-2</v>
      </c>
      <c r="L1990" s="13"/>
    </row>
    <row r="1991" spans="1:12" x14ac:dyDescent="0.25">
      <c r="A1991" s="3" t="s">
        <v>4890</v>
      </c>
      <c r="B1991" s="3" t="s">
        <v>5249</v>
      </c>
      <c r="C1991" s="3" t="s">
        <v>2748</v>
      </c>
      <c r="D1991" s="9">
        <v>321.5</v>
      </c>
      <c r="E1991" s="3"/>
      <c r="F1991" s="3"/>
      <c r="G1991" s="9"/>
      <c r="H1991" s="10">
        <v>45684.681550925918</v>
      </c>
      <c r="I1991" s="10">
        <v>45685.607731481483</v>
      </c>
      <c r="J1991" s="10">
        <v>45685.663553240738</v>
      </c>
      <c r="K1991" s="11">
        <v>5.5821759259259258E-2</v>
      </c>
      <c r="L1991" s="13"/>
    </row>
    <row r="1992" spans="1:12" x14ac:dyDescent="0.25">
      <c r="A1992" s="3" t="s">
        <v>4890</v>
      </c>
      <c r="B1992" s="3" t="s">
        <v>5250</v>
      </c>
      <c r="C1992" s="3" t="s">
        <v>2755</v>
      </c>
      <c r="D1992" s="9">
        <v>232.4</v>
      </c>
      <c r="E1992" s="3"/>
      <c r="F1992" s="3"/>
      <c r="G1992" s="9"/>
      <c r="H1992" s="10">
        <v>45684.742129629631</v>
      </c>
      <c r="I1992" s="10">
        <v>45685.633969907409</v>
      </c>
      <c r="J1992" s="10">
        <v>45685.674317129633</v>
      </c>
      <c r="K1992" s="11">
        <v>4.0347222222222222E-2</v>
      </c>
      <c r="L1992" s="13"/>
    </row>
    <row r="1993" spans="1:12" x14ac:dyDescent="0.25">
      <c r="A1993" s="3" t="s">
        <v>4890</v>
      </c>
      <c r="B1993" s="3" t="s">
        <v>5251</v>
      </c>
      <c r="C1993" s="3" t="s">
        <v>2716</v>
      </c>
      <c r="D1993" s="9">
        <v>310.60000000000002</v>
      </c>
      <c r="E1993" s="3"/>
      <c r="F1993" s="3"/>
      <c r="G1993" s="9"/>
      <c r="H1993" s="10">
        <v>45684.752835648149</v>
      </c>
      <c r="I1993" s="10">
        <v>45685.653344907398</v>
      </c>
      <c r="J1993" s="10">
        <v>45685.707268518519</v>
      </c>
      <c r="K1993" s="11">
        <v>5.392361111111111E-2</v>
      </c>
      <c r="L1993" s="13"/>
    </row>
    <row r="1994" spans="1:12" x14ac:dyDescent="0.25">
      <c r="A1994" s="3" t="s">
        <v>4890</v>
      </c>
      <c r="B1994" s="3" t="s">
        <v>5252</v>
      </c>
      <c r="C1994" s="3" t="s">
        <v>2762</v>
      </c>
      <c r="D1994" s="9">
        <v>448.7</v>
      </c>
      <c r="E1994" s="3"/>
      <c r="F1994" s="3"/>
      <c r="G1994" s="9"/>
      <c r="H1994" s="10">
        <v>45684.889363425929</v>
      </c>
      <c r="I1994" s="10">
        <v>45685.823125000003</v>
      </c>
      <c r="J1994" s="10">
        <v>45685.901018518518</v>
      </c>
      <c r="K1994" s="11">
        <v>7.7893518518518515E-2</v>
      </c>
      <c r="L1994" s="13"/>
    </row>
    <row r="1995" spans="1:12" x14ac:dyDescent="0.25">
      <c r="A1995" s="3" t="s">
        <v>4890</v>
      </c>
      <c r="B1995" s="3" t="s">
        <v>5253</v>
      </c>
      <c r="C1995" s="3" t="s">
        <v>2769</v>
      </c>
      <c r="D1995" s="9">
        <v>101.7</v>
      </c>
      <c r="E1995" s="3"/>
      <c r="F1995" s="3"/>
      <c r="G1995" s="9"/>
      <c r="H1995" s="10">
        <v>45685.134039351848</v>
      </c>
      <c r="I1995" s="10">
        <v>45685.887349537043</v>
      </c>
      <c r="J1995" s="10">
        <v>45685.904999999999</v>
      </c>
      <c r="K1995" s="11">
        <v>1.7650462962962962E-2</v>
      </c>
      <c r="L1995" s="13"/>
    </row>
    <row r="1996" spans="1:12" x14ac:dyDescent="0.25">
      <c r="A1996" s="3" t="s">
        <v>4890</v>
      </c>
      <c r="B1996" s="3" t="s">
        <v>5254</v>
      </c>
      <c r="C1996" s="3" t="s">
        <v>2690</v>
      </c>
      <c r="D1996" s="9">
        <v>108.1</v>
      </c>
      <c r="E1996" s="3"/>
      <c r="F1996" s="3"/>
      <c r="G1996" s="9"/>
      <c r="H1996" s="10">
        <v>45685.134421296287</v>
      </c>
      <c r="I1996" s="10">
        <v>45686.133518518523</v>
      </c>
      <c r="J1996" s="10">
        <v>45686.152291666673</v>
      </c>
      <c r="K1996" s="11">
        <v>1.877314814814815E-2</v>
      </c>
      <c r="L1996" s="13"/>
    </row>
    <row r="1997" spans="1:12" x14ac:dyDescent="0.25">
      <c r="A1997" s="3" t="s">
        <v>4890</v>
      </c>
      <c r="B1997" s="3" t="s">
        <v>5255</v>
      </c>
      <c r="C1997" s="3" t="s">
        <v>2707</v>
      </c>
      <c r="D1997" s="9">
        <v>297</v>
      </c>
      <c r="E1997" s="3"/>
      <c r="F1997" s="3"/>
      <c r="G1997" s="9"/>
      <c r="H1997" s="10">
        <v>45685.283113425918</v>
      </c>
      <c r="I1997" s="10">
        <v>45686.189108796287</v>
      </c>
      <c r="J1997" s="10">
        <v>45686.240671296298</v>
      </c>
      <c r="K1997" s="11">
        <v>5.1562499999999997E-2</v>
      </c>
      <c r="L1997" s="13"/>
    </row>
    <row r="1998" spans="1:12" x14ac:dyDescent="0.25">
      <c r="A1998" s="3" t="s">
        <v>4890</v>
      </c>
      <c r="B1998" s="3" t="s">
        <v>5256</v>
      </c>
      <c r="C1998" s="3" t="s">
        <v>2788</v>
      </c>
      <c r="D1998" s="9">
        <v>115.2</v>
      </c>
      <c r="E1998" s="3"/>
      <c r="F1998" s="3"/>
      <c r="G1998" s="9"/>
      <c r="H1998" s="10">
        <v>45685.327893518523</v>
      </c>
      <c r="I1998" s="10">
        <v>45686.272326388891</v>
      </c>
      <c r="J1998" s="10">
        <v>45686.292326388888</v>
      </c>
      <c r="K1998" s="11">
        <v>0.02</v>
      </c>
      <c r="L1998" s="13"/>
    </row>
    <row r="1999" spans="1:12" x14ac:dyDescent="0.25">
      <c r="A1999" s="3" t="s">
        <v>4890</v>
      </c>
      <c r="B1999" s="3" t="s">
        <v>5257</v>
      </c>
      <c r="C1999" s="3" t="s">
        <v>2827</v>
      </c>
      <c r="D1999" s="9">
        <v>148.9</v>
      </c>
      <c r="E1999" s="3"/>
      <c r="F1999" s="3"/>
      <c r="G1999" s="9"/>
      <c r="H1999" s="10">
        <v>45685.394108796303</v>
      </c>
      <c r="I1999" s="10">
        <v>45686.316840277781</v>
      </c>
      <c r="J1999" s="10">
        <v>45686.342685185176</v>
      </c>
      <c r="K1999" s="11">
        <v>2.584490740740741E-2</v>
      </c>
      <c r="L1999" s="13"/>
    </row>
    <row r="2000" spans="1:12" x14ac:dyDescent="0.25">
      <c r="A2000" s="3" t="s">
        <v>4890</v>
      </c>
      <c r="B2000" s="3" t="s">
        <v>5258</v>
      </c>
      <c r="C2000" s="3" t="s">
        <v>2777</v>
      </c>
      <c r="D2000" s="9">
        <v>110.6</v>
      </c>
      <c r="E2000" s="3"/>
      <c r="F2000" s="3"/>
      <c r="G2000" s="9"/>
      <c r="H2000" s="10">
        <v>45685.41201388889</v>
      </c>
      <c r="I2000" s="10">
        <v>45686.322118055563</v>
      </c>
      <c r="J2000" s="10">
        <v>45686.341319444437</v>
      </c>
      <c r="K2000" s="11">
        <v>1.9201388888888889E-2</v>
      </c>
      <c r="L2000" s="13"/>
    </row>
    <row r="2001" spans="1:12" x14ac:dyDescent="0.25">
      <c r="A2001" s="3" t="s">
        <v>4890</v>
      </c>
      <c r="B2001" s="3" t="s">
        <v>5259</v>
      </c>
      <c r="C2001" s="3" t="s">
        <v>2782</v>
      </c>
      <c r="D2001" s="9">
        <v>119.3</v>
      </c>
      <c r="E2001" s="3"/>
      <c r="F2001" s="3"/>
      <c r="G2001" s="9"/>
      <c r="H2001" s="10">
        <v>45685.415185185193</v>
      </c>
      <c r="I2001" s="10">
        <v>45686.358263888891</v>
      </c>
      <c r="J2001" s="10">
        <v>45686.378969907397</v>
      </c>
      <c r="K2001" s="11">
        <v>2.0706018518518519E-2</v>
      </c>
      <c r="L2001" s="13"/>
    </row>
    <row r="2002" spans="1:12" x14ac:dyDescent="0.25">
      <c r="A2002" s="3" t="s">
        <v>4890</v>
      </c>
      <c r="B2002" s="3" t="s">
        <v>5260</v>
      </c>
      <c r="C2002" s="3" t="s">
        <v>2798</v>
      </c>
      <c r="D2002" s="9">
        <v>194.6</v>
      </c>
      <c r="E2002" s="3"/>
      <c r="F2002" s="3"/>
      <c r="G2002" s="9"/>
      <c r="H2002" s="10">
        <v>45685.453252314823</v>
      </c>
      <c r="I2002" s="10">
        <v>45686.409085648149</v>
      </c>
      <c r="J2002" s="10">
        <v>45686.442870370367</v>
      </c>
      <c r="K2002" s="11">
        <v>3.3784722222222223E-2</v>
      </c>
      <c r="L2002" s="13"/>
    </row>
    <row r="2003" spans="1:12" x14ac:dyDescent="0.25">
      <c r="A2003" s="3" t="s">
        <v>4890</v>
      </c>
      <c r="B2003" s="3" t="s">
        <v>5261</v>
      </c>
      <c r="C2003" s="3" t="s">
        <v>2834</v>
      </c>
      <c r="D2003" s="9">
        <v>147</v>
      </c>
      <c r="E2003" s="3"/>
      <c r="F2003" s="3"/>
      <c r="G2003" s="9"/>
      <c r="H2003" s="10">
        <v>45685.456087962957</v>
      </c>
      <c r="I2003" s="10">
        <v>45686.451365740737</v>
      </c>
      <c r="J2003" s="10">
        <v>45686.476886574077</v>
      </c>
      <c r="K2003" s="11">
        <v>2.5520833333333329E-2</v>
      </c>
      <c r="L2003" s="13"/>
    </row>
    <row r="2004" spans="1:12" x14ac:dyDescent="0.25">
      <c r="A2004" s="3" t="s">
        <v>4890</v>
      </c>
      <c r="B2004" s="3" t="s">
        <v>5262</v>
      </c>
      <c r="C2004" s="3" t="s">
        <v>2837</v>
      </c>
      <c r="D2004" s="9">
        <v>291.89999999999998</v>
      </c>
      <c r="E2004" s="3"/>
      <c r="F2004" s="3"/>
      <c r="G2004" s="9"/>
      <c r="H2004" s="10">
        <v>45685.55091435185</v>
      </c>
      <c r="I2004" s="10">
        <v>45686.556018518517</v>
      </c>
      <c r="J2004" s="10">
        <v>45686.606689814813</v>
      </c>
      <c r="K2004" s="11">
        <v>5.0671296296296298E-2</v>
      </c>
      <c r="L2004" s="13"/>
    </row>
    <row r="2005" spans="1:12" x14ac:dyDescent="0.25">
      <c r="A2005" s="3" t="s">
        <v>4890</v>
      </c>
      <c r="B2005" s="3" t="s">
        <v>5263</v>
      </c>
      <c r="C2005" s="3" t="s">
        <v>2840</v>
      </c>
      <c r="D2005" s="9">
        <v>389.8</v>
      </c>
      <c r="E2005" s="3"/>
      <c r="F2005" s="3"/>
      <c r="G2005" s="9"/>
      <c r="H2005" s="10">
        <v>45685.60837962963</v>
      </c>
      <c r="I2005" s="10">
        <v>45686.616365740738</v>
      </c>
      <c r="J2005" s="10">
        <v>45686.684039351851</v>
      </c>
      <c r="K2005" s="11">
        <v>6.7673611111111115E-2</v>
      </c>
      <c r="L2005" s="13"/>
    </row>
    <row r="2006" spans="1:12" x14ac:dyDescent="0.25">
      <c r="A2006" s="3" t="s">
        <v>4890</v>
      </c>
      <c r="B2006" s="3" t="s">
        <v>5264</v>
      </c>
      <c r="C2006" s="3" t="s">
        <v>2810</v>
      </c>
      <c r="D2006" s="9">
        <v>122.9</v>
      </c>
      <c r="E2006" s="3"/>
      <c r="F2006" s="3"/>
      <c r="G2006" s="9"/>
      <c r="H2006" s="10">
        <v>45685.632013888891</v>
      </c>
      <c r="I2006" s="10">
        <v>45686.656863425917</v>
      </c>
      <c r="J2006" s="10">
        <v>45686.678206018521</v>
      </c>
      <c r="K2006" s="11">
        <v>2.134259259259259E-2</v>
      </c>
      <c r="L2006" s="13"/>
    </row>
    <row r="2007" spans="1:12" x14ac:dyDescent="0.25">
      <c r="A2007" s="3" t="s">
        <v>4890</v>
      </c>
      <c r="B2007" s="3" t="s">
        <v>5265</v>
      </c>
      <c r="C2007" s="3" t="s">
        <v>2856</v>
      </c>
      <c r="D2007" s="9">
        <v>156</v>
      </c>
      <c r="E2007" s="3"/>
      <c r="F2007" s="3"/>
      <c r="G2007" s="9"/>
      <c r="H2007" s="10">
        <v>45685.636134259257</v>
      </c>
      <c r="I2007" s="10">
        <v>45686.665185185193</v>
      </c>
      <c r="J2007" s="10">
        <v>45686.69226851852</v>
      </c>
      <c r="K2007" s="11">
        <v>2.7083333333333331E-2</v>
      </c>
      <c r="L2007" s="13"/>
    </row>
    <row r="2008" spans="1:12" x14ac:dyDescent="0.25">
      <c r="A2008" s="3" t="s">
        <v>4890</v>
      </c>
      <c r="B2008" s="3" t="s">
        <v>5266</v>
      </c>
      <c r="C2008" s="3" t="s">
        <v>2863</v>
      </c>
      <c r="D2008" s="9">
        <v>232.7</v>
      </c>
      <c r="E2008" s="3"/>
      <c r="F2008" s="3"/>
      <c r="G2008" s="9"/>
      <c r="H2008" s="10">
        <v>45685.823761574073</v>
      </c>
      <c r="I2008" s="10">
        <v>45686.740231481483</v>
      </c>
      <c r="J2008" s="10">
        <v>45686.780624999999</v>
      </c>
      <c r="K2008" s="11">
        <v>4.0393518518518523E-2</v>
      </c>
      <c r="L2008" s="13"/>
    </row>
    <row r="2009" spans="1:12" x14ac:dyDescent="0.25">
      <c r="A2009" s="3" t="s">
        <v>4890</v>
      </c>
      <c r="B2009" s="3" t="s">
        <v>5267</v>
      </c>
      <c r="C2009" s="3" t="s">
        <v>2866</v>
      </c>
      <c r="D2009" s="9">
        <v>397.3</v>
      </c>
      <c r="E2009" s="3"/>
      <c r="F2009" s="3"/>
      <c r="G2009" s="9"/>
      <c r="H2009" s="10">
        <v>45685.887986111113</v>
      </c>
      <c r="I2009" s="10">
        <v>45686.773125</v>
      </c>
      <c r="J2009" s="10">
        <v>45686.842106481483</v>
      </c>
      <c r="K2009" s="11">
        <v>6.8981481481481477E-2</v>
      </c>
      <c r="L2009" s="13"/>
    </row>
    <row r="2010" spans="1:12" x14ac:dyDescent="0.25">
      <c r="A2010" s="3" t="s">
        <v>4890</v>
      </c>
      <c r="B2010" s="3" t="s">
        <v>5268</v>
      </c>
      <c r="C2010" s="3" t="s">
        <v>2872</v>
      </c>
      <c r="D2010" s="9">
        <v>165.8</v>
      </c>
      <c r="E2010" s="3"/>
      <c r="F2010" s="3"/>
      <c r="G2010" s="9"/>
      <c r="H2010" s="10">
        <v>45686.130243055559</v>
      </c>
      <c r="I2010" s="10">
        <v>45686.878819444442</v>
      </c>
      <c r="J2010" s="10">
        <v>45686.907604166663</v>
      </c>
      <c r="K2010" s="11">
        <v>2.8784722222222218E-2</v>
      </c>
      <c r="L2010" s="13"/>
    </row>
    <row r="2011" spans="1:12" x14ac:dyDescent="0.25">
      <c r="A2011" s="3" t="s">
        <v>4890</v>
      </c>
      <c r="B2011" s="3" t="s">
        <v>5269</v>
      </c>
      <c r="C2011" s="3" t="s">
        <v>2879</v>
      </c>
      <c r="D2011" s="9">
        <v>106.9</v>
      </c>
      <c r="E2011" s="3"/>
      <c r="F2011" s="3"/>
      <c r="G2011" s="9"/>
      <c r="H2011" s="10">
        <v>45686.189733796287</v>
      </c>
      <c r="I2011" s="10">
        <v>45687.133136574077</v>
      </c>
      <c r="J2011" s="10">
        <v>45687.151701388888</v>
      </c>
      <c r="K2011" s="11">
        <v>1.8564814814814819E-2</v>
      </c>
      <c r="L2011" s="13"/>
    </row>
    <row r="2012" spans="1:12" x14ac:dyDescent="0.25">
      <c r="A2012" s="3" t="s">
        <v>4890</v>
      </c>
      <c r="B2012" s="3" t="s">
        <v>5270</v>
      </c>
      <c r="C2012" s="3" t="s">
        <v>2853</v>
      </c>
      <c r="D2012" s="9">
        <v>297</v>
      </c>
      <c r="E2012" s="3"/>
      <c r="F2012" s="3"/>
      <c r="G2012" s="9"/>
      <c r="H2012" s="10">
        <v>45686.273009259261</v>
      </c>
      <c r="I2012" s="10">
        <v>45687.274016203701</v>
      </c>
      <c r="J2012" s="10">
        <v>45687.325578703712</v>
      </c>
      <c r="K2012" s="11">
        <v>5.1562499999999997E-2</v>
      </c>
      <c r="L2012" s="13"/>
    </row>
    <row r="2013" spans="1:12" x14ac:dyDescent="0.25">
      <c r="A2013" s="3" t="s">
        <v>4890</v>
      </c>
      <c r="B2013" s="3" t="s">
        <v>5271</v>
      </c>
      <c r="C2013" s="3" t="s">
        <v>2803</v>
      </c>
      <c r="D2013" s="9">
        <v>397.3</v>
      </c>
      <c r="E2013" s="3"/>
      <c r="F2013" s="3"/>
      <c r="G2013" s="9"/>
      <c r="H2013" s="10">
        <v>45686.317476851851</v>
      </c>
      <c r="I2013" s="10">
        <v>45687.299085648148</v>
      </c>
      <c r="J2013" s="10">
        <v>45687.368055555547</v>
      </c>
      <c r="K2013" s="11">
        <v>6.896990740740741E-2</v>
      </c>
      <c r="L2013" s="13"/>
    </row>
    <row r="2014" spans="1:12" x14ac:dyDescent="0.25">
      <c r="A2014" s="3" t="s">
        <v>4890</v>
      </c>
      <c r="B2014" s="3" t="s">
        <v>5272</v>
      </c>
      <c r="C2014" s="3" t="s">
        <v>2869</v>
      </c>
      <c r="D2014" s="9">
        <v>129.30000000000001</v>
      </c>
      <c r="E2014" s="3"/>
      <c r="F2014" s="3"/>
      <c r="G2014" s="9"/>
      <c r="H2014" s="10">
        <v>45686.322754629633</v>
      </c>
      <c r="I2014" s="10">
        <v>45687.342002314806</v>
      </c>
      <c r="J2014" s="10">
        <v>45687.36445601852</v>
      </c>
      <c r="K2014" s="11">
        <v>2.2453703703703701E-2</v>
      </c>
      <c r="L2014" s="13"/>
    </row>
    <row r="2015" spans="1:12" x14ac:dyDescent="0.25">
      <c r="A2015" s="3" t="s">
        <v>4890</v>
      </c>
      <c r="B2015" s="3" t="s">
        <v>5273</v>
      </c>
      <c r="C2015" s="3" t="s">
        <v>2772</v>
      </c>
      <c r="D2015" s="9">
        <v>110.3</v>
      </c>
      <c r="E2015" s="3"/>
      <c r="F2015" s="3"/>
      <c r="G2015" s="9"/>
      <c r="H2015" s="10">
        <v>45686.401030092587</v>
      </c>
      <c r="I2015" s="10">
        <v>45687.348414351851</v>
      </c>
      <c r="J2015" s="10">
        <v>45687.36755787037</v>
      </c>
      <c r="K2015" s="11">
        <v>1.9143518518518522E-2</v>
      </c>
      <c r="L2015" s="13"/>
    </row>
    <row r="2016" spans="1:12" x14ac:dyDescent="0.25">
      <c r="A2016" s="3" t="s">
        <v>4890</v>
      </c>
      <c r="B2016" s="3" t="s">
        <v>5274</v>
      </c>
      <c r="C2016" s="3" t="s">
        <v>2891</v>
      </c>
      <c r="D2016" s="9">
        <v>252</v>
      </c>
      <c r="E2016" s="3"/>
      <c r="F2016" s="3"/>
      <c r="G2016" s="9"/>
      <c r="H2016" s="10">
        <v>45686.403865740736</v>
      </c>
      <c r="I2016" s="10">
        <v>45687.369189814817</v>
      </c>
      <c r="J2016" s="10">
        <v>45687.412939814807</v>
      </c>
      <c r="K2016" s="11">
        <v>4.3749999999999997E-2</v>
      </c>
      <c r="L2016" s="13"/>
    </row>
    <row r="2017" spans="1:12" x14ac:dyDescent="0.25">
      <c r="A2017" s="3" t="s">
        <v>4890</v>
      </c>
      <c r="B2017" s="3" t="s">
        <v>5275</v>
      </c>
      <c r="C2017" s="3" t="s">
        <v>2915</v>
      </c>
      <c r="D2017" s="9">
        <v>220.3</v>
      </c>
      <c r="E2017" s="3"/>
      <c r="F2017" s="3"/>
      <c r="G2017" s="9"/>
      <c r="H2017" s="10">
        <v>45686.452048611107</v>
      </c>
      <c r="I2017" s="10">
        <v>45687.406331018523</v>
      </c>
      <c r="J2017" s="10">
        <v>45687.444571759261</v>
      </c>
      <c r="K2017" s="11">
        <v>3.8240740740740742E-2</v>
      </c>
      <c r="L2017" s="13"/>
    </row>
    <row r="2018" spans="1:12" x14ac:dyDescent="0.25">
      <c r="A2018" s="3" t="s">
        <v>4890</v>
      </c>
      <c r="B2018" s="3" t="s">
        <v>5276</v>
      </c>
      <c r="C2018" s="3" t="s">
        <v>2918</v>
      </c>
      <c r="D2018" s="9">
        <v>259.7</v>
      </c>
      <c r="E2018" s="3"/>
      <c r="F2018" s="3"/>
      <c r="G2018" s="9"/>
      <c r="H2018" s="10">
        <v>45686.556655092587</v>
      </c>
      <c r="I2018" s="10">
        <v>45687.425208333327</v>
      </c>
      <c r="J2018" s="10">
        <v>45687.470289351862</v>
      </c>
      <c r="K2018" s="11">
        <v>4.508101851851852E-2</v>
      </c>
      <c r="L2018" s="13"/>
    </row>
    <row r="2019" spans="1:12" x14ac:dyDescent="0.25">
      <c r="A2019" s="3" t="s">
        <v>4890</v>
      </c>
      <c r="B2019" s="3" t="s">
        <v>5277</v>
      </c>
      <c r="C2019" s="3" t="s">
        <v>2921</v>
      </c>
      <c r="D2019" s="9">
        <v>398</v>
      </c>
      <c r="E2019" s="3"/>
      <c r="F2019" s="3"/>
      <c r="G2019" s="9"/>
      <c r="H2019" s="10">
        <v>45686.617002314822</v>
      </c>
      <c r="I2019" s="10">
        <v>45687.550983796304</v>
      </c>
      <c r="J2019" s="10">
        <v>45687.620081018518</v>
      </c>
      <c r="K2019" s="11">
        <v>6.9097222222222227E-2</v>
      </c>
      <c r="L2019" s="13"/>
    </row>
    <row r="2020" spans="1:12" x14ac:dyDescent="0.25">
      <c r="A2020" s="3" t="s">
        <v>4890</v>
      </c>
      <c r="B2020" s="3" t="s">
        <v>5278</v>
      </c>
      <c r="C2020" s="3" t="s">
        <v>2843</v>
      </c>
      <c r="D2020" s="9">
        <v>110.3</v>
      </c>
      <c r="E2020" s="3"/>
      <c r="F2020" s="3"/>
      <c r="G2020" s="9"/>
      <c r="H2020" s="10">
        <v>45686.644490740742</v>
      </c>
      <c r="I2020" s="10">
        <v>45687.614641203712</v>
      </c>
      <c r="J2020" s="10">
        <v>45687.633773148147</v>
      </c>
      <c r="K2020" s="11">
        <v>1.9131944444444441E-2</v>
      </c>
      <c r="L2020" s="13"/>
    </row>
    <row r="2021" spans="1:12" x14ac:dyDescent="0.25">
      <c r="A2021" s="3" t="s">
        <v>4890</v>
      </c>
      <c r="B2021" s="3" t="s">
        <v>5279</v>
      </c>
      <c r="C2021" s="3" t="s">
        <v>2926</v>
      </c>
      <c r="D2021" s="9">
        <v>112.5</v>
      </c>
      <c r="E2021" s="3"/>
      <c r="F2021" s="3"/>
      <c r="G2021" s="9"/>
      <c r="H2021" s="10">
        <v>45686.658263888887</v>
      </c>
      <c r="I2021" s="10">
        <v>45687.649409722217</v>
      </c>
      <c r="J2021" s="10">
        <v>45687.668935185182</v>
      </c>
      <c r="K2021" s="11">
        <v>1.952546296296296E-2</v>
      </c>
      <c r="L2021" s="13"/>
    </row>
    <row r="2022" spans="1:12" x14ac:dyDescent="0.25">
      <c r="A2022" s="3" t="s">
        <v>4890</v>
      </c>
      <c r="B2022" s="3" t="s">
        <v>5280</v>
      </c>
      <c r="C2022" s="3" t="s">
        <v>2949</v>
      </c>
      <c r="D2022" s="9">
        <v>302.10000000000002</v>
      </c>
      <c r="E2022" s="3"/>
      <c r="F2022" s="3"/>
      <c r="G2022" s="9"/>
      <c r="H2022" s="10">
        <v>45686.740856481483</v>
      </c>
      <c r="I2022" s="10">
        <v>45687.656041666669</v>
      </c>
      <c r="J2022" s="10">
        <v>45687.708495370367</v>
      </c>
      <c r="K2022" s="11">
        <v>5.2453703703703697E-2</v>
      </c>
      <c r="L2022" s="13"/>
    </row>
    <row r="2023" spans="1:12" x14ac:dyDescent="0.25">
      <c r="A2023" s="3" t="s">
        <v>4890</v>
      </c>
      <c r="B2023" s="3" t="s">
        <v>5281</v>
      </c>
      <c r="C2023" s="3" t="s">
        <v>2937</v>
      </c>
      <c r="D2023" s="9">
        <v>187.4</v>
      </c>
      <c r="E2023" s="3"/>
      <c r="F2023" s="3"/>
      <c r="G2023" s="9"/>
      <c r="H2023" s="10">
        <v>45686.765879629631</v>
      </c>
      <c r="I2023" s="10">
        <v>45687.732361111113</v>
      </c>
      <c r="J2023" s="10">
        <v>45687.76489583333</v>
      </c>
      <c r="K2023" s="11">
        <v>3.2534722222222222E-2</v>
      </c>
      <c r="L2023" s="13"/>
    </row>
    <row r="2024" spans="1:12" x14ac:dyDescent="0.25">
      <c r="A2024" s="3" t="s">
        <v>4890</v>
      </c>
      <c r="B2024" s="3" t="s">
        <v>5282</v>
      </c>
      <c r="C2024" s="3" t="s">
        <v>2973</v>
      </c>
      <c r="D2024" s="9">
        <v>380.8</v>
      </c>
      <c r="E2024" s="3"/>
      <c r="F2024" s="3"/>
      <c r="G2024" s="9"/>
      <c r="H2024" s="10">
        <v>45686.879467592589</v>
      </c>
      <c r="I2024" s="10">
        <v>45687.831203703703</v>
      </c>
      <c r="J2024" s="10">
        <v>45687.897326388891</v>
      </c>
      <c r="K2024" s="11">
        <v>6.6122685185185187E-2</v>
      </c>
      <c r="L2024" s="13"/>
    </row>
    <row r="2025" spans="1:12" x14ac:dyDescent="0.25">
      <c r="A2025" s="3" t="s">
        <v>4890</v>
      </c>
      <c r="B2025" s="3" t="s">
        <v>5283</v>
      </c>
      <c r="C2025" s="3" t="s">
        <v>2934</v>
      </c>
      <c r="D2025" s="9">
        <v>102.8</v>
      </c>
      <c r="E2025" s="3"/>
      <c r="F2025" s="3"/>
      <c r="G2025" s="9"/>
      <c r="H2025" s="10">
        <v>45687.129016203697</v>
      </c>
      <c r="I2025" s="10">
        <v>45687.864571759259</v>
      </c>
      <c r="J2025" s="10">
        <v>45687.882418981477</v>
      </c>
      <c r="K2025" s="11">
        <v>1.7847222222222219E-2</v>
      </c>
      <c r="L2025" s="13"/>
    </row>
    <row r="2026" spans="1:12" x14ac:dyDescent="0.25">
      <c r="A2026" s="3" t="s">
        <v>4890</v>
      </c>
      <c r="B2026" s="3" t="s">
        <v>5284</v>
      </c>
      <c r="C2026" s="3" t="s">
        <v>2989</v>
      </c>
      <c r="D2026" s="9">
        <v>297</v>
      </c>
      <c r="E2026" s="3"/>
      <c r="F2026" s="3"/>
      <c r="G2026" s="9"/>
      <c r="H2026" s="10">
        <v>45687.274675925917</v>
      </c>
      <c r="I2026" s="10">
        <v>45688.137141203697</v>
      </c>
      <c r="J2026" s="10">
        <v>45688.188703703701</v>
      </c>
      <c r="K2026" s="11">
        <v>5.1562499999999997E-2</v>
      </c>
      <c r="L2026" s="13"/>
    </row>
    <row r="2027" spans="1:12" x14ac:dyDescent="0.25">
      <c r="A2027" s="3" t="s">
        <v>4890</v>
      </c>
      <c r="B2027" s="3" t="s">
        <v>5285</v>
      </c>
      <c r="C2027" s="3" t="s">
        <v>2955</v>
      </c>
      <c r="D2027" s="9">
        <v>297</v>
      </c>
      <c r="E2027" s="3"/>
      <c r="F2027" s="3"/>
      <c r="G2027" s="9"/>
      <c r="H2027" s="10">
        <v>45687.33184027778</v>
      </c>
      <c r="I2027" s="10">
        <v>45688.194351851853</v>
      </c>
      <c r="J2027" s="10">
        <v>45688.24591435185</v>
      </c>
      <c r="K2027" s="11">
        <v>5.1562499999999997E-2</v>
      </c>
      <c r="L2027" s="13"/>
    </row>
    <row r="2028" spans="1:12" x14ac:dyDescent="0.25">
      <c r="A2028" s="3" t="s">
        <v>4890</v>
      </c>
      <c r="B2028" s="3" t="s">
        <v>5286</v>
      </c>
      <c r="C2028" s="3" t="s">
        <v>2986</v>
      </c>
      <c r="D2028" s="9">
        <v>101.7</v>
      </c>
      <c r="E2028" s="3"/>
      <c r="F2028" s="3"/>
      <c r="G2028" s="9"/>
      <c r="H2028" s="10">
        <v>45687.337280092594</v>
      </c>
      <c r="I2028" s="10">
        <v>45688.259710648148</v>
      </c>
      <c r="J2028" s="10">
        <v>45688.277361111112</v>
      </c>
      <c r="K2028" s="11">
        <v>1.7650462962962962E-2</v>
      </c>
      <c r="L2028" s="13"/>
    </row>
    <row r="2029" spans="1:12" x14ac:dyDescent="0.25">
      <c r="A2029" s="3" t="s">
        <v>4890</v>
      </c>
      <c r="B2029" s="3" t="s">
        <v>5287</v>
      </c>
      <c r="C2029" s="3" t="s">
        <v>2785</v>
      </c>
      <c r="D2029" s="9">
        <v>140</v>
      </c>
      <c r="E2029" s="3"/>
      <c r="F2029" s="3"/>
      <c r="G2029" s="9"/>
      <c r="H2029" s="10">
        <v>45687.34039351852</v>
      </c>
      <c r="I2029" s="10">
        <v>45688.30097222222</v>
      </c>
      <c r="J2029" s="10">
        <v>45688.325277777767</v>
      </c>
      <c r="K2029" s="11">
        <v>2.4305555555555559E-2</v>
      </c>
      <c r="L2029" s="13"/>
    </row>
    <row r="2030" spans="1:12" x14ac:dyDescent="0.25">
      <c r="A2030" s="3" t="s">
        <v>4890</v>
      </c>
      <c r="B2030" s="3" t="s">
        <v>5288</v>
      </c>
      <c r="C2030" s="3" t="s">
        <v>2902</v>
      </c>
      <c r="D2030" s="9">
        <v>420.6</v>
      </c>
      <c r="E2030" s="3"/>
      <c r="F2030" s="3"/>
      <c r="G2030" s="9"/>
      <c r="H2030" s="10">
        <v>45687.346678240741</v>
      </c>
      <c r="I2030" s="10">
        <v>45688.332349537042</v>
      </c>
      <c r="J2030" s="10">
        <v>45688.405370370368</v>
      </c>
      <c r="K2030" s="11">
        <v>7.3020833333333326E-2</v>
      </c>
      <c r="L2030" s="13"/>
    </row>
    <row r="2031" spans="1:12" x14ac:dyDescent="0.25">
      <c r="A2031" s="3" t="s">
        <v>4890</v>
      </c>
      <c r="B2031" s="3" t="s">
        <v>5289</v>
      </c>
      <c r="C2031" s="3" t="s">
        <v>2888</v>
      </c>
      <c r="D2031" s="9">
        <v>126.4</v>
      </c>
      <c r="E2031" s="3"/>
      <c r="F2031" s="3"/>
      <c r="G2031" s="9"/>
      <c r="H2031" s="10">
        <v>45687.368773148148</v>
      </c>
      <c r="I2031" s="10">
        <v>45688.347222222219</v>
      </c>
      <c r="J2031" s="10">
        <v>45688.369166666656</v>
      </c>
      <c r="K2031" s="11">
        <v>2.194444444444444E-2</v>
      </c>
      <c r="L2031" s="13"/>
    </row>
    <row r="2032" spans="1:12" x14ac:dyDescent="0.25">
      <c r="A2032" s="3" t="s">
        <v>4890</v>
      </c>
      <c r="B2032" s="3" t="s">
        <v>5290</v>
      </c>
      <c r="C2032" s="3" t="s">
        <v>3022</v>
      </c>
      <c r="D2032" s="9">
        <v>135</v>
      </c>
      <c r="E2032" s="3"/>
      <c r="F2032" s="3"/>
      <c r="G2032" s="9"/>
      <c r="H2032" s="10">
        <v>45687.398680555547</v>
      </c>
      <c r="I2032" s="10">
        <v>45688.383449074077</v>
      </c>
      <c r="J2032" s="10">
        <v>45688.406886574077</v>
      </c>
      <c r="K2032" s="11">
        <v>2.34375E-2</v>
      </c>
      <c r="L2032" s="13"/>
    </row>
    <row r="2033" spans="1:12" x14ac:dyDescent="0.25">
      <c r="A2033" s="3" t="s">
        <v>4890</v>
      </c>
      <c r="B2033" s="3" t="s">
        <v>5291</v>
      </c>
      <c r="C2033" s="3" t="s">
        <v>2980</v>
      </c>
      <c r="D2033" s="9">
        <v>291.7</v>
      </c>
      <c r="E2033" s="3"/>
      <c r="F2033" s="3"/>
      <c r="G2033" s="9"/>
      <c r="H2033" s="10">
        <v>45687.551423611112</v>
      </c>
      <c r="I2033" s="10">
        <v>45688.407013888893</v>
      </c>
      <c r="J2033" s="10">
        <v>45688.457662037043</v>
      </c>
      <c r="K2033" s="11">
        <v>5.064814814814815E-2</v>
      </c>
      <c r="L2033" s="13"/>
    </row>
    <row r="2034" spans="1:12" x14ac:dyDescent="0.25">
      <c r="A2034" s="3" t="s">
        <v>4890</v>
      </c>
      <c r="B2034" s="3" t="s">
        <v>5292</v>
      </c>
      <c r="C2034" s="3" t="s">
        <v>3028</v>
      </c>
      <c r="D2034" s="9">
        <v>148.1</v>
      </c>
      <c r="E2034" s="3"/>
      <c r="F2034" s="3"/>
      <c r="G2034" s="9"/>
      <c r="H2034" s="10">
        <v>45687.647789351853</v>
      </c>
      <c r="I2034" s="10">
        <v>45688.458749999998</v>
      </c>
      <c r="J2034" s="10">
        <v>45688.484467592592</v>
      </c>
      <c r="K2034" s="11">
        <v>2.5717592592592591E-2</v>
      </c>
      <c r="L2034" s="13"/>
    </row>
    <row r="2035" spans="1:12" x14ac:dyDescent="0.25">
      <c r="A2035" s="3" t="s">
        <v>4890</v>
      </c>
      <c r="B2035" s="3" t="s">
        <v>5293</v>
      </c>
      <c r="C2035" s="3" t="s">
        <v>2931</v>
      </c>
      <c r="D2035" s="9">
        <v>141.69999999999999</v>
      </c>
      <c r="E2035" s="3"/>
      <c r="F2035" s="3"/>
      <c r="G2035" s="9"/>
      <c r="H2035" s="10">
        <v>45687.649236111109</v>
      </c>
      <c r="I2035" s="10">
        <v>45688.530150462961</v>
      </c>
      <c r="J2035" s="10">
        <v>45688.554756944453</v>
      </c>
      <c r="K2035" s="11">
        <v>2.4606481481481479E-2</v>
      </c>
      <c r="L2035" s="13"/>
    </row>
    <row r="2036" spans="1:12" x14ac:dyDescent="0.25">
      <c r="A2036" s="3" t="s">
        <v>4890</v>
      </c>
      <c r="B2036" s="3" t="s">
        <v>5294</v>
      </c>
      <c r="C2036" s="3" t="s">
        <v>3056</v>
      </c>
      <c r="D2036" s="9">
        <v>182.4</v>
      </c>
      <c r="E2036" s="3"/>
      <c r="F2036" s="3"/>
      <c r="G2036" s="9"/>
      <c r="H2036" s="10">
        <v>45687.833391203712</v>
      </c>
      <c r="I2036" s="10">
        <v>45688.601990740739</v>
      </c>
      <c r="J2036" s="10">
        <v>45688.633645833332</v>
      </c>
      <c r="K2036" s="11">
        <v>3.1655092592592603E-2</v>
      </c>
      <c r="L2036" s="13"/>
    </row>
    <row r="2037" spans="1:12" x14ac:dyDescent="0.25">
      <c r="A2037" s="3" t="s">
        <v>4890</v>
      </c>
      <c r="B2037" s="3" t="s">
        <v>5295</v>
      </c>
      <c r="C2037" s="3" t="s">
        <v>3053</v>
      </c>
      <c r="D2037" s="9">
        <v>389.1</v>
      </c>
      <c r="E2037" s="3"/>
      <c r="F2037" s="3"/>
      <c r="G2037" s="9"/>
      <c r="H2037" s="10">
        <v>45687.865243055552</v>
      </c>
      <c r="I2037" s="10">
        <v>45688.655844907407</v>
      </c>
      <c r="J2037" s="10">
        <v>45688.723391203697</v>
      </c>
      <c r="K2037" s="11">
        <v>6.7546296296296299E-2</v>
      </c>
      <c r="L2037" s="13"/>
    </row>
    <row r="2038" spans="1:12" x14ac:dyDescent="0.25">
      <c r="A2038" s="3" t="s">
        <v>4890</v>
      </c>
      <c r="B2038" s="3" t="s">
        <v>5296</v>
      </c>
      <c r="C2038" s="3" t="s">
        <v>3079</v>
      </c>
      <c r="D2038" s="9">
        <v>297</v>
      </c>
      <c r="E2038" s="3"/>
      <c r="F2038" s="3"/>
      <c r="G2038" s="9"/>
      <c r="H2038" s="10">
        <v>45688.260138888887</v>
      </c>
      <c r="I2038" s="10">
        <v>45688.656678240739</v>
      </c>
      <c r="J2038" s="10">
        <v>45688.708240740743</v>
      </c>
      <c r="K2038" s="11">
        <v>5.1562499999999997E-2</v>
      </c>
      <c r="L2038" s="13"/>
    </row>
    <row r="2039" spans="1:12" x14ac:dyDescent="0.25">
      <c r="A2039" s="3" t="s">
        <v>4890</v>
      </c>
      <c r="B2039" s="3" t="s">
        <v>5297</v>
      </c>
      <c r="C2039" s="3" t="s">
        <v>3082</v>
      </c>
      <c r="D2039" s="9">
        <v>182.6</v>
      </c>
      <c r="E2039" s="3"/>
      <c r="F2039" s="3"/>
      <c r="G2039" s="9"/>
      <c r="H2039" s="10">
        <v>45688.32099537037</v>
      </c>
      <c r="I2039" s="10">
        <v>45688.685023148151</v>
      </c>
      <c r="J2039" s="10">
        <v>45688.716724537036</v>
      </c>
      <c r="K2039" s="11">
        <v>3.170138888888889E-2</v>
      </c>
      <c r="L2039" s="13"/>
    </row>
    <row r="2040" spans="1:12" x14ac:dyDescent="0.25">
      <c r="A2040" s="3" t="s">
        <v>4890</v>
      </c>
      <c r="B2040" s="3" t="s">
        <v>5298</v>
      </c>
      <c r="C2040" s="3" t="s">
        <v>3068</v>
      </c>
      <c r="D2040" s="9">
        <v>224.4</v>
      </c>
      <c r="E2040" s="3"/>
      <c r="F2040" s="3"/>
      <c r="G2040" s="9"/>
      <c r="H2040" s="10">
        <v>45688.330277777779</v>
      </c>
      <c r="I2040" s="10">
        <v>45688.741898148153</v>
      </c>
      <c r="J2040" s="10">
        <v>45688.780856481477</v>
      </c>
      <c r="K2040" s="11">
        <v>3.8958333333333331E-2</v>
      </c>
      <c r="L2040" s="13"/>
    </row>
    <row r="2041" spans="1:12" x14ac:dyDescent="0.25">
      <c r="A2041" s="3" t="s">
        <v>4890</v>
      </c>
      <c r="B2041" s="3" t="s">
        <v>5299</v>
      </c>
      <c r="C2041" s="3" t="s">
        <v>2983</v>
      </c>
      <c r="D2041" s="9">
        <v>119</v>
      </c>
      <c r="E2041" s="3"/>
      <c r="F2041" s="3"/>
      <c r="G2041" s="9"/>
      <c r="H2041" s="10">
        <v>45688.332187499997</v>
      </c>
      <c r="I2041" s="10">
        <v>45688.750717592593</v>
      </c>
      <c r="J2041" s="10">
        <v>45688.771377314813</v>
      </c>
      <c r="K2041" s="11">
        <v>2.0659722222222222E-2</v>
      </c>
      <c r="L2041" s="13"/>
    </row>
    <row r="2042" spans="1:12" x14ac:dyDescent="0.25">
      <c r="A2042" s="3" t="s">
        <v>4890</v>
      </c>
      <c r="B2042" s="3" t="s">
        <v>5300</v>
      </c>
      <c r="C2042" s="3" t="s">
        <v>2908</v>
      </c>
      <c r="D2042" s="9">
        <v>115.7</v>
      </c>
      <c r="E2042" s="3"/>
      <c r="F2042" s="3"/>
      <c r="G2042" s="9"/>
      <c r="H2042" s="10">
        <v>45688.334548611107</v>
      </c>
      <c r="I2042" s="10">
        <v>45688.864212962973</v>
      </c>
      <c r="J2042" s="10">
        <v>45688.884293981479</v>
      </c>
      <c r="K2042" s="11">
        <v>2.0081018518518519E-2</v>
      </c>
      <c r="L2042" s="13"/>
    </row>
    <row r="2043" spans="1:12" x14ac:dyDescent="0.25">
      <c r="A2043" s="3" t="s">
        <v>5301</v>
      </c>
      <c r="B2043" s="3" t="s">
        <v>5302</v>
      </c>
      <c r="C2043" s="3" t="s">
        <v>138</v>
      </c>
      <c r="D2043" s="9">
        <v>227</v>
      </c>
      <c r="E2043" s="3"/>
      <c r="F2043" s="3"/>
      <c r="G2043" s="9"/>
      <c r="H2043" s="10">
        <v>45659.120138888888</v>
      </c>
      <c r="I2043" s="10">
        <v>45659.121018518519</v>
      </c>
      <c r="J2043" s="10">
        <v>45659.12777777778</v>
      </c>
      <c r="K2043" s="11">
        <v>6.7592592592592591E-3</v>
      </c>
      <c r="L2043" s="13"/>
    </row>
    <row r="2044" spans="1:12" x14ac:dyDescent="0.25">
      <c r="A2044" s="3" t="s">
        <v>5301</v>
      </c>
      <c r="B2044" s="3" t="s">
        <v>5303</v>
      </c>
      <c r="C2044" s="3" t="s">
        <v>140</v>
      </c>
      <c r="D2044" s="9">
        <v>182.7</v>
      </c>
      <c r="E2044" s="3"/>
      <c r="F2044" s="3"/>
      <c r="G2044" s="9"/>
      <c r="H2044" s="10">
        <v>45659.275405092587</v>
      </c>
      <c r="I2044" s="10">
        <v>45659.276192129633</v>
      </c>
      <c r="J2044" s="10">
        <v>45659.277858796297</v>
      </c>
      <c r="K2044" s="11">
        <v>1.666666666666667E-3</v>
      </c>
      <c r="L2044" s="13"/>
    </row>
    <row r="2045" spans="1:12" x14ac:dyDescent="0.25">
      <c r="A2045" s="3" t="s">
        <v>5301</v>
      </c>
      <c r="B2045" s="3" t="s">
        <v>5304</v>
      </c>
      <c r="C2045" s="3" t="s">
        <v>143</v>
      </c>
      <c r="D2045" s="9">
        <v>189</v>
      </c>
      <c r="E2045" s="3"/>
      <c r="F2045" s="3"/>
      <c r="G2045" s="9"/>
      <c r="H2045" s="10">
        <v>45659.313090277778</v>
      </c>
      <c r="I2045" s="10">
        <v>45659.313958333332</v>
      </c>
      <c r="J2045" s="10">
        <v>45659.316319444442</v>
      </c>
      <c r="K2045" s="11">
        <v>2.3611111111111111E-3</v>
      </c>
      <c r="L2045" s="13"/>
    </row>
    <row r="2046" spans="1:12" x14ac:dyDescent="0.25">
      <c r="A2046" s="3" t="s">
        <v>5301</v>
      </c>
      <c r="B2046" s="3" t="s">
        <v>5305</v>
      </c>
      <c r="C2046" s="3" t="s">
        <v>141</v>
      </c>
      <c r="D2046" s="9">
        <v>578.20000000000005</v>
      </c>
      <c r="E2046" s="3"/>
      <c r="F2046" s="3"/>
      <c r="G2046" s="9"/>
      <c r="H2046" s="10">
        <v>45659.318206018521</v>
      </c>
      <c r="I2046" s="10">
        <v>45659.319074074083</v>
      </c>
      <c r="J2046" s="10">
        <v>45659.339131944442</v>
      </c>
      <c r="K2046" s="11">
        <v>2.0057870370370368E-2</v>
      </c>
      <c r="L2046" s="13"/>
    </row>
    <row r="2047" spans="1:12" x14ac:dyDescent="0.25">
      <c r="A2047" s="3" t="s">
        <v>5301</v>
      </c>
      <c r="B2047" s="3" t="s">
        <v>5306</v>
      </c>
      <c r="C2047" s="3" t="s">
        <v>144</v>
      </c>
      <c r="D2047" s="9">
        <v>396.6</v>
      </c>
      <c r="E2047" s="3"/>
      <c r="F2047" s="3"/>
      <c r="G2047" s="9"/>
      <c r="H2047" s="10">
        <v>45659.342326388891</v>
      </c>
      <c r="I2047" s="10">
        <v>45659.343194444453</v>
      </c>
      <c r="J2047" s="10">
        <v>45659.345358796287</v>
      </c>
      <c r="K2047" s="11">
        <v>2.1643518518518522E-3</v>
      </c>
      <c r="L2047" s="13"/>
    </row>
    <row r="2048" spans="1:12" x14ac:dyDescent="0.25">
      <c r="A2048" s="3" t="s">
        <v>5301</v>
      </c>
      <c r="B2048" s="3" t="s">
        <v>5307</v>
      </c>
      <c r="C2048" s="3" t="s">
        <v>146</v>
      </c>
      <c r="D2048" s="9">
        <v>212.7</v>
      </c>
      <c r="E2048" s="3"/>
      <c r="F2048" s="3"/>
      <c r="G2048" s="9"/>
      <c r="H2048" s="10">
        <v>45659.382025462961</v>
      </c>
      <c r="I2048" s="10">
        <v>45659.382893518523</v>
      </c>
      <c r="J2048" s="10">
        <v>45659.38689814815</v>
      </c>
      <c r="K2048" s="11">
        <v>4.0046296296296297E-3</v>
      </c>
      <c r="L2048" s="13"/>
    </row>
    <row r="2049" spans="1:12" x14ac:dyDescent="0.25">
      <c r="A2049" s="3" t="s">
        <v>5301</v>
      </c>
      <c r="B2049" s="3" t="s">
        <v>5308</v>
      </c>
      <c r="C2049" s="3" t="s">
        <v>145</v>
      </c>
      <c r="D2049" s="9">
        <v>440.3</v>
      </c>
      <c r="E2049" s="3"/>
      <c r="F2049" s="3"/>
      <c r="G2049" s="9"/>
      <c r="H2049" s="10">
        <v>45659.386145833327</v>
      </c>
      <c r="I2049" s="10">
        <v>45659.387662037043</v>
      </c>
      <c r="J2049" s="10">
        <v>45659.406018518523</v>
      </c>
      <c r="K2049" s="11">
        <v>1.8356481481481481E-2</v>
      </c>
      <c r="L2049" s="13"/>
    </row>
    <row r="2050" spans="1:12" x14ac:dyDescent="0.25">
      <c r="A2050" s="3" t="s">
        <v>5301</v>
      </c>
      <c r="B2050" s="3" t="s">
        <v>5309</v>
      </c>
      <c r="C2050" s="3" t="s">
        <v>147</v>
      </c>
      <c r="D2050" s="9">
        <v>387.1</v>
      </c>
      <c r="E2050" s="3"/>
      <c r="F2050" s="3"/>
      <c r="G2050" s="9"/>
      <c r="H2050" s="10">
        <v>45659.447187500002</v>
      </c>
      <c r="I2050" s="10">
        <v>45659.448067129633</v>
      </c>
      <c r="J2050" s="10">
        <v>45659.453125</v>
      </c>
      <c r="K2050" s="11">
        <v>5.0578703703703714E-3</v>
      </c>
      <c r="L2050" s="13"/>
    </row>
    <row r="2051" spans="1:12" x14ac:dyDescent="0.25">
      <c r="A2051" s="3" t="s">
        <v>5301</v>
      </c>
      <c r="B2051" s="3" t="s">
        <v>5310</v>
      </c>
      <c r="C2051" s="3" t="s">
        <v>148</v>
      </c>
      <c r="D2051" s="9">
        <v>287.10000000000002</v>
      </c>
      <c r="E2051" s="3"/>
      <c r="F2051" s="3"/>
      <c r="G2051" s="9"/>
      <c r="H2051" s="10">
        <v>45659.614560185182</v>
      </c>
      <c r="I2051" s="10">
        <v>45659.615428240737</v>
      </c>
      <c r="J2051" s="10">
        <v>45659.617337962962</v>
      </c>
      <c r="K2051" s="11">
        <v>1.9097222222222219E-3</v>
      </c>
      <c r="L2051" s="13"/>
    </row>
    <row r="2052" spans="1:12" x14ac:dyDescent="0.25">
      <c r="A2052" s="3" t="s">
        <v>5301</v>
      </c>
      <c r="B2052" s="3" t="s">
        <v>5311</v>
      </c>
      <c r="C2052" s="3" t="s">
        <v>150</v>
      </c>
      <c r="D2052" s="9">
        <v>267.60000000000002</v>
      </c>
      <c r="E2052" s="3"/>
      <c r="F2052" s="3"/>
      <c r="G2052" s="9"/>
      <c r="H2052" s="10">
        <v>45659.633611111109</v>
      </c>
      <c r="I2052" s="10">
        <v>45659.634479166663</v>
      </c>
      <c r="J2052" s="10">
        <v>45659.636967592603</v>
      </c>
      <c r="K2052" s="11">
        <v>2.488425925925926E-3</v>
      </c>
      <c r="L2052" s="13"/>
    </row>
    <row r="2053" spans="1:12" x14ac:dyDescent="0.25">
      <c r="A2053" s="3" t="s">
        <v>5301</v>
      </c>
      <c r="B2053" s="3" t="s">
        <v>5312</v>
      </c>
      <c r="C2053" s="3" t="s">
        <v>149</v>
      </c>
      <c r="D2053" s="9">
        <v>571.9</v>
      </c>
      <c r="E2053" s="3"/>
      <c r="F2053" s="3"/>
      <c r="G2053" s="9"/>
      <c r="H2053" s="10">
        <v>45659.641655092593</v>
      </c>
      <c r="I2053" s="10">
        <v>45659.642523148148</v>
      </c>
      <c r="J2053" s="10">
        <v>45659.657384259262</v>
      </c>
      <c r="K2053" s="11">
        <v>1.486111111111111E-2</v>
      </c>
      <c r="L2053" s="13"/>
    </row>
    <row r="2054" spans="1:12" x14ac:dyDescent="0.25">
      <c r="A2054" s="3" t="s">
        <v>5301</v>
      </c>
      <c r="B2054" s="3" t="s">
        <v>5313</v>
      </c>
      <c r="C2054" s="3" t="s">
        <v>151</v>
      </c>
      <c r="D2054" s="9">
        <v>581</v>
      </c>
      <c r="E2054" s="3"/>
      <c r="F2054" s="3"/>
      <c r="G2054" s="9"/>
      <c r="H2054" s="10">
        <v>45659.758472222216</v>
      </c>
      <c r="I2054" s="10">
        <v>45659.759236111109</v>
      </c>
      <c r="J2054" s="10">
        <v>45659.778738425928</v>
      </c>
      <c r="K2054" s="11">
        <v>1.950231481481482E-2</v>
      </c>
      <c r="L2054" s="13"/>
    </row>
    <row r="2055" spans="1:12" x14ac:dyDescent="0.25">
      <c r="A2055" s="3" t="s">
        <v>5301</v>
      </c>
      <c r="B2055" s="3" t="s">
        <v>5314</v>
      </c>
      <c r="C2055" s="3" t="s">
        <v>152</v>
      </c>
      <c r="D2055" s="9">
        <v>350.4</v>
      </c>
      <c r="E2055" s="3"/>
      <c r="F2055" s="3"/>
      <c r="G2055" s="9"/>
      <c r="H2055" s="10">
        <v>45659.856759259259</v>
      </c>
      <c r="I2055" s="10">
        <v>45659.857627314806</v>
      </c>
      <c r="J2055" s="10">
        <v>45659.87604166667</v>
      </c>
      <c r="K2055" s="11">
        <v>1.8414351851851848E-2</v>
      </c>
      <c r="L2055" s="13"/>
    </row>
    <row r="2056" spans="1:12" x14ac:dyDescent="0.25">
      <c r="A2056" s="3" t="s">
        <v>5301</v>
      </c>
      <c r="B2056" s="3" t="s">
        <v>5315</v>
      </c>
      <c r="C2056" s="3" t="s">
        <v>153</v>
      </c>
      <c r="D2056" s="9">
        <v>140.4</v>
      </c>
      <c r="E2056" s="3"/>
      <c r="F2056" s="3"/>
      <c r="G2056" s="9"/>
      <c r="H2056" s="10">
        <v>45660.119409722232</v>
      </c>
      <c r="I2056" s="10">
        <v>45660.12027777778</v>
      </c>
      <c r="J2056" s="10">
        <v>45660.126446759263</v>
      </c>
      <c r="K2056" s="11">
        <v>6.1689814814814819E-3</v>
      </c>
      <c r="L2056" s="13"/>
    </row>
    <row r="2057" spans="1:12" x14ac:dyDescent="0.25">
      <c r="A2057" s="3" t="s">
        <v>5301</v>
      </c>
      <c r="B2057" s="3" t="s">
        <v>5316</v>
      </c>
      <c r="C2057" s="3" t="s">
        <v>154</v>
      </c>
      <c r="D2057" s="9">
        <v>497</v>
      </c>
      <c r="E2057" s="3"/>
      <c r="F2057" s="3"/>
      <c r="G2057" s="9"/>
      <c r="H2057" s="10">
        <v>45660.199560185189</v>
      </c>
      <c r="I2057" s="10">
        <v>45660.200428240743</v>
      </c>
      <c r="J2057" s="10">
        <v>45660.202824074076</v>
      </c>
      <c r="K2057" s="11">
        <v>2.3958333333333331E-3</v>
      </c>
      <c r="L2057" s="13"/>
    </row>
    <row r="2058" spans="1:12" x14ac:dyDescent="0.25">
      <c r="A2058" s="3" t="s">
        <v>5301</v>
      </c>
      <c r="B2058" s="3" t="s">
        <v>5317</v>
      </c>
      <c r="C2058" s="3" t="s">
        <v>155</v>
      </c>
      <c r="D2058" s="9">
        <v>412</v>
      </c>
      <c r="E2058" s="3"/>
      <c r="F2058" s="3"/>
      <c r="G2058" s="9"/>
      <c r="H2058" s="10">
        <v>45660.250173611108</v>
      </c>
      <c r="I2058" s="10">
        <v>45660.25104166667</v>
      </c>
      <c r="J2058" s="10">
        <v>45660.271087962959</v>
      </c>
      <c r="K2058" s="11">
        <v>2.0046296296296291E-2</v>
      </c>
      <c r="L2058" s="13"/>
    </row>
    <row r="2059" spans="1:12" x14ac:dyDescent="0.25">
      <c r="A2059" s="3" t="s">
        <v>5301</v>
      </c>
      <c r="B2059" s="3" t="s">
        <v>5318</v>
      </c>
      <c r="C2059" s="3" t="s">
        <v>156</v>
      </c>
      <c r="D2059" s="9">
        <v>297</v>
      </c>
      <c r="E2059" s="3"/>
      <c r="F2059" s="3"/>
      <c r="G2059" s="9"/>
      <c r="H2059" s="10">
        <v>45660.27925925926</v>
      </c>
      <c r="I2059" s="10">
        <v>45660.280127314807</v>
      </c>
      <c r="J2059" s="10">
        <v>45660.282523148147</v>
      </c>
      <c r="K2059" s="11">
        <v>2.3958333333333331E-3</v>
      </c>
      <c r="L2059" s="13"/>
    </row>
    <row r="2060" spans="1:12" x14ac:dyDescent="0.25">
      <c r="A2060" s="3" t="s">
        <v>5301</v>
      </c>
      <c r="B2060" s="3" t="s">
        <v>5319</v>
      </c>
      <c r="C2060" s="3" t="s">
        <v>157</v>
      </c>
      <c r="D2060" s="9">
        <v>306.7</v>
      </c>
      <c r="E2060" s="3"/>
      <c r="F2060" s="3"/>
      <c r="G2060" s="9"/>
      <c r="H2060" s="10">
        <v>45660.315428240741</v>
      </c>
      <c r="I2060" s="10">
        <v>45660.316307870373</v>
      </c>
      <c r="J2060" s="10">
        <v>45660.328379629631</v>
      </c>
      <c r="K2060" s="11">
        <v>1.207175925925926E-2</v>
      </c>
      <c r="L2060" s="13"/>
    </row>
    <row r="2061" spans="1:12" x14ac:dyDescent="0.25">
      <c r="A2061" s="3" t="s">
        <v>5301</v>
      </c>
      <c r="B2061" s="3" t="s">
        <v>5320</v>
      </c>
      <c r="C2061" s="3" t="s">
        <v>158</v>
      </c>
      <c r="D2061" s="9">
        <v>256.89999999999998</v>
      </c>
      <c r="E2061" s="3"/>
      <c r="F2061" s="3"/>
      <c r="G2061" s="9"/>
      <c r="H2061" s="10">
        <v>45660.316712962973</v>
      </c>
      <c r="I2061" s="10">
        <v>45660.329247685193</v>
      </c>
      <c r="J2061" s="10">
        <v>45660.331689814811</v>
      </c>
      <c r="K2061" s="11">
        <v>2.44212962962963E-3</v>
      </c>
      <c r="L2061" s="13"/>
    </row>
    <row r="2062" spans="1:12" x14ac:dyDescent="0.25">
      <c r="A2062" s="3" t="s">
        <v>5301</v>
      </c>
      <c r="B2062" s="3" t="s">
        <v>5321</v>
      </c>
      <c r="C2062" s="3" t="s">
        <v>159</v>
      </c>
      <c r="D2062" s="9">
        <v>396.6</v>
      </c>
      <c r="E2062" s="3"/>
      <c r="F2062" s="3"/>
      <c r="G2062" s="9"/>
      <c r="H2062" s="10">
        <v>45660.340196759258</v>
      </c>
      <c r="I2062" s="10">
        <v>45660.340960648151</v>
      </c>
      <c r="J2062" s="10">
        <v>45660.343877314823</v>
      </c>
      <c r="K2062" s="11">
        <v>2.9166666666666668E-3</v>
      </c>
      <c r="L2062" s="13"/>
    </row>
    <row r="2063" spans="1:12" x14ac:dyDescent="0.25">
      <c r="A2063" s="3" t="s">
        <v>5301</v>
      </c>
      <c r="B2063" s="3" t="s">
        <v>5322</v>
      </c>
      <c r="C2063" s="3" t="s">
        <v>160</v>
      </c>
      <c r="D2063" s="9">
        <v>279.10000000000002</v>
      </c>
      <c r="E2063" s="3"/>
      <c r="F2063" s="3"/>
      <c r="G2063" s="9"/>
      <c r="H2063" s="10">
        <v>45660.373240740737</v>
      </c>
      <c r="I2063" s="10">
        <v>45660.374120370368</v>
      </c>
      <c r="J2063" s="10">
        <v>45660.378368055557</v>
      </c>
      <c r="K2063" s="11">
        <v>4.2476851851851851E-3</v>
      </c>
      <c r="L2063" s="13"/>
    </row>
    <row r="2064" spans="1:12" x14ac:dyDescent="0.25">
      <c r="A2064" s="3" t="s">
        <v>5301</v>
      </c>
      <c r="B2064" s="3" t="s">
        <v>5323</v>
      </c>
      <c r="C2064" s="3" t="s">
        <v>161</v>
      </c>
      <c r="D2064" s="9">
        <v>433.7</v>
      </c>
      <c r="E2064" s="3"/>
      <c r="F2064" s="3"/>
      <c r="G2064" s="9"/>
      <c r="H2064" s="10">
        <v>45660.448750000003</v>
      </c>
      <c r="I2064" s="10">
        <v>45660.449513888889</v>
      </c>
      <c r="J2064" s="10">
        <v>45660.456076388888</v>
      </c>
      <c r="K2064" s="11">
        <v>6.5624999999999998E-3</v>
      </c>
      <c r="L2064" s="13"/>
    </row>
    <row r="2065" spans="1:12" x14ac:dyDescent="0.25">
      <c r="A2065" s="3" t="s">
        <v>5301</v>
      </c>
      <c r="B2065" s="3" t="s">
        <v>5324</v>
      </c>
      <c r="C2065" s="3" t="s">
        <v>162</v>
      </c>
      <c r="D2065" s="9">
        <v>278</v>
      </c>
      <c r="E2065" s="3"/>
      <c r="F2065" s="3"/>
      <c r="G2065" s="9"/>
      <c r="H2065" s="10">
        <v>45660.548020833332</v>
      </c>
      <c r="I2065" s="10">
        <v>45660.548900462964</v>
      </c>
      <c r="J2065" s="10">
        <v>45660.551423611112</v>
      </c>
      <c r="K2065" s="11">
        <v>2.5231481481481481E-3</v>
      </c>
      <c r="L2065" s="13"/>
    </row>
    <row r="2066" spans="1:12" x14ac:dyDescent="0.25">
      <c r="A2066" s="3" t="s">
        <v>5301</v>
      </c>
      <c r="B2066" s="3" t="s">
        <v>5325</v>
      </c>
      <c r="C2066" s="3" t="s">
        <v>163</v>
      </c>
      <c r="D2066" s="9">
        <v>63</v>
      </c>
      <c r="E2066" s="3"/>
      <c r="F2066" s="3"/>
      <c r="G2066" s="9"/>
      <c r="H2066" s="10">
        <v>45660.601319444453</v>
      </c>
      <c r="I2066" s="10">
        <v>45660.602083333331</v>
      </c>
      <c r="J2066" s="10">
        <v>45660.604270833333</v>
      </c>
      <c r="K2066" s="11">
        <v>2.1875000000000002E-3</v>
      </c>
      <c r="L2066" s="13"/>
    </row>
    <row r="2067" spans="1:12" x14ac:dyDescent="0.25">
      <c r="A2067" s="3" t="s">
        <v>5301</v>
      </c>
      <c r="B2067" s="3" t="s">
        <v>5326</v>
      </c>
      <c r="C2067" s="3" t="s">
        <v>165</v>
      </c>
      <c r="D2067" s="9">
        <v>399.8</v>
      </c>
      <c r="E2067" s="3"/>
      <c r="F2067" s="3"/>
      <c r="G2067" s="9"/>
      <c r="H2067" s="10">
        <v>45660.645474537043</v>
      </c>
      <c r="I2067" s="10">
        <v>45660.646354166667</v>
      </c>
      <c r="J2067" s="10">
        <v>45660.665567129632</v>
      </c>
      <c r="K2067" s="11">
        <v>1.9212962962962959E-2</v>
      </c>
      <c r="L2067" s="13"/>
    </row>
    <row r="2068" spans="1:12" x14ac:dyDescent="0.25">
      <c r="A2068" s="3" t="s">
        <v>5301</v>
      </c>
      <c r="B2068" s="3" t="s">
        <v>5327</v>
      </c>
      <c r="C2068" s="3" t="s">
        <v>166</v>
      </c>
      <c r="D2068" s="9">
        <v>63</v>
      </c>
      <c r="E2068" s="3"/>
      <c r="F2068" s="3"/>
      <c r="G2068" s="9"/>
      <c r="H2068" s="10">
        <v>45660.653599537043</v>
      </c>
      <c r="I2068" s="10">
        <v>45660.666331018518</v>
      </c>
      <c r="J2068" s="10">
        <v>45660.66851851852</v>
      </c>
      <c r="K2068" s="11">
        <v>2.1875000000000002E-3</v>
      </c>
      <c r="L2068" s="13"/>
    </row>
    <row r="2069" spans="1:12" x14ac:dyDescent="0.25">
      <c r="A2069" s="3" t="s">
        <v>5301</v>
      </c>
      <c r="B2069" s="3" t="s">
        <v>5328</v>
      </c>
      <c r="C2069" s="3" t="s">
        <v>167</v>
      </c>
      <c r="D2069" s="9">
        <v>278.89999999999998</v>
      </c>
      <c r="E2069" s="3"/>
      <c r="F2069" s="3"/>
      <c r="G2069" s="9"/>
      <c r="H2069" s="10">
        <v>45660.723622685182</v>
      </c>
      <c r="I2069" s="10">
        <v>45660.724386574067</v>
      </c>
      <c r="J2069" s="10">
        <v>45660.726909722223</v>
      </c>
      <c r="K2069" s="11">
        <v>2.5231481481481481E-3</v>
      </c>
      <c r="L2069" s="13"/>
    </row>
    <row r="2070" spans="1:12" x14ac:dyDescent="0.25">
      <c r="A2070" s="3" t="s">
        <v>5301</v>
      </c>
      <c r="B2070" s="3" t="s">
        <v>5329</v>
      </c>
      <c r="C2070" s="3" t="s">
        <v>168</v>
      </c>
      <c r="D2070" s="9">
        <v>595.9</v>
      </c>
      <c r="E2070" s="3"/>
      <c r="F2070" s="3"/>
      <c r="G2070" s="9"/>
      <c r="H2070" s="10">
        <v>45660.849456018521</v>
      </c>
      <c r="I2070" s="10">
        <v>45660.850335648152</v>
      </c>
      <c r="J2070" s="10">
        <v>45660.864201388889</v>
      </c>
      <c r="K2070" s="11">
        <v>1.3865740740740739E-2</v>
      </c>
      <c r="L2070" s="13"/>
    </row>
    <row r="2071" spans="1:12" x14ac:dyDescent="0.25">
      <c r="A2071" s="3" t="s">
        <v>5301</v>
      </c>
      <c r="B2071" s="3" t="s">
        <v>5330</v>
      </c>
      <c r="C2071" s="3" t="s">
        <v>170</v>
      </c>
      <c r="D2071" s="9">
        <v>541.1</v>
      </c>
      <c r="E2071" s="3"/>
      <c r="F2071" s="3"/>
      <c r="G2071" s="9"/>
      <c r="H2071" s="10">
        <v>45660.893009259264</v>
      </c>
      <c r="I2071" s="10">
        <v>45660.893877314818</v>
      </c>
      <c r="J2071" s="10">
        <v>45660.913275462961</v>
      </c>
      <c r="K2071" s="11">
        <v>1.939814814814815E-2</v>
      </c>
      <c r="L2071" s="13"/>
    </row>
    <row r="2072" spans="1:12" x14ac:dyDescent="0.25">
      <c r="A2072" s="3" t="s">
        <v>5301</v>
      </c>
      <c r="B2072" s="3" t="s">
        <v>5331</v>
      </c>
      <c r="C2072" s="3" t="s">
        <v>171</v>
      </c>
      <c r="D2072" s="9">
        <v>295</v>
      </c>
      <c r="E2072" s="3"/>
      <c r="F2072" s="3"/>
      <c r="G2072" s="9"/>
      <c r="H2072" s="10">
        <v>45661.244513888887</v>
      </c>
      <c r="I2072" s="10">
        <v>45661.245393518519</v>
      </c>
      <c r="J2072" s="10">
        <v>45661.250358796293</v>
      </c>
      <c r="K2072" s="11">
        <v>4.9652777777777777E-3</v>
      </c>
      <c r="L2072" s="13"/>
    </row>
    <row r="2073" spans="1:12" x14ac:dyDescent="0.25">
      <c r="A2073" s="3" t="s">
        <v>5301</v>
      </c>
      <c r="B2073" s="3" t="s">
        <v>5332</v>
      </c>
      <c r="C2073" s="3" t="s">
        <v>172</v>
      </c>
      <c r="D2073" s="9">
        <v>535.29999999999995</v>
      </c>
      <c r="E2073" s="3"/>
      <c r="F2073" s="3"/>
      <c r="G2073" s="9"/>
      <c r="H2073" s="10">
        <v>45662.742430555547</v>
      </c>
      <c r="I2073" s="10">
        <v>45662.743298611109</v>
      </c>
      <c r="J2073" s="10">
        <v>45662.748738425929</v>
      </c>
      <c r="K2073" s="11">
        <v>5.4398148148148149E-3</v>
      </c>
      <c r="L2073" s="13"/>
    </row>
    <row r="2074" spans="1:12" x14ac:dyDescent="0.25">
      <c r="A2074" s="3" t="s">
        <v>5301</v>
      </c>
      <c r="B2074" s="3" t="s">
        <v>5333</v>
      </c>
      <c r="C2074" s="3" t="s">
        <v>173</v>
      </c>
      <c r="D2074" s="9">
        <v>590.79999999999995</v>
      </c>
      <c r="E2074" s="3"/>
      <c r="F2074" s="3"/>
      <c r="G2074" s="9"/>
      <c r="H2074" s="10">
        <v>45662.84952546296</v>
      </c>
      <c r="I2074" s="10">
        <v>45662.850405092591</v>
      </c>
      <c r="J2074" s="10">
        <v>45662.856724537043</v>
      </c>
      <c r="K2074" s="11">
        <v>6.3194444444444444E-3</v>
      </c>
      <c r="L2074" s="13"/>
    </row>
    <row r="2075" spans="1:12" x14ac:dyDescent="0.25">
      <c r="A2075" s="3" t="s">
        <v>5301</v>
      </c>
      <c r="B2075" s="3" t="s">
        <v>5334</v>
      </c>
      <c r="C2075" s="3" t="s">
        <v>174</v>
      </c>
      <c r="D2075" s="9">
        <v>241.4</v>
      </c>
      <c r="E2075" s="3"/>
      <c r="F2075" s="3"/>
      <c r="G2075" s="9"/>
      <c r="H2075" s="10">
        <v>45663.742326388892</v>
      </c>
      <c r="I2075" s="10">
        <v>45663.743194444447</v>
      </c>
      <c r="J2075" s="10">
        <v>45663.745000000003</v>
      </c>
      <c r="K2075" s="11">
        <v>1.805555555555555E-3</v>
      </c>
      <c r="L2075" s="13"/>
    </row>
    <row r="2076" spans="1:12" x14ac:dyDescent="0.25">
      <c r="A2076" s="3" t="s">
        <v>5301</v>
      </c>
      <c r="B2076" s="3" t="s">
        <v>5335</v>
      </c>
      <c r="C2076" s="3" t="s">
        <v>175</v>
      </c>
      <c r="D2076" s="9">
        <v>291.2</v>
      </c>
      <c r="E2076" s="3"/>
      <c r="F2076" s="3"/>
      <c r="G2076" s="9"/>
      <c r="H2076" s="10">
        <v>45664.124374999999</v>
      </c>
      <c r="I2076" s="10">
        <v>45664.125254629631</v>
      </c>
      <c r="J2076" s="10">
        <v>45664.134513888886</v>
      </c>
      <c r="K2076" s="11">
        <v>9.2592592592592587E-3</v>
      </c>
      <c r="L2076" s="13"/>
    </row>
    <row r="2077" spans="1:12" x14ac:dyDescent="0.25">
      <c r="A2077" s="3" t="s">
        <v>5301</v>
      </c>
      <c r="B2077" s="3" t="s">
        <v>5336</v>
      </c>
      <c r="C2077" s="3" t="s">
        <v>176</v>
      </c>
      <c r="D2077" s="9">
        <v>297</v>
      </c>
      <c r="E2077" s="3"/>
      <c r="F2077" s="3"/>
      <c r="G2077" s="9"/>
      <c r="H2077" s="10">
        <v>45664.27851851852</v>
      </c>
      <c r="I2077" s="10">
        <v>45664.279386574082</v>
      </c>
      <c r="J2077" s="10">
        <v>45664.281192129631</v>
      </c>
      <c r="K2077" s="11">
        <v>1.805555555555555E-3</v>
      </c>
      <c r="L2077" s="13"/>
    </row>
    <row r="2078" spans="1:12" x14ac:dyDescent="0.25">
      <c r="A2078" s="3" t="s">
        <v>5301</v>
      </c>
      <c r="B2078" s="3" t="s">
        <v>5337</v>
      </c>
      <c r="C2078" s="3" t="s">
        <v>178</v>
      </c>
      <c r="D2078" s="9">
        <v>396.6</v>
      </c>
      <c r="E2078" s="3"/>
      <c r="F2078" s="3"/>
      <c r="G2078" s="9"/>
      <c r="H2078" s="10">
        <v>45664.314212962963</v>
      </c>
      <c r="I2078" s="10">
        <v>45664.315949074073</v>
      </c>
      <c r="J2078" s="10">
        <v>45664.318761574083</v>
      </c>
      <c r="K2078" s="11">
        <v>2.8124999999999999E-3</v>
      </c>
      <c r="L2078" s="13"/>
    </row>
    <row r="2079" spans="1:12" x14ac:dyDescent="0.25">
      <c r="A2079" s="3" t="s">
        <v>5301</v>
      </c>
      <c r="B2079" s="3" t="s">
        <v>5338</v>
      </c>
      <c r="C2079" s="3" t="s">
        <v>179</v>
      </c>
      <c r="D2079" s="9">
        <v>189.9</v>
      </c>
      <c r="E2079" s="3"/>
      <c r="F2079" s="3"/>
      <c r="G2079" s="9"/>
      <c r="H2079" s="10">
        <v>45664.314467592587</v>
      </c>
      <c r="I2079" s="10">
        <v>45664.31962962963</v>
      </c>
      <c r="J2079" s="10">
        <v>45664.321504629632</v>
      </c>
      <c r="K2079" s="11">
        <v>1.8749999999999999E-3</v>
      </c>
      <c r="L2079" s="13"/>
    </row>
    <row r="2080" spans="1:12" x14ac:dyDescent="0.25">
      <c r="A2080" s="3" t="s">
        <v>5301</v>
      </c>
      <c r="B2080" s="3" t="s">
        <v>5339</v>
      </c>
      <c r="C2080" s="3" t="s">
        <v>177</v>
      </c>
      <c r="D2080" s="9">
        <v>268.5</v>
      </c>
      <c r="E2080" s="3"/>
      <c r="F2080" s="3"/>
      <c r="G2080" s="9"/>
      <c r="H2080" s="10">
        <v>45664.314884259264</v>
      </c>
      <c r="I2080" s="10">
        <v>45664.322372685187</v>
      </c>
      <c r="J2080" s="10">
        <v>45664.333136574067</v>
      </c>
      <c r="K2080" s="11">
        <v>1.0763888888888891E-2</v>
      </c>
      <c r="L2080" s="13"/>
    </row>
    <row r="2081" spans="1:12" x14ac:dyDescent="0.25">
      <c r="A2081" s="3" t="s">
        <v>5301</v>
      </c>
      <c r="B2081" s="3" t="s">
        <v>5340</v>
      </c>
      <c r="C2081" s="3" t="s">
        <v>180</v>
      </c>
      <c r="D2081" s="9">
        <v>393.9</v>
      </c>
      <c r="E2081" s="3"/>
      <c r="F2081" s="3"/>
      <c r="G2081" s="9"/>
      <c r="H2081" s="10">
        <v>45664.354479166657</v>
      </c>
      <c r="I2081" s="10">
        <v>45664.355243055557</v>
      </c>
      <c r="J2081" s="10">
        <v>45664.359270833331</v>
      </c>
      <c r="K2081" s="11">
        <v>4.0277777777777777E-3</v>
      </c>
      <c r="L2081" s="13"/>
    </row>
    <row r="2082" spans="1:12" x14ac:dyDescent="0.25">
      <c r="A2082" s="3" t="s">
        <v>5301</v>
      </c>
      <c r="B2082" s="3" t="s">
        <v>5341</v>
      </c>
      <c r="C2082" s="3" t="s">
        <v>181</v>
      </c>
      <c r="D2082" s="9">
        <v>297</v>
      </c>
      <c r="E2082" s="3"/>
      <c r="F2082" s="3"/>
      <c r="G2082" s="9"/>
      <c r="H2082" s="10">
        <v>45664.372476851851</v>
      </c>
      <c r="I2082" s="10">
        <v>45664.373344907413</v>
      </c>
      <c r="J2082" s="10">
        <v>45664.385289351849</v>
      </c>
      <c r="K2082" s="11">
        <v>1.194444444444445E-2</v>
      </c>
      <c r="L2082" s="13"/>
    </row>
    <row r="2083" spans="1:12" x14ac:dyDescent="0.25">
      <c r="A2083" s="3" t="s">
        <v>5301</v>
      </c>
      <c r="B2083" s="3" t="s">
        <v>5342</v>
      </c>
      <c r="C2083" s="3" t="s">
        <v>182</v>
      </c>
      <c r="D2083" s="9">
        <v>448.6</v>
      </c>
      <c r="E2083" s="3"/>
      <c r="F2083" s="3"/>
      <c r="G2083" s="9"/>
      <c r="H2083" s="10">
        <v>45664.450381944444</v>
      </c>
      <c r="I2083" s="10">
        <v>45664.451145833344</v>
      </c>
      <c r="J2083" s="10">
        <v>45664.457175925927</v>
      </c>
      <c r="K2083" s="11">
        <v>6.030092592592593E-3</v>
      </c>
      <c r="L2083" s="13"/>
    </row>
    <row r="2084" spans="1:12" x14ac:dyDescent="0.25">
      <c r="A2084" s="3" t="s">
        <v>5301</v>
      </c>
      <c r="B2084" s="3" t="s">
        <v>5343</v>
      </c>
      <c r="C2084" s="3" t="s">
        <v>183</v>
      </c>
      <c r="D2084" s="9">
        <v>192.5</v>
      </c>
      <c r="E2084" s="3"/>
      <c r="F2084" s="3"/>
      <c r="G2084" s="9"/>
      <c r="H2084" s="10">
        <v>45664.547581018523</v>
      </c>
      <c r="I2084" s="10">
        <v>45664.548449074071</v>
      </c>
      <c r="J2084" s="10">
        <v>45664.550879629627</v>
      </c>
      <c r="K2084" s="11">
        <v>2.430555555555556E-3</v>
      </c>
      <c r="L2084" s="13"/>
    </row>
    <row r="2085" spans="1:12" x14ac:dyDescent="0.25">
      <c r="A2085" s="3" t="s">
        <v>5301</v>
      </c>
      <c r="B2085" s="3" t="s">
        <v>5344</v>
      </c>
      <c r="C2085" s="3" t="s">
        <v>184</v>
      </c>
      <c r="D2085" s="9">
        <v>398</v>
      </c>
      <c r="E2085" s="3"/>
      <c r="F2085" s="3"/>
      <c r="G2085" s="9"/>
      <c r="H2085" s="10">
        <v>45664.601805555547</v>
      </c>
      <c r="I2085" s="10">
        <v>45664.60255787037</v>
      </c>
      <c r="J2085" s="10">
        <v>45664.60460648148</v>
      </c>
      <c r="K2085" s="11">
        <v>2.0486111111111109E-3</v>
      </c>
      <c r="L2085" s="13"/>
    </row>
    <row r="2086" spans="1:12" x14ac:dyDescent="0.25">
      <c r="A2086" s="3" t="s">
        <v>5301</v>
      </c>
      <c r="B2086" s="3" t="s">
        <v>5345</v>
      </c>
      <c r="C2086" s="3" t="s">
        <v>185</v>
      </c>
      <c r="D2086" s="9">
        <v>321.10000000000002</v>
      </c>
      <c r="E2086" s="3"/>
      <c r="F2086" s="3"/>
      <c r="G2086" s="9"/>
      <c r="H2086" s="10">
        <v>45664.642523148148</v>
      </c>
      <c r="I2086" s="10">
        <v>45664.643391203703</v>
      </c>
      <c r="J2086" s="10">
        <v>45664.660763888889</v>
      </c>
      <c r="K2086" s="11">
        <v>1.7372685185185189E-2</v>
      </c>
      <c r="L2086" s="13"/>
    </row>
    <row r="2087" spans="1:12" x14ac:dyDescent="0.25">
      <c r="A2087" s="3" t="s">
        <v>5301</v>
      </c>
      <c r="B2087" s="3" t="s">
        <v>5346</v>
      </c>
      <c r="C2087" s="3" t="s">
        <v>186</v>
      </c>
      <c r="D2087" s="9">
        <v>393.5</v>
      </c>
      <c r="E2087" s="3"/>
      <c r="F2087" s="3"/>
      <c r="G2087" s="9"/>
      <c r="H2087" s="10">
        <v>45664.647800925923</v>
      </c>
      <c r="I2087" s="10">
        <v>45664.661631944437</v>
      </c>
      <c r="J2087" s="10">
        <v>45664.66443287037</v>
      </c>
      <c r="K2087" s="11">
        <v>2.8009259259259259E-3</v>
      </c>
      <c r="L2087" s="13"/>
    </row>
    <row r="2088" spans="1:12" x14ac:dyDescent="0.25">
      <c r="A2088" s="3" t="s">
        <v>5301</v>
      </c>
      <c r="B2088" s="3" t="s">
        <v>5347</v>
      </c>
      <c r="C2088" s="3" t="s">
        <v>187</v>
      </c>
      <c r="D2088" s="9">
        <v>110.3</v>
      </c>
      <c r="E2088" s="3"/>
      <c r="F2088" s="3"/>
      <c r="G2088" s="9"/>
      <c r="H2088" s="10">
        <v>45664.673784722218</v>
      </c>
      <c r="I2088" s="10">
        <v>45664.674537037034</v>
      </c>
      <c r="J2088" s="10">
        <v>45664.678252314807</v>
      </c>
      <c r="K2088" s="11">
        <v>3.7152777777777778E-3</v>
      </c>
      <c r="L2088" s="13"/>
    </row>
    <row r="2089" spans="1:12" x14ac:dyDescent="0.25">
      <c r="A2089" s="3" t="s">
        <v>5301</v>
      </c>
      <c r="B2089" s="3" t="s">
        <v>5348</v>
      </c>
      <c r="C2089" s="3" t="s">
        <v>188</v>
      </c>
      <c r="D2089" s="9">
        <v>424.5</v>
      </c>
      <c r="E2089" s="3"/>
      <c r="F2089" s="3"/>
      <c r="G2089" s="9"/>
      <c r="H2089" s="10">
        <v>45664.742222222223</v>
      </c>
      <c r="I2089" s="10">
        <v>45664.743090277778</v>
      </c>
      <c r="J2089" s="10">
        <v>45664.764780092592</v>
      </c>
      <c r="K2089" s="11">
        <v>2.1689814814814811E-2</v>
      </c>
      <c r="L2089" s="13"/>
    </row>
    <row r="2090" spans="1:12" x14ac:dyDescent="0.25">
      <c r="A2090" s="3" t="s">
        <v>5301</v>
      </c>
      <c r="B2090" s="3" t="s">
        <v>5349</v>
      </c>
      <c r="C2090" s="3" t="s">
        <v>189</v>
      </c>
      <c r="D2090" s="9">
        <v>212</v>
      </c>
      <c r="E2090" s="3"/>
      <c r="F2090" s="3"/>
      <c r="G2090" s="9"/>
      <c r="H2090" s="10">
        <v>45664.758819444447</v>
      </c>
      <c r="I2090" s="10">
        <v>45664.765543981477</v>
      </c>
      <c r="J2090" s="10">
        <v>45664.767581018517</v>
      </c>
      <c r="K2090" s="11">
        <v>2.0370370370370369E-3</v>
      </c>
      <c r="L2090" s="13"/>
    </row>
    <row r="2091" spans="1:12" x14ac:dyDescent="0.25">
      <c r="A2091" s="3" t="s">
        <v>5301</v>
      </c>
      <c r="B2091" s="3" t="s">
        <v>5350</v>
      </c>
      <c r="C2091" s="3" t="s">
        <v>190</v>
      </c>
      <c r="D2091" s="9">
        <v>389.1</v>
      </c>
      <c r="E2091" s="3"/>
      <c r="F2091" s="3"/>
      <c r="G2091" s="9"/>
      <c r="H2091" s="10">
        <v>45664.883645833332</v>
      </c>
      <c r="I2091" s="10">
        <v>45664.884432870371</v>
      </c>
      <c r="J2091" s="10">
        <v>45664.886574074073</v>
      </c>
      <c r="K2091" s="11">
        <v>2.1412037037037042E-3</v>
      </c>
      <c r="L2091" s="13"/>
    </row>
    <row r="2092" spans="1:12" x14ac:dyDescent="0.25">
      <c r="A2092" s="3" t="s">
        <v>5301</v>
      </c>
      <c r="B2092" s="3" t="s">
        <v>5351</v>
      </c>
      <c r="C2092" s="3" t="s">
        <v>191</v>
      </c>
      <c r="D2092" s="9">
        <v>325.2</v>
      </c>
      <c r="E2092" s="3"/>
      <c r="F2092" s="3"/>
      <c r="G2092" s="9"/>
      <c r="H2092" s="10">
        <v>45665.126145833332</v>
      </c>
      <c r="I2092" s="10">
        <v>45665.127013888887</v>
      </c>
      <c r="J2092" s="10">
        <v>45665.137812499997</v>
      </c>
      <c r="K2092" s="11">
        <v>1.079861111111111E-2</v>
      </c>
      <c r="L2092" s="13"/>
    </row>
    <row r="2093" spans="1:12" x14ac:dyDescent="0.25">
      <c r="A2093" s="3" t="s">
        <v>5301</v>
      </c>
      <c r="B2093" s="3" t="s">
        <v>5352</v>
      </c>
      <c r="C2093" s="3" t="s">
        <v>192</v>
      </c>
      <c r="D2093" s="9">
        <v>514.29999999999995</v>
      </c>
      <c r="E2093" s="3"/>
      <c r="F2093" s="3"/>
      <c r="G2093" s="9"/>
      <c r="H2093" s="10">
        <v>45665.166666666657</v>
      </c>
      <c r="I2093" s="10">
        <v>45665.167430555557</v>
      </c>
      <c r="J2093" s="10">
        <v>45665.169965277782</v>
      </c>
      <c r="K2093" s="11">
        <v>2.5347222222222221E-3</v>
      </c>
      <c r="L2093" s="13"/>
    </row>
    <row r="2094" spans="1:12" x14ac:dyDescent="0.25">
      <c r="A2094" s="3" t="s">
        <v>5301</v>
      </c>
      <c r="B2094" s="3" t="s">
        <v>5353</v>
      </c>
      <c r="C2094" s="3" t="s">
        <v>193</v>
      </c>
      <c r="D2094" s="9">
        <v>297</v>
      </c>
      <c r="E2094" s="3"/>
      <c r="F2094" s="3"/>
      <c r="G2094" s="9"/>
      <c r="H2094" s="10">
        <v>45665.258055555547</v>
      </c>
      <c r="I2094" s="10">
        <v>45665.258923611109</v>
      </c>
      <c r="J2094" s="10">
        <v>45665.260844907411</v>
      </c>
      <c r="K2094" s="11">
        <v>1.9212962962962959E-3</v>
      </c>
      <c r="L2094" s="13"/>
    </row>
    <row r="2095" spans="1:12" x14ac:dyDescent="0.25">
      <c r="A2095" s="3" t="s">
        <v>5301</v>
      </c>
      <c r="B2095" s="3" t="s">
        <v>5354</v>
      </c>
      <c r="C2095" s="3" t="s">
        <v>195</v>
      </c>
      <c r="D2095" s="9">
        <v>156.69999999999999</v>
      </c>
      <c r="E2095" s="3"/>
      <c r="F2095" s="3"/>
      <c r="G2095" s="9"/>
      <c r="H2095" s="10">
        <v>45665.311539351853</v>
      </c>
      <c r="I2095" s="10">
        <v>45665.312407407408</v>
      </c>
      <c r="J2095" s="10">
        <v>45665.314131944448</v>
      </c>
      <c r="K2095" s="11">
        <v>1.724537037037037E-3</v>
      </c>
      <c r="L2095" s="13"/>
    </row>
    <row r="2096" spans="1:12" x14ac:dyDescent="0.25">
      <c r="A2096" s="3" t="s">
        <v>5301</v>
      </c>
      <c r="B2096" s="3" t="s">
        <v>5355</v>
      </c>
      <c r="C2096" s="3" t="s">
        <v>194</v>
      </c>
      <c r="D2096" s="9">
        <v>572</v>
      </c>
      <c r="E2096" s="3"/>
      <c r="F2096" s="3"/>
      <c r="G2096" s="9"/>
      <c r="H2096" s="10">
        <v>45665.328634259262</v>
      </c>
      <c r="I2096" s="10">
        <v>45665.329502314817</v>
      </c>
      <c r="J2096" s="10">
        <v>45665.355462962973</v>
      </c>
      <c r="K2096" s="11">
        <v>2.5960648148148149E-2</v>
      </c>
      <c r="L2096" s="13"/>
    </row>
    <row r="2097" spans="1:12" x14ac:dyDescent="0.25">
      <c r="A2097" s="3" t="s">
        <v>5301</v>
      </c>
      <c r="B2097" s="3" t="s">
        <v>5356</v>
      </c>
      <c r="C2097" s="3" t="s">
        <v>196</v>
      </c>
      <c r="D2097" s="9">
        <v>389.8</v>
      </c>
      <c r="E2097" s="3"/>
      <c r="F2097" s="3"/>
      <c r="G2097" s="9"/>
      <c r="H2097" s="10">
        <v>45665.342893518522</v>
      </c>
      <c r="I2097" s="10">
        <v>45665.35633101852</v>
      </c>
      <c r="J2097" s="10">
        <v>45665.358483796299</v>
      </c>
      <c r="K2097" s="11">
        <v>2.1527777777777782E-3</v>
      </c>
      <c r="L2097" s="13"/>
    </row>
    <row r="2098" spans="1:12" x14ac:dyDescent="0.25">
      <c r="A2098" s="3" t="s">
        <v>5301</v>
      </c>
      <c r="B2098" s="3" t="s">
        <v>5357</v>
      </c>
      <c r="C2098" s="3" t="s">
        <v>197</v>
      </c>
      <c r="D2098" s="9">
        <v>235.2</v>
      </c>
      <c r="E2098" s="3"/>
      <c r="F2098" s="3"/>
      <c r="G2098" s="9"/>
      <c r="H2098" s="10">
        <v>45665.382256944453</v>
      </c>
      <c r="I2098" s="10">
        <v>45665.383125</v>
      </c>
      <c r="J2098" s="10">
        <v>45665.386712962973</v>
      </c>
      <c r="K2098" s="11">
        <v>3.5879629629629629E-3</v>
      </c>
      <c r="L2098" s="13"/>
    </row>
    <row r="2099" spans="1:12" x14ac:dyDescent="0.25">
      <c r="A2099" s="3" t="s">
        <v>5301</v>
      </c>
      <c r="B2099" s="3" t="s">
        <v>5358</v>
      </c>
      <c r="C2099" s="3" t="s">
        <v>198</v>
      </c>
      <c r="D2099" s="9">
        <v>443.2</v>
      </c>
      <c r="E2099" s="3"/>
      <c r="F2099" s="3"/>
      <c r="G2099" s="9"/>
      <c r="H2099" s="10">
        <v>45665.436990740738</v>
      </c>
      <c r="I2099" s="10">
        <v>45665.437858796293</v>
      </c>
      <c r="J2099" s="10">
        <v>45665.443124999998</v>
      </c>
      <c r="K2099" s="11">
        <v>5.2662037037037026E-3</v>
      </c>
      <c r="L2099" s="13"/>
    </row>
    <row r="2100" spans="1:12" x14ac:dyDescent="0.25">
      <c r="A2100" s="3" t="s">
        <v>5301</v>
      </c>
      <c r="B2100" s="3" t="s">
        <v>5359</v>
      </c>
      <c r="C2100" s="3" t="s">
        <v>199</v>
      </c>
      <c r="D2100" s="9">
        <v>296.8</v>
      </c>
      <c r="E2100" s="3"/>
      <c r="F2100" s="3"/>
      <c r="G2100" s="9"/>
      <c r="H2100" s="10">
        <v>45665.539814814823</v>
      </c>
      <c r="I2100" s="10">
        <v>45665.540682870371</v>
      </c>
      <c r="J2100" s="10">
        <v>45665.542500000003</v>
      </c>
      <c r="K2100" s="11">
        <v>1.8171296296296299E-3</v>
      </c>
      <c r="L2100" s="13"/>
    </row>
    <row r="2101" spans="1:12" x14ac:dyDescent="0.25">
      <c r="A2101" s="3" t="s">
        <v>5301</v>
      </c>
      <c r="B2101" s="3" t="s">
        <v>5360</v>
      </c>
      <c r="C2101" s="3" t="s">
        <v>200</v>
      </c>
      <c r="D2101" s="9">
        <v>365.8</v>
      </c>
      <c r="E2101" s="3"/>
      <c r="F2101" s="3"/>
      <c r="G2101" s="9"/>
      <c r="H2101" s="10">
        <v>45665.609803240739</v>
      </c>
      <c r="I2101" s="10">
        <v>45665.610671296286</v>
      </c>
      <c r="J2101" s="10">
        <v>45665.612638888888</v>
      </c>
      <c r="K2101" s="11">
        <v>1.967592592592592E-3</v>
      </c>
      <c r="L2101" s="13"/>
    </row>
    <row r="2102" spans="1:12" x14ac:dyDescent="0.25">
      <c r="A2102" s="3" t="s">
        <v>5301</v>
      </c>
      <c r="B2102" s="3" t="s">
        <v>5361</v>
      </c>
      <c r="C2102" s="3" t="s">
        <v>201</v>
      </c>
      <c r="D2102" s="9">
        <v>316.60000000000002</v>
      </c>
      <c r="E2102" s="3"/>
      <c r="F2102" s="3"/>
      <c r="G2102" s="9"/>
      <c r="H2102" s="10">
        <v>45665.639930555553</v>
      </c>
      <c r="I2102" s="10">
        <v>45665.640694444453</v>
      </c>
      <c r="J2102" s="10">
        <v>45665.658576388887</v>
      </c>
      <c r="K2102" s="11">
        <v>1.788194444444444E-2</v>
      </c>
      <c r="L2102" s="13"/>
    </row>
    <row r="2103" spans="1:12" x14ac:dyDescent="0.25">
      <c r="A2103" s="3" t="s">
        <v>5301</v>
      </c>
      <c r="B2103" s="3" t="s">
        <v>5362</v>
      </c>
      <c r="C2103" s="3" t="s">
        <v>202</v>
      </c>
      <c r="D2103" s="9">
        <v>362</v>
      </c>
      <c r="E2103" s="3"/>
      <c r="F2103" s="3"/>
      <c r="G2103" s="9"/>
      <c r="H2103" s="10">
        <v>45665.640740740739</v>
      </c>
      <c r="I2103" s="10">
        <v>45665.659444444442</v>
      </c>
      <c r="J2103" s="10">
        <v>45665.661504629628</v>
      </c>
      <c r="K2103" s="11">
        <v>2.0601851851851849E-3</v>
      </c>
      <c r="L2103" s="13"/>
    </row>
    <row r="2104" spans="1:12" x14ac:dyDescent="0.25">
      <c r="A2104" s="3" t="s">
        <v>5301</v>
      </c>
      <c r="B2104" s="3" t="s">
        <v>5363</v>
      </c>
      <c r="C2104" s="3" t="s">
        <v>203</v>
      </c>
      <c r="D2104" s="9">
        <v>209.2</v>
      </c>
      <c r="E2104" s="3"/>
      <c r="F2104" s="3"/>
      <c r="G2104" s="9"/>
      <c r="H2104" s="10">
        <v>45665.729618055557</v>
      </c>
      <c r="I2104" s="10">
        <v>45665.730381944442</v>
      </c>
      <c r="J2104" s="10">
        <v>45665.731990740736</v>
      </c>
      <c r="K2104" s="11">
        <v>1.6087962962962961E-3</v>
      </c>
      <c r="L2104" s="13"/>
    </row>
    <row r="2105" spans="1:12" x14ac:dyDescent="0.25">
      <c r="A2105" s="3" t="s">
        <v>5301</v>
      </c>
      <c r="B2105" s="3" t="s">
        <v>5364</v>
      </c>
      <c r="C2105" s="3" t="s">
        <v>204</v>
      </c>
      <c r="D2105" s="9">
        <v>15.7</v>
      </c>
      <c r="E2105" s="3"/>
      <c r="F2105" s="3"/>
      <c r="G2105" s="9"/>
      <c r="H2105" s="10">
        <v>45665.754016203697</v>
      </c>
      <c r="I2105" s="10">
        <v>45665.754884259259</v>
      </c>
      <c r="J2105" s="10">
        <v>45665.756527777783</v>
      </c>
      <c r="K2105" s="11">
        <v>1.643518518518519E-3</v>
      </c>
      <c r="L2105" s="13"/>
    </row>
    <row r="2106" spans="1:12" x14ac:dyDescent="0.25">
      <c r="A2106" s="3" t="s">
        <v>5301</v>
      </c>
      <c r="B2106" s="3" t="s">
        <v>5365</v>
      </c>
      <c r="C2106" s="3" t="s">
        <v>205</v>
      </c>
      <c r="D2106" s="9">
        <v>244.1</v>
      </c>
      <c r="E2106" s="3"/>
      <c r="F2106" s="3"/>
      <c r="G2106" s="9"/>
      <c r="H2106" s="10">
        <v>45665.834918981483</v>
      </c>
      <c r="I2106" s="10">
        <v>45665.835682870369</v>
      </c>
      <c r="J2106" s="10">
        <v>45665.850405092591</v>
      </c>
      <c r="K2106" s="11">
        <v>1.472222222222222E-2</v>
      </c>
      <c r="L2106" s="13"/>
    </row>
    <row r="2107" spans="1:12" x14ac:dyDescent="0.25">
      <c r="A2107" s="3" t="s">
        <v>5301</v>
      </c>
      <c r="B2107" s="3" t="s">
        <v>5366</v>
      </c>
      <c r="C2107" s="3" t="s">
        <v>206</v>
      </c>
      <c r="D2107" s="9">
        <v>99.5</v>
      </c>
      <c r="E2107" s="3"/>
      <c r="F2107" s="3"/>
      <c r="G2107" s="9"/>
      <c r="H2107" s="10">
        <v>45665.841053240743</v>
      </c>
      <c r="I2107" s="10">
        <v>45665.851273148153</v>
      </c>
      <c r="J2107" s="10">
        <v>45665.852719907409</v>
      </c>
      <c r="K2107" s="11">
        <v>1.446759259259259E-3</v>
      </c>
      <c r="L2107" s="13"/>
    </row>
    <row r="2108" spans="1:12" x14ac:dyDescent="0.25">
      <c r="A2108" s="3" t="s">
        <v>5301</v>
      </c>
      <c r="B2108" s="3" t="s">
        <v>5367</v>
      </c>
      <c r="C2108" s="3" t="s">
        <v>207</v>
      </c>
      <c r="D2108" s="9">
        <v>164.5</v>
      </c>
      <c r="E2108" s="3"/>
      <c r="F2108" s="3"/>
      <c r="G2108" s="9"/>
      <c r="H2108" s="10">
        <v>45666.123703703714</v>
      </c>
      <c r="I2108" s="10">
        <v>45666.124571759261</v>
      </c>
      <c r="J2108" s="10">
        <v>45666.129907407398</v>
      </c>
      <c r="K2108" s="11">
        <v>5.3356481481481484E-3</v>
      </c>
      <c r="L2108" s="13"/>
    </row>
    <row r="2109" spans="1:12" x14ac:dyDescent="0.25">
      <c r="A2109" s="3" t="s">
        <v>5301</v>
      </c>
      <c r="B2109" s="3" t="s">
        <v>5368</v>
      </c>
      <c r="C2109" s="3" t="s">
        <v>208</v>
      </c>
      <c r="D2109" s="9">
        <v>376.1</v>
      </c>
      <c r="E2109" s="3"/>
      <c r="F2109" s="3"/>
      <c r="G2109" s="9"/>
      <c r="H2109" s="10">
        <v>45666.27103009259</v>
      </c>
      <c r="I2109" s="10">
        <v>45666.271793981483</v>
      </c>
      <c r="J2109" s="10">
        <v>45666.286412037043</v>
      </c>
      <c r="K2109" s="11">
        <v>1.4618055555555559E-2</v>
      </c>
      <c r="L2109" s="13"/>
    </row>
    <row r="2110" spans="1:12" x14ac:dyDescent="0.25">
      <c r="A2110" s="3" t="s">
        <v>5301</v>
      </c>
      <c r="B2110" s="3" t="s">
        <v>5369</v>
      </c>
      <c r="C2110" s="3" t="s">
        <v>209</v>
      </c>
      <c r="D2110" s="9">
        <v>185.9</v>
      </c>
      <c r="E2110" s="3"/>
      <c r="F2110" s="3"/>
      <c r="G2110" s="9"/>
      <c r="H2110" s="10">
        <v>45666.278020833342</v>
      </c>
      <c r="I2110" s="10">
        <v>45666.287280092591</v>
      </c>
      <c r="J2110" s="10">
        <v>45666.289548611108</v>
      </c>
      <c r="K2110" s="11">
        <v>2.2685185185185191E-3</v>
      </c>
      <c r="L2110" s="13"/>
    </row>
    <row r="2111" spans="1:12" x14ac:dyDescent="0.25">
      <c r="A2111" s="3" t="s">
        <v>5301</v>
      </c>
      <c r="B2111" s="3" t="s">
        <v>5370</v>
      </c>
      <c r="C2111" s="3" t="s">
        <v>211</v>
      </c>
      <c r="D2111" s="9">
        <v>325</v>
      </c>
      <c r="E2111" s="3"/>
      <c r="F2111" s="3"/>
      <c r="G2111" s="9"/>
      <c r="H2111" s="10">
        <v>45666.313275462962</v>
      </c>
      <c r="I2111" s="10">
        <v>45666.314143518517</v>
      </c>
      <c r="J2111" s="10">
        <v>45666.316331018519</v>
      </c>
      <c r="K2111" s="11">
        <v>2.1875000000000002E-3</v>
      </c>
      <c r="L2111" s="13"/>
    </row>
    <row r="2112" spans="1:12" x14ac:dyDescent="0.25">
      <c r="A2112" s="3" t="s">
        <v>5301</v>
      </c>
      <c r="B2112" s="3" t="s">
        <v>5371</v>
      </c>
      <c r="C2112" s="3" t="s">
        <v>210</v>
      </c>
      <c r="D2112" s="9">
        <v>278.7</v>
      </c>
      <c r="E2112" s="3"/>
      <c r="F2112" s="3"/>
      <c r="G2112" s="9"/>
      <c r="H2112" s="10">
        <v>45666.313842592594</v>
      </c>
      <c r="I2112" s="10">
        <v>45666.317118055558</v>
      </c>
      <c r="J2112" s="10">
        <v>45666.327893518523</v>
      </c>
      <c r="K2112" s="11">
        <v>1.0775462962962961E-2</v>
      </c>
      <c r="L2112" s="13"/>
    </row>
    <row r="2113" spans="1:12" x14ac:dyDescent="0.25">
      <c r="A2113" s="3" t="s">
        <v>5301</v>
      </c>
      <c r="B2113" s="3" t="s">
        <v>5372</v>
      </c>
      <c r="C2113" s="3" t="s">
        <v>212</v>
      </c>
      <c r="D2113" s="9">
        <v>381.6</v>
      </c>
      <c r="E2113" s="3"/>
      <c r="F2113" s="3"/>
      <c r="G2113" s="9"/>
      <c r="H2113" s="10">
        <v>45666.335439814808</v>
      </c>
      <c r="I2113" s="10">
        <v>45666.336226851847</v>
      </c>
      <c r="J2113" s="10">
        <v>45666.339004629634</v>
      </c>
      <c r="K2113" s="11">
        <v>2.7777777777777779E-3</v>
      </c>
      <c r="L2113" s="13"/>
    </row>
    <row r="2114" spans="1:12" x14ac:dyDescent="0.25">
      <c r="A2114" s="3" t="s">
        <v>5301</v>
      </c>
      <c r="B2114" s="3" t="s">
        <v>5373</v>
      </c>
      <c r="C2114" s="3" t="s">
        <v>213</v>
      </c>
      <c r="D2114" s="9">
        <v>362</v>
      </c>
      <c r="E2114" s="3"/>
      <c r="F2114" s="3"/>
      <c r="G2114" s="9"/>
      <c r="H2114" s="10">
        <v>45666.373900462961</v>
      </c>
      <c r="I2114" s="10">
        <v>45666.374768518523</v>
      </c>
      <c r="J2114" s="10">
        <v>45666.379178240742</v>
      </c>
      <c r="K2114" s="11">
        <v>4.409722222222222E-3</v>
      </c>
      <c r="L2114" s="13"/>
    </row>
    <row r="2115" spans="1:12" x14ac:dyDescent="0.25">
      <c r="A2115" s="3" t="s">
        <v>5301</v>
      </c>
      <c r="B2115" s="3" t="s">
        <v>5374</v>
      </c>
      <c r="C2115" s="3" t="s">
        <v>214</v>
      </c>
      <c r="D2115" s="9">
        <v>435.7</v>
      </c>
      <c r="E2115" s="3"/>
      <c r="F2115" s="3"/>
      <c r="G2115" s="9"/>
      <c r="H2115" s="10">
        <v>45666.461643518523</v>
      </c>
      <c r="I2115" s="10">
        <v>45666.462511574071</v>
      </c>
      <c r="J2115" s="10">
        <v>45666.467083333337</v>
      </c>
      <c r="K2115" s="11">
        <v>4.5717592592592589E-3</v>
      </c>
      <c r="L2115" s="13"/>
    </row>
    <row r="2116" spans="1:12" x14ac:dyDescent="0.25">
      <c r="A2116" s="3" t="s">
        <v>5301</v>
      </c>
      <c r="B2116" s="3" t="s">
        <v>5375</v>
      </c>
      <c r="C2116" s="3" t="s">
        <v>215</v>
      </c>
      <c r="D2116" s="9">
        <v>241.4</v>
      </c>
      <c r="E2116" s="3"/>
      <c r="F2116" s="3"/>
      <c r="G2116" s="9"/>
      <c r="H2116" s="10">
        <v>45666.613645833328</v>
      </c>
      <c r="I2116" s="10">
        <v>45666.61451388889</v>
      </c>
      <c r="J2116" s="10">
        <v>45666.616770833331</v>
      </c>
      <c r="K2116" s="11">
        <v>2.2569444444444438E-3</v>
      </c>
      <c r="L2116" s="13"/>
    </row>
    <row r="2117" spans="1:12" x14ac:dyDescent="0.25">
      <c r="A2117" s="3" t="s">
        <v>5301</v>
      </c>
      <c r="B2117" s="3" t="s">
        <v>5376</v>
      </c>
      <c r="C2117" s="3" t="s">
        <v>216</v>
      </c>
      <c r="D2117" s="9">
        <v>407.5</v>
      </c>
      <c r="E2117" s="3"/>
      <c r="F2117" s="3"/>
      <c r="G2117" s="9"/>
      <c r="H2117" s="10">
        <v>45666.638298611113</v>
      </c>
      <c r="I2117" s="10">
        <v>45666.639166666668</v>
      </c>
      <c r="J2117" s="10">
        <v>45666.647986111107</v>
      </c>
      <c r="K2117" s="11">
        <v>8.819444444444444E-3</v>
      </c>
      <c r="L2117" s="13"/>
    </row>
    <row r="2118" spans="1:12" x14ac:dyDescent="0.25">
      <c r="A2118" s="3" t="s">
        <v>5301</v>
      </c>
      <c r="B2118" s="3" t="s">
        <v>5377</v>
      </c>
      <c r="C2118" s="3" t="s">
        <v>217</v>
      </c>
      <c r="D2118" s="9">
        <v>314.8</v>
      </c>
      <c r="E2118" s="3"/>
      <c r="F2118" s="3"/>
      <c r="G2118" s="9"/>
      <c r="H2118" s="10">
        <v>45666.650914351849</v>
      </c>
      <c r="I2118" s="10">
        <v>45666.651782407411</v>
      </c>
      <c r="J2118" s="10">
        <v>45666.653946759259</v>
      </c>
      <c r="K2118" s="11">
        <v>2.1643518518518522E-3</v>
      </c>
      <c r="L2118" s="13"/>
    </row>
    <row r="2119" spans="1:12" x14ac:dyDescent="0.25">
      <c r="A2119" s="3" t="s">
        <v>5301</v>
      </c>
      <c r="B2119" s="3" t="s">
        <v>5378</v>
      </c>
      <c r="C2119" s="3" t="s">
        <v>219</v>
      </c>
      <c r="D2119" s="9">
        <v>47.2</v>
      </c>
      <c r="E2119" s="3"/>
      <c r="F2119" s="3"/>
      <c r="G2119" s="9"/>
      <c r="H2119" s="10">
        <v>45666.744502314818</v>
      </c>
      <c r="I2119" s="10">
        <v>45666.746134259258</v>
      </c>
      <c r="J2119" s="10">
        <v>45666.74795138889</v>
      </c>
      <c r="K2119" s="11">
        <v>1.8171296296296299E-3</v>
      </c>
      <c r="L2119" s="13"/>
    </row>
    <row r="2120" spans="1:12" x14ac:dyDescent="0.25">
      <c r="A2120" s="3" t="s">
        <v>5301</v>
      </c>
      <c r="B2120" s="3" t="s">
        <v>5379</v>
      </c>
      <c r="C2120" s="3" t="s">
        <v>218</v>
      </c>
      <c r="D2120" s="9">
        <v>319</v>
      </c>
      <c r="E2120" s="3"/>
      <c r="F2120" s="3"/>
      <c r="G2120" s="9"/>
      <c r="H2120" s="10">
        <v>45666.755115740743</v>
      </c>
      <c r="I2120" s="10">
        <v>45666.755995370368</v>
      </c>
      <c r="J2120" s="10">
        <v>45666.770543981482</v>
      </c>
      <c r="K2120" s="11">
        <v>1.4548611111111109E-2</v>
      </c>
      <c r="L2120" s="13"/>
    </row>
    <row r="2121" spans="1:12" x14ac:dyDescent="0.25">
      <c r="A2121" s="3" t="s">
        <v>5301</v>
      </c>
      <c r="B2121" s="3" t="s">
        <v>5380</v>
      </c>
      <c r="C2121" s="3" t="s">
        <v>220</v>
      </c>
      <c r="D2121" s="9">
        <v>417.5</v>
      </c>
      <c r="E2121" s="3"/>
      <c r="F2121" s="3"/>
      <c r="G2121" s="9"/>
      <c r="H2121" s="10">
        <v>45666.758900462963</v>
      </c>
      <c r="I2121" s="10">
        <v>45666.771412037036</v>
      </c>
      <c r="J2121" s="10">
        <v>45666.790451388893</v>
      </c>
      <c r="K2121" s="11">
        <v>1.9039351851851849E-2</v>
      </c>
      <c r="L2121" s="13"/>
    </row>
    <row r="2122" spans="1:12" x14ac:dyDescent="0.25">
      <c r="A2122" s="3" t="s">
        <v>5301</v>
      </c>
      <c r="B2122" s="3" t="s">
        <v>5381</v>
      </c>
      <c r="C2122" s="3" t="s">
        <v>221</v>
      </c>
      <c r="D2122" s="9">
        <v>291.7</v>
      </c>
      <c r="E2122" s="3"/>
      <c r="F2122" s="3"/>
      <c r="G2122" s="9"/>
      <c r="H2122" s="10">
        <v>45666.849456018521</v>
      </c>
      <c r="I2122" s="10">
        <v>45666.850324074083</v>
      </c>
      <c r="J2122" s="10">
        <v>45666.863726851851</v>
      </c>
      <c r="K2122" s="11">
        <v>1.3402777777777781E-2</v>
      </c>
      <c r="L2122" s="13"/>
    </row>
    <row r="2123" spans="1:12" x14ac:dyDescent="0.25">
      <c r="A2123" s="3" t="s">
        <v>5301</v>
      </c>
      <c r="B2123" s="3" t="s">
        <v>5382</v>
      </c>
      <c r="C2123" s="3" t="s">
        <v>222</v>
      </c>
      <c r="D2123" s="9">
        <v>309.2</v>
      </c>
      <c r="E2123" s="3"/>
      <c r="F2123" s="3"/>
      <c r="G2123" s="9"/>
      <c r="H2123" s="10">
        <v>45667.123506944437</v>
      </c>
      <c r="I2123" s="10">
        <v>45667.12427083333</v>
      </c>
      <c r="J2123" s="10">
        <v>45667.131747685176</v>
      </c>
      <c r="K2123" s="11">
        <v>7.4768518518518517E-3</v>
      </c>
      <c r="L2123" s="13"/>
    </row>
    <row r="2124" spans="1:12" x14ac:dyDescent="0.25">
      <c r="A2124" s="3" t="s">
        <v>5301</v>
      </c>
      <c r="B2124" s="3" t="s">
        <v>5383</v>
      </c>
      <c r="C2124" s="3" t="s">
        <v>223</v>
      </c>
      <c r="D2124" s="9">
        <v>219.5</v>
      </c>
      <c r="E2124" s="3"/>
      <c r="F2124" s="3"/>
      <c r="G2124" s="9"/>
      <c r="H2124" s="10">
        <v>45667.195567129631</v>
      </c>
      <c r="I2124" s="10">
        <v>45667.196446759262</v>
      </c>
      <c r="J2124" s="10">
        <v>45667.198078703703</v>
      </c>
      <c r="K2124" s="11">
        <v>1.631944444444445E-3</v>
      </c>
      <c r="L2124" s="13"/>
    </row>
    <row r="2125" spans="1:12" x14ac:dyDescent="0.25">
      <c r="A2125" s="3" t="s">
        <v>5301</v>
      </c>
      <c r="B2125" s="3" t="s">
        <v>5384</v>
      </c>
      <c r="C2125" s="3" t="s">
        <v>224</v>
      </c>
      <c r="D2125" s="9">
        <v>298</v>
      </c>
      <c r="E2125" s="3"/>
      <c r="F2125" s="3"/>
      <c r="G2125" s="9"/>
      <c r="H2125" s="10">
        <v>45667.247916666667</v>
      </c>
      <c r="I2125" s="10">
        <v>45667.248680555553</v>
      </c>
      <c r="J2125" s="10">
        <v>45667.25072916667</v>
      </c>
      <c r="K2125" s="11">
        <v>2.0486111111111109E-3</v>
      </c>
      <c r="L2125" s="13"/>
    </row>
    <row r="2126" spans="1:12" x14ac:dyDescent="0.25">
      <c r="A2126" s="3" t="s">
        <v>5301</v>
      </c>
      <c r="B2126" s="3" t="s">
        <v>5385</v>
      </c>
      <c r="C2126" s="3" t="s">
        <v>225</v>
      </c>
      <c r="D2126" s="9">
        <v>386.3</v>
      </c>
      <c r="E2126" s="3"/>
      <c r="F2126" s="3"/>
      <c r="G2126" s="9"/>
      <c r="H2126" s="10">
        <v>45667.293321759258</v>
      </c>
      <c r="I2126" s="10">
        <v>45667.29420138889</v>
      </c>
      <c r="J2126" s="10">
        <v>45667.310104166667</v>
      </c>
      <c r="K2126" s="11">
        <v>1.590277777777778E-2</v>
      </c>
      <c r="L2126" s="13"/>
    </row>
    <row r="2127" spans="1:12" x14ac:dyDescent="0.25">
      <c r="A2127" s="3" t="s">
        <v>5301</v>
      </c>
      <c r="B2127" s="3" t="s">
        <v>5386</v>
      </c>
      <c r="C2127" s="3" t="s">
        <v>226</v>
      </c>
      <c r="D2127" s="9">
        <v>193.1</v>
      </c>
      <c r="E2127" s="3"/>
      <c r="F2127" s="3"/>
      <c r="G2127" s="9"/>
      <c r="H2127" s="10">
        <v>45667.31658564815</v>
      </c>
      <c r="I2127" s="10">
        <v>45667.317453703698</v>
      </c>
      <c r="J2127" s="10">
        <v>45667.319814814808</v>
      </c>
      <c r="K2127" s="11">
        <v>2.3611111111111111E-3</v>
      </c>
      <c r="L2127" s="13"/>
    </row>
    <row r="2128" spans="1:12" x14ac:dyDescent="0.25">
      <c r="A2128" s="3" t="s">
        <v>5301</v>
      </c>
      <c r="B2128" s="3" t="s">
        <v>5387</v>
      </c>
      <c r="C2128" s="3" t="s">
        <v>227</v>
      </c>
      <c r="D2128" s="9">
        <v>380.8</v>
      </c>
      <c r="E2128" s="3"/>
      <c r="F2128" s="3"/>
      <c r="G2128" s="9"/>
      <c r="H2128" s="10">
        <v>45667.338263888887</v>
      </c>
      <c r="I2128" s="10">
        <v>45667.339143518519</v>
      </c>
      <c r="J2128" s="10">
        <v>45667.34171296296</v>
      </c>
      <c r="K2128" s="11">
        <v>2.5694444444444449E-3</v>
      </c>
      <c r="L2128" s="13"/>
    </row>
    <row r="2129" spans="1:12" x14ac:dyDescent="0.25">
      <c r="A2129" s="3" t="s">
        <v>5301</v>
      </c>
      <c r="B2129" s="3" t="s">
        <v>5388</v>
      </c>
      <c r="C2129" s="3" t="s">
        <v>229</v>
      </c>
      <c r="D2129" s="9">
        <v>206.3</v>
      </c>
      <c r="E2129" s="3"/>
      <c r="F2129" s="3"/>
      <c r="G2129" s="9"/>
      <c r="H2129" s="10">
        <v>45667.3825</v>
      </c>
      <c r="I2129" s="10">
        <v>45667.383368055547</v>
      </c>
      <c r="J2129" s="10">
        <v>45667.388425925928</v>
      </c>
      <c r="K2129" s="11">
        <v>5.0578703703703714E-3</v>
      </c>
      <c r="L2129" s="13"/>
    </row>
    <row r="2130" spans="1:12" x14ac:dyDescent="0.25">
      <c r="A2130" s="3" t="s">
        <v>5301</v>
      </c>
      <c r="B2130" s="3" t="s">
        <v>5389</v>
      </c>
      <c r="C2130" s="3" t="s">
        <v>228</v>
      </c>
      <c r="D2130" s="9">
        <v>588.4</v>
      </c>
      <c r="E2130" s="3"/>
      <c r="F2130" s="3"/>
      <c r="G2130" s="9"/>
      <c r="H2130" s="10">
        <v>45667.387280092589</v>
      </c>
      <c r="I2130" s="10">
        <v>45667.389305555553</v>
      </c>
      <c r="J2130" s="10">
        <v>45667.409224537027</v>
      </c>
      <c r="K2130" s="11">
        <v>1.9918981481481478E-2</v>
      </c>
      <c r="L2130" s="13"/>
    </row>
    <row r="2131" spans="1:12" x14ac:dyDescent="0.25">
      <c r="A2131" s="3" t="s">
        <v>5301</v>
      </c>
      <c r="B2131" s="3" t="s">
        <v>5390</v>
      </c>
      <c r="C2131" s="3" t="s">
        <v>230</v>
      </c>
      <c r="D2131" s="9">
        <v>259.7</v>
      </c>
      <c r="E2131" s="3"/>
      <c r="F2131" s="3"/>
      <c r="G2131" s="9"/>
      <c r="H2131" s="10">
        <v>45667.436863425923</v>
      </c>
      <c r="I2131" s="10">
        <v>45667.437650462962</v>
      </c>
      <c r="J2131" s="10">
        <v>45667.440127314818</v>
      </c>
      <c r="K2131" s="11">
        <v>2.476851851851852E-3</v>
      </c>
      <c r="L2131" s="13"/>
    </row>
    <row r="2132" spans="1:12" x14ac:dyDescent="0.25">
      <c r="A2132" s="3" t="s">
        <v>5301</v>
      </c>
      <c r="B2132" s="3" t="s">
        <v>5391</v>
      </c>
      <c r="C2132" s="3" t="s">
        <v>231</v>
      </c>
      <c r="D2132" s="9">
        <v>95.3</v>
      </c>
      <c r="E2132" s="3"/>
      <c r="F2132" s="3"/>
      <c r="G2132" s="9"/>
      <c r="H2132" s="10">
        <v>45667.55028935185</v>
      </c>
      <c r="I2132" s="10">
        <v>45667.551168981481</v>
      </c>
      <c r="J2132" s="10">
        <v>45667.552627314813</v>
      </c>
      <c r="K2132" s="11">
        <v>1.458333333333333E-3</v>
      </c>
      <c r="L2132" s="13"/>
    </row>
    <row r="2133" spans="1:12" x14ac:dyDescent="0.25">
      <c r="A2133" s="3" t="s">
        <v>5301</v>
      </c>
      <c r="B2133" s="3" t="s">
        <v>5392</v>
      </c>
      <c r="C2133" s="3" t="s">
        <v>232</v>
      </c>
      <c r="D2133" s="9">
        <v>23.2</v>
      </c>
      <c r="E2133" s="3"/>
      <c r="F2133" s="3"/>
      <c r="G2133" s="9"/>
      <c r="H2133" s="10">
        <v>45667.595590277779</v>
      </c>
      <c r="I2133" s="10">
        <v>45667.596388888887</v>
      </c>
      <c r="J2133" s="10">
        <v>45667.598032407397</v>
      </c>
      <c r="K2133" s="11">
        <v>1.643518518518519E-3</v>
      </c>
      <c r="L2133" s="13"/>
    </row>
    <row r="2134" spans="1:12" x14ac:dyDescent="0.25">
      <c r="A2134" s="3" t="s">
        <v>5301</v>
      </c>
      <c r="B2134" s="3" t="s">
        <v>5393</v>
      </c>
      <c r="C2134" s="3" t="s">
        <v>233</v>
      </c>
      <c r="D2134" s="9">
        <v>393.5</v>
      </c>
      <c r="E2134" s="3"/>
      <c r="F2134" s="3"/>
      <c r="G2134" s="9"/>
      <c r="H2134" s="10">
        <v>45667.625648148147</v>
      </c>
      <c r="I2134" s="10">
        <v>45667.626527777778</v>
      </c>
      <c r="J2134" s="10">
        <v>45667.629317129627</v>
      </c>
      <c r="K2134" s="11">
        <v>2.7893518518518519E-3</v>
      </c>
      <c r="L2134" s="13"/>
    </row>
    <row r="2135" spans="1:12" x14ac:dyDescent="0.25">
      <c r="A2135" s="3" t="s">
        <v>5301</v>
      </c>
      <c r="B2135" s="3" t="s">
        <v>5394</v>
      </c>
      <c r="C2135" s="3" t="s">
        <v>234</v>
      </c>
      <c r="D2135" s="9">
        <v>302.10000000000002</v>
      </c>
      <c r="E2135" s="3"/>
      <c r="F2135" s="3"/>
      <c r="G2135" s="9"/>
      <c r="H2135" s="10">
        <v>45667.735949074071</v>
      </c>
      <c r="I2135" s="10">
        <v>45667.736747685187</v>
      </c>
      <c r="J2135" s="10">
        <v>45667.738680555558</v>
      </c>
      <c r="K2135" s="11">
        <v>1.93287037037037E-3</v>
      </c>
      <c r="L2135" s="13"/>
    </row>
    <row r="2136" spans="1:12" x14ac:dyDescent="0.25">
      <c r="A2136" s="3" t="s">
        <v>5301</v>
      </c>
      <c r="B2136" s="3" t="s">
        <v>5395</v>
      </c>
      <c r="C2136" s="3" t="s">
        <v>235</v>
      </c>
      <c r="D2136" s="9">
        <v>577.6</v>
      </c>
      <c r="E2136" s="3"/>
      <c r="F2136" s="3"/>
      <c r="G2136" s="9"/>
      <c r="H2136" s="10">
        <v>45667.758101851847</v>
      </c>
      <c r="I2136" s="10">
        <v>45667.758888888893</v>
      </c>
      <c r="J2136" s="10">
        <v>45667.779398148137</v>
      </c>
      <c r="K2136" s="11">
        <v>2.0509259259259258E-2</v>
      </c>
      <c r="L2136" s="13"/>
    </row>
    <row r="2137" spans="1:12" x14ac:dyDescent="0.25">
      <c r="A2137" s="3" t="s">
        <v>5301</v>
      </c>
      <c r="B2137" s="3" t="s">
        <v>5396</v>
      </c>
      <c r="C2137" s="3" t="s">
        <v>236</v>
      </c>
      <c r="D2137" s="9">
        <v>300.5</v>
      </c>
      <c r="E2137" s="3"/>
      <c r="F2137" s="3"/>
      <c r="G2137" s="9"/>
      <c r="H2137" s="10">
        <v>45667.856122685182</v>
      </c>
      <c r="I2137" s="10">
        <v>45667.856990740736</v>
      </c>
      <c r="J2137" s="10">
        <v>45667.870520833327</v>
      </c>
      <c r="K2137" s="11">
        <v>1.353009259259259E-2</v>
      </c>
      <c r="L2137" s="13"/>
    </row>
    <row r="2138" spans="1:12" x14ac:dyDescent="0.25">
      <c r="A2138" s="3" t="s">
        <v>5301</v>
      </c>
      <c r="B2138" s="3" t="s">
        <v>5397</v>
      </c>
      <c r="C2138" s="3" t="s">
        <v>237</v>
      </c>
      <c r="D2138" s="9">
        <v>366.6</v>
      </c>
      <c r="E2138" s="3"/>
      <c r="F2138" s="3"/>
      <c r="G2138" s="9"/>
      <c r="H2138" s="10">
        <v>45668.217060185183</v>
      </c>
      <c r="I2138" s="10">
        <v>45668.217928240738</v>
      </c>
      <c r="J2138" s="10">
        <v>45668.223923611113</v>
      </c>
      <c r="K2138" s="11">
        <v>5.9953703703703714E-3</v>
      </c>
      <c r="L2138" s="13"/>
    </row>
    <row r="2139" spans="1:12" x14ac:dyDescent="0.25">
      <c r="A2139" s="3" t="s">
        <v>5301</v>
      </c>
      <c r="B2139" s="3" t="s">
        <v>5398</v>
      </c>
      <c r="C2139" s="3" t="s">
        <v>238</v>
      </c>
      <c r="D2139" s="9">
        <v>382.7</v>
      </c>
      <c r="E2139" s="3"/>
      <c r="F2139" s="3"/>
      <c r="G2139" s="9"/>
      <c r="H2139" s="10">
        <v>45668.240300925929</v>
      </c>
      <c r="I2139" s="10">
        <v>45668.241168981483</v>
      </c>
      <c r="J2139" s="10">
        <v>45668.249108796299</v>
      </c>
      <c r="K2139" s="11">
        <v>7.9398148148148145E-3</v>
      </c>
      <c r="L2139" s="13"/>
    </row>
    <row r="2140" spans="1:12" x14ac:dyDescent="0.25">
      <c r="A2140" s="3" t="s">
        <v>5301</v>
      </c>
      <c r="B2140" s="3" t="s">
        <v>5399</v>
      </c>
      <c r="C2140" s="3" t="s">
        <v>239</v>
      </c>
      <c r="D2140" s="9">
        <v>554.1</v>
      </c>
      <c r="E2140" s="3"/>
      <c r="F2140" s="3"/>
      <c r="G2140" s="9"/>
      <c r="H2140" s="10">
        <v>45669.748865740738</v>
      </c>
      <c r="I2140" s="10">
        <v>45669.749745370369</v>
      </c>
      <c r="J2140" s="10">
        <v>45669.755891203713</v>
      </c>
      <c r="K2140" s="11">
        <v>6.145833333333333E-3</v>
      </c>
      <c r="L2140" s="13"/>
    </row>
    <row r="2141" spans="1:12" x14ac:dyDescent="0.25">
      <c r="A2141" s="3" t="s">
        <v>5301</v>
      </c>
      <c r="B2141" s="3" t="s">
        <v>5400</v>
      </c>
      <c r="C2141" s="3" t="s">
        <v>240</v>
      </c>
      <c r="D2141" s="9">
        <v>208.1</v>
      </c>
      <c r="E2141" s="3"/>
      <c r="F2141" s="3"/>
      <c r="G2141" s="9"/>
      <c r="H2141" s="10">
        <v>45669.842592592591</v>
      </c>
      <c r="I2141" s="10">
        <v>45669.843460648153</v>
      </c>
      <c r="J2141" s="10">
        <v>45669.847175925926</v>
      </c>
      <c r="K2141" s="11">
        <v>3.7152777777777778E-3</v>
      </c>
      <c r="L2141" s="13"/>
    </row>
    <row r="2142" spans="1:12" x14ac:dyDescent="0.25">
      <c r="A2142" s="3" t="s">
        <v>5301</v>
      </c>
      <c r="B2142" s="3" t="s">
        <v>5401</v>
      </c>
      <c r="C2142" s="3" t="s">
        <v>241</v>
      </c>
      <c r="D2142" s="9">
        <v>181.5</v>
      </c>
      <c r="E2142" s="3"/>
      <c r="F2142" s="3"/>
      <c r="G2142" s="9"/>
      <c r="H2142" s="10">
        <v>45670.110706018517</v>
      </c>
      <c r="I2142" s="10">
        <v>45670.111585648148</v>
      </c>
      <c r="J2142" s="10">
        <v>45670.114942129629</v>
      </c>
      <c r="K2142" s="11">
        <v>3.356481481481482E-3</v>
      </c>
      <c r="L2142" s="13"/>
    </row>
    <row r="2143" spans="1:12" x14ac:dyDescent="0.25">
      <c r="A2143" s="3" t="s">
        <v>5301</v>
      </c>
      <c r="B2143" s="3" t="s">
        <v>5402</v>
      </c>
      <c r="C2143" s="3" t="s">
        <v>242</v>
      </c>
      <c r="D2143" s="9">
        <v>301.2</v>
      </c>
      <c r="E2143" s="3"/>
      <c r="F2143" s="3"/>
      <c r="G2143" s="9"/>
      <c r="H2143" s="10">
        <v>45670.194004629629</v>
      </c>
      <c r="I2143" s="10">
        <v>45670.194872685177</v>
      </c>
      <c r="J2143" s="10">
        <v>45670.197557870371</v>
      </c>
      <c r="K2143" s="11">
        <v>2.685185185185185E-3</v>
      </c>
      <c r="L2143" s="13"/>
    </row>
    <row r="2144" spans="1:12" x14ac:dyDescent="0.25">
      <c r="A2144" s="3" t="s">
        <v>5301</v>
      </c>
      <c r="B2144" s="3" t="s">
        <v>5403</v>
      </c>
      <c r="C2144" s="3" t="s">
        <v>243</v>
      </c>
      <c r="D2144" s="9">
        <v>298</v>
      </c>
      <c r="E2144" s="3"/>
      <c r="F2144" s="3"/>
      <c r="G2144" s="9"/>
      <c r="H2144" s="10">
        <v>45670.260798611111</v>
      </c>
      <c r="I2144" s="10">
        <v>45670.261678240742</v>
      </c>
      <c r="J2144" s="10">
        <v>45670.264363425929</v>
      </c>
      <c r="K2144" s="11">
        <v>2.685185185185185E-3</v>
      </c>
      <c r="L2144" s="13"/>
    </row>
    <row r="2145" spans="1:12" x14ac:dyDescent="0.25">
      <c r="A2145" s="3" t="s">
        <v>5301</v>
      </c>
      <c r="B2145" s="3" t="s">
        <v>5404</v>
      </c>
      <c r="C2145" s="3" t="s">
        <v>244</v>
      </c>
      <c r="D2145" s="9">
        <v>205.5</v>
      </c>
      <c r="E2145" s="3"/>
      <c r="F2145" s="3"/>
      <c r="G2145" s="9"/>
      <c r="H2145" s="10">
        <v>45670.299687500003</v>
      </c>
      <c r="I2145" s="10">
        <v>45670.300555555557</v>
      </c>
      <c r="J2145" s="10">
        <v>45670.302719907413</v>
      </c>
      <c r="K2145" s="11">
        <v>2.1643518518518522E-3</v>
      </c>
      <c r="L2145" s="13"/>
    </row>
    <row r="2146" spans="1:12" x14ac:dyDescent="0.25">
      <c r="A2146" s="3" t="s">
        <v>5301</v>
      </c>
      <c r="B2146" s="3" t="s">
        <v>5405</v>
      </c>
      <c r="C2146" s="3" t="s">
        <v>245</v>
      </c>
      <c r="D2146" s="9">
        <v>397.3</v>
      </c>
      <c r="E2146" s="3"/>
      <c r="F2146" s="3"/>
      <c r="G2146" s="9"/>
      <c r="H2146" s="10">
        <v>45670.310150462959</v>
      </c>
      <c r="I2146" s="10">
        <v>45670.311018518521</v>
      </c>
      <c r="J2146" s="10">
        <v>45670.313831018517</v>
      </c>
      <c r="K2146" s="11">
        <v>2.8124999999999999E-3</v>
      </c>
      <c r="L2146" s="13"/>
    </row>
    <row r="2147" spans="1:12" x14ac:dyDescent="0.25">
      <c r="A2147" s="3" t="s">
        <v>5301</v>
      </c>
      <c r="B2147" s="3" t="s">
        <v>5406</v>
      </c>
      <c r="C2147" s="3" t="s">
        <v>246</v>
      </c>
      <c r="D2147" s="9">
        <v>497.3</v>
      </c>
      <c r="E2147" s="3"/>
      <c r="F2147" s="3"/>
      <c r="G2147" s="9"/>
      <c r="H2147" s="10">
        <v>45670.328043981477</v>
      </c>
      <c r="I2147" s="10">
        <v>45670.328912037039</v>
      </c>
      <c r="J2147" s="10">
        <v>45670.351666666669</v>
      </c>
      <c r="K2147" s="11">
        <v>2.2754629629629632E-2</v>
      </c>
      <c r="L2147" s="13"/>
    </row>
    <row r="2148" spans="1:12" x14ac:dyDescent="0.25">
      <c r="A2148" s="3" t="s">
        <v>5301</v>
      </c>
      <c r="B2148" s="3" t="s">
        <v>5407</v>
      </c>
      <c r="C2148" s="3" t="s">
        <v>247</v>
      </c>
      <c r="D2148" s="9">
        <v>393.8</v>
      </c>
      <c r="E2148" s="3"/>
      <c r="F2148" s="3"/>
      <c r="G2148" s="9"/>
      <c r="H2148" s="10">
        <v>45670.384375000001</v>
      </c>
      <c r="I2148" s="10">
        <v>45670.385243055563</v>
      </c>
      <c r="J2148" s="10">
        <v>45670.389386574083</v>
      </c>
      <c r="K2148" s="11">
        <v>4.1435185185185186E-3</v>
      </c>
      <c r="L2148" s="13"/>
    </row>
    <row r="2149" spans="1:12" x14ac:dyDescent="0.25">
      <c r="A2149" s="3" t="s">
        <v>5301</v>
      </c>
      <c r="B2149" s="3" t="s">
        <v>5408</v>
      </c>
      <c r="C2149" s="3" t="s">
        <v>248</v>
      </c>
      <c r="D2149" s="9">
        <v>445.3</v>
      </c>
      <c r="E2149" s="3"/>
      <c r="F2149" s="3"/>
      <c r="G2149" s="9"/>
      <c r="H2149" s="10">
        <v>45670.394270833327</v>
      </c>
      <c r="I2149" s="10">
        <v>45670.395138888889</v>
      </c>
      <c r="J2149" s="10">
        <v>45670.41101851852</v>
      </c>
      <c r="K2149" s="11">
        <v>1.5879629629629629E-2</v>
      </c>
      <c r="L2149" s="13"/>
    </row>
    <row r="2150" spans="1:12" x14ac:dyDescent="0.25">
      <c r="A2150" s="3" t="s">
        <v>5301</v>
      </c>
      <c r="B2150" s="3" t="s">
        <v>5409</v>
      </c>
      <c r="C2150" s="3" t="s">
        <v>249</v>
      </c>
      <c r="D2150" s="9">
        <v>407.9</v>
      </c>
      <c r="E2150" s="3"/>
      <c r="F2150" s="3"/>
      <c r="G2150" s="9"/>
      <c r="H2150" s="10">
        <v>45670.429965277777</v>
      </c>
      <c r="I2150" s="10">
        <v>45670.430833333332</v>
      </c>
      <c r="J2150" s="10">
        <v>45670.436631944453</v>
      </c>
      <c r="K2150" s="11">
        <v>5.7986111111111112E-3</v>
      </c>
      <c r="L2150" s="13"/>
    </row>
    <row r="2151" spans="1:12" x14ac:dyDescent="0.25">
      <c r="A2151" s="3" t="s">
        <v>5301</v>
      </c>
      <c r="B2151" s="3" t="s">
        <v>5410</v>
      </c>
      <c r="C2151" s="3" t="s">
        <v>250</v>
      </c>
      <c r="D2151" s="9">
        <v>234.9</v>
      </c>
      <c r="E2151" s="3"/>
      <c r="F2151" s="3"/>
      <c r="G2151" s="9"/>
      <c r="H2151" s="10">
        <v>45670.518240740741</v>
      </c>
      <c r="I2151" s="10">
        <v>45670.519108796303</v>
      </c>
      <c r="J2151" s="10">
        <v>45670.520902777767</v>
      </c>
      <c r="K2151" s="11">
        <v>1.793981481481481E-3</v>
      </c>
      <c r="L2151" s="13"/>
    </row>
    <row r="2152" spans="1:12" x14ac:dyDescent="0.25">
      <c r="A2152" s="3" t="s">
        <v>5301</v>
      </c>
      <c r="B2152" s="3" t="s">
        <v>5411</v>
      </c>
      <c r="C2152" s="3" t="s">
        <v>251</v>
      </c>
      <c r="D2152" s="9">
        <v>388.3</v>
      </c>
      <c r="E2152" s="3"/>
      <c r="F2152" s="3"/>
      <c r="G2152" s="9"/>
      <c r="H2152" s="10">
        <v>45670.610532407409</v>
      </c>
      <c r="I2152" s="10">
        <v>45670.611400462964</v>
      </c>
      <c r="J2152" s="10">
        <v>45670.613425925927</v>
      </c>
      <c r="K2152" s="11">
        <v>2.0254629629629629E-3</v>
      </c>
      <c r="L2152" s="13"/>
    </row>
    <row r="2153" spans="1:12" x14ac:dyDescent="0.25">
      <c r="A2153" s="3" t="s">
        <v>5301</v>
      </c>
      <c r="B2153" s="3" t="s">
        <v>5412</v>
      </c>
      <c r="C2153" s="3" t="s">
        <v>252</v>
      </c>
      <c r="D2153" s="9">
        <v>367.5</v>
      </c>
      <c r="E2153" s="3"/>
      <c r="F2153" s="3"/>
      <c r="G2153" s="9"/>
      <c r="H2153" s="10">
        <v>45670.633564814823</v>
      </c>
      <c r="I2153" s="10">
        <v>45670.634432870371</v>
      </c>
      <c r="J2153" s="10">
        <v>45670.654537037037</v>
      </c>
      <c r="K2153" s="11">
        <v>2.0104166666666669E-2</v>
      </c>
      <c r="L2153" s="13"/>
    </row>
    <row r="2154" spans="1:12" x14ac:dyDescent="0.25">
      <c r="A2154" s="3" t="s">
        <v>5301</v>
      </c>
      <c r="B2154" s="3" t="s">
        <v>5413</v>
      </c>
      <c r="C2154" s="3" t="s">
        <v>253</v>
      </c>
      <c r="D2154" s="9">
        <v>393.5</v>
      </c>
      <c r="E2154" s="3"/>
      <c r="F2154" s="3"/>
      <c r="G2154" s="9"/>
      <c r="H2154" s="10">
        <v>45670.647291666668</v>
      </c>
      <c r="I2154" s="10">
        <v>45670.655405092592</v>
      </c>
      <c r="J2154" s="10">
        <v>45670.657638888893</v>
      </c>
      <c r="K2154" s="11">
        <v>2.2337962962962958E-3</v>
      </c>
      <c r="L2154" s="13"/>
    </row>
    <row r="2155" spans="1:12" x14ac:dyDescent="0.25">
      <c r="A2155" s="3" t="s">
        <v>5301</v>
      </c>
      <c r="B2155" s="3" t="s">
        <v>5414</v>
      </c>
      <c r="C2155" s="3" t="s">
        <v>254</v>
      </c>
      <c r="D2155" s="9">
        <v>387.6</v>
      </c>
      <c r="E2155" s="3"/>
      <c r="F2155" s="3"/>
      <c r="G2155" s="9"/>
      <c r="H2155" s="10">
        <v>45670.676793981482</v>
      </c>
      <c r="I2155" s="10">
        <v>45670.677662037036</v>
      </c>
      <c r="J2155" s="10">
        <v>45670.682245370372</v>
      </c>
      <c r="K2155" s="11">
        <v>4.5833333333333334E-3</v>
      </c>
      <c r="L2155" s="13"/>
    </row>
    <row r="2156" spans="1:12" x14ac:dyDescent="0.25">
      <c r="A2156" s="3" t="s">
        <v>5301</v>
      </c>
      <c r="B2156" s="3" t="s">
        <v>5415</v>
      </c>
      <c r="C2156" s="3" t="s">
        <v>255</v>
      </c>
      <c r="D2156" s="9">
        <v>185.9</v>
      </c>
      <c r="E2156" s="3"/>
      <c r="F2156" s="3"/>
      <c r="G2156" s="9"/>
      <c r="H2156" s="10">
        <v>45670.733067129629</v>
      </c>
      <c r="I2156" s="10">
        <v>45670.733935185177</v>
      </c>
      <c r="J2156" s="10">
        <v>45670.735486111109</v>
      </c>
      <c r="K2156" s="11">
        <v>1.5509259259259261E-3</v>
      </c>
      <c r="L2156" s="13"/>
    </row>
    <row r="2157" spans="1:12" x14ac:dyDescent="0.25">
      <c r="A2157" s="3" t="s">
        <v>5301</v>
      </c>
      <c r="B2157" s="3" t="s">
        <v>5416</v>
      </c>
      <c r="C2157" s="3" t="s">
        <v>256</v>
      </c>
      <c r="D2157" s="9">
        <v>389.1</v>
      </c>
      <c r="E2157" s="3"/>
      <c r="F2157" s="3"/>
      <c r="G2157" s="9"/>
      <c r="H2157" s="10">
        <v>45670.886307870373</v>
      </c>
      <c r="I2157" s="10">
        <v>45670.887175925927</v>
      </c>
      <c r="J2157" s="10">
        <v>45670.889201388891</v>
      </c>
      <c r="K2157" s="11">
        <v>2.0254629629629629E-3</v>
      </c>
      <c r="L2157" s="13"/>
    </row>
    <row r="2158" spans="1:12" x14ac:dyDescent="0.25">
      <c r="A2158" s="3" t="s">
        <v>5301</v>
      </c>
      <c r="B2158" s="3" t="s">
        <v>5417</v>
      </c>
      <c r="C2158" s="3" t="s">
        <v>257</v>
      </c>
      <c r="D2158" s="9">
        <v>147.4</v>
      </c>
      <c r="E2158" s="3"/>
      <c r="F2158" s="3"/>
      <c r="G2158" s="9"/>
      <c r="H2158" s="10">
        <v>45671.111342592587</v>
      </c>
      <c r="I2158" s="10">
        <v>45671.112210648149</v>
      </c>
      <c r="J2158" s="10">
        <v>45671.11928240741</v>
      </c>
      <c r="K2158" s="11">
        <v>7.0717592592592594E-3</v>
      </c>
      <c r="L2158" s="13"/>
    </row>
    <row r="2159" spans="1:12" x14ac:dyDescent="0.25">
      <c r="A2159" s="3" t="s">
        <v>5301</v>
      </c>
      <c r="B2159" s="3" t="s">
        <v>5418</v>
      </c>
      <c r="C2159" s="3" t="s">
        <v>258</v>
      </c>
      <c r="D2159" s="9">
        <v>297</v>
      </c>
      <c r="E2159" s="3"/>
      <c r="F2159" s="3"/>
      <c r="G2159" s="9"/>
      <c r="H2159" s="10">
        <v>45671.278043981481</v>
      </c>
      <c r="I2159" s="10">
        <v>45671.278912037043</v>
      </c>
      <c r="J2159" s="10">
        <v>45671.280729166669</v>
      </c>
      <c r="K2159" s="11">
        <v>1.8171296296296299E-3</v>
      </c>
      <c r="L2159" s="13"/>
    </row>
    <row r="2160" spans="1:12" x14ac:dyDescent="0.25">
      <c r="A2160" s="3" t="s">
        <v>5301</v>
      </c>
      <c r="B2160" s="3" t="s">
        <v>5419</v>
      </c>
      <c r="C2160" s="3" t="s">
        <v>259</v>
      </c>
      <c r="D2160" s="9">
        <v>363.8</v>
      </c>
      <c r="E2160" s="3"/>
      <c r="F2160" s="3"/>
      <c r="G2160" s="9"/>
      <c r="H2160" s="10">
        <v>45671.289965277778</v>
      </c>
      <c r="I2160" s="10">
        <v>45671.290833333333</v>
      </c>
      <c r="J2160" s="10">
        <v>45671.303194444437</v>
      </c>
      <c r="K2160" s="11">
        <v>1.2361111111111109E-2</v>
      </c>
      <c r="L2160" s="13"/>
    </row>
    <row r="2161" spans="1:12" x14ac:dyDescent="0.25">
      <c r="A2161" s="3" t="s">
        <v>5301</v>
      </c>
      <c r="B2161" s="3" t="s">
        <v>5420</v>
      </c>
      <c r="C2161" s="3" t="s">
        <v>260</v>
      </c>
      <c r="D2161" s="9">
        <v>213.8</v>
      </c>
      <c r="E2161" s="3"/>
      <c r="F2161" s="3"/>
      <c r="G2161" s="9"/>
      <c r="H2161" s="10">
        <v>45671.311990740738</v>
      </c>
      <c r="I2161" s="10">
        <v>45671.312719907408</v>
      </c>
      <c r="J2161" s="10">
        <v>45671.31490740741</v>
      </c>
      <c r="K2161" s="11">
        <v>2.1875000000000002E-3</v>
      </c>
      <c r="L2161" s="13"/>
    </row>
    <row r="2162" spans="1:12" x14ac:dyDescent="0.25">
      <c r="A2162" s="3" t="s">
        <v>5301</v>
      </c>
      <c r="B2162" s="3" t="s">
        <v>5421</v>
      </c>
      <c r="C2162" s="3" t="s">
        <v>261</v>
      </c>
      <c r="D2162" s="9">
        <v>389.8</v>
      </c>
      <c r="E2162" s="3"/>
      <c r="F2162" s="3"/>
      <c r="G2162" s="9"/>
      <c r="H2162" s="10">
        <v>45671.341724537036</v>
      </c>
      <c r="I2162" s="10">
        <v>45671.342604166668</v>
      </c>
      <c r="J2162" s="10">
        <v>45671.34474537037</v>
      </c>
      <c r="K2162" s="11">
        <v>2.1412037037037042E-3</v>
      </c>
      <c r="L2162" s="13"/>
    </row>
    <row r="2163" spans="1:12" x14ac:dyDescent="0.25">
      <c r="A2163" s="3" t="s">
        <v>5301</v>
      </c>
      <c r="B2163" s="3" t="s">
        <v>5422</v>
      </c>
      <c r="C2163" s="3" t="s">
        <v>263</v>
      </c>
      <c r="D2163" s="9">
        <v>393.9</v>
      </c>
      <c r="E2163" s="3"/>
      <c r="F2163" s="3"/>
      <c r="G2163" s="9"/>
      <c r="H2163" s="10">
        <v>45671.388356481482</v>
      </c>
      <c r="I2163" s="10">
        <v>45671.389224537037</v>
      </c>
      <c r="J2163" s="10">
        <v>45671.395462962973</v>
      </c>
      <c r="K2163" s="11">
        <v>6.2384259259259259E-3</v>
      </c>
      <c r="L2163" s="13"/>
    </row>
    <row r="2164" spans="1:12" x14ac:dyDescent="0.25">
      <c r="A2164" s="3" t="s">
        <v>5301</v>
      </c>
      <c r="B2164" s="3" t="s">
        <v>5423</v>
      </c>
      <c r="C2164" s="3" t="s">
        <v>262</v>
      </c>
      <c r="D2164" s="9">
        <v>591.6</v>
      </c>
      <c r="E2164" s="3"/>
      <c r="F2164" s="3"/>
      <c r="G2164" s="9"/>
      <c r="H2164" s="10">
        <v>45671.397465277783</v>
      </c>
      <c r="I2164" s="10">
        <v>45671.398333333331</v>
      </c>
      <c r="J2164" s="10">
        <v>45671.420717592591</v>
      </c>
      <c r="K2164" s="11">
        <v>2.238425925925926E-2</v>
      </c>
      <c r="L2164" s="13"/>
    </row>
    <row r="2165" spans="1:12" x14ac:dyDescent="0.25">
      <c r="A2165" s="3" t="s">
        <v>5301</v>
      </c>
      <c r="B2165" s="3" t="s">
        <v>5424</v>
      </c>
      <c r="C2165" s="3" t="s">
        <v>264</v>
      </c>
      <c r="D2165" s="9">
        <v>439.7</v>
      </c>
      <c r="E2165" s="3"/>
      <c r="F2165" s="3"/>
      <c r="G2165" s="9"/>
      <c r="H2165" s="10">
        <v>45671.419120370367</v>
      </c>
      <c r="I2165" s="10">
        <v>45671.421585648153</v>
      </c>
      <c r="J2165" s="10">
        <v>45671.425416666672</v>
      </c>
      <c r="K2165" s="11">
        <v>3.8310185185185179E-3</v>
      </c>
      <c r="L2165" s="13"/>
    </row>
    <row r="2166" spans="1:12" x14ac:dyDescent="0.25">
      <c r="A2166" s="3" t="s">
        <v>5301</v>
      </c>
      <c r="B2166" s="3" t="s">
        <v>5425</v>
      </c>
      <c r="C2166" s="3" t="s">
        <v>265</v>
      </c>
      <c r="D2166" s="9">
        <v>297.8</v>
      </c>
      <c r="E2166" s="3"/>
      <c r="F2166" s="3"/>
      <c r="G2166" s="9"/>
      <c r="H2166" s="10">
        <v>45671.542939814812</v>
      </c>
      <c r="I2166" s="10">
        <v>45671.543807870366</v>
      </c>
      <c r="J2166" s="10">
        <v>45671.545844907407</v>
      </c>
      <c r="K2166" s="11">
        <v>2.0370370370370369E-3</v>
      </c>
      <c r="L2166" s="13"/>
    </row>
    <row r="2167" spans="1:12" x14ac:dyDescent="0.25">
      <c r="A2167" s="3" t="s">
        <v>5301</v>
      </c>
      <c r="B2167" s="3" t="s">
        <v>5426</v>
      </c>
      <c r="C2167" s="3" t="s">
        <v>266</v>
      </c>
      <c r="D2167" s="9">
        <v>225.6</v>
      </c>
      <c r="E2167" s="3"/>
      <c r="F2167" s="3"/>
      <c r="G2167" s="9"/>
      <c r="H2167" s="10">
        <v>45671.60628472222</v>
      </c>
      <c r="I2167" s="10">
        <v>45671.607152777768</v>
      </c>
      <c r="J2167" s="10">
        <v>45671.609027777777</v>
      </c>
      <c r="K2167" s="11">
        <v>1.8749999999999999E-3</v>
      </c>
      <c r="L2167" s="13"/>
    </row>
    <row r="2168" spans="1:12" x14ac:dyDescent="0.25">
      <c r="A2168" s="3" t="s">
        <v>5301</v>
      </c>
      <c r="B2168" s="3" t="s">
        <v>5427</v>
      </c>
      <c r="C2168" s="3" t="s">
        <v>267</v>
      </c>
      <c r="D2168" s="9">
        <v>584.6</v>
      </c>
      <c r="E2168" s="3"/>
      <c r="F2168" s="3"/>
      <c r="G2168" s="9"/>
      <c r="H2168" s="10">
        <v>45671.641030092593</v>
      </c>
      <c r="I2168" s="10">
        <v>45671.641898148147</v>
      </c>
      <c r="J2168" s="10">
        <v>45671.660462962973</v>
      </c>
      <c r="K2168" s="11">
        <v>1.8564814814814819E-2</v>
      </c>
      <c r="L2168" s="13"/>
    </row>
    <row r="2169" spans="1:12" x14ac:dyDescent="0.25">
      <c r="A2169" s="3" t="s">
        <v>5301</v>
      </c>
      <c r="B2169" s="3" t="s">
        <v>5428</v>
      </c>
      <c r="C2169" s="3" t="s">
        <v>268</v>
      </c>
      <c r="D2169" s="9">
        <v>173.1</v>
      </c>
      <c r="E2169" s="3"/>
      <c r="F2169" s="3"/>
      <c r="G2169" s="9"/>
      <c r="H2169" s="10">
        <v>45671.650219907409</v>
      </c>
      <c r="I2169" s="10">
        <v>45671.66133101852</v>
      </c>
      <c r="J2169" s="10">
        <v>45671.663425925923</v>
      </c>
      <c r="K2169" s="11">
        <v>2.0949074074074069E-3</v>
      </c>
      <c r="L2169" s="13"/>
    </row>
    <row r="2170" spans="1:12" x14ac:dyDescent="0.25">
      <c r="A2170" s="3" t="s">
        <v>5301</v>
      </c>
      <c r="B2170" s="3" t="s">
        <v>5429</v>
      </c>
      <c r="C2170" s="3" t="s">
        <v>269</v>
      </c>
      <c r="D2170" s="9">
        <v>40.9</v>
      </c>
      <c r="E2170" s="3"/>
      <c r="F2170" s="3"/>
      <c r="G2170" s="9"/>
      <c r="H2170" s="10">
        <v>45671.656597222223</v>
      </c>
      <c r="I2170" s="10">
        <v>45671.664293981477</v>
      </c>
      <c r="J2170" s="10">
        <v>45671.666319444441</v>
      </c>
      <c r="K2170" s="11">
        <v>2.0254629629629629E-3</v>
      </c>
      <c r="L2170" s="13"/>
    </row>
    <row r="2171" spans="1:12" x14ac:dyDescent="0.25">
      <c r="A2171" s="3" t="s">
        <v>5301</v>
      </c>
      <c r="B2171" s="3" t="s">
        <v>5430</v>
      </c>
      <c r="C2171" s="3" t="s">
        <v>271</v>
      </c>
      <c r="D2171" s="9">
        <v>63</v>
      </c>
      <c r="E2171" s="3"/>
      <c r="F2171" s="3"/>
      <c r="G2171" s="9"/>
      <c r="H2171" s="10">
        <v>45671.749224537038</v>
      </c>
      <c r="I2171" s="10">
        <v>45671.750104166669</v>
      </c>
      <c r="J2171" s="10">
        <v>45671.752187500002</v>
      </c>
      <c r="K2171" s="11">
        <v>2.0833333333333329E-3</v>
      </c>
      <c r="L2171" s="13"/>
    </row>
    <row r="2172" spans="1:12" x14ac:dyDescent="0.25">
      <c r="A2172" s="3" t="s">
        <v>5301</v>
      </c>
      <c r="B2172" s="3" t="s">
        <v>5431</v>
      </c>
      <c r="C2172" s="3" t="s">
        <v>270</v>
      </c>
      <c r="D2172" s="9">
        <v>490.1</v>
      </c>
      <c r="E2172" s="3"/>
      <c r="F2172" s="3"/>
      <c r="G2172" s="9"/>
      <c r="H2172" s="10">
        <v>45671.749641203707</v>
      </c>
      <c r="I2172" s="10">
        <v>45671.753055555557</v>
      </c>
      <c r="J2172" s="10">
        <v>45671.770138888889</v>
      </c>
      <c r="K2172" s="11">
        <v>1.7083333333333329E-2</v>
      </c>
      <c r="L2172" s="13"/>
    </row>
    <row r="2173" spans="1:12" x14ac:dyDescent="0.25">
      <c r="A2173" s="3" t="s">
        <v>5301</v>
      </c>
      <c r="B2173" s="3" t="s">
        <v>5432</v>
      </c>
      <c r="C2173" s="3" t="s">
        <v>272</v>
      </c>
      <c r="D2173" s="9">
        <v>15.7</v>
      </c>
      <c r="E2173" s="3"/>
      <c r="F2173" s="3"/>
      <c r="G2173" s="9"/>
      <c r="H2173" s="10">
        <v>45671.828935185193</v>
      </c>
      <c r="I2173" s="10">
        <v>45671.829814814817</v>
      </c>
      <c r="J2173" s="10">
        <v>45671.831331018519</v>
      </c>
      <c r="K2173" s="11">
        <v>1.5162037037037041E-3</v>
      </c>
      <c r="L2173" s="13"/>
    </row>
    <row r="2174" spans="1:12" x14ac:dyDescent="0.25">
      <c r="A2174" s="3" t="s">
        <v>5301</v>
      </c>
      <c r="B2174" s="3" t="s">
        <v>5433</v>
      </c>
      <c r="C2174" s="3" t="s">
        <v>273</v>
      </c>
      <c r="D2174" s="9">
        <v>313.2</v>
      </c>
      <c r="E2174" s="3"/>
      <c r="F2174" s="3"/>
      <c r="G2174" s="9"/>
      <c r="H2174" s="10">
        <v>45672.110208333332</v>
      </c>
      <c r="I2174" s="10">
        <v>45672.111076388886</v>
      </c>
      <c r="J2174" s="10">
        <v>45672.118969907409</v>
      </c>
      <c r="K2174" s="11">
        <v>7.8935185185185185E-3</v>
      </c>
      <c r="L2174" s="13"/>
    </row>
    <row r="2175" spans="1:12" x14ac:dyDescent="0.25">
      <c r="A2175" s="3" t="s">
        <v>5301</v>
      </c>
      <c r="B2175" s="3" t="s">
        <v>5434</v>
      </c>
      <c r="C2175" s="3" t="s">
        <v>274</v>
      </c>
      <c r="D2175" s="9">
        <v>521.9</v>
      </c>
      <c r="E2175" s="3"/>
      <c r="F2175" s="3"/>
      <c r="G2175" s="9"/>
      <c r="H2175" s="10">
        <v>45672.20108796296</v>
      </c>
      <c r="I2175" s="10">
        <v>45672.201967592591</v>
      </c>
      <c r="J2175" s="10">
        <v>45672.204884259263</v>
      </c>
      <c r="K2175" s="11">
        <v>2.9166666666666668E-3</v>
      </c>
      <c r="L2175" s="13"/>
    </row>
    <row r="2176" spans="1:12" x14ac:dyDescent="0.25">
      <c r="A2176" s="3" t="s">
        <v>5301</v>
      </c>
      <c r="B2176" s="3" t="s">
        <v>5435</v>
      </c>
      <c r="C2176" s="3" t="s">
        <v>275</v>
      </c>
      <c r="D2176" s="9">
        <v>298</v>
      </c>
      <c r="E2176" s="3"/>
      <c r="F2176" s="3"/>
      <c r="G2176" s="9"/>
      <c r="H2176" s="10">
        <v>45672.277222222219</v>
      </c>
      <c r="I2176" s="10">
        <v>45672.278090277781</v>
      </c>
      <c r="J2176" s="10">
        <v>45672.279895833337</v>
      </c>
      <c r="K2176" s="11">
        <v>1.805555555555555E-3</v>
      </c>
      <c r="L2176" s="13"/>
    </row>
    <row r="2177" spans="1:12" x14ac:dyDescent="0.25">
      <c r="A2177" s="3" t="s">
        <v>5301</v>
      </c>
      <c r="B2177" s="3" t="s">
        <v>5436</v>
      </c>
      <c r="C2177" s="3" t="s">
        <v>276</v>
      </c>
      <c r="D2177" s="9">
        <v>406.3</v>
      </c>
      <c r="E2177" s="3"/>
      <c r="F2177" s="3"/>
      <c r="G2177" s="9"/>
      <c r="H2177" s="10">
        <v>45672.314606481479</v>
      </c>
      <c r="I2177" s="10">
        <v>45672.315474537027</v>
      </c>
      <c r="J2177" s="10">
        <v>45672.331666666672</v>
      </c>
      <c r="K2177" s="11">
        <v>1.6192129629629629E-2</v>
      </c>
      <c r="L2177" s="13"/>
    </row>
    <row r="2178" spans="1:12" x14ac:dyDescent="0.25">
      <c r="A2178" s="3" t="s">
        <v>5301</v>
      </c>
      <c r="B2178" s="3" t="s">
        <v>5437</v>
      </c>
      <c r="C2178" s="3" t="s">
        <v>277</v>
      </c>
      <c r="D2178" s="9">
        <v>257</v>
      </c>
      <c r="E2178" s="3"/>
      <c r="F2178" s="3"/>
      <c r="G2178" s="9"/>
      <c r="H2178" s="10">
        <v>45672.318009259259</v>
      </c>
      <c r="I2178" s="10">
        <v>45672.332546296297</v>
      </c>
      <c r="J2178" s="10">
        <v>45672.334826388891</v>
      </c>
      <c r="K2178" s="11">
        <v>2.2800925925925931E-3</v>
      </c>
      <c r="L2178" s="13"/>
    </row>
    <row r="2179" spans="1:12" x14ac:dyDescent="0.25">
      <c r="A2179" s="3" t="s">
        <v>5301</v>
      </c>
      <c r="B2179" s="3" t="s">
        <v>5438</v>
      </c>
      <c r="C2179" s="3" t="s">
        <v>278</v>
      </c>
      <c r="D2179" s="9">
        <v>374.1</v>
      </c>
      <c r="E2179" s="3"/>
      <c r="F2179" s="3"/>
      <c r="G2179" s="9"/>
      <c r="H2179" s="10">
        <v>45672.3434375</v>
      </c>
      <c r="I2179" s="10">
        <v>45672.344317129631</v>
      </c>
      <c r="J2179" s="10">
        <v>45672.34710648148</v>
      </c>
      <c r="K2179" s="11">
        <v>2.7893518518518519E-3</v>
      </c>
      <c r="L2179" s="13"/>
    </row>
    <row r="2180" spans="1:12" x14ac:dyDescent="0.25">
      <c r="A2180" s="3" t="s">
        <v>5301</v>
      </c>
      <c r="B2180" s="3" t="s">
        <v>5439</v>
      </c>
      <c r="C2180" s="3" t="s">
        <v>279</v>
      </c>
      <c r="D2180" s="9">
        <v>285.7</v>
      </c>
      <c r="E2180" s="3"/>
      <c r="F2180" s="3"/>
      <c r="G2180" s="9"/>
      <c r="H2180" s="10">
        <v>45672.384895833333</v>
      </c>
      <c r="I2180" s="10">
        <v>45672.385763888888</v>
      </c>
      <c r="J2180" s="10">
        <v>45672.399293981478</v>
      </c>
      <c r="K2180" s="11">
        <v>1.353009259259259E-2</v>
      </c>
      <c r="L2180" s="13"/>
    </row>
    <row r="2181" spans="1:12" x14ac:dyDescent="0.25">
      <c r="A2181" s="3" t="s">
        <v>5301</v>
      </c>
      <c r="B2181" s="3" t="s">
        <v>5440</v>
      </c>
      <c r="C2181" s="3" t="s">
        <v>280</v>
      </c>
      <c r="D2181" s="9">
        <v>355.3</v>
      </c>
      <c r="E2181" s="3"/>
      <c r="F2181" s="3"/>
      <c r="G2181" s="9"/>
      <c r="H2181" s="10">
        <v>45672.387129629627</v>
      </c>
      <c r="I2181" s="10">
        <v>45672.40016203704</v>
      </c>
      <c r="J2181" s="10">
        <v>45672.403634259259</v>
      </c>
      <c r="K2181" s="11">
        <v>3.472222222222222E-3</v>
      </c>
      <c r="L2181" s="13"/>
    </row>
    <row r="2182" spans="1:12" x14ac:dyDescent="0.25">
      <c r="A2182" s="3" t="s">
        <v>5301</v>
      </c>
      <c r="B2182" s="3" t="s">
        <v>5441</v>
      </c>
      <c r="C2182" s="3" t="s">
        <v>281</v>
      </c>
      <c r="D2182" s="9">
        <v>273.60000000000002</v>
      </c>
      <c r="E2182" s="3"/>
      <c r="F2182" s="3"/>
      <c r="G2182" s="9"/>
      <c r="H2182" s="10">
        <v>45672.422858796293</v>
      </c>
      <c r="I2182" s="10">
        <v>45672.423726851863</v>
      </c>
      <c r="J2182" s="10">
        <v>45672.427534722221</v>
      </c>
      <c r="K2182" s="11">
        <v>3.8078703703703699E-3</v>
      </c>
      <c r="L2182" s="13"/>
    </row>
    <row r="2183" spans="1:12" x14ac:dyDescent="0.25">
      <c r="A2183" s="3" t="s">
        <v>5301</v>
      </c>
      <c r="B2183" s="3" t="s">
        <v>5442</v>
      </c>
      <c r="C2183" s="3" t="s">
        <v>282</v>
      </c>
      <c r="D2183" s="9">
        <v>120.9</v>
      </c>
      <c r="E2183" s="3"/>
      <c r="F2183" s="3"/>
      <c r="G2183" s="9"/>
      <c r="H2183" s="10">
        <v>45672.54650462963</v>
      </c>
      <c r="I2183" s="10">
        <v>45672.547372685192</v>
      </c>
      <c r="J2183" s="10">
        <v>45672.549363425933</v>
      </c>
      <c r="K2183" s="11">
        <v>1.9907407407407408E-3</v>
      </c>
      <c r="L2183" s="13"/>
    </row>
    <row r="2184" spans="1:12" x14ac:dyDescent="0.25">
      <c r="A2184" s="3" t="s">
        <v>5301</v>
      </c>
      <c r="B2184" s="3" t="s">
        <v>5443</v>
      </c>
      <c r="C2184" s="3" t="s">
        <v>283</v>
      </c>
      <c r="D2184" s="9">
        <v>515.6</v>
      </c>
      <c r="E2184" s="3"/>
      <c r="F2184" s="3"/>
      <c r="G2184" s="9"/>
      <c r="H2184" s="10">
        <v>45672.646828703713</v>
      </c>
      <c r="I2184" s="10">
        <v>45672.647696759261</v>
      </c>
      <c r="J2184" s="10">
        <v>45672.665509259263</v>
      </c>
      <c r="K2184" s="11">
        <v>1.7812499999999998E-2</v>
      </c>
      <c r="L2184" s="13"/>
    </row>
    <row r="2185" spans="1:12" x14ac:dyDescent="0.25">
      <c r="A2185" s="3" t="s">
        <v>5301</v>
      </c>
      <c r="B2185" s="3" t="s">
        <v>5444</v>
      </c>
      <c r="C2185" s="3" t="s">
        <v>284</v>
      </c>
      <c r="D2185" s="9">
        <v>110.2</v>
      </c>
      <c r="E2185" s="3"/>
      <c r="F2185" s="3"/>
      <c r="G2185" s="9"/>
      <c r="H2185" s="10">
        <v>45672.65284722222</v>
      </c>
      <c r="I2185" s="10">
        <v>45672.666377314818</v>
      </c>
      <c r="J2185" s="10">
        <v>45672.667847222219</v>
      </c>
      <c r="K2185" s="11">
        <v>1.469907407407407E-3</v>
      </c>
      <c r="L2185" s="13"/>
    </row>
    <row r="2186" spans="1:12" x14ac:dyDescent="0.25">
      <c r="A2186" s="3" t="s">
        <v>5301</v>
      </c>
      <c r="B2186" s="3" t="s">
        <v>5445</v>
      </c>
      <c r="C2186" s="3" t="s">
        <v>285</v>
      </c>
      <c r="D2186" s="9">
        <v>325.39999999999998</v>
      </c>
      <c r="E2186" s="3"/>
      <c r="F2186" s="3"/>
      <c r="G2186" s="9"/>
      <c r="H2186" s="10">
        <v>45672.725960648153</v>
      </c>
      <c r="I2186" s="10">
        <v>45672.7268287037</v>
      </c>
      <c r="J2186" s="10">
        <v>45672.728703703702</v>
      </c>
      <c r="K2186" s="11">
        <v>1.8749999999999999E-3</v>
      </c>
      <c r="L2186" s="13"/>
    </row>
    <row r="2187" spans="1:12" x14ac:dyDescent="0.25">
      <c r="A2187" s="3" t="s">
        <v>5301</v>
      </c>
      <c r="B2187" s="3" t="s">
        <v>5446</v>
      </c>
      <c r="C2187" s="3" t="s">
        <v>286</v>
      </c>
      <c r="D2187" s="9">
        <v>296.60000000000002</v>
      </c>
      <c r="E2187" s="3"/>
      <c r="F2187" s="3"/>
      <c r="G2187" s="9"/>
      <c r="H2187" s="10">
        <v>45672.753611111111</v>
      </c>
      <c r="I2187" s="10">
        <v>45672.754479166673</v>
      </c>
      <c r="J2187" s="10">
        <v>45672.773182870369</v>
      </c>
      <c r="K2187" s="11">
        <v>1.8703703703703708E-2</v>
      </c>
      <c r="L2187" s="13"/>
    </row>
    <row r="2188" spans="1:12" x14ac:dyDescent="0.25">
      <c r="A2188" s="3" t="s">
        <v>5301</v>
      </c>
      <c r="B2188" s="3" t="s">
        <v>5447</v>
      </c>
      <c r="C2188" s="3" t="s">
        <v>287</v>
      </c>
      <c r="D2188" s="9">
        <v>200.3</v>
      </c>
      <c r="E2188" s="3"/>
      <c r="F2188" s="3"/>
      <c r="G2188" s="9"/>
      <c r="H2188" s="10">
        <v>45673.119375000002</v>
      </c>
      <c r="I2188" s="10">
        <v>45673.120162037027</v>
      </c>
      <c r="J2188" s="10">
        <v>45673.1253125</v>
      </c>
      <c r="K2188" s="11">
        <v>5.1504629629629626E-3</v>
      </c>
      <c r="L2188" s="13"/>
    </row>
    <row r="2189" spans="1:12" x14ac:dyDescent="0.25">
      <c r="A2189" s="3" t="s">
        <v>5301</v>
      </c>
      <c r="B2189" s="3" t="s">
        <v>5448</v>
      </c>
      <c r="C2189" s="3" t="s">
        <v>288</v>
      </c>
      <c r="D2189" s="9">
        <v>297</v>
      </c>
      <c r="E2189" s="3"/>
      <c r="F2189" s="3"/>
      <c r="G2189" s="9"/>
      <c r="H2189" s="10">
        <v>45673.271932870368</v>
      </c>
      <c r="I2189" s="10">
        <v>45673.272800925923</v>
      </c>
      <c r="J2189" s="10">
        <v>45673.274606481478</v>
      </c>
      <c r="K2189" s="11">
        <v>1.805555555555555E-3</v>
      </c>
      <c r="L2189" s="13"/>
    </row>
    <row r="2190" spans="1:12" x14ac:dyDescent="0.25">
      <c r="A2190" s="3" t="s">
        <v>5301</v>
      </c>
      <c r="B2190" s="3" t="s">
        <v>5449</v>
      </c>
      <c r="C2190" s="3" t="s">
        <v>290</v>
      </c>
      <c r="D2190" s="9">
        <v>126</v>
      </c>
      <c r="E2190" s="3"/>
      <c r="F2190" s="3"/>
      <c r="G2190" s="9"/>
      <c r="H2190" s="10">
        <v>45673.306631944448</v>
      </c>
      <c r="I2190" s="10">
        <v>45673.307511574072</v>
      </c>
      <c r="J2190" s="10">
        <v>45673.309699074067</v>
      </c>
      <c r="K2190" s="11">
        <v>2.1875000000000002E-3</v>
      </c>
      <c r="L2190" s="13"/>
    </row>
    <row r="2191" spans="1:12" x14ac:dyDescent="0.25">
      <c r="A2191" s="3" t="s">
        <v>5301</v>
      </c>
      <c r="B2191" s="3" t="s">
        <v>5450</v>
      </c>
      <c r="C2191" s="3" t="s">
        <v>289</v>
      </c>
      <c r="D2191" s="9">
        <v>390.7</v>
      </c>
      <c r="E2191" s="3"/>
      <c r="F2191" s="3"/>
      <c r="G2191" s="9"/>
      <c r="H2191" s="10">
        <v>45673.318541666667</v>
      </c>
      <c r="I2191" s="10">
        <v>45673.319421296299</v>
      </c>
      <c r="J2191" s="10">
        <v>45673.33865740741</v>
      </c>
      <c r="K2191" s="11">
        <v>1.923611111111111E-2</v>
      </c>
      <c r="L2191" s="13"/>
    </row>
    <row r="2192" spans="1:12" x14ac:dyDescent="0.25">
      <c r="A2192" s="3" t="s">
        <v>5301</v>
      </c>
      <c r="B2192" s="3" t="s">
        <v>5451</v>
      </c>
      <c r="C2192" s="3" t="s">
        <v>291</v>
      </c>
      <c r="D2192" s="9">
        <v>396.6</v>
      </c>
      <c r="E2192" s="3"/>
      <c r="F2192" s="3"/>
      <c r="G2192" s="9"/>
      <c r="H2192" s="10">
        <v>45673.338576388887</v>
      </c>
      <c r="I2192" s="10">
        <v>45673.339525462958</v>
      </c>
      <c r="J2192" s="10">
        <v>45673.341539351852</v>
      </c>
      <c r="K2192" s="11">
        <v>2.0138888888888888E-3</v>
      </c>
      <c r="L2192" s="13"/>
    </row>
    <row r="2193" spans="1:12" x14ac:dyDescent="0.25">
      <c r="A2193" s="3" t="s">
        <v>5301</v>
      </c>
      <c r="B2193" s="3" t="s">
        <v>5452</v>
      </c>
      <c r="C2193" s="3" t="s">
        <v>293</v>
      </c>
      <c r="D2193" s="9">
        <v>389.4</v>
      </c>
      <c r="E2193" s="3"/>
      <c r="F2193" s="3"/>
      <c r="G2193" s="9"/>
      <c r="H2193" s="10">
        <v>45673.385254629633</v>
      </c>
      <c r="I2193" s="10">
        <v>45673.386053240742</v>
      </c>
      <c r="J2193" s="10">
        <v>45673.390497685177</v>
      </c>
      <c r="K2193" s="11">
        <v>4.4444444444444436E-3</v>
      </c>
      <c r="L2193" s="13"/>
    </row>
    <row r="2194" spans="1:12" x14ac:dyDescent="0.25">
      <c r="A2194" s="3" t="s">
        <v>5301</v>
      </c>
      <c r="B2194" s="3" t="s">
        <v>5453</v>
      </c>
      <c r="C2194" s="3" t="s">
        <v>292</v>
      </c>
      <c r="D2194" s="9">
        <v>417.5</v>
      </c>
      <c r="E2194" s="3"/>
      <c r="F2194" s="3"/>
      <c r="G2194" s="9"/>
      <c r="H2194" s="10">
        <v>45673.394224537027</v>
      </c>
      <c r="I2194" s="10">
        <v>45673.395011574074</v>
      </c>
      <c r="J2194" s="10">
        <v>45673.411550925928</v>
      </c>
      <c r="K2194" s="11">
        <v>1.653935185185185E-2</v>
      </c>
      <c r="L2194" s="13"/>
    </row>
    <row r="2195" spans="1:12" x14ac:dyDescent="0.25">
      <c r="A2195" s="3" t="s">
        <v>5301</v>
      </c>
      <c r="B2195" s="3" t="s">
        <v>5454</v>
      </c>
      <c r="C2195" s="3" t="s">
        <v>294</v>
      </c>
      <c r="D2195" s="9">
        <v>359.3</v>
      </c>
      <c r="E2195" s="3"/>
      <c r="F2195" s="3"/>
      <c r="G2195" s="9"/>
      <c r="H2195" s="10">
        <v>45673.45034722222</v>
      </c>
      <c r="I2195" s="10">
        <v>45673.45113425926</v>
      </c>
      <c r="J2195" s="10">
        <v>45673.454780092587</v>
      </c>
      <c r="K2195" s="11">
        <v>3.645833333333333E-3</v>
      </c>
      <c r="L2195" s="13"/>
    </row>
    <row r="2196" spans="1:12" x14ac:dyDescent="0.25">
      <c r="A2196" s="3" t="s">
        <v>5301</v>
      </c>
      <c r="B2196" s="3" t="s">
        <v>5455</v>
      </c>
      <c r="C2196" s="3" t="s">
        <v>295</v>
      </c>
      <c r="D2196" s="9">
        <v>173</v>
      </c>
      <c r="E2196" s="3"/>
      <c r="F2196" s="3"/>
      <c r="G2196" s="9"/>
      <c r="H2196" s="10">
        <v>45673.538124999999</v>
      </c>
      <c r="I2196" s="10">
        <v>45673.539004629631</v>
      </c>
      <c r="J2196" s="10">
        <v>45673.541388888887</v>
      </c>
      <c r="K2196" s="11">
        <v>2.3842592592592591E-3</v>
      </c>
      <c r="L2196" s="13"/>
    </row>
    <row r="2197" spans="1:12" x14ac:dyDescent="0.25">
      <c r="A2197" s="3" t="s">
        <v>5301</v>
      </c>
      <c r="B2197" s="3" t="s">
        <v>5456</v>
      </c>
      <c r="C2197" s="3" t="s">
        <v>296</v>
      </c>
      <c r="D2197" s="9">
        <v>233.9</v>
      </c>
      <c r="E2197" s="3"/>
      <c r="F2197" s="3"/>
      <c r="G2197" s="9"/>
      <c r="H2197" s="10">
        <v>45673.611689814818</v>
      </c>
      <c r="I2197" s="10">
        <v>45673.612476851849</v>
      </c>
      <c r="J2197" s="10">
        <v>45673.614259259259</v>
      </c>
      <c r="K2197" s="11">
        <v>1.782407407407407E-3</v>
      </c>
      <c r="L2197" s="13"/>
    </row>
    <row r="2198" spans="1:12" x14ac:dyDescent="0.25">
      <c r="A2198" s="3" t="s">
        <v>5301</v>
      </c>
      <c r="B2198" s="3" t="s">
        <v>5457</v>
      </c>
      <c r="C2198" s="3" t="s">
        <v>297</v>
      </c>
      <c r="D2198" s="9">
        <v>338.9</v>
      </c>
      <c r="E2198" s="3"/>
      <c r="F2198" s="3"/>
      <c r="G2198" s="9"/>
      <c r="H2198" s="10">
        <v>45673.627893518518</v>
      </c>
      <c r="I2198" s="10">
        <v>45673.62877314815</v>
      </c>
      <c r="J2198" s="10">
        <v>45673.640752314823</v>
      </c>
      <c r="K2198" s="11">
        <v>1.1979166666666669E-2</v>
      </c>
      <c r="L2198" s="13"/>
    </row>
    <row r="2199" spans="1:12" x14ac:dyDescent="0.25">
      <c r="A2199" s="3" t="s">
        <v>5301</v>
      </c>
      <c r="B2199" s="3" t="s">
        <v>5458</v>
      </c>
      <c r="C2199" s="3" t="s">
        <v>298</v>
      </c>
      <c r="D2199" s="9">
        <v>63</v>
      </c>
      <c r="E2199" s="3"/>
      <c r="F2199" s="3"/>
      <c r="G2199" s="9"/>
      <c r="H2199" s="10">
        <v>45673.648229166669</v>
      </c>
      <c r="I2199" s="10">
        <v>45673.649016203701</v>
      </c>
      <c r="J2199" s="10">
        <v>45673.651435185187</v>
      </c>
      <c r="K2199" s="11">
        <v>2.418981481481482E-3</v>
      </c>
      <c r="L2199" s="13"/>
    </row>
    <row r="2200" spans="1:12" x14ac:dyDescent="0.25">
      <c r="A2200" s="3" t="s">
        <v>5301</v>
      </c>
      <c r="B2200" s="3" t="s">
        <v>5459</v>
      </c>
      <c r="C2200" s="3" t="s">
        <v>299</v>
      </c>
      <c r="D2200" s="9">
        <v>119.3</v>
      </c>
      <c r="E2200" s="3"/>
      <c r="F2200" s="3"/>
      <c r="G2200" s="9"/>
      <c r="H2200" s="10">
        <v>45673.677094907413</v>
      </c>
      <c r="I2200" s="10">
        <v>45673.677974537037</v>
      </c>
      <c r="J2200" s="10">
        <v>45673.681296296287</v>
      </c>
      <c r="K2200" s="11">
        <v>3.3217592592592591E-3</v>
      </c>
      <c r="L2200" s="13"/>
    </row>
    <row r="2201" spans="1:12" x14ac:dyDescent="0.25">
      <c r="A2201" s="3" t="s">
        <v>5301</v>
      </c>
      <c r="B2201" s="3" t="s">
        <v>5460</v>
      </c>
      <c r="C2201" s="3" t="s">
        <v>300</v>
      </c>
      <c r="D2201" s="9">
        <v>503.1</v>
      </c>
      <c r="E2201" s="3"/>
      <c r="F2201" s="3"/>
      <c r="G2201" s="9"/>
      <c r="H2201" s="10">
        <v>45673.740648148138</v>
      </c>
      <c r="I2201" s="10">
        <v>45673.741446759261</v>
      </c>
      <c r="J2201" s="10">
        <v>45673.750127314823</v>
      </c>
      <c r="K2201" s="11">
        <v>8.6805555555555559E-3</v>
      </c>
      <c r="L2201" s="13"/>
    </row>
    <row r="2202" spans="1:12" x14ac:dyDescent="0.25">
      <c r="A2202" s="3" t="s">
        <v>5301</v>
      </c>
      <c r="B2202" s="3" t="s">
        <v>5461</v>
      </c>
      <c r="C2202" s="3" t="s">
        <v>301</v>
      </c>
      <c r="D2202" s="9">
        <v>221</v>
      </c>
      <c r="E2202" s="3"/>
      <c r="F2202" s="3"/>
      <c r="G2202" s="9"/>
      <c r="H2202" s="10">
        <v>45673.847500000003</v>
      </c>
      <c r="I2202" s="10">
        <v>45673.848379629628</v>
      </c>
      <c r="J2202" s="10">
        <v>45673.859930555547</v>
      </c>
      <c r="K2202" s="11">
        <v>1.155092592592593E-2</v>
      </c>
      <c r="L2202" s="13"/>
    </row>
    <row r="2203" spans="1:12" x14ac:dyDescent="0.25">
      <c r="A2203" s="3" t="s">
        <v>5301</v>
      </c>
      <c r="B2203" s="3" t="s">
        <v>5462</v>
      </c>
      <c r="C2203" s="3" t="s">
        <v>302</v>
      </c>
      <c r="D2203" s="9">
        <v>209.3</v>
      </c>
      <c r="E2203" s="3"/>
      <c r="F2203" s="3"/>
      <c r="G2203" s="9"/>
      <c r="H2203" s="10">
        <v>45674.123738425929</v>
      </c>
      <c r="I2203" s="10">
        <v>45674.124525462961</v>
      </c>
      <c r="J2203" s="10">
        <v>45674.131956018522</v>
      </c>
      <c r="K2203" s="11">
        <v>7.4305555555555557E-3</v>
      </c>
      <c r="L2203" s="13"/>
    </row>
    <row r="2204" spans="1:12" x14ac:dyDescent="0.25">
      <c r="A2204" s="3" t="s">
        <v>5301</v>
      </c>
      <c r="B2204" s="3" t="s">
        <v>5463</v>
      </c>
      <c r="C2204" s="3" t="s">
        <v>303</v>
      </c>
      <c r="D2204" s="9">
        <v>513.29999999999995</v>
      </c>
      <c r="E2204" s="3"/>
      <c r="F2204" s="3"/>
      <c r="G2204" s="9"/>
      <c r="H2204" s="10">
        <v>45674.193738425929</v>
      </c>
      <c r="I2204" s="10">
        <v>45674.194618055553</v>
      </c>
      <c r="J2204" s="10">
        <v>45674.19771990741</v>
      </c>
      <c r="K2204" s="11">
        <v>3.1018518518518522E-3</v>
      </c>
      <c r="L2204" s="13"/>
    </row>
    <row r="2205" spans="1:12" x14ac:dyDescent="0.25">
      <c r="A2205" s="3" t="s">
        <v>5301</v>
      </c>
      <c r="B2205" s="3" t="s">
        <v>5464</v>
      </c>
      <c r="C2205" s="3" t="s">
        <v>304</v>
      </c>
      <c r="D2205" s="9">
        <v>297</v>
      </c>
      <c r="E2205" s="3"/>
      <c r="F2205" s="3"/>
      <c r="G2205" s="9"/>
      <c r="H2205" s="10">
        <v>45674.277071759258</v>
      </c>
      <c r="I2205" s="10">
        <v>45674.277858796297</v>
      </c>
      <c r="J2205" s="10">
        <v>45674.279780092591</v>
      </c>
      <c r="K2205" s="11">
        <v>1.9212962962962959E-3</v>
      </c>
      <c r="L2205" s="13"/>
    </row>
    <row r="2206" spans="1:12" x14ac:dyDescent="0.25">
      <c r="A2206" s="3" t="s">
        <v>5301</v>
      </c>
      <c r="B2206" s="3" t="s">
        <v>5465</v>
      </c>
      <c r="C2206" s="3" t="s">
        <v>305</v>
      </c>
      <c r="D2206" s="9">
        <v>492.3</v>
      </c>
      <c r="E2206" s="3"/>
      <c r="F2206" s="3"/>
      <c r="G2206" s="9"/>
      <c r="H2206" s="10">
        <v>45674.306620370371</v>
      </c>
      <c r="I2206" s="10">
        <v>45674.307500000003</v>
      </c>
      <c r="J2206" s="10">
        <v>45674.324363425927</v>
      </c>
      <c r="K2206" s="11">
        <v>1.6863425925925931E-2</v>
      </c>
      <c r="L2206" s="13"/>
    </row>
    <row r="2207" spans="1:12" x14ac:dyDescent="0.25">
      <c r="A2207" s="3" t="s">
        <v>5301</v>
      </c>
      <c r="B2207" s="3" t="s">
        <v>5466</v>
      </c>
      <c r="C2207" s="3" t="s">
        <v>306</v>
      </c>
      <c r="D2207" s="9">
        <v>339.8</v>
      </c>
      <c r="E2207" s="3"/>
      <c r="F2207" s="3"/>
      <c r="G2207" s="9"/>
      <c r="H2207" s="10">
        <v>45674.318715277783</v>
      </c>
      <c r="I2207" s="10">
        <v>45674.325162037043</v>
      </c>
      <c r="J2207" s="10">
        <v>45674.327164351853</v>
      </c>
      <c r="K2207" s="11">
        <v>2.0023148148148148E-3</v>
      </c>
      <c r="L2207" s="13"/>
    </row>
    <row r="2208" spans="1:12" x14ac:dyDescent="0.25">
      <c r="A2208" s="3" t="s">
        <v>5301</v>
      </c>
      <c r="B2208" s="3" t="s">
        <v>5467</v>
      </c>
      <c r="C2208" s="3" t="s">
        <v>307</v>
      </c>
      <c r="D2208" s="9">
        <v>287.89999999999998</v>
      </c>
      <c r="E2208" s="3"/>
      <c r="F2208" s="3"/>
      <c r="G2208" s="9"/>
      <c r="H2208" s="10">
        <v>45674.339629629627</v>
      </c>
      <c r="I2208" s="10">
        <v>45674.340509259258</v>
      </c>
      <c r="J2208" s="10">
        <v>45674.342893518522</v>
      </c>
      <c r="K2208" s="11">
        <v>2.3842592592592591E-3</v>
      </c>
      <c r="L2208" s="13"/>
    </row>
    <row r="2209" spans="1:12" x14ac:dyDescent="0.25">
      <c r="A2209" s="3" t="s">
        <v>5301</v>
      </c>
      <c r="B2209" s="3" t="s">
        <v>5468</v>
      </c>
      <c r="C2209" s="3" t="s">
        <v>309</v>
      </c>
      <c r="D2209" s="9">
        <v>336.5</v>
      </c>
      <c r="E2209" s="3"/>
      <c r="F2209" s="3"/>
      <c r="G2209" s="9"/>
      <c r="H2209" s="10">
        <v>45674.3750462963</v>
      </c>
      <c r="I2209" s="10">
        <v>45674.375914351847</v>
      </c>
      <c r="J2209" s="10">
        <v>45674.377442129633</v>
      </c>
      <c r="K2209" s="11">
        <v>1.5277777777777781E-3</v>
      </c>
      <c r="L2209" s="13"/>
    </row>
    <row r="2210" spans="1:12" x14ac:dyDescent="0.25">
      <c r="A2210" s="3" t="s">
        <v>5301</v>
      </c>
      <c r="B2210" s="3" t="s">
        <v>5469</v>
      </c>
      <c r="C2210" s="3" t="s">
        <v>308</v>
      </c>
      <c r="D2210" s="9">
        <v>560.6</v>
      </c>
      <c r="E2210" s="3"/>
      <c r="F2210" s="3"/>
      <c r="G2210" s="9"/>
      <c r="H2210" s="10">
        <v>45674.378877314812</v>
      </c>
      <c r="I2210" s="10">
        <v>45674.379745370366</v>
      </c>
      <c r="J2210" s="10">
        <v>45674.397951388892</v>
      </c>
      <c r="K2210" s="11">
        <v>1.8206018518518521E-2</v>
      </c>
      <c r="L2210" s="13"/>
    </row>
    <row r="2211" spans="1:12" x14ac:dyDescent="0.25">
      <c r="A2211" s="3" t="s">
        <v>5301</v>
      </c>
      <c r="B2211" s="3" t="s">
        <v>5470</v>
      </c>
      <c r="C2211" s="3" t="s">
        <v>310</v>
      </c>
      <c r="D2211" s="9">
        <v>443.2</v>
      </c>
      <c r="E2211" s="3"/>
      <c r="F2211" s="3"/>
      <c r="G2211" s="9"/>
      <c r="H2211" s="10">
        <v>45674.433437500003</v>
      </c>
      <c r="I2211" s="10">
        <v>45674.434305555558</v>
      </c>
      <c r="J2211" s="10">
        <v>45674.435474537036</v>
      </c>
      <c r="K2211" s="11">
        <v>1.168981481481482E-3</v>
      </c>
      <c r="L2211" s="13"/>
    </row>
    <row r="2212" spans="1:12" x14ac:dyDescent="0.25">
      <c r="A2212" s="3" t="s">
        <v>5301</v>
      </c>
      <c r="B2212" s="3" t="s">
        <v>5471</v>
      </c>
      <c r="C2212" s="3" t="s">
        <v>311</v>
      </c>
      <c r="D2212" s="9">
        <v>238.4</v>
      </c>
      <c r="E2212" s="3"/>
      <c r="F2212" s="3"/>
      <c r="G2212" s="9"/>
      <c r="H2212" s="10">
        <v>45674.541076388887</v>
      </c>
      <c r="I2212" s="10">
        <v>45674.541956018518</v>
      </c>
      <c r="J2212" s="10">
        <v>45674.543749999997</v>
      </c>
      <c r="K2212" s="11">
        <v>1.793981481481481E-3</v>
      </c>
      <c r="L2212" s="13"/>
    </row>
    <row r="2213" spans="1:12" x14ac:dyDescent="0.25">
      <c r="A2213" s="3" t="s">
        <v>5301</v>
      </c>
      <c r="B2213" s="3" t="s">
        <v>5472</v>
      </c>
      <c r="C2213" s="3" t="s">
        <v>312</v>
      </c>
      <c r="D2213" s="9">
        <v>220.4</v>
      </c>
      <c r="E2213" s="3"/>
      <c r="F2213" s="3"/>
      <c r="G2213" s="9"/>
      <c r="H2213" s="10">
        <v>45674.654444444437</v>
      </c>
      <c r="I2213" s="10">
        <v>45674.655312499999</v>
      </c>
      <c r="J2213" s="10">
        <v>45674.657824074071</v>
      </c>
      <c r="K2213" s="11">
        <v>2.5115740740740741E-3</v>
      </c>
      <c r="L2213" s="13"/>
    </row>
    <row r="2214" spans="1:12" x14ac:dyDescent="0.25">
      <c r="A2214" s="3" t="s">
        <v>5301</v>
      </c>
      <c r="B2214" s="3" t="s">
        <v>5473</v>
      </c>
      <c r="C2214" s="3" t="s">
        <v>313</v>
      </c>
      <c r="D2214" s="9">
        <v>302.10000000000002</v>
      </c>
      <c r="E2214" s="3"/>
      <c r="F2214" s="3"/>
      <c r="G2214" s="9"/>
      <c r="H2214" s="10">
        <v>45674.736458333333</v>
      </c>
      <c r="I2214" s="10">
        <v>45674.737337962957</v>
      </c>
      <c r="J2214" s="10">
        <v>45674.739166666674</v>
      </c>
      <c r="K2214" s="11">
        <v>1.8287037037037039E-3</v>
      </c>
      <c r="L2214" s="13"/>
    </row>
    <row r="2215" spans="1:12" x14ac:dyDescent="0.25">
      <c r="A2215" s="3" t="s">
        <v>5301</v>
      </c>
      <c r="B2215" s="3" t="s">
        <v>5474</v>
      </c>
      <c r="C2215" s="3" t="s">
        <v>314</v>
      </c>
      <c r="D2215" s="9">
        <v>110.2</v>
      </c>
      <c r="E2215" s="3"/>
      <c r="F2215" s="3"/>
      <c r="G2215" s="9"/>
      <c r="H2215" s="10">
        <v>45674.755335648151</v>
      </c>
      <c r="I2215" s="10">
        <v>45674.756203703713</v>
      </c>
      <c r="J2215" s="10">
        <v>45674.758379629631</v>
      </c>
      <c r="K2215" s="11">
        <v>2.1759259259259262E-3</v>
      </c>
      <c r="L2215" s="13"/>
    </row>
    <row r="2216" spans="1:12" x14ac:dyDescent="0.25">
      <c r="A2216" s="3" t="s">
        <v>5301</v>
      </c>
      <c r="B2216" s="3" t="s">
        <v>5475</v>
      </c>
      <c r="C2216" s="3" t="s">
        <v>315</v>
      </c>
      <c r="D2216" s="9">
        <v>345</v>
      </c>
      <c r="E2216" s="3"/>
      <c r="F2216" s="3"/>
      <c r="G2216" s="9"/>
      <c r="H2216" s="10">
        <v>45674.852395833332</v>
      </c>
      <c r="I2216" s="10">
        <v>45674.853275462963</v>
      </c>
      <c r="J2216" s="10">
        <v>45674.866122685176</v>
      </c>
      <c r="K2216" s="11">
        <v>1.284722222222222E-2</v>
      </c>
      <c r="L2216" s="13"/>
    </row>
    <row r="2217" spans="1:12" x14ac:dyDescent="0.25">
      <c r="A2217" s="3" t="s">
        <v>5301</v>
      </c>
      <c r="B2217" s="3" t="s">
        <v>5476</v>
      </c>
      <c r="C2217" s="3" t="s">
        <v>316</v>
      </c>
      <c r="D2217" s="9">
        <v>371.5</v>
      </c>
      <c r="E2217" s="3"/>
      <c r="F2217" s="3"/>
      <c r="G2217" s="9"/>
      <c r="H2217" s="10">
        <v>45675.028078703697</v>
      </c>
      <c r="I2217" s="10">
        <v>45675.028946759259</v>
      </c>
      <c r="J2217" s="10">
        <v>45675.034699074073</v>
      </c>
      <c r="K2217" s="11">
        <v>5.7523148148148151E-3</v>
      </c>
      <c r="L2217" s="13"/>
    </row>
    <row r="2218" spans="1:12" x14ac:dyDescent="0.25">
      <c r="A2218" s="3" t="s">
        <v>5301</v>
      </c>
      <c r="B2218" s="3" t="s">
        <v>5477</v>
      </c>
      <c r="C2218" s="3" t="s">
        <v>317</v>
      </c>
      <c r="D2218" s="9">
        <v>413.1</v>
      </c>
      <c r="E2218" s="3"/>
      <c r="F2218" s="3"/>
      <c r="G2218" s="9"/>
      <c r="H2218" s="10">
        <v>45675.248379629629</v>
      </c>
      <c r="I2218" s="10">
        <v>45675.249259259261</v>
      </c>
      <c r="J2218" s="10">
        <v>45675.25267361111</v>
      </c>
      <c r="K2218" s="11">
        <v>3.414351851851852E-3</v>
      </c>
      <c r="L2218" s="13"/>
    </row>
    <row r="2219" spans="1:12" x14ac:dyDescent="0.25">
      <c r="A2219" s="3" t="s">
        <v>5301</v>
      </c>
      <c r="B2219" s="3" t="s">
        <v>5478</v>
      </c>
      <c r="C2219" s="3" t="s">
        <v>318</v>
      </c>
      <c r="D2219" s="9">
        <v>256.8</v>
      </c>
      <c r="E2219" s="3"/>
      <c r="F2219" s="3"/>
      <c r="G2219" s="9"/>
      <c r="H2219" s="10">
        <v>45675.28565972222</v>
      </c>
      <c r="I2219" s="10">
        <v>45675.286527777767</v>
      </c>
      <c r="J2219" s="10">
        <v>45675.298935185187</v>
      </c>
      <c r="K2219" s="11">
        <v>1.240740740740741E-2</v>
      </c>
      <c r="L2219" s="13"/>
    </row>
    <row r="2220" spans="1:12" x14ac:dyDescent="0.25">
      <c r="A2220" s="3" t="s">
        <v>5301</v>
      </c>
      <c r="B2220" s="3" t="s">
        <v>5479</v>
      </c>
      <c r="C2220" s="3" t="s">
        <v>319</v>
      </c>
      <c r="D2220" s="9">
        <v>592.20000000000005</v>
      </c>
      <c r="E2220" s="3"/>
      <c r="F2220" s="3"/>
      <c r="G2220" s="9"/>
      <c r="H2220" s="10">
        <v>45676.740543981483</v>
      </c>
      <c r="I2220" s="10">
        <v>45676.741423611107</v>
      </c>
      <c r="J2220" s="10">
        <v>45676.746180555558</v>
      </c>
      <c r="K2220" s="11">
        <v>4.7569444444444447E-3</v>
      </c>
      <c r="L2220" s="13"/>
    </row>
    <row r="2221" spans="1:12" x14ac:dyDescent="0.25">
      <c r="A2221" s="3" t="s">
        <v>5301</v>
      </c>
      <c r="B2221" s="3" t="s">
        <v>5480</v>
      </c>
      <c r="C2221" s="3" t="s">
        <v>320</v>
      </c>
      <c r="D2221" s="9">
        <v>170.2</v>
      </c>
      <c r="E2221" s="3"/>
      <c r="F2221" s="3"/>
      <c r="G2221" s="9"/>
      <c r="H2221" s="10">
        <v>45676.849224537043</v>
      </c>
      <c r="I2221" s="10">
        <v>45676.850092592591</v>
      </c>
      <c r="J2221" s="10">
        <v>45676.853935185187</v>
      </c>
      <c r="K2221" s="11">
        <v>3.8425925925925932E-3</v>
      </c>
      <c r="L2221" s="13"/>
    </row>
    <row r="2222" spans="1:12" x14ac:dyDescent="0.25">
      <c r="A2222" s="3" t="s">
        <v>5301</v>
      </c>
      <c r="B2222" s="3" t="s">
        <v>5481</v>
      </c>
      <c r="C2222" s="3" t="s">
        <v>321</v>
      </c>
      <c r="D2222" s="9">
        <v>260.7</v>
      </c>
      <c r="E2222" s="3"/>
      <c r="F2222" s="3"/>
      <c r="G2222" s="9"/>
      <c r="H2222" s="10">
        <v>45677.112557870372</v>
      </c>
      <c r="I2222" s="10">
        <v>45677.113437499997</v>
      </c>
      <c r="J2222" s="10">
        <v>45677.120995370373</v>
      </c>
      <c r="K2222" s="11">
        <v>7.5578703703703702E-3</v>
      </c>
      <c r="L2222" s="13"/>
    </row>
    <row r="2223" spans="1:12" x14ac:dyDescent="0.25">
      <c r="A2223" s="3" t="s">
        <v>5301</v>
      </c>
      <c r="B2223" s="3" t="s">
        <v>5482</v>
      </c>
      <c r="C2223" s="3" t="s">
        <v>322</v>
      </c>
      <c r="D2223" s="9">
        <v>329.7</v>
      </c>
      <c r="E2223" s="3"/>
      <c r="F2223" s="3"/>
      <c r="G2223" s="9"/>
      <c r="H2223" s="10">
        <v>45677.196053240739</v>
      </c>
      <c r="I2223" s="10">
        <v>45677.196921296287</v>
      </c>
      <c r="J2223" s="10">
        <v>45677.199675925927</v>
      </c>
      <c r="K2223" s="11">
        <v>2.754629629629629E-3</v>
      </c>
      <c r="L2223" s="13"/>
    </row>
    <row r="2224" spans="1:12" x14ac:dyDescent="0.25">
      <c r="A2224" s="3" t="s">
        <v>5301</v>
      </c>
      <c r="B2224" s="3" t="s">
        <v>5483</v>
      </c>
      <c r="C2224" s="3" t="s">
        <v>323</v>
      </c>
      <c r="D2224" s="9">
        <v>293.39999999999998</v>
      </c>
      <c r="E2224" s="3"/>
      <c r="F2224" s="3"/>
      <c r="G2224" s="9"/>
      <c r="H2224" s="10">
        <v>45677.25445601852</v>
      </c>
      <c r="I2224" s="10">
        <v>45677.255335648151</v>
      </c>
      <c r="J2224" s="10">
        <v>45677.255335648151</v>
      </c>
      <c r="K2224" s="11">
        <v>0</v>
      </c>
      <c r="L2224" s="13"/>
    </row>
    <row r="2225" spans="1:12" x14ac:dyDescent="0.25">
      <c r="A2225" s="3" t="s">
        <v>5301</v>
      </c>
      <c r="B2225" s="3" t="s">
        <v>5484</v>
      </c>
      <c r="C2225" s="3" t="s">
        <v>325</v>
      </c>
      <c r="D2225" s="9">
        <v>380.8</v>
      </c>
      <c r="E2225" s="3"/>
      <c r="F2225" s="3"/>
      <c r="G2225" s="9"/>
      <c r="H2225" s="10">
        <v>45677.317916666667</v>
      </c>
      <c r="I2225" s="10">
        <v>45677.319513888891</v>
      </c>
      <c r="J2225" s="10">
        <v>45677.319513888891</v>
      </c>
      <c r="K2225" s="11">
        <v>0</v>
      </c>
      <c r="L2225" s="13"/>
    </row>
    <row r="2226" spans="1:12" x14ac:dyDescent="0.25">
      <c r="A2226" s="3" t="s">
        <v>5301</v>
      </c>
      <c r="B2226" s="3" t="s">
        <v>5485</v>
      </c>
      <c r="C2226" s="3" t="s">
        <v>326</v>
      </c>
      <c r="D2226" s="9">
        <v>330.8</v>
      </c>
      <c r="E2226" s="3"/>
      <c r="F2226" s="3"/>
      <c r="G2226" s="9"/>
      <c r="H2226" s="10">
        <v>45677.319780092592</v>
      </c>
      <c r="I2226" s="10">
        <v>45677.321111111109</v>
      </c>
      <c r="J2226" s="10">
        <v>45677.321111111109</v>
      </c>
      <c r="K2226" s="11">
        <v>0</v>
      </c>
      <c r="L2226" s="13"/>
    </row>
    <row r="2227" spans="1:12" x14ac:dyDescent="0.25">
      <c r="A2227" s="3" t="s">
        <v>5301</v>
      </c>
      <c r="B2227" s="3" t="s">
        <v>5486</v>
      </c>
      <c r="C2227" s="3" t="s">
        <v>324</v>
      </c>
      <c r="D2227" s="9">
        <v>594.29999999999995</v>
      </c>
      <c r="E2227" s="3"/>
      <c r="F2227" s="3"/>
      <c r="G2227" s="9"/>
      <c r="H2227" s="10">
        <v>45677.329710648148</v>
      </c>
      <c r="I2227" s="10">
        <v>45677.330578703702</v>
      </c>
      <c r="J2227" s="10">
        <v>45677.351863425924</v>
      </c>
      <c r="K2227" s="11">
        <v>2.1284722222222219E-2</v>
      </c>
      <c r="L2227" s="13"/>
    </row>
    <row r="2228" spans="1:12" x14ac:dyDescent="0.25">
      <c r="A2228" s="3" t="s">
        <v>5301</v>
      </c>
      <c r="B2228" s="3" t="s">
        <v>5487</v>
      </c>
      <c r="C2228" s="3" t="s">
        <v>328</v>
      </c>
      <c r="D2228" s="9">
        <v>386.4</v>
      </c>
      <c r="E2228" s="3"/>
      <c r="F2228" s="3"/>
      <c r="G2228" s="9"/>
      <c r="H2228" s="10">
        <v>45677.383333333331</v>
      </c>
      <c r="I2228" s="10">
        <v>45677.384131944447</v>
      </c>
      <c r="J2228" s="10">
        <v>45677.385555555556</v>
      </c>
      <c r="K2228" s="11">
        <v>1.423611111111111E-3</v>
      </c>
      <c r="L2228" s="13"/>
    </row>
    <row r="2229" spans="1:12" x14ac:dyDescent="0.25">
      <c r="A2229" s="3" t="s">
        <v>5301</v>
      </c>
      <c r="B2229" s="3" t="s">
        <v>5488</v>
      </c>
      <c r="C2229" s="3" t="s">
        <v>327</v>
      </c>
      <c r="D2229" s="9">
        <v>520.79999999999995</v>
      </c>
      <c r="E2229" s="3"/>
      <c r="F2229" s="3"/>
      <c r="G2229" s="9"/>
      <c r="H2229" s="10">
        <v>45677.387754629628</v>
      </c>
      <c r="I2229" s="10">
        <v>45677.388541666667</v>
      </c>
      <c r="J2229" s="10">
        <v>45677.407581018517</v>
      </c>
      <c r="K2229" s="11">
        <v>1.9039351851851849E-2</v>
      </c>
      <c r="L2229" s="13"/>
    </row>
    <row r="2230" spans="1:12" x14ac:dyDescent="0.25">
      <c r="A2230" s="3" t="s">
        <v>5301</v>
      </c>
      <c r="B2230" s="3" t="s">
        <v>5489</v>
      </c>
      <c r="C2230" s="3" t="s">
        <v>329</v>
      </c>
      <c r="D2230" s="9">
        <v>319.7</v>
      </c>
      <c r="E2230" s="3"/>
      <c r="F2230" s="3"/>
      <c r="G2230" s="9"/>
      <c r="H2230" s="10">
        <v>45677.449571759258</v>
      </c>
      <c r="I2230" s="10">
        <v>45677.450439814813</v>
      </c>
      <c r="J2230" s="10">
        <v>45677.45511574074</v>
      </c>
      <c r="K2230" s="11">
        <v>4.6759259259259263E-3</v>
      </c>
      <c r="L2230" s="13"/>
    </row>
    <row r="2231" spans="1:12" x14ac:dyDescent="0.25">
      <c r="A2231" s="3" t="s">
        <v>5301</v>
      </c>
      <c r="B2231" s="3" t="s">
        <v>5490</v>
      </c>
      <c r="C2231" s="3" t="s">
        <v>330</v>
      </c>
      <c r="D2231" s="9">
        <v>105</v>
      </c>
      <c r="E2231" s="3"/>
      <c r="F2231" s="3"/>
      <c r="G2231" s="9"/>
      <c r="H2231" s="10">
        <v>45677.536215277767</v>
      </c>
      <c r="I2231" s="10">
        <v>45677.537083333344</v>
      </c>
      <c r="J2231" s="10">
        <v>45677.539201388892</v>
      </c>
      <c r="K2231" s="11">
        <v>2.1180555555555562E-3</v>
      </c>
      <c r="L2231" s="13"/>
    </row>
    <row r="2232" spans="1:12" x14ac:dyDescent="0.25">
      <c r="A2232" s="3" t="s">
        <v>5301</v>
      </c>
      <c r="B2232" s="3" t="s">
        <v>5491</v>
      </c>
      <c r="C2232" s="3" t="s">
        <v>331</v>
      </c>
      <c r="D2232" s="9">
        <v>389.1</v>
      </c>
      <c r="E2232" s="3"/>
      <c r="F2232" s="3"/>
      <c r="G2232" s="9"/>
      <c r="H2232" s="10">
        <v>45677.607592592591</v>
      </c>
      <c r="I2232" s="10">
        <v>45677.608472222222</v>
      </c>
      <c r="J2232" s="10">
        <v>45677.610949074071</v>
      </c>
      <c r="K2232" s="11">
        <v>2.476851851851852E-3</v>
      </c>
      <c r="L2232" s="13"/>
    </row>
    <row r="2233" spans="1:12" x14ac:dyDescent="0.25">
      <c r="A2233" s="3" t="s">
        <v>5301</v>
      </c>
      <c r="B2233" s="3" t="s">
        <v>5492</v>
      </c>
      <c r="C2233" s="3" t="s">
        <v>332</v>
      </c>
      <c r="D2233" s="9">
        <v>301.5</v>
      </c>
      <c r="E2233" s="3"/>
      <c r="F2233" s="3"/>
      <c r="G2233" s="9"/>
      <c r="H2233" s="10">
        <v>45677.647430555553</v>
      </c>
      <c r="I2233" s="10">
        <v>45677.648298611108</v>
      </c>
      <c r="J2233" s="10">
        <v>45677.664375</v>
      </c>
      <c r="K2233" s="11">
        <v>1.607638888888889E-2</v>
      </c>
      <c r="L2233" s="13"/>
    </row>
    <row r="2234" spans="1:12" x14ac:dyDescent="0.25">
      <c r="A2234" s="3" t="s">
        <v>5301</v>
      </c>
      <c r="B2234" s="3" t="s">
        <v>5493</v>
      </c>
      <c r="C2234" s="3" t="s">
        <v>334</v>
      </c>
      <c r="D2234" s="9">
        <v>110.2</v>
      </c>
      <c r="E2234" s="3"/>
      <c r="F2234" s="3"/>
      <c r="G2234" s="9"/>
      <c r="H2234" s="10">
        <v>45677.664097222223</v>
      </c>
      <c r="I2234" s="10">
        <v>45677.665833333333</v>
      </c>
      <c r="J2234" s="10">
        <v>45677.665833333333</v>
      </c>
      <c r="K2234" s="11">
        <v>0</v>
      </c>
      <c r="L2234" s="13"/>
    </row>
    <row r="2235" spans="1:12" x14ac:dyDescent="0.25">
      <c r="A2235" s="3" t="s">
        <v>5301</v>
      </c>
      <c r="B2235" s="3" t="s">
        <v>5494</v>
      </c>
      <c r="C2235" s="3" t="s">
        <v>333</v>
      </c>
      <c r="D2235" s="9">
        <v>229.6</v>
      </c>
      <c r="E2235" s="3"/>
      <c r="F2235" s="3"/>
      <c r="G2235" s="9"/>
      <c r="H2235" s="10">
        <v>45677.664953703701</v>
      </c>
      <c r="I2235" s="10">
        <v>45677.666701388887</v>
      </c>
      <c r="J2235" s="10">
        <v>45677.66814814815</v>
      </c>
      <c r="K2235" s="11">
        <v>1.446759259259259E-3</v>
      </c>
      <c r="L2235" s="13"/>
    </row>
    <row r="2236" spans="1:12" x14ac:dyDescent="0.25">
      <c r="A2236" s="3" t="s">
        <v>5301</v>
      </c>
      <c r="B2236" s="3" t="s">
        <v>5495</v>
      </c>
      <c r="C2236" s="3" t="s">
        <v>335</v>
      </c>
      <c r="D2236" s="9">
        <v>325.39999999999998</v>
      </c>
      <c r="E2236" s="3"/>
      <c r="F2236" s="3"/>
      <c r="G2236" s="9"/>
      <c r="H2236" s="10">
        <v>45677.715462962973</v>
      </c>
      <c r="I2236" s="10">
        <v>45677.716331018521</v>
      </c>
      <c r="J2236" s="10">
        <v>45677.718217592592</v>
      </c>
      <c r="K2236" s="11">
        <v>1.8865740740740739E-3</v>
      </c>
      <c r="L2236" s="13"/>
    </row>
    <row r="2237" spans="1:12" x14ac:dyDescent="0.25">
      <c r="A2237" s="3" t="s">
        <v>5301</v>
      </c>
      <c r="B2237" s="3" t="s">
        <v>5496</v>
      </c>
      <c r="C2237" s="3" t="s">
        <v>336</v>
      </c>
      <c r="D2237" s="9">
        <v>398</v>
      </c>
      <c r="E2237" s="3"/>
      <c r="F2237" s="3"/>
      <c r="G2237" s="9"/>
      <c r="H2237" s="10">
        <v>45677.883819444447</v>
      </c>
      <c r="I2237" s="10">
        <v>45677.884699074071</v>
      </c>
      <c r="J2237" s="10">
        <v>45677.887615740743</v>
      </c>
      <c r="K2237" s="11">
        <v>2.9166666666666668E-3</v>
      </c>
      <c r="L2237" s="13"/>
    </row>
    <row r="2238" spans="1:12" x14ac:dyDescent="0.25">
      <c r="A2238" s="3" t="s">
        <v>5301</v>
      </c>
      <c r="B2238" s="3" t="s">
        <v>5497</v>
      </c>
      <c r="C2238" s="3" t="s">
        <v>337</v>
      </c>
      <c r="D2238" s="9">
        <v>315.60000000000002</v>
      </c>
      <c r="E2238" s="3"/>
      <c r="F2238" s="3"/>
      <c r="G2238" s="9"/>
      <c r="H2238" s="10">
        <v>45678.128692129627</v>
      </c>
      <c r="I2238" s="10">
        <v>45678.129560185182</v>
      </c>
      <c r="J2238" s="10">
        <v>45678.138958333337</v>
      </c>
      <c r="K2238" s="11">
        <v>9.3981481481481485E-3</v>
      </c>
      <c r="L2238" s="13"/>
    </row>
    <row r="2239" spans="1:12" x14ac:dyDescent="0.25">
      <c r="A2239" s="3" t="s">
        <v>5301</v>
      </c>
      <c r="B2239" s="3" t="s">
        <v>5498</v>
      </c>
      <c r="C2239" s="3" t="s">
        <v>338</v>
      </c>
      <c r="D2239" s="9">
        <v>233.1</v>
      </c>
      <c r="E2239" s="3"/>
      <c r="F2239" s="3"/>
      <c r="G2239" s="9"/>
      <c r="H2239" s="10">
        <v>45678.281574074077</v>
      </c>
      <c r="I2239" s="10">
        <v>45678.282453703701</v>
      </c>
      <c r="J2239" s="10">
        <v>45678.28434027778</v>
      </c>
      <c r="K2239" s="11">
        <v>1.8865740740740739E-3</v>
      </c>
      <c r="L2239" s="13"/>
    </row>
    <row r="2240" spans="1:12" x14ac:dyDescent="0.25">
      <c r="A2240" s="3" t="s">
        <v>5301</v>
      </c>
      <c r="B2240" s="3" t="s">
        <v>5499</v>
      </c>
      <c r="C2240" s="3" t="s">
        <v>340</v>
      </c>
      <c r="D2240" s="9">
        <v>381.6</v>
      </c>
      <c r="E2240" s="3"/>
      <c r="F2240" s="3"/>
      <c r="G2240" s="9"/>
      <c r="H2240" s="10">
        <v>45678.313796296286</v>
      </c>
      <c r="I2240" s="10">
        <v>45678.314664351848</v>
      </c>
      <c r="J2240" s="10">
        <v>45678.314664351848</v>
      </c>
      <c r="K2240" s="11">
        <v>0</v>
      </c>
      <c r="L2240" s="13"/>
    </row>
    <row r="2241" spans="1:12" x14ac:dyDescent="0.25">
      <c r="A2241" s="3" t="s">
        <v>5301</v>
      </c>
      <c r="B2241" s="3" t="s">
        <v>5500</v>
      </c>
      <c r="C2241" s="3" t="s">
        <v>339</v>
      </c>
      <c r="D2241" s="9">
        <v>395</v>
      </c>
      <c r="E2241" s="3"/>
      <c r="F2241" s="3"/>
      <c r="G2241" s="9"/>
      <c r="H2241" s="10">
        <v>45678.317754629628</v>
      </c>
      <c r="I2241" s="10">
        <v>45678.318622685183</v>
      </c>
      <c r="J2241" s="10">
        <v>45678.332974537043</v>
      </c>
      <c r="K2241" s="11">
        <v>1.435185185185185E-2</v>
      </c>
      <c r="L2241" s="13"/>
    </row>
    <row r="2242" spans="1:12" x14ac:dyDescent="0.25">
      <c r="A2242" s="3" t="s">
        <v>5301</v>
      </c>
      <c r="B2242" s="3" t="s">
        <v>5501</v>
      </c>
      <c r="C2242" s="3" t="s">
        <v>341</v>
      </c>
      <c r="D2242" s="9">
        <v>339.1</v>
      </c>
      <c r="E2242" s="3"/>
      <c r="F2242" s="3"/>
      <c r="G2242" s="9"/>
      <c r="H2242" s="10">
        <v>45678.321377314824</v>
      </c>
      <c r="I2242" s="10">
        <v>45678.33384259259</v>
      </c>
      <c r="J2242" s="10">
        <v>45678.336400462962</v>
      </c>
      <c r="K2242" s="11">
        <v>2.5578703703703709E-3</v>
      </c>
      <c r="L2242" s="13"/>
    </row>
    <row r="2243" spans="1:12" x14ac:dyDescent="0.25">
      <c r="A2243" s="3" t="s">
        <v>5301</v>
      </c>
      <c r="B2243" s="3" t="s">
        <v>5502</v>
      </c>
      <c r="C2243" s="3" t="s">
        <v>343</v>
      </c>
      <c r="D2243" s="9">
        <v>114.8</v>
      </c>
      <c r="E2243" s="3"/>
      <c r="F2243" s="3"/>
      <c r="G2243" s="9"/>
      <c r="H2243" s="10">
        <v>45678.382152777784</v>
      </c>
      <c r="I2243" s="10">
        <v>45678.383032407408</v>
      </c>
      <c r="J2243" s="10">
        <v>45678.386284722219</v>
      </c>
      <c r="K2243" s="11">
        <v>3.2523148148148151E-3</v>
      </c>
      <c r="L2243" s="13"/>
    </row>
    <row r="2244" spans="1:12" x14ac:dyDescent="0.25">
      <c r="A2244" s="3" t="s">
        <v>5301</v>
      </c>
      <c r="B2244" s="3" t="s">
        <v>5503</v>
      </c>
      <c r="C2244" s="3" t="s">
        <v>342</v>
      </c>
      <c r="D2244" s="9">
        <v>469.5</v>
      </c>
      <c r="E2244" s="3"/>
      <c r="F2244" s="3"/>
      <c r="G2244" s="9"/>
      <c r="H2244" s="10">
        <v>45678.383483796293</v>
      </c>
      <c r="I2244" s="10">
        <v>45678.387152777781</v>
      </c>
      <c r="J2244" s="10">
        <v>45678.400185185194</v>
      </c>
      <c r="K2244" s="11">
        <v>1.3032407407407409E-2</v>
      </c>
      <c r="L2244" s="13"/>
    </row>
    <row r="2245" spans="1:12" x14ac:dyDescent="0.25">
      <c r="A2245" s="3" t="s">
        <v>5301</v>
      </c>
      <c r="B2245" s="3" t="s">
        <v>5504</v>
      </c>
      <c r="C2245" s="3" t="s">
        <v>344</v>
      </c>
      <c r="D2245" s="9">
        <v>418.4</v>
      </c>
      <c r="E2245" s="3"/>
      <c r="F2245" s="3"/>
      <c r="G2245" s="9"/>
      <c r="H2245" s="10">
        <v>45678.429606481477</v>
      </c>
      <c r="I2245" s="10">
        <v>45678.430474537039</v>
      </c>
      <c r="J2245" s="10">
        <v>45678.436400462961</v>
      </c>
      <c r="K2245" s="11">
        <v>5.9259259259259256E-3</v>
      </c>
      <c r="L2245" s="13"/>
    </row>
    <row r="2246" spans="1:12" x14ac:dyDescent="0.25">
      <c r="A2246" s="3" t="s">
        <v>5301</v>
      </c>
      <c r="B2246" s="3" t="s">
        <v>5505</v>
      </c>
      <c r="C2246" s="3" t="s">
        <v>345</v>
      </c>
      <c r="D2246" s="9">
        <v>398</v>
      </c>
      <c r="E2246" s="3"/>
      <c r="F2246" s="3"/>
      <c r="G2246" s="9"/>
      <c r="H2246" s="10">
        <v>45678.610474537039</v>
      </c>
      <c r="I2246" s="10">
        <v>45678.611354166656</v>
      </c>
      <c r="J2246" s="10">
        <v>45678.614201388889</v>
      </c>
      <c r="K2246" s="11">
        <v>2.8472222222222219E-3</v>
      </c>
      <c r="L2246" s="13"/>
    </row>
    <row r="2247" spans="1:12" x14ac:dyDescent="0.25">
      <c r="A2247" s="3" t="s">
        <v>5301</v>
      </c>
      <c r="B2247" s="3" t="s">
        <v>5506</v>
      </c>
      <c r="C2247" s="3" t="s">
        <v>346</v>
      </c>
      <c r="D2247" s="9">
        <v>582.4</v>
      </c>
      <c r="E2247" s="3"/>
      <c r="F2247" s="3"/>
      <c r="G2247" s="9"/>
      <c r="H2247" s="10">
        <v>45678.625821759262</v>
      </c>
      <c r="I2247" s="10">
        <v>45678.626701388886</v>
      </c>
      <c r="J2247" s="10">
        <v>45678.640231481477</v>
      </c>
      <c r="K2247" s="11">
        <v>1.353009259259259E-2</v>
      </c>
      <c r="L2247" s="13"/>
    </row>
    <row r="2248" spans="1:12" x14ac:dyDescent="0.25">
      <c r="A2248" s="3" t="s">
        <v>5301</v>
      </c>
      <c r="B2248" s="3" t="s">
        <v>5507</v>
      </c>
      <c r="C2248" s="3" t="s">
        <v>347</v>
      </c>
      <c r="D2248" s="9">
        <v>125.9</v>
      </c>
      <c r="E2248" s="3"/>
      <c r="F2248" s="3"/>
      <c r="G2248" s="9"/>
      <c r="H2248" s="10">
        <v>45678.63108796296</v>
      </c>
      <c r="I2248" s="10">
        <v>45678.641099537039</v>
      </c>
      <c r="J2248" s="10">
        <v>45678.64329861111</v>
      </c>
      <c r="K2248" s="11">
        <v>2.1990740740740742E-3</v>
      </c>
      <c r="L2248" s="13"/>
    </row>
    <row r="2249" spans="1:12" x14ac:dyDescent="0.25">
      <c r="A2249" s="3" t="s">
        <v>5301</v>
      </c>
      <c r="B2249" s="3" t="s">
        <v>5508</v>
      </c>
      <c r="C2249" s="3" t="s">
        <v>348</v>
      </c>
      <c r="D2249" s="9">
        <v>187.4</v>
      </c>
      <c r="E2249" s="3"/>
      <c r="F2249" s="3"/>
      <c r="G2249" s="9"/>
      <c r="H2249" s="10">
        <v>45678.874548611107</v>
      </c>
      <c r="I2249" s="10">
        <v>45678.875428240739</v>
      </c>
      <c r="J2249" s="10">
        <v>45678.87777777778</v>
      </c>
      <c r="K2249" s="11">
        <v>2.3495370370370371E-3</v>
      </c>
      <c r="L2249" s="13"/>
    </row>
    <row r="2250" spans="1:12" x14ac:dyDescent="0.25">
      <c r="A2250" s="3" t="s">
        <v>5301</v>
      </c>
      <c r="B2250" s="3" t="s">
        <v>5509</v>
      </c>
      <c r="C2250" s="3" t="s">
        <v>349</v>
      </c>
      <c r="D2250" s="9">
        <v>298.60000000000002</v>
      </c>
      <c r="E2250" s="3"/>
      <c r="F2250" s="3"/>
      <c r="G2250" s="9"/>
      <c r="H2250" s="10">
        <v>45679.113668981481</v>
      </c>
      <c r="I2250" s="10">
        <v>45679.114537037043</v>
      </c>
      <c r="J2250" s="10">
        <v>45679.12127314815</v>
      </c>
      <c r="K2250" s="11">
        <v>6.7361111111111111E-3</v>
      </c>
      <c r="L2250" s="13"/>
    </row>
    <row r="2251" spans="1:12" x14ac:dyDescent="0.25">
      <c r="A2251" s="3" t="s">
        <v>5301</v>
      </c>
      <c r="B2251" s="3" t="s">
        <v>5510</v>
      </c>
      <c r="C2251" s="3" t="s">
        <v>350</v>
      </c>
      <c r="D2251" s="9">
        <v>366.6</v>
      </c>
      <c r="E2251" s="3"/>
      <c r="F2251" s="3"/>
      <c r="G2251" s="9"/>
      <c r="H2251" s="10">
        <v>45679.198020833333</v>
      </c>
      <c r="I2251" s="10">
        <v>45679.198900462958</v>
      </c>
      <c r="J2251" s="10">
        <v>45679.201736111107</v>
      </c>
      <c r="K2251" s="11">
        <v>2.8356481481481479E-3</v>
      </c>
      <c r="L2251" s="13"/>
    </row>
    <row r="2252" spans="1:12" x14ac:dyDescent="0.25">
      <c r="A2252" s="3" t="s">
        <v>5301</v>
      </c>
      <c r="B2252" s="3" t="s">
        <v>5511</v>
      </c>
      <c r="C2252" s="3" t="s">
        <v>351</v>
      </c>
      <c r="D2252" s="9">
        <v>291.7</v>
      </c>
      <c r="E2252" s="3"/>
      <c r="F2252" s="3"/>
      <c r="G2252" s="9"/>
      <c r="H2252" s="10">
        <v>45679.271782407413</v>
      </c>
      <c r="I2252" s="10">
        <v>45679.272650462961</v>
      </c>
      <c r="J2252" s="10">
        <v>45679.275243055563</v>
      </c>
      <c r="K2252" s="11">
        <v>2.592592592592593E-3</v>
      </c>
      <c r="L2252" s="13"/>
    </row>
    <row r="2253" spans="1:12" x14ac:dyDescent="0.25">
      <c r="A2253" s="3" t="s">
        <v>5301</v>
      </c>
      <c r="B2253" s="3" t="s">
        <v>5512</v>
      </c>
      <c r="C2253" s="3" t="s">
        <v>352</v>
      </c>
      <c r="D2253" s="9">
        <v>467.5</v>
      </c>
      <c r="E2253" s="3"/>
      <c r="F2253" s="3"/>
      <c r="G2253" s="9"/>
      <c r="H2253" s="10">
        <v>45679.301412037043</v>
      </c>
      <c r="I2253" s="10">
        <v>45679.302291666667</v>
      </c>
      <c r="J2253" s="10">
        <v>45679.320763888893</v>
      </c>
      <c r="K2253" s="11">
        <v>1.847222222222222E-2</v>
      </c>
      <c r="L2253" s="13"/>
    </row>
    <row r="2254" spans="1:12" x14ac:dyDescent="0.25">
      <c r="A2254" s="3" t="s">
        <v>5301</v>
      </c>
      <c r="B2254" s="3" t="s">
        <v>5513</v>
      </c>
      <c r="C2254" s="3" t="s">
        <v>353</v>
      </c>
      <c r="D2254" s="9">
        <v>330.7</v>
      </c>
      <c r="E2254" s="3"/>
      <c r="F2254" s="3"/>
      <c r="G2254" s="9"/>
      <c r="H2254" s="10">
        <v>45679.318854166668</v>
      </c>
      <c r="I2254" s="10">
        <v>45679.321631944447</v>
      </c>
      <c r="J2254" s="10">
        <v>45679.321631944447</v>
      </c>
      <c r="K2254" s="11">
        <v>0</v>
      </c>
      <c r="L2254" s="13"/>
    </row>
    <row r="2255" spans="1:12" x14ac:dyDescent="0.25">
      <c r="A2255" s="3" t="s">
        <v>5301</v>
      </c>
      <c r="B2255" s="3" t="s">
        <v>5514</v>
      </c>
      <c r="C2255" s="3" t="s">
        <v>354</v>
      </c>
      <c r="D2255" s="9">
        <v>295.39999999999998</v>
      </c>
      <c r="E2255" s="3"/>
      <c r="F2255" s="3"/>
      <c r="G2255" s="9"/>
      <c r="H2255" s="10">
        <v>45679.339016203703</v>
      </c>
      <c r="I2255" s="10">
        <v>45679.339803240742</v>
      </c>
      <c r="J2255" s="10">
        <v>45679.339803240742</v>
      </c>
      <c r="K2255" s="11">
        <v>0</v>
      </c>
      <c r="L2255" s="13"/>
    </row>
    <row r="2256" spans="1:12" x14ac:dyDescent="0.25">
      <c r="A2256" s="3" t="s">
        <v>5301</v>
      </c>
      <c r="B2256" s="3" t="s">
        <v>5515</v>
      </c>
      <c r="C2256" s="3" t="s">
        <v>355</v>
      </c>
      <c r="D2256" s="9">
        <v>331.2</v>
      </c>
      <c r="E2256" s="3"/>
      <c r="F2256" s="3"/>
      <c r="G2256" s="9"/>
      <c r="H2256" s="10">
        <v>45679.35733796296</v>
      </c>
      <c r="I2256" s="10">
        <v>45679.358217592591</v>
      </c>
      <c r="J2256" s="10">
        <v>45679.361226851863</v>
      </c>
      <c r="K2256" s="11">
        <v>3.0092592592592588E-3</v>
      </c>
      <c r="L2256" s="13"/>
    </row>
    <row r="2257" spans="1:12" x14ac:dyDescent="0.25">
      <c r="A2257" s="3" t="s">
        <v>5301</v>
      </c>
      <c r="B2257" s="3" t="s">
        <v>5516</v>
      </c>
      <c r="C2257" s="3" t="s">
        <v>356</v>
      </c>
      <c r="D2257" s="9">
        <v>515.20000000000005</v>
      </c>
      <c r="E2257" s="3"/>
      <c r="F2257" s="3"/>
      <c r="G2257" s="9"/>
      <c r="H2257" s="10">
        <v>45679.399456018517</v>
      </c>
      <c r="I2257" s="10">
        <v>45679.400254629632</v>
      </c>
      <c r="J2257" s="10">
        <v>45679.418900462973</v>
      </c>
      <c r="K2257" s="11">
        <v>1.864583333333333E-2</v>
      </c>
      <c r="L2257" s="13"/>
    </row>
    <row r="2258" spans="1:12" x14ac:dyDescent="0.25">
      <c r="A2258" s="3" t="s">
        <v>5301</v>
      </c>
      <c r="B2258" s="3" t="s">
        <v>5517</v>
      </c>
      <c r="C2258" s="3" t="s">
        <v>357</v>
      </c>
      <c r="D2258" s="9">
        <v>446.2</v>
      </c>
      <c r="E2258" s="3"/>
      <c r="F2258" s="3"/>
      <c r="G2258" s="9"/>
      <c r="H2258" s="10">
        <v>45679.441099537027</v>
      </c>
      <c r="I2258" s="10">
        <v>45679.441967592589</v>
      </c>
      <c r="J2258" s="10">
        <v>45679.444131944438</v>
      </c>
      <c r="K2258" s="11">
        <v>2.1643518518518522E-3</v>
      </c>
      <c r="L2258" s="13"/>
    </row>
    <row r="2259" spans="1:12" x14ac:dyDescent="0.25">
      <c r="A2259" s="3" t="s">
        <v>5301</v>
      </c>
      <c r="B2259" s="3" t="s">
        <v>5518</v>
      </c>
      <c r="C2259" s="3" t="s">
        <v>358</v>
      </c>
      <c r="D2259" s="9">
        <v>33.9</v>
      </c>
      <c r="E2259" s="3"/>
      <c r="F2259" s="3"/>
      <c r="G2259" s="9"/>
      <c r="H2259" s="10">
        <v>45679.545868055553</v>
      </c>
      <c r="I2259" s="10">
        <v>45679.546666666669</v>
      </c>
      <c r="J2259" s="10">
        <v>45679.548217592594</v>
      </c>
      <c r="K2259" s="11">
        <v>1.5509259259259261E-3</v>
      </c>
      <c r="L2259" s="13"/>
    </row>
    <row r="2260" spans="1:12" x14ac:dyDescent="0.25">
      <c r="A2260" s="3" t="s">
        <v>5301</v>
      </c>
      <c r="B2260" s="3" t="s">
        <v>5519</v>
      </c>
      <c r="C2260" s="3" t="s">
        <v>359</v>
      </c>
      <c r="D2260" s="9">
        <v>63</v>
      </c>
      <c r="E2260" s="3"/>
      <c r="F2260" s="3"/>
      <c r="G2260" s="9"/>
      <c r="H2260" s="10">
        <v>45679.63789351852</v>
      </c>
      <c r="I2260" s="10">
        <v>45679.638773148137</v>
      </c>
      <c r="J2260" s="10">
        <v>45679.640393518523</v>
      </c>
      <c r="K2260" s="11">
        <v>1.6203703703703701E-3</v>
      </c>
      <c r="L2260" s="13"/>
    </row>
    <row r="2261" spans="1:12" x14ac:dyDescent="0.25">
      <c r="A2261" s="3" t="s">
        <v>5301</v>
      </c>
      <c r="B2261" s="3" t="s">
        <v>5520</v>
      </c>
      <c r="C2261" s="3" t="s">
        <v>361</v>
      </c>
      <c r="D2261" s="9">
        <v>325.39999999999998</v>
      </c>
      <c r="E2261" s="3"/>
      <c r="F2261" s="3"/>
      <c r="G2261" s="9"/>
      <c r="H2261" s="10">
        <v>45679.738634259258</v>
      </c>
      <c r="I2261" s="10">
        <v>45679.739502314813</v>
      </c>
      <c r="J2261" s="10">
        <v>45679.741377314807</v>
      </c>
      <c r="K2261" s="11">
        <v>1.8749999999999999E-3</v>
      </c>
      <c r="L2261" s="13"/>
    </row>
    <row r="2262" spans="1:12" x14ac:dyDescent="0.25">
      <c r="A2262" s="3" t="s">
        <v>5301</v>
      </c>
      <c r="B2262" s="3" t="s">
        <v>5521</v>
      </c>
      <c r="C2262" s="3" t="s">
        <v>360</v>
      </c>
      <c r="D2262" s="9">
        <v>591.5</v>
      </c>
      <c r="E2262" s="3"/>
      <c r="F2262" s="3"/>
      <c r="G2262" s="9"/>
      <c r="H2262" s="10">
        <v>45679.743576388893</v>
      </c>
      <c r="I2262" s="10">
        <v>45679.744444444441</v>
      </c>
      <c r="J2262" s="10">
        <v>45679.76121527778</v>
      </c>
      <c r="K2262" s="11">
        <v>1.6770833333333329E-2</v>
      </c>
      <c r="L2262" s="13"/>
    </row>
    <row r="2263" spans="1:12" x14ac:dyDescent="0.25">
      <c r="A2263" s="3" t="s">
        <v>5301</v>
      </c>
      <c r="B2263" s="3" t="s">
        <v>5522</v>
      </c>
      <c r="C2263" s="3" t="s">
        <v>362</v>
      </c>
      <c r="D2263" s="9">
        <v>74.599999999999994</v>
      </c>
      <c r="E2263" s="3"/>
      <c r="F2263" s="3"/>
      <c r="G2263" s="9"/>
      <c r="H2263" s="10">
        <v>45679.747025462973</v>
      </c>
      <c r="I2263" s="10">
        <v>45679.762002314812</v>
      </c>
      <c r="J2263" s="10">
        <v>45679.762002314812</v>
      </c>
      <c r="K2263" s="11">
        <v>0</v>
      </c>
      <c r="L2263" s="13"/>
    </row>
    <row r="2264" spans="1:12" x14ac:dyDescent="0.25">
      <c r="A2264" s="3" t="s">
        <v>5301</v>
      </c>
      <c r="B2264" s="3" t="s">
        <v>5523</v>
      </c>
      <c r="C2264" s="3" t="s">
        <v>363</v>
      </c>
      <c r="D2264" s="9">
        <v>298.7</v>
      </c>
      <c r="E2264" s="3"/>
      <c r="F2264" s="3"/>
      <c r="G2264" s="9"/>
      <c r="H2264" s="10">
        <v>45679.849120370367</v>
      </c>
      <c r="I2264" s="10">
        <v>45679.849988425929</v>
      </c>
      <c r="J2264" s="10">
        <v>45679.864236111112</v>
      </c>
      <c r="K2264" s="11">
        <v>1.4247685185185179E-2</v>
      </c>
      <c r="L2264" s="13"/>
    </row>
    <row r="2265" spans="1:12" x14ac:dyDescent="0.25">
      <c r="A2265" s="3" t="s">
        <v>5301</v>
      </c>
      <c r="B2265" s="3" t="s">
        <v>5524</v>
      </c>
      <c r="C2265" s="3" t="s">
        <v>364</v>
      </c>
      <c r="D2265" s="9">
        <v>310.39999999999998</v>
      </c>
      <c r="E2265" s="3"/>
      <c r="F2265" s="3"/>
      <c r="G2265" s="9"/>
      <c r="H2265" s="10">
        <v>45680.122650462959</v>
      </c>
      <c r="I2265" s="10">
        <v>45680.123437499999</v>
      </c>
      <c r="J2265" s="10">
        <v>45680.130208333343</v>
      </c>
      <c r="K2265" s="11">
        <v>6.7708333333333344E-3</v>
      </c>
      <c r="L2265" s="13"/>
    </row>
    <row r="2266" spans="1:12" x14ac:dyDescent="0.25">
      <c r="A2266" s="3" t="s">
        <v>5301</v>
      </c>
      <c r="B2266" s="3" t="s">
        <v>5525</v>
      </c>
      <c r="C2266" s="3" t="s">
        <v>365</v>
      </c>
      <c r="D2266" s="9">
        <v>144.4</v>
      </c>
      <c r="E2266" s="3"/>
      <c r="F2266" s="3"/>
      <c r="G2266" s="9"/>
      <c r="H2266" s="10">
        <v>45680.268993055557</v>
      </c>
      <c r="I2266" s="10">
        <v>45680.269861111112</v>
      </c>
      <c r="J2266" s="10">
        <v>45680.272175925929</v>
      </c>
      <c r="K2266" s="11">
        <v>2.3148148148148151E-3</v>
      </c>
      <c r="L2266" s="13"/>
    </row>
    <row r="2267" spans="1:12" x14ac:dyDescent="0.25">
      <c r="A2267" s="3" t="s">
        <v>5301</v>
      </c>
      <c r="B2267" s="3" t="s">
        <v>5526</v>
      </c>
      <c r="C2267" s="3" t="s">
        <v>366</v>
      </c>
      <c r="D2267" s="9">
        <v>257.60000000000002</v>
      </c>
      <c r="E2267" s="3"/>
      <c r="F2267" s="3"/>
      <c r="G2267" s="9"/>
      <c r="H2267" s="10">
        <v>45680.295439814807</v>
      </c>
      <c r="I2267" s="10">
        <v>45680.296226851853</v>
      </c>
      <c r="J2267" s="10">
        <v>45680.304791666669</v>
      </c>
      <c r="K2267" s="11">
        <v>8.564814814814815E-3</v>
      </c>
      <c r="L2267" s="13"/>
    </row>
    <row r="2268" spans="1:12" x14ac:dyDescent="0.25">
      <c r="A2268" s="3" t="s">
        <v>5301</v>
      </c>
      <c r="B2268" s="3" t="s">
        <v>5527</v>
      </c>
      <c r="C2268" s="3" t="s">
        <v>367</v>
      </c>
      <c r="D2268" s="9">
        <v>205.5</v>
      </c>
      <c r="E2268" s="3"/>
      <c r="F2268" s="3"/>
      <c r="G2268" s="9"/>
      <c r="H2268" s="10">
        <v>45680.301238425927</v>
      </c>
      <c r="I2268" s="10">
        <v>45680.305659722217</v>
      </c>
      <c r="J2268" s="10">
        <v>45680.305659722217</v>
      </c>
      <c r="K2268" s="11">
        <v>0</v>
      </c>
      <c r="L2268" s="13"/>
    </row>
    <row r="2269" spans="1:12" x14ac:dyDescent="0.25">
      <c r="A2269" s="3" t="s">
        <v>5301</v>
      </c>
      <c r="B2269" s="3" t="s">
        <v>5528</v>
      </c>
      <c r="C2269" s="3" t="s">
        <v>368</v>
      </c>
      <c r="D2269" s="9">
        <v>397.3</v>
      </c>
      <c r="E2269" s="3"/>
      <c r="F2269" s="3"/>
      <c r="G2269" s="9"/>
      <c r="H2269" s="10">
        <v>45680.327569444453</v>
      </c>
      <c r="I2269" s="10">
        <v>45680.328298611108</v>
      </c>
      <c r="J2269" s="10">
        <v>45680.328298611108</v>
      </c>
      <c r="K2269" s="11">
        <v>0</v>
      </c>
      <c r="L2269" s="13"/>
    </row>
    <row r="2270" spans="1:12" x14ac:dyDescent="0.25">
      <c r="A2270" s="3" t="s">
        <v>5301</v>
      </c>
      <c r="B2270" s="3" t="s">
        <v>5529</v>
      </c>
      <c r="C2270" s="3" t="s">
        <v>369</v>
      </c>
      <c r="D2270" s="9">
        <v>396.5</v>
      </c>
      <c r="E2270" s="3"/>
      <c r="F2270" s="3"/>
      <c r="G2270" s="9"/>
      <c r="H2270" s="10">
        <v>45680.370289351849</v>
      </c>
      <c r="I2270" s="10">
        <v>45680.371157407397</v>
      </c>
      <c r="J2270" s="10">
        <v>45680.375648148147</v>
      </c>
      <c r="K2270" s="11">
        <v>4.4907407407407396E-3</v>
      </c>
      <c r="L2270" s="13"/>
    </row>
    <row r="2271" spans="1:12" x14ac:dyDescent="0.25">
      <c r="A2271" s="3" t="s">
        <v>5301</v>
      </c>
      <c r="B2271" s="3" t="s">
        <v>5530</v>
      </c>
      <c r="C2271" s="3" t="s">
        <v>370</v>
      </c>
      <c r="D2271" s="9">
        <v>543.9</v>
      </c>
      <c r="E2271" s="3"/>
      <c r="F2271" s="3"/>
      <c r="G2271" s="9"/>
      <c r="H2271" s="10">
        <v>45680.397777777784</v>
      </c>
      <c r="I2271" s="10">
        <v>45680.398518518523</v>
      </c>
      <c r="J2271" s="10">
        <v>45680.417210648149</v>
      </c>
      <c r="K2271" s="11">
        <v>1.8692129629629631E-2</v>
      </c>
      <c r="L2271" s="13"/>
    </row>
    <row r="2272" spans="1:12" x14ac:dyDescent="0.25">
      <c r="A2272" s="3" t="s">
        <v>5301</v>
      </c>
      <c r="B2272" s="3" t="s">
        <v>5531</v>
      </c>
      <c r="C2272" s="3" t="s">
        <v>371</v>
      </c>
      <c r="D2272" s="9">
        <v>448.7</v>
      </c>
      <c r="E2272" s="3"/>
      <c r="F2272" s="3"/>
      <c r="G2272" s="9"/>
      <c r="H2272" s="10">
        <v>45680.447870370372</v>
      </c>
      <c r="I2272" s="10">
        <v>45680.448634259257</v>
      </c>
      <c r="J2272" s="10">
        <v>45680.451493055552</v>
      </c>
      <c r="K2272" s="11">
        <v>2.8587962962962959E-3</v>
      </c>
      <c r="L2272" s="13"/>
    </row>
    <row r="2273" spans="1:12" x14ac:dyDescent="0.25">
      <c r="A2273" s="3" t="s">
        <v>5301</v>
      </c>
      <c r="B2273" s="3" t="s">
        <v>5532</v>
      </c>
      <c r="C2273" s="3" t="s">
        <v>372</v>
      </c>
      <c r="D2273" s="9">
        <v>396.6</v>
      </c>
      <c r="E2273" s="3"/>
      <c r="F2273" s="3"/>
      <c r="G2273" s="9"/>
      <c r="H2273" s="10">
        <v>45680.610115740739</v>
      </c>
      <c r="I2273" s="10">
        <v>45680.610983796287</v>
      </c>
      <c r="J2273" s="10">
        <v>45680.613252314812</v>
      </c>
      <c r="K2273" s="11">
        <v>2.2685185185185191E-3</v>
      </c>
      <c r="L2273" s="13"/>
    </row>
    <row r="2274" spans="1:12" x14ac:dyDescent="0.25">
      <c r="A2274" s="3" t="s">
        <v>5301</v>
      </c>
      <c r="B2274" s="3" t="s">
        <v>5533</v>
      </c>
      <c r="C2274" s="3" t="s">
        <v>373</v>
      </c>
      <c r="D2274" s="9">
        <v>318.39999999999998</v>
      </c>
      <c r="E2274" s="3"/>
      <c r="F2274" s="3"/>
      <c r="G2274" s="9"/>
      <c r="H2274" s="10">
        <v>45680.62604166667</v>
      </c>
      <c r="I2274" s="10">
        <v>45680.626909722218</v>
      </c>
      <c r="J2274" s="10">
        <v>45680.638229166667</v>
      </c>
      <c r="K2274" s="11">
        <v>1.1319444444444439E-2</v>
      </c>
      <c r="L2274" s="13"/>
    </row>
    <row r="2275" spans="1:12" x14ac:dyDescent="0.25">
      <c r="A2275" s="3" t="s">
        <v>5301</v>
      </c>
      <c r="B2275" s="3" t="s">
        <v>5534</v>
      </c>
      <c r="C2275" s="3" t="s">
        <v>374</v>
      </c>
      <c r="D2275" s="9">
        <v>94.4</v>
      </c>
      <c r="E2275" s="3"/>
      <c r="F2275" s="3"/>
      <c r="G2275" s="9"/>
      <c r="H2275" s="10">
        <v>45680.648252314822</v>
      </c>
      <c r="I2275" s="10">
        <v>45680.649039351847</v>
      </c>
      <c r="J2275" s="10">
        <v>45680.649039351847</v>
      </c>
      <c r="K2275" s="11">
        <v>0</v>
      </c>
      <c r="L2275" s="13"/>
    </row>
    <row r="2276" spans="1:12" x14ac:dyDescent="0.25">
      <c r="A2276" s="3" t="s">
        <v>5301</v>
      </c>
      <c r="B2276" s="3" t="s">
        <v>5535</v>
      </c>
      <c r="C2276" s="3" t="s">
        <v>375</v>
      </c>
      <c r="D2276" s="9">
        <v>144.4</v>
      </c>
      <c r="E2276" s="3"/>
      <c r="F2276" s="3"/>
      <c r="G2276" s="9"/>
      <c r="H2276" s="10">
        <v>45680.661631944437</v>
      </c>
      <c r="I2276" s="10">
        <v>45680.662499999999</v>
      </c>
      <c r="J2276" s="10">
        <v>45680.662499999999</v>
      </c>
      <c r="K2276" s="11">
        <v>0</v>
      </c>
      <c r="L2276" s="13"/>
    </row>
    <row r="2277" spans="1:12" x14ac:dyDescent="0.25">
      <c r="A2277" s="3" t="s">
        <v>5301</v>
      </c>
      <c r="B2277" s="3" t="s">
        <v>5536</v>
      </c>
      <c r="C2277" s="3" t="s">
        <v>376</v>
      </c>
      <c r="D2277" s="9">
        <v>331.3</v>
      </c>
      <c r="E2277" s="3"/>
      <c r="F2277" s="3"/>
      <c r="G2277" s="9"/>
      <c r="H2277" s="10">
        <v>45680.727743055562</v>
      </c>
      <c r="I2277" s="10">
        <v>45680.728530092587</v>
      </c>
      <c r="J2277" s="10">
        <v>45680.74832175926</v>
      </c>
      <c r="K2277" s="11">
        <v>1.9791666666666669E-2</v>
      </c>
      <c r="L2277" s="13"/>
    </row>
    <row r="2278" spans="1:12" x14ac:dyDescent="0.25">
      <c r="A2278" s="3" t="s">
        <v>5301</v>
      </c>
      <c r="B2278" s="3" t="s">
        <v>5537</v>
      </c>
      <c r="C2278" s="3" t="s">
        <v>377</v>
      </c>
      <c r="D2278" s="9">
        <v>54.7</v>
      </c>
      <c r="E2278" s="3"/>
      <c r="F2278" s="3"/>
      <c r="G2278" s="9"/>
      <c r="H2278" s="10">
        <v>45680.737800925926</v>
      </c>
      <c r="I2278" s="10">
        <v>45680.749189814807</v>
      </c>
      <c r="J2278" s="10">
        <v>45680.751122685193</v>
      </c>
      <c r="K2278" s="11">
        <v>1.93287037037037E-3</v>
      </c>
      <c r="L2278" s="13"/>
    </row>
    <row r="2279" spans="1:12" x14ac:dyDescent="0.25">
      <c r="A2279" s="3" t="s">
        <v>5301</v>
      </c>
      <c r="B2279" s="3" t="s">
        <v>5538</v>
      </c>
      <c r="C2279" s="3" t="s">
        <v>378</v>
      </c>
      <c r="D2279" s="9">
        <v>85.5</v>
      </c>
      <c r="E2279" s="3"/>
      <c r="F2279" s="3"/>
      <c r="G2279" s="9"/>
      <c r="H2279" s="10">
        <v>45680.878599537027</v>
      </c>
      <c r="I2279" s="10">
        <v>45680.879467592589</v>
      </c>
      <c r="J2279" s="10">
        <v>45680.881122685183</v>
      </c>
      <c r="K2279" s="11">
        <v>1.655092592592593E-3</v>
      </c>
      <c r="L2279" s="13"/>
    </row>
    <row r="2280" spans="1:12" x14ac:dyDescent="0.25">
      <c r="A2280" s="3" t="s">
        <v>5301</v>
      </c>
      <c r="B2280" s="3" t="s">
        <v>5539</v>
      </c>
      <c r="C2280" s="3" t="s">
        <v>379</v>
      </c>
      <c r="D2280" s="9">
        <v>295.2</v>
      </c>
      <c r="E2280" s="3"/>
      <c r="F2280" s="3"/>
      <c r="G2280" s="9"/>
      <c r="H2280" s="10">
        <v>45681.121678240743</v>
      </c>
      <c r="I2280" s="10">
        <v>45681.122465277767</v>
      </c>
      <c r="J2280" s="10">
        <v>45681.131111111114</v>
      </c>
      <c r="K2280" s="11">
        <v>8.6458333333333335E-3</v>
      </c>
      <c r="L2280" s="13"/>
    </row>
    <row r="2281" spans="1:12" x14ac:dyDescent="0.25">
      <c r="A2281" s="3" t="s">
        <v>5301</v>
      </c>
      <c r="B2281" s="3" t="s">
        <v>5540</v>
      </c>
      <c r="C2281" s="3" t="s">
        <v>380</v>
      </c>
      <c r="D2281" s="9">
        <v>118.2</v>
      </c>
      <c r="E2281" s="3"/>
      <c r="F2281" s="3"/>
      <c r="G2281" s="9"/>
      <c r="H2281" s="10">
        <v>45681.19431712963</v>
      </c>
      <c r="I2281" s="10">
        <v>45681.195185185177</v>
      </c>
      <c r="J2281" s="10">
        <v>45681.197175925918</v>
      </c>
      <c r="K2281" s="11">
        <v>1.9907407407407408E-3</v>
      </c>
      <c r="L2281" s="13"/>
    </row>
    <row r="2282" spans="1:12" x14ac:dyDescent="0.25">
      <c r="A2282" s="3" t="s">
        <v>5301</v>
      </c>
      <c r="B2282" s="3" t="s">
        <v>5541</v>
      </c>
      <c r="C2282" s="3" t="s">
        <v>381</v>
      </c>
      <c r="D2282" s="9">
        <v>297</v>
      </c>
      <c r="E2282" s="3"/>
      <c r="F2282" s="3"/>
      <c r="G2282" s="9"/>
      <c r="H2282" s="10">
        <v>45681.264988425923</v>
      </c>
      <c r="I2282" s="10">
        <v>45681.265775462962</v>
      </c>
      <c r="J2282" s="10">
        <v>45681.267592592587</v>
      </c>
      <c r="K2282" s="11">
        <v>1.8171296296296299E-3</v>
      </c>
      <c r="L2282" s="13"/>
    </row>
    <row r="2283" spans="1:12" x14ac:dyDescent="0.25">
      <c r="A2283" s="3" t="s">
        <v>5301</v>
      </c>
      <c r="B2283" s="3" t="s">
        <v>5542</v>
      </c>
      <c r="C2283" s="3" t="s">
        <v>382</v>
      </c>
      <c r="D2283" s="9">
        <v>240.4</v>
      </c>
      <c r="E2283" s="3"/>
      <c r="F2283" s="3"/>
      <c r="G2283" s="9"/>
      <c r="H2283" s="10">
        <v>45681.296087962961</v>
      </c>
      <c r="I2283" s="10">
        <v>45681.296956018523</v>
      </c>
      <c r="J2283" s="10">
        <v>45681.299201388887</v>
      </c>
      <c r="K2283" s="11">
        <v>2.2453703703703698E-3</v>
      </c>
      <c r="L2283" s="13"/>
    </row>
    <row r="2284" spans="1:12" x14ac:dyDescent="0.25">
      <c r="A2284" s="3" t="s">
        <v>5301</v>
      </c>
      <c r="B2284" s="3" t="s">
        <v>5543</v>
      </c>
      <c r="C2284" s="3" t="s">
        <v>384</v>
      </c>
      <c r="D2284" s="9">
        <v>390.5</v>
      </c>
      <c r="E2284" s="3"/>
      <c r="F2284" s="3"/>
      <c r="G2284" s="9"/>
      <c r="H2284" s="10">
        <v>45681.311932870369</v>
      </c>
      <c r="I2284" s="10">
        <v>45681.3128125</v>
      </c>
      <c r="J2284" s="10">
        <v>45681.3128125</v>
      </c>
      <c r="K2284" s="11">
        <v>0</v>
      </c>
      <c r="L2284" s="13"/>
    </row>
    <row r="2285" spans="1:12" x14ac:dyDescent="0.25">
      <c r="A2285" s="3" t="s">
        <v>5301</v>
      </c>
      <c r="B2285" s="3" t="s">
        <v>5544</v>
      </c>
      <c r="C2285" s="3" t="s">
        <v>383</v>
      </c>
      <c r="D2285" s="9">
        <v>406.2</v>
      </c>
      <c r="E2285" s="3"/>
      <c r="F2285" s="3"/>
      <c r="G2285" s="9"/>
      <c r="H2285" s="10">
        <v>45681.319907407407</v>
      </c>
      <c r="I2285" s="10">
        <v>45681.320787037039</v>
      </c>
      <c r="J2285" s="10">
        <v>45681.330509259264</v>
      </c>
      <c r="K2285" s="11">
        <v>9.7222222222222224E-3</v>
      </c>
      <c r="L2285" s="13"/>
    </row>
    <row r="2286" spans="1:12" x14ac:dyDescent="0.25">
      <c r="A2286" s="3" t="s">
        <v>5301</v>
      </c>
      <c r="B2286" s="3" t="s">
        <v>5545</v>
      </c>
      <c r="C2286" s="3" t="s">
        <v>385</v>
      </c>
      <c r="D2286" s="9">
        <v>147.80000000000001</v>
      </c>
      <c r="E2286" s="3"/>
      <c r="F2286" s="3"/>
      <c r="G2286" s="9"/>
      <c r="H2286" s="10">
        <v>45681.372094907398</v>
      </c>
      <c r="I2286" s="10">
        <v>45681.372974537036</v>
      </c>
      <c r="J2286" s="10">
        <v>45681.376319444447</v>
      </c>
      <c r="K2286" s="11">
        <v>3.344907407407408E-3</v>
      </c>
      <c r="L2286" s="13"/>
    </row>
    <row r="2287" spans="1:12" x14ac:dyDescent="0.25">
      <c r="A2287" s="3" t="s">
        <v>5301</v>
      </c>
      <c r="B2287" s="3" t="s">
        <v>5546</v>
      </c>
      <c r="C2287" s="3" t="s">
        <v>386</v>
      </c>
      <c r="D2287" s="9">
        <v>318.8</v>
      </c>
      <c r="E2287" s="3"/>
      <c r="F2287" s="3"/>
      <c r="G2287" s="9"/>
      <c r="H2287" s="10">
        <v>45681.38989583333</v>
      </c>
      <c r="I2287" s="10">
        <v>45681.390763888892</v>
      </c>
      <c r="J2287" s="10">
        <v>45681.399039351847</v>
      </c>
      <c r="K2287" s="11">
        <v>8.2754629629629636E-3</v>
      </c>
      <c r="L2287" s="13"/>
    </row>
    <row r="2288" spans="1:12" x14ac:dyDescent="0.25">
      <c r="A2288" s="3" t="s">
        <v>5301</v>
      </c>
      <c r="B2288" s="3" t="s">
        <v>5547</v>
      </c>
      <c r="C2288" s="3" t="s">
        <v>387</v>
      </c>
      <c r="D2288" s="9">
        <v>437.5</v>
      </c>
      <c r="E2288" s="3"/>
      <c r="F2288" s="3"/>
      <c r="G2288" s="9"/>
      <c r="H2288" s="10">
        <v>45681.420937499999</v>
      </c>
      <c r="I2288" s="10">
        <v>45681.421805555547</v>
      </c>
      <c r="J2288" s="10">
        <v>45681.423078703701</v>
      </c>
      <c r="K2288" s="11">
        <v>1.273148148148148E-3</v>
      </c>
      <c r="L2288" s="13"/>
    </row>
    <row r="2289" spans="1:12" x14ac:dyDescent="0.25">
      <c r="A2289" s="3" t="s">
        <v>5301</v>
      </c>
      <c r="B2289" s="3" t="s">
        <v>5548</v>
      </c>
      <c r="C2289" s="3" t="s">
        <v>388</v>
      </c>
      <c r="D2289" s="9">
        <v>177.5</v>
      </c>
      <c r="E2289" s="3"/>
      <c r="F2289" s="3"/>
      <c r="G2289" s="9"/>
      <c r="H2289" s="10">
        <v>45681.548506944448</v>
      </c>
      <c r="I2289" s="10">
        <v>45681.549386574072</v>
      </c>
      <c r="J2289" s="10">
        <v>45681.551481481481</v>
      </c>
      <c r="K2289" s="11">
        <v>2.0949074074074069E-3</v>
      </c>
      <c r="L2289" s="13"/>
    </row>
    <row r="2290" spans="1:12" x14ac:dyDescent="0.25">
      <c r="A2290" s="3" t="s">
        <v>5301</v>
      </c>
      <c r="B2290" s="3" t="s">
        <v>5549</v>
      </c>
      <c r="C2290" s="3" t="s">
        <v>389</v>
      </c>
      <c r="D2290" s="9">
        <v>296.10000000000002</v>
      </c>
      <c r="E2290" s="3"/>
      <c r="F2290" s="3"/>
      <c r="G2290" s="9"/>
      <c r="H2290" s="10">
        <v>45681.610162037039</v>
      </c>
      <c r="I2290" s="10">
        <v>45681.611030092587</v>
      </c>
      <c r="J2290" s="10">
        <v>45681.613634259258</v>
      </c>
      <c r="K2290" s="11">
        <v>2.604166666666667E-3</v>
      </c>
      <c r="L2290" s="13"/>
    </row>
    <row r="2291" spans="1:12" x14ac:dyDescent="0.25">
      <c r="A2291" s="3" t="s">
        <v>5301</v>
      </c>
      <c r="B2291" s="3" t="s">
        <v>5550</v>
      </c>
      <c r="C2291" s="3" t="s">
        <v>390</v>
      </c>
      <c r="D2291" s="9">
        <v>313</v>
      </c>
      <c r="E2291" s="3"/>
      <c r="F2291" s="3"/>
      <c r="G2291" s="9"/>
      <c r="H2291" s="10">
        <v>45681.635740740741</v>
      </c>
      <c r="I2291" s="10">
        <v>45681.63652777778</v>
      </c>
      <c r="J2291" s="10">
        <v>45681.648819444446</v>
      </c>
      <c r="K2291" s="11">
        <v>1.2291666666666669E-2</v>
      </c>
      <c r="L2291" s="13"/>
    </row>
    <row r="2292" spans="1:12" x14ac:dyDescent="0.25">
      <c r="A2292" s="3" t="s">
        <v>5301</v>
      </c>
      <c r="B2292" s="3" t="s">
        <v>5551</v>
      </c>
      <c r="C2292" s="3" t="s">
        <v>391</v>
      </c>
      <c r="D2292" s="9">
        <v>15.7</v>
      </c>
      <c r="E2292" s="3"/>
      <c r="F2292" s="3"/>
      <c r="G2292" s="9"/>
      <c r="H2292" s="10">
        <v>45681.636874999997</v>
      </c>
      <c r="I2292" s="10">
        <v>45681.649699074071</v>
      </c>
      <c r="J2292" s="10">
        <v>45681.649699074071</v>
      </c>
      <c r="K2292" s="11">
        <v>0</v>
      </c>
      <c r="L2292" s="13"/>
    </row>
    <row r="2293" spans="1:12" x14ac:dyDescent="0.25">
      <c r="A2293" s="3" t="s">
        <v>5301</v>
      </c>
      <c r="B2293" s="3" t="s">
        <v>5552</v>
      </c>
      <c r="C2293" s="3" t="s">
        <v>393</v>
      </c>
      <c r="D2293" s="9">
        <v>134.69999999999999</v>
      </c>
      <c r="E2293" s="3"/>
      <c r="F2293" s="3"/>
      <c r="G2293" s="9"/>
      <c r="H2293" s="10">
        <v>45681.734432870369</v>
      </c>
      <c r="I2293" s="10">
        <v>45681.735300925917</v>
      </c>
      <c r="J2293" s="10">
        <v>45681.736932870372</v>
      </c>
      <c r="K2293" s="11">
        <v>1.631944444444445E-3</v>
      </c>
      <c r="L2293" s="13"/>
    </row>
    <row r="2294" spans="1:12" x14ac:dyDescent="0.25">
      <c r="A2294" s="3" t="s">
        <v>5301</v>
      </c>
      <c r="B2294" s="3" t="s">
        <v>5553</v>
      </c>
      <c r="C2294" s="3" t="s">
        <v>392</v>
      </c>
      <c r="D2294" s="9">
        <v>232.4</v>
      </c>
      <c r="E2294" s="3"/>
      <c r="F2294" s="3"/>
      <c r="G2294" s="9"/>
      <c r="H2294" s="10">
        <v>45681.735266203701</v>
      </c>
      <c r="I2294" s="10">
        <v>45681.737812500003</v>
      </c>
      <c r="J2294" s="10">
        <v>45681.740266203713</v>
      </c>
      <c r="K2294" s="11">
        <v>2.453703703703704E-3</v>
      </c>
      <c r="L2294" s="13"/>
    </row>
    <row r="2295" spans="1:12" x14ac:dyDescent="0.25">
      <c r="A2295" s="3" t="s">
        <v>5301</v>
      </c>
      <c r="B2295" s="3" t="s">
        <v>5554</v>
      </c>
      <c r="C2295" s="3" t="s">
        <v>394</v>
      </c>
      <c r="D2295" s="9">
        <v>582.5</v>
      </c>
      <c r="E2295" s="3"/>
      <c r="F2295" s="3"/>
      <c r="G2295" s="9"/>
      <c r="H2295" s="10">
        <v>45682.081909722219</v>
      </c>
      <c r="I2295" s="10">
        <v>45682.082777777781</v>
      </c>
      <c r="J2295" s="10">
        <v>45682.088738425933</v>
      </c>
      <c r="K2295" s="11">
        <v>5.9606481481481481E-3</v>
      </c>
      <c r="L2295" s="13"/>
    </row>
    <row r="2296" spans="1:12" x14ac:dyDescent="0.25">
      <c r="A2296" s="3" t="s">
        <v>5301</v>
      </c>
      <c r="B2296" s="3" t="s">
        <v>5555</v>
      </c>
      <c r="C2296" s="3" t="s">
        <v>395</v>
      </c>
      <c r="D2296" s="9">
        <v>560</v>
      </c>
      <c r="E2296" s="3"/>
      <c r="F2296" s="3"/>
      <c r="G2296" s="9"/>
      <c r="H2296" s="10">
        <v>45683.752175925933</v>
      </c>
      <c r="I2296" s="10">
        <v>45683.75304398148</v>
      </c>
      <c r="J2296" s="10">
        <v>45683.75886574074</v>
      </c>
      <c r="K2296" s="11">
        <v>5.8217592592592592E-3</v>
      </c>
      <c r="L2296" s="13"/>
    </row>
    <row r="2297" spans="1:12" x14ac:dyDescent="0.25">
      <c r="A2297" s="3" t="s">
        <v>5301</v>
      </c>
      <c r="B2297" s="3" t="s">
        <v>5556</v>
      </c>
      <c r="C2297" s="3" t="s">
        <v>396</v>
      </c>
      <c r="D2297" s="9">
        <v>259</v>
      </c>
      <c r="E2297" s="3"/>
      <c r="F2297" s="3"/>
      <c r="G2297" s="9"/>
      <c r="H2297" s="10">
        <v>45684.118356481478</v>
      </c>
      <c r="I2297" s="10">
        <v>45684.11922453704</v>
      </c>
      <c r="J2297" s="10">
        <v>45684.126770833333</v>
      </c>
      <c r="K2297" s="11">
        <v>7.5462962962962966E-3</v>
      </c>
      <c r="L2297" s="13"/>
    </row>
    <row r="2298" spans="1:12" x14ac:dyDescent="0.25">
      <c r="A2298" s="3" t="s">
        <v>5301</v>
      </c>
      <c r="B2298" s="3" t="s">
        <v>5557</v>
      </c>
      <c r="C2298" s="3" t="s">
        <v>397</v>
      </c>
      <c r="D2298" s="9">
        <v>298.2</v>
      </c>
      <c r="E2298" s="3"/>
      <c r="F2298" s="3"/>
      <c r="G2298" s="9"/>
      <c r="H2298" s="10">
        <v>45684.196030092593</v>
      </c>
      <c r="I2298" s="10">
        <v>45684.196898148148</v>
      </c>
      <c r="J2298" s="10">
        <v>45684.19871527778</v>
      </c>
      <c r="K2298" s="11">
        <v>1.8171296296296299E-3</v>
      </c>
      <c r="L2298" s="13"/>
    </row>
    <row r="2299" spans="1:12" x14ac:dyDescent="0.25">
      <c r="A2299" s="3" t="s">
        <v>5301</v>
      </c>
      <c r="B2299" s="3" t="s">
        <v>5558</v>
      </c>
      <c r="C2299" s="3" t="s">
        <v>398</v>
      </c>
      <c r="D2299" s="9">
        <v>284.8</v>
      </c>
      <c r="E2299" s="3"/>
      <c r="F2299" s="3"/>
      <c r="G2299" s="9"/>
      <c r="H2299" s="10">
        <v>45684.28125</v>
      </c>
      <c r="I2299" s="10">
        <v>45684.282118055547</v>
      </c>
      <c r="J2299" s="10">
        <v>45684.284490740742</v>
      </c>
      <c r="K2299" s="11">
        <v>2.3726851851851851E-3</v>
      </c>
      <c r="L2299" s="13"/>
    </row>
    <row r="2300" spans="1:12" x14ac:dyDescent="0.25">
      <c r="A2300" s="3" t="s">
        <v>5301</v>
      </c>
      <c r="B2300" s="3" t="s">
        <v>5559</v>
      </c>
      <c r="C2300" s="3" t="s">
        <v>399</v>
      </c>
      <c r="D2300" s="9">
        <v>589.20000000000005</v>
      </c>
      <c r="E2300" s="3"/>
      <c r="F2300" s="3"/>
      <c r="G2300" s="9"/>
      <c r="H2300" s="10">
        <v>45684.313750000001</v>
      </c>
      <c r="I2300" s="10">
        <v>45684.31454861111</v>
      </c>
      <c r="J2300" s="10">
        <v>45684.321412037039</v>
      </c>
      <c r="K2300" s="11">
        <v>6.8634259259259256E-3</v>
      </c>
      <c r="L2300" s="13"/>
    </row>
    <row r="2301" spans="1:12" x14ac:dyDescent="0.25">
      <c r="A2301" s="3" t="s">
        <v>5301</v>
      </c>
      <c r="B2301" s="3" t="s">
        <v>5560</v>
      </c>
      <c r="C2301" s="3" t="s">
        <v>400</v>
      </c>
      <c r="D2301" s="9">
        <v>253.6</v>
      </c>
      <c r="E2301" s="3"/>
      <c r="F2301" s="3"/>
      <c r="G2301" s="9"/>
      <c r="H2301" s="10">
        <v>45684.317430555559</v>
      </c>
      <c r="I2301" s="10">
        <v>45684.322291666656</v>
      </c>
      <c r="J2301" s="10">
        <v>45684.322291666656</v>
      </c>
      <c r="K2301" s="11">
        <v>0</v>
      </c>
      <c r="L2301" s="13"/>
    </row>
    <row r="2302" spans="1:12" x14ac:dyDescent="0.25">
      <c r="A2302" s="3" t="s">
        <v>5301</v>
      </c>
      <c r="B2302" s="3" t="s">
        <v>5561</v>
      </c>
      <c r="C2302" s="3" t="s">
        <v>401</v>
      </c>
      <c r="D2302" s="9">
        <v>389.1</v>
      </c>
      <c r="E2302" s="3"/>
      <c r="F2302" s="3"/>
      <c r="G2302" s="9"/>
      <c r="H2302" s="10">
        <v>45684.337083333332</v>
      </c>
      <c r="I2302" s="10">
        <v>45684.337951388887</v>
      </c>
      <c r="J2302" s="10">
        <v>45684.337951388887</v>
      </c>
      <c r="K2302" s="11">
        <v>0</v>
      </c>
      <c r="L2302" s="13"/>
    </row>
    <row r="2303" spans="1:12" x14ac:dyDescent="0.25">
      <c r="A2303" s="3" t="s">
        <v>5301</v>
      </c>
      <c r="B2303" s="3" t="s">
        <v>5562</v>
      </c>
      <c r="C2303" s="3" t="s">
        <v>403</v>
      </c>
      <c r="D2303" s="9">
        <v>390.5</v>
      </c>
      <c r="E2303" s="3"/>
      <c r="F2303" s="3"/>
      <c r="G2303" s="9"/>
      <c r="H2303" s="10">
        <v>45684.362604166658</v>
      </c>
      <c r="I2303" s="10">
        <v>45684.36347222222</v>
      </c>
      <c r="J2303" s="10">
        <v>45684.36347222222</v>
      </c>
      <c r="K2303" s="11">
        <v>0</v>
      </c>
      <c r="L2303" s="13"/>
    </row>
    <row r="2304" spans="1:12" x14ac:dyDescent="0.25">
      <c r="A2304" s="3" t="s">
        <v>5301</v>
      </c>
      <c r="B2304" s="3" t="s">
        <v>5563</v>
      </c>
      <c r="C2304" s="3" t="s">
        <v>402</v>
      </c>
      <c r="D2304" s="9">
        <v>586.70000000000005</v>
      </c>
      <c r="E2304" s="3"/>
      <c r="F2304" s="3"/>
      <c r="G2304" s="9"/>
      <c r="H2304" s="10">
        <v>45684.374930555547</v>
      </c>
      <c r="I2304" s="10">
        <v>45684.375798611109</v>
      </c>
      <c r="J2304" s="10">
        <v>45684.390856481477</v>
      </c>
      <c r="K2304" s="11">
        <v>1.5057870370370371E-2</v>
      </c>
      <c r="L2304" s="13"/>
    </row>
    <row r="2305" spans="1:12" x14ac:dyDescent="0.25">
      <c r="A2305" s="3" t="s">
        <v>5301</v>
      </c>
      <c r="B2305" s="3" t="s">
        <v>5564</v>
      </c>
      <c r="C2305" s="3" t="s">
        <v>404</v>
      </c>
      <c r="D2305" s="9">
        <v>435.5</v>
      </c>
      <c r="E2305" s="3"/>
      <c r="F2305" s="3"/>
      <c r="G2305" s="9"/>
      <c r="H2305" s="10">
        <v>45684.44703703704</v>
      </c>
      <c r="I2305" s="10">
        <v>45684.447905092587</v>
      </c>
      <c r="J2305" s="10">
        <v>45684.452025462961</v>
      </c>
      <c r="K2305" s="11">
        <v>4.1203703703703706E-3</v>
      </c>
      <c r="L2305" s="13"/>
    </row>
    <row r="2306" spans="1:12" x14ac:dyDescent="0.25">
      <c r="A2306" s="3" t="s">
        <v>5301</v>
      </c>
      <c r="B2306" s="3" t="s">
        <v>5565</v>
      </c>
      <c r="C2306" s="3" t="s">
        <v>405</v>
      </c>
      <c r="D2306" s="9">
        <v>212.1</v>
      </c>
      <c r="E2306" s="3"/>
      <c r="F2306" s="3"/>
      <c r="G2306" s="9"/>
      <c r="H2306" s="10">
        <v>45684.535185185188</v>
      </c>
      <c r="I2306" s="10">
        <v>45684.536064814813</v>
      </c>
      <c r="J2306" s="10">
        <v>45684.538240740738</v>
      </c>
      <c r="K2306" s="11">
        <v>2.1759259259259262E-3</v>
      </c>
      <c r="L2306" s="13"/>
    </row>
    <row r="2307" spans="1:12" x14ac:dyDescent="0.25">
      <c r="A2307" s="3" t="s">
        <v>5301</v>
      </c>
      <c r="B2307" s="3" t="s">
        <v>5566</v>
      </c>
      <c r="C2307" s="3" t="s">
        <v>406</v>
      </c>
      <c r="D2307" s="9">
        <v>381.6</v>
      </c>
      <c r="E2307" s="3"/>
      <c r="F2307" s="3"/>
      <c r="G2307" s="9"/>
      <c r="H2307" s="10">
        <v>45684.605833333328</v>
      </c>
      <c r="I2307" s="10">
        <v>45684.60670138889</v>
      </c>
      <c r="J2307" s="10">
        <v>45684.609502314823</v>
      </c>
      <c r="K2307" s="11">
        <v>2.8009259259259259E-3</v>
      </c>
      <c r="L2307" s="13"/>
    </row>
    <row r="2308" spans="1:12" x14ac:dyDescent="0.25">
      <c r="A2308" s="3" t="s">
        <v>5301</v>
      </c>
      <c r="B2308" s="3" t="s">
        <v>5567</v>
      </c>
      <c r="C2308" s="3" t="s">
        <v>407</v>
      </c>
      <c r="D2308" s="9">
        <v>15.7</v>
      </c>
      <c r="E2308" s="3"/>
      <c r="F2308" s="3"/>
      <c r="G2308" s="9"/>
      <c r="H2308" s="10">
        <v>45684.647210648152</v>
      </c>
      <c r="I2308" s="10">
        <v>45684.648090277777</v>
      </c>
      <c r="J2308" s="10">
        <v>45684.650173611109</v>
      </c>
      <c r="K2308" s="11">
        <v>2.0833333333333329E-3</v>
      </c>
      <c r="L2308" s="13"/>
    </row>
    <row r="2309" spans="1:12" x14ac:dyDescent="0.25">
      <c r="A2309" s="3" t="s">
        <v>5301</v>
      </c>
      <c r="B2309" s="3" t="s">
        <v>5568</v>
      </c>
      <c r="C2309" s="3" t="s">
        <v>408</v>
      </c>
      <c r="D2309" s="9">
        <v>383.1</v>
      </c>
      <c r="E2309" s="3"/>
      <c r="F2309" s="3"/>
      <c r="G2309" s="9"/>
      <c r="H2309" s="10">
        <v>45684.672210648147</v>
      </c>
      <c r="I2309" s="10">
        <v>45684.673078703701</v>
      </c>
      <c r="J2309" s="10">
        <v>45684.67765046296</v>
      </c>
      <c r="K2309" s="11">
        <v>4.5717592592592589E-3</v>
      </c>
      <c r="L2309" s="13"/>
    </row>
    <row r="2310" spans="1:12" x14ac:dyDescent="0.25">
      <c r="A2310" s="3" t="s">
        <v>5301</v>
      </c>
      <c r="B2310" s="3" t="s">
        <v>5569</v>
      </c>
      <c r="C2310" s="3" t="s">
        <v>409</v>
      </c>
      <c r="D2310" s="9">
        <v>232.4</v>
      </c>
      <c r="E2310" s="3"/>
      <c r="F2310" s="3"/>
      <c r="G2310" s="9"/>
      <c r="H2310" s="10">
        <v>45684.736979166657</v>
      </c>
      <c r="I2310" s="10">
        <v>45684.737847222219</v>
      </c>
      <c r="J2310" s="10">
        <v>45684.739733796298</v>
      </c>
      <c r="K2310" s="11">
        <v>1.8865740740740739E-3</v>
      </c>
      <c r="L2310" s="13"/>
    </row>
    <row r="2311" spans="1:12" x14ac:dyDescent="0.25">
      <c r="A2311" s="3" t="s">
        <v>5301</v>
      </c>
      <c r="B2311" s="3" t="s">
        <v>5570</v>
      </c>
      <c r="C2311" s="3" t="s">
        <v>410</v>
      </c>
      <c r="D2311" s="9">
        <v>446</v>
      </c>
      <c r="E2311" s="3"/>
      <c r="F2311" s="3"/>
      <c r="G2311" s="9"/>
      <c r="H2311" s="10">
        <v>45684.747002314813</v>
      </c>
      <c r="I2311" s="10">
        <v>45684.747870370367</v>
      </c>
      <c r="J2311" s="10">
        <v>45684.753854166673</v>
      </c>
      <c r="K2311" s="11">
        <v>5.9837962962962961E-3</v>
      </c>
      <c r="L2311" s="13"/>
    </row>
    <row r="2312" spans="1:12" x14ac:dyDescent="0.25">
      <c r="A2312" s="3" t="s">
        <v>5301</v>
      </c>
      <c r="B2312" s="3" t="s">
        <v>5571</v>
      </c>
      <c r="C2312" s="3" t="s">
        <v>411</v>
      </c>
      <c r="D2312" s="9">
        <v>397.3</v>
      </c>
      <c r="E2312" s="3"/>
      <c r="F2312" s="3"/>
      <c r="G2312" s="9"/>
      <c r="H2312" s="10">
        <v>45684.882430555554</v>
      </c>
      <c r="I2312" s="10">
        <v>45684.883310185192</v>
      </c>
      <c r="J2312" s="10">
        <v>45684.885462962957</v>
      </c>
      <c r="K2312" s="11">
        <v>2.1527777777777782E-3</v>
      </c>
      <c r="L2312" s="13"/>
    </row>
    <row r="2313" spans="1:12" x14ac:dyDescent="0.25">
      <c r="A2313" s="3" t="s">
        <v>5301</v>
      </c>
      <c r="B2313" s="3" t="s">
        <v>5572</v>
      </c>
      <c r="C2313" s="3" t="s">
        <v>412</v>
      </c>
      <c r="D2313" s="9">
        <v>145.69999999999999</v>
      </c>
      <c r="E2313" s="3"/>
      <c r="F2313" s="3"/>
      <c r="G2313" s="9"/>
      <c r="H2313" s="10">
        <v>45685.127662037034</v>
      </c>
      <c r="I2313" s="10">
        <v>45685.128530092603</v>
      </c>
      <c r="J2313" s="10">
        <v>45685.133819444447</v>
      </c>
      <c r="K2313" s="11">
        <v>5.2893518518518524E-3</v>
      </c>
      <c r="L2313" s="13"/>
    </row>
    <row r="2314" spans="1:12" x14ac:dyDescent="0.25">
      <c r="A2314" s="3" t="s">
        <v>5301</v>
      </c>
      <c r="B2314" s="3" t="s">
        <v>5573</v>
      </c>
      <c r="C2314" s="3" t="s">
        <v>413</v>
      </c>
      <c r="D2314" s="9">
        <v>297</v>
      </c>
      <c r="E2314" s="3"/>
      <c r="F2314" s="3"/>
      <c r="G2314" s="9"/>
      <c r="H2314" s="10">
        <v>45685.277604166673</v>
      </c>
      <c r="I2314" s="10">
        <v>45685.278483796297</v>
      </c>
      <c r="J2314" s="10">
        <v>45685.280752314808</v>
      </c>
      <c r="K2314" s="11">
        <v>2.2685185185185191E-3</v>
      </c>
      <c r="L2314" s="13"/>
    </row>
    <row r="2315" spans="1:12" x14ac:dyDescent="0.25">
      <c r="A2315" s="3" t="s">
        <v>5301</v>
      </c>
      <c r="B2315" s="3" t="s">
        <v>5574</v>
      </c>
      <c r="C2315" s="3" t="s">
        <v>414</v>
      </c>
      <c r="D2315" s="9">
        <v>299.89999999999998</v>
      </c>
      <c r="E2315" s="3"/>
      <c r="F2315" s="3"/>
      <c r="G2315" s="9"/>
      <c r="H2315" s="10">
        <v>45685.31386574074</v>
      </c>
      <c r="I2315" s="10">
        <v>45685.314733796287</v>
      </c>
      <c r="J2315" s="10">
        <v>45685.323993055557</v>
      </c>
      <c r="K2315" s="11">
        <v>9.2592592592592587E-3</v>
      </c>
      <c r="L2315" s="13"/>
    </row>
    <row r="2316" spans="1:12" x14ac:dyDescent="0.25">
      <c r="A2316" s="3" t="s">
        <v>5301</v>
      </c>
      <c r="B2316" s="3" t="s">
        <v>5575</v>
      </c>
      <c r="C2316" s="3" t="s">
        <v>415</v>
      </c>
      <c r="D2316" s="9">
        <v>157.5</v>
      </c>
      <c r="E2316" s="3"/>
      <c r="F2316" s="3"/>
      <c r="G2316" s="9"/>
      <c r="H2316" s="10">
        <v>45685.319108796299</v>
      </c>
      <c r="I2316" s="10">
        <v>45685.324780092589</v>
      </c>
      <c r="J2316" s="10">
        <v>45685.324780092589</v>
      </c>
      <c r="K2316" s="11">
        <v>0</v>
      </c>
      <c r="L2316" s="13"/>
    </row>
    <row r="2317" spans="1:12" x14ac:dyDescent="0.25">
      <c r="A2317" s="3" t="s">
        <v>5301</v>
      </c>
      <c r="B2317" s="3" t="s">
        <v>5576</v>
      </c>
      <c r="C2317" s="3" t="s">
        <v>416</v>
      </c>
      <c r="D2317" s="9">
        <v>398</v>
      </c>
      <c r="E2317" s="3"/>
      <c r="F2317" s="3"/>
      <c r="G2317" s="9"/>
      <c r="H2317" s="10">
        <v>45685.328599537039</v>
      </c>
      <c r="I2317" s="10">
        <v>45685.329467592594</v>
      </c>
      <c r="J2317" s="10">
        <v>45685.329467592594</v>
      </c>
      <c r="K2317" s="11">
        <v>0</v>
      </c>
      <c r="L2317" s="13"/>
    </row>
    <row r="2318" spans="1:12" x14ac:dyDescent="0.25">
      <c r="A2318" s="3" t="s">
        <v>5301</v>
      </c>
      <c r="B2318" s="3" t="s">
        <v>5577</v>
      </c>
      <c r="C2318" s="3" t="s">
        <v>418</v>
      </c>
      <c r="D2318" s="9">
        <v>222.8</v>
      </c>
      <c r="E2318" s="3"/>
      <c r="F2318" s="3"/>
      <c r="G2318" s="9"/>
      <c r="H2318" s="10">
        <v>45685.38652777778</v>
      </c>
      <c r="I2318" s="10">
        <v>45685.387395833342</v>
      </c>
      <c r="J2318" s="10">
        <v>45685.391712962963</v>
      </c>
      <c r="K2318" s="11">
        <v>4.31712962962963E-3</v>
      </c>
      <c r="L2318" s="13"/>
    </row>
    <row r="2319" spans="1:12" x14ac:dyDescent="0.25">
      <c r="A2319" s="3" t="s">
        <v>5301</v>
      </c>
      <c r="B2319" s="3" t="s">
        <v>5578</v>
      </c>
      <c r="C2319" s="3" t="s">
        <v>417</v>
      </c>
      <c r="D2319" s="9">
        <v>584.20000000000005</v>
      </c>
      <c r="E2319" s="3"/>
      <c r="F2319" s="3"/>
      <c r="G2319" s="9"/>
      <c r="H2319" s="10">
        <v>45685.388888888891</v>
      </c>
      <c r="I2319" s="10">
        <v>45685.392592592587</v>
      </c>
      <c r="J2319" s="10">
        <v>45685.411631944437</v>
      </c>
      <c r="K2319" s="11">
        <v>1.9039351851851849E-2</v>
      </c>
      <c r="L2319" s="13"/>
    </row>
    <row r="2320" spans="1:12" x14ac:dyDescent="0.25">
      <c r="A2320" s="3" t="s">
        <v>5301</v>
      </c>
      <c r="B2320" s="3" t="s">
        <v>5579</v>
      </c>
      <c r="C2320" s="3" t="s">
        <v>419</v>
      </c>
      <c r="D2320" s="9">
        <v>273</v>
      </c>
      <c r="E2320" s="3"/>
      <c r="F2320" s="3"/>
      <c r="G2320" s="9"/>
      <c r="H2320" s="10">
        <v>45685.446817129632</v>
      </c>
      <c r="I2320" s="10">
        <v>45685.447581018518</v>
      </c>
      <c r="J2320" s="10">
        <v>45685.453692129631</v>
      </c>
      <c r="K2320" s="11">
        <v>6.1111111111111114E-3</v>
      </c>
      <c r="L2320" s="13"/>
    </row>
    <row r="2321" spans="1:12" x14ac:dyDescent="0.25">
      <c r="A2321" s="3" t="s">
        <v>5301</v>
      </c>
      <c r="B2321" s="3" t="s">
        <v>5580</v>
      </c>
      <c r="C2321" s="3" t="s">
        <v>420</v>
      </c>
      <c r="D2321" s="9">
        <v>291.89999999999998</v>
      </c>
      <c r="E2321" s="3"/>
      <c r="F2321" s="3"/>
      <c r="G2321" s="9"/>
      <c r="H2321" s="10">
        <v>45685.545844907407</v>
      </c>
      <c r="I2321" s="10">
        <v>45685.546712962961</v>
      </c>
      <c r="J2321" s="10">
        <v>45685.548518518517</v>
      </c>
      <c r="K2321" s="11">
        <v>1.805555555555555E-3</v>
      </c>
      <c r="L2321" s="13"/>
    </row>
    <row r="2322" spans="1:12" x14ac:dyDescent="0.25">
      <c r="A2322" s="3" t="s">
        <v>5301</v>
      </c>
      <c r="B2322" s="3" t="s">
        <v>5581</v>
      </c>
      <c r="C2322" s="3" t="s">
        <v>421</v>
      </c>
      <c r="D2322" s="9">
        <v>389.8</v>
      </c>
      <c r="E2322" s="3"/>
      <c r="F2322" s="3"/>
      <c r="G2322" s="9"/>
      <c r="H2322" s="10">
        <v>45685.602337962962</v>
      </c>
      <c r="I2322" s="10">
        <v>45685.603101851862</v>
      </c>
      <c r="J2322" s="10">
        <v>45685.605995370373</v>
      </c>
      <c r="K2322" s="11">
        <v>2.8935185185185179E-3</v>
      </c>
      <c r="L2322" s="13"/>
    </row>
    <row r="2323" spans="1:12" x14ac:dyDescent="0.25">
      <c r="A2323" s="3" t="s">
        <v>5301</v>
      </c>
      <c r="B2323" s="3" t="s">
        <v>5582</v>
      </c>
      <c r="C2323" s="3" t="s">
        <v>422</v>
      </c>
      <c r="D2323" s="9">
        <v>558.1</v>
      </c>
      <c r="E2323" s="3"/>
      <c r="F2323" s="3"/>
      <c r="G2323" s="9"/>
      <c r="H2323" s="10">
        <v>45685.619722222233</v>
      </c>
      <c r="I2323" s="10">
        <v>45685.620486111111</v>
      </c>
      <c r="J2323" s="10">
        <v>45685.632233796299</v>
      </c>
      <c r="K2323" s="11">
        <v>1.1747685185185191E-2</v>
      </c>
      <c r="L2323" s="13"/>
    </row>
    <row r="2324" spans="1:12" x14ac:dyDescent="0.25">
      <c r="A2324" s="3" t="s">
        <v>5301</v>
      </c>
      <c r="B2324" s="3" t="s">
        <v>5583</v>
      </c>
      <c r="C2324" s="3" t="s">
        <v>423</v>
      </c>
      <c r="D2324" s="9">
        <v>31.5</v>
      </c>
      <c r="E2324" s="3"/>
      <c r="F2324" s="3"/>
      <c r="G2324" s="9"/>
      <c r="H2324" s="10">
        <v>45685.650763888887</v>
      </c>
      <c r="I2324" s="10">
        <v>45685.651631944442</v>
      </c>
      <c r="J2324" s="10">
        <v>45685.651631944442</v>
      </c>
      <c r="K2324" s="11">
        <v>0</v>
      </c>
      <c r="L2324" s="13"/>
    </row>
    <row r="2325" spans="1:12" x14ac:dyDescent="0.25">
      <c r="A2325" s="3" t="s">
        <v>5301</v>
      </c>
      <c r="B2325" s="3" t="s">
        <v>5584</v>
      </c>
      <c r="C2325" s="3" t="s">
        <v>424</v>
      </c>
      <c r="D2325" s="9">
        <v>232.7</v>
      </c>
      <c r="E2325" s="3"/>
      <c r="F2325" s="3"/>
      <c r="G2325" s="9"/>
      <c r="H2325" s="10">
        <v>45685.818298611113</v>
      </c>
      <c r="I2325" s="10">
        <v>45685.819166666668</v>
      </c>
      <c r="J2325" s="10">
        <v>45685.821388888893</v>
      </c>
      <c r="K2325" s="11">
        <v>2.2222222222222218E-3</v>
      </c>
      <c r="L2325" s="13"/>
    </row>
    <row r="2326" spans="1:12" x14ac:dyDescent="0.25">
      <c r="A2326" s="3" t="s">
        <v>5301</v>
      </c>
      <c r="B2326" s="3" t="s">
        <v>5585</v>
      </c>
      <c r="C2326" s="3" t="s">
        <v>425</v>
      </c>
      <c r="D2326" s="9">
        <v>397.3</v>
      </c>
      <c r="E2326" s="3"/>
      <c r="F2326" s="3"/>
      <c r="G2326" s="9"/>
      <c r="H2326" s="10">
        <v>45685.882465277777</v>
      </c>
      <c r="I2326" s="10">
        <v>45685.883344907408</v>
      </c>
      <c r="J2326" s="10">
        <v>45685.885613425933</v>
      </c>
      <c r="K2326" s="11">
        <v>2.2685185185185191E-3</v>
      </c>
      <c r="L2326" s="13"/>
    </row>
    <row r="2327" spans="1:12" x14ac:dyDescent="0.25">
      <c r="A2327" s="3" t="s">
        <v>5301</v>
      </c>
      <c r="B2327" s="3" t="s">
        <v>5586</v>
      </c>
      <c r="C2327" s="3" t="s">
        <v>426</v>
      </c>
      <c r="D2327" s="9">
        <v>260.3</v>
      </c>
      <c r="E2327" s="3"/>
      <c r="F2327" s="3"/>
      <c r="G2327" s="9"/>
      <c r="H2327" s="10">
        <v>45686.123553240737</v>
      </c>
      <c r="I2327" s="10">
        <v>45686.124421296299</v>
      </c>
      <c r="J2327" s="10">
        <v>45686.13181712963</v>
      </c>
      <c r="K2327" s="11">
        <v>7.3958333333333333E-3</v>
      </c>
      <c r="L2327" s="13"/>
    </row>
    <row r="2328" spans="1:12" x14ac:dyDescent="0.25">
      <c r="A2328" s="3" t="s">
        <v>5301</v>
      </c>
      <c r="B2328" s="3" t="s">
        <v>5587</v>
      </c>
      <c r="C2328" s="3" t="s">
        <v>427</v>
      </c>
      <c r="D2328" s="9">
        <v>106.9</v>
      </c>
      <c r="E2328" s="3"/>
      <c r="F2328" s="3"/>
      <c r="G2328" s="9"/>
      <c r="H2328" s="10">
        <v>45686.184999999998</v>
      </c>
      <c r="I2328" s="10">
        <v>45686.185879629629</v>
      </c>
      <c r="J2328" s="10">
        <v>45686.187372685177</v>
      </c>
      <c r="K2328" s="11">
        <v>1.4930555555555561E-3</v>
      </c>
      <c r="L2328" s="13"/>
    </row>
    <row r="2329" spans="1:12" x14ac:dyDescent="0.25">
      <c r="A2329" s="3" t="s">
        <v>5301</v>
      </c>
      <c r="B2329" s="3" t="s">
        <v>5588</v>
      </c>
      <c r="C2329" s="3" t="s">
        <v>428</v>
      </c>
      <c r="D2329" s="9">
        <v>297</v>
      </c>
      <c r="E2329" s="3"/>
      <c r="F2329" s="3"/>
      <c r="G2329" s="9"/>
      <c r="H2329" s="10">
        <v>45686.267476851863</v>
      </c>
      <c r="I2329" s="10">
        <v>45686.26834490741</v>
      </c>
      <c r="J2329" s="10">
        <v>45686.270613425928</v>
      </c>
      <c r="K2329" s="11">
        <v>2.2685185185185191E-3</v>
      </c>
      <c r="L2329" s="13"/>
    </row>
    <row r="2330" spans="1:12" x14ac:dyDescent="0.25">
      <c r="A2330" s="3" t="s">
        <v>5301</v>
      </c>
      <c r="B2330" s="3" t="s">
        <v>5589</v>
      </c>
      <c r="C2330" s="3" t="s">
        <v>429</v>
      </c>
      <c r="D2330" s="9">
        <v>397.3</v>
      </c>
      <c r="E2330" s="3"/>
      <c r="F2330" s="3"/>
      <c r="G2330" s="9"/>
      <c r="H2330" s="10">
        <v>45686.311388888891</v>
      </c>
      <c r="I2330" s="10">
        <v>45686.312268518523</v>
      </c>
      <c r="J2330" s="10">
        <v>45686.315104166657</v>
      </c>
      <c r="K2330" s="11">
        <v>2.8356481481481479E-3</v>
      </c>
      <c r="L2330" s="13"/>
    </row>
    <row r="2331" spans="1:12" x14ac:dyDescent="0.25">
      <c r="A2331" s="3" t="s">
        <v>5301</v>
      </c>
      <c r="B2331" s="3" t="s">
        <v>5590</v>
      </c>
      <c r="C2331" s="3" t="s">
        <v>430</v>
      </c>
      <c r="D2331" s="9">
        <v>129.30000000000001</v>
      </c>
      <c r="E2331" s="3"/>
      <c r="F2331" s="3"/>
      <c r="G2331" s="9"/>
      <c r="H2331" s="10">
        <v>45686.317349537043</v>
      </c>
      <c r="I2331" s="10">
        <v>45686.318229166667</v>
      </c>
      <c r="J2331" s="10">
        <v>45686.320381944453</v>
      </c>
      <c r="K2331" s="11">
        <v>2.1527777777777782E-3</v>
      </c>
      <c r="L2331" s="13"/>
    </row>
    <row r="2332" spans="1:12" x14ac:dyDescent="0.25">
      <c r="A2332" s="3" t="s">
        <v>5301</v>
      </c>
      <c r="B2332" s="3" t="s">
        <v>5591</v>
      </c>
      <c r="C2332" s="3" t="s">
        <v>431</v>
      </c>
      <c r="D2332" s="9">
        <v>79.5</v>
      </c>
      <c r="E2332" s="3"/>
      <c r="F2332" s="3"/>
      <c r="G2332" s="9"/>
      <c r="H2332" s="10">
        <v>45686.352418981478</v>
      </c>
      <c r="I2332" s="10">
        <v>45686.353298611109</v>
      </c>
      <c r="J2332" s="10">
        <v>45686.356527777767</v>
      </c>
      <c r="K2332" s="11">
        <v>3.2291666666666671E-3</v>
      </c>
      <c r="L2332" s="13"/>
    </row>
    <row r="2333" spans="1:12" x14ac:dyDescent="0.25">
      <c r="A2333" s="3" t="s">
        <v>5301</v>
      </c>
      <c r="B2333" s="3" t="s">
        <v>5592</v>
      </c>
      <c r="C2333" s="3" t="s">
        <v>432</v>
      </c>
      <c r="D2333" s="9">
        <v>436</v>
      </c>
      <c r="E2333" s="3"/>
      <c r="F2333" s="3"/>
      <c r="G2333" s="9"/>
      <c r="H2333" s="10">
        <v>45686.394270833327</v>
      </c>
      <c r="I2333" s="10">
        <v>45686.395138888889</v>
      </c>
      <c r="J2333" s="10">
        <v>45686.407349537039</v>
      </c>
      <c r="K2333" s="11">
        <v>1.2210648148148149E-2</v>
      </c>
      <c r="L2333" s="13"/>
    </row>
    <row r="2334" spans="1:12" x14ac:dyDescent="0.25">
      <c r="A2334" s="3" t="s">
        <v>5301</v>
      </c>
      <c r="B2334" s="3" t="s">
        <v>5593</v>
      </c>
      <c r="C2334" s="3" t="s">
        <v>433</v>
      </c>
      <c r="D2334" s="9">
        <v>241.3</v>
      </c>
      <c r="E2334" s="3"/>
      <c r="F2334" s="3"/>
      <c r="G2334" s="9"/>
      <c r="H2334" s="10">
        <v>45686.445173611108</v>
      </c>
      <c r="I2334" s="10">
        <v>45686.446053240739</v>
      </c>
      <c r="J2334" s="10">
        <v>45686.449652777781</v>
      </c>
      <c r="K2334" s="11">
        <v>3.5995370370370369E-3</v>
      </c>
      <c r="L2334" s="13"/>
    </row>
    <row r="2335" spans="1:12" x14ac:dyDescent="0.25">
      <c r="A2335" s="3" t="s">
        <v>5301</v>
      </c>
      <c r="B2335" s="3" t="s">
        <v>5594</v>
      </c>
      <c r="C2335" s="3" t="s">
        <v>434</v>
      </c>
      <c r="D2335" s="9">
        <v>259.7</v>
      </c>
      <c r="E2335" s="3"/>
      <c r="F2335" s="3"/>
      <c r="G2335" s="9"/>
      <c r="H2335" s="10">
        <v>45686.551689814813</v>
      </c>
      <c r="I2335" s="10">
        <v>45686.552557870367</v>
      </c>
      <c r="J2335" s="10">
        <v>45686.554282407407</v>
      </c>
      <c r="K2335" s="11">
        <v>1.724537037037037E-3</v>
      </c>
      <c r="L2335" s="13"/>
    </row>
    <row r="2336" spans="1:12" x14ac:dyDescent="0.25">
      <c r="A2336" s="3" t="s">
        <v>5301</v>
      </c>
      <c r="B2336" s="3" t="s">
        <v>5595</v>
      </c>
      <c r="C2336" s="3" t="s">
        <v>435</v>
      </c>
      <c r="D2336" s="9">
        <v>398</v>
      </c>
      <c r="E2336" s="3"/>
      <c r="F2336" s="3"/>
      <c r="G2336" s="9"/>
      <c r="H2336" s="10">
        <v>45686.611701388887</v>
      </c>
      <c r="I2336" s="10">
        <v>45686.612581018519</v>
      </c>
      <c r="J2336" s="10">
        <v>45686.614629629628</v>
      </c>
      <c r="K2336" s="11">
        <v>2.0486111111111109E-3</v>
      </c>
      <c r="L2336" s="13"/>
    </row>
    <row r="2337" spans="1:12" x14ac:dyDescent="0.25">
      <c r="A2337" s="3" t="s">
        <v>5301</v>
      </c>
      <c r="B2337" s="3" t="s">
        <v>5596</v>
      </c>
      <c r="C2337" s="3" t="s">
        <v>436</v>
      </c>
      <c r="D2337" s="9">
        <v>504.1</v>
      </c>
      <c r="E2337" s="3"/>
      <c r="F2337" s="3"/>
      <c r="G2337" s="9"/>
      <c r="H2337" s="10">
        <v>45686.63789351852</v>
      </c>
      <c r="I2337" s="10">
        <v>45686.638761574082</v>
      </c>
      <c r="J2337" s="10">
        <v>45686.654722222222</v>
      </c>
      <c r="K2337" s="11">
        <v>1.5960648148148151E-2</v>
      </c>
      <c r="L2337" s="13"/>
    </row>
    <row r="2338" spans="1:12" x14ac:dyDescent="0.25">
      <c r="A2338" s="3" t="s">
        <v>5301</v>
      </c>
      <c r="B2338" s="3" t="s">
        <v>5597</v>
      </c>
      <c r="C2338" s="3" t="s">
        <v>437</v>
      </c>
      <c r="D2338" s="9">
        <v>15.7</v>
      </c>
      <c r="E2338" s="3"/>
      <c r="F2338" s="3"/>
      <c r="G2338" s="9"/>
      <c r="H2338" s="10">
        <v>45686.66269675926</v>
      </c>
      <c r="I2338" s="10">
        <v>45686.663483796299</v>
      </c>
      <c r="J2338" s="10">
        <v>45686.663483796299</v>
      </c>
      <c r="K2338" s="11">
        <v>0</v>
      </c>
      <c r="L2338" s="13"/>
    </row>
    <row r="2339" spans="1:12" x14ac:dyDescent="0.25">
      <c r="A2339" s="3" t="s">
        <v>5301</v>
      </c>
      <c r="B2339" s="3" t="s">
        <v>5598</v>
      </c>
      <c r="C2339" s="3" t="s">
        <v>438</v>
      </c>
      <c r="D2339" s="9">
        <v>302.10000000000002</v>
      </c>
      <c r="E2339" s="3"/>
      <c r="F2339" s="3"/>
      <c r="G2339" s="9"/>
      <c r="H2339" s="10">
        <v>45686.735798611109</v>
      </c>
      <c r="I2339" s="10">
        <v>45686.736666666657</v>
      </c>
      <c r="J2339" s="10">
        <v>45686.738495370373</v>
      </c>
      <c r="K2339" s="11">
        <v>1.8287037037037039E-3</v>
      </c>
      <c r="L2339" s="13"/>
    </row>
    <row r="2340" spans="1:12" x14ac:dyDescent="0.25">
      <c r="A2340" s="3" t="s">
        <v>5301</v>
      </c>
      <c r="B2340" s="3" t="s">
        <v>5599</v>
      </c>
      <c r="C2340" s="3" t="s">
        <v>439</v>
      </c>
      <c r="D2340" s="9">
        <v>377.4</v>
      </c>
      <c r="E2340" s="3"/>
      <c r="F2340" s="3"/>
      <c r="G2340" s="9"/>
      <c r="H2340" s="10">
        <v>45686.752372685187</v>
      </c>
      <c r="I2340" s="10">
        <v>45686.753240740742</v>
      </c>
      <c r="J2340" s="10">
        <v>45686.771168981482</v>
      </c>
      <c r="K2340" s="11">
        <v>1.7928240740740741E-2</v>
      </c>
      <c r="L2340" s="13"/>
    </row>
    <row r="2341" spans="1:12" x14ac:dyDescent="0.25">
      <c r="A2341" s="3" t="s">
        <v>5301</v>
      </c>
      <c r="B2341" s="3" t="s">
        <v>5600</v>
      </c>
      <c r="C2341" s="3" t="s">
        <v>440</v>
      </c>
      <c r="D2341" s="9">
        <v>380.8</v>
      </c>
      <c r="E2341" s="3"/>
      <c r="F2341" s="3"/>
      <c r="G2341" s="9"/>
      <c r="H2341" s="10">
        <v>45686.873645833337</v>
      </c>
      <c r="I2341" s="10">
        <v>45686.874513888892</v>
      </c>
      <c r="J2341" s="10">
        <v>45686.877083333333</v>
      </c>
      <c r="K2341" s="11">
        <v>2.5694444444444449E-3</v>
      </c>
      <c r="L2341" s="13"/>
    </row>
    <row r="2342" spans="1:12" x14ac:dyDescent="0.25">
      <c r="A2342" s="3" t="s">
        <v>5301</v>
      </c>
      <c r="B2342" s="3" t="s">
        <v>5601</v>
      </c>
      <c r="C2342" s="3" t="s">
        <v>441</v>
      </c>
      <c r="D2342" s="9">
        <v>136.9</v>
      </c>
      <c r="E2342" s="3"/>
      <c r="F2342" s="3"/>
      <c r="G2342" s="9"/>
      <c r="H2342" s="10">
        <v>45687.122303240743</v>
      </c>
      <c r="I2342" s="10">
        <v>45687.123171296298</v>
      </c>
      <c r="J2342" s="10">
        <v>45687.13140046296</v>
      </c>
      <c r="K2342" s="11">
        <v>8.2291666666666659E-3</v>
      </c>
      <c r="L2342" s="13"/>
    </row>
    <row r="2343" spans="1:12" x14ac:dyDescent="0.25">
      <c r="A2343" s="3" t="s">
        <v>5301</v>
      </c>
      <c r="B2343" s="3" t="s">
        <v>5602</v>
      </c>
      <c r="C2343" s="3" t="s">
        <v>442</v>
      </c>
      <c r="D2343" s="9">
        <v>297</v>
      </c>
      <c r="E2343" s="3"/>
      <c r="F2343" s="3"/>
      <c r="G2343" s="9"/>
      <c r="H2343" s="10">
        <v>45687.269490740742</v>
      </c>
      <c r="I2343" s="10">
        <v>45687.270358796297</v>
      </c>
      <c r="J2343" s="10">
        <v>45687.272280092591</v>
      </c>
      <c r="K2343" s="11">
        <v>1.9212962962962959E-3</v>
      </c>
      <c r="L2343" s="13"/>
    </row>
    <row r="2344" spans="1:12" x14ac:dyDescent="0.25">
      <c r="A2344" s="3" t="s">
        <v>5301</v>
      </c>
      <c r="B2344" s="3" t="s">
        <v>5603</v>
      </c>
      <c r="C2344" s="3" t="s">
        <v>443</v>
      </c>
      <c r="D2344" s="9">
        <v>336.5</v>
      </c>
      <c r="E2344" s="3"/>
      <c r="F2344" s="3"/>
      <c r="G2344" s="9"/>
      <c r="H2344" s="10">
        <v>45687.296469907407</v>
      </c>
      <c r="I2344" s="10">
        <v>45687.297349537039</v>
      </c>
      <c r="J2344" s="10">
        <v>45687.297349537039</v>
      </c>
      <c r="K2344" s="11">
        <v>0</v>
      </c>
      <c r="L2344" s="13"/>
    </row>
    <row r="2345" spans="1:12" x14ac:dyDescent="0.25">
      <c r="A2345" s="3" t="s">
        <v>5301</v>
      </c>
      <c r="B2345" s="3" t="s">
        <v>5604</v>
      </c>
      <c r="C2345" s="3" t="s">
        <v>444</v>
      </c>
      <c r="D2345" s="9">
        <v>598.9</v>
      </c>
      <c r="E2345" s="3"/>
      <c r="F2345" s="3"/>
      <c r="G2345" s="9"/>
      <c r="H2345" s="10">
        <v>45687.323020833333</v>
      </c>
      <c r="I2345" s="10">
        <v>45687.323888888888</v>
      </c>
      <c r="J2345" s="10">
        <v>45687.339421296303</v>
      </c>
      <c r="K2345" s="11">
        <v>1.553240740740741E-2</v>
      </c>
      <c r="L2345" s="13"/>
    </row>
    <row r="2346" spans="1:12" x14ac:dyDescent="0.25">
      <c r="A2346" s="3" t="s">
        <v>5301</v>
      </c>
      <c r="B2346" s="3" t="s">
        <v>5605</v>
      </c>
      <c r="C2346" s="3" t="s">
        <v>445</v>
      </c>
      <c r="D2346" s="9">
        <v>380.8</v>
      </c>
      <c r="E2346" s="3"/>
      <c r="F2346" s="3"/>
      <c r="G2346" s="9"/>
      <c r="H2346" s="10">
        <v>45687.336053240739</v>
      </c>
      <c r="I2346" s="10">
        <v>45687.340300925927</v>
      </c>
      <c r="J2346" s="10">
        <v>45687.34275462963</v>
      </c>
      <c r="K2346" s="11">
        <v>2.453703703703704E-3</v>
      </c>
      <c r="L2346" s="13"/>
    </row>
    <row r="2347" spans="1:12" x14ac:dyDescent="0.25">
      <c r="A2347" s="3" t="s">
        <v>5301</v>
      </c>
      <c r="B2347" s="3" t="s">
        <v>5606</v>
      </c>
      <c r="C2347" s="3" t="s">
        <v>446</v>
      </c>
      <c r="D2347" s="9">
        <v>213.1</v>
      </c>
      <c r="E2347" s="3"/>
      <c r="F2347" s="3"/>
      <c r="G2347" s="9"/>
      <c r="H2347" s="10">
        <v>45687.357407407413</v>
      </c>
      <c r="I2347" s="10">
        <v>45687.358275462961</v>
      </c>
      <c r="J2347" s="10">
        <v>45687.360324074078</v>
      </c>
      <c r="K2347" s="11">
        <v>2.0486111111111109E-3</v>
      </c>
      <c r="L2347" s="13"/>
    </row>
    <row r="2348" spans="1:12" x14ac:dyDescent="0.25">
      <c r="A2348" s="3" t="s">
        <v>5301</v>
      </c>
      <c r="B2348" s="3" t="s">
        <v>5607</v>
      </c>
      <c r="C2348" s="3" t="s">
        <v>447</v>
      </c>
      <c r="D2348" s="9">
        <v>355.8</v>
      </c>
      <c r="E2348" s="3"/>
      <c r="F2348" s="3"/>
      <c r="G2348" s="9"/>
      <c r="H2348" s="10">
        <v>45687.393460648149</v>
      </c>
      <c r="I2348" s="10">
        <v>45687.39434027778</v>
      </c>
      <c r="J2348" s="10">
        <v>45687.404594907413</v>
      </c>
      <c r="K2348" s="11">
        <v>1.0254629629629629E-2</v>
      </c>
      <c r="L2348" s="13"/>
    </row>
    <row r="2349" spans="1:12" x14ac:dyDescent="0.25">
      <c r="A2349" s="3" t="s">
        <v>5301</v>
      </c>
      <c r="B2349" s="3" t="s">
        <v>5608</v>
      </c>
      <c r="C2349" s="3" t="s">
        <v>448</v>
      </c>
      <c r="D2349" s="9">
        <v>435.1</v>
      </c>
      <c r="E2349" s="3"/>
      <c r="F2349" s="3"/>
      <c r="G2349" s="9"/>
      <c r="H2349" s="10">
        <v>45687.422627314823</v>
      </c>
      <c r="I2349" s="10">
        <v>45687.423495370371</v>
      </c>
      <c r="J2349" s="10">
        <v>45687.423495370371</v>
      </c>
      <c r="K2349" s="11">
        <v>0</v>
      </c>
      <c r="L2349" s="13"/>
    </row>
    <row r="2350" spans="1:12" x14ac:dyDescent="0.25">
      <c r="A2350" s="3" t="s">
        <v>5301</v>
      </c>
      <c r="B2350" s="3" t="s">
        <v>5609</v>
      </c>
      <c r="C2350" s="3" t="s">
        <v>449</v>
      </c>
      <c r="D2350" s="9">
        <v>291.7</v>
      </c>
      <c r="E2350" s="3"/>
      <c r="F2350" s="3"/>
      <c r="G2350" s="9"/>
      <c r="H2350" s="10">
        <v>45687.546585648153</v>
      </c>
      <c r="I2350" s="10">
        <v>45687.547465277778</v>
      </c>
      <c r="J2350" s="10">
        <v>45687.549259259264</v>
      </c>
      <c r="K2350" s="11">
        <v>1.793981481481481E-3</v>
      </c>
      <c r="L2350" s="13"/>
    </row>
    <row r="2351" spans="1:12" x14ac:dyDescent="0.25">
      <c r="A2351" s="3" t="s">
        <v>5301</v>
      </c>
      <c r="B2351" s="3" t="s">
        <v>5610</v>
      </c>
      <c r="C2351" s="3" t="s">
        <v>450</v>
      </c>
      <c r="D2351" s="9">
        <v>388.3</v>
      </c>
      <c r="E2351" s="3"/>
      <c r="F2351" s="3"/>
      <c r="G2351" s="9"/>
      <c r="H2351" s="10">
        <v>45687.612037037034</v>
      </c>
      <c r="I2351" s="10">
        <v>45687.612905092603</v>
      </c>
      <c r="J2351" s="10">
        <v>45687.612905092603</v>
      </c>
      <c r="K2351" s="11">
        <v>0</v>
      </c>
      <c r="L2351" s="13"/>
    </row>
    <row r="2352" spans="1:12" x14ac:dyDescent="0.25">
      <c r="A2352" s="3" t="s">
        <v>5301</v>
      </c>
      <c r="B2352" s="3" t="s">
        <v>5611</v>
      </c>
      <c r="C2352" s="3" t="s">
        <v>451</v>
      </c>
      <c r="D2352" s="9">
        <v>267.5</v>
      </c>
      <c r="E2352" s="3"/>
      <c r="F2352" s="3"/>
      <c r="G2352" s="9"/>
      <c r="H2352" s="10">
        <v>45687.633321759262</v>
      </c>
      <c r="I2352" s="10">
        <v>45687.634201388893</v>
      </c>
      <c r="J2352" s="10">
        <v>45687.647673611107</v>
      </c>
      <c r="K2352" s="11">
        <v>1.3472222222222221E-2</v>
      </c>
      <c r="L2352" s="13"/>
    </row>
    <row r="2353" spans="1:12" x14ac:dyDescent="0.25">
      <c r="A2353" s="3" t="s">
        <v>5301</v>
      </c>
      <c r="B2353" s="3" t="s">
        <v>5612</v>
      </c>
      <c r="C2353" s="3" t="s">
        <v>452</v>
      </c>
      <c r="D2353" s="9">
        <v>15.7</v>
      </c>
      <c r="E2353" s="3"/>
      <c r="F2353" s="3"/>
      <c r="G2353" s="9"/>
      <c r="H2353" s="10">
        <v>45687.651921296303</v>
      </c>
      <c r="I2353" s="10">
        <v>45687.652789351851</v>
      </c>
      <c r="J2353" s="10">
        <v>45687.654305555552</v>
      </c>
      <c r="K2353" s="11">
        <v>1.5162037037037041E-3</v>
      </c>
      <c r="L2353" s="13"/>
    </row>
    <row r="2354" spans="1:12" x14ac:dyDescent="0.25">
      <c r="A2354" s="3" t="s">
        <v>5301</v>
      </c>
      <c r="B2354" s="3" t="s">
        <v>5613</v>
      </c>
      <c r="C2354" s="3" t="s">
        <v>453</v>
      </c>
      <c r="D2354" s="9">
        <v>47.2</v>
      </c>
      <c r="E2354" s="3"/>
      <c r="F2354" s="3"/>
      <c r="G2354" s="9"/>
      <c r="H2354" s="10">
        <v>45687.728159722217</v>
      </c>
      <c r="I2354" s="10">
        <v>45687.729039351849</v>
      </c>
      <c r="J2354" s="10">
        <v>45687.730624999997</v>
      </c>
      <c r="K2354" s="11">
        <v>1.5856481481481481E-3</v>
      </c>
      <c r="L2354" s="13"/>
    </row>
    <row r="2355" spans="1:12" x14ac:dyDescent="0.25">
      <c r="A2355" s="3" t="s">
        <v>5301</v>
      </c>
      <c r="B2355" s="3" t="s">
        <v>5614</v>
      </c>
      <c r="C2355" s="3" t="s">
        <v>454</v>
      </c>
      <c r="D2355" s="9">
        <v>135.1</v>
      </c>
      <c r="E2355" s="3"/>
      <c r="F2355" s="3"/>
      <c r="G2355" s="9"/>
      <c r="H2355" s="10">
        <v>45687.827164351853</v>
      </c>
      <c r="I2355" s="10">
        <v>45687.828032407408</v>
      </c>
      <c r="J2355" s="10">
        <v>45687.829467592594</v>
      </c>
      <c r="K2355" s="11">
        <v>1.435185185185185E-3</v>
      </c>
      <c r="L2355" s="13"/>
    </row>
    <row r="2356" spans="1:12" x14ac:dyDescent="0.25">
      <c r="A2356" s="3" t="s">
        <v>5301</v>
      </c>
      <c r="B2356" s="3" t="s">
        <v>5615</v>
      </c>
      <c r="C2356" s="3" t="s">
        <v>455</v>
      </c>
      <c r="D2356" s="9">
        <v>389.1</v>
      </c>
      <c r="E2356" s="3"/>
      <c r="F2356" s="3"/>
      <c r="G2356" s="9"/>
      <c r="H2356" s="10">
        <v>45687.859201388892</v>
      </c>
      <c r="I2356" s="10">
        <v>45687.860081018523</v>
      </c>
      <c r="J2356" s="10">
        <v>45687.862847222219</v>
      </c>
      <c r="K2356" s="11">
        <v>2.7662037037037039E-3</v>
      </c>
      <c r="L2356" s="13"/>
    </row>
    <row r="2357" spans="1:12" x14ac:dyDescent="0.25">
      <c r="A2357" s="3" t="s">
        <v>5301</v>
      </c>
      <c r="B2357" s="3" t="s">
        <v>5616</v>
      </c>
      <c r="C2357" s="3" t="s">
        <v>456</v>
      </c>
      <c r="D2357" s="9">
        <v>199.9</v>
      </c>
      <c r="E2357" s="3"/>
      <c r="F2357" s="3"/>
      <c r="G2357" s="9"/>
      <c r="H2357" s="10">
        <v>45688.126793981479</v>
      </c>
      <c r="I2357" s="10">
        <v>45688.127662037034</v>
      </c>
      <c r="J2357" s="10">
        <v>45688.135405092587</v>
      </c>
      <c r="K2357" s="11">
        <v>7.743055555555556E-3</v>
      </c>
      <c r="L2357" s="13"/>
    </row>
    <row r="2358" spans="1:12" x14ac:dyDescent="0.25">
      <c r="A2358" s="3" t="s">
        <v>5301</v>
      </c>
      <c r="B2358" s="3" t="s">
        <v>5617</v>
      </c>
      <c r="C2358" s="3" t="s">
        <v>457</v>
      </c>
      <c r="D2358" s="9">
        <v>238.6</v>
      </c>
      <c r="E2358" s="3"/>
      <c r="F2358" s="3"/>
      <c r="G2358" s="9"/>
      <c r="H2358" s="10">
        <v>45688.191736111112</v>
      </c>
      <c r="I2358" s="10">
        <v>45688.192615740743</v>
      </c>
      <c r="J2358" s="10">
        <v>45688.192615740743</v>
      </c>
      <c r="K2358" s="11">
        <v>0</v>
      </c>
      <c r="L2358" s="13"/>
    </row>
    <row r="2359" spans="1:12" x14ac:dyDescent="0.25">
      <c r="A2359" s="3" t="s">
        <v>5301</v>
      </c>
      <c r="B2359" s="3" t="s">
        <v>5618</v>
      </c>
      <c r="C2359" s="3" t="s">
        <v>458</v>
      </c>
      <c r="D2359" s="9">
        <v>297</v>
      </c>
      <c r="E2359" s="3"/>
      <c r="F2359" s="3"/>
      <c r="G2359" s="9"/>
      <c r="H2359" s="10">
        <v>45688.255185185182</v>
      </c>
      <c r="I2359" s="10">
        <v>45688.256053240737</v>
      </c>
      <c r="J2359" s="10">
        <v>45688.257974537039</v>
      </c>
      <c r="K2359" s="11">
        <v>1.9212962962962959E-3</v>
      </c>
      <c r="L2359" s="13"/>
    </row>
    <row r="2360" spans="1:12" x14ac:dyDescent="0.25">
      <c r="A2360" s="3" t="s">
        <v>5301</v>
      </c>
      <c r="B2360" s="3" t="s">
        <v>5619</v>
      </c>
      <c r="C2360" s="3" t="s">
        <v>459</v>
      </c>
      <c r="D2360" s="9">
        <v>74.599999999999994</v>
      </c>
      <c r="E2360" s="3"/>
      <c r="F2360" s="3"/>
      <c r="G2360" s="9"/>
      <c r="H2360" s="10">
        <v>45688.296307870369</v>
      </c>
      <c r="I2360" s="10">
        <v>45688.2971875</v>
      </c>
      <c r="J2360" s="10">
        <v>45688.29923611111</v>
      </c>
      <c r="K2360" s="11">
        <v>2.0486111111111109E-3</v>
      </c>
      <c r="L2360" s="13"/>
    </row>
    <row r="2361" spans="1:12" x14ac:dyDescent="0.25">
      <c r="A2361" s="3" t="s">
        <v>5301</v>
      </c>
      <c r="B2361" s="3" t="s">
        <v>5620</v>
      </c>
      <c r="C2361" s="3" t="s">
        <v>460</v>
      </c>
      <c r="D2361" s="9">
        <v>585.29999999999995</v>
      </c>
      <c r="E2361" s="3"/>
      <c r="F2361" s="3"/>
      <c r="G2361" s="9"/>
      <c r="H2361" s="10">
        <v>45688.313043981478</v>
      </c>
      <c r="I2361" s="10">
        <v>45688.313923611109</v>
      </c>
      <c r="J2361" s="10">
        <v>45688.330648148149</v>
      </c>
      <c r="K2361" s="11">
        <v>1.6724537037037041E-2</v>
      </c>
      <c r="L2361" s="13"/>
    </row>
    <row r="2362" spans="1:12" x14ac:dyDescent="0.25">
      <c r="A2362" s="3" t="s">
        <v>5301</v>
      </c>
      <c r="B2362" s="3" t="s">
        <v>5621</v>
      </c>
      <c r="C2362" s="3" t="s">
        <v>461</v>
      </c>
      <c r="D2362" s="9">
        <v>381.6</v>
      </c>
      <c r="E2362" s="3"/>
      <c r="F2362" s="3"/>
      <c r="G2362" s="9"/>
      <c r="H2362" s="10">
        <v>45688.341840277782</v>
      </c>
      <c r="I2362" s="10">
        <v>45688.342719907407</v>
      </c>
      <c r="J2362" s="10">
        <v>45688.345486111109</v>
      </c>
      <c r="K2362" s="11">
        <v>2.7662037037037039E-3</v>
      </c>
      <c r="L2362" s="13"/>
    </row>
    <row r="2363" spans="1:12" x14ac:dyDescent="0.25">
      <c r="A2363" s="3" t="s">
        <v>5301</v>
      </c>
      <c r="B2363" s="3" t="s">
        <v>5622</v>
      </c>
      <c r="C2363" s="3" t="s">
        <v>462</v>
      </c>
      <c r="D2363" s="9">
        <v>237.1</v>
      </c>
      <c r="E2363" s="3"/>
      <c r="F2363" s="3"/>
      <c r="G2363" s="9"/>
      <c r="H2363" s="10">
        <v>45688.377175925933</v>
      </c>
      <c r="I2363" s="10">
        <v>45688.37804398148</v>
      </c>
      <c r="J2363" s="10">
        <v>45688.381712962961</v>
      </c>
      <c r="K2363" s="11">
        <v>3.668981481481481E-3</v>
      </c>
      <c r="L2363" s="13"/>
    </row>
    <row r="2364" spans="1:12" x14ac:dyDescent="0.25">
      <c r="A2364" s="3" t="s">
        <v>5301</v>
      </c>
      <c r="B2364" s="3" t="s">
        <v>5623</v>
      </c>
      <c r="C2364" s="3" t="s">
        <v>463</v>
      </c>
      <c r="D2364" s="9">
        <v>376.6</v>
      </c>
      <c r="E2364" s="3"/>
      <c r="F2364" s="3"/>
      <c r="G2364" s="9"/>
      <c r="H2364" s="10">
        <v>45688.389768518522</v>
      </c>
      <c r="I2364" s="10">
        <v>45688.390636574077</v>
      </c>
      <c r="J2364" s="10">
        <v>45688.401585648149</v>
      </c>
      <c r="K2364" s="11">
        <v>1.0949074074074069E-2</v>
      </c>
      <c r="L2364" s="13"/>
    </row>
    <row r="2365" spans="1:12" x14ac:dyDescent="0.25">
      <c r="A2365" s="3" t="s">
        <v>5301</v>
      </c>
      <c r="B2365" s="3" t="s">
        <v>5624</v>
      </c>
      <c r="C2365" s="3" t="s">
        <v>464</v>
      </c>
      <c r="D2365" s="9">
        <v>445.4</v>
      </c>
      <c r="E2365" s="3"/>
      <c r="F2365" s="3"/>
      <c r="G2365" s="9"/>
      <c r="H2365" s="10">
        <v>45688.450416666667</v>
      </c>
      <c r="I2365" s="10">
        <v>45688.451284722221</v>
      </c>
      <c r="J2365" s="10">
        <v>45688.457013888888</v>
      </c>
      <c r="K2365" s="11">
        <v>5.7291666666666663E-3</v>
      </c>
      <c r="L2365" s="13"/>
    </row>
    <row r="2366" spans="1:12" x14ac:dyDescent="0.25">
      <c r="A2366" s="3" t="s">
        <v>5301</v>
      </c>
      <c r="B2366" s="3" t="s">
        <v>5625</v>
      </c>
      <c r="C2366" s="3" t="s">
        <v>465</v>
      </c>
      <c r="D2366" s="9">
        <v>247.3</v>
      </c>
      <c r="E2366" s="3"/>
      <c r="F2366" s="3"/>
      <c r="G2366" s="9"/>
      <c r="H2366" s="10">
        <v>45688.525381944448</v>
      </c>
      <c r="I2366" s="10">
        <v>45688.526261574072</v>
      </c>
      <c r="J2366" s="10">
        <v>45688.528414351851</v>
      </c>
      <c r="K2366" s="11">
        <v>2.1527777777777782E-3</v>
      </c>
      <c r="L2366" s="13"/>
    </row>
    <row r="2367" spans="1:12" x14ac:dyDescent="0.25">
      <c r="A2367" s="3" t="s">
        <v>5301</v>
      </c>
      <c r="B2367" s="3" t="s">
        <v>5626</v>
      </c>
      <c r="C2367" s="3" t="s">
        <v>466</v>
      </c>
      <c r="D2367" s="9">
        <v>186.7</v>
      </c>
      <c r="E2367" s="3"/>
      <c r="F2367" s="3"/>
      <c r="G2367" s="9"/>
      <c r="H2367" s="10">
        <v>45688.597824074073</v>
      </c>
      <c r="I2367" s="10">
        <v>45688.598692129628</v>
      </c>
      <c r="J2367" s="10">
        <v>45688.600254629629</v>
      </c>
      <c r="K2367" s="11">
        <v>1.5625000000000001E-3</v>
      </c>
      <c r="L2367" s="13"/>
    </row>
    <row r="2368" spans="1:12" x14ac:dyDescent="0.25">
      <c r="A2368" s="3" t="s">
        <v>5301</v>
      </c>
      <c r="B2368" s="3" t="s">
        <v>5627</v>
      </c>
      <c r="C2368" s="3" t="s">
        <v>467</v>
      </c>
      <c r="D2368" s="9">
        <v>332.5</v>
      </c>
      <c r="E2368" s="3"/>
      <c r="F2368" s="3"/>
      <c r="G2368" s="9"/>
      <c r="H2368" s="10">
        <v>45688.640173611107</v>
      </c>
      <c r="I2368" s="10">
        <v>45688.641041666669</v>
      </c>
      <c r="J2368" s="10">
        <v>45688.654108796298</v>
      </c>
      <c r="K2368" s="11">
        <v>1.306712962962963E-2</v>
      </c>
      <c r="L2368" s="13"/>
    </row>
    <row r="2369" spans="1:12" x14ac:dyDescent="0.25">
      <c r="A2369" s="3" t="s">
        <v>5301</v>
      </c>
      <c r="B2369" s="3" t="s">
        <v>5628</v>
      </c>
      <c r="C2369" s="3" t="s">
        <v>469</v>
      </c>
      <c r="D2369" s="9">
        <v>47.2</v>
      </c>
      <c r="E2369" s="3"/>
      <c r="F2369" s="3"/>
      <c r="G2369" s="9"/>
      <c r="H2369" s="10">
        <v>45688.651875000003</v>
      </c>
      <c r="I2369" s="10">
        <v>45688.654976851853</v>
      </c>
      <c r="J2369" s="10">
        <v>45688.654976851853</v>
      </c>
      <c r="K2369" s="11">
        <v>0</v>
      </c>
      <c r="L2369" s="13"/>
    </row>
    <row r="2370" spans="1:12" x14ac:dyDescent="0.25">
      <c r="A2370" s="3" t="s">
        <v>5301</v>
      </c>
      <c r="B2370" s="3" t="s">
        <v>5629</v>
      </c>
      <c r="C2370" s="3" t="s">
        <v>468</v>
      </c>
      <c r="D2370" s="9">
        <v>420.6</v>
      </c>
      <c r="E2370" s="3"/>
      <c r="F2370" s="3"/>
      <c r="G2370" s="9"/>
      <c r="H2370" s="10">
        <v>45688.657465277778</v>
      </c>
      <c r="I2370" s="10">
        <v>45688.658333333333</v>
      </c>
      <c r="J2370" s="10">
        <v>45688.675798611112</v>
      </c>
      <c r="K2370" s="11">
        <v>1.7465277777777781E-2</v>
      </c>
      <c r="L2370" s="13"/>
    </row>
    <row r="2371" spans="1:12" x14ac:dyDescent="0.25">
      <c r="A2371" s="3" t="s">
        <v>5301</v>
      </c>
      <c r="B2371" s="3" t="s">
        <v>5630</v>
      </c>
      <c r="C2371" s="3" t="s">
        <v>470</v>
      </c>
      <c r="D2371" s="9">
        <v>302.10000000000002</v>
      </c>
      <c r="E2371" s="3"/>
      <c r="F2371" s="3"/>
      <c r="G2371" s="9"/>
      <c r="H2371" s="10">
        <v>45688.737349537027</v>
      </c>
      <c r="I2371" s="10">
        <v>45688.738217592603</v>
      </c>
      <c r="J2371" s="10">
        <v>45688.740162037036</v>
      </c>
      <c r="K2371" s="11">
        <v>1.944444444444444E-3</v>
      </c>
      <c r="L2371" s="13"/>
    </row>
    <row r="2372" spans="1:12" x14ac:dyDescent="0.25">
      <c r="A2372" s="3" t="s">
        <v>5301</v>
      </c>
      <c r="B2372" s="3" t="s">
        <v>5631</v>
      </c>
      <c r="C2372" s="3" t="s">
        <v>471</v>
      </c>
      <c r="D2372" s="9">
        <v>193.1</v>
      </c>
      <c r="E2372" s="3"/>
      <c r="F2372" s="3"/>
      <c r="G2372" s="9"/>
      <c r="H2372" s="10">
        <v>45688.745833333327</v>
      </c>
      <c r="I2372" s="10">
        <v>45688.746712962973</v>
      </c>
      <c r="J2372" s="10">
        <v>45688.74900462963</v>
      </c>
      <c r="K2372" s="11">
        <v>2.2916666666666671E-3</v>
      </c>
      <c r="L2372" s="13"/>
    </row>
    <row r="2373" spans="1:12" x14ac:dyDescent="0.25">
      <c r="A2373" s="3" t="s">
        <v>5301</v>
      </c>
      <c r="B2373" s="3" t="s">
        <v>5632</v>
      </c>
      <c r="C2373" s="3" t="s">
        <v>472</v>
      </c>
      <c r="D2373" s="9">
        <v>351</v>
      </c>
      <c r="E2373" s="3"/>
      <c r="F2373" s="3"/>
      <c r="G2373" s="9"/>
      <c r="H2373" s="10">
        <v>45688.850173611107</v>
      </c>
      <c r="I2373" s="10">
        <v>45688.851053240738</v>
      </c>
      <c r="J2373" s="10">
        <v>45688.862488425933</v>
      </c>
      <c r="K2373" s="11">
        <v>1.1435185185185191E-2</v>
      </c>
      <c r="L2373" s="13"/>
    </row>
    <row r="2374" spans="1:12" x14ac:dyDescent="0.25">
      <c r="A2374" s="3" t="s">
        <v>3225</v>
      </c>
      <c r="B2374" s="3" t="s">
        <v>5633</v>
      </c>
      <c r="C2374" s="3" t="s">
        <v>483</v>
      </c>
      <c r="D2374" s="9">
        <v>19.899999999999999</v>
      </c>
      <c r="E2374" s="3" t="s">
        <v>139</v>
      </c>
      <c r="F2374" s="3" t="s">
        <v>3203</v>
      </c>
      <c r="G2374" s="9">
        <v>269.92</v>
      </c>
      <c r="H2374" s="10">
        <v>45659.121018518519</v>
      </c>
      <c r="I2374" s="10">
        <v>45659.121018518519</v>
      </c>
      <c r="J2374" s="10">
        <v>45659.122187499997</v>
      </c>
      <c r="K2374" s="11">
        <v>1.168981481481482E-3</v>
      </c>
      <c r="L2374" s="13"/>
    </row>
    <row r="2375" spans="1:12" x14ac:dyDescent="0.25">
      <c r="A2375" s="3" t="s">
        <v>3225</v>
      </c>
      <c r="B2375" s="3" t="s">
        <v>5634</v>
      </c>
      <c r="C2375" s="3" t="s">
        <v>487</v>
      </c>
      <c r="D2375" s="9">
        <v>103.9</v>
      </c>
      <c r="E2375" s="3" t="s">
        <v>139</v>
      </c>
      <c r="F2375" s="3" t="s">
        <v>3193</v>
      </c>
      <c r="G2375" s="9">
        <v>297.43</v>
      </c>
      <c r="H2375" s="10">
        <v>45659.122187499997</v>
      </c>
      <c r="I2375" s="10">
        <v>45659.122187499997</v>
      </c>
      <c r="J2375" s="10">
        <v>45659.123668981483</v>
      </c>
      <c r="K2375" s="11">
        <v>1.481481481481481E-3</v>
      </c>
      <c r="L2375" s="13"/>
    </row>
    <row r="2376" spans="1:12" x14ac:dyDescent="0.25">
      <c r="A2376" s="3" t="s">
        <v>3225</v>
      </c>
      <c r="B2376" s="3" t="s">
        <v>5635</v>
      </c>
      <c r="C2376" s="3" t="s">
        <v>491</v>
      </c>
      <c r="D2376" s="9">
        <v>71.7</v>
      </c>
      <c r="E2376" s="3" t="s">
        <v>139</v>
      </c>
      <c r="F2376" s="3" t="s">
        <v>3199</v>
      </c>
      <c r="G2376" s="9">
        <v>450.42</v>
      </c>
      <c r="H2376" s="10">
        <v>45659.123668981483</v>
      </c>
      <c r="I2376" s="10">
        <v>45659.123668981483</v>
      </c>
      <c r="J2376" s="10">
        <v>45659.125717592593</v>
      </c>
      <c r="K2376" s="11">
        <v>2.0486111111111109E-3</v>
      </c>
      <c r="L2376" s="13"/>
    </row>
    <row r="2377" spans="1:12" x14ac:dyDescent="0.25">
      <c r="A2377" s="3" t="s">
        <v>3225</v>
      </c>
      <c r="B2377" s="3" t="s">
        <v>5636</v>
      </c>
      <c r="C2377" s="3" t="s">
        <v>495</v>
      </c>
      <c r="D2377" s="9">
        <v>31.5</v>
      </c>
      <c r="E2377" s="3" t="s">
        <v>139</v>
      </c>
      <c r="F2377" s="3" t="s">
        <v>3204</v>
      </c>
      <c r="G2377" s="9">
        <v>477.75</v>
      </c>
      <c r="H2377" s="10">
        <v>45659.125717592593</v>
      </c>
      <c r="I2377" s="10">
        <v>45659.125717592593</v>
      </c>
      <c r="J2377" s="10">
        <v>45659.12777777778</v>
      </c>
      <c r="K2377" s="11">
        <v>2.0601851851851849E-3</v>
      </c>
      <c r="L2377" s="13"/>
    </row>
    <row r="2378" spans="1:12" x14ac:dyDescent="0.25">
      <c r="A2378" s="3" t="s">
        <v>3225</v>
      </c>
      <c r="B2378" s="3" t="s">
        <v>5637</v>
      </c>
      <c r="C2378" s="3" t="s">
        <v>499</v>
      </c>
      <c r="D2378" s="9">
        <v>182.7</v>
      </c>
      <c r="E2378" s="3" t="s">
        <v>139</v>
      </c>
      <c r="F2378" s="3" t="s">
        <v>3193</v>
      </c>
      <c r="G2378" s="9">
        <v>297.43</v>
      </c>
      <c r="H2378" s="10">
        <v>45659.276192129633</v>
      </c>
      <c r="I2378" s="10">
        <v>45659.276192129633</v>
      </c>
      <c r="J2378" s="10">
        <v>45659.277858796297</v>
      </c>
      <c r="K2378" s="11">
        <v>1.666666666666667E-3</v>
      </c>
      <c r="L2378" s="13"/>
    </row>
    <row r="2379" spans="1:12" x14ac:dyDescent="0.25">
      <c r="A2379" s="3" t="s">
        <v>3225</v>
      </c>
      <c r="B2379" s="3" t="s">
        <v>5638</v>
      </c>
      <c r="C2379" s="3" t="s">
        <v>542</v>
      </c>
      <c r="D2379" s="9">
        <v>189</v>
      </c>
      <c r="E2379" s="3" t="s">
        <v>139</v>
      </c>
      <c r="F2379" s="3" t="s">
        <v>3194</v>
      </c>
      <c r="G2379" s="9">
        <v>459.96</v>
      </c>
      <c r="H2379" s="10">
        <v>45659.313958333332</v>
      </c>
      <c r="I2379" s="10">
        <v>45659.313958333332</v>
      </c>
      <c r="J2379" s="10">
        <v>45659.316319444442</v>
      </c>
      <c r="K2379" s="11">
        <v>2.3611111111111111E-3</v>
      </c>
      <c r="L2379" s="13"/>
    </row>
    <row r="2380" spans="1:12" x14ac:dyDescent="0.25">
      <c r="A2380" s="3" t="s">
        <v>3225</v>
      </c>
      <c r="B2380" s="3" t="s">
        <v>5639</v>
      </c>
      <c r="C2380" s="3" t="s">
        <v>503</v>
      </c>
      <c r="D2380" s="9">
        <v>15.7</v>
      </c>
      <c r="E2380" s="3" t="s">
        <v>142</v>
      </c>
      <c r="F2380" s="3" t="s">
        <v>3203</v>
      </c>
      <c r="G2380" s="9">
        <v>263.08999999999997</v>
      </c>
      <c r="H2380" s="10">
        <v>45659.319074074083</v>
      </c>
      <c r="I2380" s="10">
        <v>45659.319074074083</v>
      </c>
      <c r="J2380" s="10">
        <v>45659.320208333331</v>
      </c>
      <c r="K2380" s="11">
        <v>1.1342592592592589E-3</v>
      </c>
      <c r="L2380" s="13"/>
    </row>
    <row r="2381" spans="1:12" x14ac:dyDescent="0.25">
      <c r="A2381" s="3" t="s">
        <v>3225</v>
      </c>
      <c r="B2381" s="3" t="s">
        <v>5640</v>
      </c>
      <c r="C2381" s="3" t="s">
        <v>505</v>
      </c>
      <c r="D2381" s="9">
        <v>264.60000000000002</v>
      </c>
      <c r="E2381" s="3" t="s">
        <v>142</v>
      </c>
      <c r="F2381" s="3" t="s">
        <v>3195</v>
      </c>
      <c r="G2381" s="9">
        <v>398.6</v>
      </c>
      <c r="H2381" s="10">
        <v>45659.320208333331</v>
      </c>
      <c r="I2381" s="10">
        <v>45659.320208333331</v>
      </c>
      <c r="J2381" s="10">
        <v>45659.322488425933</v>
      </c>
      <c r="K2381" s="11">
        <v>2.2800925925925931E-3</v>
      </c>
      <c r="L2381" s="13"/>
    </row>
    <row r="2382" spans="1:12" x14ac:dyDescent="0.25">
      <c r="A2382" s="3" t="s">
        <v>3225</v>
      </c>
      <c r="B2382" s="3" t="s">
        <v>5641</v>
      </c>
      <c r="C2382" s="3" t="s">
        <v>509</v>
      </c>
      <c r="D2382" s="9">
        <v>21</v>
      </c>
      <c r="E2382" s="3" t="s">
        <v>142</v>
      </c>
      <c r="F2382" s="3" t="s">
        <v>3201</v>
      </c>
      <c r="G2382" s="9">
        <v>405.22</v>
      </c>
      <c r="H2382" s="10">
        <v>45659.322488425933</v>
      </c>
      <c r="I2382" s="10">
        <v>45659.322488425933</v>
      </c>
      <c r="J2382" s="10">
        <v>45659.324224537027</v>
      </c>
      <c r="K2382" s="11">
        <v>1.736111111111111E-3</v>
      </c>
      <c r="L2382" s="13"/>
    </row>
    <row r="2383" spans="1:12" x14ac:dyDescent="0.25">
      <c r="A2383" s="3" t="s">
        <v>3225</v>
      </c>
      <c r="B2383" s="3" t="s">
        <v>5642</v>
      </c>
      <c r="C2383" s="3" t="s">
        <v>512</v>
      </c>
      <c r="D2383" s="9">
        <v>12</v>
      </c>
      <c r="E2383" s="3" t="s">
        <v>142</v>
      </c>
      <c r="F2383" s="3" t="s">
        <v>3199</v>
      </c>
      <c r="G2383" s="9">
        <v>443.59</v>
      </c>
      <c r="H2383" s="10">
        <v>45659.324224537027</v>
      </c>
      <c r="I2383" s="10">
        <v>45659.324224537027</v>
      </c>
      <c r="J2383" s="10">
        <v>45659.326099537036</v>
      </c>
      <c r="K2383" s="11">
        <v>1.8749999999999999E-3</v>
      </c>
      <c r="L2383" s="13"/>
    </row>
    <row r="2384" spans="1:12" x14ac:dyDescent="0.25">
      <c r="A2384" s="3" t="s">
        <v>3225</v>
      </c>
      <c r="B2384" s="3" t="s">
        <v>5643</v>
      </c>
      <c r="C2384" s="3" t="s">
        <v>514</v>
      </c>
      <c r="D2384" s="9">
        <v>98.6</v>
      </c>
      <c r="E2384" s="3" t="s">
        <v>142</v>
      </c>
      <c r="F2384" s="3" t="s">
        <v>3197</v>
      </c>
      <c r="G2384" s="9">
        <v>453.13</v>
      </c>
      <c r="H2384" s="10">
        <v>45659.326099537036</v>
      </c>
      <c r="I2384" s="10">
        <v>45659.326099537036</v>
      </c>
      <c r="J2384" s="10">
        <v>45659.328217592592</v>
      </c>
      <c r="K2384" s="11">
        <v>2.1180555555555562E-3</v>
      </c>
      <c r="L2384" s="13"/>
    </row>
    <row r="2385" spans="1:12" x14ac:dyDescent="0.25">
      <c r="A2385" s="3" t="s">
        <v>3225</v>
      </c>
      <c r="B2385" s="3" t="s">
        <v>5644</v>
      </c>
      <c r="C2385" s="3" t="s">
        <v>518</v>
      </c>
      <c r="D2385" s="9">
        <v>21</v>
      </c>
      <c r="E2385" s="3" t="s">
        <v>142</v>
      </c>
      <c r="F2385" s="3" t="s">
        <v>3200</v>
      </c>
      <c r="G2385" s="9">
        <v>398.2</v>
      </c>
      <c r="H2385" s="10">
        <v>45659.328217592592</v>
      </c>
      <c r="I2385" s="10">
        <v>45659.328217592592</v>
      </c>
      <c r="J2385" s="10">
        <v>45659.329918981479</v>
      </c>
      <c r="K2385" s="11">
        <v>1.701388888888889E-3</v>
      </c>
      <c r="L2385" s="13"/>
    </row>
    <row r="2386" spans="1:12" x14ac:dyDescent="0.25">
      <c r="A2386" s="3" t="s">
        <v>3225</v>
      </c>
      <c r="B2386" s="3" t="s">
        <v>5645</v>
      </c>
      <c r="C2386" s="3" t="s">
        <v>522</v>
      </c>
      <c r="D2386" s="9">
        <v>15.7</v>
      </c>
      <c r="E2386" s="3" t="s">
        <v>142</v>
      </c>
      <c r="F2386" s="3" t="s">
        <v>3206</v>
      </c>
      <c r="G2386" s="9">
        <v>371.57</v>
      </c>
      <c r="H2386" s="10">
        <v>45659.329918981479</v>
      </c>
      <c r="I2386" s="10">
        <v>45659.329918981479</v>
      </c>
      <c r="J2386" s="10">
        <v>45659.331504629627</v>
      </c>
      <c r="K2386" s="11">
        <v>1.5856481481481481E-3</v>
      </c>
      <c r="L2386" s="13"/>
    </row>
    <row r="2387" spans="1:12" x14ac:dyDescent="0.25">
      <c r="A2387" s="3" t="s">
        <v>3225</v>
      </c>
      <c r="B2387" s="3" t="s">
        <v>5646</v>
      </c>
      <c r="C2387" s="3" t="s">
        <v>526</v>
      </c>
      <c r="D2387" s="9">
        <v>54</v>
      </c>
      <c r="E2387" s="3" t="s">
        <v>142</v>
      </c>
      <c r="F2387" s="3" t="s">
        <v>3198</v>
      </c>
      <c r="G2387" s="9">
        <v>344.04</v>
      </c>
      <c r="H2387" s="10">
        <v>45659.331504629627</v>
      </c>
      <c r="I2387" s="10">
        <v>45659.331504629627</v>
      </c>
      <c r="J2387" s="10">
        <v>45659.333067129628</v>
      </c>
      <c r="K2387" s="11">
        <v>1.5625000000000001E-3</v>
      </c>
      <c r="L2387" s="13"/>
    </row>
    <row r="2388" spans="1:12" x14ac:dyDescent="0.25">
      <c r="A2388" s="3" t="s">
        <v>3225</v>
      </c>
      <c r="B2388" s="3" t="s">
        <v>5647</v>
      </c>
      <c r="C2388" s="3" t="s">
        <v>530</v>
      </c>
      <c r="D2388" s="9">
        <v>19.899999999999999</v>
      </c>
      <c r="E2388" s="3" t="s">
        <v>142</v>
      </c>
      <c r="F2388" s="3" t="s">
        <v>3201</v>
      </c>
      <c r="G2388" s="9">
        <v>405.22</v>
      </c>
      <c r="H2388" s="10">
        <v>45659.333067129628</v>
      </c>
      <c r="I2388" s="10">
        <v>45659.333067129628</v>
      </c>
      <c r="J2388" s="10">
        <v>45659.334803240738</v>
      </c>
      <c r="K2388" s="11">
        <v>1.736111111111111E-3</v>
      </c>
      <c r="L2388" s="13"/>
    </row>
    <row r="2389" spans="1:12" x14ac:dyDescent="0.25">
      <c r="A2389" s="3" t="s">
        <v>3225</v>
      </c>
      <c r="B2389" s="3" t="s">
        <v>5648</v>
      </c>
      <c r="C2389" s="3" t="s">
        <v>532</v>
      </c>
      <c r="D2389" s="9">
        <v>15.7</v>
      </c>
      <c r="E2389" s="3" t="s">
        <v>142</v>
      </c>
      <c r="F2389" s="3" t="s">
        <v>3202</v>
      </c>
      <c r="G2389" s="9">
        <v>317.52</v>
      </c>
      <c r="H2389" s="10">
        <v>45659.334803240738</v>
      </c>
      <c r="I2389" s="10">
        <v>45659.334803240738</v>
      </c>
      <c r="J2389" s="10">
        <v>45659.336157407408</v>
      </c>
      <c r="K2389" s="11">
        <v>1.3541666666666669E-3</v>
      </c>
      <c r="L2389" s="13"/>
    </row>
    <row r="2390" spans="1:12" x14ac:dyDescent="0.25">
      <c r="A2390" s="3" t="s">
        <v>3225</v>
      </c>
      <c r="B2390" s="3" t="s">
        <v>5649</v>
      </c>
      <c r="C2390" s="3" t="s">
        <v>536</v>
      </c>
      <c r="D2390" s="9">
        <v>19.899999999999999</v>
      </c>
      <c r="E2390" s="3" t="s">
        <v>142</v>
      </c>
      <c r="F2390" s="3" t="s">
        <v>3200</v>
      </c>
      <c r="G2390" s="9">
        <v>398.2</v>
      </c>
      <c r="H2390" s="10">
        <v>45659.336157407408</v>
      </c>
      <c r="I2390" s="10">
        <v>45659.336157407408</v>
      </c>
      <c r="J2390" s="10">
        <v>45659.337858796287</v>
      </c>
      <c r="K2390" s="11">
        <v>1.701388888888889E-3</v>
      </c>
      <c r="L2390" s="13"/>
    </row>
    <row r="2391" spans="1:12" x14ac:dyDescent="0.25">
      <c r="A2391" s="3" t="s">
        <v>3225</v>
      </c>
      <c r="B2391" s="3" t="s">
        <v>5650</v>
      </c>
      <c r="C2391" s="3" t="s">
        <v>538</v>
      </c>
      <c r="D2391" s="9">
        <v>19.899999999999999</v>
      </c>
      <c r="E2391" s="3" t="s">
        <v>142</v>
      </c>
      <c r="F2391" s="3" t="s">
        <v>3205</v>
      </c>
      <c r="G2391" s="9">
        <v>292.27999999999997</v>
      </c>
      <c r="H2391" s="10">
        <v>45659.337858796287</v>
      </c>
      <c r="I2391" s="10">
        <v>45659.337858796287</v>
      </c>
      <c r="J2391" s="10">
        <v>45659.339131944442</v>
      </c>
      <c r="K2391" s="11">
        <v>1.273148148148148E-3</v>
      </c>
      <c r="L2391" s="13"/>
    </row>
    <row r="2392" spans="1:12" x14ac:dyDescent="0.25">
      <c r="A2392" s="3" t="s">
        <v>3225</v>
      </c>
      <c r="B2392" s="3" t="s">
        <v>5651</v>
      </c>
      <c r="C2392" s="3" t="s">
        <v>545</v>
      </c>
      <c r="D2392" s="9">
        <v>396.6</v>
      </c>
      <c r="E2392" s="3" t="s">
        <v>139</v>
      </c>
      <c r="F2392" s="3" t="s">
        <v>3193</v>
      </c>
      <c r="G2392" s="9">
        <v>297.43</v>
      </c>
      <c r="H2392" s="10">
        <v>45659.343194444453</v>
      </c>
      <c r="I2392" s="10">
        <v>45659.343194444453</v>
      </c>
      <c r="J2392" s="10">
        <v>45659.345358796287</v>
      </c>
      <c r="K2392" s="11">
        <v>2.1643518518518522E-3</v>
      </c>
      <c r="L2392" s="13"/>
    </row>
    <row r="2393" spans="1:12" x14ac:dyDescent="0.25">
      <c r="A2393" s="3" t="s">
        <v>3225</v>
      </c>
      <c r="B2393" s="3" t="s">
        <v>5652</v>
      </c>
      <c r="C2393" s="3" t="s">
        <v>571</v>
      </c>
      <c r="D2393" s="9">
        <v>70.5</v>
      </c>
      <c r="E2393" s="3" t="s">
        <v>142</v>
      </c>
      <c r="F2393" s="3" t="s">
        <v>3195</v>
      </c>
      <c r="G2393" s="9">
        <v>398.6</v>
      </c>
      <c r="H2393" s="10">
        <v>45659.382893518523</v>
      </c>
      <c r="I2393" s="10">
        <v>45659.382893518523</v>
      </c>
      <c r="J2393" s="10">
        <v>45659.384722222218</v>
      </c>
      <c r="K2393" s="11">
        <v>1.8287037037037039E-3</v>
      </c>
      <c r="L2393" s="13"/>
    </row>
    <row r="2394" spans="1:12" x14ac:dyDescent="0.25">
      <c r="A2394" s="3" t="s">
        <v>3225</v>
      </c>
      <c r="B2394" s="3" t="s">
        <v>5653</v>
      </c>
      <c r="C2394" s="3" t="s">
        <v>575</v>
      </c>
      <c r="D2394" s="9">
        <v>142.19999999999999</v>
      </c>
      <c r="E2394" s="3" t="s">
        <v>142</v>
      </c>
      <c r="F2394" s="3" t="s">
        <v>3196</v>
      </c>
      <c r="G2394" s="9">
        <v>443.59</v>
      </c>
      <c r="H2394" s="10">
        <v>45659.384722222218</v>
      </c>
      <c r="I2394" s="10">
        <v>45659.384722222218</v>
      </c>
      <c r="J2394" s="10">
        <v>45659.38689814815</v>
      </c>
      <c r="K2394" s="11">
        <v>2.1759259259259262E-3</v>
      </c>
      <c r="L2394" s="13"/>
    </row>
    <row r="2395" spans="1:12" x14ac:dyDescent="0.25">
      <c r="A2395" s="3" t="s">
        <v>3225</v>
      </c>
      <c r="B2395" s="3" t="s">
        <v>5654</v>
      </c>
      <c r="C2395" s="3" t="s">
        <v>548</v>
      </c>
      <c r="D2395" s="9">
        <v>21</v>
      </c>
      <c r="E2395" s="3" t="s">
        <v>139</v>
      </c>
      <c r="F2395" s="3" t="s">
        <v>3200</v>
      </c>
      <c r="G2395" s="9">
        <v>405.03</v>
      </c>
      <c r="H2395" s="10">
        <v>45659.387662037043</v>
      </c>
      <c r="I2395" s="10">
        <v>45659.387662037043</v>
      </c>
      <c r="J2395" s="10">
        <v>45659.389398148152</v>
      </c>
      <c r="K2395" s="11">
        <v>1.736111111111111E-3</v>
      </c>
      <c r="L2395" s="13"/>
    </row>
    <row r="2396" spans="1:12" x14ac:dyDescent="0.25">
      <c r="A2396" s="3" t="s">
        <v>3225</v>
      </c>
      <c r="B2396" s="3" t="s">
        <v>5655</v>
      </c>
      <c r="C2396" s="3" t="s">
        <v>550</v>
      </c>
      <c r="D2396" s="9">
        <v>19.899999999999999</v>
      </c>
      <c r="E2396" s="3" t="s">
        <v>139</v>
      </c>
      <c r="F2396" s="3" t="s">
        <v>3206</v>
      </c>
      <c r="G2396" s="9">
        <v>378.4</v>
      </c>
      <c r="H2396" s="10">
        <v>45659.389398148152</v>
      </c>
      <c r="I2396" s="10">
        <v>45659.389398148152</v>
      </c>
      <c r="J2396" s="10">
        <v>45659.391018518523</v>
      </c>
      <c r="K2396" s="11">
        <v>1.6203703703703701E-3</v>
      </c>
      <c r="L2396" s="13"/>
    </row>
    <row r="2397" spans="1:12" x14ac:dyDescent="0.25">
      <c r="A2397" s="3" t="s">
        <v>3225</v>
      </c>
      <c r="B2397" s="3" t="s">
        <v>5656</v>
      </c>
      <c r="C2397" s="3" t="s">
        <v>552</v>
      </c>
      <c r="D2397" s="9">
        <v>35.6</v>
      </c>
      <c r="E2397" s="3" t="s">
        <v>139</v>
      </c>
      <c r="F2397" s="3" t="s">
        <v>3197</v>
      </c>
      <c r="G2397" s="9">
        <v>459.96</v>
      </c>
      <c r="H2397" s="10">
        <v>45659.391018518523</v>
      </c>
      <c r="I2397" s="10">
        <v>45659.391018518523</v>
      </c>
      <c r="J2397" s="10">
        <v>45659.393020833333</v>
      </c>
      <c r="K2397" s="11">
        <v>2.0023148148148148E-3</v>
      </c>
      <c r="L2397" s="13"/>
    </row>
    <row r="2398" spans="1:12" x14ac:dyDescent="0.25">
      <c r="A2398" s="3" t="s">
        <v>3225</v>
      </c>
      <c r="B2398" s="3" t="s">
        <v>5657</v>
      </c>
      <c r="C2398" s="3" t="s">
        <v>554</v>
      </c>
      <c r="D2398" s="9">
        <v>36.4</v>
      </c>
      <c r="E2398" s="3" t="s">
        <v>139</v>
      </c>
      <c r="F2398" s="3" t="s">
        <v>3200</v>
      </c>
      <c r="G2398" s="9">
        <v>405.03</v>
      </c>
      <c r="H2398" s="10">
        <v>45659.393020833333</v>
      </c>
      <c r="I2398" s="10">
        <v>45659.393020833333</v>
      </c>
      <c r="J2398" s="10">
        <v>45659.394791666673</v>
      </c>
      <c r="K2398" s="11">
        <v>1.770833333333333E-3</v>
      </c>
      <c r="L2398" s="13"/>
    </row>
    <row r="2399" spans="1:12" x14ac:dyDescent="0.25">
      <c r="A2399" s="3" t="s">
        <v>3225</v>
      </c>
      <c r="B2399" s="3" t="s">
        <v>5658</v>
      </c>
      <c r="C2399" s="3" t="s">
        <v>556</v>
      </c>
      <c r="D2399" s="9">
        <v>54</v>
      </c>
      <c r="E2399" s="3" t="s">
        <v>139</v>
      </c>
      <c r="F2399" s="3" t="s">
        <v>3198</v>
      </c>
      <c r="G2399" s="9">
        <v>350.87</v>
      </c>
      <c r="H2399" s="10">
        <v>45659.394791666673</v>
      </c>
      <c r="I2399" s="10">
        <v>45659.394791666673</v>
      </c>
      <c r="J2399" s="10">
        <v>45659.396377314813</v>
      </c>
      <c r="K2399" s="11">
        <v>1.5856481481481481E-3</v>
      </c>
      <c r="L2399" s="13"/>
    </row>
    <row r="2400" spans="1:12" x14ac:dyDescent="0.25">
      <c r="A2400" s="3" t="s">
        <v>3225</v>
      </c>
      <c r="B2400" s="3" t="s">
        <v>5659</v>
      </c>
      <c r="C2400" s="3" t="s">
        <v>558</v>
      </c>
      <c r="D2400" s="9">
        <v>12</v>
      </c>
      <c r="E2400" s="3" t="s">
        <v>139</v>
      </c>
      <c r="F2400" s="3" t="s">
        <v>3199</v>
      </c>
      <c r="G2400" s="9">
        <v>450.42</v>
      </c>
      <c r="H2400" s="10">
        <v>45659.396377314813</v>
      </c>
      <c r="I2400" s="10">
        <v>45659.396377314813</v>
      </c>
      <c r="J2400" s="10">
        <v>45659.398275462961</v>
      </c>
      <c r="K2400" s="11">
        <v>1.8981481481481479E-3</v>
      </c>
      <c r="L2400" s="13"/>
    </row>
    <row r="2401" spans="1:12" x14ac:dyDescent="0.25">
      <c r="A2401" s="3" t="s">
        <v>3225</v>
      </c>
      <c r="B2401" s="3" t="s">
        <v>5660</v>
      </c>
      <c r="C2401" s="3" t="s">
        <v>560</v>
      </c>
      <c r="D2401" s="9">
        <v>31.5</v>
      </c>
      <c r="E2401" s="3" t="s">
        <v>139</v>
      </c>
      <c r="F2401" s="3" t="s">
        <v>3202</v>
      </c>
      <c r="G2401" s="9">
        <v>324.35000000000002</v>
      </c>
      <c r="H2401" s="10">
        <v>45659.398275462961</v>
      </c>
      <c r="I2401" s="10">
        <v>45659.398275462961</v>
      </c>
      <c r="J2401" s="10">
        <v>45659.399699074071</v>
      </c>
      <c r="K2401" s="11">
        <v>1.423611111111111E-3</v>
      </c>
      <c r="L2401" s="13"/>
    </row>
    <row r="2402" spans="1:12" x14ac:dyDescent="0.25">
      <c r="A2402" s="3" t="s">
        <v>3225</v>
      </c>
      <c r="B2402" s="3" t="s">
        <v>5661</v>
      </c>
      <c r="C2402" s="3" t="s">
        <v>562</v>
      </c>
      <c r="D2402" s="9">
        <v>19.899999999999999</v>
      </c>
      <c r="E2402" s="3" t="s">
        <v>139</v>
      </c>
      <c r="F2402" s="3" t="s">
        <v>3194</v>
      </c>
      <c r="G2402" s="9">
        <v>459.96</v>
      </c>
      <c r="H2402" s="10">
        <v>45659.399699074071</v>
      </c>
      <c r="I2402" s="10">
        <v>45659.399699074071</v>
      </c>
      <c r="J2402" s="10">
        <v>45659.401666666658</v>
      </c>
      <c r="K2402" s="11">
        <v>1.967592592592592E-3</v>
      </c>
      <c r="L2402" s="13"/>
    </row>
    <row r="2403" spans="1:12" x14ac:dyDescent="0.25">
      <c r="A2403" s="3" t="s">
        <v>3225</v>
      </c>
      <c r="B2403" s="3" t="s">
        <v>5662</v>
      </c>
      <c r="C2403" s="3" t="s">
        <v>566</v>
      </c>
      <c r="D2403" s="9">
        <v>194.2</v>
      </c>
      <c r="E2403" s="3" t="s">
        <v>139</v>
      </c>
      <c r="F2403" s="3" t="s">
        <v>3196</v>
      </c>
      <c r="G2403" s="9">
        <v>450.42</v>
      </c>
      <c r="H2403" s="10">
        <v>45659.401666666658</v>
      </c>
      <c r="I2403" s="10">
        <v>45659.401666666658</v>
      </c>
      <c r="J2403" s="10">
        <v>45659.403993055559</v>
      </c>
      <c r="K2403" s="11">
        <v>2.3263888888888891E-3</v>
      </c>
      <c r="L2403" s="13"/>
    </row>
    <row r="2404" spans="1:12" x14ac:dyDescent="0.25">
      <c r="A2404" s="3" t="s">
        <v>3225</v>
      </c>
      <c r="B2404" s="3" t="s">
        <v>5663</v>
      </c>
      <c r="C2404" s="3" t="s">
        <v>569</v>
      </c>
      <c r="D2404" s="9">
        <v>15.7</v>
      </c>
      <c r="E2404" s="3" t="s">
        <v>139</v>
      </c>
      <c r="F2404" s="3" t="s">
        <v>3204</v>
      </c>
      <c r="G2404" s="9">
        <v>477.75</v>
      </c>
      <c r="H2404" s="10">
        <v>45659.403993055559</v>
      </c>
      <c r="I2404" s="10">
        <v>45659.403993055559</v>
      </c>
      <c r="J2404" s="10">
        <v>45659.406018518523</v>
      </c>
      <c r="K2404" s="11">
        <v>2.0254629629629629E-3</v>
      </c>
      <c r="L2404" s="13"/>
    </row>
    <row r="2405" spans="1:12" x14ac:dyDescent="0.25">
      <c r="A2405" s="3" t="s">
        <v>3225</v>
      </c>
      <c r="B2405" s="3" t="s">
        <v>5664</v>
      </c>
      <c r="C2405" s="3" t="s">
        <v>578</v>
      </c>
      <c r="D2405" s="9">
        <v>39.799999999999997</v>
      </c>
      <c r="E2405" s="3" t="s">
        <v>139</v>
      </c>
      <c r="F2405" s="3" t="s">
        <v>3193</v>
      </c>
      <c r="G2405" s="9">
        <v>297.43</v>
      </c>
      <c r="H2405" s="10">
        <v>45659.448067129633</v>
      </c>
      <c r="I2405" s="10">
        <v>45659.448067129633</v>
      </c>
      <c r="J2405" s="10">
        <v>45659.44939814815</v>
      </c>
      <c r="K2405" s="11">
        <v>1.3310185185185181E-3</v>
      </c>
      <c r="L2405" s="13"/>
    </row>
    <row r="2406" spans="1:12" x14ac:dyDescent="0.25">
      <c r="A2406" s="3" t="s">
        <v>3225</v>
      </c>
      <c r="B2406" s="3" t="s">
        <v>5665</v>
      </c>
      <c r="C2406" s="3" t="s">
        <v>581</v>
      </c>
      <c r="D2406" s="9">
        <v>19.899999999999999</v>
      </c>
      <c r="E2406" s="3" t="s">
        <v>139</v>
      </c>
      <c r="F2406" s="3" t="s">
        <v>3195</v>
      </c>
      <c r="G2406" s="9">
        <v>405.43</v>
      </c>
      <c r="H2406" s="10">
        <v>45659.44939814815</v>
      </c>
      <c r="I2406" s="10">
        <v>45659.44939814815</v>
      </c>
      <c r="J2406" s="10">
        <v>45659.45113425926</v>
      </c>
      <c r="K2406" s="11">
        <v>1.736111111111111E-3</v>
      </c>
      <c r="L2406" s="13"/>
    </row>
    <row r="2407" spans="1:12" x14ac:dyDescent="0.25">
      <c r="A2407" s="3" t="s">
        <v>3225</v>
      </c>
      <c r="B2407" s="3" t="s">
        <v>5666</v>
      </c>
      <c r="C2407" s="3" t="s">
        <v>583</v>
      </c>
      <c r="D2407" s="9">
        <v>327.39999999999998</v>
      </c>
      <c r="E2407" s="3" t="s">
        <v>139</v>
      </c>
      <c r="F2407" s="3" t="s">
        <v>3193</v>
      </c>
      <c r="G2407" s="9">
        <v>297.43</v>
      </c>
      <c r="H2407" s="10">
        <v>45659.45113425926</v>
      </c>
      <c r="I2407" s="10">
        <v>45659.45113425926</v>
      </c>
      <c r="J2407" s="10">
        <v>45659.453125</v>
      </c>
      <c r="K2407" s="11">
        <v>1.9907407407407408E-3</v>
      </c>
      <c r="L2407" s="13"/>
    </row>
    <row r="2408" spans="1:12" x14ac:dyDescent="0.25">
      <c r="A2408" s="3" t="s">
        <v>3225</v>
      </c>
      <c r="B2408" s="3" t="s">
        <v>5667</v>
      </c>
      <c r="C2408" s="3" t="s">
        <v>585</v>
      </c>
      <c r="D2408" s="9">
        <v>287.10000000000002</v>
      </c>
      <c r="E2408" s="3" t="s">
        <v>139</v>
      </c>
      <c r="F2408" s="3" t="s">
        <v>3193</v>
      </c>
      <c r="G2408" s="9">
        <v>297.43</v>
      </c>
      <c r="H2408" s="10">
        <v>45659.615428240737</v>
      </c>
      <c r="I2408" s="10">
        <v>45659.615428240737</v>
      </c>
      <c r="J2408" s="10">
        <v>45659.617337962962</v>
      </c>
      <c r="K2408" s="11">
        <v>1.9097222222222219E-3</v>
      </c>
      <c r="L2408" s="13"/>
    </row>
    <row r="2409" spans="1:12" x14ac:dyDescent="0.25">
      <c r="A2409" s="3" t="s">
        <v>3225</v>
      </c>
      <c r="B2409" s="3" t="s">
        <v>5668</v>
      </c>
      <c r="C2409" s="3" t="s">
        <v>610</v>
      </c>
      <c r="D2409" s="9">
        <v>267.60000000000002</v>
      </c>
      <c r="E2409" s="3" t="s">
        <v>139</v>
      </c>
      <c r="F2409" s="3" t="s">
        <v>3199</v>
      </c>
      <c r="G2409" s="9">
        <v>450.42</v>
      </c>
      <c r="H2409" s="10">
        <v>45659.634479166663</v>
      </c>
      <c r="I2409" s="10">
        <v>45659.634479166663</v>
      </c>
      <c r="J2409" s="10">
        <v>45659.636967592603</v>
      </c>
      <c r="K2409" s="11">
        <v>2.488425925925926E-3</v>
      </c>
      <c r="L2409" s="13"/>
    </row>
    <row r="2410" spans="1:12" x14ac:dyDescent="0.25">
      <c r="A2410" s="3" t="s">
        <v>3225</v>
      </c>
      <c r="B2410" s="3" t="s">
        <v>5669</v>
      </c>
      <c r="C2410" s="3" t="s">
        <v>588</v>
      </c>
      <c r="D2410" s="9">
        <v>81</v>
      </c>
      <c r="E2410" s="3" t="s">
        <v>142</v>
      </c>
      <c r="F2410" s="3" t="s">
        <v>3197</v>
      </c>
      <c r="G2410" s="9">
        <v>453.13</v>
      </c>
      <c r="H2410" s="10">
        <v>45659.642523148148</v>
      </c>
      <c r="I2410" s="10">
        <v>45659.642523148148</v>
      </c>
      <c r="J2410" s="10">
        <v>45659.644594907397</v>
      </c>
      <c r="K2410" s="11">
        <v>2.0717592592592589E-3</v>
      </c>
      <c r="L2410" s="13"/>
    </row>
    <row r="2411" spans="1:12" x14ac:dyDescent="0.25">
      <c r="A2411" s="3" t="s">
        <v>3225</v>
      </c>
      <c r="B2411" s="3" t="s">
        <v>5670</v>
      </c>
      <c r="C2411" s="3" t="s">
        <v>591</v>
      </c>
      <c r="D2411" s="9">
        <v>12</v>
      </c>
      <c r="E2411" s="3" t="s">
        <v>142</v>
      </c>
      <c r="F2411" s="3" t="s">
        <v>3199</v>
      </c>
      <c r="G2411" s="9">
        <v>443.59</v>
      </c>
      <c r="H2411" s="10">
        <v>45659.644594907397</v>
      </c>
      <c r="I2411" s="10">
        <v>45659.644594907397</v>
      </c>
      <c r="J2411" s="10">
        <v>45659.646469907413</v>
      </c>
      <c r="K2411" s="11">
        <v>1.8749999999999999E-3</v>
      </c>
      <c r="L2411" s="13"/>
    </row>
    <row r="2412" spans="1:12" x14ac:dyDescent="0.25">
      <c r="A2412" s="3" t="s">
        <v>3225</v>
      </c>
      <c r="B2412" s="3" t="s">
        <v>5671</v>
      </c>
      <c r="C2412" s="3" t="s">
        <v>594</v>
      </c>
      <c r="D2412" s="9">
        <v>14</v>
      </c>
      <c r="E2412" s="3" t="s">
        <v>142</v>
      </c>
      <c r="F2412" s="3" t="s">
        <v>3198</v>
      </c>
      <c r="G2412" s="9">
        <v>344.04</v>
      </c>
      <c r="H2412" s="10">
        <v>45659.646469907413</v>
      </c>
      <c r="I2412" s="10">
        <v>45659.646469907413</v>
      </c>
      <c r="J2412" s="10">
        <v>45659.647939814808</v>
      </c>
      <c r="K2412" s="11">
        <v>1.469907407407407E-3</v>
      </c>
      <c r="L2412" s="13"/>
    </row>
    <row r="2413" spans="1:12" x14ac:dyDescent="0.25">
      <c r="A2413" s="3" t="s">
        <v>3225</v>
      </c>
      <c r="B2413" s="3" t="s">
        <v>5672</v>
      </c>
      <c r="C2413" s="3" t="s">
        <v>598</v>
      </c>
      <c r="D2413" s="9">
        <v>16.5</v>
      </c>
      <c r="E2413" s="3" t="s">
        <v>142</v>
      </c>
      <c r="F2413" s="3" t="s">
        <v>3200</v>
      </c>
      <c r="G2413" s="9">
        <v>398.2</v>
      </c>
      <c r="H2413" s="10">
        <v>45659.647939814808</v>
      </c>
      <c r="I2413" s="10">
        <v>45659.647939814808</v>
      </c>
      <c r="J2413" s="10">
        <v>45659.649629629632</v>
      </c>
      <c r="K2413" s="11">
        <v>1.689814814814815E-3</v>
      </c>
      <c r="L2413" s="13"/>
    </row>
    <row r="2414" spans="1:12" x14ac:dyDescent="0.25">
      <c r="A2414" s="3" t="s">
        <v>3225</v>
      </c>
      <c r="B2414" s="3" t="s">
        <v>5673</v>
      </c>
      <c r="C2414" s="3" t="s">
        <v>600</v>
      </c>
      <c r="D2414" s="9">
        <v>257.10000000000002</v>
      </c>
      <c r="E2414" s="3" t="s">
        <v>142</v>
      </c>
      <c r="F2414" s="3" t="s">
        <v>3196</v>
      </c>
      <c r="G2414" s="9">
        <v>443.59</v>
      </c>
      <c r="H2414" s="10">
        <v>45659.649629629632</v>
      </c>
      <c r="I2414" s="10">
        <v>45659.649629629632</v>
      </c>
      <c r="J2414" s="10">
        <v>45659.652083333327</v>
      </c>
      <c r="K2414" s="11">
        <v>2.453703703703704E-3</v>
      </c>
      <c r="L2414" s="13"/>
    </row>
    <row r="2415" spans="1:12" x14ac:dyDescent="0.25">
      <c r="A2415" s="3" t="s">
        <v>3225</v>
      </c>
      <c r="B2415" s="3" t="s">
        <v>5674</v>
      </c>
      <c r="C2415" s="3" t="s">
        <v>603</v>
      </c>
      <c r="D2415" s="9">
        <v>31.5</v>
      </c>
      <c r="E2415" s="3" t="s">
        <v>142</v>
      </c>
      <c r="F2415" s="3" t="s">
        <v>3202</v>
      </c>
      <c r="G2415" s="9">
        <v>317.52</v>
      </c>
      <c r="H2415" s="10">
        <v>45659.652083333327</v>
      </c>
      <c r="I2415" s="10">
        <v>45659.652083333327</v>
      </c>
      <c r="J2415" s="10">
        <v>45659.65347222222</v>
      </c>
      <c r="K2415" s="11">
        <v>1.3888888888888889E-3</v>
      </c>
      <c r="L2415" s="13"/>
    </row>
    <row r="2416" spans="1:12" x14ac:dyDescent="0.25">
      <c r="A2416" s="3" t="s">
        <v>3225</v>
      </c>
      <c r="B2416" s="3" t="s">
        <v>5675</v>
      </c>
      <c r="C2416" s="3" t="s">
        <v>605</v>
      </c>
      <c r="D2416" s="9">
        <v>42</v>
      </c>
      <c r="E2416" s="3" t="s">
        <v>142</v>
      </c>
      <c r="F2416" s="3" t="s">
        <v>3201</v>
      </c>
      <c r="G2416" s="9">
        <v>405.22</v>
      </c>
      <c r="H2416" s="10">
        <v>45659.65347222222</v>
      </c>
      <c r="I2416" s="10">
        <v>45659.65347222222</v>
      </c>
      <c r="J2416" s="10">
        <v>45659.65525462963</v>
      </c>
      <c r="K2416" s="11">
        <v>1.782407407407407E-3</v>
      </c>
      <c r="L2416" s="13"/>
    </row>
    <row r="2417" spans="1:12" x14ac:dyDescent="0.25">
      <c r="A2417" s="3" t="s">
        <v>3225</v>
      </c>
      <c r="B2417" s="3" t="s">
        <v>5676</v>
      </c>
      <c r="C2417" s="3" t="s">
        <v>607</v>
      </c>
      <c r="D2417" s="9">
        <v>117.8</v>
      </c>
      <c r="E2417" s="3" t="s">
        <v>142</v>
      </c>
      <c r="F2417" s="3" t="s">
        <v>3196</v>
      </c>
      <c r="G2417" s="9">
        <v>443.59</v>
      </c>
      <c r="H2417" s="10">
        <v>45659.65525462963</v>
      </c>
      <c r="I2417" s="10">
        <v>45659.65525462963</v>
      </c>
      <c r="J2417" s="10">
        <v>45659.657384259262</v>
      </c>
      <c r="K2417" s="11">
        <v>2.1296296296296302E-3</v>
      </c>
      <c r="L2417" s="13"/>
    </row>
    <row r="2418" spans="1:12" x14ac:dyDescent="0.25">
      <c r="A2418" s="3" t="s">
        <v>3225</v>
      </c>
      <c r="B2418" s="3" t="s">
        <v>5677</v>
      </c>
      <c r="C2418" s="3" t="s">
        <v>612</v>
      </c>
      <c r="D2418" s="9">
        <v>15.7</v>
      </c>
      <c r="E2418" s="3" t="s">
        <v>142</v>
      </c>
      <c r="F2418" s="3" t="s">
        <v>3203</v>
      </c>
      <c r="G2418" s="9">
        <v>263.08999999999997</v>
      </c>
      <c r="H2418" s="10">
        <v>45659.759236111109</v>
      </c>
      <c r="I2418" s="10">
        <v>45659.759236111109</v>
      </c>
      <c r="J2418" s="10">
        <v>45659.760370370372</v>
      </c>
      <c r="K2418" s="11">
        <v>1.1342592592592589E-3</v>
      </c>
      <c r="L2418" s="13"/>
    </row>
    <row r="2419" spans="1:12" x14ac:dyDescent="0.25">
      <c r="A2419" s="3" t="s">
        <v>3225</v>
      </c>
      <c r="B2419" s="3" t="s">
        <v>5678</v>
      </c>
      <c r="C2419" s="3" t="s">
        <v>614</v>
      </c>
      <c r="D2419" s="9">
        <v>15.7</v>
      </c>
      <c r="E2419" s="3" t="s">
        <v>142</v>
      </c>
      <c r="F2419" s="3" t="s">
        <v>3204</v>
      </c>
      <c r="G2419" s="9">
        <v>470.92</v>
      </c>
      <c r="H2419" s="10">
        <v>45659.760370370372</v>
      </c>
      <c r="I2419" s="10">
        <v>45659.760370370372</v>
      </c>
      <c r="J2419" s="10">
        <v>45659.762372685182</v>
      </c>
      <c r="K2419" s="11">
        <v>2.0023148148148148E-3</v>
      </c>
      <c r="L2419" s="13"/>
    </row>
    <row r="2420" spans="1:12" x14ac:dyDescent="0.25">
      <c r="A2420" s="3" t="s">
        <v>3225</v>
      </c>
      <c r="B2420" s="3" t="s">
        <v>5679</v>
      </c>
      <c r="C2420" s="3" t="s">
        <v>616</v>
      </c>
      <c r="D2420" s="9">
        <v>21</v>
      </c>
      <c r="E2420" s="3" t="s">
        <v>142</v>
      </c>
      <c r="F2420" s="3" t="s">
        <v>3193</v>
      </c>
      <c r="G2420" s="9">
        <v>290.60000000000002</v>
      </c>
      <c r="H2420" s="10">
        <v>45659.762372685182</v>
      </c>
      <c r="I2420" s="10">
        <v>45659.762372685182</v>
      </c>
      <c r="J2420" s="10">
        <v>45659.76363425926</v>
      </c>
      <c r="K2420" s="11">
        <v>1.261574074074074E-3</v>
      </c>
      <c r="L2420" s="13"/>
    </row>
    <row r="2421" spans="1:12" x14ac:dyDescent="0.25">
      <c r="A2421" s="3" t="s">
        <v>3225</v>
      </c>
      <c r="B2421" s="3" t="s">
        <v>5680</v>
      </c>
      <c r="C2421" s="3" t="s">
        <v>619</v>
      </c>
      <c r="D2421" s="9">
        <v>14</v>
      </c>
      <c r="E2421" s="3" t="s">
        <v>142</v>
      </c>
      <c r="F2421" s="3" t="s">
        <v>3206</v>
      </c>
      <c r="G2421" s="9">
        <v>371.57</v>
      </c>
      <c r="H2421" s="10">
        <v>45659.76363425926</v>
      </c>
      <c r="I2421" s="10">
        <v>45659.76363425926</v>
      </c>
      <c r="J2421" s="10">
        <v>45659.765208333331</v>
      </c>
      <c r="K2421" s="11">
        <v>1.5740740740740741E-3</v>
      </c>
      <c r="L2421" s="13"/>
    </row>
    <row r="2422" spans="1:12" x14ac:dyDescent="0.25">
      <c r="A2422" s="3" t="s">
        <v>3225</v>
      </c>
      <c r="B2422" s="3" t="s">
        <v>5681</v>
      </c>
      <c r="C2422" s="3" t="s">
        <v>621</v>
      </c>
      <c r="D2422" s="9">
        <v>135</v>
      </c>
      <c r="E2422" s="3" t="s">
        <v>142</v>
      </c>
      <c r="F2422" s="3" t="s">
        <v>3197</v>
      </c>
      <c r="G2422" s="9">
        <v>453.13</v>
      </c>
      <c r="H2422" s="10">
        <v>45659.765208333331</v>
      </c>
      <c r="I2422" s="10">
        <v>45659.765208333331</v>
      </c>
      <c r="J2422" s="10">
        <v>45659.767407407409</v>
      </c>
      <c r="K2422" s="11">
        <v>2.1990740740740742E-3</v>
      </c>
      <c r="L2422" s="13"/>
    </row>
    <row r="2423" spans="1:12" x14ac:dyDescent="0.25">
      <c r="A2423" s="3" t="s">
        <v>3225</v>
      </c>
      <c r="B2423" s="3" t="s">
        <v>5682</v>
      </c>
      <c r="C2423" s="3" t="s">
        <v>623</v>
      </c>
      <c r="D2423" s="9">
        <v>15.7</v>
      </c>
      <c r="E2423" s="3" t="s">
        <v>142</v>
      </c>
      <c r="F2423" s="3" t="s">
        <v>3202</v>
      </c>
      <c r="G2423" s="9">
        <v>317.52</v>
      </c>
      <c r="H2423" s="10">
        <v>45659.767407407409</v>
      </c>
      <c r="I2423" s="10">
        <v>45659.767407407409</v>
      </c>
      <c r="J2423" s="10">
        <v>45659.768773148149</v>
      </c>
      <c r="K2423" s="11">
        <v>1.3657407407407409E-3</v>
      </c>
      <c r="L2423" s="13"/>
    </row>
    <row r="2424" spans="1:12" x14ac:dyDescent="0.25">
      <c r="A2424" s="3" t="s">
        <v>3225</v>
      </c>
      <c r="B2424" s="3" t="s">
        <v>5683</v>
      </c>
      <c r="C2424" s="3" t="s">
        <v>625</v>
      </c>
      <c r="D2424" s="9">
        <v>97.9</v>
      </c>
      <c r="E2424" s="3" t="s">
        <v>142</v>
      </c>
      <c r="F2424" s="3" t="s">
        <v>3196</v>
      </c>
      <c r="G2424" s="9">
        <v>443.59</v>
      </c>
      <c r="H2424" s="10">
        <v>45659.768773148149</v>
      </c>
      <c r="I2424" s="10">
        <v>45659.768773148149</v>
      </c>
      <c r="J2424" s="10">
        <v>45659.770844907413</v>
      </c>
      <c r="K2424" s="11">
        <v>2.0717592592592589E-3</v>
      </c>
      <c r="L2424" s="13"/>
    </row>
    <row r="2425" spans="1:12" x14ac:dyDescent="0.25">
      <c r="A2425" s="3" t="s">
        <v>3225</v>
      </c>
      <c r="B2425" s="3" t="s">
        <v>5684</v>
      </c>
      <c r="C2425" s="3" t="s">
        <v>628</v>
      </c>
      <c r="D2425" s="9">
        <v>194.2</v>
      </c>
      <c r="E2425" s="3" t="s">
        <v>142</v>
      </c>
      <c r="F2425" s="3" t="s">
        <v>3199</v>
      </c>
      <c r="G2425" s="9">
        <v>443.59</v>
      </c>
      <c r="H2425" s="10">
        <v>45659.770844907413</v>
      </c>
      <c r="I2425" s="10">
        <v>45659.770844907413</v>
      </c>
      <c r="J2425" s="10">
        <v>45659.773148148153</v>
      </c>
      <c r="K2425" s="11">
        <v>2.3032407407407411E-3</v>
      </c>
      <c r="L2425" s="13"/>
    </row>
    <row r="2426" spans="1:12" x14ac:dyDescent="0.25">
      <c r="A2426" s="3" t="s">
        <v>3225</v>
      </c>
      <c r="B2426" s="3" t="s">
        <v>5685</v>
      </c>
      <c r="C2426" s="3" t="s">
        <v>630</v>
      </c>
      <c r="D2426" s="9">
        <v>39.799999999999997</v>
      </c>
      <c r="E2426" s="3" t="s">
        <v>142</v>
      </c>
      <c r="F2426" s="3" t="s">
        <v>3194</v>
      </c>
      <c r="G2426" s="9">
        <v>453.13</v>
      </c>
      <c r="H2426" s="10">
        <v>45659.773148148153</v>
      </c>
      <c r="I2426" s="10">
        <v>45659.773148148153</v>
      </c>
      <c r="J2426" s="10">
        <v>45659.775127314817</v>
      </c>
      <c r="K2426" s="11">
        <v>1.9791666666666668E-3</v>
      </c>
      <c r="L2426" s="13"/>
    </row>
    <row r="2427" spans="1:12" x14ac:dyDescent="0.25">
      <c r="A2427" s="3" t="s">
        <v>3225</v>
      </c>
      <c r="B2427" s="3" t="s">
        <v>5686</v>
      </c>
      <c r="C2427" s="3" t="s">
        <v>632</v>
      </c>
      <c r="D2427" s="9">
        <v>19.899999999999999</v>
      </c>
      <c r="E2427" s="3" t="s">
        <v>142</v>
      </c>
      <c r="F2427" s="3" t="s">
        <v>3201</v>
      </c>
      <c r="G2427" s="9">
        <v>405.22</v>
      </c>
      <c r="H2427" s="10">
        <v>45659.775127314817</v>
      </c>
      <c r="I2427" s="10">
        <v>45659.775127314817</v>
      </c>
      <c r="J2427" s="10">
        <v>45659.776863425926</v>
      </c>
      <c r="K2427" s="11">
        <v>1.736111111111111E-3</v>
      </c>
      <c r="L2427" s="13"/>
    </row>
    <row r="2428" spans="1:12" x14ac:dyDescent="0.25">
      <c r="A2428" s="3" t="s">
        <v>3225</v>
      </c>
      <c r="B2428" s="3" t="s">
        <v>5687</v>
      </c>
      <c r="C2428" s="3" t="s">
        <v>634</v>
      </c>
      <c r="D2428" s="9">
        <v>12</v>
      </c>
      <c r="E2428" s="3" t="s">
        <v>142</v>
      </c>
      <c r="F2428" s="3" t="s">
        <v>3199</v>
      </c>
      <c r="G2428" s="9">
        <v>443.59</v>
      </c>
      <c r="H2428" s="10">
        <v>45659.776863425926</v>
      </c>
      <c r="I2428" s="10">
        <v>45659.776863425926</v>
      </c>
      <c r="J2428" s="10">
        <v>45659.778738425928</v>
      </c>
      <c r="K2428" s="11">
        <v>1.8749999999999999E-3</v>
      </c>
      <c r="L2428" s="13"/>
    </row>
    <row r="2429" spans="1:12" x14ac:dyDescent="0.25">
      <c r="A2429" s="3" t="s">
        <v>3225</v>
      </c>
      <c r="B2429" s="3" t="s">
        <v>5688</v>
      </c>
      <c r="C2429" s="3" t="s">
        <v>637</v>
      </c>
      <c r="D2429" s="9">
        <v>46.5</v>
      </c>
      <c r="E2429" s="3" t="s">
        <v>139</v>
      </c>
      <c r="F2429" s="3" t="s">
        <v>3199</v>
      </c>
      <c r="G2429" s="9">
        <v>450.42</v>
      </c>
      <c r="H2429" s="10">
        <v>45659.857627314806</v>
      </c>
      <c r="I2429" s="10">
        <v>45659.857627314806</v>
      </c>
      <c r="J2429" s="10">
        <v>45659.859606481477</v>
      </c>
      <c r="K2429" s="11">
        <v>1.9791666666666668E-3</v>
      </c>
      <c r="L2429" s="13"/>
    </row>
    <row r="2430" spans="1:12" x14ac:dyDescent="0.25">
      <c r="A2430" s="3" t="s">
        <v>3225</v>
      </c>
      <c r="B2430" s="3" t="s">
        <v>5689</v>
      </c>
      <c r="C2430" s="3" t="s">
        <v>639</v>
      </c>
      <c r="D2430" s="9">
        <v>15.7</v>
      </c>
      <c r="E2430" s="3" t="s">
        <v>139</v>
      </c>
      <c r="F2430" s="3" t="s">
        <v>3204</v>
      </c>
      <c r="G2430" s="9">
        <v>477.75</v>
      </c>
      <c r="H2430" s="10">
        <v>45659.859606481477</v>
      </c>
      <c r="I2430" s="10">
        <v>45659.859606481477</v>
      </c>
      <c r="J2430" s="10">
        <v>45659.861643518518</v>
      </c>
      <c r="K2430" s="11">
        <v>2.0370370370370369E-3</v>
      </c>
      <c r="L2430" s="13"/>
    </row>
    <row r="2431" spans="1:12" x14ac:dyDescent="0.25">
      <c r="A2431" s="3" t="s">
        <v>3225</v>
      </c>
      <c r="B2431" s="3" t="s">
        <v>5690</v>
      </c>
      <c r="C2431" s="3" t="s">
        <v>641</v>
      </c>
      <c r="D2431" s="9">
        <v>14</v>
      </c>
      <c r="E2431" s="3" t="s">
        <v>139</v>
      </c>
      <c r="F2431" s="3" t="s">
        <v>3198</v>
      </c>
      <c r="G2431" s="9">
        <v>350.87</v>
      </c>
      <c r="H2431" s="10">
        <v>45659.861643518518</v>
      </c>
      <c r="I2431" s="10">
        <v>45659.861643518518</v>
      </c>
      <c r="J2431" s="10">
        <v>45659.863136574073</v>
      </c>
      <c r="K2431" s="11">
        <v>1.4930555555555561E-3</v>
      </c>
      <c r="L2431" s="13"/>
    </row>
    <row r="2432" spans="1:12" x14ac:dyDescent="0.25">
      <c r="A2432" s="3" t="s">
        <v>3225</v>
      </c>
      <c r="B2432" s="3" t="s">
        <v>5691</v>
      </c>
      <c r="C2432" s="3" t="s">
        <v>643</v>
      </c>
      <c r="D2432" s="9">
        <v>60.8</v>
      </c>
      <c r="E2432" s="3" t="s">
        <v>139</v>
      </c>
      <c r="F2432" s="3" t="s">
        <v>3193</v>
      </c>
      <c r="G2432" s="9">
        <v>297.43</v>
      </c>
      <c r="H2432" s="10">
        <v>45659.863136574073</v>
      </c>
      <c r="I2432" s="10">
        <v>45659.863136574073</v>
      </c>
      <c r="J2432" s="10">
        <v>45659.86451388889</v>
      </c>
      <c r="K2432" s="11">
        <v>1.3773148148148149E-3</v>
      </c>
      <c r="L2432" s="13"/>
    </row>
    <row r="2433" spans="1:12" x14ac:dyDescent="0.25">
      <c r="A2433" s="3" t="s">
        <v>3225</v>
      </c>
      <c r="B2433" s="3" t="s">
        <v>5692</v>
      </c>
      <c r="C2433" s="3" t="s">
        <v>645</v>
      </c>
      <c r="D2433" s="9">
        <v>63</v>
      </c>
      <c r="E2433" s="3" t="s">
        <v>139</v>
      </c>
      <c r="F2433" s="3" t="s">
        <v>3202</v>
      </c>
      <c r="G2433" s="9">
        <v>324.35000000000002</v>
      </c>
      <c r="H2433" s="10">
        <v>45659.86451388889</v>
      </c>
      <c r="I2433" s="10">
        <v>45659.86451388889</v>
      </c>
      <c r="J2433" s="10">
        <v>45659.866006944438</v>
      </c>
      <c r="K2433" s="11">
        <v>1.4930555555555561E-3</v>
      </c>
      <c r="L2433" s="13"/>
    </row>
    <row r="2434" spans="1:12" x14ac:dyDescent="0.25">
      <c r="A2434" s="3" t="s">
        <v>3225</v>
      </c>
      <c r="B2434" s="3" t="s">
        <v>5693</v>
      </c>
      <c r="C2434" s="3" t="s">
        <v>647</v>
      </c>
      <c r="D2434" s="9">
        <v>21</v>
      </c>
      <c r="E2434" s="3" t="s">
        <v>139</v>
      </c>
      <c r="F2434" s="3" t="s">
        <v>3201</v>
      </c>
      <c r="G2434" s="9">
        <v>412.05</v>
      </c>
      <c r="H2434" s="10">
        <v>45659.866006944438</v>
      </c>
      <c r="I2434" s="10">
        <v>45659.866006944438</v>
      </c>
      <c r="J2434" s="10">
        <v>45659.867777777778</v>
      </c>
      <c r="K2434" s="11">
        <v>1.770833333333333E-3</v>
      </c>
      <c r="L2434" s="13"/>
    </row>
    <row r="2435" spans="1:12" x14ac:dyDescent="0.25">
      <c r="A2435" s="3" t="s">
        <v>3225</v>
      </c>
      <c r="B2435" s="3" t="s">
        <v>5694</v>
      </c>
      <c r="C2435" s="3" t="s">
        <v>650</v>
      </c>
      <c r="D2435" s="9">
        <v>54</v>
      </c>
      <c r="E2435" s="3" t="s">
        <v>139</v>
      </c>
      <c r="F2435" s="3" t="s">
        <v>3197</v>
      </c>
      <c r="G2435" s="9">
        <v>459.96</v>
      </c>
      <c r="H2435" s="10">
        <v>45659.867777777778</v>
      </c>
      <c r="I2435" s="10">
        <v>45659.867777777778</v>
      </c>
      <c r="J2435" s="10">
        <v>45659.869814814818</v>
      </c>
      <c r="K2435" s="11">
        <v>2.0370370370370369E-3</v>
      </c>
      <c r="L2435" s="13"/>
    </row>
    <row r="2436" spans="1:12" x14ac:dyDescent="0.25">
      <c r="A2436" s="3" t="s">
        <v>3225</v>
      </c>
      <c r="B2436" s="3" t="s">
        <v>5695</v>
      </c>
      <c r="C2436" s="3" t="s">
        <v>653</v>
      </c>
      <c r="D2436" s="9">
        <v>15.7</v>
      </c>
      <c r="E2436" s="3" t="s">
        <v>139</v>
      </c>
      <c r="F2436" s="3" t="s">
        <v>3200</v>
      </c>
      <c r="G2436" s="9">
        <v>405.03</v>
      </c>
      <c r="H2436" s="10">
        <v>45659.869814814818</v>
      </c>
      <c r="I2436" s="10">
        <v>45659.869814814818</v>
      </c>
      <c r="J2436" s="10">
        <v>45659.871539351851</v>
      </c>
      <c r="K2436" s="11">
        <v>1.724537037037037E-3</v>
      </c>
      <c r="L2436" s="13"/>
    </row>
    <row r="2437" spans="1:12" x14ac:dyDescent="0.25">
      <c r="A2437" s="3" t="s">
        <v>3225</v>
      </c>
      <c r="B2437" s="3" t="s">
        <v>5696</v>
      </c>
      <c r="C2437" s="3" t="s">
        <v>657</v>
      </c>
      <c r="D2437" s="9">
        <v>19.899999999999999</v>
      </c>
      <c r="E2437" s="3" t="s">
        <v>139</v>
      </c>
      <c r="F2437" s="3" t="s">
        <v>3196</v>
      </c>
      <c r="G2437" s="9">
        <v>450.42</v>
      </c>
      <c r="H2437" s="10">
        <v>45659.871539351851</v>
      </c>
      <c r="I2437" s="10">
        <v>45659.871539351851</v>
      </c>
      <c r="J2437" s="10">
        <v>45659.873460648138</v>
      </c>
      <c r="K2437" s="11">
        <v>1.9212962962962959E-3</v>
      </c>
      <c r="L2437" s="13"/>
    </row>
    <row r="2438" spans="1:12" x14ac:dyDescent="0.25">
      <c r="A2438" s="3" t="s">
        <v>3225</v>
      </c>
      <c r="B2438" s="3" t="s">
        <v>5697</v>
      </c>
      <c r="C2438" s="3" t="s">
        <v>659</v>
      </c>
      <c r="D2438" s="9">
        <v>19.899999999999999</v>
      </c>
      <c r="E2438" s="3" t="s">
        <v>139</v>
      </c>
      <c r="F2438" s="3" t="s">
        <v>3205</v>
      </c>
      <c r="G2438" s="9">
        <v>299.11</v>
      </c>
      <c r="H2438" s="10">
        <v>45659.873460648138</v>
      </c>
      <c r="I2438" s="10">
        <v>45659.873460648138</v>
      </c>
      <c r="J2438" s="10">
        <v>45659.874756944453</v>
      </c>
      <c r="K2438" s="11">
        <v>1.296296296296296E-3</v>
      </c>
      <c r="L2438" s="13"/>
    </row>
    <row r="2439" spans="1:12" x14ac:dyDescent="0.25">
      <c r="A2439" s="3" t="s">
        <v>3225</v>
      </c>
      <c r="B2439" s="3" t="s">
        <v>5698</v>
      </c>
      <c r="C2439" s="3" t="s">
        <v>661</v>
      </c>
      <c r="D2439" s="9">
        <v>19.899999999999999</v>
      </c>
      <c r="E2439" s="3" t="s">
        <v>139</v>
      </c>
      <c r="F2439" s="3" t="s">
        <v>3193</v>
      </c>
      <c r="G2439" s="9">
        <v>297.43</v>
      </c>
      <c r="H2439" s="10">
        <v>45659.874756944453</v>
      </c>
      <c r="I2439" s="10">
        <v>45659.874756944453</v>
      </c>
      <c r="J2439" s="10">
        <v>45659.87604166667</v>
      </c>
      <c r="K2439" s="11">
        <v>1.284722222222222E-3</v>
      </c>
      <c r="L2439" s="13"/>
    </row>
    <row r="2440" spans="1:12" x14ac:dyDescent="0.25">
      <c r="A2440" s="3" t="s">
        <v>3225</v>
      </c>
      <c r="B2440" s="3" t="s">
        <v>5699</v>
      </c>
      <c r="C2440" s="3" t="s">
        <v>663</v>
      </c>
      <c r="D2440" s="9">
        <v>88</v>
      </c>
      <c r="E2440" s="3" t="s">
        <v>139</v>
      </c>
      <c r="F2440" s="3" t="s">
        <v>3199</v>
      </c>
      <c r="G2440" s="9">
        <v>450.42</v>
      </c>
      <c r="H2440" s="10">
        <v>45660.12027777778</v>
      </c>
      <c r="I2440" s="10">
        <v>45660.12027777778</v>
      </c>
      <c r="J2440" s="10">
        <v>45660.122361111113</v>
      </c>
      <c r="K2440" s="11">
        <v>2.0833333333333329E-3</v>
      </c>
      <c r="L2440" s="13"/>
    </row>
    <row r="2441" spans="1:12" x14ac:dyDescent="0.25">
      <c r="A2441" s="3" t="s">
        <v>3225</v>
      </c>
      <c r="B2441" s="3" t="s">
        <v>5700</v>
      </c>
      <c r="C2441" s="3" t="s">
        <v>665</v>
      </c>
      <c r="D2441" s="9">
        <v>15.7</v>
      </c>
      <c r="E2441" s="3" t="s">
        <v>139</v>
      </c>
      <c r="F2441" s="3" t="s">
        <v>3203</v>
      </c>
      <c r="G2441" s="9">
        <v>269.92</v>
      </c>
      <c r="H2441" s="10">
        <v>45660.122361111113</v>
      </c>
      <c r="I2441" s="10">
        <v>45660.122361111113</v>
      </c>
      <c r="J2441" s="10">
        <v>45660.123518518521</v>
      </c>
      <c r="K2441" s="11">
        <v>1.1574074074074069E-3</v>
      </c>
      <c r="L2441" s="13"/>
    </row>
    <row r="2442" spans="1:12" x14ac:dyDescent="0.25">
      <c r="A2442" s="3" t="s">
        <v>3225</v>
      </c>
      <c r="B2442" s="3" t="s">
        <v>5701</v>
      </c>
      <c r="C2442" s="3" t="s">
        <v>667</v>
      </c>
      <c r="D2442" s="9">
        <v>21</v>
      </c>
      <c r="E2442" s="3" t="s">
        <v>139</v>
      </c>
      <c r="F2442" s="3" t="s">
        <v>3201</v>
      </c>
      <c r="G2442" s="9">
        <v>412.05</v>
      </c>
      <c r="H2442" s="10">
        <v>45660.123518518521</v>
      </c>
      <c r="I2442" s="10">
        <v>45660.123518518521</v>
      </c>
      <c r="J2442" s="10">
        <v>45660.125277777777</v>
      </c>
      <c r="K2442" s="11">
        <v>1.759259259259259E-3</v>
      </c>
      <c r="L2442" s="13"/>
    </row>
    <row r="2443" spans="1:12" x14ac:dyDescent="0.25">
      <c r="A2443" s="3" t="s">
        <v>3225</v>
      </c>
      <c r="B2443" s="3" t="s">
        <v>5702</v>
      </c>
      <c r="C2443" s="3" t="s">
        <v>669</v>
      </c>
      <c r="D2443" s="9">
        <v>15.7</v>
      </c>
      <c r="E2443" s="3" t="s">
        <v>139</v>
      </c>
      <c r="F2443" s="3" t="s">
        <v>3203</v>
      </c>
      <c r="G2443" s="9">
        <v>269.92</v>
      </c>
      <c r="H2443" s="10">
        <v>45660.125277777777</v>
      </c>
      <c r="I2443" s="10">
        <v>45660.125277777777</v>
      </c>
      <c r="J2443" s="10">
        <v>45660.126446759263</v>
      </c>
      <c r="K2443" s="11">
        <v>1.168981481481482E-3</v>
      </c>
      <c r="L2443" s="13"/>
    </row>
    <row r="2444" spans="1:12" x14ac:dyDescent="0.25">
      <c r="A2444" s="3" t="s">
        <v>3225</v>
      </c>
      <c r="B2444" s="3" t="s">
        <v>5703</v>
      </c>
      <c r="C2444" s="3" t="s">
        <v>671</v>
      </c>
      <c r="D2444" s="9">
        <v>497</v>
      </c>
      <c r="E2444" s="3" t="s">
        <v>139</v>
      </c>
      <c r="F2444" s="3" t="s">
        <v>3193</v>
      </c>
      <c r="G2444" s="9">
        <v>297.43</v>
      </c>
      <c r="H2444" s="10">
        <v>45660.200428240743</v>
      </c>
      <c r="I2444" s="10">
        <v>45660.200428240743</v>
      </c>
      <c r="J2444" s="10">
        <v>45660.202824074076</v>
      </c>
      <c r="K2444" s="11">
        <v>2.3958333333333331E-3</v>
      </c>
      <c r="L2444" s="13"/>
    </row>
    <row r="2445" spans="1:12" x14ac:dyDescent="0.25">
      <c r="A2445" s="3" t="s">
        <v>3225</v>
      </c>
      <c r="B2445" s="3" t="s">
        <v>5704</v>
      </c>
      <c r="C2445" s="3" t="s">
        <v>674</v>
      </c>
      <c r="D2445" s="9">
        <v>15.7</v>
      </c>
      <c r="E2445" s="3" t="s">
        <v>139</v>
      </c>
      <c r="F2445" s="3" t="s">
        <v>3206</v>
      </c>
      <c r="G2445" s="9">
        <v>378.4</v>
      </c>
      <c r="H2445" s="10">
        <v>45660.25104166667</v>
      </c>
      <c r="I2445" s="10">
        <v>45660.25104166667</v>
      </c>
      <c r="J2445" s="10">
        <v>45660.252650462957</v>
      </c>
      <c r="K2445" s="11">
        <v>1.6087962962962961E-3</v>
      </c>
      <c r="L2445" s="13"/>
    </row>
    <row r="2446" spans="1:12" x14ac:dyDescent="0.25">
      <c r="A2446" s="3" t="s">
        <v>3225</v>
      </c>
      <c r="B2446" s="3" t="s">
        <v>5705</v>
      </c>
      <c r="C2446" s="3" t="s">
        <v>676</v>
      </c>
      <c r="D2446" s="9">
        <v>19.899999999999999</v>
      </c>
      <c r="E2446" s="3" t="s">
        <v>139</v>
      </c>
      <c r="F2446" s="3" t="s">
        <v>3199</v>
      </c>
      <c r="G2446" s="9">
        <v>450.42</v>
      </c>
      <c r="H2446" s="10">
        <v>45660.252650462957</v>
      </c>
      <c r="I2446" s="10">
        <v>45660.252650462957</v>
      </c>
      <c r="J2446" s="10">
        <v>45660.254571759258</v>
      </c>
      <c r="K2446" s="11">
        <v>1.9212962962962959E-3</v>
      </c>
      <c r="L2446" s="13"/>
    </row>
    <row r="2447" spans="1:12" x14ac:dyDescent="0.25">
      <c r="A2447" s="3" t="s">
        <v>3225</v>
      </c>
      <c r="B2447" s="3" t="s">
        <v>5706</v>
      </c>
      <c r="C2447" s="3" t="s">
        <v>679</v>
      </c>
      <c r="D2447" s="9">
        <v>19.899999999999999</v>
      </c>
      <c r="E2447" s="3" t="s">
        <v>139</v>
      </c>
      <c r="F2447" s="3" t="s">
        <v>3201</v>
      </c>
      <c r="G2447" s="9">
        <v>412.05</v>
      </c>
      <c r="H2447" s="10">
        <v>45660.254571759258</v>
      </c>
      <c r="I2447" s="10">
        <v>45660.254571759258</v>
      </c>
      <c r="J2447" s="10">
        <v>45660.256331018521</v>
      </c>
      <c r="K2447" s="11">
        <v>1.759259259259259E-3</v>
      </c>
      <c r="L2447" s="13"/>
    </row>
    <row r="2448" spans="1:12" x14ac:dyDescent="0.25">
      <c r="A2448" s="3" t="s">
        <v>3225</v>
      </c>
      <c r="B2448" s="3" t="s">
        <v>5707</v>
      </c>
      <c r="C2448" s="3" t="s">
        <v>681</v>
      </c>
      <c r="D2448" s="9">
        <v>19.899999999999999</v>
      </c>
      <c r="E2448" s="3" t="s">
        <v>139</v>
      </c>
      <c r="F2448" s="3" t="s">
        <v>3203</v>
      </c>
      <c r="G2448" s="9">
        <v>269.92</v>
      </c>
      <c r="H2448" s="10">
        <v>45660.256331018521</v>
      </c>
      <c r="I2448" s="10">
        <v>45660.256331018521</v>
      </c>
      <c r="J2448" s="10">
        <v>45660.257511574076</v>
      </c>
      <c r="K2448" s="11">
        <v>1.180555555555556E-3</v>
      </c>
      <c r="L2448" s="13"/>
    </row>
    <row r="2449" spans="1:12" x14ac:dyDescent="0.25">
      <c r="A2449" s="3" t="s">
        <v>3225</v>
      </c>
      <c r="B2449" s="3" t="s">
        <v>5708</v>
      </c>
      <c r="C2449" s="3" t="s">
        <v>683</v>
      </c>
      <c r="D2449" s="9">
        <v>16.5</v>
      </c>
      <c r="E2449" s="3" t="s">
        <v>139</v>
      </c>
      <c r="F2449" s="3" t="s">
        <v>3202</v>
      </c>
      <c r="G2449" s="9">
        <v>324.35000000000002</v>
      </c>
      <c r="H2449" s="10">
        <v>45660.257511574076</v>
      </c>
      <c r="I2449" s="10">
        <v>45660.257511574076</v>
      </c>
      <c r="J2449" s="10">
        <v>45660.258900462963</v>
      </c>
      <c r="K2449" s="11">
        <v>1.3888888888888889E-3</v>
      </c>
      <c r="L2449" s="13"/>
    </row>
    <row r="2450" spans="1:12" x14ac:dyDescent="0.25">
      <c r="A2450" s="3" t="s">
        <v>3225</v>
      </c>
      <c r="B2450" s="3" t="s">
        <v>5709</v>
      </c>
      <c r="C2450" s="3" t="s">
        <v>686</v>
      </c>
      <c r="D2450" s="9">
        <v>27</v>
      </c>
      <c r="E2450" s="3" t="s">
        <v>139</v>
      </c>
      <c r="F2450" s="3" t="s">
        <v>3197</v>
      </c>
      <c r="G2450" s="9">
        <v>459.96</v>
      </c>
      <c r="H2450" s="10">
        <v>45660.258900462963</v>
      </c>
      <c r="I2450" s="10">
        <v>45660.258900462963</v>
      </c>
      <c r="J2450" s="10">
        <v>45660.260879629634</v>
      </c>
      <c r="K2450" s="11">
        <v>1.9791666666666668E-3</v>
      </c>
      <c r="L2450" s="13"/>
    </row>
    <row r="2451" spans="1:12" x14ac:dyDescent="0.25">
      <c r="A2451" s="3" t="s">
        <v>3225</v>
      </c>
      <c r="B2451" s="3" t="s">
        <v>5710</v>
      </c>
      <c r="C2451" s="3" t="s">
        <v>688</v>
      </c>
      <c r="D2451" s="9">
        <v>15.7</v>
      </c>
      <c r="E2451" s="3" t="s">
        <v>139</v>
      </c>
      <c r="F2451" s="3" t="s">
        <v>3196</v>
      </c>
      <c r="G2451" s="9">
        <v>450.42</v>
      </c>
      <c r="H2451" s="10">
        <v>45660.260879629634</v>
      </c>
      <c r="I2451" s="10">
        <v>45660.260879629634</v>
      </c>
      <c r="J2451" s="10">
        <v>45660.262789351851</v>
      </c>
      <c r="K2451" s="11">
        <v>1.9097222222222219E-3</v>
      </c>
      <c r="L2451" s="13"/>
    </row>
    <row r="2452" spans="1:12" x14ac:dyDescent="0.25">
      <c r="A2452" s="3" t="s">
        <v>3225</v>
      </c>
      <c r="B2452" s="3" t="s">
        <v>5711</v>
      </c>
      <c r="C2452" s="3" t="s">
        <v>691</v>
      </c>
      <c r="D2452" s="9">
        <v>15.7</v>
      </c>
      <c r="E2452" s="3" t="s">
        <v>139</v>
      </c>
      <c r="F2452" s="3" t="s">
        <v>3199</v>
      </c>
      <c r="G2452" s="9">
        <v>450.42</v>
      </c>
      <c r="H2452" s="10">
        <v>45660.262789351851</v>
      </c>
      <c r="I2452" s="10">
        <v>45660.262789351851</v>
      </c>
      <c r="J2452" s="10">
        <v>45660.264699074083</v>
      </c>
      <c r="K2452" s="11">
        <v>1.9097222222222219E-3</v>
      </c>
      <c r="L2452" s="13"/>
    </row>
    <row r="2453" spans="1:12" x14ac:dyDescent="0.25">
      <c r="A2453" s="3" t="s">
        <v>3225</v>
      </c>
      <c r="B2453" s="3" t="s">
        <v>5712</v>
      </c>
      <c r="C2453" s="3" t="s">
        <v>693</v>
      </c>
      <c r="D2453" s="9">
        <v>125.9</v>
      </c>
      <c r="E2453" s="3" t="s">
        <v>139</v>
      </c>
      <c r="F2453" s="3" t="s">
        <v>3204</v>
      </c>
      <c r="G2453" s="9">
        <v>477.75</v>
      </c>
      <c r="H2453" s="10">
        <v>45660.264699074083</v>
      </c>
      <c r="I2453" s="10">
        <v>45660.264699074083</v>
      </c>
      <c r="J2453" s="10">
        <v>45660.266979166663</v>
      </c>
      <c r="K2453" s="11">
        <v>2.2800925925925931E-3</v>
      </c>
      <c r="L2453" s="13"/>
    </row>
    <row r="2454" spans="1:12" x14ac:dyDescent="0.25">
      <c r="A2454" s="3" t="s">
        <v>3225</v>
      </c>
      <c r="B2454" s="3" t="s">
        <v>5713</v>
      </c>
      <c r="C2454" s="3" t="s">
        <v>695</v>
      </c>
      <c r="D2454" s="9">
        <v>108.7</v>
      </c>
      <c r="E2454" s="3" t="s">
        <v>139</v>
      </c>
      <c r="F2454" s="3" t="s">
        <v>3199</v>
      </c>
      <c r="G2454" s="9">
        <v>450.42</v>
      </c>
      <c r="H2454" s="10">
        <v>45660.266979166663</v>
      </c>
      <c r="I2454" s="10">
        <v>45660.266979166663</v>
      </c>
      <c r="J2454" s="10">
        <v>45660.269108796303</v>
      </c>
      <c r="K2454" s="11">
        <v>2.1296296296296302E-3</v>
      </c>
      <c r="L2454" s="13"/>
    </row>
    <row r="2455" spans="1:12" x14ac:dyDescent="0.25">
      <c r="A2455" s="3" t="s">
        <v>3225</v>
      </c>
      <c r="B2455" s="3" t="s">
        <v>5714</v>
      </c>
      <c r="C2455" s="3" t="s">
        <v>697</v>
      </c>
      <c r="D2455" s="9">
        <v>27</v>
      </c>
      <c r="E2455" s="3" t="s">
        <v>139</v>
      </c>
      <c r="F2455" s="3" t="s">
        <v>3197</v>
      </c>
      <c r="G2455" s="9">
        <v>459.96</v>
      </c>
      <c r="H2455" s="10">
        <v>45660.269108796303</v>
      </c>
      <c r="I2455" s="10">
        <v>45660.269108796303</v>
      </c>
      <c r="J2455" s="10">
        <v>45660.271087962959</v>
      </c>
      <c r="K2455" s="11">
        <v>1.9791666666666668E-3</v>
      </c>
      <c r="L2455" s="13"/>
    </row>
    <row r="2456" spans="1:12" x14ac:dyDescent="0.25">
      <c r="A2456" s="3" t="s">
        <v>3225</v>
      </c>
      <c r="B2456" s="3" t="s">
        <v>5715</v>
      </c>
      <c r="C2456" s="3" t="s">
        <v>699</v>
      </c>
      <c r="D2456" s="9">
        <v>297</v>
      </c>
      <c r="E2456" s="3" t="s">
        <v>139</v>
      </c>
      <c r="F2456" s="3" t="s">
        <v>3201</v>
      </c>
      <c r="G2456" s="9">
        <v>412.05</v>
      </c>
      <c r="H2456" s="10">
        <v>45660.280127314807</v>
      </c>
      <c r="I2456" s="10">
        <v>45660.280127314807</v>
      </c>
      <c r="J2456" s="10">
        <v>45660.282523148147</v>
      </c>
      <c r="K2456" s="11">
        <v>2.3958333333333331E-3</v>
      </c>
      <c r="L2456" s="13"/>
    </row>
    <row r="2457" spans="1:12" x14ac:dyDescent="0.25">
      <c r="A2457" s="3" t="s">
        <v>3225</v>
      </c>
      <c r="B2457" s="3" t="s">
        <v>5716</v>
      </c>
      <c r="C2457" s="3" t="s">
        <v>701</v>
      </c>
      <c r="D2457" s="9">
        <v>15.7</v>
      </c>
      <c r="E2457" s="3" t="s">
        <v>139</v>
      </c>
      <c r="F2457" s="3" t="s">
        <v>3196</v>
      </c>
      <c r="G2457" s="9">
        <v>450.42</v>
      </c>
      <c r="H2457" s="10">
        <v>45660.316307870373</v>
      </c>
      <c r="I2457" s="10">
        <v>45660.316307870373</v>
      </c>
      <c r="J2457" s="10">
        <v>45660.31821759259</v>
      </c>
      <c r="K2457" s="11">
        <v>1.9097222222222219E-3</v>
      </c>
      <c r="L2457" s="13"/>
    </row>
    <row r="2458" spans="1:12" x14ac:dyDescent="0.25">
      <c r="A2458" s="3" t="s">
        <v>3225</v>
      </c>
      <c r="B2458" s="3" t="s">
        <v>5717</v>
      </c>
      <c r="C2458" s="3" t="s">
        <v>703</v>
      </c>
      <c r="D2458" s="9">
        <v>19.899999999999999</v>
      </c>
      <c r="E2458" s="3" t="s">
        <v>139</v>
      </c>
      <c r="F2458" s="3" t="s">
        <v>3203</v>
      </c>
      <c r="G2458" s="9">
        <v>269.92</v>
      </c>
      <c r="H2458" s="10">
        <v>45660.31821759259</v>
      </c>
      <c r="I2458" s="10">
        <v>45660.31821759259</v>
      </c>
      <c r="J2458" s="10">
        <v>45660.319386574083</v>
      </c>
      <c r="K2458" s="11">
        <v>1.168981481481482E-3</v>
      </c>
      <c r="L2458" s="13"/>
    </row>
    <row r="2459" spans="1:12" x14ac:dyDescent="0.25">
      <c r="A2459" s="3" t="s">
        <v>3225</v>
      </c>
      <c r="B2459" s="3" t="s">
        <v>5718</v>
      </c>
      <c r="C2459" s="3" t="s">
        <v>706</v>
      </c>
      <c r="D2459" s="9">
        <v>40.9</v>
      </c>
      <c r="E2459" s="3" t="s">
        <v>139</v>
      </c>
      <c r="F2459" s="3" t="s">
        <v>3201</v>
      </c>
      <c r="G2459" s="9">
        <v>412.05</v>
      </c>
      <c r="H2459" s="10">
        <v>45660.319386574083</v>
      </c>
      <c r="I2459" s="10">
        <v>45660.319386574083</v>
      </c>
      <c r="J2459" s="10">
        <v>45660.321203703701</v>
      </c>
      <c r="K2459" s="11">
        <v>1.8171296296296299E-3</v>
      </c>
      <c r="L2459" s="13"/>
    </row>
    <row r="2460" spans="1:12" x14ac:dyDescent="0.25">
      <c r="A2460" s="3" t="s">
        <v>3225</v>
      </c>
      <c r="B2460" s="3" t="s">
        <v>5719</v>
      </c>
      <c r="C2460" s="3" t="s">
        <v>709</v>
      </c>
      <c r="D2460" s="9">
        <v>27</v>
      </c>
      <c r="E2460" s="3" t="s">
        <v>139</v>
      </c>
      <c r="F2460" s="3" t="s">
        <v>3193</v>
      </c>
      <c r="G2460" s="9">
        <v>297.43</v>
      </c>
      <c r="H2460" s="10">
        <v>45660.321203703701</v>
      </c>
      <c r="I2460" s="10">
        <v>45660.321203703701</v>
      </c>
      <c r="J2460" s="10">
        <v>45660.322500000002</v>
      </c>
      <c r="K2460" s="11">
        <v>1.296296296296296E-3</v>
      </c>
      <c r="L2460" s="13"/>
    </row>
    <row r="2461" spans="1:12" x14ac:dyDescent="0.25">
      <c r="A2461" s="3" t="s">
        <v>3225</v>
      </c>
      <c r="B2461" s="3" t="s">
        <v>5720</v>
      </c>
      <c r="C2461" s="3" t="s">
        <v>712</v>
      </c>
      <c r="D2461" s="9">
        <v>124.4</v>
      </c>
      <c r="E2461" s="3" t="s">
        <v>139</v>
      </c>
      <c r="F2461" s="3" t="s">
        <v>3194</v>
      </c>
      <c r="G2461" s="9">
        <v>459.96</v>
      </c>
      <c r="H2461" s="10">
        <v>45660.322500000002</v>
      </c>
      <c r="I2461" s="10">
        <v>45660.322500000002</v>
      </c>
      <c r="J2461" s="10">
        <v>45660.32471064815</v>
      </c>
      <c r="K2461" s="11">
        <v>2.2106481481481482E-3</v>
      </c>
      <c r="L2461" s="13"/>
    </row>
    <row r="2462" spans="1:12" x14ac:dyDescent="0.25">
      <c r="A2462" s="3" t="s">
        <v>3225</v>
      </c>
      <c r="B2462" s="3" t="s">
        <v>5721</v>
      </c>
      <c r="C2462" s="3" t="s">
        <v>714</v>
      </c>
      <c r="D2462" s="9">
        <v>63</v>
      </c>
      <c r="E2462" s="3" t="s">
        <v>139</v>
      </c>
      <c r="F2462" s="3" t="s">
        <v>3197</v>
      </c>
      <c r="G2462" s="9">
        <v>459.96</v>
      </c>
      <c r="H2462" s="10">
        <v>45660.32471064815</v>
      </c>
      <c r="I2462" s="10">
        <v>45660.32471064815</v>
      </c>
      <c r="J2462" s="10">
        <v>45660.326770833337</v>
      </c>
      <c r="K2462" s="11">
        <v>2.0601851851851849E-3</v>
      </c>
      <c r="L2462" s="13"/>
    </row>
    <row r="2463" spans="1:12" x14ac:dyDescent="0.25">
      <c r="A2463" s="3" t="s">
        <v>3225</v>
      </c>
      <c r="B2463" s="3" t="s">
        <v>5722</v>
      </c>
      <c r="C2463" s="3" t="s">
        <v>717</v>
      </c>
      <c r="D2463" s="9">
        <v>15.7</v>
      </c>
      <c r="E2463" s="3" t="s">
        <v>139</v>
      </c>
      <c r="F2463" s="3" t="s">
        <v>3206</v>
      </c>
      <c r="G2463" s="9">
        <v>378.4</v>
      </c>
      <c r="H2463" s="10">
        <v>45660.326770833337</v>
      </c>
      <c r="I2463" s="10">
        <v>45660.326770833337</v>
      </c>
      <c r="J2463" s="10">
        <v>45660.328379629631</v>
      </c>
      <c r="K2463" s="11">
        <v>1.6087962962962961E-3</v>
      </c>
      <c r="L2463" s="13"/>
    </row>
    <row r="2464" spans="1:12" x14ac:dyDescent="0.25">
      <c r="A2464" s="3" t="s">
        <v>3225</v>
      </c>
      <c r="B2464" s="3" t="s">
        <v>5723</v>
      </c>
      <c r="C2464" s="3" t="s">
        <v>719</v>
      </c>
      <c r="D2464" s="9">
        <v>256.89999999999998</v>
      </c>
      <c r="E2464" s="3" t="s">
        <v>142</v>
      </c>
      <c r="F2464" s="3" t="s">
        <v>3199</v>
      </c>
      <c r="G2464" s="9">
        <v>443.59</v>
      </c>
      <c r="H2464" s="10">
        <v>45660.329247685193</v>
      </c>
      <c r="I2464" s="10">
        <v>45660.329247685193</v>
      </c>
      <c r="J2464" s="10">
        <v>45660.331689814811</v>
      </c>
      <c r="K2464" s="11">
        <v>2.44212962962963E-3</v>
      </c>
      <c r="L2464" s="13"/>
    </row>
    <row r="2465" spans="1:12" x14ac:dyDescent="0.25">
      <c r="A2465" s="3" t="s">
        <v>3225</v>
      </c>
      <c r="B2465" s="3" t="s">
        <v>5724</v>
      </c>
      <c r="C2465" s="3" t="s">
        <v>722</v>
      </c>
      <c r="D2465" s="9">
        <v>396.6</v>
      </c>
      <c r="E2465" s="3" t="s">
        <v>139</v>
      </c>
      <c r="F2465" s="3" t="s">
        <v>3204</v>
      </c>
      <c r="G2465" s="9">
        <v>477.75</v>
      </c>
      <c r="H2465" s="10">
        <v>45660.340960648151</v>
      </c>
      <c r="I2465" s="10">
        <v>45660.340960648151</v>
      </c>
      <c r="J2465" s="10">
        <v>45660.343877314823</v>
      </c>
      <c r="K2465" s="11">
        <v>2.9166666666666668E-3</v>
      </c>
      <c r="L2465" s="13"/>
    </row>
    <row r="2466" spans="1:12" x14ac:dyDescent="0.25">
      <c r="A2466" s="3" t="s">
        <v>3225</v>
      </c>
      <c r="B2466" s="3" t="s">
        <v>5725</v>
      </c>
      <c r="C2466" s="3" t="s">
        <v>725</v>
      </c>
      <c r="D2466" s="9">
        <v>131.30000000000001</v>
      </c>
      <c r="E2466" s="3" t="s">
        <v>139</v>
      </c>
      <c r="F2466" s="3" t="s">
        <v>3195</v>
      </c>
      <c r="G2466" s="9">
        <v>405.43</v>
      </c>
      <c r="H2466" s="10">
        <v>45660.374120370368</v>
      </c>
      <c r="I2466" s="10">
        <v>45660.374120370368</v>
      </c>
      <c r="J2466" s="10">
        <v>45660.376111111109</v>
      </c>
      <c r="K2466" s="11">
        <v>1.9907407407407408E-3</v>
      </c>
      <c r="L2466" s="13"/>
    </row>
    <row r="2467" spans="1:12" x14ac:dyDescent="0.25">
      <c r="A2467" s="3" t="s">
        <v>3225</v>
      </c>
      <c r="B2467" s="3" t="s">
        <v>5726</v>
      </c>
      <c r="C2467" s="3" t="s">
        <v>727</v>
      </c>
      <c r="D2467" s="9">
        <v>147.80000000000001</v>
      </c>
      <c r="E2467" s="3" t="s">
        <v>139</v>
      </c>
      <c r="F2467" s="3" t="s">
        <v>3197</v>
      </c>
      <c r="G2467" s="9">
        <v>459.96</v>
      </c>
      <c r="H2467" s="10">
        <v>45660.376111111109</v>
      </c>
      <c r="I2467" s="10">
        <v>45660.376111111109</v>
      </c>
      <c r="J2467" s="10">
        <v>45660.378368055557</v>
      </c>
      <c r="K2467" s="11">
        <v>2.2569444444444438E-3</v>
      </c>
      <c r="L2467" s="13"/>
    </row>
    <row r="2468" spans="1:12" x14ac:dyDescent="0.25">
      <c r="A2468" s="3" t="s">
        <v>3225</v>
      </c>
      <c r="B2468" s="3" t="s">
        <v>5727</v>
      </c>
      <c r="C2468" s="3" t="s">
        <v>729</v>
      </c>
      <c r="D2468" s="9">
        <v>266.39999999999998</v>
      </c>
      <c r="E2468" s="3" t="s">
        <v>139</v>
      </c>
      <c r="F2468" s="3" t="s">
        <v>3199</v>
      </c>
      <c r="G2468" s="9">
        <v>450.42</v>
      </c>
      <c r="H2468" s="10">
        <v>45660.449513888889</v>
      </c>
      <c r="I2468" s="10">
        <v>45660.449513888889</v>
      </c>
      <c r="J2468" s="10">
        <v>45660.452002314807</v>
      </c>
      <c r="K2468" s="11">
        <v>2.488425925925926E-3</v>
      </c>
      <c r="L2468" s="13"/>
    </row>
    <row r="2469" spans="1:12" x14ac:dyDescent="0.25">
      <c r="A2469" s="3" t="s">
        <v>3225</v>
      </c>
      <c r="B2469" s="3" t="s">
        <v>5728</v>
      </c>
      <c r="C2469" s="3" t="s">
        <v>732</v>
      </c>
      <c r="D2469" s="9">
        <v>21</v>
      </c>
      <c r="E2469" s="3" t="s">
        <v>139</v>
      </c>
      <c r="F2469" s="3" t="s">
        <v>3204</v>
      </c>
      <c r="G2469" s="9">
        <v>477.75</v>
      </c>
      <c r="H2469" s="10">
        <v>45660.452002314807</v>
      </c>
      <c r="I2469" s="10">
        <v>45660.452002314807</v>
      </c>
      <c r="J2469" s="10">
        <v>45660.454039351847</v>
      </c>
      <c r="K2469" s="11">
        <v>2.0370370370370369E-3</v>
      </c>
      <c r="L2469" s="13"/>
    </row>
    <row r="2470" spans="1:12" x14ac:dyDescent="0.25">
      <c r="A2470" s="3" t="s">
        <v>3225</v>
      </c>
      <c r="B2470" s="3" t="s">
        <v>5729</v>
      </c>
      <c r="C2470" s="3" t="s">
        <v>735</v>
      </c>
      <c r="D2470" s="9">
        <v>146.30000000000001</v>
      </c>
      <c r="E2470" s="3" t="s">
        <v>139</v>
      </c>
      <c r="F2470" s="3" t="s">
        <v>3195</v>
      </c>
      <c r="G2470" s="9">
        <v>405.43</v>
      </c>
      <c r="H2470" s="10">
        <v>45660.454039351847</v>
      </c>
      <c r="I2470" s="10">
        <v>45660.454039351847</v>
      </c>
      <c r="J2470" s="10">
        <v>45660.456076388888</v>
      </c>
      <c r="K2470" s="11">
        <v>2.0370370370370369E-3</v>
      </c>
      <c r="L2470" s="13"/>
    </row>
    <row r="2471" spans="1:12" x14ac:dyDescent="0.25">
      <c r="A2471" s="3" t="s">
        <v>3225</v>
      </c>
      <c r="B2471" s="3" t="s">
        <v>5730</v>
      </c>
      <c r="C2471" s="3" t="s">
        <v>738</v>
      </c>
      <c r="D2471" s="9">
        <v>278</v>
      </c>
      <c r="E2471" s="3" t="s">
        <v>139</v>
      </c>
      <c r="F2471" s="3" t="s">
        <v>3199</v>
      </c>
      <c r="G2471" s="9">
        <v>450.42</v>
      </c>
      <c r="H2471" s="10">
        <v>45660.548900462964</v>
      </c>
      <c r="I2471" s="10">
        <v>45660.548900462964</v>
      </c>
      <c r="J2471" s="10">
        <v>45660.551423611112</v>
      </c>
      <c r="K2471" s="11">
        <v>2.5231481481481481E-3</v>
      </c>
      <c r="L2471" s="13"/>
    </row>
    <row r="2472" spans="1:12" x14ac:dyDescent="0.25">
      <c r="A2472" s="3" t="s">
        <v>3225</v>
      </c>
      <c r="B2472" s="3" t="s">
        <v>5731</v>
      </c>
      <c r="C2472" s="3" t="s">
        <v>741</v>
      </c>
      <c r="D2472" s="9">
        <v>63</v>
      </c>
      <c r="E2472" s="3" t="s">
        <v>164</v>
      </c>
      <c r="F2472" s="3" t="s">
        <v>3195</v>
      </c>
      <c r="G2472" s="9">
        <v>490.32000000000011</v>
      </c>
      <c r="H2472" s="10">
        <v>45660.602083333331</v>
      </c>
      <c r="I2472" s="10">
        <v>45660.602083333331</v>
      </c>
      <c r="J2472" s="10">
        <v>45660.604270833333</v>
      </c>
      <c r="K2472" s="11">
        <v>2.1875000000000002E-3</v>
      </c>
      <c r="L2472" s="13"/>
    </row>
    <row r="2473" spans="1:12" x14ac:dyDescent="0.25">
      <c r="A2473" s="3" t="s">
        <v>3225</v>
      </c>
      <c r="B2473" s="3" t="s">
        <v>5732</v>
      </c>
      <c r="C2473" s="3" t="s">
        <v>744</v>
      </c>
      <c r="D2473" s="9">
        <v>15.7</v>
      </c>
      <c r="E2473" s="3" t="s">
        <v>139</v>
      </c>
      <c r="F2473" s="3" t="s">
        <v>3197</v>
      </c>
      <c r="G2473" s="9">
        <v>459.96</v>
      </c>
      <c r="H2473" s="10">
        <v>45660.646354166667</v>
      </c>
      <c r="I2473" s="10">
        <v>45660.646354166667</v>
      </c>
      <c r="J2473" s="10">
        <v>45660.648298611108</v>
      </c>
      <c r="K2473" s="11">
        <v>1.944444444444444E-3</v>
      </c>
      <c r="L2473" s="13"/>
    </row>
    <row r="2474" spans="1:12" x14ac:dyDescent="0.25">
      <c r="A2474" s="3" t="s">
        <v>3225</v>
      </c>
      <c r="B2474" s="3" t="s">
        <v>5733</v>
      </c>
      <c r="C2474" s="3" t="s">
        <v>747</v>
      </c>
      <c r="D2474" s="9">
        <v>164.2</v>
      </c>
      <c r="E2474" s="3" t="s">
        <v>139</v>
      </c>
      <c r="F2474" s="3" t="s">
        <v>3199</v>
      </c>
      <c r="G2474" s="9">
        <v>450.42</v>
      </c>
      <c r="H2474" s="10">
        <v>45660.648298611108</v>
      </c>
      <c r="I2474" s="10">
        <v>45660.648298611108</v>
      </c>
      <c r="J2474" s="10">
        <v>45660.650555555563</v>
      </c>
      <c r="K2474" s="11">
        <v>2.2569444444444438E-3</v>
      </c>
      <c r="L2474" s="13"/>
    </row>
    <row r="2475" spans="1:12" x14ac:dyDescent="0.25">
      <c r="A2475" s="3" t="s">
        <v>3225</v>
      </c>
      <c r="B2475" s="3" t="s">
        <v>5734</v>
      </c>
      <c r="C2475" s="3" t="s">
        <v>750</v>
      </c>
      <c r="D2475" s="9">
        <v>27</v>
      </c>
      <c r="E2475" s="3" t="s">
        <v>139</v>
      </c>
      <c r="F2475" s="3" t="s">
        <v>3193</v>
      </c>
      <c r="G2475" s="9">
        <v>297.43</v>
      </c>
      <c r="H2475" s="10">
        <v>45660.650555555563</v>
      </c>
      <c r="I2475" s="10">
        <v>45660.650555555563</v>
      </c>
      <c r="J2475" s="10">
        <v>45660.651863425926</v>
      </c>
      <c r="K2475" s="11">
        <v>1.30787037037037E-3</v>
      </c>
      <c r="L2475" s="13"/>
    </row>
    <row r="2476" spans="1:12" x14ac:dyDescent="0.25">
      <c r="A2476" s="3" t="s">
        <v>3225</v>
      </c>
      <c r="B2476" s="3" t="s">
        <v>5735</v>
      </c>
      <c r="C2476" s="3" t="s">
        <v>752</v>
      </c>
      <c r="D2476" s="9">
        <v>15.7</v>
      </c>
      <c r="E2476" s="3" t="s">
        <v>139</v>
      </c>
      <c r="F2476" s="3" t="s">
        <v>3197</v>
      </c>
      <c r="G2476" s="9">
        <v>459.96</v>
      </c>
      <c r="H2476" s="10">
        <v>45660.651863425926</v>
      </c>
      <c r="I2476" s="10">
        <v>45660.651863425926</v>
      </c>
      <c r="J2476" s="10">
        <v>45660.653819444437</v>
      </c>
      <c r="K2476" s="11">
        <v>1.956018518518518E-3</v>
      </c>
      <c r="L2476" s="13"/>
    </row>
    <row r="2477" spans="1:12" x14ac:dyDescent="0.25">
      <c r="A2477" s="3" t="s">
        <v>3225</v>
      </c>
      <c r="B2477" s="3" t="s">
        <v>5736</v>
      </c>
      <c r="C2477" s="3" t="s">
        <v>754</v>
      </c>
      <c r="D2477" s="9">
        <v>21</v>
      </c>
      <c r="E2477" s="3" t="s">
        <v>139</v>
      </c>
      <c r="F2477" s="3" t="s">
        <v>3202</v>
      </c>
      <c r="G2477" s="9">
        <v>324.35000000000002</v>
      </c>
      <c r="H2477" s="10">
        <v>45660.653819444437</v>
      </c>
      <c r="I2477" s="10">
        <v>45660.653819444437</v>
      </c>
      <c r="J2477" s="10">
        <v>45660.655219907407</v>
      </c>
      <c r="K2477" s="11">
        <v>1.4004629629629629E-3</v>
      </c>
      <c r="L2477" s="13"/>
    </row>
    <row r="2478" spans="1:12" x14ac:dyDescent="0.25">
      <c r="A2478" s="3" t="s">
        <v>3225</v>
      </c>
      <c r="B2478" s="3" t="s">
        <v>5737</v>
      </c>
      <c r="C2478" s="3" t="s">
        <v>756</v>
      </c>
      <c r="D2478" s="9">
        <v>19.899999999999999</v>
      </c>
      <c r="E2478" s="3" t="s">
        <v>139</v>
      </c>
      <c r="F2478" s="3" t="s">
        <v>3194</v>
      </c>
      <c r="G2478" s="9">
        <v>459.96</v>
      </c>
      <c r="H2478" s="10">
        <v>45660.655219907407</v>
      </c>
      <c r="I2478" s="10">
        <v>45660.655219907407</v>
      </c>
      <c r="J2478" s="10">
        <v>45660.657175925917</v>
      </c>
      <c r="K2478" s="11">
        <v>1.956018518518518E-3</v>
      </c>
      <c r="L2478" s="13"/>
    </row>
    <row r="2479" spans="1:12" x14ac:dyDescent="0.25">
      <c r="A2479" s="3" t="s">
        <v>3225</v>
      </c>
      <c r="B2479" s="3" t="s">
        <v>5738</v>
      </c>
      <c r="C2479" s="3" t="s">
        <v>759</v>
      </c>
      <c r="D2479" s="9">
        <v>19.899999999999999</v>
      </c>
      <c r="E2479" s="3" t="s">
        <v>139</v>
      </c>
      <c r="F2479" s="3" t="s">
        <v>3196</v>
      </c>
      <c r="G2479" s="9">
        <v>450.42</v>
      </c>
      <c r="H2479" s="10">
        <v>45660.657175925917</v>
      </c>
      <c r="I2479" s="10">
        <v>45660.657175925917</v>
      </c>
      <c r="J2479" s="10">
        <v>45660.659097222233</v>
      </c>
      <c r="K2479" s="11">
        <v>1.9212962962962959E-3</v>
      </c>
      <c r="L2479" s="13"/>
    </row>
    <row r="2480" spans="1:12" x14ac:dyDescent="0.25">
      <c r="A2480" s="3" t="s">
        <v>3225</v>
      </c>
      <c r="B2480" s="3" t="s">
        <v>5739</v>
      </c>
      <c r="C2480" s="3" t="s">
        <v>761</v>
      </c>
      <c r="D2480" s="9">
        <v>19.899999999999999</v>
      </c>
      <c r="E2480" s="3" t="s">
        <v>139</v>
      </c>
      <c r="F2480" s="3" t="s">
        <v>3205</v>
      </c>
      <c r="G2480" s="9">
        <v>299.11</v>
      </c>
      <c r="H2480" s="10">
        <v>45660.659097222233</v>
      </c>
      <c r="I2480" s="10">
        <v>45660.659097222233</v>
      </c>
      <c r="J2480" s="10">
        <v>45660.660393518519</v>
      </c>
      <c r="K2480" s="11">
        <v>1.296296296296296E-3</v>
      </c>
      <c r="L2480" s="13"/>
    </row>
    <row r="2481" spans="1:12" x14ac:dyDescent="0.25">
      <c r="A2481" s="3" t="s">
        <v>3225</v>
      </c>
      <c r="B2481" s="3" t="s">
        <v>5740</v>
      </c>
      <c r="C2481" s="3" t="s">
        <v>763</v>
      </c>
      <c r="D2481" s="9">
        <v>15.7</v>
      </c>
      <c r="E2481" s="3" t="s">
        <v>139</v>
      </c>
      <c r="F2481" s="3" t="s">
        <v>3204</v>
      </c>
      <c r="G2481" s="9">
        <v>477.75</v>
      </c>
      <c r="H2481" s="10">
        <v>45660.660393518519</v>
      </c>
      <c r="I2481" s="10">
        <v>45660.660393518519</v>
      </c>
      <c r="J2481" s="10">
        <v>45660.662418981483</v>
      </c>
      <c r="K2481" s="11">
        <v>2.0254629629629629E-3</v>
      </c>
      <c r="L2481" s="13"/>
    </row>
    <row r="2482" spans="1:12" x14ac:dyDescent="0.25">
      <c r="A2482" s="3" t="s">
        <v>3225</v>
      </c>
      <c r="B2482" s="3" t="s">
        <v>5741</v>
      </c>
      <c r="C2482" s="3" t="s">
        <v>765</v>
      </c>
      <c r="D2482" s="9">
        <v>59.7</v>
      </c>
      <c r="E2482" s="3" t="s">
        <v>139</v>
      </c>
      <c r="F2482" s="3" t="s">
        <v>3205</v>
      </c>
      <c r="G2482" s="9">
        <v>299.11</v>
      </c>
      <c r="H2482" s="10">
        <v>45660.662418981483</v>
      </c>
      <c r="I2482" s="10">
        <v>45660.662418981483</v>
      </c>
      <c r="J2482" s="10">
        <v>45660.663807870369</v>
      </c>
      <c r="K2482" s="11">
        <v>1.3888888888888889E-3</v>
      </c>
      <c r="L2482" s="13"/>
    </row>
    <row r="2483" spans="1:12" x14ac:dyDescent="0.25">
      <c r="A2483" s="3" t="s">
        <v>3225</v>
      </c>
      <c r="B2483" s="3" t="s">
        <v>5742</v>
      </c>
      <c r="C2483" s="3" t="s">
        <v>767</v>
      </c>
      <c r="D2483" s="9">
        <v>21</v>
      </c>
      <c r="E2483" s="3" t="s">
        <v>139</v>
      </c>
      <c r="F2483" s="3" t="s">
        <v>3201</v>
      </c>
      <c r="G2483" s="9">
        <v>412.05</v>
      </c>
      <c r="H2483" s="10">
        <v>45660.663807870369</v>
      </c>
      <c r="I2483" s="10">
        <v>45660.663807870369</v>
      </c>
      <c r="J2483" s="10">
        <v>45660.665567129632</v>
      </c>
      <c r="K2483" s="11">
        <v>1.759259259259259E-3</v>
      </c>
      <c r="L2483" s="13"/>
    </row>
    <row r="2484" spans="1:12" x14ac:dyDescent="0.25">
      <c r="A2484" s="3" t="s">
        <v>3225</v>
      </c>
      <c r="B2484" s="3" t="s">
        <v>5743</v>
      </c>
      <c r="C2484" s="3" t="s">
        <v>769</v>
      </c>
      <c r="D2484" s="9">
        <v>63</v>
      </c>
      <c r="E2484" s="3" t="s">
        <v>164</v>
      </c>
      <c r="F2484" s="3" t="s">
        <v>3195</v>
      </c>
      <c r="G2484" s="9">
        <v>490.32000000000011</v>
      </c>
      <c r="H2484" s="10">
        <v>45660.666331018518</v>
      </c>
      <c r="I2484" s="10">
        <v>45660.666331018518</v>
      </c>
      <c r="J2484" s="10">
        <v>45660.66851851852</v>
      </c>
      <c r="K2484" s="11">
        <v>2.1875000000000002E-3</v>
      </c>
      <c r="L2484" s="13"/>
    </row>
    <row r="2485" spans="1:12" x14ac:dyDescent="0.25">
      <c r="A2485" s="3" t="s">
        <v>3225</v>
      </c>
      <c r="B2485" s="3" t="s">
        <v>5744</v>
      </c>
      <c r="C2485" s="3" t="s">
        <v>771</v>
      </c>
      <c r="D2485" s="9">
        <v>278.89999999999998</v>
      </c>
      <c r="E2485" s="3" t="s">
        <v>139</v>
      </c>
      <c r="F2485" s="3" t="s">
        <v>3199</v>
      </c>
      <c r="G2485" s="9">
        <v>450.42</v>
      </c>
      <c r="H2485" s="10">
        <v>45660.724386574067</v>
      </c>
      <c r="I2485" s="10">
        <v>45660.724386574067</v>
      </c>
      <c r="J2485" s="10">
        <v>45660.726909722223</v>
      </c>
      <c r="K2485" s="11">
        <v>2.5231481481481481E-3</v>
      </c>
      <c r="L2485" s="13"/>
    </row>
    <row r="2486" spans="1:12" x14ac:dyDescent="0.25">
      <c r="A2486" s="3" t="s">
        <v>3225</v>
      </c>
      <c r="B2486" s="3" t="s">
        <v>5745</v>
      </c>
      <c r="C2486" s="3" t="s">
        <v>774</v>
      </c>
      <c r="D2486" s="9">
        <v>58.9</v>
      </c>
      <c r="E2486" s="3" t="s">
        <v>169</v>
      </c>
      <c r="F2486" s="3" t="s">
        <v>3196</v>
      </c>
      <c r="G2486" s="9">
        <v>416.23</v>
      </c>
      <c r="H2486" s="10">
        <v>45660.850335648152</v>
      </c>
      <c r="I2486" s="10">
        <v>45660.850335648152</v>
      </c>
      <c r="J2486" s="10">
        <v>45660.852210648147</v>
      </c>
      <c r="K2486" s="11">
        <v>1.8749999999999999E-3</v>
      </c>
      <c r="L2486" s="13"/>
    </row>
    <row r="2487" spans="1:12" x14ac:dyDescent="0.25">
      <c r="A2487" s="3" t="s">
        <v>3225</v>
      </c>
      <c r="B2487" s="3" t="s">
        <v>5746</v>
      </c>
      <c r="C2487" s="3" t="s">
        <v>776</v>
      </c>
      <c r="D2487" s="9">
        <v>19.899999999999999</v>
      </c>
      <c r="E2487" s="3" t="s">
        <v>169</v>
      </c>
      <c r="F2487" s="3" t="s">
        <v>3194</v>
      </c>
      <c r="G2487" s="9">
        <v>425.77</v>
      </c>
      <c r="H2487" s="10">
        <v>45660.852210648147</v>
      </c>
      <c r="I2487" s="10">
        <v>45660.852210648147</v>
      </c>
      <c r="J2487" s="10">
        <v>45660.854027777779</v>
      </c>
      <c r="K2487" s="11">
        <v>1.8171296296296299E-3</v>
      </c>
      <c r="L2487" s="13"/>
    </row>
    <row r="2488" spans="1:12" x14ac:dyDescent="0.25">
      <c r="A2488" s="3" t="s">
        <v>3225</v>
      </c>
      <c r="B2488" s="3" t="s">
        <v>5747</v>
      </c>
      <c r="C2488" s="3" t="s">
        <v>778</v>
      </c>
      <c r="D2488" s="9">
        <v>135</v>
      </c>
      <c r="E2488" s="3" t="s">
        <v>169</v>
      </c>
      <c r="F2488" s="3" t="s">
        <v>3193</v>
      </c>
      <c r="G2488" s="9">
        <v>263.24</v>
      </c>
      <c r="H2488" s="10">
        <v>45660.854027777779</v>
      </c>
      <c r="I2488" s="10">
        <v>45660.854027777779</v>
      </c>
      <c r="J2488" s="10">
        <v>45660.855439814812</v>
      </c>
      <c r="K2488" s="11">
        <v>1.4120370370370369E-3</v>
      </c>
      <c r="L2488" s="13"/>
    </row>
    <row r="2489" spans="1:12" x14ac:dyDescent="0.25">
      <c r="A2489" s="3" t="s">
        <v>3225</v>
      </c>
      <c r="B2489" s="3" t="s">
        <v>5748</v>
      </c>
      <c r="C2489" s="3" t="s">
        <v>780</v>
      </c>
      <c r="D2489" s="9">
        <v>78</v>
      </c>
      <c r="E2489" s="3" t="s">
        <v>169</v>
      </c>
      <c r="F2489" s="3" t="s">
        <v>3199</v>
      </c>
      <c r="G2489" s="9">
        <v>416.23</v>
      </c>
      <c r="H2489" s="10">
        <v>45660.855439814812</v>
      </c>
      <c r="I2489" s="10">
        <v>45660.855439814812</v>
      </c>
      <c r="J2489" s="10">
        <v>45660.857349537036</v>
      </c>
      <c r="K2489" s="11">
        <v>1.9097222222222219E-3</v>
      </c>
      <c r="L2489" s="13"/>
    </row>
    <row r="2490" spans="1:12" x14ac:dyDescent="0.25">
      <c r="A2490" s="3" t="s">
        <v>3225</v>
      </c>
      <c r="B2490" s="3" t="s">
        <v>5749</v>
      </c>
      <c r="C2490" s="3" t="s">
        <v>783</v>
      </c>
      <c r="D2490" s="9">
        <v>141.69999999999999</v>
      </c>
      <c r="E2490" s="3" t="s">
        <v>169</v>
      </c>
      <c r="F2490" s="3" t="s">
        <v>3197</v>
      </c>
      <c r="G2490" s="9">
        <v>425.77</v>
      </c>
      <c r="H2490" s="10">
        <v>45660.857349537036</v>
      </c>
      <c r="I2490" s="10">
        <v>45660.857349537036</v>
      </c>
      <c r="J2490" s="10">
        <v>45660.859456018523</v>
      </c>
      <c r="K2490" s="11">
        <v>2.1064814814814809E-3</v>
      </c>
      <c r="L2490" s="13"/>
    </row>
    <row r="2491" spans="1:12" x14ac:dyDescent="0.25">
      <c r="A2491" s="3" t="s">
        <v>3225</v>
      </c>
      <c r="B2491" s="3" t="s">
        <v>5750</v>
      </c>
      <c r="C2491" s="3" t="s">
        <v>785</v>
      </c>
      <c r="D2491" s="9">
        <v>108.7</v>
      </c>
      <c r="E2491" s="3" t="s">
        <v>169</v>
      </c>
      <c r="F2491" s="3" t="s">
        <v>3199</v>
      </c>
      <c r="G2491" s="9">
        <v>416.23</v>
      </c>
      <c r="H2491" s="10">
        <v>45660.859456018523</v>
      </c>
      <c r="I2491" s="10">
        <v>45660.859456018523</v>
      </c>
      <c r="J2491" s="10">
        <v>45660.861435185187</v>
      </c>
      <c r="K2491" s="11">
        <v>1.9791666666666668E-3</v>
      </c>
      <c r="L2491" s="13"/>
    </row>
    <row r="2492" spans="1:12" x14ac:dyDescent="0.25">
      <c r="A2492" s="3" t="s">
        <v>3225</v>
      </c>
      <c r="B2492" s="3" t="s">
        <v>5751</v>
      </c>
      <c r="C2492" s="3" t="s">
        <v>787</v>
      </c>
      <c r="D2492" s="9">
        <v>33.9</v>
      </c>
      <c r="E2492" s="3" t="s">
        <v>169</v>
      </c>
      <c r="F2492" s="3" t="s">
        <v>3206</v>
      </c>
      <c r="G2492" s="9">
        <v>344.21</v>
      </c>
      <c r="H2492" s="10">
        <v>45660.861435185187</v>
      </c>
      <c r="I2492" s="10">
        <v>45660.861435185187</v>
      </c>
      <c r="J2492" s="10">
        <v>45660.862951388888</v>
      </c>
      <c r="K2492" s="11">
        <v>1.5162037037037041E-3</v>
      </c>
      <c r="L2492" s="13"/>
    </row>
    <row r="2493" spans="1:12" x14ac:dyDescent="0.25">
      <c r="A2493" s="3" t="s">
        <v>3225</v>
      </c>
      <c r="B2493" s="3" t="s">
        <v>5752</v>
      </c>
      <c r="C2493" s="3" t="s">
        <v>789</v>
      </c>
      <c r="D2493" s="9">
        <v>19.899999999999999</v>
      </c>
      <c r="E2493" s="3" t="s">
        <v>169</v>
      </c>
      <c r="F2493" s="3" t="s">
        <v>3202</v>
      </c>
      <c r="G2493" s="9">
        <v>290.16000000000003</v>
      </c>
      <c r="H2493" s="10">
        <v>45660.862951388888</v>
      </c>
      <c r="I2493" s="10">
        <v>45660.862951388888</v>
      </c>
      <c r="J2493" s="10">
        <v>45660.864201388889</v>
      </c>
      <c r="K2493" s="11">
        <v>1.25E-3</v>
      </c>
      <c r="L2493" s="13"/>
    </row>
    <row r="2494" spans="1:12" x14ac:dyDescent="0.25">
      <c r="A2494" s="3" t="s">
        <v>3225</v>
      </c>
      <c r="B2494" s="3" t="s">
        <v>5753</v>
      </c>
      <c r="C2494" s="3" t="s">
        <v>791</v>
      </c>
      <c r="D2494" s="9">
        <v>19.899999999999999</v>
      </c>
      <c r="E2494" s="3" t="s">
        <v>142</v>
      </c>
      <c r="F2494" s="3" t="s">
        <v>3195</v>
      </c>
      <c r="G2494" s="9">
        <v>398.6</v>
      </c>
      <c r="H2494" s="10">
        <v>45660.893877314818</v>
      </c>
      <c r="I2494" s="10">
        <v>45660.893877314818</v>
      </c>
      <c r="J2494" s="10">
        <v>45660.895590277767</v>
      </c>
      <c r="K2494" s="11">
        <v>1.712962962962963E-3</v>
      </c>
      <c r="L2494" s="13"/>
    </row>
    <row r="2495" spans="1:12" x14ac:dyDescent="0.25">
      <c r="A2495" s="3" t="s">
        <v>3225</v>
      </c>
      <c r="B2495" s="3" t="s">
        <v>5754</v>
      </c>
      <c r="C2495" s="3" t="s">
        <v>794</v>
      </c>
      <c r="D2495" s="9">
        <v>69.7</v>
      </c>
      <c r="E2495" s="3" t="s">
        <v>142</v>
      </c>
      <c r="F2495" s="3" t="s">
        <v>3197</v>
      </c>
      <c r="G2495" s="9">
        <v>453.13</v>
      </c>
      <c r="H2495" s="10">
        <v>45660.895590277767</v>
      </c>
      <c r="I2495" s="10">
        <v>45660.895590277767</v>
      </c>
      <c r="J2495" s="10">
        <v>45660.897638888891</v>
      </c>
      <c r="K2495" s="11">
        <v>2.0486111111111109E-3</v>
      </c>
      <c r="L2495" s="13"/>
    </row>
    <row r="2496" spans="1:12" x14ac:dyDescent="0.25">
      <c r="A2496" s="3" t="s">
        <v>3225</v>
      </c>
      <c r="B2496" s="3" t="s">
        <v>5755</v>
      </c>
      <c r="C2496" s="3" t="s">
        <v>797</v>
      </c>
      <c r="D2496" s="9">
        <v>12</v>
      </c>
      <c r="E2496" s="3" t="s">
        <v>142</v>
      </c>
      <c r="F2496" s="3" t="s">
        <v>3199</v>
      </c>
      <c r="G2496" s="9">
        <v>443.59</v>
      </c>
      <c r="H2496" s="10">
        <v>45660.897638888891</v>
      </c>
      <c r="I2496" s="10">
        <v>45660.897638888891</v>
      </c>
      <c r="J2496" s="10">
        <v>45660.899513888893</v>
      </c>
      <c r="K2496" s="11">
        <v>1.8749999999999999E-3</v>
      </c>
      <c r="L2496" s="13"/>
    </row>
    <row r="2497" spans="1:12" x14ac:dyDescent="0.25">
      <c r="A2497" s="3" t="s">
        <v>3225</v>
      </c>
      <c r="B2497" s="3" t="s">
        <v>5756</v>
      </c>
      <c r="C2497" s="3" t="s">
        <v>800</v>
      </c>
      <c r="D2497" s="9">
        <v>78</v>
      </c>
      <c r="E2497" s="3" t="s">
        <v>142</v>
      </c>
      <c r="F2497" s="3" t="s">
        <v>3197</v>
      </c>
      <c r="G2497" s="9">
        <v>453.13</v>
      </c>
      <c r="H2497" s="10">
        <v>45660.899513888893</v>
      </c>
      <c r="I2497" s="10">
        <v>45660.899513888893</v>
      </c>
      <c r="J2497" s="10">
        <v>45660.901585648149</v>
      </c>
      <c r="K2497" s="11">
        <v>2.0717592592592589E-3</v>
      </c>
      <c r="L2497" s="13"/>
    </row>
    <row r="2498" spans="1:12" x14ac:dyDescent="0.25">
      <c r="A2498" s="3" t="s">
        <v>3225</v>
      </c>
      <c r="B2498" s="3" t="s">
        <v>5757</v>
      </c>
      <c r="C2498" s="3" t="s">
        <v>802</v>
      </c>
      <c r="D2498" s="9">
        <v>15.7</v>
      </c>
      <c r="E2498" s="3" t="s">
        <v>142</v>
      </c>
      <c r="F2498" s="3" t="s">
        <v>3205</v>
      </c>
      <c r="G2498" s="9">
        <v>292.27999999999997</v>
      </c>
      <c r="H2498" s="10">
        <v>45660.901585648149</v>
      </c>
      <c r="I2498" s="10">
        <v>45660.901585648149</v>
      </c>
      <c r="J2498" s="10">
        <v>45660.90283564815</v>
      </c>
      <c r="K2498" s="11">
        <v>1.25E-3</v>
      </c>
      <c r="L2498" s="13"/>
    </row>
    <row r="2499" spans="1:12" x14ac:dyDescent="0.25">
      <c r="A2499" s="3" t="s">
        <v>3225</v>
      </c>
      <c r="B2499" s="3" t="s">
        <v>5758</v>
      </c>
      <c r="C2499" s="3" t="s">
        <v>805</v>
      </c>
      <c r="D2499" s="9">
        <v>81</v>
      </c>
      <c r="E2499" s="3" t="s">
        <v>142</v>
      </c>
      <c r="F2499" s="3" t="s">
        <v>3205</v>
      </c>
      <c r="G2499" s="9">
        <v>292.27999999999997</v>
      </c>
      <c r="H2499" s="10">
        <v>45660.90283564815</v>
      </c>
      <c r="I2499" s="10">
        <v>45660.90283564815</v>
      </c>
      <c r="J2499" s="10">
        <v>45660.904247685183</v>
      </c>
      <c r="K2499" s="11">
        <v>1.4120370370370369E-3</v>
      </c>
      <c r="L2499" s="13"/>
    </row>
    <row r="2500" spans="1:12" x14ac:dyDescent="0.25">
      <c r="A2500" s="3" t="s">
        <v>3225</v>
      </c>
      <c r="B2500" s="3" t="s">
        <v>5759</v>
      </c>
      <c r="C2500" s="3" t="s">
        <v>807</v>
      </c>
      <c r="D2500" s="9">
        <v>16.5</v>
      </c>
      <c r="E2500" s="3" t="s">
        <v>142</v>
      </c>
      <c r="F2500" s="3" t="s">
        <v>3202</v>
      </c>
      <c r="G2500" s="9">
        <v>317.52</v>
      </c>
      <c r="H2500" s="10">
        <v>45660.904247685183</v>
      </c>
      <c r="I2500" s="10">
        <v>45660.904247685183</v>
      </c>
      <c r="J2500" s="10">
        <v>45660.905601851853</v>
      </c>
      <c r="K2500" s="11">
        <v>1.3541666666666669E-3</v>
      </c>
      <c r="L2500" s="13"/>
    </row>
    <row r="2501" spans="1:12" x14ac:dyDescent="0.25">
      <c r="A2501" s="3" t="s">
        <v>3225</v>
      </c>
      <c r="B2501" s="3" t="s">
        <v>5760</v>
      </c>
      <c r="C2501" s="3" t="s">
        <v>809</v>
      </c>
      <c r="D2501" s="9">
        <v>61.9</v>
      </c>
      <c r="E2501" s="3" t="s">
        <v>142</v>
      </c>
      <c r="F2501" s="3" t="s">
        <v>3201</v>
      </c>
      <c r="G2501" s="9">
        <v>405.22</v>
      </c>
      <c r="H2501" s="10">
        <v>45660.905601851853</v>
      </c>
      <c r="I2501" s="10">
        <v>45660.905601851853</v>
      </c>
      <c r="J2501" s="10">
        <v>45660.907430555562</v>
      </c>
      <c r="K2501" s="11">
        <v>1.8287037037037039E-3</v>
      </c>
      <c r="L2501" s="13"/>
    </row>
    <row r="2502" spans="1:12" x14ac:dyDescent="0.25">
      <c r="A2502" s="3" t="s">
        <v>3225</v>
      </c>
      <c r="B2502" s="3" t="s">
        <v>5761</v>
      </c>
      <c r="C2502" s="3" t="s">
        <v>811</v>
      </c>
      <c r="D2502" s="9">
        <v>19.899999999999999</v>
      </c>
      <c r="E2502" s="3" t="s">
        <v>142</v>
      </c>
      <c r="F2502" s="3" t="s">
        <v>3194</v>
      </c>
      <c r="G2502" s="9">
        <v>453.13</v>
      </c>
      <c r="H2502" s="10">
        <v>45660.907430555562</v>
      </c>
      <c r="I2502" s="10">
        <v>45660.907430555562</v>
      </c>
      <c r="J2502" s="10">
        <v>45660.909375000003</v>
      </c>
      <c r="K2502" s="11">
        <v>1.944444444444444E-3</v>
      </c>
      <c r="L2502" s="13"/>
    </row>
    <row r="2503" spans="1:12" x14ac:dyDescent="0.25">
      <c r="A2503" s="3" t="s">
        <v>3225</v>
      </c>
      <c r="B2503" s="3" t="s">
        <v>5762</v>
      </c>
      <c r="C2503" s="3" t="s">
        <v>813</v>
      </c>
      <c r="D2503" s="9">
        <v>110.2</v>
      </c>
      <c r="E2503" s="3" t="s">
        <v>142</v>
      </c>
      <c r="F2503" s="3" t="s">
        <v>3203</v>
      </c>
      <c r="G2503" s="9">
        <v>263.08999999999997</v>
      </c>
      <c r="H2503" s="10">
        <v>45660.909375000003</v>
      </c>
      <c r="I2503" s="10">
        <v>45660.909375000003</v>
      </c>
      <c r="J2503" s="10">
        <v>45660.910717592589</v>
      </c>
      <c r="K2503" s="11">
        <v>1.3425925925925921E-3</v>
      </c>
      <c r="L2503" s="13"/>
    </row>
    <row r="2504" spans="1:12" x14ac:dyDescent="0.25">
      <c r="A2504" s="3" t="s">
        <v>3225</v>
      </c>
      <c r="B2504" s="3" t="s">
        <v>5763</v>
      </c>
      <c r="C2504" s="3" t="s">
        <v>815</v>
      </c>
      <c r="D2504" s="9">
        <v>36.4</v>
      </c>
      <c r="E2504" s="3" t="s">
        <v>142</v>
      </c>
      <c r="F2504" s="3" t="s">
        <v>3202</v>
      </c>
      <c r="G2504" s="9">
        <v>317.52</v>
      </c>
      <c r="H2504" s="10">
        <v>45660.910717592589</v>
      </c>
      <c r="I2504" s="10">
        <v>45660.910717592589</v>
      </c>
      <c r="J2504" s="10">
        <v>45660.912129629629</v>
      </c>
      <c r="K2504" s="11">
        <v>1.4120370370370369E-3</v>
      </c>
      <c r="L2504" s="13"/>
    </row>
    <row r="2505" spans="1:12" x14ac:dyDescent="0.25">
      <c r="A2505" s="3" t="s">
        <v>3225</v>
      </c>
      <c r="B2505" s="3" t="s">
        <v>5764</v>
      </c>
      <c r="C2505" s="3" t="s">
        <v>817</v>
      </c>
      <c r="D2505" s="9">
        <v>19.899999999999999</v>
      </c>
      <c r="E2505" s="3" t="s">
        <v>142</v>
      </c>
      <c r="F2505" s="3" t="s">
        <v>3203</v>
      </c>
      <c r="G2505" s="9">
        <v>263.08999999999997</v>
      </c>
      <c r="H2505" s="10">
        <v>45660.912129629629</v>
      </c>
      <c r="I2505" s="10">
        <v>45660.912129629629</v>
      </c>
      <c r="J2505" s="10">
        <v>45660.913275462961</v>
      </c>
      <c r="K2505" s="11">
        <v>1.1458333333333329E-3</v>
      </c>
      <c r="L2505" s="13"/>
    </row>
    <row r="2506" spans="1:12" x14ac:dyDescent="0.25">
      <c r="A2506" s="3" t="s">
        <v>3225</v>
      </c>
      <c r="B2506" s="3" t="s">
        <v>5765</v>
      </c>
      <c r="C2506" s="3" t="s">
        <v>819</v>
      </c>
      <c r="D2506" s="9">
        <v>220.4</v>
      </c>
      <c r="E2506" s="3" t="s">
        <v>139</v>
      </c>
      <c r="F2506" s="3" t="s">
        <v>3203</v>
      </c>
      <c r="G2506" s="9">
        <v>269.92</v>
      </c>
      <c r="H2506" s="10">
        <v>45661.245393518519</v>
      </c>
      <c r="I2506" s="10">
        <v>45661.245393518519</v>
      </c>
      <c r="J2506" s="10">
        <v>45661.247025462973</v>
      </c>
      <c r="K2506" s="11">
        <v>1.631944444444445E-3</v>
      </c>
      <c r="L2506" s="13"/>
    </row>
    <row r="2507" spans="1:12" x14ac:dyDescent="0.25">
      <c r="A2507" s="3" t="s">
        <v>3225</v>
      </c>
      <c r="B2507" s="3" t="s">
        <v>5766</v>
      </c>
      <c r="C2507" s="3" t="s">
        <v>822</v>
      </c>
      <c r="D2507" s="9">
        <v>19.899999999999999</v>
      </c>
      <c r="E2507" s="3" t="s">
        <v>139</v>
      </c>
      <c r="F2507" s="3" t="s">
        <v>3193</v>
      </c>
      <c r="G2507" s="9">
        <v>297.43</v>
      </c>
      <c r="H2507" s="10">
        <v>45661.247025462973</v>
      </c>
      <c r="I2507" s="10">
        <v>45661.247025462973</v>
      </c>
      <c r="J2507" s="10">
        <v>45661.248310185183</v>
      </c>
      <c r="K2507" s="11">
        <v>1.284722222222222E-3</v>
      </c>
      <c r="L2507" s="13"/>
    </row>
    <row r="2508" spans="1:12" x14ac:dyDescent="0.25">
      <c r="A2508" s="3" t="s">
        <v>3225</v>
      </c>
      <c r="B2508" s="3" t="s">
        <v>5767</v>
      </c>
      <c r="C2508" s="3" t="s">
        <v>825</v>
      </c>
      <c r="D2508" s="9">
        <v>54.7</v>
      </c>
      <c r="E2508" s="3" t="s">
        <v>139</v>
      </c>
      <c r="F2508" s="3" t="s">
        <v>3197</v>
      </c>
      <c r="G2508" s="9">
        <v>459.96</v>
      </c>
      <c r="H2508" s="10">
        <v>45661.248310185183</v>
      </c>
      <c r="I2508" s="10">
        <v>45661.248310185183</v>
      </c>
      <c r="J2508" s="10">
        <v>45661.250358796293</v>
      </c>
      <c r="K2508" s="11">
        <v>2.0486111111111109E-3</v>
      </c>
      <c r="L2508" s="13"/>
    </row>
    <row r="2509" spans="1:12" x14ac:dyDescent="0.25">
      <c r="A2509" s="3" t="s">
        <v>3225</v>
      </c>
      <c r="B2509" s="3" t="s">
        <v>5768</v>
      </c>
      <c r="C2509" s="3" t="s">
        <v>827</v>
      </c>
      <c r="D2509" s="9">
        <v>94.4</v>
      </c>
      <c r="E2509" s="3" t="s">
        <v>142</v>
      </c>
      <c r="F2509" s="3" t="s">
        <v>3203</v>
      </c>
      <c r="G2509" s="9">
        <v>263.08999999999997</v>
      </c>
      <c r="H2509" s="10">
        <v>45662.743298611109</v>
      </c>
      <c r="I2509" s="10">
        <v>45662.743298611109</v>
      </c>
      <c r="J2509" s="10">
        <v>45662.744618055563</v>
      </c>
      <c r="K2509" s="11">
        <v>1.3194444444444441E-3</v>
      </c>
      <c r="L2509" s="13"/>
    </row>
    <row r="2510" spans="1:12" x14ac:dyDescent="0.25">
      <c r="A2510" s="3" t="s">
        <v>3225</v>
      </c>
      <c r="B2510" s="3" t="s">
        <v>5769</v>
      </c>
      <c r="C2510" s="3" t="s">
        <v>830</v>
      </c>
      <c r="D2510" s="9">
        <v>342.6</v>
      </c>
      <c r="E2510" s="3" t="s">
        <v>142</v>
      </c>
      <c r="F2510" s="3" t="s">
        <v>3197</v>
      </c>
      <c r="G2510" s="9">
        <v>453.13</v>
      </c>
      <c r="H2510" s="10">
        <v>45662.744618055563</v>
      </c>
      <c r="I2510" s="10">
        <v>45662.744618055563</v>
      </c>
      <c r="J2510" s="10">
        <v>45662.747291666667</v>
      </c>
      <c r="K2510" s="11">
        <v>2.673611111111111E-3</v>
      </c>
      <c r="L2510" s="13"/>
    </row>
    <row r="2511" spans="1:12" x14ac:dyDescent="0.25">
      <c r="A2511" s="3" t="s">
        <v>3225</v>
      </c>
      <c r="B2511" s="3" t="s">
        <v>5770</v>
      </c>
      <c r="C2511" s="3" t="s">
        <v>832</v>
      </c>
      <c r="D2511" s="9">
        <v>98.3</v>
      </c>
      <c r="E2511" s="3" t="s">
        <v>142</v>
      </c>
      <c r="F2511" s="3" t="s">
        <v>3193</v>
      </c>
      <c r="G2511" s="9">
        <v>290.60000000000002</v>
      </c>
      <c r="H2511" s="10">
        <v>45662.747291666667</v>
      </c>
      <c r="I2511" s="10">
        <v>45662.747291666667</v>
      </c>
      <c r="J2511" s="10">
        <v>45662.748738425929</v>
      </c>
      <c r="K2511" s="11">
        <v>1.446759259259259E-3</v>
      </c>
      <c r="L2511" s="13"/>
    </row>
    <row r="2512" spans="1:12" x14ac:dyDescent="0.25">
      <c r="A2512" s="3" t="s">
        <v>3225</v>
      </c>
      <c r="B2512" s="3" t="s">
        <v>5771</v>
      </c>
      <c r="C2512" s="3" t="s">
        <v>834</v>
      </c>
      <c r="D2512" s="9">
        <v>428.8</v>
      </c>
      <c r="E2512" s="3" t="s">
        <v>142</v>
      </c>
      <c r="F2512" s="3" t="s">
        <v>3193</v>
      </c>
      <c r="G2512" s="9">
        <v>290.60000000000002</v>
      </c>
      <c r="H2512" s="10">
        <v>45662.850405092591</v>
      </c>
      <c r="I2512" s="10">
        <v>45662.850405092591</v>
      </c>
      <c r="J2512" s="10">
        <v>45662.85261574074</v>
      </c>
      <c r="K2512" s="11">
        <v>2.2106481481481482E-3</v>
      </c>
      <c r="L2512" s="13"/>
    </row>
    <row r="2513" spans="1:12" x14ac:dyDescent="0.25">
      <c r="A2513" s="3" t="s">
        <v>3225</v>
      </c>
      <c r="B2513" s="3" t="s">
        <v>5772</v>
      </c>
      <c r="C2513" s="3" t="s">
        <v>837</v>
      </c>
      <c r="D2513" s="9">
        <v>60.8</v>
      </c>
      <c r="E2513" s="3" t="s">
        <v>142</v>
      </c>
      <c r="F2513" s="3" t="s">
        <v>3199</v>
      </c>
      <c r="G2513" s="9">
        <v>443.59</v>
      </c>
      <c r="H2513" s="10">
        <v>45662.85261574074</v>
      </c>
      <c r="I2513" s="10">
        <v>45662.85261574074</v>
      </c>
      <c r="J2513" s="10">
        <v>45662.854594907411</v>
      </c>
      <c r="K2513" s="11">
        <v>1.9791666666666668E-3</v>
      </c>
      <c r="L2513" s="13"/>
    </row>
    <row r="2514" spans="1:12" x14ac:dyDescent="0.25">
      <c r="A2514" s="3" t="s">
        <v>3225</v>
      </c>
      <c r="B2514" s="3" t="s">
        <v>5773</v>
      </c>
      <c r="C2514" s="3" t="s">
        <v>839</v>
      </c>
      <c r="D2514" s="9">
        <v>101.2</v>
      </c>
      <c r="E2514" s="3" t="s">
        <v>142</v>
      </c>
      <c r="F2514" s="3" t="s">
        <v>3197</v>
      </c>
      <c r="G2514" s="9">
        <v>453.13</v>
      </c>
      <c r="H2514" s="10">
        <v>45662.854594907411</v>
      </c>
      <c r="I2514" s="10">
        <v>45662.854594907411</v>
      </c>
      <c r="J2514" s="10">
        <v>45662.856724537043</v>
      </c>
      <c r="K2514" s="11">
        <v>2.1296296296296302E-3</v>
      </c>
      <c r="L2514" s="13"/>
    </row>
    <row r="2515" spans="1:12" x14ac:dyDescent="0.25">
      <c r="A2515" s="3" t="s">
        <v>3225</v>
      </c>
      <c r="B2515" s="3" t="s">
        <v>5774</v>
      </c>
      <c r="C2515" s="3" t="s">
        <v>842</v>
      </c>
      <c r="D2515" s="9">
        <v>241.4</v>
      </c>
      <c r="E2515" s="3" t="s">
        <v>139</v>
      </c>
      <c r="F2515" s="3" t="s">
        <v>3193</v>
      </c>
      <c r="G2515" s="9">
        <v>297.43</v>
      </c>
      <c r="H2515" s="10">
        <v>45663.743194444447</v>
      </c>
      <c r="I2515" s="10">
        <v>45663.743194444447</v>
      </c>
      <c r="J2515" s="10">
        <v>45663.745000000003</v>
      </c>
      <c r="K2515" s="11">
        <v>1.805555555555555E-3</v>
      </c>
      <c r="L2515" s="13"/>
    </row>
    <row r="2516" spans="1:12" x14ac:dyDescent="0.25">
      <c r="A2516" s="3" t="s">
        <v>3225</v>
      </c>
      <c r="B2516" s="3" t="s">
        <v>5775</v>
      </c>
      <c r="C2516" s="3" t="s">
        <v>845</v>
      </c>
      <c r="D2516" s="9">
        <v>19.899999999999999</v>
      </c>
      <c r="E2516" s="3" t="s">
        <v>139</v>
      </c>
      <c r="F2516" s="3" t="s">
        <v>3199</v>
      </c>
      <c r="G2516" s="9">
        <v>450.42</v>
      </c>
      <c r="H2516" s="10">
        <v>45664.125254629631</v>
      </c>
      <c r="I2516" s="10">
        <v>45664.125254629631</v>
      </c>
      <c r="J2516" s="10">
        <v>45664.127175925933</v>
      </c>
      <c r="K2516" s="11">
        <v>1.9212962962962959E-3</v>
      </c>
      <c r="L2516" s="13"/>
    </row>
    <row r="2517" spans="1:12" x14ac:dyDescent="0.25">
      <c r="A2517" s="3" t="s">
        <v>3225</v>
      </c>
      <c r="B2517" s="3" t="s">
        <v>5776</v>
      </c>
      <c r="C2517" s="3" t="s">
        <v>847</v>
      </c>
      <c r="D2517" s="9">
        <v>31.5</v>
      </c>
      <c r="E2517" s="3" t="s">
        <v>139</v>
      </c>
      <c r="F2517" s="3" t="s">
        <v>3204</v>
      </c>
      <c r="G2517" s="9">
        <v>477.75</v>
      </c>
      <c r="H2517" s="10">
        <v>45664.127175925933</v>
      </c>
      <c r="I2517" s="10">
        <v>45664.127175925933</v>
      </c>
      <c r="J2517" s="10">
        <v>45664.129236111112</v>
      </c>
      <c r="K2517" s="11">
        <v>2.0601851851851849E-3</v>
      </c>
      <c r="L2517" s="13"/>
    </row>
    <row r="2518" spans="1:12" x14ac:dyDescent="0.25">
      <c r="A2518" s="3" t="s">
        <v>3225</v>
      </c>
      <c r="B2518" s="3" t="s">
        <v>5777</v>
      </c>
      <c r="C2518" s="3" t="s">
        <v>849</v>
      </c>
      <c r="D2518" s="9">
        <v>12</v>
      </c>
      <c r="E2518" s="3" t="s">
        <v>139</v>
      </c>
      <c r="F2518" s="3" t="s">
        <v>3199</v>
      </c>
      <c r="G2518" s="9">
        <v>450.42</v>
      </c>
      <c r="H2518" s="10">
        <v>45664.129236111112</v>
      </c>
      <c r="I2518" s="10">
        <v>45664.129236111112</v>
      </c>
      <c r="J2518" s="10">
        <v>45664.131145833337</v>
      </c>
      <c r="K2518" s="11">
        <v>1.9097222222222219E-3</v>
      </c>
      <c r="L2518" s="13"/>
    </row>
    <row r="2519" spans="1:12" x14ac:dyDescent="0.25">
      <c r="A2519" s="3" t="s">
        <v>3225</v>
      </c>
      <c r="B2519" s="3" t="s">
        <v>5778</v>
      </c>
      <c r="C2519" s="3" t="s">
        <v>851</v>
      </c>
      <c r="D2519" s="9">
        <v>184.6</v>
      </c>
      <c r="E2519" s="3" t="s">
        <v>139</v>
      </c>
      <c r="F2519" s="3" t="s">
        <v>3201</v>
      </c>
      <c r="G2519" s="9">
        <v>412.05</v>
      </c>
      <c r="H2519" s="10">
        <v>45664.131145833337</v>
      </c>
      <c r="I2519" s="10">
        <v>45664.131145833337</v>
      </c>
      <c r="J2519" s="10">
        <v>45664.133287037039</v>
      </c>
      <c r="K2519" s="11">
        <v>2.1412037037037042E-3</v>
      </c>
      <c r="L2519" s="13"/>
    </row>
    <row r="2520" spans="1:12" x14ac:dyDescent="0.25">
      <c r="A2520" s="3" t="s">
        <v>3225</v>
      </c>
      <c r="B2520" s="3" t="s">
        <v>5779</v>
      </c>
      <c r="C2520" s="3" t="s">
        <v>853</v>
      </c>
      <c r="D2520" s="9">
        <v>43.1</v>
      </c>
      <c r="E2520" s="3" t="s">
        <v>139</v>
      </c>
      <c r="F2520" s="3" t="s">
        <v>3203</v>
      </c>
      <c r="G2520" s="9">
        <v>269.92</v>
      </c>
      <c r="H2520" s="10">
        <v>45664.133287037039</v>
      </c>
      <c r="I2520" s="10">
        <v>45664.133287037039</v>
      </c>
      <c r="J2520" s="10">
        <v>45664.134513888886</v>
      </c>
      <c r="K2520" s="11">
        <v>1.226851851851852E-3</v>
      </c>
      <c r="L2520" s="13"/>
    </row>
    <row r="2521" spans="1:12" x14ac:dyDescent="0.25">
      <c r="A2521" s="3" t="s">
        <v>3225</v>
      </c>
      <c r="B2521" s="3" t="s">
        <v>5780</v>
      </c>
      <c r="C2521" s="3" t="s">
        <v>855</v>
      </c>
      <c r="D2521" s="9">
        <v>297</v>
      </c>
      <c r="E2521" s="3" t="s">
        <v>139</v>
      </c>
      <c r="F2521" s="3" t="s">
        <v>3203</v>
      </c>
      <c r="G2521" s="9">
        <v>269.92</v>
      </c>
      <c r="H2521" s="10">
        <v>45664.279386574082</v>
      </c>
      <c r="I2521" s="10">
        <v>45664.279386574082</v>
      </c>
      <c r="J2521" s="10">
        <v>45664.281192129631</v>
      </c>
      <c r="K2521" s="11">
        <v>1.805555555555555E-3</v>
      </c>
      <c r="L2521" s="13"/>
    </row>
    <row r="2522" spans="1:12" x14ac:dyDescent="0.25">
      <c r="A2522" s="3" t="s">
        <v>3225</v>
      </c>
      <c r="B2522" s="3" t="s">
        <v>5781</v>
      </c>
      <c r="C2522" s="3" t="s">
        <v>875</v>
      </c>
      <c r="D2522" s="9">
        <v>396.6</v>
      </c>
      <c r="E2522" s="3" t="s">
        <v>142</v>
      </c>
      <c r="F2522" s="3" t="s">
        <v>3197</v>
      </c>
      <c r="G2522" s="9">
        <v>453.13</v>
      </c>
      <c r="H2522" s="10">
        <v>45664.315949074073</v>
      </c>
      <c r="I2522" s="10">
        <v>45664.315949074073</v>
      </c>
      <c r="J2522" s="10">
        <v>45664.318761574083</v>
      </c>
      <c r="K2522" s="11">
        <v>2.8124999999999999E-3</v>
      </c>
      <c r="L2522" s="13"/>
    </row>
    <row r="2523" spans="1:12" x14ac:dyDescent="0.25">
      <c r="A2523" s="3" t="s">
        <v>3225</v>
      </c>
      <c r="B2523" s="3" t="s">
        <v>5782</v>
      </c>
      <c r="C2523" s="3" t="s">
        <v>878</v>
      </c>
      <c r="D2523" s="9">
        <v>189.9</v>
      </c>
      <c r="E2523" s="3" t="s">
        <v>169</v>
      </c>
      <c r="F2523" s="3" t="s">
        <v>3206</v>
      </c>
      <c r="G2523" s="9">
        <v>344.21</v>
      </c>
      <c r="H2523" s="10">
        <v>45664.31962962963</v>
      </c>
      <c r="I2523" s="10">
        <v>45664.31962962963</v>
      </c>
      <c r="J2523" s="10">
        <v>45664.321504629632</v>
      </c>
      <c r="K2523" s="11">
        <v>1.8749999999999999E-3</v>
      </c>
      <c r="L2523" s="13"/>
    </row>
    <row r="2524" spans="1:12" x14ac:dyDescent="0.25">
      <c r="A2524" s="3" t="s">
        <v>3225</v>
      </c>
      <c r="B2524" s="3" t="s">
        <v>5783</v>
      </c>
      <c r="C2524" s="3" t="s">
        <v>858</v>
      </c>
      <c r="D2524" s="9">
        <v>21</v>
      </c>
      <c r="E2524" s="3" t="s">
        <v>139</v>
      </c>
      <c r="F2524" s="3" t="s">
        <v>3199</v>
      </c>
      <c r="G2524" s="9">
        <v>450.42</v>
      </c>
      <c r="H2524" s="10">
        <v>45664.322372685187</v>
      </c>
      <c r="I2524" s="10">
        <v>45664.322372685187</v>
      </c>
      <c r="J2524" s="10">
        <v>45664.324293981481</v>
      </c>
      <c r="K2524" s="11">
        <v>1.9212962962962959E-3</v>
      </c>
      <c r="L2524" s="13"/>
    </row>
    <row r="2525" spans="1:12" x14ac:dyDescent="0.25">
      <c r="A2525" s="3" t="s">
        <v>3225</v>
      </c>
      <c r="B2525" s="3" t="s">
        <v>5784</v>
      </c>
      <c r="C2525" s="3" t="s">
        <v>860</v>
      </c>
      <c r="D2525" s="9">
        <v>39.799999999999997</v>
      </c>
      <c r="E2525" s="3" t="s">
        <v>139</v>
      </c>
      <c r="F2525" s="3" t="s">
        <v>3195</v>
      </c>
      <c r="G2525" s="9">
        <v>405.43</v>
      </c>
      <c r="H2525" s="10">
        <v>45664.324293981481</v>
      </c>
      <c r="I2525" s="10">
        <v>45664.324293981481</v>
      </c>
      <c r="J2525" s="10">
        <v>45664.32607638889</v>
      </c>
      <c r="K2525" s="11">
        <v>1.782407407407407E-3</v>
      </c>
      <c r="L2525" s="13"/>
    </row>
    <row r="2526" spans="1:12" x14ac:dyDescent="0.25">
      <c r="A2526" s="3" t="s">
        <v>3225</v>
      </c>
      <c r="B2526" s="3" t="s">
        <v>5785</v>
      </c>
      <c r="C2526" s="3" t="s">
        <v>862</v>
      </c>
      <c r="D2526" s="9">
        <v>27</v>
      </c>
      <c r="E2526" s="3" t="s">
        <v>139</v>
      </c>
      <c r="F2526" s="3" t="s">
        <v>3205</v>
      </c>
      <c r="G2526" s="9">
        <v>299.11</v>
      </c>
      <c r="H2526" s="10">
        <v>45664.32607638889</v>
      </c>
      <c r="I2526" s="10">
        <v>45664.32607638889</v>
      </c>
      <c r="J2526" s="10">
        <v>45664.327384259261</v>
      </c>
      <c r="K2526" s="11">
        <v>1.30787037037037E-3</v>
      </c>
      <c r="L2526" s="13"/>
    </row>
    <row r="2527" spans="1:12" x14ac:dyDescent="0.25">
      <c r="A2527" s="3" t="s">
        <v>3225</v>
      </c>
      <c r="B2527" s="3" t="s">
        <v>5786</v>
      </c>
      <c r="C2527" s="3" t="s">
        <v>864</v>
      </c>
      <c r="D2527" s="9">
        <v>90.4</v>
      </c>
      <c r="E2527" s="3" t="s">
        <v>139</v>
      </c>
      <c r="F2527" s="3" t="s">
        <v>3205</v>
      </c>
      <c r="G2527" s="9">
        <v>299.11</v>
      </c>
      <c r="H2527" s="10">
        <v>45664.327384259261</v>
      </c>
      <c r="I2527" s="10">
        <v>45664.327384259261</v>
      </c>
      <c r="J2527" s="10">
        <v>45664.328842592593</v>
      </c>
      <c r="K2527" s="11">
        <v>1.458333333333333E-3</v>
      </c>
      <c r="L2527" s="13"/>
    </row>
    <row r="2528" spans="1:12" x14ac:dyDescent="0.25">
      <c r="A2528" s="3" t="s">
        <v>3225</v>
      </c>
      <c r="B2528" s="3" t="s">
        <v>5787</v>
      </c>
      <c r="C2528" s="3" t="s">
        <v>866</v>
      </c>
      <c r="D2528" s="9">
        <v>39</v>
      </c>
      <c r="E2528" s="3" t="s">
        <v>139</v>
      </c>
      <c r="F2528" s="3" t="s">
        <v>3193</v>
      </c>
      <c r="G2528" s="9">
        <v>297.43</v>
      </c>
      <c r="H2528" s="10">
        <v>45664.328842592593</v>
      </c>
      <c r="I2528" s="10">
        <v>45664.328842592593</v>
      </c>
      <c r="J2528" s="10">
        <v>45664.33017361111</v>
      </c>
      <c r="K2528" s="11">
        <v>1.3310185185185181E-3</v>
      </c>
      <c r="L2528" s="13"/>
    </row>
    <row r="2529" spans="1:12" x14ac:dyDescent="0.25">
      <c r="A2529" s="3" t="s">
        <v>3225</v>
      </c>
      <c r="B2529" s="3" t="s">
        <v>5788</v>
      </c>
      <c r="C2529" s="3" t="s">
        <v>869</v>
      </c>
      <c r="D2529" s="9">
        <v>15.7</v>
      </c>
      <c r="E2529" s="3" t="s">
        <v>139</v>
      </c>
      <c r="F2529" s="3" t="s">
        <v>3203</v>
      </c>
      <c r="G2529" s="9">
        <v>269.92</v>
      </c>
      <c r="H2529" s="10">
        <v>45664.33017361111</v>
      </c>
      <c r="I2529" s="10">
        <v>45664.33017361111</v>
      </c>
      <c r="J2529" s="10">
        <v>45664.331331018519</v>
      </c>
      <c r="K2529" s="11">
        <v>1.1574074074074069E-3</v>
      </c>
      <c r="L2529" s="13"/>
    </row>
    <row r="2530" spans="1:12" x14ac:dyDescent="0.25">
      <c r="A2530" s="3" t="s">
        <v>3225</v>
      </c>
      <c r="B2530" s="3" t="s">
        <v>5789</v>
      </c>
      <c r="C2530" s="3" t="s">
        <v>872</v>
      </c>
      <c r="D2530" s="9">
        <v>35.6</v>
      </c>
      <c r="E2530" s="3" t="s">
        <v>139</v>
      </c>
      <c r="F2530" s="3" t="s">
        <v>3201</v>
      </c>
      <c r="G2530" s="9">
        <v>412.05</v>
      </c>
      <c r="H2530" s="10">
        <v>45664.331331018519</v>
      </c>
      <c r="I2530" s="10">
        <v>45664.331331018519</v>
      </c>
      <c r="J2530" s="10">
        <v>45664.333136574067</v>
      </c>
      <c r="K2530" s="11">
        <v>1.805555555555555E-3</v>
      </c>
      <c r="L2530" s="13"/>
    </row>
    <row r="2531" spans="1:12" x14ac:dyDescent="0.25">
      <c r="A2531" s="3" t="s">
        <v>3225</v>
      </c>
      <c r="B2531" s="3" t="s">
        <v>5790</v>
      </c>
      <c r="C2531" s="3" t="s">
        <v>881</v>
      </c>
      <c r="D2531" s="9">
        <v>281.39999999999998</v>
      </c>
      <c r="E2531" s="3" t="s">
        <v>139</v>
      </c>
      <c r="F2531" s="3" t="s">
        <v>3203</v>
      </c>
      <c r="G2531" s="9">
        <v>269.92</v>
      </c>
      <c r="H2531" s="10">
        <v>45664.355243055557</v>
      </c>
      <c r="I2531" s="10">
        <v>45664.355243055557</v>
      </c>
      <c r="J2531" s="10">
        <v>45664.35701388889</v>
      </c>
      <c r="K2531" s="11">
        <v>1.770833333333333E-3</v>
      </c>
      <c r="L2531" s="13"/>
    </row>
    <row r="2532" spans="1:12" x14ac:dyDescent="0.25">
      <c r="A2532" s="3" t="s">
        <v>3225</v>
      </c>
      <c r="B2532" s="3" t="s">
        <v>5791</v>
      </c>
      <c r="C2532" s="3" t="s">
        <v>883</v>
      </c>
      <c r="D2532" s="9">
        <v>112.5</v>
      </c>
      <c r="E2532" s="3" t="s">
        <v>139</v>
      </c>
      <c r="F2532" s="3" t="s">
        <v>3204</v>
      </c>
      <c r="G2532" s="9">
        <v>477.75</v>
      </c>
      <c r="H2532" s="10">
        <v>45664.35701388889</v>
      </c>
      <c r="I2532" s="10">
        <v>45664.35701388889</v>
      </c>
      <c r="J2532" s="10">
        <v>45664.359270833331</v>
      </c>
      <c r="K2532" s="11">
        <v>2.2569444444444438E-3</v>
      </c>
      <c r="L2532" s="13"/>
    </row>
    <row r="2533" spans="1:12" x14ac:dyDescent="0.25">
      <c r="A2533" s="3" t="s">
        <v>3225</v>
      </c>
      <c r="B2533" s="3" t="s">
        <v>5792</v>
      </c>
      <c r="C2533" s="3" t="s">
        <v>885</v>
      </c>
      <c r="D2533" s="9">
        <v>37.5</v>
      </c>
      <c r="E2533" s="3" t="s">
        <v>142</v>
      </c>
      <c r="F2533" s="3" t="s">
        <v>3202</v>
      </c>
      <c r="G2533" s="9">
        <v>317.52</v>
      </c>
      <c r="H2533" s="10">
        <v>45664.373344907413</v>
      </c>
      <c r="I2533" s="10">
        <v>45664.373344907413</v>
      </c>
      <c r="J2533" s="10">
        <v>45664.374756944453</v>
      </c>
      <c r="K2533" s="11">
        <v>1.4120370370370369E-3</v>
      </c>
      <c r="L2533" s="13"/>
    </row>
    <row r="2534" spans="1:12" x14ac:dyDescent="0.25">
      <c r="A2534" s="3" t="s">
        <v>3225</v>
      </c>
      <c r="B2534" s="3" t="s">
        <v>5793</v>
      </c>
      <c r="C2534" s="3" t="s">
        <v>888</v>
      </c>
      <c r="D2534" s="9">
        <v>15.7</v>
      </c>
      <c r="E2534" s="3" t="s">
        <v>142</v>
      </c>
      <c r="F2534" s="3" t="s">
        <v>3193</v>
      </c>
      <c r="G2534" s="9">
        <v>290.60000000000002</v>
      </c>
      <c r="H2534" s="10">
        <v>45664.374756944453</v>
      </c>
      <c r="I2534" s="10">
        <v>45664.374756944453</v>
      </c>
      <c r="J2534" s="10">
        <v>45664.376006944447</v>
      </c>
      <c r="K2534" s="11">
        <v>1.25E-3</v>
      </c>
      <c r="L2534" s="13"/>
    </row>
    <row r="2535" spans="1:12" x14ac:dyDescent="0.25">
      <c r="A2535" s="3" t="s">
        <v>3225</v>
      </c>
      <c r="B2535" s="3" t="s">
        <v>5794</v>
      </c>
      <c r="C2535" s="3" t="s">
        <v>890</v>
      </c>
      <c r="D2535" s="9">
        <v>63</v>
      </c>
      <c r="E2535" s="3" t="s">
        <v>142</v>
      </c>
      <c r="F2535" s="3" t="s">
        <v>3203</v>
      </c>
      <c r="G2535" s="9">
        <v>263.08999999999997</v>
      </c>
      <c r="H2535" s="10">
        <v>45664.376006944447</v>
      </c>
      <c r="I2535" s="10">
        <v>45664.376006944447</v>
      </c>
      <c r="J2535" s="10">
        <v>45664.377245370371</v>
      </c>
      <c r="K2535" s="11">
        <v>1.238425925925926E-3</v>
      </c>
      <c r="L2535" s="13"/>
    </row>
    <row r="2536" spans="1:12" x14ac:dyDescent="0.25">
      <c r="A2536" s="3" t="s">
        <v>3225</v>
      </c>
      <c r="B2536" s="3" t="s">
        <v>5795</v>
      </c>
      <c r="C2536" s="3" t="s">
        <v>893</v>
      </c>
      <c r="D2536" s="9">
        <v>15.7</v>
      </c>
      <c r="E2536" s="3" t="s">
        <v>142</v>
      </c>
      <c r="F2536" s="3" t="s">
        <v>3201</v>
      </c>
      <c r="G2536" s="9">
        <v>405.22</v>
      </c>
      <c r="H2536" s="10">
        <v>45664.377245370371</v>
      </c>
      <c r="I2536" s="10">
        <v>45664.377245370371</v>
      </c>
      <c r="J2536" s="10">
        <v>45664.378969907397</v>
      </c>
      <c r="K2536" s="11">
        <v>1.724537037037037E-3</v>
      </c>
      <c r="L2536" s="13"/>
    </row>
    <row r="2537" spans="1:12" x14ac:dyDescent="0.25">
      <c r="A2537" s="3" t="s">
        <v>3225</v>
      </c>
      <c r="B2537" s="3" t="s">
        <v>5796</v>
      </c>
      <c r="C2537" s="3" t="s">
        <v>895</v>
      </c>
      <c r="D2537" s="9">
        <v>19.899999999999999</v>
      </c>
      <c r="E2537" s="3" t="s">
        <v>142</v>
      </c>
      <c r="F2537" s="3" t="s">
        <v>3195</v>
      </c>
      <c r="G2537" s="9">
        <v>398.6</v>
      </c>
      <c r="H2537" s="10">
        <v>45664.378969907397</v>
      </c>
      <c r="I2537" s="10">
        <v>45664.378969907397</v>
      </c>
      <c r="J2537" s="10">
        <v>45664.380682870367</v>
      </c>
      <c r="K2537" s="11">
        <v>1.712962962962963E-3</v>
      </c>
      <c r="L2537" s="13"/>
    </row>
    <row r="2538" spans="1:12" x14ac:dyDescent="0.25">
      <c r="A2538" s="3" t="s">
        <v>3225</v>
      </c>
      <c r="B2538" s="3" t="s">
        <v>5797</v>
      </c>
      <c r="C2538" s="3" t="s">
        <v>897</v>
      </c>
      <c r="D2538" s="9">
        <v>43.1</v>
      </c>
      <c r="E2538" s="3" t="s">
        <v>142</v>
      </c>
      <c r="F2538" s="3" t="s">
        <v>3205</v>
      </c>
      <c r="G2538" s="9">
        <v>292.27999999999997</v>
      </c>
      <c r="H2538" s="10">
        <v>45664.380682870367</v>
      </c>
      <c r="I2538" s="10">
        <v>45664.380682870367</v>
      </c>
      <c r="J2538" s="10">
        <v>45664.381990740738</v>
      </c>
      <c r="K2538" s="11">
        <v>1.30787037037037E-3</v>
      </c>
      <c r="L2538" s="13"/>
    </row>
    <row r="2539" spans="1:12" x14ac:dyDescent="0.25">
      <c r="A2539" s="3" t="s">
        <v>3225</v>
      </c>
      <c r="B2539" s="3" t="s">
        <v>5798</v>
      </c>
      <c r="C2539" s="3" t="s">
        <v>900</v>
      </c>
      <c r="D2539" s="9">
        <v>81</v>
      </c>
      <c r="E2539" s="3" t="s">
        <v>142</v>
      </c>
      <c r="F2539" s="3" t="s">
        <v>3196</v>
      </c>
      <c r="G2539" s="9">
        <v>443.59</v>
      </c>
      <c r="H2539" s="10">
        <v>45664.381990740738</v>
      </c>
      <c r="I2539" s="10">
        <v>45664.381990740738</v>
      </c>
      <c r="J2539" s="10">
        <v>45664.384027777778</v>
      </c>
      <c r="K2539" s="11">
        <v>2.0370370370370369E-3</v>
      </c>
      <c r="L2539" s="13"/>
    </row>
    <row r="2540" spans="1:12" x14ac:dyDescent="0.25">
      <c r="A2540" s="3" t="s">
        <v>3225</v>
      </c>
      <c r="B2540" s="3" t="s">
        <v>5799</v>
      </c>
      <c r="C2540" s="3" t="s">
        <v>903</v>
      </c>
      <c r="D2540" s="9">
        <v>21</v>
      </c>
      <c r="E2540" s="3" t="s">
        <v>142</v>
      </c>
      <c r="F2540" s="3" t="s">
        <v>3193</v>
      </c>
      <c r="G2540" s="9">
        <v>290.60000000000002</v>
      </c>
      <c r="H2540" s="10">
        <v>45664.384027777778</v>
      </c>
      <c r="I2540" s="10">
        <v>45664.384027777778</v>
      </c>
      <c r="J2540" s="10">
        <v>45664.385289351849</v>
      </c>
      <c r="K2540" s="11">
        <v>1.261574074074074E-3</v>
      </c>
      <c r="L2540" s="13"/>
    </row>
    <row r="2541" spans="1:12" x14ac:dyDescent="0.25">
      <c r="A2541" s="3" t="s">
        <v>3225</v>
      </c>
      <c r="B2541" s="3" t="s">
        <v>5800</v>
      </c>
      <c r="C2541" s="3" t="s">
        <v>905</v>
      </c>
      <c r="D2541" s="9">
        <v>292.89999999999998</v>
      </c>
      <c r="E2541" s="3" t="s">
        <v>139</v>
      </c>
      <c r="F2541" s="3" t="s">
        <v>3203</v>
      </c>
      <c r="G2541" s="9">
        <v>269.92</v>
      </c>
      <c r="H2541" s="10">
        <v>45664.451145833344</v>
      </c>
      <c r="I2541" s="10">
        <v>45664.451145833344</v>
      </c>
      <c r="J2541" s="10">
        <v>45664.452939814822</v>
      </c>
      <c r="K2541" s="11">
        <v>1.793981481481481E-3</v>
      </c>
      <c r="L2541" s="13"/>
    </row>
    <row r="2542" spans="1:12" x14ac:dyDescent="0.25">
      <c r="A2542" s="3" t="s">
        <v>3225</v>
      </c>
      <c r="B2542" s="3" t="s">
        <v>5801</v>
      </c>
      <c r="C2542" s="3" t="s">
        <v>907</v>
      </c>
      <c r="D2542" s="9">
        <v>84</v>
      </c>
      <c r="E2542" s="3" t="s">
        <v>139</v>
      </c>
      <c r="F2542" s="3" t="s">
        <v>3199</v>
      </c>
      <c r="G2542" s="9">
        <v>450.42</v>
      </c>
      <c r="H2542" s="10">
        <v>45664.452939814822</v>
      </c>
      <c r="I2542" s="10">
        <v>45664.452939814822</v>
      </c>
      <c r="J2542" s="10">
        <v>45664.455011574071</v>
      </c>
      <c r="K2542" s="11">
        <v>2.0717592592592589E-3</v>
      </c>
      <c r="L2542" s="13"/>
    </row>
    <row r="2543" spans="1:12" x14ac:dyDescent="0.25">
      <c r="A2543" s="3" t="s">
        <v>3225</v>
      </c>
      <c r="B2543" s="3" t="s">
        <v>5802</v>
      </c>
      <c r="C2543" s="3" t="s">
        <v>910</v>
      </c>
      <c r="D2543" s="9">
        <v>71.7</v>
      </c>
      <c r="E2543" s="3" t="s">
        <v>139</v>
      </c>
      <c r="F2543" s="3" t="s">
        <v>3204</v>
      </c>
      <c r="G2543" s="9">
        <v>477.75</v>
      </c>
      <c r="H2543" s="10">
        <v>45664.455011574071</v>
      </c>
      <c r="I2543" s="10">
        <v>45664.455011574071</v>
      </c>
      <c r="J2543" s="10">
        <v>45664.457175925927</v>
      </c>
      <c r="K2543" s="11">
        <v>2.1643518518518522E-3</v>
      </c>
      <c r="L2543" s="13"/>
    </row>
    <row r="2544" spans="1:12" x14ac:dyDescent="0.25">
      <c r="A2544" s="3" t="s">
        <v>3225</v>
      </c>
      <c r="B2544" s="3" t="s">
        <v>5803</v>
      </c>
      <c r="C2544" s="3" t="s">
        <v>913</v>
      </c>
      <c r="D2544" s="9">
        <v>192.5</v>
      </c>
      <c r="E2544" s="3" t="s">
        <v>139</v>
      </c>
      <c r="F2544" s="3" t="s">
        <v>3204</v>
      </c>
      <c r="G2544" s="9">
        <v>477.75</v>
      </c>
      <c r="H2544" s="10">
        <v>45664.548449074071</v>
      </c>
      <c r="I2544" s="10">
        <v>45664.548449074071</v>
      </c>
      <c r="J2544" s="10">
        <v>45664.550879629627</v>
      </c>
      <c r="K2544" s="11">
        <v>2.430555555555556E-3</v>
      </c>
      <c r="L2544" s="13"/>
    </row>
    <row r="2545" spans="1:12" x14ac:dyDescent="0.25">
      <c r="A2545" s="3" t="s">
        <v>3225</v>
      </c>
      <c r="B2545" s="3" t="s">
        <v>5804</v>
      </c>
      <c r="C2545" s="3" t="s">
        <v>915</v>
      </c>
      <c r="D2545" s="9">
        <v>398</v>
      </c>
      <c r="E2545" s="3" t="s">
        <v>139</v>
      </c>
      <c r="F2545" s="3" t="s">
        <v>3203</v>
      </c>
      <c r="G2545" s="9">
        <v>269.92</v>
      </c>
      <c r="H2545" s="10">
        <v>45664.60255787037</v>
      </c>
      <c r="I2545" s="10">
        <v>45664.60255787037</v>
      </c>
      <c r="J2545" s="10">
        <v>45664.60460648148</v>
      </c>
      <c r="K2545" s="11">
        <v>2.0486111111111109E-3</v>
      </c>
      <c r="L2545" s="13"/>
    </row>
    <row r="2546" spans="1:12" x14ac:dyDescent="0.25">
      <c r="A2546" s="3" t="s">
        <v>3225</v>
      </c>
      <c r="B2546" s="3" t="s">
        <v>5805</v>
      </c>
      <c r="C2546" s="3" t="s">
        <v>918</v>
      </c>
      <c r="D2546" s="9">
        <v>19.899999999999999</v>
      </c>
      <c r="E2546" s="3" t="s">
        <v>139</v>
      </c>
      <c r="F2546" s="3" t="s">
        <v>3204</v>
      </c>
      <c r="G2546" s="9">
        <v>477.75</v>
      </c>
      <c r="H2546" s="10">
        <v>45664.643391203703</v>
      </c>
      <c r="I2546" s="10">
        <v>45664.643391203703</v>
      </c>
      <c r="J2546" s="10">
        <v>45664.645428240743</v>
      </c>
      <c r="K2546" s="11">
        <v>2.0370370370370369E-3</v>
      </c>
      <c r="L2546" s="13"/>
    </row>
    <row r="2547" spans="1:12" x14ac:dyDescent="0.25">
      <c r="A2547" s="3" t="s">
        <v>3225</v>
      </c>
      <c r="B2547" s="3" t="s">
        <v>5806</v>
      </c>
      <c r="C2547" s="3" t="s">
        <v>921</v>
      </c>
      <c r="D2547" s="9">
        <v>15.7</v>
      </c>
      <c r="E2547" s="3" t="s">
        <v>139</v>
      </c>
      <c r="F2547" s="3" t="s">
        <v>3200</v>
      </c>
      <c r="G2547" s="9">
        <v>405.03</v>
      </c>
      <c r="H2547" s="10">
        <v>45664.645428240743</v>
      </c>
      <c r="I2547" s="10">
        <v>45664.645428240743</v>
      </c>
      <c r="J2547" s="10">
        <v>45664.647152777783</v>
      </c>
      <c r="K2547" s="11">
        <v>1.724537037037037E-3</v>
      </c>
      <c r="L2547" s="13"/>
    </row>
    <row r="2548" spans="1:12" x14ac:dyDescent="0.25">
      <c r="A2548" s="3" t="s">
        <v>3225</v>
      </c>
      <c r="B2548" s="3" t="s">
        <v>5807</v>
      </c>
      <c r="C2548" s="3" t="s">
        <v>923</v>
      </c>
      <c r="D2548" s="9">
        <v>15.7</v>
      </c>
      <c r="E2548" s="3" t="s">
        <v>139</v>
      </c>
      <c r="F2548" s="3" t="s">
        <v>3203</v>
      </c>
      <c r="G2548" s="9">
        <v>269.92</v>
      </c>
      <c r="H2548" s="10">
        <v>45664.647152777783</v>
      </c>
      <c r="I2548" s="10">
        <v>45664.647152777783</v>
      </c>
      <c r="J2548" s="10">
        <v>45664.648321759261</v>
      </c>
      <c r="K2548" s="11">
        <v>1.168981481481482E-3</v>
      </c>
      <c r="L2548" s="13"/>
    </row>
    <row r="2549" spans="1:12" x14ac:dyDescent="0.25">
      <c r="A2549" s="3" t="s">
        <v>3225</v>
      </c>
      <c r="B2549" s="3" t="s">
        <v>5808</v>
      </c>
      <c r="C2549" s="3" t="s">
        <v>926</v>
      </c>
      <c r="D2549" s="9">
        <v>54</v>
      </c>
      <c r="E2549" s="3" t="s">
        <v>139</v>
      </c>
      <c r="F2549" s="3" t="s">
        <v>3196</v>
      </c>
      <c r="G2549" s="9">
        <v>450.42</v>
      </c>
      <c r="H2549" s="10">
        <v>45664.648321759261</v>
      </c>
      <c r="I2549" s="10">
        <v>45664.648321759261</v>
      </c>
      <c r="J2549" s="10">
        <v>45664.650312500002</v>
      </c>
      <c r="K2549" s="11">
        <v>1.9907407407407408E-3</v>
      </c>
      <c r="L2549" s="13"/>
    </row>
    <row r="2550" spans="1:12" x14ac:dyDescent="0.25">
      <c r="A2550" s="3" t="s">
        <v>3225</v>
      </c>
      <c r="B2550" s="3" t="s">
        <v>5809</v>
      </c>
      <c r="C2550" s="3" t="s">
        <v>928</v>
      </c>
      <c r="D2550" s="9">
        <v>21</v>
      </c>
      <c r="E2550" s="3" t="s">
        <v>139</v>
      </c>
      <c r="F2550" s="3" t="s">
        <v>3193</v>
      </c>
      <c r="G2550" s="9">
        <v>297.43</v>
      </c>
      <c r="H2550" s="10">
        <v>45664.650312500002</v>
      </c>
      <c r="I2550" s="10">
        <v>45664.650312500002</v>
      </c>
      <c r="J2550" s="10">
        <v>45664.651608796303</v>
      </c>
      <c r="K2550" s="11">
        <v>1.296296296296296E-3</v>
      </c>
      <c r="L2550" s="13"/>
    </row>
    <row r="2551" spans="1:12" x14ac:dyDescent="0.25">
      <c r="A2551" s="3" t="s">
        <v>3225</v>
      </c>
      <c r="B2551" s="3" t="s">
        <v>5810</v>
      </c>
      <c r="C2551" s="3" t="s">
        <v>930</v>
      </c>
      <c r="D2551" s="9">
        <v>14</v>
      </c>
      <c r="E2551" s="3" t="s">
        <v>139</v>
      </c>
      <c r="F2551" s="3" t="s">
        <v>3198</v>
      </c>
      <c r="G2551" s="9">
        <v>350.87</v>
      </c>
      <c r="H2551" s="10">
        <v>45664.651608796303</v>
      </c>
      <c r="I2551" s="10">
        <v>45664.651608796303</v>
      </c>
      <c r="J2551" s="10">
        <v>45664.653101851851</v>
      </c>
      <c r="K2551" s="11">
        <v>1.4930555555555561E-3</v>
      </c>
      <c r="L2551" s="13"/>
    </row>
    <row r="2552" spans="1:12" x14ac:dyDescent="0.25">
      <c r="A2552" s="3" t="s">
        <v>3225</v>
      </c>
      <c r="B2552" s="3" t="s">
        <v>5811</v>
      </c>
      <c r="C2552" s="3" t="s">
        <v>932</v>
      </c>
      <c r="D2552" s="9">
        <v>101.9</v>
      </c>
      <c r="E2552" s="3" t="s">
        <v>139</v>
      </c>
      <c r="F2552" s="3" t="s">
        <v>3205</v>
      </c>
      <c r="G2552" s="9">
        <v>299.11</v>
      </c>
      <c r="H2552" s="10">
        <v>45664.653101851851</v>
      </c>
      <c r="I2552" s="10">
        <v>45664.653101851851</v>
      </c>
      <c r="J2552" s="10">
        <v>45664.654583333337</v>
      </c>
      <c r="K2552" s="11">
        <v>1.481481481481481E-3</v>
      </c>
      <c r="L2552" s="13"/>
    </row>
    <row r="2553" spans="1:12" x14ac:dyDescent="0.25">
      <c r="A2553" s="3" t="s">
        <v>3225</v>
      </c>
      <c r="B2553" s="3" t="s">
        <v>5812</v>
      </c>
      <c r="C2553" s="3" t="s">
        <v>934</v>
      </c>
      <c r="D2553" s="9">
        <v>19.899999999999999</v>
      </c>
      <c r="E2553" s="3" t="s">
        <v>139</v>
      </c>
      <c r="F2553" s="3" t="s">
        <v>3202</v>
      </c>
      <c r="G2553" s="9">
        <v>324.35000000000002</v>
      </c>
      <c r="H2553" s="10">
        <v>45664.654583333337</v>
      </c>
      <c r="I2553" s="10">
        <v>45664.654583333337</v>
      </c>
      <c r="J2553" s="10">
        <v>45664.6559837963</v>
      </c>
      <c r="K2553" s="11">
        <v>1.4004629629629629E-3</v>
      </c>
      <c r="L2553" s="13"/>
    </row>
    <row r="2554" spans="1:12" x14ac:dyDescent="0.25">
      <c r="A2554" s="3" t="s">
        <v>3225</v>
      </c>
      <c r="B2554" s="3" t="s">
        <v>5813</v>
      </c>
      <c r="C2554" s="3" t="s">
        <v>936</v>
      </c>
      <c r="D2554" s="9">
        <v>23.2</v>
      </c>
      <c r="E2554" s="3" t="s">
        <v>139</v>
      </c>
      <c r="F2554" s="3" t="s">
        <v>3193</v>
      </c>
      <c r="G2554" s="9">
        <v>297.43</v>
      </c>
      <c r="H2554" s="10">
        <v>45664.6559837963</v>
      </c>
      <c r="I2554" s="10">
        <v>45664.6559837963</v>
      </c>
      <c r="J2554" s="10">
        <v>45664.657268518517</v>
      </c>
      <c r="K2554" s="11">
        <v>1.284722222222222E-3</v>
      </c>
      <c r="L2554" s="13"/>
    </row>
    <row r="2555" spans="1:12" x14ac:dyDescent="0.25">
      <c r="A2555" s="3" t="s">
        <v>3225</v>
      </c>
      <c r="B2555" s="3" t="s">
        <v>5814</v>
      </c>
      <c r="C2555" s="3" t="s">
        <v>938</v>
      </c>
      <c r="D2555" s="9">
        <v>15.7</v>
      </c>
      <c r="E2555" s="3" t="s">
        <v>139</v>
      </c>
      <c r="F2555" s="3" t="s">
        <v>3201</v>
      </c>
      <c r="G2555" s="9">
        <v>412.05</v>
      </c>
      <c r="H2555" s="10">
        <v>45664.657268518517</v>
      </c>
      <c r="I2555" s="10">
        <v>45664.657268518517</v>
      </c>
      <c r="J2555" s="10">
        <v>45664.65902777778</v>
      </c>
      <c r="K2555" s="11">
        <v>1.759259259259259E-3</v>
      </c>
      <c r="L2555" s="13"/>
    </row>
    <row r="2556" spans="1:12" x14ac:dyDescent="0.25">
      <c r="A2556" s="3" t="s">
        <v>3225</v>
      </c>
      <c r="B2556" s="3" t="s">
        <v>5815</v>
      </c>
      <c r="C2556" s="3" t="s">
        <v>940</v>
      </c>
      <c r="D2556" s="9">
        <v>19.899999999999999</v>
      </c>
      <c r="E2556" s="3" t="s">
        <v>139</v>
      </c>
      <c r="F2556" s="3" t="s">
        <v>3195</v>
      </c>
      <c r="G2556" s="9">
        <v>405.43</v>
      </c>
      <c r="H2556" s="10">
        <v>45664.65902777778</v>
      </c>
      <c r="I2556" s="10">
        <v>45664.65902777778</v>
      </c>
      <c r="J2556" s="10">
        <v>45664.660763888889</v>
      </c>
      <c r="K2556" s="11">
        <v>1.736111111111111E-3</v>
      </c>
      <c r="L2556" s="13"/>
    </row>
    <row r="2557" spans="1:12" x14ac:dyDescent="0.25">
      <c r="A2557" s="3" t="s">
        <v>3225</v>
      </c>
      <c r="B2557" s="3" t="s">
        <v>5816</v>
      </c>
      <c r="C2557" s="3" t="s">
        <v>942</v>
      </c>
      <c r="D2557" s="9">
        <v>393.5</v>
      </c>
      <c r="E2557" s="3" t="s">
        <v>142</v>
      </c>
      <c r="F2557" s="3" t="s">
        <v>3197</v>
      </c>
      <c r="G2557" s="9">
        <v>453.13</v>
      </c>
      <c r="H2557" s="10">
        <v>45664.661631944437</v>
      </c>
      <c r="I2557" s="10">
        <v>45664.661631944437</v>
      </c>
      <c r="J2557" s="10">
        <v>45664.66443287037</v>
      </c>
      <c r="K2557" s="11">
        <v>2.8009259259259259E-3</v>
      </c>
      <c r="L2557" s="13"/>
    </row>
    <row r="2558" spans="1:12" x14ac:dyDescent="0.25">
      <c r="A2558" s="3" t="s">
        <v>3225</v>
      </c>
      <c r="B2558" s="3" t="s">
        <v>5817</v>
      </c>
      <c r="C2558" s="3" t="s">
        <v>945</v>
      </c>
      <c r="D2558" s="9">
        <v>93.8</v>
      </c>
      <c r="E2558" s="3" t="s">
        <v>139</v>
      </c>
      <c r="F2558" s="3" t="s">
        <v>3206</v>
      </c>
      <c r="G2558" s="9">
        <v>378.4</v>
      </c>
      <c r="H2558" s="10">
        <v>45664.674537037034</v>
      </c>
      <c r="I2558" s="10">
        <v>45664.674537037034</v>
      </c>
      <c r="J2558" s="10">
        <v>45664.67633101852</v>
      </c>
      <c r="K2558" s="11">
        <v>1.793981481481481E-3</v>
      </c>
      <c r="L2558" s="13"/>
    </row>
    <row r="2559" spans="1:12" x14ac:dyDescent="0.25">
      <c r="A2559" s="3" t="s">
        <v>3225</v>
      </c>
      <c r="B2559" s="3" t="s">
        <v>5818</v>
      </c>
      <c r="C2559" s="3" t="s">
        <v>948</v>
      </c>
      <c r="D2559" s="9">
        <v>16.5</v>
      </c>
      <c r="E2559" s="3" t="s">
        <v>139</v>
      </c>
      <c r="F2559" s="3" t="s">
        <v>3199</v>
      </c>
      <c r="G2559" s="9">
        <v>450.42</v>
      </c>
      <c r="H2559" s="10">
        <v>45664.67633101852</v>
      </c>
      <c r="I2559" s="10">
        <v>45664.67633101852</v>
      </c>
      <c r="J2559" s="10">
        <v>45664.678252314807</v>
      </c>
      <c r="K2559" s="11">
        <v>1.9212962962962959E-3</v>
      </c>
      <c r="L2559" s="13"/>
    </row>
    <row r="2560" spans="1:12" x14ac:dyDescent="0.25">
      <c r="A2560" s="3" t="s">
        <v>3225</v>
      </c>
      <c r="B2560" s="3" t="s">
        <v>5819</v>
      </c>
      <c r="C2560" s="3" t="s">
        <v>950</v>
      </c>
      <c r="D2560" s="9">
        <v>21</v>
      </c>
      <c r="E2560" s="3" t="s">
        <v>139</v>
      </c>
      <c r="F2560" s="3" t="s">
        <v>3202</v>
      </c>
      <c r="G2560" s="9">
        <v>324.35000000000002</v>
      </c>
      <c r="H2560" s="10">
        <v>45664.743090277778</v>
      </c>
      <c r="I2560" s="10">
        <v>45664.743090277778</v>
      </c>
      <c r="J2560" s="10">
        <v>45664.744490740741</v>
      </c>
      <c r="K2560" s="11">
        <v>1.4004629629629629E-3</v>
      </c>
      <c r="L2560" s="13"/>
    </row>
    <row r="2561" spans="1:12" x14ac:dyDescent="0.25">
      <c r="A2561" s="3" t="s">
        <v>3225</v>
      </c>
      <c r="B2561" s="3" t="s">
        <v>5820</v>
      </c>
      <c r="C2561" s="3" t="s">
        <v>952</v>
      </c>
      <c r="D2561" s="9">
        <v>15.7</v>
      </c>
      <c r="E2561" s="3" t="s">
        <v>139</v>
      </c>
      <c r="F2561" s="3" t="s">
        <v>3204</v>
      </c>
      <c r="G2561" s="9">
        <v>477.75</v>
      </c>
      <c r="H2561" s="10">
        <v>45664.744490740741</v>
      </c>
      <c r="I2561" s="10">
        <v>45664.744490740741</v>
      </c>
      <c r="J2561" s="10">
        <v>45664.746516203697</v>
      </c>
      <c r="K2561" s="11">
        <v>2.0254629629629629E-3</v>
      </c>
      <c r="L2561" s="13"/>
    </row>
    <row r="2562" spans="1:12" x14ac:dyDescent="0.25">
      <c r="A2562" s="3" t="s">
        <v>3225</v>
      </c>
      <c r="B2562" s="3" t="s">
        <v>5821</v>
      </c>
      <c r="C2562" s="3" t="s">
        <v>954</v>
      </c>
      <c r="D2562" s="9">
        <v>23.2</v>
      </c>
      <c r="E2562" s="3" t="s">
        <v>139</v>
      </c>
      <c r="F2562" s="3" t="s">
        <v>3201</v>
      </c>
      <c r="G2562" s="9">
        <v>412.05</v>
      </c>
      <c r="H2562" s="10">
        <v>45664.746516203697</v>
      </c>
      <c r="I2562" s="10">
        <v>45664.746516203697</v>
      </c>
      <c r="J2562" s="10">
        <v>45664.748287037037</v>
      </c>
      <c r="K2562" s="11">
        <v>1.770833333333333E-3</v>
      </c>
      <c r="L2562" s="13"/>
    </row>
    <row r="2563" spans="1:12" x14ac:dyDescent="0.25">
      <c r="A2563" s="3" t="s">
        <v>3225</v>
      </c>
      <c r="B2563" s="3" t="s">
        <v>5822</v>
      </c>
      <c r="C2563" s="3" t="s">
        <v>956</v>
      </c>
      <c r="D2563" s="9">
        <v>31.5</v>
      </c>
      <c r="E2563" s="3" t="s">
        <v>139</v>
      </c>
      <c r="F2563" s="3" t="s">
        <v>3203</v>
      </c>
      <c r="G2563" s="9">
        <v>269.92</v>
      </c>
      <c r="H2563" s="10">
        <v>45664.748287037037</v>
      </c>
      <c r="I2563" s="10">
        <v>45664.748287037037</v>
      </c>
      <c r="J2563" s="10">
        <v>45664.749479166669</v>
      </c>
      <c r="K2563" s="11">
        <v>1.19212962962963E-3</v>
      </c>
      <c r="L2563" s="13"/>
    </row>
    <row r="2564" spans="1:12" x14ac:dyDescent="0.25">
      <c r="A2564" s="3" t="s">
        <v>3225</v>
      </c>
      <c r="B2564" s="3" t="s">
        <v>5823</v>
      </c>
      <c r="C2564" s="3" t="s">
        <v>958</v>
      </c>
      <c r="D2564" s="9">
        <v>39.799999999999997</v>
      </c>
      <c r="E2564" s="3" t="s">
        <v>139</v>
      </c>
      <c r="F2564" s="3" t="s">
        <v>3195</v>
      </c>
      <c r="G2564" s="9">
        <v>405.43</v>
      </c>
      <c r="H2564" s="10">
        <v>45664.749479166669</v>
      </c>
      <c r="I2564" s="10">
        <v>45664.749479166669</v>
      </c>
      <c r="J2564" s="10">
        <v>45664.751261574071</v>
      </c>
      <c r="K2564" s="11">
        <v>1.782407407407407E-3</v>
      </c>
      <c r="L2564" s="13"/>
    </row>
    <row r="2565" spans="1:12" x14ac:dyDescent="0.25">
      <c r="A2565" s="3" t="s">
        <v>3225</v>
      </c>
      <c r="B2565" s="3" t="s">
        <v>5824</v>
      </c>
      <c r="C2565" s="3" t="s">
        <v>960</v>
      </c>
      <c r="D2565" s="9">
        <v>108</v>
      </c>
      <c r="E2565" s="3" t="s">
        <v>139</v>
      </c>
      <c r="F2565" s="3" t="s">
        <v>3193</v>
      </c>
      <c r="G2565" s="9">
        <v>297.43</v>
      </c>
      <c r="H2565" s="10">
        <v>45664.751261574071</v>
      </c>
      <c r="I2565" s="10">
        <v>45664.751261574071</v>
      </c>
      <c r="J2565" s="10">
        <v>45664.752754629633</v>
      </c>
      <c r="K2565" s="11">
        <v>1.4930555555555561E-3</v>
      </c>
      <c r="L2565" s="13"/>
    </row>
    <row r="2566" spans="1:12" x14ac:dyDescent="0.25">
      <c r="A2566" s="3" t="s">
        <v>3225</v>
      </c>
      <c r="B2566" s="3" t="s">
        <v>5825</v>
      </c>
      <c r="C2566" s="3" t="s">
        <v>963</v>
      </c>
      <c r="D2566" s="9">
        <v>15.7</v>
      </c>
      <c r="E2566" s="3" t="s">
        <v>139</v>
      </c>
      <c r="F2566" s="3" t="s">
        <v>3204</v>
      </c>
      <c r="G2566" s="9">
        <v>477.75</v>
      </c>
      <c r="H2566" s="10">
        <v>45664.752754629633</v>
      </c>
      <c r="I2566" s="10">
        <v>45664.752754629633</v>
      </c>
      <c r="J2566" s="10">
        <v>45664.754780092589</v>
      </c>
      <c r="K2566" s="11">
        <v>2.0254629629629629E-3</v>
      </c>
      <c r="L2566" s="13"/>
    </row>
    <row r="2567" spans="1:12" x14ac:dyDescent="0.25">
      <c r="A2567" s="3" t="s">
        <v>3225</v>
      </c>
      <c r="B2567" s="3" t="s">
        <v>5826</v>
      </c>
      <c r="C2567" s="3" t="s">
        <v>965</v>
      </c>
      <c r="D2567" s="9">
        <v>39</v>
      </c>
      <c r="E2567" s="3" t="s">
        <v>139</v>
      </c>
      <c r="F2567" s="3" t="s">
        <v>3199</v>
      </c>
      <c r="G2567" s="9">
        <v>450.42</v>
      </c>
      <c r="H2567" s="10">
        <v>45664.754780092589</v>
      </c>
      <c r="I2567" s="10">
        <v>45664.754780092589</v>
      </c>
      <c r="J2567" s="10">
        <v>45664.756747685176</v>
      </c>
      <c r="K2567" s="11">
        <v>1.967592592592592E-3</v>
      </c>
      <c r="L2567" s="13"/>
    </row>
    <row r="2568" spans="1:12" x14ac:dyDescent="0.25">
      <c r="A2568" s="3" t="s">
        <v>3225</v>
      </c>
      <c r="B2568" s="3" t="s">
        <v>5827</v>
      </c>
      <c r="C2568" s="3" t="s">
        <v>968</v>
      </c>
      <c r="D2568" s="9">
        <v>19.899999999999999</v>
      </c>
      <c r="E2568" s="3" t="s">
        <v>139</v>
      </c>
      <c r="F2568" s="3" t="s">
        <v>3194</v>
      </c>
      <c r="G2568" s="9">
        <v>459.96</v>
      </c>
      <c r="H2568" s="10">
        <v>45664.756747685176</v>
      </c>
      <c r="I2568" s="10">
        <v>45664.756747685176</v>
      </c>
      <c r="J2568" s="10">
        <v>45664.758715277778</v>
      </c>
      <c r="K2568" s="11">
        <v>1.967592592592592E-3</v>
      </c>
      <c r="L2568" s="13"/>
    </row>
    <row r="2569" spans="1:12" x14ac:dyDescent="0.25">
      <c r="A2569" s="3" t="s">
        <v>3225</v>
      </c>
      <c r="B2569" s="3" t="s">
        <v>5828</v>
      </c>
      <c r="C2569" s="3" t="s">
        <v>970</v>
      </c>
      <c r="D2569" s="9">
        <v>31.5</v>
      </c>
      <c r="E2569" s="3" t="s">
        <v>139</v>
      </c>
      <c r="F2569" s="3" t="s">
        <v>3200</v>
      </c>
      <c r="G2569" s="9">
        <v>405.03</v>
      </c>
      <c r="H2569" s="10">
        <v>45664.758715277778</v>
      </c>
      <c r="I2569" s="10">
        <v>45664.758715277778</v>
      </c>
      <c r="J2569" s="10">
        <v>45664.760474537034</v>
      </c>
      <c r="K2569" s="11">
        <v>1.759259259259259E-3</v>
      </c>
      <c r="L2569" s="13"/>
    </row>
    <row r="2570" spans="1:12" x14ac:dyDescent="0.25">
      <c r="A2570" s="3" t="s">
        <v>3225</v>
      </c>
      <c r="B2570" s="3" t="s">
        <v>5829</v>
      </c>
      <c r="C2570" s="3" t="s">
        <v>972</v>
      </c>
      <c r="D2570" s="9">
        <v>31.9</v>
      </c>
      <c r="E2570" s="3" t="s">
        <v>139</v>
      </c>
      <c r="F2570" s="3" t="s">
        <v>3199</v>
      </c>
      <c r="G2570" s="9">
        <v>450.42</v>
      </c>
      <c r="H2570" s="10">
        <v>45664.760474537034</v>
      </c>
      <c r="I2570" s="10">
        <v>45664.760474537034</v>
      </c>
      <c r="J2570" s="10">
        <v>45664.762418981481</v>
      </c>
      <c r="K2570" s="11">
        <v>1.944444444444444E-3</v>
      </c>
      <c r="L2570" s="13"/>
    </row>
    <row r="2571" spans="1:12" x14ac:dyDescent="0.25">
      <c r="A2571" s="3" t="s">
        <v>3225</v>
      </c>
      <c r="B2571" s="3" t="s">
        <v>5830</v>
      </c>
      <c r="C2571" s="3" t="s">
        <v>974</v>
      </c>
      <c r="D2571" s="9">
        <v>15.7</v>
      </c>
      <c r="E2571" s="3" t="s">
        <v>139</v>
      </c>
      <c r="F2571" s="3" t="s">
        <v>3203</v>
      </c>
      <c r="G2571" s="9">
        <v>269.92</v>
      </c>
      <c r="H2571" s="10">
        <v>45664.762418981481</v>
      </c>
      <c r="I2571" s="10">
        <v>45664.762418981481</v>
      </c>
      <c r="J2571" s="10">
        <v>45664.76357638889</v>
      </c>
      <c r="K2571" s="11">
        <v>1.1574074074074069E-3</v>
      </c>
      <c r="L2571" s="13"/>
    </row>
    <row r="2572" spans="1:12" x14ac:dyDescent="0.25">
      <c r="A2572" s="3" t="s">
        <v>3225</v>
      </c>
      <c r="B2572" s="3" t="s">
        <v>5831</v>
      </c>
      <c r="C2572" s="3" t="s">
        <v>976</v>
      </c>
      <c r="D2572" s="9">
        <v>31.5</v>
      </c>
      <c r="E2572" s="3" t="s">
        <v>139</v>
      </c>
      <c r="F2572" s="3" t="s">
        <v>3203</v>
      </c>
      <c r="G2572" s="9">
        <v>269.92</v>
      </c>
      <c r="H2572" s="10">
        <v>45664.76357638889</v>
      </c>
      <c r="I2572" s="10">
        <v>45664.76357638889</v>
      </c>
      <c r="J2572" s="10">
        <v>45664.764780092592</v>
      </c>
      <c r="K2572" s="11">
        <v>1.203703703703704E-3</v>
      </c>
      <c r="L2572" s="13"/>
    </row>
    <row r="2573" spans="1:12" x14ac:dyDescent="0.25">
      <c r="A2573" s="3" t="s">
        <v>3225</v>
      </c>
      <c r="B2573" s="3" t="s">
        <v>5832</v>
      </c>
      <c r="C2573" s="3" t="s">
        <v>978</v>
      </c>
      <c r="D2573" s="9">
        <v>212</v>
      </c>
      <c r="E2573" s="3" t="s">
        <v>142</v>
      </c>
      <c r="F2573" s="3" t="s">
        <v>3206</v>
      </c>
      <c r="G2573" s="9">
        <v>371.57</v>
      </c>
      <c r="H2573" s="10">
        <v>45664.765543981477</v>
      </c>
      <c r="I2573" s="10">
        <v>45664.765543981477</v>
      </c>
      <c r="J2573" s="10">
        <v>45664.767581018517</v>
      </c>
      <c r="K2573" s="11">
        <v>2.0370370370370369E-3</v>
      </c>
      <c r="L2573" s="13"/>
    </row>
    <row r="2574" spans="1:12" x14ac:dyDescent="0.25">
      <c r="A2574" s="3" t="s">
        <v>3225</v>
      </c>
      <c r="B2574" s="3" t="s">
        <v>5833</v>
      </c>
      <c r="C2574" s="3" t="s">
        <v>980</v>
      </c>
      <c r="D2574" s="9">
        <v>389.1</v>
      </c>
      <c r="E2574" s="3" t="s">
        <v>139</v>
      </c>
      <c r="F2574" s="3" t="s">
        <v>3193</v>
      </c>
      <c r="G2574" s="9">
        <v>297.43</v>
      </c>
      <c r="H2574" s="10">
        <v>45664.884432870371</v>
      </c>
      <c r="I2574" s="10">
        <v>45664.884432870371</v>
      </c>
      <c r="J2574" s="10">
        <v>45664.886574074073</v>
      </c>
      <c r="K2574" s="11">
        <v>2.1412037037037042E-3</v>
      </c>
      <c r="L2574" s="13"/>
    </row>
    <row r="2575" spans="1:12" x14ac:dyDescent="0.25">
      <c r="A2575" s="3" t="s">
        <v>3225</v>
      </c>
      <c r="B2575" s="3" t="s">
        <v>5834</v>
      </c>
      <c r="C2575" s="3" t="s">
        <v>983</v>
      </c>
      <c r="D2575" s="9">
        <v>31.5</v>
      </c>
      <c r="E2575" s="3" t="s">
        <v>139</v>
      </c>
      <c r="F2575" s="3" t="s">
        <v>3204</v>
      </c>
      <c r="G2575" s="9">
        <v>477.75</v>
      </c>
      <c r="H2575" s="10">
        <v>45665.127013888887</v>
      </c>
      <c r="I2575" s="10">
        <v>45665.127013888887</v>
      </c>
      <c r="J2575" s="10">
        <v>45665.129074074073</v>
      </c>
      <c r="K2575" s="11">
        <v>2.0601851851851849E-3</v>
      </c>
      <c r="L2575" s="13"/>
    </row>
    <row r="2576" spans="1:12" x14ac:dyDescent="0.25">
      <c r="A2576" s="3" t="s">
        <v>3225</v>
      </c>
      <c r="B2576" s="3" t="s">
        <v>5835</v>
      </c>
      <c r="C2576" s="3" t="s">
        <v>985</v>
      </c>
      <c r="D2576" s="9">
        <v>31.9</v>
      </c>
      <c r="E2576" s="3" t="s">
        <v>139</v>
      </c>
      <c r="F2576" s="3" t="s">
        <v>3199</v>
      </c>
      <c r="G2576" s="9">
        <v>450.42</v>
      </c>
      <c r="H2576" s="10">
        <v>45665.129074074073</v>
      </c>
      <c r="I2576" s="10">
        <v>45665.129074074073</v>
      </c>
      <c r="J2576" s="10">
        <v>45665.131030092591</v>
      </c>
      <c r="K2576" s="11">
        <v>1.956018518518518E-3</v>
      </c>
      <c r="L2576" s="13"/>
    </row>
    <row r="2577" spans="1:12" x14ac:dyDescent="0.25">
      <c r="A2577" s="3" t="s">
        <v>3225</v>
      </c>
      <c r="B2577" s="3" t="s">
        <v>5836</v>
      </c>
      <c r="C2577" s="3" t="s">
        <v>987</v>
      </c>
      <c r="D2577" s="9">
        <v>31.5</v>
      </c>
      <c r="E2577" s="3" t="s">
        <v>139</v>
      </c>
      <c r="F2577" s="3" t="s">
        <v>3204</v>
      </c>
      <c r="G2577" s="9">
        <v>477.75</v>
      </c>
      <c r="H2577" s="10">
        <v>45665.131030092591</v>
      </c>
      <c r="I2577" s="10">
        <v>45665.131030092591</v>
      </c>
      <c r="J2577" s="10">
        <v>45665.133090277777</v>
      </c>
      <c r="K2577" s="11">
        <v>2.0601851851851849E-3</v>
      </c>
      <c r="L2577" s="13"/>
    </row>
    <row r="2578" spans="1:12" x14ac:dyDescent="0.25">
      <c r="A2578" s="3" t="s">
        <v>3225</v>
      </c>
      <c r="B2578" s="3" t="s">
        <v>5837</v>
      </c>
      <c r="C2578" s="3" t="s">
        <v>989</v>
      </c>
      <c r="D2578" s="9">
        <v>166.9</v>
      </c>
      <c r="E2578" s="3" t="s">
        <v>139</v>
      </c>
      <c r="F2578" s="3" t="s">
        <v>3193</v>
      </c>
      <c r="G2578" s="9">
        <v>297.43</v>
      </c>
      <c r="H2578" s="10">
        <v>45665.133090277777</v>
      </c>
      <c r="I2578" s="10">
        <v>45665.133090277777</v>
      </c>
      <c r="J2578" s="10">
        <v>45665.134710648148</v>
      </c>
      <c r="K2578" s="11">
        <v>1.6203703703703701E-3</v>
      </c>
      <c r="L2578" s="13"/>
    </row>
    <row r="2579" spans="1:12" x14ac:dyDescent="0.25">
      <c r="A2579" s="3" t="s">
        <v>3225</v>
      </c>
      <c r="B2579" s="3" t="s">
        <v>5838</v>
      </c>
      <c r="C2579" s="3" t="s">
        <v>992</v>
      </c>
      <c r="D2579" s="9">
        <v>51.4</v>
      </c>
      <c r="E2579" s="3" t="s">
        <v>139</v>
      </c>
      <c r="F2579" s="3" t="s">
        <v>3201</v>
      </c>
      <c r="G2579" s="9">
        <v>412.05</v>
      </c>
      <c r="H2579" s="10">
        <v>45665.134710648148</v>
      </c>
      <c r="I2579" s="10">
        <v>45665.134710648148</v>
      </c>
      <c r="J2579" s="10">
        <v>45665.136550925927</v>
      </c>
      <c r="K2579" s="11">
        <v>1.8402777777777779E-3</v>
      </c>
      <c r="L2579" s="13"/>
    </row>
    <row r="2580" spans="1:12" x14ac:dyDescent="0.25">
      <c r="A2580" s="3" t="s">
        <v>3225</v>
      </c>
      <c r="B2580" s="3" t="s">
        <v>5839</v>
      </c>
      <c r="C2580" s="3" t="s">
        <v>994</v>
      </c>
      <c r="D2580" s="9">
        <v>12</v>
      </c>
      <c r="E2580" s="3" t="s">
        <v>139</v>
      </c>
      <c r="F2580" s="3" t="s">
        <v>3193</v>
      </c>
      <c r="G2580" s="9">
        <v>297.43</v>
      </c>
      <c r="H2580" s="10">
        <v>45665.136550925927</v>
      </c>
      <c r="I2580" s="10">
        <v>45665.136550925927</v>
      </c>
      <c r="J2580" s="10">
        <v>45665.137812499997</v>
      </c>
      <c r="K2580" s="11">
        <v>1.261574074074074E-3</v>
      </c>
      <c r="L2580" s="13"/>
    </row>
    <row r="2581" spans="1:12" x14ac:dyDescent="0.25">
      <c r="A2581" s="3" t="s">
        <v>3225</v>
      </c>
      <c r="B2581" s="3" t="s">
        <v>5840</v>
      </c>
      <c r="C2581" s="3" t="s">
        <v>997</v>
      </c>
      <c r="D2581" s="9">
        <v>514.29999999999995</v>
      </c>
      <c r="E2581" s="3" t="s">
        <v>139</v>
      </c>
      <c r="F2581" s="3" t="s">
        <v>3202</v>
      </c>
      <c r="G2581" s="9">
        <v>324.35000000000002</v>
      </c>
      <c r="H2581" s="10">
        <v>45665.167430555557</v>
      </c>
      <c r="I2581" s="10">
        <v>45665.167430555557</v>
      </c>
      <c r="J2581" s="10">
        <v>45665.169965277782</v>
      </c>
      <c r="K2581" s="11">
        <v>2.5347222222222221E-3</v>
      </c>
      <c r="L2581" s="13"/>
    </row>
    <row r="2582" spans="1:12" x14ac:dyDescent="0.25">
      <c r="A2582" s="3" t="s">
        <v>3225</v>
      </c>
      <c r="B2582" s="3" t="s">
        <v>5841</v>
      </c>
      <c r="C2582" s="3" t="s">
        <v>999</v>
      </c>
      <c r="D2582" s="9">
        <v>297</v>
      </c>
      <c r="E2582" s="3" t="s">
        <v>139</v>
      </c>
      <c r="F2582" s="3" t="s">
        <v>3193</v>
      </c>
      <c r="G2582" s="9">
        <v>297.43</v>
      </c>
      <c r="H2582" s="10">
        <v>45665.258923611109</v>
      </c>
      <c r="I2582" s="10">
        <v>45665.258923611109</v>
      </c>
      <c r="J2582" s="10">
        <v>45665.260844907411</v>
      </c>
      <c r="K2582" s="11">
        <v>1.9212962962962959E-3</v>
      </c>
      <c r="L2582" s="13"/>
    </row>
    <row r="2583" spans="1:12" x14ac:dyDescent="0.25">
      <c r="A2583" s="3" t="s">
        <v>3225</v>
      </c>
      <c r="B2583" s="3" t="s">
        <v>5842</v>
      </c>
      <c r="C2583" s="3" t="s">
        <v>1040</v>
      </c>
      <c r="D2583" s="9">
        <v>156.69999999999999</v>
      </c>
      <c r="E2583" s="3" t="s">
        <v>139</v>
      </c>
      <c r="F2583" s="3" t="s">
        <v>3202</v>
      </c>
      <c r="G2583" s="9">
        <v>324.35000000000002</v>
      </c>
      <c r="H2583" s="10">
        <v>45665.312407407408</v>
      </c>
      <c r="I2583" s="10">
        <v>45665.312407407408</v>
      </c>
      <c r="J2583" s="10">
        <v>45665.314131944448</v>
      </c>
      <c r="K2583" s="11">
        <v>1.724537037037037E-3</v>
      </c>
      <c r="L2583" s="13"/>
    </row>
    <row r="2584" spans="1:12" x14ac:dyDescent="0.25">
      <c r="A2584" s="3" t="s">
        <v>3225</v>
      </c>
      <c r="B2584" s="3" t="s">
        <v>5843</v>
      </c>
      <c r="C2584" s="3" t="s">
        <v>1001</v>
      </c>
      <c r="D2584" s="9">
        <v>23.2</v>
      </c>
      <c r="E2584" s="3" t="s">
        <v>142</v>
      </c>
      <c r="F2584" s="3" t="s">
        <v>3199</v>
      </c>
      <c r="G2584" s="9">
        <v>443.59</v>
      </c>
      <c r="H2584" s="10">
        <v>45665.329502314817</v>
      </c>
      <c r="I2584" s="10">
        <v>45665.329502314817</v>
      </c>
      <c r="J2584" s="10">
        <v>45665.331412037027</v>
      </c>
      <c r="K2584" s="11">
        <v>1.9097222222222219E-3</v>
      </c>
      <c r="L2584" s="13"/>
    </row>
    <row r="2585" spans="1:12" x14ac:dyDescent="0.25">
      <c r="A2585" s="3" t="s">
        <v>3225</v>
      </c>
      <c r="B2585" s="3" t="s">
        <v>5844</v>
      </c>
      <c r="C2585" s="3" t="s">
        <v>1004</v>
      </c>
      <c r="D2585" s="9">
        <v>19.899999999999999</v>
      </c>
      <c r="E2585" s="3" t="s">
        <v>142</v>
      </c>
      <c r="F2585" s="3" t="s">
        <v>3194</v>
      </c>
      <c r="G2585" s="9">
        <v>453.13</v>
      </c>
      <c r="H2585" s="10">
        <v>45665.331412037027</v>
      </c>
      <c r="I2585" s="10">
        <v>45665.331412037027</v>
      </c>
      <c r="J2585" s="10">
        <v>45665.333344907413</v>
      </c>
      <c r="K2585" s="11">
        <v>1.93287037037037E-3</v>
      </c>
      <c r="L2585" s="13"/>
    </row>
    <row r="2586" spans="1:12" x14ac:dyDescent="0.25">
      <c r="A2586" s="3" t="s">
        <v>3225</v>
      </c>
      <c r="B2586" s="3" t="s">
        <v>5845</v>
      </c>
      <c r="C2586" s="3" t="s">
        <v>1006</v>
      </c>
      <c r="D2586" s="9">
        <v>15.7</v>
      </c>
      <c r="E2586" s="3" t="s">
        <v>142</v>
      </c>
      <c r="F2586" s="3" t="s">
        <v>3199</v>
      </c>
      <c r="G2586" s="9">
        <v>443.59</v>
      </c>
      <c r="H2586" s="10">
        <v>45665.333344907413</v>
      </c>
      <c r="I2586" s="10">
        <v>45665.333344907413</v>
      </c>
      <c r="J2586" s="10">
        <v>45665.335219907407</v>
      </c>
      <c r="K2586" s="11">
        <v>1.8749999999999999E-3</v>
      </c>
      <c r="L2586" s="13"/>
    </row>
    <row r="2587" spans="1:12" x14ac:dyDescent="0.25">
      <c r="A2587" s="3" t="s">
        <v>3225</v>
      </c>
      <c r="B2587" s="3" t="s">
        <v>5846</v>
      </c>
      <c r="C2587" s="3" t="s">
        <v>1008</v>
      </c>
      <c r="D2587" s="9">
        <v>60.8</v>
      </c>
      <c r="E2587" s="3" t="s">
        <v>142</v>
      </c>
      <c r="F2587" s="3" t="s">
        <v>3204</v>
      </c>
      <c r="G2587" s="9">
        <v>470.92</v>
      </c>
      <c r="H2587" s="10">
        <v>45665.335219907407</v>
      </c>
      <c r="I2587" s="10">
        <v>45665.335219907407</v>
      </c>
      <c r="J2587" s="10">
        <v>45665.337326388893</v>
      </c>
      <c r="K2587" s="11">
        <v>2.1064814814814809E-3</v>
      </c>
      <c r="L2587" s="13"/>
    </row>
    <row r="2588" spans="1:12" x14ac:dyDescent="0.25">
      <c r="A2588" s="3" t="s">
        <v>3225</v>
      </c>
      <c r="B2588" s="3" t="s">
        <v>5847</v>
      </c>
      <c r="C2588" s="3" t="s">
        <v>1011</v>
      </c>
      <c r="D2588" s="9">
        <v>19.899999999999999</v>
      </c>
      <c r="E2588" s="3" t="s">
        <v>142</v>
      </c>
      <c r="F2588" s="3" t="s">
        <v>3195</v>
      </c>
      <c r="G2588" s="9">
        <v>398.6</v>
      </c>
      <c r="H2588" s="10">
        <v>45665.337326388893</v>
      </c>
      <c r="I2588" s="10">
        <v>45665.337326388893</v>
      </c>
      <c r="J2588" s="10">
        <v>45665.339039351849</v>
      </c>
      <c r="K2588" s="11">
        <v>1.712962962962963E-3</v>
      </c>
      <c r="L2588" s="13"/>
    </row>
    <row r="2589" spans="1:12" x14ac:dyDescent="0.25">
      <c r="A2589" s="3" t="s">
        <v>3225</v>
      </c>
      <c r="B2589" s="3" t="s">
        <v>5848</v>
      </c>
      <c r="C2589" s="3" t="s">
        <v>1014</v>
      </c>
      <c r="D2589" s="9">
        <v>12</v>
      </c>
      <c r="E2589" s="3" t="s">
        <v>142</v>
      </c>
      <c r="F2589" s="3" t="s">
        <v>3193</v>
      </c>
      <c r="G2589" s="9">
        <v>290.60000000000002</v>
      </c>
      <c r="H2589" s="10">
        <v>45665.339039351849</v>
      </c>
      <c r="I2589" s="10">
        <v>45665.339039351849</v>
      </c>
      <c r="J2589" s="10">
        <v>45665.340277777781</v>
      </c>
      <c r="K2589" s="11">
        <v>1.238425925925926E-3</v>
      </c>
      <c r="L2589" s="13"/>
    </row>
    <row r="2590" spans="1:12" x14ac:dyDescent="0.25">
      <c r="A2590" s="3" t="s">
        <v>3225</v>
      </c>
      <c r="B2590" s="3" t="s">
        <v>5849</v>
      </c>
      <c r="C2590" s="3" t="s">
        <v>1017</v>
      </c>
      <c r="D2590" s="9">
        <v>51.4</v>
      </c>
      <c r="E2590" s="3" t="s">
        <v>142</v>
      </c>
      <c r="F2590" s="3" t="s">
        <v>3203</v>
      </c>
      <c r="G2590" s="9">
        <v>263.08999999999997</v>
      </c>
      <c r="H2590" s="10">
        <v>45665.340277777781</v>
      </c>
      <c r="I2590" s="10">
        <v>45665.340277777781</v>
      </c>
      <c r="J2590" s="10">
        <v>45665.341493055559</v>
      </c>
      <c r="K2590" s="11">
        <v>1.215277777777778E-3</v>
      </c>
      <c r="L2590" s="13"/>
    </row>
    <row r="2591" spans="1:12" x14ac:dyDescent="0.25">
      <c r="A2591" s="3" t="s">
        <v>3225</v>
      </c>
      <c r="B2591" s="3" t="s">
        <v>5850</v>
      </c>
      <c r="C2591" s="3" t="s">
        <v>1019</v>
      </c>
      <c r="D2591" s="9">
        <v>15.7</v>
      </c>
      <c r="E2591" s="3" t="s">
        <v>142</v>
      </c>
      <c r="F2591" s="3" t="s">
        <v>3201</v>
      </c>
      <c r="G2591" s="9">
        <v>405.22</v>
      </c>
      <c r="H2591" s="10">
        <v>45665.341493055559</v>
      </c>
      <c r="I2591" s="10">
        <v>45665.341493055559</v>
      </c>
      <c r="J2591" s="10">
        <v>45665.343217592592</v>
      </c>
      <c r="K2591" s="11">
        <v>1.724537037037037E-3</v>
      </c>
      <c r="L2591" s="13"/>
    </row>
    <row r="2592" spans="1:12" x14ac:dyDescent="0.25">
      <c r="A2592" s="3" t="s">
        <v>3225</v>
      </c>
      <c r="B2592" s="3" t="s">
        <v>5851</v>
      </c>
      <c r="C2592" s="3" t="s">
        <v>1022</v>
      </c>
      <c r="D2592" s="9">
        <v>108</v>
      </c>
      <c r="E2592" s="3" t="s">
        <v>142</v>
      </c>
      <c r="F2592" s="3" t="s">
        <v>3197</v>
      </c>
      <c r="G2592" s="9">
        <v>453.13</v>
      </c>
      <c r="H2592" s="10">
        <v>45665.343217592592</v>
      </c>
      <c r="I2592" s="10">
        <v>45665.343217592592</v>
      </c>
      <c r="J2592" s="10">
        <v>45665.345347222217</v>
      </c>
      <c r="K2592" s="11">
        <v>2.1296296296296302E-3</v>
      </c>
      <c r="L2592" s="13"/>
    </row>
    <row r="2593" spans="1:12" x14ac:dyDescent="0.25">
      <c r="A2593" s="3" t="s">
        <v>3225</v>
      </c>
      <c r="B2593" s="3" t="s">
        <v>5852</v>
      </c>
      <c r="C2593" s="3" t="s">
        <v>1025</v>
      </c>
      <c r="D2593" s="9">
        <v>15.7</v>
      </c>
      <c r="E2593" s="3" t="s">
        <v>142</v>
      </c>
      <c r="F2593" s="3" t="s">
        <v>3204</v>
      </c>
      <c r="G2593" s="9">
        <v>470.92</v>
      </c>
      <c r="H2593" s="10">
        <v>45665.345347222217</v>
      </c>
      <c r="I2593" s="10">
        <v>45665.345347222217</v>
      </c>
      <c r="J2593" s="10">
        <v>45665.347349537027</v>
      </c>
      <c r="K2593" s="11">
        <v>2.0023148148148148E-3</v>
      </c>
      <c r="L2593" s="13"/>
    </row>
    <row r="2594" spans="1:12" x14ac:dyDescent="0.25">
      <c r="A2594" s="3" t="s">
        <v>3225</v>
      </c>
      <c r="B2594" s="3" t="s">
        <v>5853</v>
      </c>
      <c r="C2594" s="3" t="s">
        <v>1027</v>
      </c>
      <c r="D2594" s="9">
        <v>94.4</v>
      </c>
      <c r="E2594" s="3" t="s">
        <v>142</v>
      </c>
      <c r="F2594" s="3" t="s">
        <v>3203</v>
      </c>
      <c r="G2594" s="9">
        <v>263.08999999999997</v>
      </c>
      <c r="H2594" s="10">
        <v>45665.347349537027</v>
      </c>
      <c r="I2594" s="10">
        <v>45665.347349537027</v>
      </c>
      <c r="J2594" s="10">
        <v>45665.348668981482</v>
      </c>
      <c r="K2594" s="11">
        <v>1.3194444444444441E-3</v>
      </c>
      <c r="L2594" s="13"/>
    </row>
    <row r="2595" spans="1:12" x14ac:dyDescent="0.25">
      <c r="A2595" s="3" t="s">
        <v>3225</v>
      </c>
      <c r="B2595" s="3" t="s">
        <v>5854</v>
      </c>
      <c r="C2595" s="3" t="s">
        <v>1030</v>
      </c>
      <c r="D2595" s="9">
        <v>85.5</v>
      </c>
      <c r="E2595" s="3" t="s">
        <v>142</v>
      </c>
      <c r="F2595" s="3" t="s">
        <v>3199</v>
      </c>
      <c r="G2595" s="9">
        <v>443.59</v>
      </c>
      <c r="H2595" s="10">
        <v>45665.348668981482</v>
      </c>
      <c r="I2595" s="10">
        <v>45665.348668981482</v>
      </c>
      <c r="J2595" s="10">
        <v>45665.350706018522</v>
      </c>
      <c r="K2595" s="11">
        <v>2.0370370370370369E-3</v>
      </c>
      <c r="L2595" s="13"/>
    </row>
    <row r="2596" spans="1:12" x14ac:dyDescent="0.25">
      <c r="A2596" s="3" t="s">
        <v>3225</v>
      </c>
      <c r="B2596" s="3" t="s">
        <v>5855</v>
      </c>
      <c r="C2596" s="3" t="s">
        <v>1032</v>
      </c>
      <c r="D2596" s="9">
        <v>15.7</v>
      </c>
      <c r="E2596" s="3" t="s">
        <v>142</v>
      </c>
      <c r="F2596" s="3" t="s">
        <v>3206</v>
      </c>
      <c r="G2596" s="9">
        <v>371.57</v>
      </c>
      <c r="H2596" s="10">
        <v>45665.350706018522</v>
      </c>
      <c r="I2596" s="10">
        <v>45665.350706018522</v>
      </c>
      <c r="J2596" s="10">
        <v>45665.35229166667</v>
      </c>
      <c r="K2596" s="11">
        <v>1.5856481481481481E-3</v>
      </c>
      <c r="L2596" s="13"/>
    </row>
    <row r="2597" spans="1:12" x14ac:dyDescent="0.25">
      <c r="A2597" s="3" t="s">
        <v>3225</v>
      </c>
      <c r="B2597" s="3" t="s">
        <v>5856</v>
      </c>
      <c r="C2597" s="3" t="s">
        <v>1036</v>
      </c>
      <c r="D2597" s="9">
        <v>19.899999999999999</v>
      </c>
      <c r="E2597" s="3" t="s">
        <v>142</v>
      </c>
      <c r="F2597" s="3" t="s">
        <v>3195</v>
      </c>
      <c r="G2597" s="9">
        <v>398.6</v>
      </c>
      <c r="H2597" s="10">
        <v>45665.35229166667</v>
      </c>
      <c r="I2597" s="10">
        <v>45665.35229166667</v>
      </c>
      <c r="J2597" s="10">
        <v>45665.354004629633</v>
      </c>
      <c r="K2597" s="11">
        <v>1.712962962962963E-3</v>
      </c>
      <c r="L2597" s="13"/>
    </row>
    <row r="2598" spans="1:12" x14ac:dyDescent="0.25">
      <c r="A2598" s="3" t="s">
        <v>3225</v>
      </c>
      <c r="B2598" s="3" t="s">
        <v>5857</v>
      </c>
      <c r="C2598" s="3" t="s">
        <v>1038</v>
      </c>
      <c r="D2598" s="9">
        <v>14</v>
      </c>
      <c r="E2598" s="3" t="s">
        <v>142</v>
      </c>
      <c r="F2598" s="3" t="s">
        <v>3198</v>
      </c>
      <c r="G2598" s="9">
        <v>344.04</v>
      </c>
      <c r="H2598" s="10">
        <v>45665.354004629633</v>
      </c>
      <c r="I2598" s="10">
        <v>45665.354004629633</v>
      </c>
      <c r="J2598" s="10">
        <v>45665.355462962973</v>
      </c>
      <c r="K2598" s="11">
        <v>1.458333333333333E-3</v>
      </c>
      <c r="L2598" s="13"/>
    </row>
    <row r="2599" spans="1:12" x14ac:dyDescent="0.25">
      <c r="A2599" s="3" t="s">
        <v>3225</v>
      </c>
      <c r="B2599" s="3" t="s">
        <v>5858</v>
      </c>
      <c r="C2599" s="3" t="s">
        <v>1043</v>
      </c>
      <c r="D2599" s="9">
        <v>389.8</v>
      </c>
      <c r="E2599" s="3" t="s">
        <v>139</v>
      </c>
      <c r="F2599" s="3" t="s">
        <v>3193</v>
      </c>
      <c r="G2599" s="9">
        <v>297.43</v>
      </c>
      <c r="H2599" s="10">
        <v>45665.35633101852</v>
      </c>
      <c r="I2599" s="10">
        <v>45665.35633101852</v>
      </c>
      <c r="J2599" s="10">
        <v>45665.358483796299</v>
      </c>
      <c r="K2599" s="11">
        <v>2.1527777777777782E-3</v>
      </c>
      <c r="L2599" s="13"/>
    </row>
    <row r="2600" spans="1:12" x14ac:dyDescent="0.25">
      <c r="A2600" s="3" t="s">
        <v>3225</v>
      </c>
      <c r="B2600" s="3" t="s">
        <v>5859</v>
      </c>
      <c r="C2600" s="3" t="s">
        <v>1045</v>
      </c>
      <c r="D2600" s="9">
        <v>114.8</v>
      </c>
      <c r="E2600" s="3" t="s">
        <v>139</v>
      </c>
      <c r="F2600" s="3" t="s">
        <v>3203</v>
      </c>
      <c r="G2600" s="9">
        <v>269.92</v>
      </c>
      <c r="H2600" s="10">
        <v>45665.383125</v>
      </c>
      <c r="I2600" s="10">
        <v>45665.383125</v>
      </c>
      <c r="J2600" s="10">
        <v>45665.384513888886</v>
      </c>
      <c r="K2600" s="11">
        <v>1.3888888888888889E-3</v>
      </c>
      <c r="L2600" s="13"/>
    </row>
    <row r="2601" spans="1:12" x14ac:dyDescent="0.25">
      <c r="A2601" s="3" t="s">
        <v>3225</v>
      </c>
      <c r="B2601" s="3" t="s">
        <v>5860</v>
      </c>
      <c r="C2601" s="3" t="s">
        <v>1047</v>
      </c>
      <c r="D2601" s="9">
        <v>120.4</v>
      </c>
      <c r="E2601" s="3" t="s">
        <v>139</v>
      </c>
      <c r="F2601" s="3" t="s">
        <v>3197</v>
      </c>
      <c r="G2601" s="9">
        <v>459.96</v>
      </c>
      <c r="H2601" s="10">
        <v>45665.384513888886</v>
      </c>
      <c r="I2601" s="10">
        <v>45665.384513888886</v>
      </c>
      <c r="J2601" s="10">
        <v>45665.386712962973</v>
      </c>
      <c r="K2601" s="11">
        <v>2.1990740740740742E-3</v>
      </c>
      <c r="L2601" s="13"/>
    </row>
    <row r="2602" spans="1:12" x14ac:dyDescent="0.25">
      <c r="A2602" s="3" t="s">
        <v>3225</v>
      </c>
      <c r="B2602" s="3" t="s">
        <v>5861</v>
      </c>
      <c r="C2602" s="3" t="s">
        <v>1050</v>
      </c>
      <c r="D2602" s="9">
        <v>124.9</v>
      </c>
      <c r="E2602" s="3" t="s">
        <v>139</v>
      </c>
      <c r="F2602" s="3" t="s">
        <v>3203</v>
      </c>
      <c r="G2602" s="9">
        <v>269.92</v>
      </c>
      <c r="H2602" s="10">
        <v>45665.437858796293</v>
      </c>
      <c r="I2602" s="10">
        <v>45665.437858796293</v>
      </c>
      <c r="J2602" s="10">
        <v>45665.439282407409</v>
      </c>
      <c r="K2602" s="11">
        <v>1.423611111111111E-3</v>
      </c>
      <c r="L2602" s="13"/>
    </row>
    <row r="2603" spans="1:12" x14ac:dyDescent="0.25">
      <c r="A2603" s="3" t="s">
        <v>3225</v>
      </c>
      <c r="B2603" s="3" t="s">
        <v>5862</v>
      </c>
      <c r="C2603" s="3" t="s">
        <v>1053</v>
      </c>
      <c r="D2603" s="9">
        <v>21</v>
      </c>
      <c r="E2603" s="3" t="s">
        <v>139</v>
      </c>
      <c r="F2603" s="3" t="s">
        <v>3199</v>
      </c>
      <c r="G2603" s="9">
        <v>450.42</v>
      </c>
      <c r="H2603" s="10">
        <v>45665.439282407409</v>
      </c>
      <c r="I2603" s="10">
        <v>45665.439282407409</v>
      </c>
      <c r="J2603" s="10">
        <v>45665.441203703696</v>
      </c>
      <c r="K2603" s="11">
        <v>1.9212962962962959E-3</v>
      </c>
      <c r="L2603" s="13"/>
    </row>
    <row r="2604" spans="1:12" x14ac:dyDescent="0.25">
      <c r="A2604" s="3" t="s">
        <v>3225</v>
      </c>
      <c r="B2604" s="3" t="s">
        <v>5863</v>
      </c>
      <c r="C2604" s="3" t="s">
        <v>1056</v>
      </c>
      <c r="D2604" s="9">
        <v>297.3</v>
      </c>
      <c r="E2604" s="3" t="s">
        <v>139</v>
      </c>
      <c r="F2604" s="3" t="s">
        <v>3193</v>
      </c>
      <c r="G2604" s="9">
        <v>297.43</v>
      </c>
      <c r="H2604" s="10">
        <v>45665.441203703696</v>
      </c>
      <c r="I2604" s="10">
        <v>45665.441203703696</v>
      </c>
      <c r="J2604" s="10">
        <v>45665.443124999998</v>
      </c>
      <c r="K2604" s="11">
        <v>1.9212962962962959E-3</v>
      </c>
      <c r="L2604" s="13"/>
    </row>
    <row r="2605" spans="1:12" x14ac:dyDescent="0.25">
      <c r="A2605" s="3" t="s">
        <v>3225</v>
      </c>
      <c r="B2605" s="3" t="s">
        <v>5864</v>
      </c>
      <c r="C2605" s="3" t="s">
        <v>1059</v>
      </c>
      <c r="D2605" s="9">
        <v>296.8</v>
      </c>
      <c r="E2605" s="3" t="s">
        <v>139</v>
      </c>
      <c r="F2605" s="3" t="s">
        <v>3203</v>
      </c>
      <c r="G2605" s="9">
        <v>269.92</v>
      </c>
      <c r="H2605" s="10">
        <v>45665.540682870371</v>
      </c>
      <c r="I2605" s="10">
        <v>45665.540682870371</v>
      </c>
      <c r="J2605" s="10">
        <v>45665.542500000003</v>
      </c>
      <c r="K2605" s="11">
        <v>1.8171296296296299E-3</v>
      </c>
      <c r="L2605" s="13"/>
    </row>
    <row r="2606" spans="1:12" x14ac:dyDescent="0.25">
      <c r="A2606" s="3" t="s">
        <v>3225</v>
      </c>
      <c r="B2606" s="3" t="s">
        <v>5865</v>
      </c>
      <c r="C2606" s="3" t="s">
        <v>1062</v>
      </c>
      <c r="D2606" s="9">
        <v>365.8</v>
      </c>
      <c r="E2606" s="3" t="s">
        <v>139</v>
      </c>
      <c r="F2606" s="3" t="s">
        <v>3203</v>
      </c>
      <c r="G2606" s="9">
        <v>269.92</v>
      </c>
      <c r="H2606" s="10">
        <v>45665.610671296286</v>
      </c>
      <c r="I2606" s="10">
        <v>45665.610671296286</v>
      </c>
      <c r="J2606" s="10">
        <v>45665.612638888888</v>
      </c>
      <c r="K2606" s="11">
        <v>1.967592592592592E-3</v>
      </c>
      <c r="L2606" s="13"/>
    </row>
    <row r="2607" spans="1:12" x14ac:dyDescent="0.25">
      <c r="A2607" s="3" t="s">
        <v>3225</v>
      </c>
      <c r="B2607" s="3" t="s">
        <v>5866</v>
      </c>
      <c r="C2607" s="3" t="s">
        <v>1065</v>
      </c>
      <c r="D2607" s="9">
        <v>39.799999999999997</v>
      </c>
      <c r="E2607" s="3" t="s">
        <v>139</v>
      </c>
      <c r="F2607" s="3" t="s">
        <v>3194</v>
      </c>
      <c r="G2607" s="9">
        <v>459.96</v>
      </c>
      <c r="H2607" s="10">
        <v>45665.640694444453</v>
      </c>
      <c r="I2607" s="10">
        <v>45665.640694444453</v>
      </c>
      <c r="J2607" s="10">
        <v>45665.642708333333</v>
      </c>
      <c r="K2607" s="11">
        <v>2.0138888888888888E-3</v>
      </c>
      <c r="L2607" s="13"/>
    </row>
    <row r="2608" spans="1:12" x14ac:dyDescent="0.25">
      <c r="A2608" s="3" t="s">
        <v>3225</v>
      </c>
      <c r="B2608" s="3" t="s">
        <v>5867</v>
      </c>
      <c r="C2608" s="3" t="s">
        <v>1067</v>
      </c>
      <c r="D2608" s="9">
        <v>15.7</v>
      </c>
      <c r="E2608" s="3" t="s">
        <v>139</v>
      </c>
      <c r="F2608" s="3" t="s">
        <v>3206</v>
      </c>
      <c r="G2608" s="9">
        <v>378.4</v>
      </c>
      <c r="H2608" s="10">
        <v>45665.642708333333</v>
      </c>
      <c r="I2608" s="10">
        <v>45665.642708333333</v>
      </c>
      <c r="J2608" s="10">
        <v>45665.644317129627</v>
      </c>
      <c r="K2608" s="11">
        <v>1.6087962962962961E-3</v>
      </c>
      <c r="L2608" s="13"/>
    </row>
    <row r="2609" spans="1:12" x14ac:dyDescent="0.25">
      <c r="A2609" s="3" t="s">
        <v>3225</v>
      </c>
      <c r="B2609" s="3" t="s">
        <v>5868</v>
      </c>
      <c r="C2609" s="3" t="s">
        <v>1069</v>
      </c>
      <c r="D2609" s="9">
        <v>27</v>
      </c>
      <c r="E2609" s="3" t="s">
        <v>139</v>
      </c>
      <c r="F2609" s="3" t="s">
        <v>3193</v>
      </c>
      <c r="G2609" s="9">
        <v>297.43</v>
      </c>
      <c r="H2609" s="10">
        <v>45665.644317129627</v>
      </c>
      <c r="I2609" s="10">
        <v>45665.644317129627</v>
      </c>
      <c r="J2609" s="10">
        <v>45665.645624999997</v>
      </c>
      <c r="K2609" s="11">
        <v>1.30787037037037E-3</v>
      </c>
      <c r="L2609" s="13"/>
    </row>
    <row r="2610" spans="1:12" x14ac:dyDescent="0.25">
      <c r="A2610" s="3" t="s">
        <v>3225</v>
      </c>
      <c r="B2610" s="3" t="s">
        <v>5869</v>
      </c>
      <c r="C2610" s="3" t="s">
        <v>1072</v>
      </c>
      <c r="D2610" s="9">
        <v>15.7</v>
      </c>
      <c r="E2610" s="3" t="s">
        <v>139</v>
      </c>
      <c r="F2610" s="3" t="s">
        <v>3197</v>
      </c>
      <c r="G2610" s="9">
        <v>459.96</v>
      </c>
      <c r="H2610" s="10">
        <v>45665.645624999997</v>
      </c>
      <c r="I2610" s="10">
        <v>45665.645624999997</v>
      </c>
      <c r="J2610" s="10">
        <v>45665.647569444453</v>
      </c>
      <c r="K2610" s="11">
        <v>1.944444444444444E-3</v>
      </c>
      <c r="L2610" s="13"/>
    </row>
    <row r="2611" spans="1:12" x14ac:dyDescent="0.25">
      <c r="A2611" s="3" t="s">
        <v>3225</v>
      </c>
      <c r="B2611" s="3" t="s">
        <v>5870</v>
      </c>
      <c r="C2611" s="3" t="s">
        <v>1075</v>
      </c>
      <c r="D2611" s="9">
        <v>15.7</v>
      </c>
      <c r="E2611" s="3" t="s">
        <v>139</v>
      </c>
      <c r="F2611" s="3" t="s">
        <v>3201</v>
      </c>
      <c r="G2611" s="9">
        <v>412.05</v>
      </c>
      <c r="H2611" s="10">
        <v>45665.647569444453</v>
      </c>
      <c r="I2611" s="10">
        <v>45665.647569444453</v>
      </c>
      <c r="J2611" s="10">
        <v>45665.649328703701</v>
      </c>
      <c r="K2611" s="11">
        <v>1.759259259259259E-3</v>
      </c>
      <c r="L2611" s="13"/>
    </row>
    <row r="2612" spans="1:12" x14ac:dyDescent="0.25">
      <c r="A2612" s="3" t="s">
        <v>3225</v>
      </c>
      <c r="B2612" s="3" t="s">
        <v>5871</v>
      </c>
      <c r="C2612" s="3" t="s">
        <v>1077</v>
      </c>
      <c r="D2612" s="9">
        <v>94.4</v>
      </c>
      <c r="E2612" s="3" t="s">
        <v>139</v>
      </c>
      <c r="F2612" s="3" t="s">
        <v>3203</v>
      </c>
      <c r="G2612" s="9">
        <v>269.92</v>
      </c>
      <c r="H2612" s="10">
        <v>45665.649328703701</v>
      </c>
      <c r="I2612" s="10">
        <v>45665.649328703701</v>
      </c>
      <c r="J2612" s="10">
        <v>45665.650671296287</v>
      </c>
      <c r="K2612" s="11">
        <v>1.3425925925925921E-3</v>
      </c>
      <c r="L2612" s="13"/>
    </row>
    <row r="2613" spans="1:12" x14ac:dyDescent="0.25">
      <c r="A2613" s="3" t="s">
        <v>3225</v>
      </c>
      <c r="B2613" s="3" t="s">
        <v>5872</v>
      </c>
      <c r="C2613" s="3" t="s">
        <v>1080</v>
      </c>
      <c r="D2613" s="9">
        <v>12</v>
      </c>
      <c r="E2613" s="3" t="s">
        <v>139</v>
      </c>
      <c r="F2613" s="3" t="s">
        <v>3193</v>
      </c>
      <c r="G2613" s="9">
        <v>297.43</v>
      </c>
      <c r="H2613" s="10">
        <v>45665.650671296287</v>
      </c>
      <c r="I2613" s="10">
        <v>45665.650671296287</v>
      </c>
      <c r="J2613" s="10">
        <v>45665.651932870373</v>
      </c>
      <c r="K2613" s="11">
        <v>1.261574074074074E-3</v>
      </c>
      <c r="L2613" s="13"/>
    </row>
    <row r="2614" spans="1:12" x14ac:dyDescent="0.25">
      <c r="A2614" s="3" t="s">
        <v>3225</v>
      </c>
      <c r="B2614" s="3" t="s">
        <v>5873</v>
      </c>
      <c r="C2614" s="3" t="s">
        <v>1082</v>
      </c>
      <c r="D2614" s="9">
        <v>19.899999999999999</v>
      </c>
      <c r="E2614" s="3" t="s">
        <v>139</v>
      </c>
      <c r="F2614" s="3" t="s">
        <v>3195</v>
      </c>
      <c r="G2614" s="9">
        <v>405.43</v>
      </c>
      <c r="H2614" s="10">
        <v>45665.651932870373</v>
      </c>
      <c r="I2614" s="10">
        <v>45665.651932870373</v>
      </c>
      <c r="J2614" s="10">
        <v>45665.653668981482</v>
      </c>
      <c r="K2614" s="11">
        <v>1.736111111111111E-3</v>
      </c>
      <c r="L2614" s="13"/>
    </row>
    <row r="2615" spans="1:12" x14ac:dyDescent="0.25">
      <c r="A2615" s="3" t="s">
        <v>3225</v>
      </c>
      <c r="B2615" s="3" t="s">
        <v>5874</v>
      </c>
      <c r="C2615" s="3" t="s">
        <v>1084</v>
      </c>
      <c r="D2615" s="9">
        <v>39</v>
      </c>
      <c r="E2615" s="3" t="s">
        <v>139</v>
      </c>
      <c r="F2615" s="3" t="s">
        <v>3202</v>
      </c>
      <c r="G2615" s="9">
        <v>324.35000000000002</v>
      </c>
      <c r="H2615" s="10">
        <v>45665.653668981482</v>
      </c>
      <c r="I2615" s="10">
        <v>45665.653668981482</v>
      </c>
      <c r="J2615" s="10">
        <v>45665.655115740738</v>
      </c>
      <c r="K2615" s="11">
        <v>1.446759259259259E-3</v>
      </c>
      <c r="L2615" s="13"/>
    </row>
    <row r="2616" spans="1:12" x14ac:dyDescent="0.25">
      <c r="A2616" s="3" t="s">
        <v>3225</v>
      </c>
      <c r="B2616" s="3" t="s">
        <v>5875</v>
      </c>
      <c r="C2616" s="3" t="s">
        <v>1087</v>
      </c>
      <c r="D2616" s="9">
        <v>23.2</v>
      </c>
      <c r="E2616" s="3" t="s">
        <v>139</v>
      </c>
      <c r="F2616" s="3" t="s">
        <v>3197</v>
      </c>
      <c r="G2616" s="9">
        <v>459.96</v>
      </c>
      <c r="H2616" s="10">
        <v>45665.655115740738</v>
      </c>
      <c r="I2616" s="10">
        <v>45665.655115740738</v>
      </c>
      <c r="J2616" s="10">
        <v>45665.657083333332</v>
      </c>
      <c r="K2616" s="11">
        <v>1.967592592592592E-3</v>
      </c>
      <c r="L2616" s="13"/>
    </row>
    <row r="2617" spans="1:12" x14ac:dyDescent="0.25">
      <c r="A2617" s="3" t="s">
        <v>3225</v>
      </c>
      <c r="B2617" s="3" t="s">
        <v>5876</v>
      </c>
      <c r="C2617" s="3" t="s">
        <v>1089</v>
      </c>
      <c r="D2617" s="9">
        <v>14</v>
      </c>
      <c r="E2617" s="3" t="s">
        <v>139</v>
      </c>
      <c r="F2617" s="3" t="s">
        <v>3198</v>
      </c>
      <c r="G2617" s="9">
        <v>350.87</v>
      </c>
      <c r="H2617" s="10">
        <v>45665.657083333332</v>
      </c>
      <c r="I2617" s="10">
        <v>45665.657083333332</v>
      </c>
      <c r="J2617" s="10">
        <v>45665.658576388887</v>
      </c>
      <c r="K2617" s="11">
        <v>1.4930555555555561E-3</v>
      </c>
      <c r="L2617" s="13"/>
    </row>
    <row r="2618" spans="1:12" x14ac:dyDescent="0.25">
      <c r="A2618" s="3" t="s">
        <v>3225</v>
      </c>
      <c r="B2618" s="3" t="s">
        <v>5877</v>
      </c>
      <c r="C2618" s="3" t="s">
        <v>1091</v>
      </c>
      <c r="D2618" s="9">
        <v>362</v>
      </c>
      <c r="E2618" s="3" t="s">
        <v>142</v>
      </c>
      <c r="F2618" s="3" t="s">
        <v>3205</v>
      </c>
      <c r="G2618" s="9">
        <v>292.27999999999997</v>
      </c>
      <c r="H2618" s="10">
        <v>45665.659444444442</v>
      </c>
      <c r="I2618" s="10">
        <v>45665.659444444442</v>
      </c>
      <c r="J2618" s="10">
        <v>45665.661504629628</v>
      </c>
      <c r="K2618" s="11">
        <v>2.0601851851851849E-3</v>
      </c>
      <c r="L2618" s="13"/>
    </row>
    <row r="2619" spans="1:12" x14ac:dyDescent="0.25">
      <c r="A2619" s="3" t="s">
        <v>3225</v>
      </c>
      <c r="B2619" s="3" t="s">
        <v>5878</v>
      </c>
      <c r="C2619" s="3" t="s">
        <v>1094</v>
      </c>
      <c r="D2619" s="9">
        <v>209.2</v>
      </c>
      <c r="E2619" s="3" t="s">
        <v>139</v>
      </c>
      <c r="F2619" s="3" t="s">
        <v>3203</v>
      </c>
      <c r="G2619" s="9">
        <v>269.92</v>
      </c>
      <c r="H2619" s="10">
        <v>45665.730381944442</v>
      </c>
      <c r="I2619" s="10">
        <v>45665.730381944442</v>
      </c>
      <c r="J2619" s="10">
        <v>45665.731990740736</v>
      </c>
      <c r="K2619" s="11">
        <v>1.6087962962962961E-3</v>
      </c>
      <c r="L2619" s="13"/>
    </row>
    <row r="2620" spans="1:12" x14ac:dyDescent="0.25">
      <c r="A2620" s="3" t="s">
        <v>3225</v>
      </c>
      <c r="B2620" s="3" t="s">
        <v>5879</v>
      </c>
      <c r="C2620" s="3" t="s">
        <v>1096</v>
      </c>
      <c r="D2620" s="9">
        <v>15.7</v>
      </c>
      <c r="E2620" s="3" t="s">
        <v>164</v>
      </c>
      <c r="F2620" s="3" t="s">
        <v>3205</v>
      </c>
      <c r="G2620" s="9">
        <v>384</v>
      </c>
      <c r="H2620" s="10">
        <v>45665.754884259259</v>
      </c>
      <c r="I2620" s="10">
        <v>45665.754884259259</v>
      </c>
      <c r="J2620" s="10">
        <v>45665.756527777783</v>
      </c>
      <c r="K2620" s="11">
        <v>1.643518518518519E-3</v>
      </c>
      <c r="L2620" s="13"/>
    </row>
    <row r="2621" spans="1:12" x14ac:dyDescent="0.25">
      <c r="A2621" s="3" t="s">
        <v>3225</v>
      </c>
      <c r="B2621" s="3" t="s">
        <v>5880</v>
      </c>
      <c r="C2621" s="3" t="s">
        <v>1099</v>
      </c>
      <c r="D2621" s="9">
        <v>15.7</v>
      </c>
      <c r="E2621" s="3" t="s">
        <v>139</v>
      </c>
      <c r="F2621" s="3" t="s">
        <v>3202</v>
      </c>
      <c r="G2621" s="9">
        <v>324.35000000000002</v>
      </c>
      <c r="H2621" s="10">
        <v>45665.835682870369</v>
      </c>
      <c r="I2621" s="10">
        <v>45665.835682870369</v>
      </c>
      <c r="J2621" s="10">
        <v>45665.837071759262</v>
      </c>
      <c r="K2621" s="11">
        <v>1.3888888888888889E-3</v>
      </c>
      <c r="L2621" s="13"/>
    </row>
    <row r="2622" spans="1:12" x14ac:dyDescent="0.25">
      <c r="A2622" s="3" t="s">
        <v>3225</v>
      </c>
      <c r="B2622" s="3" t="s">
        <v>5881</v>
      </c>
      <c r="C2622" s="3" t="s">
        <v>1101</v>
      </c>
      <c r="D2622" s="9">
        <v>15.7</v>
      </c>
      <c r="E2622" s="3" t="s">
        <v>139</v>
      </c>
      <c r="F2622" s="3" t="s">
        <v>3206</v>
      </c>
      <c r="G2622" s="9">
        <v>378.4</v>
      </c>
      <c r="H2622" s="10">
        <v>45665.837071759262</v>
      </c>
      <c r="I2622" s="10">
        <v>45665.837071759262</v>
      </c>
      <c r="J2622" s="10">
        <v>45665.838692129633</v>
      </c>
      <c r="K2622" s="11">
        <v>1.6203703703703701E-3</v>
      </c>
      <c r="L2622" s="13"/>
    </row>
    <row r="2623" spans="1:12" x14ac:dyDescent="0.25">
      <c r="A2623" s="3" t="s">
        <v>3225</v>
      </c>
      <c r="B2623" s="3" t="s">
        <v>5882</v>
      </c>
      <c r="C2623" s="3" t="s">
        <v>1103</v>
      </c>
      <c r="D2623" s="9">
        <v>15.7</v>
      </c>
      <c r="E2623" s="3" t="s">
        <v>139</v>
      </c>
      <c r="F2623" s="3" t="s">
        <v>3200</v>
      </c>
      <c r="G2623" s="9">
        <v>405.03</v>
      </c>
      <c r="H2623" s="10">
        <v>45665.838692129633</v>
      </c>
      <c r="I2623" s="10">
        <v>45665.838692129633</v>
      </c>
      <c r="J2623" s="10">
        <v>45665.840405092589</v>
      </c>
      <c r="K2623" s="11">
        <v>1.712962962962963E-3</v>
      </c>
      <c r="L2623" s="13"/>
    </row>
    <row r="2624" spans="1:12" x14ac:dyDescent="0.25">
      <c r="A2624" s="3" t="s">
        <v>3225</v>
      </c>
      <c r="B2624" s="3" t="s">
        <v>5883</v>
      </c>
      <c r="C2624" s="3" t="s">
        <v>1105</v>
      </c>
      <c r="D2624" s="9">
        <v>19.899999999999999</v>
      </c>
      <c r="E2624" s="3" t="s">
        <v>139</v>
      </c>
      <c r="F2624" s="3" t="s">
        <v>3204</v>
      </c>
      <c r="G2624" s="9">
        <v>477.75</v>
      </c>
      <c r="H2624" s="10">
        <v>45665.840405092589</v>
      </c>
      <c r="I2624" s="10">
        <v>45665.840405092589</v>
      </c>
      <c r="J2624" s="10">
        <v>45665.842442129629</v>
      </c>
      <c r="K2624" s="11">
        <v>2.0370370370370369E-3</v>
      </c>
      <c r="L2624" s="13"/>
    </row>
    <row r="2625" spans="1:12" x14ac:dyDescent="0.25">
      <c r="A2625" s="3" t="s">
        <v>3225</v>
      </c>
      <c r="B2625" s="3" t="s">
        <v>5884</v>
      </c>
      <c r="C2625" s="3" t="s">
        <v>1107</v>
      </c>
      <c r="D2625" s="9">
        <v>78.7</v>
      </c>
      <c r="E2625" s="3" t="s">
        <v>139</v>
      </c>
      <c r="F2625" s="3" t="s">
        <v>3203</v>
      </c>
      <c r="G2625" s="9">
        <v>269.92</v>
      </c>
      <c r="H2625" s="10">
        <v>45665.842442129629</v>
      </c>
      <c r="I2625" s="10">
        <v>45665.842442129629</v>
      </c>
      <c r="J2625" s="10">
        <v>45665.84375</v>
      </c>
      <c r="K2625" s="11">
        <v>1.30787037037037E-3</v>
      </c>
      <c r="L2625" s="13"/>
    </row>
    <row r="2626" spans="1:12" x14ac:dyDescent="0.25">
      <c r="A2626" s="3" t="s">
        <v>3225</v>
      </c>
      <c r="B2626" s="3" t="s">
        <v>5885</v>
      </c>
      <c r="C2626" s="3" t="s">
        <v>1110</v>
      </c>
      <c r="D2626" s="9">
        <v>27</v>
      </c>
      <c r="E2626" s="3" t="s">
        <v>139</v>
      </c>
      <c r="F2626" s="3" t="s">
        <v>3193</v>
      </c>
      <c r="G2626" s="9">
        <v>297.43</v>
      </c>
      <c r="H2626" s="10">
        <v>45665.84375</v>
      </c>
      <c r="I2626" s="10">
        <v>45665.84375</v>
      </c>
      <c r="J2626" s="10">
        <v>45665.845057870371</v>
      </c>
      <c r="K2626" s="11">
        <v>1.30787037037037E-3</v>
      </c>
      <c r="L2626" s="13"/>
    </row>
    <row r="2627" spans="1:12" x14ac:dyDescent="0.25">
      <c r="A2627" s="3" t="s">
        <v>3225</v>
      </c>
      <c r="B2627" s="3" t="s">
        <v>5886</v>
      </c>
      <c r="C2627" s="3" t="s">
        <v>1112</v>
      </c>
      <c r="D2627" s="9">
        <v>15.7</v>
      </c>
      <c r="E2627" s="3" t="s">
        <v>139</v>
      </c>
      <c r="F2627" s="3" t="s">
        <v>3197</v>
      </c>
      <c r="G2627" s="9">
        <v>459.96</v>
      </c>
      <c r="H2627" s="10">
        <v>45665.845057870371</v>
      </c>
      <c r="I2627" s="10">
        <v>45665.845057870371</v>
      </c>
      <c r="J2627" s="10">
        <v>45665.847013888888</v>
      </c>
      <c r="K2627" s="11">
        <v>1.956018518518518E-3</v>
      </c>
      <c r="L2627" s="13"/>
    </row>
    <row r="2628" spans="1:12" x14ac:dyDescent="0.25">
      <c r="A2628" s="3" t="s">
        <v>3225</v>
      </c>
      <c r="B2628" s="3" t="s">
        <v>5887</v>
      </c>
      <c r="C2628" s="3" t="s">
        <v>1114</v>
      </c>
      <c r="D2628" s="9">
        <v>39.799999999999997</v>
      </c>
      <c r="E2628" s="3" t="s">
        <v>139</v>
      </c>
      <c r="F2628" s="3" t="s">
        <v>3195</v>
      </c>
      <c r="G2628" s="9">
        <v>405.43</v>
      </c>
      <c r="H2628" s="10">
        <v>45665.847013888888</v>
      </c>
      <c r="I2628" s="10">
        <v>45665.847013888888</v>
      </c>
      <c r="J2628" s="10">
        <v>45665.84878472222</v>
      </c>
      <c r="K2628" s="11">
        <v>1.770833333333333E-3</v>
      </c>
      <c r="L2628" s="13"/>
    </row>
    <row r="2629" spans="1:12" x14ac:dyDescent="0.25">
      <c r="A2629" s="3" t="s">
        <v>3225</v>
      </c>
      <c r="B2629" s="3" t="s">
        <v>5888</v>
      </c>
      <c r="C2629" s="3" t="s">
        <v>1116</v>
      </c>
      <c r="D2629" s="9">
        <v>15.7</v>
      </c>
      <c r="E2629" s="3" t="s">
        <v>139</v>
      </c>
      <c r="F2629" s="3" t="s">
        <v>3206</v>
      </c>
      <c r="G2629" s="9">
        <v>378.4</v>
      </c>
      <c r="H2629" s="10">
        <v>45665.84878472222</v>
      </c>
      <c r="I2629" s="10">
        <v>45665.84878472222</v>
      </c>
      <c r="J2629" s="10">
        <v>45665.850405092591</v>
      </c>
      <c r="K2629" s="11">
        <v>1.6203703703703701E-3</v>
      </c>
      <c r="L2629" s="13"/>
    </row>
    <row r="2630" spans="1:12" x14ac:dyDescent="0.25">
      <c r="A2630" s="3" t="s">
        <v>3225</v>
      </c>
      <c r="B2630" s="3" t="s">
        <v>5889</v>
      </c>
      <c r="C2630" s="3" t="s">
        <v>1118</v>
      </c>
      <c r="D2630" s="9">
        <v>99.5</v>
      </c>
      <c r="E2630" s="3" t="s">
        <v>142</v>
      </c>
      <c r="F2630" s="3" t="s">
        <v>3205</v>
      </c>
      <c r="G2630" s="9">
        <v>292.27999999999997</v>
      </c>
      <c r="H2630" s="10">
        <v>45665.851273148153</v>
      </c>
      <c r="I2630" s="10">
        <v>45665.851273148153</v>
      </c>
      <c r="J2630" s="10">
        <v>45665.852719907409</v>
      </c>
      <c r="K2630" s="11">
        <v>1.446759259259259E-3</v>
      </c>
      <c r="L2630" s="13"/>
    </row>
    <row r="2631" spans="1:12" x14ac:dyDescent="0.25">
      <c r="A2631" s="3" t="s">
        <v>3225</v>
      </c>
      <c r="B2631" s="3" t="s">
        <v>5890</v>
      </c>
      <c r="C2631" s="3" t="s">
        <v>1120</v>
      </c>
      <c r="D2631" s="9">
        <v>44</v>
      </c>
      <c r="E2631" s="3" t="s">
        <v>139</v>
      </c>
      <c r="F2631" s="3" t="s">
        <v>3193</v>
      </c>
      <c r="G2631" s="9">
        <v>297.43</v>
      </c>
      <c r="H2631" s="10">
        <v>45666.124571759261</v>
      </c>
      <c r="I2631" s="10">
        <v>45666.124571759261</v>
      </c>
      <c r="J2631" s="10">
        <v>45666.125914351847</v>
      </c>
      <c r="K2631" s="11">
        <v>1.3425925925925921E-3</v>
      </c>
      <c r="L2631" s="13"/>
    </row>
    <row r="2632" spans="1:12" x14ac:dyDescent="0.25">
      <c r="A2632" s="3" t="s">
        <v>3225</v>
      </c>
      <c r="B2632" s="3" t="s">
        <v>5891</v>
      </c>
      <c r="C2632" s="3" t="s">
        <v>1122</v>
      </c>
      <c r="D2632" s="9">
        <v>19.899999999999999</v>
      </c>
      <c r="E2632" s="3" t="s">
        <v>139</v>
      </c>
      <c r="F2632" s="3" t="s">
        <v>3201</v>
      </c>
      <c r="G2632" s="9">
        <v>412.05</v>
      </c>
      <c r="H2632" s="10">
        <v>45666.125914351847</v>
      </c>
      <c r="I2632" s="10">
        <v>45666.125914351847</v>
      </c>
      <c r="J2632" s="10">
        <v>45666.127685185187</v>
      </c>
      <c r="K2632" s="11">
        <v>1.770833333333333E-3</v>
      </c>
      <c r="L2632" s="13"/>
    </row>
    <row r="2633" spans="1:12" x14ac:dyDescent="0.25">
      <c r="A2633" s="3" t="s">
        <v>3225</v>
      </c>
      <c r="B2633" s="3" t="s">
        <v>5892</v>
      </c>
      <c r="C2633" s="3" t="s">
        <v>1124</v>
      </c>
      <c r="D2633" s="9">
        <v>100.6</v>
      </c>
      <c r="E2633" s="3" t="s">
        <v>139</v>
      </c>
      <c r="F2633" s="3" t="s">
        <v>3204</v>
      </c>
      <c r="G2633" s="9">
        <v>477.75</v>
      </c>
      <c r="H2633" s="10">
        <v>45666.127685185187</v>
      </c>
      <c r="I2633" s="10">
        <v>45666.127685185187</v>
      </c>
      <c r="J2633" s="10">
        <v>45666.129907407398</v>
      </c>
      <c r="K2633" s="11">
        <v>2.2222222222222218E-3</v>
      </c>
      <c r="L2633" s="13"/>
    </row>
    <row r="2634" spans="1:12" x14ac:dyDescent="0.25">
      <c r="A2634" s="3" t="s">
        <v>3225</v>
      </c>
      <c r="B2634" s="3" t="s">
        <v>5893</v>
      </c>
      <c r="C2634" s="3" t="s">
        <v>1126</v>
      </c>
      <c r="D2634" s="9">
        <v>63</v>
      </c>
      <c r="E2634" s="3" t="s">
        <v>139</v>
      </c>
      <c r="F2634" s="3" t="s">
        <v>3203</v>
      </c>
      <c r="G2634" s="9">
        <v>269.92</v>
      </c>
      <c r="H2634" s="10">
        <v>45666.271793981483</v>
      </c>
      <c r="I2634" s="10">
        <v>45666.271793981483</v>
      </c>
      <c r="J2634" s="10">
        <v>45666.27306712963</v>
      </c>
      <c r="K2634" s="11">
        <v>1.273148148148148E-3</v>
      </c>
      <c r="L2634" s="13"/>
    </row>
    <row r="2635" spans="1:12" x14ac:dyDescent="0.25">
      <c r="A2635" s="3" t="s">
        <v>3225</v>
      </c>
      <c r="B2635" s="3" t="s">
        <v>5894</v>
      </c>
      <c r="C2635" s="3" t="s">
        <v>1128</v>
      </c>
      <c r="D2635" s="9">
        <v>121.1</v>
      </c>
      <c r="E2635" s="3" t="s">
        <v>139</v>
      </c>
      <c r="F2635" s="3" t="s">
        <v>3197</v>
      </c>
      <c r="G2635" s="9">
        <v>459.96</v>
      </c>
      <c r="H2635" s="10">
        <v>45666.27306712963</v>
      </c>
      <c r="I2635" s="10">
        <v>45666.27306712963</v>
      </c>
      <c r="J2635" s="10">
        <v>45666.275266203702</v>
      </c>
      <c r="K2635" s="11">
        <v>2.1990740740740742E-3</v>
      </c>
      <c r="L2635" s="13"/>
    </row>
    <row r="2636" spans="1:12" x14ac:dyDescent="0.25">
      <c r="A2636" s="3" t="s">
        <v>3225</v>
      </c>
      <c r="B2636" s="3" t="s">
        <v>5895</v>
      </c>
      <c r="C2636" s="3" t="s">
        <v>1130</v>
      </c>
      <c r="D2636" s="9">
        <v>21</v>
      </c>
      <c r="E2636" s="3" t="s">
        <v>139</v>
      </c>
      <c r="F2636" s="3" t="s">
        <v>3193</v>
      </c>
      <c r="G2636" s="9">
        <v>297.43</v>
      </c>
      <c r="H2636" s="10">
        <v>45666.275266203702</v>
      </c>
      <c r="I2636" s="10">
        <v>45666.275266203702</v>
      </c>
      <c r="J2636" s="10">
        <v>45666.276550925933</v>
      </c>
      <c r="K2636" s="11">
        <v>1.284722222222222E-3</v>
      </c>
      <c r="L2636" s="13"/>
    </row>
    <row r="2637" spans="1:12" x14ac:dyDescent="0.25">
      <c r="A2637" s="3" t="s">
        <v>3225</v>
      </c>
      <c r="B2637" s="3" t="s">
        <v>5896</v>
      </c>
      <c r="C2637" s="3" t="s">
        <v>1133</v>
      </c>
      <c r="D2637" s="9">
        <v>19.899999999999999</v>
      </c>
      <c r="E2637" s="3" t="s">
        <v>139</v>
      </c>
      <c r="F2637" s="3" t="s">
        <v>3204</v>
      </c>
      <c r="G2637" s="9">
        <v>477.75</v>
      </c>
      <c r="H2637" s="10">
        <v>45666.276550925933</v>
      </c>
      <c r="I2637" s="10">
        <v>45666.276550925933</v>
      </c>
      <c r="J2637" s="10">
        <v>45666.278587962966</v>
      </c>
      <c r="K2637" s="11">
        <v>2.0370370370370369E-3</v>
      </c>
      <c r="L2637" s="13"/>
    </row>
    <row r="2638" spans="1:12" x14ac:dyDescent="0.25">
      <c r="A2638" s="3" t="s">
        <v>3225</v>
      </c>
      <c r="B2638" s="3" t="s">
        <v>5897</v>
      </c>
      <c r="C2638" s="3" t="s">
        <v>1136</v>
      </c>
      <c r="D2638" s="9">
        <v>27</v>
      </c>
      <c r="E2638" s="3" t="s">
        <v>139</v>
      </c>
      <c r="F2638" s="3" t="s">
        <v>3193</v>
      </c>
      <c r="G2638" s="9">
        <v>297.43</v>
      </c>
      <c r="H2638" s="10">
        <v>45666.278587962966</v>
      </c>
      <c r="I2638" s="10">
        <v>45666.278587962966</v>
      </c>
      <c r="J2638" s="10">
        <v>45666.27988425926</v>
      </c>
      <c r="K2638" s="11">
        <v>1.296296296296296E-3</v>
      </c>
      <c r="L2638" s="13"/>
    </row>
    <row r="2639" spans="1:12" x14ac:dyDescent="0.25">
      <c r="A2639" s="3" t="s">
        <v>3225</v>
      </c>
      <c r="B2639" s="3" t="s">
        <v>5898</v>
      </c>
      <c r="C2639" s="3" t="s">
        <v>1138</v>
      </c>
      <c r="D2639" s="9">
        <v>12</v>
      </c>
      <c r="E2639" s="3" t="s">
        <v>139</v>
      </c>
      <c r="F2639" s="3" t="s">
        <v>3205</v>
      </c>
      <c r="G2639" s="9">
        <v>299.11</v>
      </c>
      <c r="H2639" s="10">
        <v>45666.27988425926</v>
      </c>
      <c r="I2639" s="10">
        <v>45666.27988425926</v>
      </c>
      <c r="J2639" s="10">
        <v>45666.281157407408</v>
      </c>
      <c r="K2639" s="11">
        <v>1.273148148148148E-3</v>
      </c>
      <c r="L2639" s="13"/>
    </row>
    <row r="2640" spans="1:12" x14ac:dyDescent="0.25">
      <c r="A2640" s="3" t="s">
        <v>3225</v>
      </c>
      <c r="B2640" s="3" t="s">
        <v>5899</v>
      </c>
      <c r="C2640" s="3" t="s">
        <v>1141</v>
      </c>
      <c r="D2640" s="9">
        <v>31.5</v>
      </c>
      <c r="E2640" s="3" t="s">
        <v>139</v>
      </c>
      <c r="F2640" s="3" t="s">
        <v>3202</v>
      </c>
      <c r="G2640" s="9">
        <v>324.35000000000002</v>
      </c>
      <c r="H2640" s="10">
        <v>45666.281157407408</v>
      </c>
      <c r="I2640" s="10">
        <v>45666.281157407408</v>
      </c>
      <c r="J2640" s="10">
        <v>45666.282592592594</v>
      </c>
      <c r="K2640" s="11">
        <v>1.435185185185185E-3</v>
      </c>
      <c r="L2640" s="13"/>
    </row>
    <row r="2641" spans="1:12" x14ac:dyDescent="0.25">
      <c r="A2641" s="3" t="s">
        <v>3225</v>
      </c>
      <c r="B2641" s="3" t="s">
        <v>5900</v>
      </c>
      <c r="C2641" s="3" t="s">
        <v>1143</v>
      </c>
      <c r="D2641" s="9">
        <v>37.5</v>
      </c>
      <c r="E2641" s="3" t="s">
        <v>139</v>
      </c>
      <c r="F2641" s="3" t="s">
        <v>3194</v>
      </c>
      <c r="G2641" s="9">
        <v>459.96</v>
      </c>
      <c r="H2641" s="10">
        <v>45666.282592592594</v>
      </c>
      <c r="I2641" s="10">
        <v>45666.282592592594</v>
      </c>
      <c r="J2641" s="10">
        <v>45666.284594907411</v>
      </c>
      <c r="K2641" s="11">
        <v>2.0023148148148148E-3</v>
      </c>
      <c r="L2641" s="13"/>
    </row>
    <row r="2642" spans="1:12" x14ac:dyDescent="0.25">
      <c r="A2642" s="3" t="s">
        <v>3225</v>
      </c>
      <c r="B2642" s="3" t="s">
        <v>5901</v>
      </c>
      <c r="C2642" s="3" t="s">
        <v>1146</v>
      </c>
      <c r="D2642" s="9">
        <v>43.1</v>
      </c>
      <c r="E2642" s="3" t="s">
        <v>139</v>
      </c>
      <c r="F2642" s="3" t="s">
        <v>3201</v>
      </c>
      <c r="G2642" s="9">
        <v>412.05</v>
      </c>
      <c r="H2642" s="10">
        <v>45666.284594907411</v>
      </c>
      <c r="I2642" s="10">
        <v>45666.284594907411</v>
      </c>
      <c r="J2642" s="10">
        <v>45666.286412037043</v>
      </c>
      <c r="K2642" s="11">
        <v>1.8171296296296299E-3</v>
      </c>
      <c r="L2642" s="13"/>
    </row>
    <row r="2643" spans="1:12" x14ac:dyDescent="0.25">
      <c r="A2643" s="3" t="s">
        <v>3225</v>
      </c>
      <c r="B2643" s="3" t="s">
        <v>5902</v>
      </c>
      <c r="C2643" s="3" t="s">
        <v>1148</v>
      </c>
      <c r="D2643" s="9">
        <v>185.9</v>
      </c>
      <c r="E2643" s="3" t="s">
        <v>142</v>
      </c>
      <c r="F2643" s="3" t="s">
        <v>3196</v>
      </c>
      <c r="G2643" s="9">
        <v>443.59</v>
      </c>
      <c r="H2643" s="10">
        <v>45666.287280092591</v>
      </c>
      <c r="I2643" s="10">
        <v>45666.287280092591</v>
      </c>
      <c r="J2643" s="10">
        <v>45666.289548611108</v>
      </c>
      <c r="K2643" s="11">
        <v>2.2685185185185191E-3</v>
      </c>
      <c r="L2643" s="13"/>
    </row>
    <row r="2644" spans="1:12" x14ac:dyDescent="0.25">
      <c r="A2644" s="3" t="s">
        <v>3225</v>
      </c>
      <c r="B2644" s="3" t="s">
        <v>5903</v>
      </c>
      <c r="C2644" s="3" t="s">
        <v>1167</v>
      </c>
      <c r="D2644" s="9">
        <v>325</v>
      </c>
      <c r="E2644" s="3" t="s">
        <v>142</v>
      </c>
      <c r="F2644" s="3" t="s">
        <v>3198</v>
      </c>
      <c r="G2644" s="9">
        <v>344.04</v>
      </c>
      <c r="H2644" s="10">
        <v>45666.314143518517</v>
      </c>
      <c r="I2644" s="10">
        <v>45666.314143518517</v>
      </c>
      <c r="J2644" s="10">
        <v>45666.316331018519</v>
      </c>
      <c r="K2644" s="11">
        <v>2.1875000000000002E-3</v>
      </c>
      <c r="L2644" s="13"/>
    </row>
    <row r="2645" spans="1:12" x14ac:dyDescent="0.25">
      <c r="A2645" s="3" t="s">
        <v>3225</v>
      </c>
      <c r="B2645" s="3" t="s">
        <v>5904</v>
      </c>
      <c r="C2645" s="3" t="s">
        <v>1151</v>
      </c>
      <c r="D2645" s="9">
        <v>63</v>
      </c>
      <c r="E2645" s="3" t="s">
        <v>139</v>
      </c>
      <c r="F2645" s="3" t="s">
        <v>3203</v>
      </c>
      <c r="G2645" s="9">
        <v>269.92</v>
      </c>
      <c r="H2645" s="10">
        <v>45666.317118055558</v>
      </c>
      <c r="I2645" s="10">
        <v>45666.317118055558</v>
      </c>
      <c r="J2645" s="10">
        <v>45666.318391203713</v>
      </c>
      <c r="K2645" s="11">
        <v>1.273148148148148E-3</v>
      </c>
      <c r="L2645" s="13"/>
    </row>
    <row r="2646" spans="1:12" x14ac:dyDescent="0.25">
      <c r="A2646" s="3" t="s">
        <v>3225</v>
      </c>
      <c r="B2646" s="3" t="s">
        <v>5905</v>
      </c>
      <c r="C2646" s="3" t="s">
        <v>1154</v>
      </c>
      <c r="D2646" s="9">
        <v>14</v>
      </c>
      <c r="E2646" s="3" t="s">
        <v>139</v>
      </c>
      <c r="F2646" s="3" t="s">
        <v>3198</v>
      </c>
      <c r="G2646" s="9">
        <v>350.87</v>
      </c>
      <c r="H2646" s="10">
        <v>45666.318391203713</v>
      </c>
      <c r="I2646" s="10">
        <v>45666.318391203713</v>
      </c>
      <c r="J2646" s="10">
        <v>45666.319884259261</v>
      </c>
      <c r="K2646" s="11">
        <v>1.4930555555555561E-3</v>
      </c>
      <c r="L2646" s="13"/>
    </row>
    <row r="2647" spans="1:12" x14ac:dyDescent="0.25">
      <c r="A2647" s="3" t="s">
        <v>3225</v>
      </c>
      <c r="B2647" s="3" t="s">
        <v>5906</v>
      </c>
      <c r="C2647" s="3" t="s">
        <v>1156</v>
      </c>
      <c r="D2647" s="9">
        <v>21</v>
      </c>
      <c r="E2647" s="3" t="s">
        <v>139</v>
      </c>
      <c r="F2647" s="3" t="s">
        <v>3194</v>
      </c>
      <c r="G2647" s="9">
        <v>459.96</v>
      </c>
      <c r="H2647" s="10">
        <v>45666.319884259261</v>
      </c>
      <c r="I2647" s="10">
        <v>45666.319884259261</v>
      </c>
      <c r="J2647" s="10">
        <v>45666.321851851862</v>
      </c>
      <c r="K2647" s="11">
        <v>1.967592592592592E-3</v>
      </c>
      <c r="L2647" s="13"/>
    </row>
    <row r="2648" spans="1:12" x14ac:dyDescent="0.25">
      <c r="A2648" s="3" t="s">
        <v>3225</v>
      </c>
      <c r="B2648" s="3" t="s">
        <v>5907</v>
      </c>
      <c r="C2648" s="3" t="s">
        <v>1158</v>
      </c>
      <c r="D2648" s="9">
        <v>47.2</v>
      </c>
      <c r="E2648" s="3" t="s">
        <v>139</v>
      </c>
      <c r="F2648" s="3" t="s">
        <v>3202</v>
      </c>
      <c r="G2648" s="9">
        <v>324.35000000000002</v>
      </c>
      <c r="H2648" s="10">
        <v>45666.321851851862</v>
      </c>
      <c r="I2648" s="10">
        <v>45666.321851851862</v>
      </c>
      <c r="J2648" s="10">
        <v>45666.323310185187</v>
      </c>
      <c r="K2648" s="11">
        <v>1.458333333333333E-3</v>
      </c>
      <c r="L2648" s="13"/>
    </row>
    <row r="2649" spans="1:12" x14ac:dyDescent="0.25">
      <c r="A2649" s="3" t="s">
        <v>3225</v>
      </c>
      <c r="B2649" s="3" t="s">
        <v>5908</v>
      </c>
      <c r="C2649" s="3" t="s">
        <v>1160</v>
      </c>
      <c r="D2649" s="9">
        <v>19.899999999999999</v>
      </c>
      <c r="E2649" s="3" t="s">
        <v>139</v>
      </c>
      <c r="F2649" s="3" t="s">
        <v>3195</v>
      </c>
      <c r="G2649" s="9">
        <v>405.43</v>
      </c>
      <c r="H2649" s="10">
        <v>45666.323310185187</v>
      </c>
      <c r="I2649" s="10">
        <v>45666.323310185187</v>
      </c>
      <c r="J2649" s="10">
        <v>45666.325046296297</v>
      </c>
      <c r="K2649" s="11">
        <v>1.736111111111111E-3</v>
      </c>
      <c r="L2649" s="13"/>
    </row>
    <row r="2650" spans="1:12" x14ac:dyDescent="0.25">
      <c r="A2650" s="3" t="s">
        <v>3225</v>
      </c>
      <c r="B2650" s="3" t="s">
        <v>5909</v>
      </c>
      <c r="C2650" s="3" t="s">
        <v>1162</v>
      </c>
      <c r="D2650" s="9">
        <v>19.899999999999999</v>
      </c>
      <c r="E2650" s="3" t="s">
        <v>139</v>
      </c>
      <c r="F2650" s="3" t="s">
        <v>3193</v>
      </c>
      <c r="G2650" s="9">
        <v>297.43</v>
      </c>
      <c r="H2650" s="10">
        <v>45666.325046296297</v>
      </c>
      <c r="I2650" s="10">
        <v>45666.325046296297</v>
      </c>
      <c r="J2650" s="10">
        <v>45666.326331018521</v>
      </c>
      <c r="K2650" s="11">
        <v>1.284722222222222E-3</v>
      </c>
      <c r="L2650" s="13"/>
    </row>
    <row r="2651" spans="1:12" x14ac:dyDescent="0.25">
      <c r="A2651" s="3" t="s">
        <v>3225</v>
      </c>
      <c r="B2651" s="3" t="s">
        <v>5910</v>
      </c>
      <c r="C2651" s="3" t="s">
        <v>1164</v>
      </c>
      <c r="D2651" s="9">
        <v>93.7</v>
      </c>
      <c r="E2651" s="3" t="s">
        <v>139</v>
      </c>
      <c r="F2651" s="3" t="s">
        <v>3202</v>
      </c>
      <c r="G2651" s="9">
        <v>324.35000000000002</v>
      </c>
      <c r="H2651" s="10">
        <v>45666.326331018521</v>
      </c>
      <c r="I2651" s="10">
        <v>45666.326331018521</v>
      </c>
      <c r="J2651" s="10">
        <v>45666.327893518523</v>
      </c>
      <c r="K2651" s="11">
        <v>1.5625000000000001E-3</v>
      </c>
      <c r="L2651" s="13"/>
    </row>
    <row r="2652" spans="1:12" x14ac:dyDescent="0.25">
      <c r="A2652" s="3" t="s">
        <v>3225</v>
      </c>
      <c r="B2652" s="3" t="s">
        <v>5911</v>
      </c>
      <c r="C2652" s="3" t="s">
        <v>1169</v>
      </c>
      <c r="D2652" s="9">
        <v>381.6</v>
      </c>
      <c r="E2652" s="3" t="s">
        <v>142</v>
      </c>
      <c r="F2652" s="3" t="s">
        <v>3197</v>
      </c>
      <c r="G2652" s="9">
        <v>453.13</v>
      </c>
      <c r="H2652" s="10">
        <v>45666.336226851847</v>
      </c>
      <c r="I2652" s="10">
        <v>45666.336226851847</v>
      </c>
      <c r="J2652" s="10">
        <v>45666.339004629634</v>
      </c>
      <c r="K2652" s="11">
        <v>2.7777777777777779E-3</v>
      </c>
      <c r="L2652" s="13"/>
    </row>
    <row r="2653" spans="1:12" x14ac:dyDescent="0.25">
      <c r="A2653" s="3" t="s">
        <v>3225</v>
      </c>
      <c r="B2653" s="3" t="s">
        <v>5912</v>
      </c>
      <c r="C2653" s="3" t="s">
        <v>1172</v>
      </c>
      <c r="D2653" s="9">
        <v>118.2</v>
      </c>
      <c r="E2653" s="3" t="s">
        <v>139</v>
      </c>
      <c r="F2653" s="3" t="s">
        <v>3195</v>
      </c>
      <c r="G2653" s="9">
        <v>405.43</v>
      </c>
      <c r="H2653" s="10">
        <v>45666.374768518523</v>
      </c>
      <c r="I2653" s="10">
        <v>45666.374768518523</v>
      </c>
      <c r="J2653" s="10">
        <v>45666.376736111109</v>
      </c>
      <c r="K2653" s="11">
        <v>1.967592592592592E-3</v>
      </c>
      <c r="L2653" s="13"/>
    </row>
    <row r="2654" spans="1:12" x14ac:dyDescent="0.25">
      <c r="A2654" s="3" t="s">
        <v>3225</v>
      </c>
      <c r="B2654" s="3" t="s">
        <v>5913</v>
      </c>
      <c r="C2654" s="3" t="s">
        <v>1175</v>
      </c>
      <c r="D2654" s="9">
        <v>243.8</v>
      </c>
      <c r="E2654" s="3" t="s">
        <v>139</v>
      </c>
      <c r="F2654" s="3" t="s">
        <v>3199</v>
      </c>
      <c r="G2654" s="9">
        <v>450.42</v>
      </c>
      <c r="H2654" s="10">
        <v>45666.376736111109</v>
      </c>
      <c r="I2654" s="10">
        <v>45666.376736111109</v>
      </c>
      <c r="J2654" s="10">
        <v>45666.379178240742</v>
      </c>
      <c r="K2654" s="11">
        <v>2.44212962962963E-3</v>
      </c>
      <c r="L2654" s="13"/>
    </row>
    <row r="2655" spans="1:12" x14ac:dyDescent="0.25">
      <c r="A2655" s="3" t="s">
        <v>3225</v>
      </c>
      <c r="B2655" s="3" t="s">
        <v>5914</v>
      </c>
      <c r="C2655" s="3" t="s">
        <v>1177</v>
      </c>
      <c r="D2655" s="9">
        <v>21</v>
      </c>
      <c r="E2655" s="3" t="s">
        <v>139</v>
      </c>
      <c r="F2655" s="3" t="s">
        <v>3199</v>
      </c>
      <c r="G2655" s="9">
        <v>450.42</v>
      </c>
      <c r="H2655" s="10">
        <v>45666.462511574071</v>
      </c>
      <c r="I2655" s="10">
        <v>45666.462511574071</v>
      </c>
      <c r="J2655" s="10">
        <v>45666.464432870373</v>
      </c>
      <c r="K2655" s="11">
        <v>1.9212962962962959E-3</v>
      </c>
      <c r="L2655" s="13"/>
    </row>
    <row r="2656" spans="1:12" x14ac:dyDescent="0.25">
      <c r="A2656" s="3" t="s">
        <v>3225</v>
      </c>
      <c r="B2656" s="3" t="s">
        <v>5915</v>
      </c>
      <c r="C2656" s="3" t="s">
        <v>1180</v>
      </c>
      <c r="D2656" s="9">
        <v>414.7</v>
      </c>
      <c r="E2656" s="3" t="s">
        <v>139</v>
      </c>
      <c r="F2656" s="3" t="s">
        <v>3195</v>
      </c>
      <c r="G2656" s="9">
        <v>405.43</v>
      </c>
      <c r="H2656" s="10">
        <v>45666.464432870373</v>
      </c>
      <c r="I2656" s="10">
        <v>45666.464432870373</v>
      </c>
      <c r="J2656" s="10">
        <v>45666.467083333337</v>
      </c>
      <c r="K2656" s="11">
        <v>2.650462962962963E-3</v>
      </c>
      <c r="L2656" s="13"/>
    </row>
    <row r="2657" spans="1:12" x14ac:dyDescent="0.25">
      <c r="A2657" s="3" t="s">
        <v>3225</v>
      </c>
      <c r="B2657" s="3" t="s">
        <v>5916</v>
      </c>
      <c r="C2657" s="3" t="s">
        <v>1183</v>
      </c>
      <c r="D2657" s="9">
        <v>241.4</v>
      </c>
      <c r="E2657" s="3" t="s">
        <v>139</v>
      </c>
      <c r="F2657" s="3" t="s">
        <v>3195</v>
      </c>
      <c r="G2657" s="9">
        <v>405.43</v>
      </c>
      <c r="H2657" s="10">
        <v>45666.61451388889</v>
      </c>
      <c r="I2657" s="10">
        <v>45666.61451388889</v>
      </c>
      <c r="J2657" s="10">
        <v>45666.616770833331</v>
      </c>
      <c r="K2657" s="11">
        <v>2.2569444444444438E-3</v>
      </c>
      <c r="L2657" s="13"/>
    </row>
    <row r="2658" spans="1:12" x14ac:dyDescent="0.25">
      <c r="A2658" s="3" t="s">
        <v>3225</v>
      </c>
      <c r="B2658" s="3" t="s">
        <v>5917</v>
      </c>
      <c r="C2658" s="3" t="s">
        <v>1186</v>
      </c>
      <c r="D2658" s="9">
        <v>58.5</v>
      </c>
      <c r="E2658" s="3" t="s">
        <v>139</v>
      </c>
      <c r="F2658" s="3" t="s">
        <v>3194</v>
      </c>
      <c r="G2658" s="9">
        <v>459.96</v>
      </c>
      <c r="H2658" s="10">
        <v>45666.639166666668</v>
      </c>
      <c r="I2658" s="10">
        <v>45666.639166666668</v>
      </c>
      <c r="J2658" s="10">
        <v>45666.641215277778</v>
      </c>
      <c r="K2658" s="11">
        <v>2.0486111111111109E-3</v>
      </c>
      <c r="L2658" s="13"/>
    </row>
    <row r="2659" spans="1:12" x14ac:dyDescent="0.25">
      <c r="A2659" s="3" t="s">
        <v>3225</v>
      </c>
      <c r="B2659" s="3" t="s">
        <v>5918</v>
      </c>
      <c r="C2659" s="3" t="s">
        <v>1188</v>
      </c>
      <c r="D2659" s="9">
        <v>91.2</v>
      </c>
      <c r="E2659" s="3" t="s">
        <v>139</v>
      </c>
      <c r="F2659" s="3" t="s">
        <v>3197</v>
      </c>
      <c r="G2659" s="9">
        <v>459.96</v>
      </c>
      <c r="H2659" s="10">
        <v>45666.641215277778</v>
      </c>
      <c r="I2659" s="10">
        <v>45666.641215277778</v>
      </c>
      <c r="J2659" s="10">
        <v>45666.64334490741</v>
      </c>
      <c r="K2659" s="11">
        <v>2.1296296296296302E-3</v>
      </c>
      <c r="L2659" s="13"/>
    </row>
    <row r="2660" spans="1:12" x14ac:dyDescent="0.25">
      <c r="A2660" s="3" t="s">
        <v>3225</v>
      </c>
      <c r="B2660" s="3" t="s">
        <v>5919</v>
      </c>
      <c r="C2660" s="3" t="s">
        <v>1191</v>
      </c>
      <c r="D2660" s="9">
        <v>131.9</v>
      </c>
      <c r="E2660" s="3" t="s">
        <v>139</v>
      </c>
      <c r="F2660" s="3" t="s">
        <v>3202</v>
      </c>
      <c r="G2660" s="9">
        <v>324.35000000000002</v>
      </c>
      <c r="H2660" s="10">
        <v>45666.64334490741</v>
      </c>
      <c r="I2660" s="10">
        <v>45666.64334490741</v>
      </c>
      <c r="J2660" s="10">
        <v>45666.644999999997</v>
      </c>
      <c r="K2660" s="11">
        <v>1.655092592592593E-3</v>
      </c>
      <c r="L2660" s="13"/>
    </row>
    <row r="2661" spans="1:12" x14ac:dyDescent="0.25">
      <c r="A2661" s="3" t="s">
        <v>3225</v>
      </c>
      <c r="B2661" s="3" t="s">
        <v>5920</v>
      </c>
      <c r="C2661" s="3" t="s">
        <v>1193</v>
      </c>
      <c r="D2661" s="9">
        <v>110.2</v>
      </c>
      <c r="E2661" s="3" t="s">
        <v>139</v>
      </c>
      <c r="F2661" s="3" t="s">
        <v>3203</v>
      </c>
      <c r="G2661" s="9">
        <v>269.92</v>
      </c>
      <c r="H2661" s="10">
        <v>45666.644999999997</v>
      </c>
      <c r="I2661" s="10">
        <v>45666.644999999997</v>
      </c>
      <c r="J2661" s="10">
        <v>45666.646377314813</v>
      </c>
      <c r="K2661" s="11">
        <v>1.3773148148148149E-3</v>
      </c>
      <c r="L2661" s="13"/>
    </row>
    <row r="2662" spans="1:12" x14ac:dyDescent="0.25">
      <c r="A2662" s="3" t="s">
        <v>3225</v>
      </c>
      <c r="B2662" s="3" t="s">
        <v>5921</v>
      </c>
      <c r="C2662" s="3" t="s">
        <v>1195</v>
      </c>
      <c r="D2662" s="9">
        <v>15.7</v>
      </c>
      <c r="E2662" s="3" t="s">
        <v>139</v>
      </c>
      <c r="F2662" s="3" t="s">
        <v>3206</v>
      </c>
      <c r="G2662" s="9">
        <v>378.4</v>
      </c>
      <c r="H2662" s="10">
        <v>45666.646377314813</v>
      </c>
      <c r="I2662" s="10">
        <v>45666.646377314813</v>
      </c>
      <c r="J2662" s="10">
        <v>45666.647986111107</v>
      </c>
      <c r="K2662" s="11">
        <v>1.6087962962962961E-3</v>
      </c>
      <c r="L2662" s="13"/>
    </row>
    <row r="2663" spans="1:12" x14ac:dyDescent="0.25">
      <c r="A2663" s="3" t="s">
        <v>3225</v>
      </c>
      <c r="B2663" s="3" t="s">
        <v>5922</v>
      </c>
      <c r="C2663" s="3" t="s">
        <v>1197</v>
      </c>
      <c r="D2663" s="9">
        <v>314.8</v>
      </c>
      <c r="E2663" s="3" t="s">
        <v>142</v>
      </c>
      <c r="F2663" s="3" t="s">
        <v>3198</v>
      </c>
      <c r="G2663" s="9">
        <v>344.04</v>
      </c>
      <c r="H2663" s="10">
        <v>45666.651782407411</v>
      </c>
      <c r="I2663" s="10">
        <v>45666.651782407411</v>
      </c>
      <c r="J2663" s="10">
        <v>45666.653946759259</v>
      </c>
      <c r="K2663" s="11">
        <v>2.1643518518518522E-3</v>
      </c>
      <c r="L2663" s="13"/>
    </row>
    <row r="2664" spans="1:12" x14ac:dyDescent="0.25">
      <c r="A2664" s="3" t="s">
        <v>3225</v>
      </c>
      <c r="B2664" s="3" t="s">
        <v>5923</v>
      </c>
      <c r="C2664" s="3" t="s">
        <v>1221</v>
      </c>
      <c r="D2664" s="9">
        <v>47.2</v>
      </c>
      <c r="E2664" s="3" t="s">
        <v>164</v>
      </c>
      <c r="F2664" s="3" t="s">
        <v>3202</v>
      </c>
      <c r="G2664" s="9">
        <v>409.24</v>
      </c>
      <c r="H2664" s="10">
        <v>45666.746134259258</v>
      </c>
      <c r="I2664" s="10">
        <v>45666.746134259258</v>
      </c>
      <c r="J2664" s="10">
        <v>45666.74795138889</v>
      </c>
      <c r="K2664" s="11">
        <v>1.8171296296296299E-3</v>
      </c>
      <c r="L2664" s="13"/>
    </row>
    <row r="2665" spans="1:12" x14ac:dyDescent="0.25">
      <c r="A2665" s="3" t="s">
        <v>3225</v>
      </c>
      <c r="B2665" s="3" t="s">
        <v>5924</v>
      </c>
      <c r="C2665" s="3" t="s">
        <v>1200</v>
      </c>
      <c r="D2665" s="9">
        <v>19.899999999999999</v>
      </c>
      <c r="E2665" s="3" t="s">
        <v>139</v>
      </c>
      <c r="F2665" s="3" t="s">
        <v>3193</v>
      </c>
      <c r="G2665" s="9">
        <v>297.43</v>
      </c>
      <c r="H2665" s="10">
        <v>45666.755995370368</v>
      </c>
      <c r="I2665" s="10">
        <v>45666.755995370368</v>
      </c>
      <c r="J2665" s="10">
        <v>45666.757280092592</v>
      </c>
      <c r="K2665" s="11">
        <v>1.284722222222222E-3</v>
      </c>
      <c r="L2665" s="13"/>
    </row>
    <row r="2666" spans="1:12" x14ac:dyDescent="0.25">
      <c r="A2666" s="3" t="s">
        <v>3225</v>
      </c>
      <c r="B2666" s="3" t="s">
        <v>5925</v>
      </c>
      <c r="C2666" s="3" t="s">
        <v>1202</v>
      </c>
      <c r="D2666" s="9">
        <v>19.899999999999999</v>
      </c>
      <c r="E2666" s="3" t="s">
        <v>139</v>
      </c>
      <c r="F2666" s="3" t="s">
        <v>3204</v>
      </c>
      <c r="G2666" s="9">
        <v>477.75</v>
      </c>
      <c r="H2666" s="10">
        <v>45666.757280092592</v>
      </c>
      <c r="I2666" s="10">
        <v>45666.757280092592</v>
      </c>
      <c r="J2666" s="10">
        <v>45666.759317129632</v>
      </c>
      <c r="K2666" s="11">
        <v>2.0370370370370369E-3</v>
      </c>
      <c r="L2666" s="13"/>
    </row>
    <row r="2667" spans="1:12" x14ac:dyDescent="0.25">
      <c r="A2667" s="3" t="s">
        <v>3225</v>
      </c>
      <c r="B2667" s="3" t="s">
        <v>5926</v>
      </c>
      <c r="C2667" s="3" t="s">
        <v>1204</v>
      </c>
      <c r="D2667" s="9">
        <v>15.7</v>
      </c>
      <c r="E2667" s="3" t="s">
        <v>139</v>
      </c>
      <c r="F2667" s="3" t="s">
        <v>3200</v>
      </c>
      <c r="G2667" s="9">
        <v>405.03</v>
      </c>
      <c r="H2667" s="10">
        <v>45666.759317129632</v>
      </c>
      <c r="I2667" s="10">
        <v>45666.759317129632</v>
      </c>
      <c r="J2667" s="10">
        <v>45666.761041666658</v>
      </c>
      <c r="K2667" s="11">
        <v>1.724537037037037E-3</v>
      </c>
      <c r="L2667" s="13"/>
    </row>
    <row r="2668" spans="1:12" x14ac:dyDescent="0.25">
      <c r="A2668" s="3" t="s">
        <v>3225</v>
      </c>
      <c r="B2668" s="3" t="s">
        <v>5927</v>
      </c>
      <c r="C2668" s="3" t="s">
        <v>1206</v>
      </c>
      <c r="D2668" s="9">
        <v>116.9</v>
      </c>
      <c r="E2668" s="3" t="s">
        <v>139</v>
      </c>
      <c r="F2668" s="3" t="s">
        <v>3203</v>
      </c>
      <c r="G2668" s="9">
        <v>269.92</v>
      </c>
      <c r="H2668" s="10">
        <v>45666.761041666658</v>
      </c>
      <c r="I2668" s="10">
        <v>45666.761041666658</v>
      </c>
      <c r="J2668" s="10">
        <v>45666.762430555558</v>
      </c>
      <c r="K2668" s="11">
        <v>1.3888888888888889E-3</v>
      </c>
      <c r="L2668" s="13"/>
    </row>
    <row r="2669" spans="1:12" x14ac:dyDescent="0.25">
      <c r="A2669" s="3" t="s">
        <v>3225</v>
      </c>
      <c r="B2669" s="3" t="s">
        <v>5928</v>
      </c>
      <c r="C2669" s="3" t="s">
        <v>1209</v>
      </c>
      <c r="D2669" s="9">
        <v>63</v>
      </c>
      <c r="E2669" s="3" t="s">
        <v>139</v>
      </c>
      <c r="F2669" s="3" t="s">
        <v>3197</v>
      </c>
      <c r="G2669" s="9">
        <v>459.96</v>
      </c>
      <c r="H2669" s="10">
        <v>45666.762430555558</v>
      </c>
      <c r="I2669" s="10">
        <v>45666.762430555558</v>
      </c>
      <c r="J2669" s="10">
        <v>45666.764490740738</v>
      </c>
      <c r="K2669" s="11">
        <v>2.0601851851851849E-3</v>
      </c>
      <c r="L2669" s="13"/>
    </row>
    <row r="2670" spans="1:12" x14ac:dyDescent="0.25">
      <c r="A2670" s="3" t="s">
        <v>3225</v>
      </c>
      <c r="B2670" s="3" t="s">
        <v>5929</v>
      </c>
      <c r="C2670" s="3" t="s">
        <v>1211</v>
      </c>
      <c r="D2670" s="9">
        <v>19.899999999999999</v>
      </c>
      <c r="E2670" s="3" t="s">
        <v>139</v>
      </c>
      <c r="F2670" s="3" t="s">
        <v>3193</v>
      </c>
      <c r="G2670" s="9">
        <v>297.43</v>
      </c>
      <c r="H2670" s="10">
        <v>45666.764490740738</v>
      </c>
      <c r="I2670" s="10">
        <v>45666.764490740738</v>
      </c>
      <c r="J2670" s="10">
        <v>45666.765775462962</v>
      </c>
      <c r="K2670" s="11">
        <v>1.284722222222222E-3</v>
      </c>
      <c r="L2670" s="13"/>
    </row>
    <row r="2671" spans="1:12" x14ac:dyDescent="0.25">
      <c r="A2671" s="3" t="s">
        <v>3225</v>
      </c>
      <c r="B2671" s="3" t="s">
        <v>5930</v>
      </c>
      <c r="C2671" s="3" t="s">
        <v>1213</v>
      </c>
      <c r="D2671" s="9">
        <v>28</v>
      </c>
      <c r="E2671" s="3" t="s">
        <v>139</v>
      </c>
      <c r="F2671" s="3" t="s">
        <v>3198</v>
      </c>
      <c r="G2671" s="9">
        <v>350.87</v>
      </c>
      <c r="H2671" s="10">
        <v>45666.765775462962</v>
      </c>
      <c r="I2671" s="10">
        <v>45666.765775462962</v>
      </c>
      <c r="J2671" s="10">
        <v>45666.76730324074</v>
      </c>
      <c r="K2671" s="11">
        <v>1.5277777777777781E-3</v>
      </c>
      <c r="L2671" s="13"/>
    </row>
    <row r="2672" spans="1:12" x14ac:dyDescent="0.25">
      <c r="A2672" s="3" t="s">
        <v>3225</v>
      </c>
      <c r="B2672" s="3" t="s">
        <v>5931</v>
      </c>
      <c r="C2672" s="3" t="s">
        <v>1216</v>
      </c>
      <c r="D2672" s="9">
        <v>19.899999999999999</v>
      </c>
      <c r="E2672" s="3" t="s">
        <v>139</v>
      </c>
      <c r="F2672" s="3" t="s">
        <v>3195</v>
      </c>
      <c r="G2672" s="9">
        <v>405.43</v>
      </c>
      <c r="H2672" s="10">
        <v>45666.76730324074</v>
      </c>
      <c r="I2672" s="10">
        <v>45666.76730324074</v>
      </c>
      <c r="J2672" s="10">
        <v>45666.76903935185</v>
      </c>
      <c r="K2672" s="11">
        <v>1.736111111111111E-3</v>
      </c>
      <c r="L2672" s="13"/>
    </row>
    <row r="2673" spans="1:12" x14ac:dyDescent="0.25">
      <c r="A2673" s="3" t="s">
        <v>3225</v>
      </c>
      <c r="B2673" s="3" t="s">
        <v>5932</v>
      </c>
      <c r="C2673" s="3" t="s">
        <v>1219</v>
      </c>
      <c r="D2673" s="9">
        <v>15.7</v>
      </c>
      <c r="E2673" s="3" t="s">
        <v>139</v>
      </c>
      <c r="F2673" s="3" t="s">
        <v>3198</v>
      </c>
      <c r="G2673" s="9">
        <v>350.87</v>
      </c>
      <c r="H2673" s="10">
        <v>45666.76903935185</v>
      </c>
      <c r="I2673" s="10">
        <v>45666.76903935185</v>
      </c>
      <c r="J2673" s="10">
        <v>45666.770543981482</v>
      </c>
      <c r="K2673" s="11">
        <v>1.5046296296296301E-3</v>
      </c>
      <c r="L2673" s="13"/>
    </row>
    <row r="2674" spans="1:12" x14ac:dyDescent="0.25">
      <c r="A2674" s="3" t="s">
        <v>3225</v>
      </c>
      <c r="B2674" s="3" t="s">
        <v>5933</v>
      </c>
      <c r="C2674" s="3" t="s">
        <v>1224</v>
      </c>
      <c r="D2674" s="9">
        <v>19.899999999999999</v>
      </c>
      <c r="E2674" s="3" t="s">
        <v>142</v>
      </c>
      <c r="F2674" s="3" t="s">
        <v>3194</v>
      </c>
      <c r="G2674" s="9">
        <v>453.13</v>
      </c>
      <c r="H2674" s="10">
        <v>45666.771412037036</v>
      </c>
      <c r="I2674" s="10">
        <v>45666.771412037036</v>
      </c>
      <c r="J2674" s="10">
        <v>45666.773344907408</v>
      </c>
      <c r="K2674" s="11">
        <v>1.93287037037037E-3</v>
      </c>
      <c r="L2674" s="13"/>
    </row>
    <row r="2675" spans="1:12" x14ac:dyDescent="0.25">
      <c r="A2675" s="3" t="s">
        <v>3225</v>
      </c>
      <c r="B2675" s="3" t="s">
        <v>5934</v>
      </c>
      <c r="C2675" s="3" t="s">
        <v>1227</v>
      </c>
      <c r="D2675" s="9">
        <v>15.7</v>
      </c>
      <c r="E2675" s="3" t="s">
        <v>142</v>
      </c>
      <c r="F2675" s="3" t="s">
        <v>3200</v>
      </c>
      <c r="G2675" s="9">
        <v>398.2</v>
      </c>
      <c r="H2675" s="10">
        <v>45666.773344907408</v>
      </c>
      <c r="I2675" s="10">
        <v>45666.773344907408</v>
      </c>
      <c r="J2675" s="10">
        <v>45666.775034722217</v>
      </c>
      <c r="K2675" s="11">
        <v>1.689814814814815E-3</v>
      </c>
      <c r="L2675" s="13"/>
    </row>
    <row r="2676" spans="1:12" x14ac:dyDescent="0.25">
      <c r="A2676" s="3" t="s">
        <v>3225</v>
      </c>
      <c r="B2676" s="3" t="s">
        <v>5935</v>
      </c>
      <c r="C2676" s="3" t="s">
        <v>1229</v>
      </c>
      <c r="D2676" s="9">
        <v>74.599999999999994</v>
      </c>
      <c r="E2676" s="3" t="s">
        <v>142</v>
      </c>
      <c r="F2676" s="3" t="s">
        <v>3196</v>
      </c>
      <c r="G2676" s="9">
        <v>443.59</v>
      </c>
      <c r="H2676" s="10">
        <v>45666.775034722217</v>
      </c>
      <c r="I2676" s="10">
        <v>45666.775034722217</v>
      </c>
      <c r="J2676" s="10">
        <v>45666.777060185188</v>
      </c>
      <c r="K2676" s="11">
        <v>2.0254629629629629E-3</v>
      </c>
      <c r="L2676" s="13"/>
    </row>
    <row r="2677" spans="1:12" x14ac:dyDescent="0.25">
      <c r="A2677" s="3" t="s">
        <v>3225</v>
      </c>
      <c r="B2677" s="3" t="s">
        <v>5936</v>
      </c>
      <c r="C2677" s="3" t="s">
        <v>1232</v>
      </c>
      <c r="D2677" s="9">
        <v>23.2</v>
      </c>
      <c r="E2677" s="3" t="s">
        <v>142</v>
      </c>
      <c r="F2677" s="3" t="s">
        <v>3206</v>
      </c>
      <c r="G2677" s="9">
        <v>371.57</v>
      </c>
      <c r="H2677" s="10">
        <v>45666.777060185188</v>
      </c>
      <c r="I2677" s="10">
        <v>45666.777060185188</v>
      </c>
      <c r="J2677" s="10">
        <v>45666.778657407413</v>
      </c>
      <c r="K2677" s="11">
        <v>1.5972222222222221E-3</v>
      </c>
      <c r="L2677" s="13"/>
    </row>
    <row r="2678" spans="1:12" x14ac:dyDescent="0.25">
      <c r="A2678" s="3" t="s">
        <v>3225</v>
      </c>
      <c r="B2678" s="3" t="s">
        <v>5937</v>
      </c>
      <c r="C2678" s="3" t="s">
        <v>1234</v>
      </c>
      <c r="D2678" s="9">
        <v>14</v>
      </c>
      <c r="E2678" s="3" t="s">
        <v>142</v>
      </c>
      <c r="F2678" s="3" t="s">
        <v>3198</v>
      </c>
      <c r="G2678" s="9">
        <v>344.04</v>
      </c>
      <c r="H2678" s="10">
        <v>45666.778657407413</v>
      </c>
      <c r="I2678" s="10">
        <v>45666.778657407413</v>
      </c>
      <c r="J2678" s="10">
        <v>45666.780127314807</v>
      </c>
      <c r="K2678" s="11">
        <v>1.469907407407407E-3</v>
      </c>
      <c r="L2678" s="13"/>
    </row>
    <row r="2679" spans="1:12" x14ac:dyDescent="0.25">
      <c r="A2679" s="3" t="s">
        <v>3225</v>
      </c>
      <c r="B2679" s="3" t="s">
        <v>5938</v>
      </c>
      <c r="C2679" s="3" t="s">
        <v>1236</v>
      </c>
      <c r="D2679" s="9">
        <v>15.7</v>
      </c>
      <c r="E2679" s="3" t="s">
        <v>142</v>
      </c>
      <c r="F2679" s="3" t="s">
        <v>3195</v>
      </c>
      <c r="G2679" s="9">
        <v>398.6</v>
      </c>
      <c r="H2679" s="10">
        <v>45666.780127314807</v>
      </c>
      <c r="I2679" s="10">
        <v>45666.780127314807</v>
      </c>
      <c r="J2679" s="10">
        <v>45666.781828703701</v>
      </c>
      <c r="K2679" s="11">
        <v>1.701388888888889E-3</v>
      </c>
      <c r="L2679" s="13"/>
    </row>
    <row r="2680" spans="1:12" x14ac:dyDescent="0.25">
      <c r="A2680" s="3" t="s">
        <v>3225</v>
      </c>
      <c r="B2680" s="3" t="s">
        <v>5939</v>
      </c>
      <c r="C2680" s="3" t="s">
        <v>1238</v>
      </c>
      <c r="D2680" s="9">
        <v>19.899999999999999</v>
      </c>
      <c r="E2680" s="3" t="s">
        <v>142</v>
      </c>
      <c r="F2680" s="3" t="s">
        <v>3194</v>
      </c>
      <c r="G2680" s="9">
        <v>453.13</v>
      </c>
      <c r="H2680" s="10">
        <v>45666.781828703701</v>
      </c>
      <c r="I2680" s="10">
        <v>45666.781828703701</v>
      </c>
      <c r="J2680" s="10">
        <v>45666.783761574072</v>
      </c>
      <c r="K2680" s="11">
        <v>1.93287037037037E-3</v>
      </c>
      <c r="L2680" s="13"/>
    </row>
    <row r="2681" spans="1:12" x14ac:dyDescent="0.25">
      <c r="A2681" s="3" t="s">
        <v>3225</v>
      </c>
      <c r="B2681" s="3" t="s">
        <v>5940</v>
      </c>
      <c r="C2681" s="3" t="s">
        <v>1240</v>
      </c>
      <c r="D2681" s="9">
        <v>54</v>
      </c>
      <c r="E2681" s="3" t="s">
        <v>142</v>
      </c>
      <c r="F2681" s="3" t="s">
        <v>3193</v>
      </c>
      <c r="G2681" s="9">
        <v>290.60000000000002</v>
      </c>
      <c r="H2681" s="10">
        <v>45666.783761574072</v>
      </c>
      <c r="I2681" s="10">
        <v>45666.783761574072</v>
      </c>
      <c r="J2681" s="10">
        <v>45666.785092592603</v>
      </c>
      <c r="K2681" s="11">
        <v>1.3310185185185181E-3</v>
      </c>
      <c r="L2681" s="13"/>
    </row>
    <row r="2682" spans="1:12" x14ac:dyDescent="0.25">
      <c r="A2682" s="3" t="s">
        <v>3225</v>
      </c>
      <c r="B2682" s="3" t="s">
        <v>5941</v>
      </c>
      <c r="C2682" s="3" t="s">
        <v>1243</v>
      </c>
      <c r="D2682" s="9">
        <v>63</v>
      </c>
      <c r="E2682" s="3" t="s">
        <v>142</v>
      </c>
      <c r="F2682" s="3" t="s">
        <v>3198</v>
      </c>
      <c r="G2682" s="9">
        <v>344.04</v>
      </c>
      <c r="H2682" s="10">
        <v>45666.785092592603</v>
      </c>
      <c r="I2682" s="10">
        <v>45666.785092592603</v>
      </c>
      <c r="J2682" s="10">
        <v>45666.786678240736</v>
      </c>
      <c r="K2682" s="11">
        <v>1.5856481481481481E-3</v>
      </c>
      <c r="L2682" s="13"/>
    </row>
    <row r="2683" spans="1:12" x14ac:dyDescent="0.25">
      <c r="A2683" s="3" t="s">
        <v>3225</v>
      </c>
      <c r="B2683" s="3" t="s">
        <v>5942</v>
      </c>
      <c r="C2683" s="3" t="s">
        <v>1245</v>
      </c>
      <c r="D2683" s="9">
        <v>15.7</v>
      </c>
      <c r="E2683" s="3" t="s">
        <v>142</v>
      </c>
      <c r="F2683" s="3" t="s">
        <v>3199</v>
      </c>
      <c r="G2683" s="9">
        <v>443.59</v>
      </c>
      <c r="H2683" s="10">
        <v>45666.786678240736</v>
      </c>
      <c r="I2683" s="10">
        <v>45666.786678240736</v>
      </c>
      <c r="J2683" s="10">
        <v>45666.788553240738</v>
      </c>
      <c r="K2683" s="11">
        <v>1.8749999999999999E-3</v>
      </c>
      <c r="L2683" s="13"/>
    </row>
    <row r="2684" spans="1:12" x14ac:dyDescent="0.25">
      <c r="A2684" s="3" t="s">
        <v>3225</v>
      </c>
      <c r="B2684" s="3" t="s">
        <v>5943</v>
      </c>
      <c r="C2684" s="3" t="s">
        <v>1247</v>
      </c>
      <c r="D2684" s="9">
        <v>101.7</v>
      </c>
      <c r="E2684" s="3" t="s">
        <v>142</v>
      </c>
      <c r="F2684" s="3" t="s">
        <v>3195</v>
      </c>
      <c r="G2684" s="9">
        <v>398.6</v>
      </c>
      <c r="H2684" s="10">
        <v>45666.788553240738</v>
      </c>
      <c r="I2684" s="10">
        <v>45666.788553240738</v>
      </c>
      <c r="J2684" s="10">
        <v>45666.790451388893</v>
      </c>
      <c r="K2684" s="11">
        <v>1.8981481481481479E-3</v>
      </c>
      <c r="L2684" s="13"/>
    </row>
    <row r="2685" spans="1:12" x14ac:dyDescent="0.25">
      <c r="A2685" s="3" t="s">
        <v>3225</v>
      </c>
      <c r="B2685" s="3" t="s">
        <v>5944</v>
      </c>
      <c r="C2685" s="3" t="s">
        <v>1249</v>
      </c>
      <c r="D2685" s="9">
        <v>27</v>
      </c>
      <c r="E2685" s="3" t="s">
        <v>139</v>
      </c>
      <c r="F2685" s="3" t="s">
        <v>3193</v>
      </c>
      <c r="G2685" s="9">
        <v>297.43</v>
      </c>
      <c r="H2685" s="10">
        <v>45666.850324074083</v>
      </c>
      <c r="I2685" s="10">
        <v>45666.850324074083</v>
      </c>
      <c r="J2685" s="10">
        <v>45666.851620370369</v>
      </c>
      <c r="K2685" s="11">
        <v>1.296296296296296E-3</v>
      </c>
      <c r="L2685" s="13"/>
    </row>
    <row r="2686" spans="1:12" x14ac:dyDescent="0.25">
      <c r="A2686" s="3" t="s">
        <v>3225</v>
      </c>
      <c r="B2686" s="3" t="s">
        <v>5945</v>
      </c>
      <c r="C2686" s="3" t="s">
        <v>1251</v>
      </c>
      <c r="D2686" s="9">
        <v>21</v>
      </c>
      <c r="E2686" s="3" t="s">
        <v>139</v>
      </c>
      <c r="F2686" s="3" t="s">
        <v>3203</v>
      </c>
      <c r="G2686" s="9">
        <v>269.92</v>
      </c>
      <c r="H2686" s="10">
        <v>45666.851620370369</v>
      </c>
      <c r="I2686" s="10">
        <v>45666.851620370369</v>
      </c>
      <c r="J2686" s="10">
        <v>45666.852800925917</v>
      </c>
      <c r="K2686" s="11">
        <v>1.180555555555556E-3</v>
      </c>
      <c r="L2686" s="13"/>
    </row>
    <row r="2687" spans="1:12" x14ac:dyDescent="0.25">
      <c r="A2687" s="3" t="s">
        <v>3225</v>
      </c>
      <c r="B2687" s="3" t="s">
        <v>5946</v>
      </c>
      <c r="C2687" s="3" t="s">
        <v>1254</v>
      </c>
      <c r="D2687" s="9">
        <v>31.5</v>
      </c>
      <c r="E2687" s="3" t="s">
        <v>139</v>
      </c>
      <c r="F2687" s="3" t="s">
        <v>3193</v>
      </c>
      <c r="G2687" s="9">
        <v>297.43</v>
      </c>
      <c r="H2687" s="10">
        <v>45666.852800925917</v>
      </c>
      <c r="I2687" s="10">
        <v>45666.852800925917</v>
      </c>
      <c r="J2687" s="10">
        <v>45666.854108796288</v>
      </c>
      <c r="K2687" s="11">
        <v>1.30787037037037E-3</v>
      </c>
      <c r="L2687" s="13"/>
    </row>
    <row r="2688" spans="1:12" x14ac:dyDescent="0.25">
      <c r="A2688" s="3" t="s">
        <v>3225</v>
      </c>
      <c r="B2688" s="3" t="s">
        <v>5947</v>
      </c>
      <c r="C2688" s="3" t="s">
        <v>1256</v>
      </c>
      <c r="D2688" s="9">
        <v>62.2</v>
      </c>
      <c r="E2688" s="3" t="s">
        <v>139</v>
      </c>
      <c r="F2688" s="3" t="s">
        <v>3195</v>
      </c>
      <c r="G2688" s="9">
        <v>405.43</v>
      </c>
      <c r="H2688" s="10">
        <v>45666.854108796288</v>
      </c>
      <c r="I2688" s="10">
        <v>45666.854108796288</v>
      </c>
      <c r="J2688" s="10">
        <v>45666.855937499997</v>
      </c>
      <c r="K2688" s="11">
        <v>1.8287037037037039E-3</v>
      </c>
      <c r="L2688" s="13"/>
    </row>
    <row r="2689" spans="1:12" x14ac:dyDescent="0.25">
      <c r="A2689" s="3" t="s">
        <v>3225</v>
      </c>
      <c r="B2689" s="3" t="s">
        <v>5948</v>
      </c>
      <c r="C2689" s="3" t="s">
        <v>1259</v>
      </c>
      <c r="D2689" s="9">
        <v>19.899999999999999</v>
      </c>
      <c r="E2689" s="3" t="s">
        <v>139</v>
      </c>
      <c r="F2689" s="3" t="s">
        <v>3204</v>
      </c>
      <c r="G2689" s="9">
        <v>477.75</v>
      </c>
      <c r="H2689" s="10">
        <v>45666.855937499997</v>
      </c>
      <c r="I2689" s="10">
        <v>45666.855937499997</v>
      </c>
      <c r="J2689" s="10">
        <v>45666.857974537037</v>
      </c>
      <c r="K2689" s="11">
        <v>2.0370370370370369E-3</v>
      </c>
      <c r="L2689" s="13"/>
    </row>
    <row r="2690" spans="1:12" x14ac:dyDescent="0.25">
      <c r="A2690" s="3" t="s">
        <v>3225</v>
      </c>
      <c r="B2690" s="3" t="s">
        <v>5949</v>
      </c>
      <c r="C2690" s="3" t="s">
        <v>1261</v>
      </c>
      <c r="D2690" s="9">
        <v>63</v>
      </c>
      <c r="E2690" s="3" t="s">
        <v>139</v>
      </c>
      <c r="F2690" s="3" t="s">
        <v>3204</v>
      </c>
      <c r="G2690" s="9">
        <v>477.75</v>
      </c>
      <c r="H2690" s="10">
        <v>45666.857974537037</v>
      </c>
      <c r="I2690" s="10">
        <v>45666.857974537037</v>
      </c>
      <c r="J2690" s="10">
        <v>45666.860115740739</v>
      </c>
      <c r="K2690" s="11">
        <v>2.1412037037037042E-3</v>
      </c>
      <c r="L2690" s="13"/>
    </row>
    <row r="2691" spans="1:12" x14ac:dyDescent="0.25">
      <c r="A2691" s="3" t="s">
        <v>3225</v>
      </c>
      <c r="B2691" s="3" t="s">
        <v>5950</v>
      </c>
      <c r="C2691" s="3" t="s">
        <v>1263</v>
      </c>
      <c r="D2691" s="9">
        <v>15.7</v>
      </c>
      <c r="E2691" s="3" t="s">
        <v>139</v>
      </c>
      <c r="F2691" s="3" t="s">
        <v>3206</v>
      </c>
      <c r="G2691" s="9">
        <v>378.4</v>
      </c>
      <c r="H2691" s="10">
        <v>45666.860115740739</v>
      </c>
      <c r="I2691" s="10">
        <v>45666.860115740739</v>
      </c>
      <c r="J2691" s="10">
        <v>45666.861724537041</v>
      </c>
      <c r="K2691" s="11">
        <v>1.6087962962962961E-3</v>
      </c>
      <c r="L2691" s="13"/>
    </row>
    <row r="2692" spans="1:12" x14ac:dyDescent="0.25">
      <c r="A2692" s="3" t="s">
        <v>3225</v>
      </c>
      <c r="B2692" s="3" t="s">
        <v>5951</v>
      </c>
      <c r="C2692" s="3" t="s">
        <v>1266</v>
      </c>
      <c r="D2692" s="9">
        <v>51.4</v>
      </c>
      <c r="E2692" s="3" t="s">
        <v>139</v>
      </c>
      <c r="F2692" s="3" t="s">
        <v>3196</v>
      </c>
      <c r="G2692" s="9">
        <v>450.42</v>
      </c>
      <c r="H2692" s="10">
        <v>45666.861724537041</v>
      </c>
      <c r="I2692" s="10">
        <v>45666.861724537041</v>
      </c>
      <c r="J2692" s="10">
        <v>45666.863726851851</v>
      </c>
      <c r="K2692" s="11">
        <v>2.0023148148148148E-3</v>
      </c>
      <c r="L2692" s="13"/>
    </row>
    <row r="2693" spans="1:12" x14ac:dyDescent="0.25">
      <c r="A2693" s="3" t="s">
        <v>3225</v>
      </c>
      <c r="B2693" s="3" t="s">
        <v>5952</v>
      </c>
      <c r="C2693" s="3" t="s">
        <v>1268</v>
      </c>
      <c r="D2693" s="9">
        <v>44</v>
      </c>
      <c r="E2693" s="3" t="s">
        <v>139</v>
      </c>
      <c r="F2693" s="3" t="s">
        <v>3205</v>
      </c>
      <c r="G2693" s="9">
        <v>299.11</v>
      </c>
      <c r="H2693" s="10">
        <v>45667.12427083333</v>
      </c>
      <c r="I2693" s="10">
        <v>45667.12427083333</v>
      </c>
      <c r="J2693" s="10">
        <v>45667.125625000001</v>
      </c>
      <c r="K2693" s="11">
        <v>1.3541666666666669E-3</v>
      </c>
      <c r="L2693" s="13"/>
    </row>
    <row r="2694" spans="1:12" x14ac:dyDescent="0.25">
      <c r="A2694" s="3" t="s">
        <v>3225</v>
      </c>
      <c r="B2694" s="3" t="s">
        <v>5953</v>
      </c>
      <c r="C2694" s="3" t="s">
        <v>1270</v>
      </c>
      <c r="D2694" s="9">
        <v>47.2</v>
      </c>
      <c r="E2694" s="3" t="s">
        <v>139</v>
      </c>
      <c r="F2694" s="3" t="s">
        <v>3199</v>
      </c>
      <c r="G2694" s="9">
        <v>450.42</v>
      </c>
      <c r="H2694" s="10">
        <v>45667.125625000001</v>
      </c>
      <c r="I2694" s="10">
        <v>45667.125625000001</v>
      </c>
      <c r="J2694" s="10">
        <v>45667.127604166657</v>
      </c>
      <c r="K2694" s="11">
        <v>1.9791666666666668E-3</v>
      </c>
      <c r="L2694" s="13"/>
    </row>
    <row r="2695" spans="1:12" x14ac:dyDescent="0.25">
      <c r="A2695" s="3" t="s">
        <v>3225</v>
      </c>
      <c r="B2695" s="3" t="s">
        <v>5954</v>
      </c>
      <c r="C2695" s="3" t="s">
        <v>1272</v>
      </c>
      <c r="D2695" s="9">
        <v>182.4</v>
      </c>
      <c r="E2695" s="3" t="s">
        <v>139</v>
      </c>
      <c r="F2695" s="3" t="s">
        <v>3194</v>
      </c>
      <c r="G2695" s="9">
        <v>459.96</v>
      </c>
      <c r="H2695" s="10">
        <v>45667.127604166657</v>
      </c>
      <c r="I2695" s="10">
        <v>45667.127604166657</v>
      </c>
      <c r="J2695" s="10">
        <v>45667.129942129628</v>
      </c>
      <c r="K2695" s="11">
        <v>2.3379629629629631E-3</v>
      </c>
      <c r="L2695" s="13"/>
    </row>
    <row r="2696" spans="1:12" x14ac:dyDescent="0.25">
      <c r="A2696" s="3" t="s">
        <v>3225</v>
      </c>
      <c r="B2696" s="3" t="s">
        <v>5955</v>
      </c>
      <c r="C2696" s="3" t="s">
        <v>1274</v>
      </c>
      <c r="D2696" s="9">
        <v>35.6</v>
      </c>
      <c r="E2696" s="3" t="s">
        <v>139</v>
      </c>
      <c r="F2696" s="3" t="s">
        <v>3201</v>
      </c>
      <c r="G2696" s="9">
        <v>412.05</v>
      </c>
      <c r="H2696" s="10">
        <v>45667.129942129628</v>
      </c>
      <c r="I2696" s="10">
        <v>45667.129942129628</v>
      </c>
      <c r="J2696" s="10">
        <v>45667.131747685176</v>
      </c>
      <c r="K2696" s="11">
        <v>1.805555555555555E-3</v>
      </c>
      <c r="L2696" s="13"/>
    </row>
    <row r="2697" spans="1:12" x14ac:dyDescent="0.25">
      <c r="A2697" s="3" t="s">
        <v>3225</v>
      </c>
      <c r="B2697" s="3" t="s">
        <v>5956</v>
      </c>
      <c r="C2697" s="3" t="s">
        <v>1276</v>
      </c>
      <c r="D2697" s="9">
        <v>219.5</v>
      </c>
      <c r="E2697" s="3" t="s">
        <v>139</v>
      </c>
      <c r="F2697" s="3" t="s">
        <v>3203</v>
      </c>
      <c r="G2697" s="9">
        <v>269.92</v>
      </c>
      <c r="H2697" s="10">
        <v>45667.196446759262</v>
      </c>
      <c r="I2697" s="10">
        <v>45667.196446759262</v>
      </c>
      <c r="J2697" s="10">
        <v>45667.198078703703</v>
      </c>
      <c r="K2697" s="11">
        <v>1.631944444444445E-3</v>
      </c>
      <c r="L2697" s="13"/>
    </row>
    <row r="2698" spans="1:12" x14ac:dyDescent="0.25">
      <c r="A2698" s="3" t="s">
        <v>3225</v>
      </c>
      <c r="B2698" s="3" t="s">
        <v>5957</v>
      </c>
      <c r="C2698" s="3" t="s">
        <v>1278</v>
      </c>
      <c r="D2698" s="9">
        <v>298</v>
      </c>
      <c r="E2698" s="3" t="s">
        <v>139</v>
      </c>
      <c r="F2698" s="3" t="s">
        <v>3202</v>
      </c>
      <c r="G2698" s="9">
        <v>324.35000000000002</v>
      </c>
      <c r="H2698" s="10">
        <v>45667.248680555553</v>
      </c>
      <c r="I2698" s="10">
        <v>45667.248680555553</v>
      </c>
      <c r="J2698" s="10">
        <v>45667.25072916667</v>
      </c>
      <c r="K2698" s="11">
        <v>2.0486111111111109E-3</v>
      </c>
      <c r="L2698" s="13"/>
    </row>
    <row r="2699" spans="1:12" x14ac:dyDescent="0.25">
      <c r="A2699" s="3" t="s">
        <v>3225</v>
      </c>
      <c r="B2699" s="3" t="s">
        <v>5958</v>
      </c>
      <c r="C2699" s="3" t="s">
        <v>1280</v>
      </c>
      <c r="D2699" s="9">
        <v>19.899999999999999</v>
      </c>
      <c r="E2699" s="3" t="s">
        <v>139</v>
      </c>
      <c r="F2699" s="3" t="s">
        <v>3204</v>
      </c>
      <c r="G2699" s="9">
        <v>477.75</v>
      </c>
      <c r="H2699" s="10">
        <v>45667.29420138889</v>
      </c>
      <c r="I2699" s="10">
        <v>45667.29420138889</v>
      </c>
      <c r="J2699" s="10">
        <v>45667.296238425923</v>
      </c>
      <c r="K2699" s="11">
        <v>2.0370370370370369E-3</v>
      </c>
      <c r="L2699" s="13"/>
    </row>
    <row r="2700" spans="1:12" x14ac:dyDescent="0.25">
      <c r="A2700" s="3" t="s">
        <v>3225</v>
      </c>
      <c r="B2700" s="3" t="s">
        <v>5959</v>
      </c>
      <c r="C2700" s="3" t="s">
        <v>1283</v>
      </c>
      <c r="D2700" s="9">
        <v>15.7</v>
      </c>
      <c r="E2700" s="3" t="s">
        <v>139</v>
      </c>
      <c r="F2700" s="3" t="s">
        <v>3199</v>
      </c>
      <c r="G2700" s="9">
        <v>450.42</v>
      </c>
      <c r="H2700" s="10">
        <v>45667.296238425923</v>
      </c>
      <c r="I2700" s="10">
        <v>45667.296238425923</v>
      </c>
      <c r="J2700" s="10">
        <v>45667.298159722217</v>
      </c>
      <c r="K2700" s="11">
        <v>1.9212962962962959E-3</v>
      </c>
      <c r="L2700" s="13"/>
    </row>
    <row r="2701" spans="1:12" x14ac:dyDescent="0.25">
      <c r="A2701" s="3" t="s">
        <v>3225</v>
      </c>
      <c r="B2701" s="3" t="s">
        <v>5960</v>
      </c>
      <c r="C2701" s="3" t="s">
        <v>1285</v>
      </c>
      <c r="D2701" s="9">
        <v>94.4</v>
      </c>
      <c r="E2701" s="3" t="s">
        <v>139</v>
      </c>
      <c r="F2701" s="3" t="s">
        <v>3193</v>
      </c>
      <c r="G2701" s="9">
        <v>297.43</v>
      </c>
      <c r="H2701" s="10">
        <v>45667.298159722217</v>
      </c>
      <c r="I2701" s="10">
        <v>45667.298159722217</v>
      </c>
      <c r="J2701" s="10">
        <v>45667.299618055556</v>
      </c>
      <c r="K2701" s="11">
        <v>1.458333333333333E-3</v>
      </c>
      <c r="L2701" s="13"/>
    </row>
    <row r="2702" spans="1:12" x14ac:dyDescent="0.25">
      <c r="A2702" s="3" t="s">
        <v>3225</v>
      </c>
      <c r="B2702" s="3" t="s">
        <v>5961</v>
      </c>
      <c r="C2702" s="3" t="s">
        <v>1287</v>
      </c>
      <c r="D2702" s="9">
        <v>124.4</v>
      </c>
      <c r="E2702" s="3" t="s">
        <v>139</v>
      </c>
      <c r="F2702" s="3" t="s">
        <v>3195</v>
      </c>
      <c r="G2702" s="9">
        <v>405.43</v>
      </c>
      <c r="H2702" s="10">
        <v>45667.299618055556</v>
      </c>
      <c r="I2702" s="10">
        <v>45667.299618055556</v>
      </c>
      <c r="J2702" s="10">
        <v>45667.30159722222</v>
      </c>
      <c r="K2702" s="11">
        <v>1.9791666666666668E-3</v>
      </c>
      <c r="L2702" s="13"/>
    </row>
    <row r="2703" spans="1:12" x14ac:dyDescent="0.25">
      <c r="A2703" s="3" t="s">
        <v>3225</v>
      </c>
      <c r="B2703" s="3" t="s">
        <v>5962</v>
      </c>
      <c r="C2703" s="3" t="s">
        <v>1289</v>
      </c>
      <c r="D2703" s="9">
        <v>19.899999999999999</v>
      </c>
      <c r="E2703" s="3" t="s">
        <v>139</v>
      </c>
      <c r="F2703" s="3" t="s">
        <v>3203</v>
      </c>
      <c r="G2703" s="9">
        <v>269.92</v>
      </c>
      <c r="H2703" s="10">
        <v>45667.30159722222</v>
      </c>
      <c r="I2703" s="10">
        <v>45667.30159722222</v>
      </c>
      <c r="J2703" s="10">
        <v>45667.302766203713</v>
      </c>
      <c r="K2703" s="11">
        <v>1.168981481481482E-3</v>
      </c>
      <c r="L2703" s="13"/>
    </row>
    <row r="2704" spans="1:12" x14ac:dyDescent="0.25">
      <c r="A2704" s="3" t="s">
        <v>3225</v>
      </c>
      <c r="B2704" s="3" t="s">
        <v>5963</v>
      </c>
      <c r="C2704" s="3" t="s">
        <v>1292</v>
      </c>
      <c r="D2704" s="9">
        <v>36.4</v>
      </c>
      <c r="E2704" s="3" t="s">
        <v>139</v>
      </c>
      <c r="F2704" s="3" t="s">
        <v>3204</v>
      </c>
      <c r="G2704" s="9">
        <v>477.75</v>
      </c>
      <c r="H2704" s="10">
        <v>45667.302766203713</v>
      </c>
      <c r="I2704" s="10">
        <v>45667.302766203713</v>
      </c>
      <c r="J2704" s="10">
        <v>45667.304837962962</v>
      </c>
      <c r="K2704" s="11">
        <v>2.0717592592592589E-3</v>
      </c>
      <c r="L2704" s="13"/>
    </row>
    <row r="2705" spans="1:12" x14ac:dyDescent="0.25">
      <c r="A2705" s="3" t="s">
        <v>3225</v>
      </c>
      <c r="B2705" s="3" t="s">
        <v>5964</v>
      </c>
      <c r="C2705" s="3" t="s">
        <v>1294</v>
      </c>
      <c r="D2705" s="9">
        <v>35.6</v>
      </c>
      <c r="E2705" s="3" t="s">
        <v>139</v>
      </c>
      <c r="F2705" s="3" t="s">
        <v>3195</v>
      </c>
      <c r="G2705" s="9">
        <v>405.43</v>
      </c>
      <c r="H2705" s="10">
        <v>45667.304837962962</v>
      </c>
      <c r="I2705" s="10">
        <v>45667.304837962962</v>
      </c>
      <c r="J2705" s="10">
        <v>45667.306608796287</v>
      </c>
      <c r="K2705" s="11">
        <v>1.770833333333333E-3</v>
      </c>
      <c r="L2705" s="13"/>
    </row>
    <row r="2706" spans="1:12" x14ac:dyDescent="0.25">
      <c r="A2706" s="3" t="s">
        <v>3225</v>
      </c>
      <c r="B2706" s="3" t="s">
        <v>5965</v>
      </c>
      <c r="C2706" s="3" t="s">
        <v>1297</v>
      </c>
      <c r="D2706" s="9">
        <v>19.899999999999999</v>
      </c>
      <c r="E2706" s="3" t="s">
        <v>139</v>
      </c>
      <c r="F2706" s="3" t="s">
        <v>3201</v>
      </c>
      <c r="G2706" s="9">
        <v>412.05</v>
      </c>
      <c r="H2706" s="10">
        <v>45667.306608796287</v>
      </c>
      <c r="I2706" s="10">
        <v>45667.306608796287</v>
      </c>
      <c r="J2706" s="10">
        <v>45667.308368055557</v>
      </c>
      <c r="K2706" s="11">
        <v>1.759259259259259E-3</v>
      </c>
      <c r="L2706" s="13"/>
    </row>
    <row r="2707" spans="1:12" x14ac:dyDescent="0.25">
      <c r="A2707" s="3" t="s">
        <v>3225</v>
      </c>
      <c r="B2707" s="3" t="s">
        <v>5966</v>
      </c>
      <c r="C2707" s="3" t="s">
        <v>1300</v>
      </c>
      <c r="D2707" s="9">
        <v>19.899999999999999</v>
      </c>
      <c r="E2707" s="3" t="s">
        <v>139</v>
      </c>
      <c r="F2707" s="3" t="s">
        <v>3195</v>
      </c>
      <c r="G2707" s="9">
        <v>405.43</v>
      </c>
      <c r="H2707" s="10">
        <v>45667.308368055557</v>
      </c>
      <c r="I2707" s="10">
        <v>45667.308368055557</v>
      </c>
      <c r="J2707" s="10">
        <v>45667.310104166667</v>
      </c>
      <c r="K2707" s="11">
        <v>1.736111111111111E-3</v>
      </c>
      <c r="L2707" s="13"/>
    </row>
    <row r="2708" spans="1:12" x14ac:dyDescent="0.25">
      <c r="A2708" s="3" t="s">
        <v>3225</v>
      </c>
      <c r="B2708" s="3" t="s">
        <v>5967</v>
      </c>
      <c r="C2708" s="3" t="s">
        <v>1302</v>
      </c>
      <c r="D2708" s="9">
        <v>193.1</v>
      </c>
      <c r="E2708" s="3" t="s">
        <v>139</v>
      </c>
      <c r="F2708" s="3" t="s">
        <v>3197</v>
      </c>
      <c r="G2708" s="9">
        <v>459.96</v>
      </c>
      <c r="H2708" s="10">
        <v>45667.317453703698</v>
      </c>
      <c r="I2708" s="10">
        <v>45667.317453703698</v>
      </c>
      <c r="J2708" s="10">
        <v>45667.319814814808</v>
      </c>
      <c r="K2708" s="11">
        <v>2.3611111111111111E-3</v>
      </c>
      <c r="L2708" s="13"/>
    </row>
    <row r="2709" spans="1:12" x14ac:dyDescent="0.25">
      <c r="A2709" s="3" t="s">
        <v>3225</v>
      </c>
      <c r="B2709" s="3" t="s">
        <v>5968</v>
      </c>
      <c r="C2709" s="3" t="s">
        <v>1305</v>
      </c>
      <c r="D2709" s="9">
        <v>380.8</v>
      </c>
      <c r="E2709" s="3" t="s">
        <v>139</v>
      </c>
      <c r="F2709" s="3" t="s">
        <v>3200</v>
      </c>
      <c r="G2709" s="9">
        <v>405.03</v>
      </c>
      <c r="H2709" s="10">
        <v>45667.339143518519</v>
      </c>
      <c r="I2709" s="10">
        <v>45667.339143518519</v>
      </c>
      <c r="J2709" s="10">
        <v>45667.34171296296</v>
      </c>
      <c r="K2709" s="11">
        <v>2.5694444444444449E-3</v>
      </c>
      <c r="L2709" s="13"/>
    </row>
    <row r="2710" spans="1:12" x14ac:dyDescent="0.25">
      <c r="A2710" s="3" t="s">
        <v>3225</v>
      </c>
      <c r="B2710" s="3" t="s">
        <v>5969</v>
      </c>
      <c r="C2710" s="3" t="s">
        <v>1337</v>
      </c>
      <c r="D2710" s="9">
        <v>75</v>
      </c>
      <c r="E2710" s="3" t="s">
        <v>139</v>
      </c>
      <c r="F2710" s="3" t="s">
        <v>3202</v>
      </c>
      <c r="G2710" s="9">
        <v>324.35000000000002</v>
      </c>
      <c r="H2710" s="10">
        <v>45667.383368055547</v>
      </c>
      <c r="I2710" s="10">
        <v>45667.383368055547</v>
      </c>
      <c r="J2710" s="10">
        <v>45667.384884259263</v>
      </c>
      <c r="K2710" s="11">
        <v>1.5162037037037041E-3</v>
      </c>
      <c r="L2710" s="13"/>
    </row>
    <row r="2711" spans="1:12" x14ac:dyDescent="0.25">
      <c r="A2711" s="3" t="s">
        <v>3225</v>
      </c>
      <c r="B2711" s="3" t="s">
        <v>5970</v>
      </c>
      <c r="C2711" s="3" t="s">
        <v>1340</v>
      </c>
      <c r="D2711" s="9">
        <v>37.5</v>
      </c>
      <c r="E2711" s="3" t="s">
        <v>139</v>
      </c>
      <c r="F2711" s="3" t="s">
        <v>3199</v>
      </c>
      <c r="G2711" s="9">
        <v>450.42</v>
      </c>
      <c r="H2711" s="10">
        <v>45667.384884259263</v>
      </c>
      <c r="I2711" s="10">
        <v>45667.384884259263</v>
      </c>
      <c r="J2711" s="10">
        <v>45667.38685185185</v>
      </c>
      <c r="K2711" s="11">
        <v>1.967592592592592E-3</v>
      </c>
      <c r="L2711" s="13"/>
    </row>
    <row r="2712" spans="1:12" x14ac:dyDescent="0.25">
      <c r="A2712" s="3" t="s">
        <v>3225</v>
      </c>
      <c r="B2712" s="3" t="s">
        <v>5971</v>
      </c>
      <c r="C2712" s="3" t="s">
        <v>1342</v>
      </c>
      <c r="D2712" s="9">
        <v>93.8</v>
      </c>
      <c r="E2712" s="3" t="s">
        <v>139</v>
      </c>
      <c r="F2712" s="3" t="s">
        <v>3202</v>
      </c>
      <c r="G2712" s="9">
        <v>324.35000000000002</v>
      </c>
      <c r="H2712" s="10">
        <v>45667.38685185185</v>
      </c>
      <c r="I2712" s="10">
        <v>45667.38685185185</v>
      </c>
      <c r="J2712" s="10">
        <v>45667.388425925928</v>
      </c>
      <c r="K2712" s="11">
        <v>1.5740740740740741E-3</v>
      </c>
      <c r="L2712" s="13"/>
    </row>
    <row r="2713" spans="1:12" x14ac:dyDescent="0.25">
      <c r="A2713" s="3" t="s">
        <v>3225</v>
      </c>
      <c r="B2713" s="3" t="s">
        <v>5972</v>
      </c>
      <c r="C2713" s="3" t="s">
        <v>1308</v>
      </c>
      <c r="D2713" s="9">
        <v>19.899999999999999</v>
      </c>
      <c r="E2713" s="3" t="s">
        <v>142</v>
      </c>
      <c r="F2713" s="3" t="s">
        <v>3195</v>
      </c>
      <c r="G2713" s="9">
        <v>398.6</v>
      </c>
      <c r="H2713" s="10">
        <v>45667.389305555553</v>
      </c>
      <c r="I2713" s="10">
        <v>45667.389305555553</v>
      </c>
      <c r="J2713" s="10">
        <v>45667.391006944446</v>
      </c>
      <c r="K2713" s="11">
        <v>1.701388888888889E-3</v>
      </c>
      <c r="L2713" s="13"/>
    </row>
    <row r="2714" spans="1:12" x14ac:dyDescent="0.25">
      <c r="A2714" s="3" t="s">
        <v>3225</v>
      </c>
      <c r="B2714" s="3" t="s">
        <v>5973</v>
      </c>
      <c r="C2714" s="3" t="s">
        <v>1310</v>
      </c>
      <c r="D2714" s="9">
        <v>141.69999999999999</v>
      </c>
      <c r="E2714" s="3" t="s">
        <v>142</v>
      </c>
      <c r="F2714" s="3" t="s">
        <v>3193</v>
      </c>
      <c r="G2714" s="9">
        <v>290.60000000000002</v>
      </c>
      <c r="H2714" s="10">
        <v>45667.391006944446</v>
      </c>
      <c r="I2714" s="10">
        <v>45667.391006944446</v>
      </c>
      <c r="J2714" s="10">
        <v>45667.392546296287</v>
      </c>
      <c r="K2714" s="11">
        <v>1.5393518518518521E-3</v>
      </c>
      <c r="L2714" s="13"/>
    </row>
    <row r="2715" spans="1:12" x14ac:dyDescent="0.25">
      <c r="A2715" s="3" t="s">
        <v>3225</v>
      </c>
      <c r="B2715" s="3" t="s">
        <v>5974</v>
      </c>
      <c r="C2715" s="3" t="s">
        <v>1313</v>
      </c>
      <c r="D2715" s="9">
        <v>15.7</v>
      </c>
      <c r="E2715" s="3" t="s">
        <v>142</v>
      </c>
      <c r="F2715" s="3" t="s">
        <v>3201</v>
      </c>
      <c r="G2715" s="9">
        <v>405.22</v>
      </c>
      <c r="H2715" s="10">
        <v>45667.392546296287</v>
      </c>
      <c r="I2715" s="10">
        <v>45667.392546296287</v>
      </c>
      <c r="J2715" s="10">
        <v>45667.394270833327</v>
      </c>
      <c r="K2715" s="11">
        <v>1.724537037037037E-3</v>
      </c>
      <c r="L2715" s="13"/>
    </row>
    <row r="2716" spans="1:12" x14ac:dyDescent="0.25">
      <c r="A2716" s="3" t="s">
        <v>3225</v>
      </c>
      <c r="B2716" s="3" t="s">
        <v>5975</v>
      </c>
      <c r="C2716" s="3" t="s">
        <v>1315</v>
      </c>
      <c r="D2716" s="9">
        <v>12</v>
      </c>
      <c r="E2716" s="3" t="s">
        <v>142</v>
      </c>
      <c r="F2716" s="3" t="s">
        <v>3205</v>
      </c>
      <c r="G2716" s="9">
        <v>292.27999999999997</v>
      </c>
      <c r="H2716" s="10">
        <v>45667.394270833327</v>
      </c>
      <c r="I2716" s="10">
        <v>45667.394270833327</v>
      </c>
      <c r="J2716" s="10">
        <v>45667.395520833343</v>
      </c>
      <c r="K2716" s="11">
        <v>1.25E-3</v>
      </c>
      <c r="L2716" s="13"/>
    </row>
    <row r="2717" spans="1:12" x14ac:dyDescent="0.25">
      <c r="A2717" s="3" t="s">
        <v>3225</v>
      </c>
      <c r="B2717" s="3" t="s">
        <v>5976</v>
      </c>
      <c r="C2717" s="3" t="s">
        <v>1317</v>
      </c>
      <c r="D2717" s="9">
        <v>54</v>
      </c>
      <c r="E2717" s="3" t="s">
        <v>142</v>
      </c>
      <c r="F2717" s="3" t="s">
        <v>3193</v>
      </c>
      <c r="G2717" s="9">
        <v>290.60000000000002</v>
      </c>
      <c r="H2717" s="10">
        <v>45667.395520833343</v>
      </c>
      <c r="I2717" s="10">
        <v>45667.395520833343</v>
      </c>
      <c r="J2717" s="10">
        <v>45667.396851851852</v>
      </c>
      <c r="K2717" s="11">
        <v>1.3310185185185181E-3</v>
      </c>
      <c r="L2717" s="13"/>
    </row>
    <row r="2718" spans="1:12" x14ac:dyDescent="0.25">
      <c r="A2718" s="3" t="s">
        <v>3225</v>
      </c>
      <c r="B2718" s="3" t="s">
        <v>5977</v>
      </c>
      <c r="C2718" s="3" t="s">
        <v>1320</v>
      </c>
      <c r="D2718" s="9">
        <v>15.7</v>
      </c>
      <c r="E2718" s="3" t="s">
        <v>142</v>
      </c>
      <c r="F2718" s="3" t="s">
        <v>3199</v>
      </c>
      <c r="G2718" s="9">
        <v>443.59</v>
      </c>
      <c r="H2718" s="10">
        <v>45667.396851851852</v>
      </c>
      <c r="I2718" s="10">
        <v>45667.396851851852</v>
      </c>
      <c r="J2718" s="10">
        <v>45667.398738425924</v>
      </c>
      <c r="K2718" s="11">
        <v>1.8865740740740739E-3</v>
      </c>
      <c r="L2718" s="13"/>
    </row>
    <row r="2719" spans="1:12" x14ac:dyDescent="0.25">
      <c r="A2719" s="3" t="s">
        <v>3225</v>
      </c>
      <c r="B2719" s="3" t="s">
        <v>5978</v>
      </c>
      <c r="C2719" s="3" t="s">
        <v>1323</v>
      </c>
      <c r="D2719" s="9">
        <v>109.4</v>
      </c>
      <c r="E2719" s="3" t="s">
        <v>142</v>
      </c>
      <c r="F2719" s="3" t="s">
        <v>3195</v>
      </c>
      <c r="G2719" s="9">
        <v>398.6</v>
      </c>
      <c r="H2719" s="10">
        <v>45667.398738425924</v>
      </c>
      <c r="I2719" s="10">
        <v>45667.398738425924</v>
      </c>
      <c r="J2719" s="10">
        <v>45667.400648148148</v>
      </c>
      <c r="K2719" s="11">
        <v>1.9097222222222219E-3</v>
      </c>
      <c r="L2719" s="13"/>
    </row>
    <row r="2720" spans="1:12" x14ac:dyDescent="0.25">
      <c r="A2720" s="3" t="s">
        <v>3225</v>
      </c>
      <c r="B2720" s="3" t="s">
        <v>5979</v>
      </c>
      <c r="C2720" s="3" t="s">
        <v>1325</v>
      </c>
      <c r="D2720" s="9">
        <v>19.899999999999999</v>
      </c>
      <c r="E2720" s="3" t="s">
        <v>142</v>
      </c>
      <c r="F2720" s="3" t="s">
        <v>3203</v>
      </c>
      <c r="G2720" s="9">
        <v>263.08999999999997</v>
      </c>
      <c r="H2720" s="10">
        <v>45667.400648148148</v>
      </c>
      <c r="I2720" s="10">
        <v>45667.400648148148</v>
      </c>
      <c r="J2720" s="10">
        <v>45667.40179398148</v>
      </c>
      <c r="K2720" s="11">
        <v>1.1458333333333329E-3</v>
      </c>
      <c r="L2720" s="13"/>
    </row>
    <row r="2721" spans="1:12" x14ac:dyDescent="0.25">
      <c r="A2721" s="3" t="s">
        <v>3225</v>
      </c>
      <c r="B2721" s="3" t="s">
        <v>5980</v>
      </c>
      <c r="C2721" s="3" t="s">
        <v>1327</v>
      </c>
      <c r="D2721" s="9">
        <v>61.9</v>
      </c>
      <c r="E2721" s="3" t="s">
        <v>142</v>
      </c>
      <c r="F2721" s="3" t="s">
        <v>3197</v>
      </c>
      <c r="G2721" s="9">
        <v>453.13</v>
      </c>
      <c r="H2721" s="10">
        <v>45667.40179398148</v>
      </c>
      <c r="I2721" s="10">
        <v>45667.40179398148</v>
      </c>
      <c r="J2721" s="10">
        <v>45667.403819444437</v>
      </c>
      <c r="K2721" s="11">
        <v>2.0254629629629629E-3</v>
      </c>
      <c r="L2721" s="13"/>
    </row>
    <row r="2722" spans="1:12" x14ac:dyDescent="0.25">
      <c r="A2722" s="3" t="s">
        <v>3225</v>
      </c>
      <c r="B2722" s="3" t="s">
        <v>5981</v>
      </c>
      <c r="C2722" s="3" t="s">
        <v>1330</v>
      </c>
      <c r="D2722" s="9">
        <v>58.5</v>
      </c>
      <c r="E2722" s="3" t="s">
        <v>142</v>
      </c>
      <c r="F2722" s="3" t="s">
        <v>3204</v>
      </c>
      <c r="G2722" s="9">
        <v>470.92</v>
      </c>
      <c r="H2722" s="10">
        <v>45667.403819444437</v>
      </c>
      <c r="I2722" s="10">
        <v>45667.403819444437</v>
      </c>
      <c r="J2722" s="10">
        <v>45667.405925925923</v>
      </c>
      <c r="K2722" s="11">
        <v>2.1064814814814809E-3</v>
      </c>
      <c r="L2722" s="13"/>
    </row>
    <row r="2723" spans="1:12" x14ac:dyDescent="0.25">
      <c r="A2723" s="3" t="s">
        <v>3225</v>
      </c>
      <c r="B2723" s="3" t="s">
        <v>5982</v>
      </c>
      <c r="C2723" s="3" t="s">
        <v>1332</v>
      </c>
      <c r="D2723" s="9">
        <v>59.7</v>
      </c>
      <c r="E2723" s="3" t="s">
        <v>142</v>
      </c>
      <c r="F2723" s="3" t="s">
        <v>3198</v>
      </c>
      <c r="G2723" s="9">
        <v>344.04</v>
      </c>
      <c r="H2723" s="10">
        <v>45667.405925925923</v>
      </c>
      <c r="I2723" s="10">
        <v>45667.405925925923</v>
      </c>
      <c r="J2723" s="10">
        <v>45667.407500000001</v>
      </c>
      <c r="K2723" s="11">
        <v>1.5740740740740741E-3</v>
      </c>
      <c r="L2723" s="13"/>
    </row>
    <row r="2724" spans="1:12" x14ac:dyDescent="0.25">
      <c r="A2724" s="3" t="s">
        <v>3225</v>
      </c>
      <c r="B2724" s="3" t="s">
        <v>5983</v>
      </c>
      <c r="C2724" s="3" t="s">
        <v>1335</v>
      </c>
      <c r="D2724" s="9">
        <v>19.899999999999999</v>
      </c>
      <c r="E2724" s="3" t="s">
        <v>142</v>
      </c>
      <c r="F2724" s="3" t="s">
        <v>3201</v>
      </c>
      <c r="G2724" s="9">
        <v>405.22</v>
      </c>
      <c r="H2724" s="10">
        <v>45667.407500000001</v>
      </c>
      <c r="I2724" s="10">
        <v>45667.407500000001</v>
      </c>
      <c r="J2724" s="10">
        <v>45667.409224537027</v>
      </c>
      <c r="K2724" s="11">
        <v>1.724537037037037E-3</v>
      </c>
      <c r="L2724" s="13"/>
    </row>
    <row r="2725" spans="1:12" x14ac:dyDescent="0.25">
      <c r="A2725" s="3" t="s">
        <v>3225</v>
      </c>
      <c r="B2725" s="3" t="s">
        <v>5984</v>
      </c>
      <c r="C2725" s="3" t="s">
        <v>1344</v>
      </c>
      <c r="D2725" s="9">
        <v>259.7</v>
      </c>
      <c r="E2725" s="3" t="s">
        <v>139</v>
      </c>
      <c r="F2725" s="3" t="s">
        <v>3199</v>
      </c>
      <c r="G2725" s="9">
        <v>450.42</v>
      </c>
      <c r="H2725" s="10">
        <v>45667.437650462962</v>
      </c>
      <c r="I2725" s="10">
        <v>45667.437650462962</v>
      </c>
      <c r="J2725" s="10">
        <v>45667.440127314818</v>
      </c>
      <c r="K2725" s="11">
        <v>2.476851851851852E-3</v>
      </c>
      <c r="L2725" s="13"/>
    </row>
    <row r="2726" spans="1:12" x14ac:dyDescent="0.25">
      <c r="A2726" s="3" t="s">
        <v>3225</v>
      </c>
      <c r="B2726" s="3" t="s">
        <v>5985</v>
      </c>
      <c r="C2726" s="3" t="s">
        <v>1346</v>
      </c>
      <c r="D2726" s="9">
        <v>95.3</v>
      </c>
      <c r="E2726" s="3" t="s">
        <v>139</v>
      </c>
      <c r="F2726" s="3" t="s">
        <v>3193</v>
      </c>
      <c r="G2726" s="9">
        <v>297.43</v>
      </c>
      <c r="H2726" s="10">
        <v>45667.551168981481</v>
      </c>
      <c r="I2726" s="10">
        <v>45667.551168981481</v>
      </c>
      <c r="J2726" s="10">
        <v>45667.552627314813</v>
      </c>
      <c r="K2726" s="11">
        <v>1.458333333333333E-3</v>
      </c>
      <c r="L2726" s="13"/>
    </row>
    <row r="2727" spans="1:12" x14ac:dyDescent="0.25">
      <c r="A2727" s="3" t="s">
        <v>3225</v>
      </c>
      <c r="B2727" s="3" t="s">
        <v>5986</v>
      </c>
      <c r="C2727" s="3" t="s">
        <v>1348</v>
      </c>
      <c r="D2727" s="9">
        <v>23.2</v>
      </c>
      <c r="E2727" s="3" t="s">
        <v>164</v>
      </c>
      <c r="F2727" s="3" t="s">
        <v>3193</v>
      </c>
      <c r="G2727" s="9">
        <v>382.32000000000011</v>
      </c>
      <c r="H2727" s="10">
        <v>45667.596388888887</v>
      </c>
      <c r="I2727" s="10">
        <v>45667.596388888887</v>
      </c>
      <c r="J2727" s="10">
        <v>45667.598032407397</v>
      </c>
      <c r="K2727" s="11">
        <v>1.643518518518519E-3</v>
      </c>
      <c r="L2727" s="13"/>
    </row>
    <row r="2728" spans="1:12" x14ac:dyDescent="0.25">
      <c r="A2728" s="3" t="s">
        <v>3225</v>
      </c>
      <c r="B2728" s="3" t="s">
        <v>5987</v>
      </c>
      <c r="C2728" s="3" t="s">
        <v>1350</v>
      </c>
      <c r="D2728" s="9">
        <v>393.5</v>
      </c>
      <c r="E2728" s="3" t="s">
        <v>139</v>
      </c>
      <c r="F2728" s="3" t="s">
        <v>3199</v>
      </c>
      <c r="G2728" s="9">
        <v>450.42</v>
      </c>
      <c r="H2728" s="10">
        <v>45667.626527777778</v>
      </c>
      <c r="I2728" s="10">
        <v>45667.626527777778</v>
      </c>
      <c r="J2728" s="10">
        <v>45667.629317129627</v>
      </c>
      <c r="K2728" s="11">
        <v>2.7893518518518519E-3</v>
      </c>
      <c r="L2728" s="13"/>
    </row>
    <row r="2729" spans="1:12" x14ac:dyDescent="0.25">
      <c r="A2729" s="3" t="s">
        <v>3225</v>
      </c>
      <c r="B2729" s="3" t="s">
        <v>5988</v>
      </c>
      <c r="C2729" s="3" t="s">
        <v>1353</v>
      </c>
      <c r="D2729" s="9">
        <v>302.10000000000002</v>
      </c>
      <c r="E2729" s="3" t="s">
        <v>139</v>
      </c>
      <c r="F2729" s="3" t="s">
        <v>3193</v>
      </c>
      <c r="G2729" s="9">
        <v>297.43</v>
      </c>
      <c r="H2729" s="10">
        <v>45667.736747685187</v>
      </c>
      <c r="I2729" s="10">
        <v>45667.736747685187</v>
      </c>
      <c r="J2729" s="10">
        <v>45667.738680555558</v>
      </c>
      <c r="K2729" s="11">
        <v>1.93287037037037E-3</v>
      </c>
      <c r="L2729" s="13"/>
    </row>
    <row r="2730" spans="1:12" x14ac:dyDescent="0.25">
      <c r="A2730" s="3" t="s">
        <v>3225</v>
      </c>
      <c r="B2730" s="3" t="s">
        <v>5989</v>
      </c>
      <c r="C2730" s="3" t="s">
        <v>1356</v>
      </c>
      <c r="D2730" s="9">
        <v>39.799999999999997</v>
      </c>
      <c r="E2730" s="3" t="s">
        <v>142</v>
      </c>
      <c r="F2730" s="3" t="s">
        <v>3198</v>
      </c>
      <c r="G2730" s="9">
        <v>344.04</v>
      </c>
      <c r="H2730" s="10">
        <v>45667.758888888893</v>
      </c>
      <c r="I2730" s="10">
        <v>45667.758888888893</v>
      </c>
      <c r="J2730" s="10">
        <v>45667.760416666657</v>
      </c>
      <c r="K2730" s="11">
        <v>1.5277777777777781E-3</v>
      </c>
      <c r="L2730" s="13"/>
    </row>
    <row r="2731" spans="1:12" x14ac:dyDescent="0.25">
      <c r="A2731" s="3" t="s">
        <v>3225</v>
      </c>
      <c r="B2731" s="3" t="s">
        <v>5990</v>
      </c>
      <c r="C2731" s="3" t="s">
        <v>1358</v>
      </c>
      <c r="D2731" s="9">
        <v>218.1</v>
      </c>
      <c r="E2731" s="3" t="s">
        <v>142</v>
      </c>
      <c r="F2731" s="3" t="s">
        <v>3199</v>
      </c>
      <c r="G2731" s="9">
        <v>443.59</v>
      </c>
      <c r="H2731" s="10">
        <v>45667.760416666657</v>
      </c>
      <c r="I2731" s="10">
        <v>45667.760416666657</v>
      </c>
      <c r="J2731" s="10">
        <v>45667.762766203698</v>
      </c>
      <c r="K2731" s="11">
        <v>2.3495370370370371E-3</v>
      </c>
      <c r="L2731" s="13"/>
    </row>
    <row r="2732" spans="1:12" x14ac:dyDescent="0.25">
      <c r="A2732" s="3" t="s">
        <v>3225</v>
      </c>
      <c r="B2732" s="3" t="s">
        <v>5991</v>
      </c>
      <c r="C2732" s="3" t="s">
        <v>1361</v>
      </c>
      <c r="D2732" s="9">
        <v>15.7</v>
      </c>
      <c r="E2732" s="3" t="s">
        <v>142</v>
      </c>
      <c r="F2732" s="3" t="s">
        <v>3195</v>
      </c>
      <c r="G2732" s="9">
        <v>398.6</v>
      </c>
      <c r="H2732" s="10">
        <v>45667.762766203698</v>
      </c>
      <c r="I2732" s="10">
        <v>45667.762766203698</v>
      </c>
      <c r="J2732" s="10">
        <v>45667.764467592591</v>
      </c>
      <c r="K2732" s="11">
        <v>1.701388888888889E-3</v>
      </c>
      <c r="L2732" s="13"/>
    </row>
    <row r="2733" spans="1:12" x14ac:dyDescent="0.25">
      <c r="A2733" s="3" t="s">
        <v>3225</v>
      </c>
      <c r="B2733" s="3" t="s">
        <v>5992</v>
      </c>
      <c r="C2733" s="3" t="s">
        <v>1364</v>
      </c>
      <c r="D2733" s="9">
        <v>16.5</v>
      </c>
      <c r="E2733" s="3" t="s">
        <v>142</v>
      </c>
      <c r="F2733" s="3" t="s">
        <v>3204</v>
      </c>
      <c r="G2733" s="9">
        <v>470.92</v>
      </c>
      <c r="H2733" s="10">
        <v>45667.764467592591</v>
      </c>
      <c r="I2733" s="10">
        <v>45667.764467592591</v>
      </c>
      <c r="J2733" s="10">
        <v>45667.766469907408</v>
      </c>
      <c r="K2733" s="11">
        <v>2.0023148148148148E-3</v>
      </c>
      <c r="L2733" s="13"/>
    </row>
    <row r="2734" spans="1:12" x14ac:dyDescent="0.25">
      <c r="A2734" s="3" t="s">
        <v>3225</v>
      </c>
      <c r="B2734" s="3" t="s">
        <v>5993</v>
      </c>
      <c r="C2734" s="3" t="s">
        <v>1367</v>
      </c>
      <c r="D2734" s="9">
        <v>94.4</v>
      </c>
      <c r="E2734" s="3" t="s">
        <v>142</v>
      </c>
      <c r="F2734" s="3" t="s">
        <v>3195</v>
      </c>
      <c r="G2734" s="9">
        <v>398.6</v>
      </c>
      <c r="H2734" s="10">
        <v>45667.766469907408</v>
      </c>
      <c r="I2734" s="10">
        <v>45667.766469907408</v>
      </c>
      <c r="J2734" s="10">
        <v>45667.76834490741</v>
      </c>
      <c r="K2734" s="11">
        <v>1.8749999999999999E-3</v>
      </c>
      <c r="L2734" s="13"/>
    </row>
    <row r="2735" spans="1:12" x14ac:dyDescent="0.25">
      <c r="A2735" s="3" t="s">
        <v>3225</v>
      </c>
      <c r="B2735" s="3" t="s">
        <v>5994</v>
      </c>
      <c r="C2735" s="3" t="s">
        <v>1369</v>
      </c>
      <c r="D2735" s="9">
        <v>14</v>
      </c>
      <c r="E2735" s="3" t="s">
        <v>142</v>
      </c>
      <c r="F2735" s="3" t="s">
        <v>3198</v>
      </c>
      <c r="G2735" s="9">
        <v>344.04</v>
      </c>
      <c r="H2735" s="10">
        <v>45667.76834490741</v>
      </c>
      <c r="I2735" s="10">
        <v>45667.76834490741</v>
      </c>
      <c r="J2735" s="10">
        <v>45667.769814814812</v>
      </c>
      <c r="K2735" s="11">
        <v>1.469907407407407E-3</v>
      </c>
      <c r="L2735" s="13"/>
    </row>
    <row r="2736" spans="1:12" x14ac:dyDescent="0.25">
      <c r="A2736" s="3" t="s">
        <v>3225</v>
      </c>
      <c r="B2736" s="3" t="s">
        <v>5995</v>
      </c>
      <c r="C2736" s="3" t="s">
        <v>1371</v>
      </c>
      <c r="D2736" s="9">
        <v>19.899999999999999</v>
      </c>
      <c r="E2736" s="3" t="s">
        <v>142</v>
      </c>
      <c r="F2736" s="3" t="s">
        <v>3198</v>
      </c>
      <c r="G2736" s="9">
        <v>344.04</v>
      </c>
      <c r="H2736" s="10">
        <v>45667.769814814812</v>
      </c>
      <c r="I2736" s="10">
        <v>45667.769814814812</v>
      </c>
      <c r="J2736" s="10">
        <v>45667.771296296298</v>
      </c>
      <c r="K2736" s="11">
        <v>1.481481481481481E-3</v>
      </c>
      <c r="L2736" s="13"/>
    </row>
    <row r="2737" spans="1:12" x14ac:dyDescent="0.25">
      <c r="A2737" s="3" t="s">
        <v>3225</v>
      </c>
      <c r="B2737" s="3" t="s">
        <v>5996</v>
      </c>
      <c r="C2737" s="3" t="s">
        <v>1373</v>
      </c>
      <c r="D2737" s="9">
        <v>19.899999999999999</v>
      </c>
      <c r="E2737" s="3" t="s">
        <v>142</v>
      </c>
      <c r="F2737" s="3" t="s">
        <v>3203</v>
      </c>
      <c r="G2737" s="9">
        <v>263.08999999999997</v>
      </c>
      <c r="H2737" s="10">
        <v>45667.771296296298</v>
      </c>
      <c r="I2737" s="10">
        <v>45667.771296296298</v>
      </c>
      <c r="J2737" s="10">
        <v>45667.772430555553</v>
      </c>
      <c r="K2737" s="11">
        <v>1.1342592592592589E-3</v>
      </c>
      <c r="L2737" s="13"/>
    </row>
    <row r="2738" spans="1:12" x14ac:dyDescent="0.25">
      <c r="A2738" s="3" t="s">
        <v>3225</v>
      </c>
      <c r="B2738" s="3" t="s">
        <v>5997</v>
      </c>
      <c r="C2738" s="3" t="s">
        <v>1375</v>
      </c>
      <c r="D2738" s="9">
        <v>15.7</v>
      </c>
      <c r="E2738" s="3" t="s">
        <v>142</v>
      </c>
      <c r="F2738" s="3" t="s">
        <v>3199</v>
      </c>
      <c r="G2738" s="9">
        <v>443.59</v>
      </c>
      <c r="H2738" s="10">
        <v>45667.772430555553</v>
      </c>
      <c r="I2738" s="10">
        <v>45667.772430555553</v>
      </c>
      <c r="J2738" s="10">
        <v>45667.774317129632</v>
      </c>
      <c r="K2738" s="11">
        <v>1.8865740740740739E-3</v>
      </c>
      <c r="L2738" s="13"/>
    </row>
    <row r="2739" spans="1:12" x14ac:dyDescent="0.25">
      <c r="A2739" s="3" t="s">
        <v>3225</v>
      </c>
      <c r="B2739" s="3" t="s">
        <v>5998</v>
      </c>
      <c r="C2739" s="3" t="s">
        <v>1378</v>
      </c>
      <c r="D2739" s="9">
        <v>15.7</v>
      </c>
      <c r="E2739" s="3" t="s">
        <v>142</v>
      </c>
      <c r="F2739" s="3" t="s">
        <v>3201</v>
      </c>
      <c r="G2739" s="9">
        <v>405.22</v>
      </c>
      <c r="H2739" s="10">
        <v>45667.774317129632</v>
      </c>
      <c r="I2739" s="10">
        <v>45667.774317129632</v>
      </c>
      <c r="J2739" s="10">
        <v>45667.776041666657</v>
      </c>
      <c r="K2739" s="11">
        <v>1.724537037037037E-3</v>
      </c>
      <c r="L2739" s="13"/>
    </row>
    <row r="2740" spans="1:12" x14ac:dyDescent="0.25">
      <c r="A2740" s="3" t="s">
        <v>3225</v>
      </c>
      <c r="B2740" s="3" t="s">
        <v>5999</v>
      </c>
      <c r="C2740" s="3" t="s">
        <v>1380</v>
      </c>
      <c r="D2740" s="9">
        <v>27</v>
      </c>
      <c r="E2740" s="3" t="s">
        <v>142</v>
      </c>
      <c r="F2740" s="3" t="s">
        <v>3193</v>
      </c>
      <c r="G2740" s="9">
        <v>290.60000000000002</v>
      </c>
      <c r="H2740" s="10">
        <v>45667.776041666657</v>
      </c>
      <c r="I2740" s="10">
        <v>45667.776041666657</v>
      </c>
      <c r="J2740" s="10">
        <v>45667.777314814812</v>
      </c>
      <c r="K2740" s="11">
        <v>1.273148148148148E-3</v>
      </c>
      <c r="L2740" s="13"/>
    </row>
    <row r="2741" spans="1:12" x14ac:dyDescent="0.25">
      <c r="A2741" s="3" t="s">
        <v>3225</v>
      </c>
      <c r="B2741" s="3" t="s">
        <v>6000</v>
      </c>
      <c r="C2741" s="3" t="s">
        <v>1383</v>
      </c>
      <c r="D2741" s="9">
        <v>80.7</v>
      </c>
      <c r="E2741" s="3" t="s">
        <v>142</v>
      </c>
      <c r="F2741" s="3" t="s">
        <v>3197</v>
      </c>
      <c r="G2741" s="9">
        <v>453.13</v>
      </c>
      <c r="H2741" s="10">
        <v>45667.777314814812</v>
      </c>
      <c r="I2741" s="10">
        <v>45667.777314814812</v>
      </c>
      <c r="J2741" s="10">
        <v>45667.779398148137</v>
      </c>
      <c r="K2741" s="11">
        <v>2.0833333333333329E-3</v>
      </c>
      <c r="L2741" s="13"/>
    </row>
    <row r="2742" spans="1:12" x14ac:dyDescent="0.25">
      <c r="A2742" s="3" t="s">
        <v>3225</v>
      </c>
      <c r="B2742" s="3" t="s">
        <v>6001</v>
      </c>
      <c r="C2742" s="3" t="s">
        <v>1385</v>
      </c>
      <c r="D2742" s="9">
        <v>85.5</v>
      </c>
      <c r="E2742" s="3" t="s">
        <v>139</v>
      </c>
      <c r="F2742" s="3" t="s">
        <v>3193</v>
      </c>
      <c r="G2742" s="9">
        <v>297.43</v>
      </c>
      <c r="H2742" s="10">
        <v>45667.856990740736</v>
      </c>
      <c r="I2742" s="10">
        <v>45667.856990740736</v>
      </c>
      <c r="J2742" s="10">
        <v>45667.858425925922</v>
      </c>
      <c r="K2742" s="11">
        <v>1.435185185185185E-3</v>
      </c>
      <c r="L2742" s="13"/>
    </row>
    <row r="2743" spans="1:12" x14ac:dyDescent="0.25">
      <c r="A2743" s="3" t="s">
        <v>3225</v>
      </c>
      <c r="B2743" s="3" t="s">
        <v>6002</v>
      </c>
      <c r="C2743" s="3" t="s">
        <v>1387</v>
      </c>
      <c r="D2743" s="9">
        <v>14</v>
      </c>
      <c r="E2743" s="3" t="s">
        <v>139</v>
      </c>
      <c r="F2743" s="3" t="s">
        <v>3199</v>
      </c>
      <c r="G2743" s="9">
        <v>450.42</v>
      </c>
      <c r="H2743" s="10">
        <v>45667.858425925922</v>
      </c>
      <c r="I2743" s="10">
        <v>45667.858425925922</v>
      </c>
      <c r="J2743" s="10">
        <v>45667.860335648147</v>
      </c>
      <c r="K2743" s="11">
        <v>1.9097222222222219E-3</v>
      </c>
      <c r="L2743" s="13"/>
    </row>
    <row r="2744" spans="1:12" x14ac:dyDescent="0.25">
      <c r="A2744" s="3" t="s">
        <v>3225</v>
      </c>
      <c r="B2744" s="3" t="s">
        <v>6003</v>
      </c>
      <c r="C2744" s="3" t="s">
        <v>1389</v>
      </c>
      <c r="D2744" s="9">
        <v>19.899999999999999</v>
      </c>
      <c r="E2744" s="3" t="s">
        <v>139</v>
      </c>
      <c r="F2744" s="3" t="s">
        <v>3198</v>
      </c>
      <c r="G2744" s="9">
        <v>350.87</v>
      </c>
      <c r="H2744" s="10">
        <v>45667.860335648147</v>
      </c>
      <c r="I2744" s="10">
        <v>45667.860335648147</v>
      </c>
      <c r="J2744" s="10">
        <v>45667.861851851849</v>
      </c>
      <c r="K2744" s="11">
        <v>1.5162037037037041E-3</v>
      </c>
      <c r="L2744" s="13"/>
    </row>
    <row r="2745" spans="1:12" x14ac:dyDescent="0.25">
      <c r="A2745" s="3" t="s">
        <v>3225</v>
      </c>
      <c r="B2745" s="3" t="s">
        <v>6004</v>
      </c>
      <c r="C2745" s="3" t="s">
        <v>1392</v>
      </c>
      <c r="D2745" s="9">
        <v>21</v>
      </c>
      <c r="E2745" s="3" t="s">
        <v>139</v>
      </c>
      <c r="F2745" s="3" t="s">
        <v>3195</v>
      </c>
      <c r="G2745" s="9">
        <v>405.43</v>
      </c>
      <c r="H2745" s="10">
        <v>45667.861851851849</v>
      </c>
      <c r="I2745" s="10">
        <v>45667.861851851849</v>
      </c>
      <c r="J2745" s="10">
        <v>45667.863587962973</v>
      </c>
      <c r="K2745" s="11">
        <v>1.736111111111111E-3</v>
      </c>
      <c r="L2745" s="13"/>
    </row>
    <row r="2746" spans="1:12" x14ac:dyDescent="0.25">
      <c r="A2746" s="3" t="s">
        <v>3225</v>
      </c>
      <c r="B2746" s="3" t="s">
        <v>6005</v>
      </c>
      <c r="C2746" s="3" t="s">
        <v>1395</v>
      </c>
      <c r="D2746" s="9">
        <v>27</v>
      </c>
      <c r="E2746" s="3" t="s">
        <v>139</v>
      </c>
      <c r="F2746" s="3" t="s">
        <v>3193</v>
      </c>
      <c r="G2746" s="9">
        <v>297.43</v>
      </c>
      <c r="H2746" s="10">
        <v>45667.863587962973</v>
      </c>
      <c r="I2746" s="10">
        <v>45667.863587962973</v>
      </c>
      <c r="J2746" s="10">
        <v>45667.864884259259</v>
      </c>
      <c r="K2746" s="11">
        <v>1.296296296296296E-3</v>
      </c>
      <c r="L2746" s="13"/>
    </row>
    <row r="2747" spans="1:12" x14ac:dyDescent="0.25">
      <c r="A2747" s="3" t="s">
        <v>3225</v>
      </c>
      <c r="B2747" s="3" t="s">
        <v>6006</v>
      </c>
      <c r="C2747" s="3" t="s">
        <v>1397</v>
      </c>
      <c r="D2747" s="9">
        <v>43.1</v>
      </c>
      <c r="E2747" s="3" t="s">
        <v>139</v>
      </c>
      <c r="F2747" s="3" t="s">
        <v>3201</v>
      </c>
      <c r="G2747" s="9">
        <v>412.05</v>
      </c>
      <c r="H2747" s="10">
        <v>45667.864884259259</v>
      </c>
      <c r="I2747" s="10">
        <v>45667.864884259259</v>
      </c>
      <c r="J2747" s="10">
        <v>45667.866701388892</v>
      </c>
      <c r="K2747" s="11">
        <v>1.8171296296296299E-3</v>
      </c>
      <c r="L2747" s="13"/>
    </row>
    <row r="2748" spans="1:12" x14ac:dyDescent="0.25">
      <c r="A2748" s="3" t="s">
        <v>3225</v>
      </c>
      <c r="B2748" s="3" t="s">
        <v>6007</v>
      </c>
      <c r="C2748" s="3" t="s">
        <v>1399</v>
      </c>
      <c r="D2748" s="9">
        <v>27</v>
      </c>
      <c r="E2748" s="3" t="s">
        <v>139</v>
      </c>
      <c r="F2748" s="3" t="s">
        <v>3200</v>
      </c>
      <c r="G2748" s="9">
        <v>405.03</v>
      </c>
      <c r="H2748" s="10">
        <v>45667.866701388892</v>
      </c>
      <c r="I2748" s="10">
        <v>45667.866701388892</v>
      </c>
      <c r="J2748" s="10">
        <v>45667.868449074071</v>
      </c>
      <c r="K2748" s="11">
        <v>1.747685185185185E-3</v>
      </c>
      <c r="L2748" s="13"/>
    </row>
    <row r="2749" spans="1:12" x14ac:dyDescent="0.25">
      <c r="A2749" s="3" t="s">
        <v>3225</v>
      </c>
      <c r="B2749" s="3" t="s">
        <v>6008</v>
      </c>
      <c r="C2749" s="3" t="s">
        <v>1402</v>
      </c>
      <c r="D2749" s="9">
        <v>63</v>
      </c>
      <c r="E2749" s="3" t="s">
        <v>139</v>
      </c>
      <c r="F2749" s="3" t="s">
        <v>3197</v>
      </c>
      <c r="G2749" s="9">
        <v>459.96</v>
      </c>
      <c r="H2749" s="10">
        <v>45667.868449074071</v>
      </c>
      <c r="I2749" s="10">
        <v>45667.868449074071</v>
      </c>
      <c r="J2749" s="10">
        <v>45667.870520833327</v>
      </c>
      <c r="K2749" s="11">
        <v>2.0717592592592589E-3</v>
      </c>
      <c r="L2749" s="13"/>
    </row>
    <row r="2750" spans="1:12" x14ac:dyDescent="0.25">
      <c r="A2750" s="3" t="s">
        <v>3225</v>
      </c>
      <c r="B2750" s="3" t="s">
        <v>6009</v>
      </c>
      <c r="C2750" s="3" t="s">
        <v>1405</v>
      </c>
      <c r="D2750" s="9">
        <v>47.2</v>
      </c>
      <c r="E2750" s="3" t="s">
        <v>139</v>
      </c>
      <c r="F2750" s="3" t="s">
        <v>3197</v>
      </c>
      <c r="G2750" s="9">
        <v>459.96</v>
      </c>
      <c r="H2750" s="10">
        <v>45668.217928240738</v>
      </c>
      <c r="I2750" s="10">
        <v>45668.217928240738</v>
      </c>
      <c r="J2750" s="10">
        <v>45668.219965277778</v>
      </c>
      <c r="K2750" s="11">
        <v>2.0370370370370369E-3</v>
      </c>
      <c r="L2750" s="13"/>
    </row>
    <row r="2751" spans="1:12" x14ac:dyDescent="0.25">
      <c r="A2751" s="3" t="s">
        <v>3225</v>
      </c>
      <c r="B2751" s="3" t="s">
        <v>6010</v>
      </c>
      <c r="C2751" s="3" t="s">
        <v>1407</v>
      </c>
      <c r="D2751" s="9">
        <v>16.5</v>
      </c>
      <c r="E2751" s="3" t="s">
        <v>139</v>
      </c>
      <c r="F2751" s="3" t="s">
        <v>3204</v>
      </c>
      <c r="G2751" s="9">
        <v>477.75</v>
      </c>
      <c r="H2751" s="10">
        <v>45668.219965277778</v>
      </c>
      <c r="I2751" s="10">
        <v>45668.219965277778</v>
      </c>
      <c r="J2751" s="10">
        <v>45668.221990740742</v>
      </c>
      <c r="K2751" s="11">
        <v>2.0254629629629629E-3</v>
      </c>
      <c r="L2751" s="13"/>
    </row>
    <row r="2752" spans="1:12" x14ac:dyDescent="0.25">
      <c r="A2752" s="3" t="s">
        <v>3225</v>
      </c>
      <c r="B2752" s="3" t="s">
        <v>6011</v>
      </c>
      <c r="C2752" s="3" t="s">
        <v>1409</v>
      </c>
      <c r="D2752" s="9">
        <v>302.89999999999998</v>
      </c>
      <c r="E2752" s="3" t="s">
        <v>139</v>
      </c>
      <c r="F2752" s="3" t="s">
        <v>3193</v>
      </c>
      <c r="G2752" s="9">
        <v>297.43</v>
      </c>
      <c r="H2752" s="10">
        <v>45668.221990740742</v>
      </c>
      <c r="I2752" s="10">
        <v>45668.221990740742</v>
      </c>
      <c r="J2752" s="10">
        <v>45668.223923611113</v>
      </c>
      <c r="K2752" s="11">
        <v>1.93287037037037E-3</v>
      </c>
      <c r="L2752" s="13"/>
    </row>
    <row r="2753" spans="1:12" x14ac:dyDescent="0.25">
      <c r="A2753" s="3" t="s">
        <v>3225</v>
      </c>
      <c r="B2753" s="3" t="s">
        <v>6012</v>
      </c>
      <c r="C2753" s="3" t="s">
        <v>1412</v>
      </c>
      <c r="D2753" s="9">
        <v>40.9</v>
      </c>
      <c r="E2753" s="3" t="s">
        <v>139</v>
      </c>
      <c r="F2753" s="3" t="s">
        <v>3204</v>
      </c>
      <c r="G2753" s="9">
        <v>477.75</v>
      </c>
      <c r="H2753" s="10">
        <v>45668.241168981483</v>
      </c>
      <c r="I2753" s="10">
        <v>45668.241168981483</v>
      </c>
      <c r="J2753" s="10">
        <v>45668.243252314824</v>
      </c>
      <c r="K2753" s="11">
        <v>2.0833333333333329E-3</v>
      </c>
      <c r="L2753" s="13"/>
    </row>
    <row r="2754" spans="1:12" x14ac:dyDescent="0.25">
      <c r="A2754" s="3" t="s">
        <v>3225</v>
      </c>
      <c r="B2754" s="3" t="s">
        <v>6013</v>
      </c>
      <c r="C2754" s="3" t="s">
        <v>1414</v>
      </c>
      <c r="D2754" s="9">
        <v>110.2</v>
      </c>
      <c r="E2754" s="3" t="s">
        <v>139</v>
      </c>
      <c r="F2754" s="3" t="s">
        <v>3201</v>
      </c>
      <c r="G2754" s="9">
        <v>412.05</v>
      </c>
      <c r="H2754" s="10">
        <v>45668.243252314824</v>
      </c>
      <c r="I2754" s="10">
        <v>45668.243252314824</v>
      </c>
      <c r="J2754" s="10">
        <v>45668.24523148148</v>
      </c>
      <c r="K2754" s="11">
        <v>1.9791666666666668E-3</v>
      </c>
      <c r="L2754" s="13"/>
    </row>
    <row r="2755" spans="1:12" x14ac:dyDescent="0.25">
      <c r="A2755" s="3" t="s">
        <v>3225</v>
      </c>
      <c r="B2755" s="3" t="s">
        <v>6014</v>
      </c>
      <c r="C2755" s="3" t="s">
        <v>1417</v>
      </c>
      <c r="D2755" s="9">
        <v>210.6</v>
      </c>
      <c r="E2755" s="3" t="s">
        <v>139</v>
      </c>
      <c r="F2755" s="3" t="s">
        <v>3202</v>
      </c>
      <c r="G2755" s="9">
        <v>324.35000000000002</v>
      </c>
      <c r="H2755" s="10">
        <v>45668.24523148148</v>
      </c>
      <c r="I2755" s="10">
        <v>45668.24523148148</v>
      </c>
      <c r="J2755" s="10">
        <v>45668.247060185182</v>
      </c>
      <c r="K2755" s="11">
        <v>1.8287037037037039E-3</v>
      </c>
      <c r="L2755" s="13"/>
    </row>
    <row r="2756" spans="1:12" x14ac:dyDescent="0.25">
      <c r="A2756" s="3" t="s">
        <v>3225</v>
      </c>
      <c r="B2756" s="3" t="s">
        <v>6015</v>
      </c>
      <c r="C2756" s="3" t="s">
        <v>1420</v>
      </c>
      <c r="D2756" s="9">
        <v>21</v>
      </c>
      <c r="E2756" s="3" t="s">
        <v>139</v>
      </c>
      <c r="F2756" s="3" t="s">
        <v>3204</v>
      </c>
      <c r="G2756" s="9">
        <v>477.75</v>
      </c>
      <c r="H2756" s="10">
        <v>45668.247060185182</v>
      </c>
      <c r="I2756" s="10">
        <v>45668.247060185182</v>
      </c>
      <c r="J2756" s="10">
        <v>45668.249108796299</v>
      </c>
      <c r="K2756" s="11">
        <v>2.0486111111111109E-3</v>
      </c>
      <c r="L2756" s="13"/>
    </row>
    <row r="2757" spans="1:12" x14ac:dyDescent="0.25">
      <c r="A2757" s="3" t="s">
        <v>3225</v>
      </c>
      <c r="B2757" s="3" t="s">
        <v>6016</v>
      </c>
      <c r="C2757" s="3" t="s">
        <v>1422</v>
      </c>
      <c r="D2757" s="9">
        <v>173.3</v>
      </c>
      <c r="E2757" s="3" t="s">
        <v>142</v>
      </c>
      <c r="F2757" s="3" t="s">
        <v>3204</v>
      </c>
      <c r="G2757" s="9">
        <v>470.92</v>
      </c>
      <c r="H2757" s="10">
        <v>45669.749745370369</v>
      </c>
      <c r="I2757" s="10">
        <v>45669.749745370369</v>
      </c>
      <c r="J2757" s="10">
        <v>45669.752106481479</v>
      </c>
      <c r="K2757" s="11">
        <v>2.3611111111111111E-3</v>
      </c>
      <c r="L2757" s="13"/>
    </row>
    <row r="2758" spans="1:12" x14ac:dyDescent="0.25">
      <c r="A2758" s="3" t="s">
        <v>3225</v>
      </c>
      <c r="B2758" s="3" t="s">
        <v>6017</v>
      </c>
      <c r="C2758" s="3" t="s">
        <v>1424</v>
      </c>
      <c r="D2758" s="9">
        <v>349.3</v>
      </c>
      <c r="E2758" s="3" t="s">
        <v>142</v>
      </c>
      <c r="F2758" s="3" t="s">
        <v>3193</v>
      </c>
      <c r="G2758" s="9">
        <v>290.60000000000002</v>
      </c>
      <c r="H2758" s="10">
        <v>45669.752106481479</v>
      </c>
      <c r="I2758" s="10">
        <v>45669.752106481479</v>
      </c>
      <c r="J2758" s="10">
        <v>45669.754131944443</v>
      </c>
      <c r="K2758" s="11">
        <v>2.0254629629629629E-3</v>
      </c>
      <c r="L2758" s="13"/>
    </row>
    <row r="2759" spans="1:12" x14ac:dyDescent="0.25">
      <c r="A2759" s="3" t="s">
        <v>3225</v>
      </c>
      <c r="B2759" s="3" t="s">
        <v>6018</v>
      </c>
      <c r="C2759" s="3" t="s">
        <v>1427</v>
      </c>
      <c r="D2759" s="9">
        <v>31.5</v>
      </c>
      <c r="E2759" s="3" t="s">
        <v>142</v>
      </c>
      <c r="F2759" s="3" t="s">
        <v>3201</v>
      </c>
      <c r="G2759" s="9">
        <v>405.22</v>
      </c>
      <c r="H2759" s="10">
        <v>45669.754131944443</v>
      </c>
      <c r="I2759" s="10">
        <v>45669.754131944443</v>
      </c>
      <c r="J2759" s="10">
        <v>45669.755891203713</v>
      </c>
      <c r="K2759" s="11">
        <v>1.759259259259259E-3</v>
      </c>
      <c r="L2759" s="13"/>
    </row>
    <row r="2760" spans="1:12" x14ac:dyDescent="0.25">
      <c r="A2760" s="3" t="s">
        <v>3225</v>
      </c>
      <c r="B2760" s="3" t="s">
        <v>6019</v>
      </c>
      <c r="C2760" s="3" t="s">
        <v>1430</v>
      </c>
      <c r="D2760" s="9">
        <v>106.9</v>
      </c>
      <c r="E2760" s="3" t="s">
        <v>139</v>
      </c>
      <c r="F2760" s="3" t="s">
        <v>3193</v>
      </c>
      <c r="G2760" s="9">
        <v>297.43</v>
      </c>
      <c r="H2760" s="10">
        <v>45669.843460648153</v>
      </c>
      <c r="I2760" s="10">
        <v>45669.843460648153</v>
      </c>
      <c r="J2760" s="10">
        <v>45669.844953703701</v>
      </c>
      <c r="K2760" s="11">
        <v>1.4930555555555561E-3</v>
      </c>
      <c r="L2760" s="13"/>
    </row>
    <row r="2761" spans="1:12" x14ac:dyDescent="0.25">
      <c r="A2761" s="3" t="s">
        <v>3225</v>
      </c>
      <c r="B2761" s="3" t="s">
        <v>6020</v>
      </c>
      <c r="C2761" s="3" t="s">
        <v>1433</v>
      </c>
      <c r="D2761" s="9">
        <v>101.2</v>
      </c>
      <c r="E2761" s="3" t="s">
        <v>139</v>
      </c>
      <c r="F2761" s="3" t="s">
        <v>3204</v>
      </c>
      <c r="G2761" s="9">
        <v>477.75</v>
      </c>
      <c r="H2761" s="10">
        <v>45669.844953703701</v>
      </c>
      <c r="I2761" s="10">
        <v>45669.844953703701</v>
      </c>
      <c r="J2761" s="10">
        <v>45669.847175925926</v>
      </c>
      <c r="K2761" s="11">
        <v>2.2222222222222218E-3</v>
      </c>
      <c r="L2761" s="13"/>
    </row>
    <row r="2762" spans="1:12" x14ac:dyDescent="0.25">
      <c r="A2762" s="3" t="s">
        <v>3225</v>
      </c>
      <c r="B2762" s="3" t="s">
        <v>6021</v>
      </c>
      <c r="C2762" s="3" t="s">
        <v>1436</v>
      </c>
      <c r="D2762" s="9">
        <v>165.8</v>
      </c>
      <c r="E2762" s="3" t="s">
        <v>139</v>
      </c>
      <c r="F2762" s="3" t="s">
        <v>3195</v>
      </c>
      <c r="G2762" s="9">
        <v>405.43</v>
      </c>
      <c r="H2762" s="10">
        <v>45670.111585648148</v>
      </c>
      <c r="I2762" s="10">
        <v>45670.111585648148</v>
      </c>
      <c r="J2762" s="10">
        <v>45670.113657407397</v>
      </c>
      <c r="K2762" s="11">
        <v>2.0717592592592589E-3</v>
      </c>
      <c r="L2762" s="13"/>
    </row>
    <row r="2763" spans="1:12" x14ac:dyDescent="0.25">
      <c r="A2763" s="3" t="s">
        <v>3225</v>
      </c>
      <c r="B2763" s="3" t="s">
        <v>6022</v>
      </c>
      <c r="C2763" s="3" t="s">
        <v>1438</v>
      </c>
      <c r="D2763" s="9">
        <v>15.7</v>
      </c>
      <c r="E2763" s="3" t="s">
        <v>139</v>
      </c>
      <c r="F2763" s="3" t="s">
        <v>3193</v>
      </c>
      <c r="G2763" s="9">
        <v>297.43</v>
      </c>
      <c r="H2763" s="10">
        <v>45670.113657407397</v>
      </c>
      <c r="I2763" s="10">
        <v>45670.113657407397</v>
      </c>
      <c r="J2763" s="10">
        <v>45670.114942129629</v>
      </c>
      <c r="K2763" s="11">
        <v>1.284722222222222E-3</v>
      </c>
      <c r="L2763" s="13"/>
    </row>
    <row r="2764" spans="1:12" x14ac:dyDescent="0.25">
      <c r="A2764" s="3" t="s">
        <v>3225</v>
      </c>
      <c r="B2764" s="3" t="s">
        <v>6023</v>
      </c>
      <c r="C2764" s="3" t="s">
        <v>1441</v>
      </c>
      <c r="D2764" s="9">
        <v>301.2</v>
      </c>
      <c r="E2764" s="3" t="s">
        <v>139</v>
      </c>
      <c r="F2764" s="3" t="s">
        <v>3204</v>
      </c>
      <c r="G2764" s="9">
        <v>477.75</v>
      </c>
      <c r="H2764" s="10">
        <v>45670.194872685177</v>
      </c>
      <c r="I2764" s="10">
        <v>45670.194872685177</v>
      </c>
      <c r="J2764" s="10">
        <v>45670.197557870371</v>
      </c>
      <c r="K2764" s="11">
        <v>2.685185185185185E-3</v>
      </c>
      <c r="L2764" s="13"/>
    </row>
    <row r="2765" spans="1:12" x14ac:dyDescent="0.25">
      <c r="A2765" s="3" t="s">
        <v>3225</v>
      </c>
      <c r="B2765" s="3" t="s">
        <v>6024</v>
      </c>
      <c r="C2765" s="3" t="s">
        <v>1444</v>
      </c>
      <c r="D2765" s="9">
        <v>298</v>
      </c>
      <c r="E2765" s="3" t="s">
        <v>139</v>
      </c>
      <c r="F2765" s="3" t="s">
        <v>3204</v>
      </c>
      <c r="G2765" s="9">
        <v>477.75</v>
      </c>
      <c r="H2765" s="10">
        <v>45670.261678240742</v>
      </c>
      <c r="I2765" s="10">
        <v>45670.261678240742</v>
      </c>
      <c r="J2765" s="10">
        <v>45670.264363425929</v>
      </c>
      <c r="K2765" s="11">
        <v>2.685185185185185E-3</v>
      </c>
      <c r="L2765" s="13"/>
    </row>
    <row r="2766" spans="1:12" x14ac:dyDescent="0.25">
      <c r="A2766" s="3" t="s">
        <v>3225</v>
      </c>
      <c r="B2766" s="3" t="s">
        <v>6025</v>
      </c>
      <c r="C2766" s="3" t="s">
        <v>1447</v>
      </c>
      <c r="D2766" s="9">
        <v>205.5</v>
      </c>
      <c r="E2766" s="3" t="s">
        <v>139</v>
      </c>
      <c r="F2766" s="3" t="s">
        <v>3195</v>
      </c>
      <c r="G2766" s="9">
        <v>405.43</v>
      </c>
      <c r="H2766" s="10">
        <v>45670.300555555557</v>
      </c>
      <c r="I2766" s="10">
        <v>45670.300555555557</v>
      </c>
      <c r="J2766" s="10">
        <v>45670.302719907413</v>
      </c>
      <c r="K2766" s="11">
        <v>2.1643518518518522E-3</v>
      </c>
      <c r="L2766" s="13"/>
    </row>
    <row r="2767" spans="1:12" x14ac:dyDescent="0.25">
      <c r="A2767" s="3" t="s">
        <v>3225</v>
      </c>
      <c r="B2767" s="3" t="s">
        <v>6026</v>
      </c>
      <c r="C2767" s="3" t="s">
        <v>1450</v>
      </c>
      <c r="D2767" s="9">
        <v>397.3</v>
      </c>
      <c r="E2767" s="3" t="s">
        <v>142</v>
      </c>
      <c r="F2767" s="3" t="s">
        <v>3197</v>
      </c>
      <c r="G2767" s="9">
        <v>453.13</v>
      </c>
      <c r="H2767" s="10">
        <v>45670.311018518521</v>
      </c>
      <c r="I2767" s="10">
        <v>45670.311018518521</v>
      </c>
      <c r="J2767" s="10">
        <v>45670.313831018517</v>
      </c>
      <c r="K2767" s="11">
        <v>2.8124999999999999E-3</v>
      </c>
      <c r="L2767" s="13"/>
    </row>
    <row r="2768" spans="1:12" x14ac:dyDescent="0.25">
      <c r="A2768" s="3" t="s">
        <v>3225</v>
      </c>
      <c r="B2768" s="3" t="s">
        <v>6027</v>
      </c>
      <c r="C2768" s="3" t="s">
        <v>1453</v>
      </c>
      <c r="D2768" s="9">
        <v>15.7</v>
      </c>
      <c r="E2768" s="3" t="s">
        <v>139</v>
      </c>
      <c r="F2768" s="3" t="s">
        <v>3206</v>
      </c>
      <c r="G2768" s="9">
        <v>378.4</v>
      </c>
      <c r="H2768" s="10">
        <v>45670.328912037039</v>
      </c>
      <c r="I2768" s="10">
        <v>45670.328912037039</v>
      </c>
      <c r="J2768" s="10">
        <v>45670.330520833333</v>
      </c>
      <c r="K2768" s="11">
        <v>1.6087962962962961E-3</v>
      </c>
      <c r="L2768" s="13"/>
    </row>
    <row r="2769" spans="1:12" x14ac:dyDescent="0.25">
      <c r="A2769" s="3" t="s">
        <v>3225</v>
      </c>
      <c r="B2769" s="3" t="s">
        <v>6028</v>
      </c>
      <c r="C2769" s="3" t="s">
        <v>1455</v>
      </c>
      <c r="D2769" s="9">
        <v>70.5</v>
      </c>
      <c r="E2769" s="3" t="s">
        <v>139</v>
      </c>
      <c r="F2769" s="3" t="s">
        <v>3202</v>
      </c>
      <c r="G2769" s="9">
        <v>324.35000000000002</v>
      </c>
      <c r="H2769" s="10">
        <v>45670.330520833333</v>
      </c>
      <c r="I2769" s="10">
        <v>45670.330520833333</v>
      </c>
      <c r="J2769" s="10">
        <v>45670.332037037027</v>
      </c>
      <c r="K2769" s="11">
        <v>1.5162037037037041E-3</v>
      </c>
      <c r="L2769" s="13"/>
    </row>
    <row r="2770" spans="1:12" x14ac:dyDescent="0.25">
      <c r="A2770" s="3" t="s">
        <v>3225</v>
      </c>
      <c r="B2770" s="3" t="s">
        <v>6029</v>
      </c>
      <c r="C2770" s="3" t="s">
        <v>1458</v>
      </c>
      <c r="D2770" s="9">
        <v>23.2</v>
      </c>
      <c r="E2770" s="3" t="s">
        <v>139</v>
      </c>
      <c r="F2770" s="3" t="s">
        <v>3193</v>
      </c>
      <c r="G2770" s="9">
        <v>297.43</v>
      </c>
      <c r="H2770" s="10">
        <v>45670.332037037027</v>
      </c>
      <c r="I2770" s="10">
        <v>45670.332037037027</v>
      </c>
      <c r="J2770" s="10">
        <v>45670.333333333343</v>
      </c>
      <c r="K2770" s="11">
        <v>1.296296296296296E-3</v>
      </c>
      <c r="L2770" s="13"/>
    </row>
    <row r="2771" spans="1:12" x14ac:dyDescent="0.25">
      <c r="A2771" s="3" t="s">
        <v>3225</v>
      </c>
      <c r="B2771" s="3" t="s">
        <v>6030</v>
      </c>
      <c r="C2771" s="3" t="s">
        <v>1460</v>
      </c>
      <c r="D2771" s="9">
        <v>79.599999999999994</v>
      </c>
      <c r="E2771" s="3" t="s">
        <v>139</v>
      </c>
      <c r="F2771" s="3" t="s">
        <v>3198</v>
      </c>
      <c r="G2771" s="9">
        <v>350.87</v>
      </c>
      <c r="H2771" s="10">
        <v>45670.333333333343</v>
      </c>
      <c r="I2771" s="10">
        <v>45670.333333333343</v>
      </c>
      <c r="J2771" s="10">
        <v>45670.334976851853</v>
      </c>
      <c r="K2771" s="11">
        <v>1.643518518518519E-3</v>
      </c>
      <c r="L2771" s="13"/>
    </row>
    <row r="2772" spans="1:12" x14ac:dyDescent="0.25">
      <c r="A2772" s="3" t="s">
        <v>3225</v>
      </c>
      <c r="B2772" s="3" t="s">
        <v>6031</v>
      </c>
      <c r="C2772" s="3" t="s">
        <v>1462</v>
      </c>
      <c r="D2772" s="9">
        <v>31.5</v>
      </c>
      <c r="E2772" s="3" t="s">
        <v>139</v>
      </c>
      <c r="F2772" s="3" t="s">
        <v>3194</v>
      </c>
      <c r="G2772" s="9">
        <v>459.96</v>
      </c>
      <c r="H2772" s="10">
        <v>45670.334976851853</v>
      </c>
      <c r="I2772" s="10">
        <v>45670.334976851853</v>
      </c>
      <c r="J2772" s="10">
        <v>45670.336967592593</v>
      </c>
      <c r="K2772" s="11">
        <v>1.9907407407407408E-3</v>
      </c>
      <c r="L2772" s="13"/>
    </row>
    <row r="2773" spans="1:12" x14ac:dyDescent="0.25">
      <c r="A2773" s="3" t="s">
        <v>3225</v>
      </c>
      <c r="B2773" s="3" t="s">
        <v>6032</v>
      </c>
      <c r="C2773" s="3" t="s">
        <v>1465</v>
      </c>
      <c r="D2773" s="9">
        <v>19.899999999999999</v>
      </c>
      <c r="E2773" s="3" t="s">
        <v>139</v>
      </c>
      <c r="F2773" s="3" t="s">
        <v>3195</v>
      </c>
      <c r="G2773" s="9">
        <v>405.43</v>
      </c>
      <c r="H2773" s="10">
        <v>45670.336967592593</v>
      </c>
      <c r="I2773" s="10">
        <v>45670.336967592593</v>
      </c>
      <c r="J2773" s="10">
        <v>45670.338703703703</v>
      </c>
      <c r="K2773" s="11">
        <v>1.736111111111111E-3</v>
      </c>
      <c r="L2773" s="13"/>
    </row>
    <row r="2774" spans="1:12" x14ac:dyDescent="0.25">
      <c r="A2774" s="3" t="s">
        <v>3225</v>
      </c>
      <c r="B2774" s="3" t="s">
        <v>6033</v>
      </c>
      <c r="C2774" s="3" t="s">
        <v>1468</v>
      </c>
      <c r="D2774" s="9">
        <v>27</v>
      </c>
      <c r="E2774" s="3" t="s">
        <v>139</v>
      </c>
      <c r="F2774" s="3" t="s">
        <v>3200</v>
      </c>
      <c r="G2774" s="9">
        <v>405.03</v>
      </c>
      <c r="H2774" s="10">
        <v>45670.338703703703</v>
      </c>
      <c r="I2774" s="10">
        <v>45670.338703703703</v>
      </c>
      <c r="J2774" s="10">
        <v>45670.340451388889</v>
      </c>
      <c r="K2774" s="11">
        <v>1.747685185185185E-3</v>
      </c>
      <c r="L2774" s="13"/>
    </row>
    <row r="2775" spans="1:12" x14ac:dyDescent="0.25">
      <c r="A2775" s="3" t="s">
        <v>3225</v>
      </c>
      <c r="B2775" s="3" t="s">
        <v>6034</v>
      </c>
      <c r="C2775" s="3" t="s">
        <v>1470</v>
      </c>
      <c r="D2775" s="9">
        <v>16.5</v>
      </c>
      <c r="E2775" s="3" t="s">
        <v>139</v>
      </c>
      <c r="F2775" s="3" t="s">
        <v>3196</v>
      </c>
      <c r="G2775" s="9">
        <v>450.42</v>
      </c>
      <c r="H2775" s="10">
        <v>45670.340451388889</v>
      </c>
      <c r="I2775" s="10">
        <v>45670.340451388889</v>
      </c>
      <c r="J2775" s="10">
        <v>45670.342361111107</v>
      </c>
      <c r="K2775" s="11">
        <v>1.9097222222222219E-3</v>
      </c>
      <c r="L2775" s="13"/>
    </row>
    <row r="2776" spans="1:12" x14ac:dyDescent="0.25">
      <c r="A2776" s="3" t="s">
        <v>3225</v>
      </c>
      <c r="B2776" s="3" t="s">
        <v>6035</v>
      </c>
      <c r="C2776" s="3" t="s">
        <v>1473</v>
      </c>
      <c r="D2776" s="9">
        <v>23.2</v>
      </c>
      <c r="E2776" s="3" t="s">
        <v>139</v>
      </c>
      <c r="F2776" s="3" t="s">
        <v>3202</v>
      </c>
      <c r="G2776" s="9">
        <v>324.35000000000002</v>
      </c>
      <c r="H2776" s="10">
        <v>45670.342361111107</v>
      </c>
      <c r="I2776" s="10">
        <v>45670.342361111107</v>
      </c>
      <c r="J2776" s="10">
        <v>45670.343773148154</v>
      </c>
      <c r="K2776" s="11">
        <v>1.4120370370370369E-3</v>
      </c>
      <c r="L2776" s="13"/>
    </row>
    <row r="2777" spans="1:12" x14ac:dyDescent="0.25">
      <c r="A2777" s="3" t="s">
        <v>3225</v>
      </c>
      <c r="B2777" s="3" t="s">
        <v>6036</v>
      </c>
      <c r="C2777" s="3" t="s">
        <v>1475</v>
      </c>
      <c r="D2777" s="9">
        <v>108</v>
      </c>
      <c r="E2777" s="3" t="s">
        <v>139</v>
      </c>
      <c r="F2777" s="3" t="s">
        <v>3200</v>
      </c>
      <c r="G2777" s="9">
        <v>405.03</v>
      </c>
      <c r="H2777" s="10">
        <v>45670.343773148154</v>
      </c>
      <c r="I2777" s="10">
        <v>45670.343773148154</v>
      </c>
      <c r="J2777" s="10">
        <v>45670.345706018517</v>
      </c>
      <c r="K2777" s="11">
        <v>1.93287037037037E-3</v>
      </c>
      <c r="L2777" s="13"/>
    </row>
    <row r="2778" spans="1:12" x14ac:dyDescent="0.25">
      <c r="A2778" s="3" t="s">
        <v>3225</v>
      </c>
      <c r="B2778" s="3" t="s">
        <v>6037</v>
      </c>
      <c r="C2778" s="3" t="s">
        <v>1477</v>
      </c>
      <c r="D2778" s="9">
        <v>15.7</v>
      </c>
      <c r="E2778" s="3" t="s">
        <v>139</v>
      </c>
      <c r="F2778" s="3" t="s">
        <v>3201</v>
      </c>
      <c r="G2778" s="9">
        <v>412.05</v>
      </c>
      <c r="H2778" s="10">
        <v>45670.345706018517</v>
      </c>
      <c r="I2778" s="10">
        <v>45670.345706018517</v>
      </c>
      <c r="J2778" s="10">
        <v>45670.34746527778</v>
      </c>
      <c r="K2778" s="11">
        <v>1.759259259259259E-3</v>
      </c>
      <c r="L2778" s="13"/>
    </row>
    <row r="2779" spans="1:12" x14ac:dyDescent="0.25">
      <c r="A2779" s="3" t="s">
        <v>3225</v>
      </c>
      <c r="B2779" s="3" t="s">
        <v>6038</v>
      </c>
      <c r="C2779" s="3" t="s">
        <v>1479</v>
      </c>
      <c r="D2779" s="9">
        <v>23.2</v>
      </c>
      <c r="E2779" s="3" t="s">
        <v>139</v>
      </c>
      <c r="F2779" s="3" t="s">
        <v>3195</v>
      </c>
      <c r="G2779" s="9">
        <v>405.43</v>
      </c>
      <c r="H2779" s="10">
        <v>45670.34746527778</v>
      </c>
      <c r="I2779" s="10">
        <v>45670.34746527778</v>
      </c>
      <c r="J2779" s="10">
        <v>45670.34920138889</v>
      </c>
      <c r="K2779" s="11">
        <v>1.736111111111111E-3</v>
      </c>
      <c r="L2779" s="13"/>
    </row>
    <row r="2780" spans="1:12" x14ac:dyDescent="0.25">
      <c r="A2780" s="3" t="s">
        <v>3225</v>
      </c>
      <c r="B2780" s="3" t="s">
        <v>6039</v>
      </c>
      <c r="C2780" s="3" t="s">
        <v>1481</v>
      </c>
      <c r="D2780" s="9">
        <v>19.899999999999999</v>
      </c>
      <c r="E2780" s="3" t="s">
        <v>139</v>
      </c>
      <c r="F2780" s="3" t="s">
        <v>3203</v>
      </c>
      <c r="G2780" s="9">
        <v>269.92</v>
      </c>
      <c r="H2780" s="10">
        <v>45670.34920138889</v>
      </c>
      <c r="I2780" s="10">
        <v>45670.34920138889</v>
      </c>
      <c r="J2780" s="10">
        <v>45670.350381944438</v>
      </c>
      <c r="K2780" s="11">
        <v>1.180555555555556E-3</v>
      </c>
      <c r="L2780" s="13"/>
    </row>
    <row r="2781" spans="1:12" x14ac:dyDescent="0.25">
      <c r="A2781" s="3" t="s">
        <v>3225</v>
      </c>
      <c r="B2781" s="3" t="s">
        <v>6040</v>
      </c>
      <c r="C2781" s="3" t="s">
        <v>1483</v>
      </c>
      <c r="D2781" s="9">
        <v>23.2</v>
      </c>
      <c r="E2781" s="3" t="s">
        <v>139</v>
      </c>
      <c r="F2781" s="3" t="s">
        <v>3193</v>
      </c>
      <c r="G2781" s="9">
        <v>297.43</v>
      </c>
      <c r="H2781" s="10">
        <v>45670.350381944438</v>
      </c>
      <c r="I2781" s="10">
        <v>45670.350381944438</v>
      </c>
      <c r="J2781" s="10">
        <v>45670.351666666669</v>
      </c>
      <c r="K2781" s="11">
        <v>1.284722222222222E-3</v>
      </c>
      <c r="L2781" s="13"/>
    </row>
    <row r="2782" spans="1:12" x14ac:dyDescent="0.25">
      <c r="A2782" s="3" t="s">
        <v>3225</v>
      </c>
      <c r="B2782" s="3" t="s">
        <v>6041</v>
      </c>
      <c r="C2782" s="3" t="s">
        <v>1485</v>
      </c>
      <c r="D2782" s="9">
        <v>279</v>
      </c>
      <c r="E2782" s="3" t="s">
        <v>139</v>
      </c>
      <c r="F2782" s="3" t="s">
        <v>3204</v>
      </c>
      <c r="G2782" s="9">
        <v>477.75</v>
      </c>
      <c r="H2782" s="10">
        <v>45670.385243055563</v>
      </c>
      <c r="I2782" s="10">
        <v>45670.385243055563</v>
      </c>
      <c r="J2782" s="10">
        <v>45670.387881944444</v>
      </c>
      <c r="K2782" s="11">
        <v>2.638888888888889E-3</v>
      </c>
      <c r="L2782" s="13"/>
    </row>
    <row r="2783" spans="1:12" x14ac:dyDescent="0.25">
      <c r="A2783" s="3" t="s">
        <v>3225</v>
      </c>
      <c r="B2783" s="3" t="s">
        <v>6042</v>
      </c>
      <c r="C2783" s="3" t="s">
        <v>1488</v>
      </c>
      <c r="D2783" s="9">
        <v>114.8</v>
      </c>
      <c r="E2783" s="3" t="s">
        <v>139</v>
      </c>
      <c r="F2783" s="3" t="s">
        <v>3205</v>
      </c>
      <c r="G2783" s="9">
        <v>299.11</v>
      </c>
      <c r="H2783" s="10">
        <v>45670.387881944444</v>
      </c>
      <c r="I2783" s="10">
        <v>45670.387881944444</v>
      </c>
      <c r="J2783" s="10">
        <v>45670.389386574083</v>
      </c>
      <c r="K2783" s="11">
        <v>1.5046296296296301E-3</v>
      </c>
      <c r="L2783" s="13"/>
    </row>
    <row r="2784" spans="1:12" x14ac:dyDescent="0.25">
      <c r="A2784" s="3" t="s">
        <v>3225</v>
      </c>
      <c r="B2784" s="3" t="s">
        <v>6043</v>
      </c>
      <c r="C2784" s="3" t="s">
        <v>1490</v>
      </c>
      <c r="D2784" s="9">
        <v>14</v>
      </c>
      <c r="E2784" s="3" t="s">
        <v>142</v>
      </c>
      <c r="F2784" s="3" t="s">
        <v>3199</v>
      </c>
      <c r="G2784" s="9">
        <v>443.59</v>
      </c>
      <c r="H2784" s="10">
        <v>45670.395138888889</v>
      </c>
      <c r="I2784" s="10">
        <v>45670.395138888889</v>
      </c>
      <c r="J2784" s="10">
        <v>45670.39702546296</v>
      </c>
      <c r="K2784" s="11">
        <v>1.8865740740740739E-3</v>
      </c>
      <c r="L2784" s="13"/>
    </row>
    <row r="2785" spans="1:12" x14ac:dyDescent="0.25">
      <c r="A2785" s="3" t="s">
        <v>3225</v>
      </c>
      <c r="B2785" s="3" t="s">
        <v>6044</v>
      </c>
      <c r="C2785" s="3" t="s">
        <v>1492</v>
      </c>
      <c r="D2785" s="9">
        <v>21</v>
      </c>
      <c r="E2785" s="3" t="s">
        <v>142</v>
      </c>
      <c r="F2785" s="3" t="s">
        <v>3203</v>
      </c>
      <c r="G2785" s="9">
        <v>263.08999999999997</v>
      </c>
      <c r="H2785" s="10">
        <v>45670.39702546296</v>
      </c>
      <c r="I2785" s="10">
        <v>45670.39702546296</v>
      </c>
      <c r="J2785" s="10">
        <v>45670.3981712963</v>
      </c>
      <c r="K2785" s="11">
        <v>1.1458333333333329E-3</v>
      </c>
      <c r="L2785" s="13"/>
    </row>
    <row r="2786" spans="1:12" x14ac:dyDescent="0.25">
      <c r="A2786" s="3" t="s">
        <v>3225</v>
      </c>
      <c r="B2786" s="3" t="s">
        <v>6045</v>
      </c>
      <c r="C2786" s="3" t="s">
        <v>1494</v>
      </c>
      <c r="D2786" s="9">
        <v>63</v>
      </c>
      <c r="E2786" s="3" t="s">
        <v>142</v>
      </c>
      <c r="F2786" s="3" t="s">
        <v>3193</v>
      </c>
      <c r="G2786" s="9">
        <v>290.60000000000002</v>
      </c>
      <c r="H2786" s="10">
        <v>45670.3981712963</v>
      </c>
      <c r="I2786" s="10">
        <v>45670.3981712963</v>
      </c>
      <c r="J2786" s="10">
        <v>45670.399525462963</v>
      </c>
      <c r="K2786" s="11">
        <v>1.3541666666666669E-3</v>
      </c>
      <c r="L2786" s="13"/>
    </row>
    <row r="2787" spans="1:12" x14ac:dyDescent="0.25">
      <c r="A2787" s="3" t="s">
        <v>3225</v>
      </c>
      <c r="B2787" s="3" t="s">
        <v>6046</v>
      </c>
      <c r="C2787" s="3" t="s">
        <v>1496</v>
      </c>
      <c r="D2787" s="9">
        <v>15.7</v>
      </c>
      <c r="E2787" s="3" t="s">
        <v>142</v>
      </c>
      <c r="F2787" s="3" t="s">
        <v>3195</v>
      </c>
      <c r="G2787" s="9">
        <v>398.6</v>
      </c>
      <c r="H2787" s="10">
        <v>45670.399525462963</v>
      </c>
      <c r="I2787" s="10">
        <v>45670.399525462963</v>
      </c>
      <c r="J2787" s="10">
        <v>45670.40121527778</v>
      </c>
      <c r="K2787" s="11">
        <v>1.689814814814815E-3</v>
      </c>
      <c r="L2787" s="13"/>
    </row>
    <row r="2788" spans="1:12" x14ac:dyDescent="0.25">
      <c r="A2788" s="3" t="s">
        <v>3225</v>
      </c>
      <c r="B2788" s="3" t="s">
        <v>6047</v>
      </c>
      <c r="C2788" s="3" t="s">
        <v>1498</v>
      </c>
      <c r="D2788" s="9">
        <v>19.899999999999999</v>
      </c>
      <c r="E2788" s="3" t="s">
        <v>142</v>
      </c>
      <c r="F2788" s="3" t="s">
        <v>3203</v>
      </c>
      <c r="G2788" s="9">
        <v>263.08999999999997</v>
      </c>
      <c r="H2788" s="10">
        <v>45670.40121527778</v>
      </c>
      <c r="I2788" s="10">
        <v>45670.40121527778</v>
      </c>
      <c r="J2788" s="10">
        <v>45670.402361111112</v>
      </c>
      <c r="K2788" s="11">
        <v>1.1458333333333329E-3</v>
      </c>
      <c r="L2788" s="13"/>
    </row>
    <row r="2789" spans="1:12" x14ac:dyDescent="0.25">
      <c r="A2789" s="3" t="s">
        <v>3225</v>
      </c>
      <c r="B2789" s="3" t="s">
        <v>6048</v>
      </c>
      <c r="C2789" s="3" t="s">
        <v>1501</v>
      </c>
      <c r="D2789" s="9">
        <v>12</v>
      </c>
      <c r="E2789" s="3" t="s">
        <v>142</v>
      </c>
      <c r="F2789" s="3" t="s">
        <v>3205</v>
      </c>
      <c r="G2789" s="9">
        <v>292.27999999999997</v>
      </c>
      <c r="H2789" s="10">
        <v>45670.402361111112</v>
      </c>
      <c r="I2789" s="10">
        <v>45670.402361111112</v>
      </c>
      <c r="J2789" s="10">
        <v>45670.403611111113</v>
      </c>
      <c r="K2789" s="11">
        <v>1.25E-3</v>
      </c>
      <c r="L2789" s="13"/>
    </row>
    <row r="2790" spans="1:12" x14ac:dyDescent="0.25">
      <c r="A2790" s="3" t="s">
        <v>3225</v>
      </c>
      <c r="B2790" s="3" t="s">
        <v>6049</v>
      </c>
      <c r="C2790" s="3" t="s">
        <v>1504</v>
      </c>
      <c r="D2790" s="9">
        <v>124.4</v>
      </c>
      <c r="E2790" s="3" t="s">
        <v>142</v>
      </c>
      <c r="F2790" s="3" t="s">
        <v>3202</v>
      </c>
      <c r="G2790" s="9">
        <v>317.52</v>
      </c>
      <c r="H2790" s="10">
        <v>45670.403611111113</v>
      </c>
      <c r="I2790" s="10">
        <v>45670.403611111113</v>
      </c>
      <c r="J2790" s="10">
        <v>45670.405219907407</v>
      </c>
      <c r="K2790" s="11">
        <v>1.6087962962962961E-3</v>
      </c>
      <c r="L2790" s="13"/>
    </row>
    <row r="2791" spans="1:12" x14ac:dyDescent="0.25">
      <c r="A2791" s="3" t="s">
        <v>3225</v>
      </c>
      <c r="B2791" s="3" t="s">
        <v>6050</v>
      </c>
      <c r="C2791" s="3" t="s">
        <v>1506</v>
      </c>
      <c r="D2791" s="9">
        <v>108</v>
      </c>
      <c r="E2791" s="3" t="s">
        <v>142</v>
      </c>
      <c r="F2791" s="3" t="s">
        <v>3195</v>
      </c>
      <c r="G2791" s="9">
        <v>398.6</v>
      </c>
      <c r="H2791" s="10">
        <v>45670.405219907407</v>
      </c>
      <c r="I2791" s="10">
        <v>45670.405219907407</v>
      </c>
      <c r="J2791" s="10">
        <v>45670.407129629632</v>
      </c>
      <c r="K2791" s="11">
        <v>1.9097222222222219E-3</v>
      </c>
      <c r="L2791" s="13"/>
    </row>
    <row r="2792" spans="1:12" x14ac:dyDescent="0.25">
      <c r="A2792" s="3" t="s">
        <v>3225</v>
      </c>
      <c r="B2792" s="3" t="s">
        <v>6051</v>
      </c>
      <c r="C2792" s="3" t="s">
        <v>1508</v>
      </c>
      <c r="D2792" s="9">
        <v>19.899999999999999</v>
      </c>
      <c r="E2792" s="3" t="s">
        <v>142</v>
      </c>
      <c r="F2792" s="3" t="s">
        <v>3196</v>
      </c>
      <c r="G2792" s="9">
        <v>443.59</v>
      </c>
      <c r="H2792" s="10">
        <v>45670.407129629632</v>
      </c>
      <c r="I2792" s="10">
        <v>45670.407129629632</v>
      </c>
      <c r="J2792" s="10">
        <v>45670.40902777778</v>
      </c>
      <c r="K2792" s="11">
        <v>1.8981481481481479E-3</v>
      </c>
      <c r="L2792" s="13"/>
    </row>
    <row r="2793" spans="1:12" x14ac:dyDescent="0.25">
      <c r="A2793" s="3" t="s">
        <v>3225</v>
      </c>
      <c r="B2793" s="3" t="s">
        <v>6052</v>
      </c>
      <c r="C2793" s="3" t="s">
        <v>1510</v>
      </c>
      <c r="D2793" s="9">
        <v>47.2</v>
      </c>
      <c r="E2793" s="3" t="s">
        <v>142</v>
      </c>
      <c r="F2793" s="3" t="s">
        <v>3194</v>
      </c>
      <c r="G2793" s="9">
        <v>453.13</v>
      </c>
      <c r="H2793" s="10">
        <v>45670.40902777778</v>
      </c>
      <c r="I2793" s="10">
        <v>45670.40902777778</v>
      </c>
      <c r="J2793" s="10">
        <v>45670.41101851852</v>
      </c>
      <c r="K2793" s="11">
        <v>1.9907407407407408E-3</v>
      </c>
      <c r="L2793" s="13"/>
    </row>
    <row r="2794" spans="1:12" x14ac:dyDescent="0.25">
      <c r="A2794" s="3" t="s">
        <v>3225</v>
      </c>
      <c r="B2794" s="3" t="s">
        <v>6053</v>
      </c>
      <c r="C2794" s="3" t="s">
        <v>1512</v>
      </c>
      <c r="D2794" s="9">
        <v>267.5</v>
      </c>
      <c r="E2794" s="3" t="s">
        <v>139</v>
      </c>
      <c r="F2794" s="3" t="s">
        <v>3197</v>
      </c>
      <c r="G2794" s="9">
        <v>459.96</v>
      </c>
      <c r="H2794" s="10">
        <v>45670.430833333332</v>
      </c>
      <c r="I2794" s="10">
        <v>45670.430833333332</v>
      </c>
      <c r="J2794" s="10">
        <v>45670.433368055557</v>
      </c>
      <c r="K2794" s="11">
        <v>2.5347222222222221E-3</v>
      </c>
      <c r="L2794" s="13"/>
    </row>
    <row r="2795" spans="1:12" x14ac:dyDescent="0.25">
      <c r="A2795" s="3" t="s">
        <v>3225</v>
      </c>
      <c r="B2795" s="3" t="s">
        <v>6054</v>
      </c>
      <c r="C2795" s="3" t="s">
        <v>1515</v>
      </c>
      <c r="D2795" s="9">
        <v>40.9</v>
      </c>
      <c r="E2795" s="3" t="s">
        <v>139</v>
      </c>
      <c r="F2795" s="3" t="s">
        <v>3200</v>
      </c>
      <c r="G2795" s="9">
        <v>405.03</v>
      </c>
      <c r="H2795" s="10">
        <v>45670.433368055557</v>
      </c>
      <c r="I2795" s="10">
        <v>45670.433368055557</v>
      </c>
      <c r="J2795" s="10">
        <v>45670.435150462959</v>
      </c>
      <c r="K2795" s="11">
        <v>1.782407407407407E-3</v>
      </c>
      <c r="L2795" s="13"/>
    </row>
    <row r="2796" spans="1:12" x14ac:dyDescent="0.25">
      <c r="A2796" s="3" t="s">
        <v>3225</v>
      </c>
      <c r="B2796" s="3" t="s">
        <v>6055</v>
      </c>
      <c r="C2796" s="3" t="s">
        <v>1518</v>
      </c>
      <c r="D2796" s="9">
        <v>99.5</v>
      </c>
      <c r="E2796" s="3" t="s">
        <v>139</v>
      </c>
      <c r="F2796" s="3" t="s">
        <v>3205</v>
      </c>
      <c r="G2796" s="9">
        <v>299.11</v>
      </c>
      <c r="H2796" s="10">
        <v>45670.435150462959</v>
      </c>
      <c r="I2796" s="10">
        <v>45670.435150462959</v>
      </c>
      <c r="J2796" s="10">
        <v>45670.436631944453</v>
      </c>
      <c r="K2796" s="11">
        <v>1.481481481481481E-3</v>
      </c>
      <c r="L2796" s="13"/>
    </row>
    <row r="2797" spans="1:12" x14ac:dyDescent="0.25">
      <c r="A2797" s="3" t="s">
        <v>3225</v>
      </c>
      <c r="B2797" s="3" t="s">
        <v>6056</v>
      </c>
      <c r="C2797" s="3" t="s">
        <v>1520</v>
      </c>
      <c r="D2797" s="9">
        <v>234.9</v>
      </c>
      <c r="E2797" s="3" t="s">
        <v>139</v>
      </c>
      <c r="F2797" s="3" t="s">
        <v>3205</v>
      </c>
      <c r="G2797" s="9">
        <v>299.11</v>
      </c>
      <c r="H2797" s="10">
        <v>45670.519108796303</v>
      </c>
      <c r="I2797" s="10">
        <v>45670.519108796303</v>
      </c>
      <c r="J2797" s="10">
        <v>45670.520902777767</v>
      </c>
      <c r="K2797" s="11">
        <v>1.793981481481481E-3</v>
      </c>
      <c r="L2797" s="13"/>
    </row>
    <row r="2798" spans="1:12" x14ac:dyDescent="0.25">
      <c r="A2798" s="3" t="s">
        <v>3225</v>
      </c>
      <c r="B2798" s="3" t="s">
        <v>6057</v>
      </c>
      <c r="C2798" s="3" t="s">
        <v>1522</v>
      </c>
      <c r="D2798" s="9">
        <v>388.3</v>
      </c>
      <c r="E2798" s="3" t="s">
        <v>139</v>
      </c>
      <c r="F2798" s="3" t="s">
        <v>3203</v>
      </c>
      <c r="G2798" s="9">
        <v>269.92</v>
      </c>
      <c r="H2798" s="10">
        <v>45670.611400462964</v>
      </c>
      <c r="I2798" s="10">
        <v>45670.611400462964</v>
      </c>
      <c r="J2798" s="10">
        <v>45670.613425925927</v>
      </c>
      <c r="K2798" s="11">
        <v>2.0254629629629629E-3</v>
      </c>
      <c r="L2798" s="13"/>
    </row>
    <row r="2799" spans="1:12" x14ac:dyDescent="0.25">
      <c r="A2799" s="3" t="s">
        <v>3225</v>
      </c>
      <c r="B2799" s="3" t="s">
        <v>6058</v>
      </c>
      <c r="C2799" s="3" t="s">
        <v>1524</v>
      </c>
      <c r="D2799" s="9">
        <v>31.5</v>
      </c>
      <c r="E2799" s="3" t="s">
        <v>139</v>
      </c>
      <c r="F2799" s="3" t="s">
        <v>3193</v>
      </c>
      <c r="G2799" s="9">
        <v>297.43</v>
      </c>
      <c r="H2799" s="10">
        <v>45670.634432870371</v>
      </c>
      <c r="I2799" s="10">
        <v>45670.634432870371</v>
      </c>
      <c r="J2799" s="10">
        <v>45670.635740740741</v>
      </c>
      <c r="K2799" s="11">
        <v>1.30787037037037E-3</v>
      </c>
      <c r="L2799" s="13"/>
    </row>
    <row r="2800" spans="1:12" x14ac:dyDescent="0.25">
      <c r="A2800" s="3" t="s">
        <v>3225</v>
      </c>
      <c r="B2800" s="3" t="s">
        <v>6059</v>
      </c>
      <c r="C2800" s="3" t="s">
        <v>1527</v>
      </c>
      <c r="D2800" s="9">
        <v>81</v>
      </c>
      <c r="E2800" s="3" t="s">
        <v>139</v>
      </c>
      <c r="F2800" s="3" t="s">
        <v>3204</v>
      </c>
      <c r="G2800" s="9">
        <v>477.75</v>
      </c>
      <c r="H2800" s="10">
        <v>45670.635740740741</v>
      </c>
      <c r="I2800" s="10">
        <v>45670.635740740741</v>
      </c>
      <c r="J2800" s="10">
        <v>45670.637928240743</v>
      </c>
      <c r="K2800" s="11">
        <v>2.1875000000000002E-3</v>
      </c>
      <c r="L2800" s="13"/>
    </row>
    <row r="2801" spans="1:12" x14ac:dyDescent="0.25">
      <c r="A2801" s="3" t="s">
        <v>3225</v>
      </c>
      <c r="B2801" s="3" t="s">
        <v>6060</v>
      </c>
      <c r="C2801" s="3" t="s">
        <v>1530</v>
      </c>
      <c r="D2801" s="9">
        <v>47.2</v>
      </c>
      <c r="E2801" s="3" t="s">
        <v>139</v>
      </c>
      <c r="F2801" s="3" t="s">
        <v>3206</v>
      </c>
      <c r="G2801" s="9">
        <v>378.4</v>
      </c>
      <c r="H2801" s="10">
        <v>45670.637928240743</v>
      </c>
      <c r="I2801" s="10">
        <v>45670.637928240743</v>
      </c>
      <c r="J2801" s="10">
        <v>45670.639606481483</v>
      </c>
      <c r="K2801" s="11">
        <v>1.678240740740741E-3</v>
      </c>
      <c r="L2801" s="13"/>
    </row>
    <row r="2802" spans="1:12" x14ac:dyDescent="0.25">
      <c r="A2802" s="3" t="s">
        <v>3225</v>
      </c>
      <c r="B2802" s="3" t="s">
        <v>6061</v>
      </c>
      <c r="C2802" s="3" t="s">
        <v>1532</v>
      </c>
      <c r="D2802" s="9">
        <v>19.899999999999999</v>
      </c>
      <c r="E2802" s="3" t="s">
        <v>139</v>
      </c>
      <c r="F2802" s="3" t="s">
        <v>3204</v>
      </c>
      <c r="G2802" s="9">
        <v>477.75</v>
      </c>
      <c r="H2802" s="10">
        <v>45670.639606481483</v>
      </c>
      <c r="I2802" s="10">
        <v>45670.639606481483</v>
      </c>
      <c r="J2802" s="10">
        <v>45670.641643518517</v>
      </c>
      <c r="K2802" s="11">
        <v>2.0370370370370369E-3</v>
      </c>
      <c r="L2802" s="13"/>
    </row>
    <row r="2803" spans="1:12" x14ac:dyDescent="0.25">
      <c r="A2803" s="3" t="s">
        <v>3225</v>
      </c>
      <c r="B2803" s="3" t="s">
        <v>6062</v>
      </c>
      <c r="C2803" s="3" t="s">
        <v>1534</v>
      </c>
      <c r="D2803" s="9">
        <v>15.7</v>
      </c>
      <c r="E2803" s="3" t="s">
        <v>139</v>
      </c>
      <c r="F2803" s="3" t="s">
        <v>3201</v>
      </c>
      <c r="G2803" s="9">
        <v>412.05</v>
      </c>
      <c r="H2803" s="10">
        <v>45670.641643518517</v>
      </c>
      <c r="I2803" s="10">
        <v>45670.641643518517</v>
      </c>
      <c r="J2803" s="10">
        <v>45670.64340277778</v>
      </c>
      <c r="K2803" s="11">
        <v>1.759259259259259E-3</v>
      </c>
      <c r="L2803" s="13"/>
    </row>
    <row r="2804" spans="1:12" x14ac:dyDescent="0.25">
      <c r="A2804" s="3" t="s">
        <v>3225</v>
      </c>
      <c r="B2804" s="3" t="s">
        <v>6063</v>
      </c>
      <c r="C2804" s="3" t="s">
        <v>1536</v>
      </c>
      <c r="D2804" s="9">
        <v>15.7</v>
      </c>
      <c r="E2804" s="3" t="s">
        <v>139</v>
      </c>
      <c r="F2804" s="3" t="s">
        <v>3199</v>
      </c>
      <c r="G2804" s="9">
        <v>450.42</v>
      </c>
      <c r="H2804" s="10">
        <v>45670.64340277778</v>
      </c>
      <c r="I2804" s="10">
        <v>45670.64340277778</v>
      </c>
      <c r="J2804" s="10">
        <v>45670.645312499997</v>
      </c>
      <c r="K2804" s="11">
        <v>1.9097222222222219E-3</v>
      </c>
      <c r="L2804" s="13"/>
    </row>
    <row r="2805" spans="1:12" x14ac:dyDescent="0.25">
      <c r="A2805" s="3" t="s">
        <v>3225</v>
      </c>
      <c r="B2805" s="3" t="s">
        <v>6064</v>
      </c>
      <c r="C2805" s="3" t="s">
        <v>1538</v>
      </c>
      <c r="D2805" s="9">
        <v>21</v>
      </c>
      <c r="E2805" s="3" t="s">
        <v>139</v>
      </c>
      <c r="F2805" s="3" t="s">
        <v>3195</v>
      </c>
      <c r="G2805" s="9">
        <v>405.43</v>
      </c>
      <c r="H2805" s="10">
        <v>45670.645312499997</v>
      </c>
      <c r="I2805" s="10">
        <v>45670.645312499997</v>
      </c>
      <c r="J2805" s="10">
        <v>45670.647048611107</v>
      </c>
      <c r="K2805" s="11">
        <v>1.736111111111111E-3</v>
      </c>
      <c r="L2805" s="13"/>
    </row>
    <row r="2806" spans="1:12" x14ac:dyDescent="0.25">
      <c r="A2806" s="3" t="s">
        <v>3225</v>
      </c>
      <c r="B2806" s="3" t="s">
        <v>6065</v>
      </c>
      <c r="C2806" s="3" t="s">
        <v>1541</v>
      </c>
      <c r="D2806" s="9">
        <v>58.9</v>
      </c>
      <c r="E2806" s="3" t="s">
        <v>139</v>
      </c>
      <c r="F2806" s="3" t="s">
        <v>3197</v>
      </c>
      <c r="G2806" s="9">
        <v>459.96</v>
      </c>
      <c r="H2806" s="10">
        <v>45670.647048611107</v>
      </c>
      <c r="I2806" s="10">
        <v>45670.647048611107</v>
      </c>
      <c r="J2806" s="10">
        <v>45670.649097222216</v>
      </c>
      <c r="K2806" s="11">
        <v>2.0486111111111109E-3</v>
      </c>
      <c r="L2806" s="13"/>
    </row>
    <row r="2807" spans="1:12" x14ac:dyDescent="0.25">
      <c r="A2807" s="3" t="s">
        <v>3225</v>
      </c>
      <c r="B2807" s="3" t="s">
        <v>6066</v>
      </c>
      <c r="C2807" s="3" t="s">
        <v>1544</v>
      </c>
      <c r="D2807" s="9">
        <v>15.7</v>
      </c>
      <c r="E2807" s="3" t="s">
        <v>139</v>
      </c>
      <c r="F2807" s="3" t="s">
        <v>3194</v>
      </c>
      <c r="G2807" s="9">
        <v>459.96</v>
      </c>
      <c r="H2807" s="10">
        <v>45670.649097222216</v>
      </c>
      <c r="I2807" s="10">
        <v>45670.649097222216</v>
      </c>
      <c r="J2807" s="10">
        <v>45670.651053240741</v>
      </c>
      <c r="K2807" s="11">
        <v>1.956018518518518E-3</v>
      </c>
      <c r="L2807" s="13"/>
    </row>
    <row r="2808" spans="1:12" x14ac:dyDescent="0.25">
      <c r="A2808" s="3" t="s">
        <v>3225</v>
      </c>
      <c r="B2808" s="3" t="s">
        <v>6067</v>
      </c>
      <c r="C2808" s="3" t="s">
        <v>1546</v>
      </c>
      <c r="D2808" s="9">
        <v>40.9</v>
      </c>
      <c r="E2808" s="3" t="s">
        <v>139</v>
      </c>
      <c r="F2808" s="3" t="s">
        <v>3196</v>
      </c>
      <c r="G2808" s="9">
        <v>450.42</v>
      </c>
      <c r="H2808" s="10">
        <v>45670.651053240741</v>
      </c>
      <c r="I2808" s="10">
        <v>45670.651053240741</v>
      </c>
      <c r="J2808" s="10">
        <v>45670.653032407397</v>
      </c>
      <c r="K2808" s="11">
        <v>1.9791666666666668E-3</v>
      </c>
      <c r="L2808" s="13"/>
    </row>
    <row r="2809" spans="1:12" x14ac:dyDescent="0.25">
      <c r="A2809" s="3" t="s">
        <v>3225</v>
      </c>
      <c r="B2809" s="3" t="s">
        <v>6068</v>
      </c>
      <c r="C2809" s="3" t="s">
        <v>1548</v>
      </c>
      <c r="D2809" s="9">
        <v>19.899999999999999</v>
      </c>
      <c r="E2809" s="3" t="s">
        <v>139</v>
      </c>
      <c r="F2809" s="3" t="s">
        <v>3198</v>
      </c>
      <c r="G2809" s="9">
        <v>350.87</v>
      </c>
      <c r="H2809" s="10">
        <v>45670.653032407397</v>
      </c>
      <c r="I2809" s="10">
        <v>45670.653032407397</v>
      </c>
      <c r="J2809" s="10">
        <v>45670.654537037037</v>
      </c>
      <c r="K2809" s="11">
        <v>1.5046296296296301E-3</v>
      </c>
      <c r="L2809" s="13"/>
    </row>
    <row r="2810" spans="1:12" x14ac:dyDescent="0.25">
      <c r="A2810" s="3" t="s">
        <v>3225</v>
      </c>
      <c r="B2810" s="3" t="s">
        <v>6069</v>
      </c>
      <c r="C2810" s="3" t="s">
        <v>1550</v>
      </c>
      <c r="D2810" s="9">
        <v>393.5</v>
      </c>
      <c r="E2810" s="3" t="s">
        <v>142</v>
      </c>
      <c r="F2810" s="3" t="s">
        <v>3202</v>
      </c>
      <c r="G2810" s="9">
        <v>317.52</v>
      </c>
      <c r="H2810" s="10">
        <v>45670.655405092592</v>
      </c>
      <c r="I2810" s="10">
        <v>45670.655405092592</v>
      </c>
      <c r="J2810" s="10">
        <v>45670.657638888893</v>
      </c>
      <c r="K2810" s="11">
        <v>2.2337962962962958E-3</v>
      </c>
      <c r="L2810" s="13"/>
    </row>
    <row r="2811" spans="1:12" x14ac:dyDescent="0.25">
      <c r="A2811" s="3" t="s">
        <v>3225</v>
      </c>
      <c r="B2811" s="3" t="s">
        <v>6070</v>
      </c>
      <c r="C2811" s="3" t="s">
        <v>1553</v>
      </c>
      <c r="D2811" s="9">
        <v>157.9</v>
      </c>
      <c r="E2811" s="3" t="s">
        <v>139</v>
      </c>
      <c r="F2811" s="3" t="s">
        <v>3200</v>
      </c>
      <c r="G2811" s="9">
        <v>405.03</v>
      </c>
      <c r="H2811" s="10">
        <v>45670.677662037036</v>
      </c>
      <c r="I2811" s="10">
        <v>45670.677662037036</v>
      </c>
      <c r="J2811" s="10">
        <v>45670.679722222223</v>
      </c>
      <c r="K2811" s="11">
        <v>2.0601851851851849E-3</v>
      </c>
      <c r="L2811" s="13"/>
    </row>
    <row r="2812" spans="1:12" x14ac:dyDescent="0.25">
      <c r="A2812" s="3" t="s">
        <v>3225</v>
      </c>
      <c r="B2812" s="3" t="s">
        <v>6071</v>
      </c>
      <c r="C2812" s="3" t="s">
        <v>1555</v>
      </c>
      <c r="D2812" s="9">
        <v>229.7</v>
      </c>
      <c r="E2812" s="3" t="s">
        <v>139</v>
      </c>
      <c r="F2812" s="3" t="s">
        <v>3204</v>
      </c>
      <c r="G2812" s="9">
        <v>477.75</v>
      </c>
      <c r="H2812" s="10">
        <v>45670.679722222223</v>
      </c>
      <c r="I2812" s="10">
        <v>45670.679722222223</v>
      </c>
      <c r="J2812" s="10">
        <v>45670.682245370372</v>
      </c>
      <c r="K2812" s="11">
        <v>2.5231481481481481E-3</v>
      </c>
      <c r="L2812" s="13"/>
    </row>
    <row r="2813" spans="1:12" x14ac:dyDescent="0.25">
      <c r="A2813" s="3" t="s">
        <v>3225</v>
      </c>
      <c r="B2813" s="3" t="s">
        <v>6072</v>
      </c>
      <c r="C2813" s="3" t="s">
        <v>1558</v>
      </c>
      <c r="D2813" s="9">
        <v>185.9</v>
      </c>
      <c r="E2813" s="3" t="s">
        <v>139</v>
      </c>
      <c r="F2813" s="3" t="s">
        <v>3203</v>
      </c>
      <c r="G2813" s="9">
        <v>269.92</v>
      </c>
      <c r="H2813" s="10">
        <v>45670.733935185177</v>
      </c>
      <c r="I2813" s="10">
        <v>45670.733935185177</v>
      </c>
      <c r="J2813" s="10">
        <v>45670.735486111109</v>
      </c>
      <c r="K2813" s="11">
        <v>1.5509259259259261E-3</v>
      </c>
      <c r="L2813" s="13"/>
    </row>
    <row r="2814" spans="1:12" x14ac:dyDescent="0.25">
      <c r="A2814" s="3" t="s">
        <v>3225</v>
      </c>
      <c r="B2814" s="3" t="s">
        <v>6073</v>
      </c>
      <c r="C2814" s="3" t="s">
        <v>1561</v>
      </c>
      <c r="D2814" s="9">
        <v>389.1</v>
      </c>
      <c r="E2814" s="3" t="s">
        <v>139</v>
      </c>
      <c r="F2814" s="3" t="s">
        <v>3203</v>
      </c>
      <c r="G2814" s="9">
        <v>269.92</v>
      </c>
      <c r="H2814" s="10">
        <v>45670.887175925927</v>
      </c>
      <c r="I2814" s="10">
        <v>45670.887175925927</v>
      </c>
      <c r="J2814" s="10">
        <v>45670.889201388891</v>
      </c>
      <c r="K2814" s="11">
        <v>2.0254629629629629E-3</v>
      </c>
      <c r="L2814" s="13"/>
    </row>
    <row r="2815" spans="1:12" x14ac:dyDescent="0.25">
      <c r="A2815" s="3" t="s">
        <v>3225</v>
      </c>
      <c r="B2815" s="3" t="s">
        <v>6074</v>
      </c>
      <c r="C2815" s="3" t="s">
        <v>1564</v>
      </c>
      <c r="D2815" s="9">
        <v>103.9</v>
      </c>
      <c r="E2815" s="3" t="s">
        <v>139</v>
      </c>
      <c r="F2815" s="3" t="s">
        <v>3195</v>
      </c>
      <c r="G2815" s="9">
        <v>405.43</v>
      </c>
      <c r="H2815" s="10">
        <v>45671.112210648149</v>
      </c>
      <c r="I2815" s="10">
        <v>45671.112210648149</v>
      </c>
      <c r="J2815" s="10">
        <v>45671.11414351852</v>
      </c>
      <c r="K2815" s="11">
        <v>1.93287037037037E-3</v>
      </c>
      <c r="L2815" s="13"/>
    </row>
    <row r="2816" spans="1:12" x14ac:dyDescent="0.25">
      <c r="A2816" s="3" t="s">
        <v>3225</v>
      </c>
      <c r="B2816" s="3" t="s">
        <v>6075</v>
      </c>
      <c r="C2816" s="3" t="s">
        <v>1566</v>
      </c>
      <c r="D2816" s="9">
        <v>12</v>
      </c>
      <c r="E2816" s="3" t="s">
        <v>139</v>
      </c>
      <c r="F2816" s="3" t="s">
        <v>3205</v>
      </c>
      <c r="G2816" s="9">
        <v>299.11</v>
      </c>
      <c r="H2816" s="10">
        <v>45671.11414351852</v>
      </c>
      <c r="I2816" s="10">
        <v>45671.11414351852</v>
      </c>
      <c r="J2816" s="10">
        <v>45671.115416666667</v>
      </c>
      <c r="K2816" s="11">
        <v>1.273148148148148E-3</v>
      </c>
      <c r="L2816" s="13"/>
    </row>
    <row r="2817" spans="1:12" x14ac:dyDescent="0.25">
      <c r="A2817" s="3" t="s">
        <v>3225</v>
      </c>
      <c r="B2817" s="3" t="s">
        <v>6076</v>
      </c>
      <c r="C2817" s="3" t="s">
        <v>1569</v>
      </c>
      <c r="D2817" s="9">
        <v>15.7</v>
      </c>
      <c r="E2817" s="3" t="s">
        <v>139</v>
      </c>
      <c r="F2817" s="3" t="s">
        <v>3197</v>
      </c>
      <c r="G2817" s="9">
        <v>459.96</v>
      </c>
      <c r="H2817" s="10">
        <v>45671.115416666667</v>
      </c>
      <c r="I2817" s="10">
        <v>45671.115416666667</v>
      </c>
      <c r="J2817" s="10">
        <v>45671.117361111108</v>
      </c>
      <c r="K2817" s="11">
        <v>1.944444444444444E-3</v>
      </c>
      <c r="L2817" s="13"/>
    </row>
    <row r="2818" spans="1:12" x14ac:dyDescent="0.25">
      <c r="A2818" s="3" t="s">
        <v>3225</v>
      </c>
      <c r="B2818" s="3" t="s">
        <v>6077</v>
      </c>
      <c r="C2818" s="3" t="s">
        <v>1571</v>
      </c>
      <c r="D2818" s="9">
        <v>15.7</v>
      </c>
      <c r="E2818" s="3" t="s">
        <v>139</v>
      </c>
      <c r="F2818" s="3" t="s">
        <v>3199</v>
      </c>
      <c r="G2818" s="9">
        <v>450.42</v>
      </c>
      <c r="H2818" s="10">
        <v>45671.117361111108</v>
      </c>
      <c r="I2818" s="10">
        <v>45671.117361111108</v>
      </c>
      <c r="J2818" s="10">
        <v>45671.11928240741</v>
      </c>
      <c r="K2818" s="11">
        <v>1.9212962962962959E-3</v>
      </c>
      <c r="L2818" s="13"/>
    </row>
    <row r="2819" spans="1:12" x14ac:dyDescent="0.25">
      <c r="A2819" s="3" t="s">
        <v>3225</v>
      </c>
      <c r="B2819" s="3" t="s">
        <v>6078</v>
      </c>
      <c r="C2819" s="3" t="s">
        <v>1573</v>
      </c>
      <c r="D2819" s="9">
        <v>297</v>
      </c>
      <c r="E2819" s="3" t="s">
        <v>139</v>
      </c>
      <c r="F2819" s="3" t="s">
        <v>3203</v>
      </c>
      <c r="G2819" s="9">
        <v>269.92</v>
      </c>
      <c r="H2819" s="10">
        <v>45671.278912037043</v>
      </c>
      <c r="I2819" s="10">
        <v>45671.278912037043</v>
      </c>
      <c r="J2819" s="10">
        <v>45671.280729166669</v>
      </c>
      <c r="K2819" s="11">
        <v>1.8171296296296299E-3</v>
      </c>
      <c r="L2819" s="13"/>
    </row>
    <row r="2820" spans="1:12" x14ac:dyDescent="0.25">
      <c r="A2820" s="3" t="s">
        <v>3225</v>
      </c>
      <c r="B2820" s="3" t="s">
        <v>6079</v>
      </c>
      <c r="C2820" s="3" t="s">
        <v>1576</v>
      </c>
      <c r="D2820" s="9">
        <v>110.3</v>
      </c>
      <c r="E2820" s="3" t="s">
        <v>142</v>
      </c>
      <c r="F2820" s="3" t="s">
        <v>3196</v>
      </c>
      <c r="G2820" s="9">
        <v>443.59</v>
      </c>
      <c r="H2820" s="10">
        <v>45671.290833333333</v>
      </c>
      <c r="I2820" s="10">
        <v>45671.290833333333</v>
      </c>
      <c r="J2820" s="10">
        <v>45671.292939814812</v>
      </c>
      <c r="K2820" s="11">
        <v>2.1064814814814809E-3</v>
      </c>
      <c r="L2820" s="13"/>
    </row>
    <row r="2821" spans="1:12" x14ac:dyDescent="0.25">
      <c r="A2821" s="3" t="s">
        <v>3225</v>
      </c>
      <c r="B2821" s="3" t="s">
        <v>6080</v>
      </c>
      <c r="C2821" s="3" t="s">
        <v>1578</v>
      </c>
      <c r="D2821" s="9">
        <v>70.5</v>
      </c>
      <c r="E2821" s="3" t="s">
        <v>142</v>
      </c>
      <c r="F2821" s="3" t="s">
        <v>3193</v>
      </c>
      <c r="G2821" s="9">
        <v>290.60000000000002</v>
      </c>
      <c r="H2821" s="10">
        <v>45671.292939814812</v>
      </c>
      <c r="I2821" s="10">
        <v>45671.292939814812</v>
      </c>
      <c r="J2821" s="10">
        <v>45671.294317129628</v>
      </c>
      <c r="K2821" s="11">
        <v>1.3773148148148149E-3</v>
      </c>
      <c r="L2821" s="13"/>
    </row>
    <row r="2822" spans="1:12" x14ac:dyDescent="0.25">
      <c r="A2822" s="3" t="s">
        <v>3225</v>
      </c>
      <c r="B2822" s="3" t="s">
        <v>6081</v>
      </c>
      <c r="C2822" s="3" t="s">
        <v>1580</v>
      </c>
      <c r="D2822" s="9">
        <v>54</v>
      </c>
      <c r="E2822" s="3" t="s">
        <v>142</v>
      </c>
      <c r="F2822" s="3" t="s">
        <v>3204</v>
      </c>
      <c r="G2822" s="9">
        <v>470.92</v>
      </c>
      <c r="H2822" s="10">
        <v>45671.294317129628</v>
      </c>
      <c r="I2822" s="10">
        <v>45671.294317129628</v>
      </c>
      <c r="J2822" s="10">
        <v>45671.296400462961</v>
      </c>
      <c r="K2822" s="11">
        <v>2.0833333333333329E-3</v>
      </c>
      <c r="L2822" s="13"/>
    </row>
    <row r="2823" spans="1:12" x14ac:dyDescent="0.25">
      <c r="A2823" s="3" t="s">
        <v>3225</v>
      </c>
      <c r="B2823" s="3" t="s">
        <v>6082</v>
      </c>
      <c r="C2823" s="3" t="s">
        <v>1583</v>
      </c>
      <c r="D2823" s="9">
        <v>23.2</v>
      </c>
      <c r="E2823" s="3" t="s">
        <v>142</v>
      </c>
      <c r="F2823" s="3" t="s">
        <v>3195</v>
      </c>
      <c r="G2823" s="9">
        <v>398.6</v>
      </c>
      <c r="H2823" s="10">
        <v>45671.296400462961</v>
      </c>
      <c r="I2823" s="10">
        <v>45671.296400462961</v>
      </c>
      <c r="J2823" s="10">
        <v>45671.298113425917</v>
      </c>
      <c r="K2823" s="11">
        <v>1.712962962962963E-3</v>
      </c>
      <c r="L2823" s="13"/>
    </row>
    <row r="2824" spans="1:12" x14ac:dyDescent="0.25">
      <c r="A2824" s="3" t="s">
        <v>3225</v>
      </c>
      <c r="B2824" s="3" t="s">
        <v>6083</v>
      </c>
      <c r="C2824" s="3" t="s">
        <v>1586</v>
      </c>
      <c r="D2824" s="9">
        <v>39.799999999999997</v>
      </c>
      <c r="E2824" s="3" t="s">
        <v>142</v>
      </c>
      <c r="F2824" s="3" t="s">
        <v>3205</v>
      </c>
      <c r="G2824" s="9">
        <v>292.27999999999997</v>
      </c>
      <c r="H2824" s="10">
        <v>45671.298113425917</v>
      </c>
      <c r="I2824" s="10">
        <v>45671.298113425917</v>
      </c>
      <c r="J2824" s="10">
        <v>45671.299421296288</v>
      </c>
      <c r="K2824" s="11">
        <v>1.30787037037037E-3</v>
      </c>
      <c r="L2824" s="13"/>
    </row>
    <row r="2825" spans="1:12" x14ac:dyDescent="0.25">
      <c r="A2825" s="3" t="s">
        <v>3225</v>
      </c>
      <c r="B2825" s="3" t="s">
        <v>6084</v>
      </c>
      <c r="C2825" s="3" t="s">
        <v>1588</v>
      </c>
      <c r="D2825" s="9">
        <v>27</v>
      </c>
      <c r="E2825" s="3" t="s">
        <v>142</v>
      </c>
      <c r="F2825" s="3" t="s">
        <v>3204</v>
      </c>
      <c r="G2825" s="9">
        <v>470.92</v>
      </c>
      <c r="H2825" s="10">
        <v>45671.299421296288</v>
      </c>
      <c r="I2825" s="10">
        <v>45671.299421296288</v>
      </c>
      <c r="J2825" s="10">
        <v>45671.301446759258</v>
      </c>
      <c r="K2825" s="11">
        <v>2.0254629629629629E-3</v>
      </c>
      <c r="L2825" s="13"/>
    </row>
    <row r="2826" spans="1:12" x14ac:dyDescent="0.25">
      <c r="A2826" s="3" t="s">
        <v>3225</v>
      </c>
      <c r="B2826" s="3" t="s">
        <v>6085</v>
      </c>
      <c r="C2826" s="3" t="s">
        <v>1590</v>
      </c>
      <c r="D2826" s="9">
        <v>39</v>
      </c>
      <c r="E2826" s="3" t="s">
        <v>142</v>
      </c>
      <c r="F2826" s="3" t="s">
        <v>3195</v>
      </c>
      <c r="G2826" s="9">
        <v>398.6</v>
      </c>
      <c r="H2826" s="10">
        <v>45671.301446759258</v>
      </c>
      <c r="I2826" s="10">
        <v>45671.301446759258</v>
      </c>
      <c r="J2826" s="10">
        <v>45671.303194444437</v>
      </c>
      <c r="K2826" s="11">
        <v>1.747685185185185E-3</v>
      </c>
      <c r="L2826" s="13"/>
    </row>
    <row r="2827" spans="1:12" x14ac:dyDescent="0.25">
      <c r="A2827" s="3" t="s">
        <v>3225</v>
      </c>
      <c r="B2827" s="3" t="s">
        <v>6086</v>
      </c>
      <c r="C2827" s="3" t="s">
        <v>1592</v>
      </c>
      <c r="D2827" s="9">
        <v>213.8</v>
      </c>
      <c r="E2827" s="3" t="s">
        <v>139</v>
      </c>
      <c r="F2827" s="3" t="s">
        <v>3200</v>
      </c>
      <c r="G2827" s="9">
        <v>405.03</v>
      </c>
      <c r="H2827" s="10">
        <v>45671.312719907408</v>
      </c>
      <c r="I2827" s="10">
        <v>45671.312719907408</v>
      </c>
      <c r="J2827" s="10">
        <v>45671.31490740741</v>
      </c>
      <c r="K2827" s="11">
        <v>2.1875000000000002E-3</v>
      </c>
      <c r="L2827" s="13"/>
    </row>
    <row r="2828" spans="1:12" x14ac:dyDescent="0.25">
      <c r="A2828" s="3" t="s">
        <v>3225</v>
      </c>
      <c r="B2828" s="3" t="s">
        <v>6087</v>
      </c>
      <c r="C2828" s="3" t="s">
        <v>1595</v>
      </c>
      <c r="D2828" s="9">
        <v>389.8</v>
      </c>
      <c r="E2828" s="3" t="s">
        <v>139</v>
      </c>
      <c r="F2828" s="3" t="s">
        <v>3193</v>
      </c>
      <c r="G2828" s="9">
        <v>297.43</v>
      </c>
      <c r="H2828" s="10">
        <v>45671.342604166668</v>
      </c>
      <c r="I2828" s="10">
        <v>45671.342604166668</v>
      </c>
      <c r="J2828" s="10">
        <v>45671.34474537037</v>
      </c>
      <c r="K2828" s="11">
        <v>2.1412037037037042E-3</v>
      </c>
      <c r="L2828" s="13"/>
    </row>
    <row r="2829" spans="1:12" x14ac:dyDescent="0.25">
      <c r="A2829" s="3" t="s">
        <v>3225</v>
      </c>
      <c r="B2829" s="3" t="s">
        <v>6088</v>
      </c>
      <c r="C2829" s="3" t="s">
        <v>1628</v>
      </c>
      <c r="D2829" s="9">
        <v>56.3</v>
      </c>
      <c r="E2829" s="3" t="s">
        <v>139</v>
      </c>
      <c r="F2829" s="3" t="s">
        <v>3196</v>
      </c>
      <c r="G2829" s="9">
        <v>450.42</v>
      </c>
      <c r="H2829" s="10">
        <v>45671.389224537037</v>
      </c>
      <c r="I2829" s="10">
        <v>45671.389224537037</v>
      </c>
      <c r="J2829" s="10">
        <v>45671.391238425917</v>
      </c>
      <c r="K2829" s="11">
        <v>2.0138888888888888E-3</v>
      </c>
      <c r="L2829" s="13"/>
    </row>
    <row r="2830" spans="1:12" x14ac:dyDescent="0.25">
      <c r="A2830" s="3" t="s">
        <v>3225</v>
      </c>
      <c r="B2830" s="3" t="s">
        <v>6089</v>
      </c>
      <c r="C2830" s="3" t="s">
        <v>1631</v>
      </c>
      <c r="D2830" s="9">
        <v>264.8</v>
      </c>
      <c r="E2830" s="3" t="s">
        <v>139</v>
      </c>
      <c r="F2830" s="3" t="s">
        <v>3206</v>
      </c>
      <c r="G2830" s="9">
        <v>378.4</v>
      </c>
      <c r="H2830" s="10">
        <v>45671.391238425917</v>
      </c>
      <c r="I2830" s="10">
        <v>45671.391238425917</v>
      </c>
      <c r="J2830" s="10">
        <v>45671.393425925933</v>
      </c>
      <c r="K2830" s="11">
        <v>2.1875000000000002E-3</v>
      </c>
      <c r="L2830" s="13"/>
    </row>
    <row r="2831" spans="1:12" x14ac:dyDescent="0.25">
      <c r="A2831" s="3" t="s">
        <v>3225</v>
      </c>
      <c r="B2831" s="3" t="s">
        <v>6090</v>
      </c>
      <c r="C2831" s="3" t="s">
        <v>1633</v>
      </c>
      <c r="D2831" s="9">
        <v>72.8</v>
      </c>
      <c r="E2831" s="3" t="s">
        <v>139</v>
      </c>
      <c r="F2831" s="3" t="s">
        <v>3196</v>
      </c>
      <c r="G2831" s="9">
        <v>450.42</v>
      </c>
      <c r="H2831" s="10">
        <v>45671.393425925933</v>
      </c>
      <c r="I2831" s="10">
        <v>45671.393425925933</v>
      </c>
      <c r="J2831" s="10">
        <v>45671.395462962973</v>
      </c>
      <c r="K2831" s="11">
        <v>2.0370370370370369E-3</v>
      </c>
      <c r="L2831" s="13"/>
    </row>
    <row r="2832" spans="1:12" x14ac:dyDescent="0.25">
      <c r="A2832" s="3" t="s">
        <v>3225</v>
      </c>
      <c r="B2832" s="3" t="s">
        <v>6091</v>
      </c>
      <c r="C2832" s="3" t="s">
        <v>1598</v>
      </c>
      <c r="D2832" s="9">
        <v>15.7</v>
      </c>
      <c r="E2832" s="3" t="s">
        <v>142</v>
      </c>
      <c r="F2832" s="3" t="s">
        <v>3195</v>
      </c>
      <c r="G2832" s="9">
        <v>398.6</v>
      </c>
      <c r="H2832" s="10">
        <v>45671.398333333331</v>
      </c>
      <c r="I2832" s="10">
        <v>45671.398333333331</v>
      </c>
      <c r="J2832" s="10">
        <v>45671.400034722217</v>
      </c>
      <c r="K2832" s="11">
        <v>1.701388888888889E-3</v>
      </c>
      <c r="L2832" s="13"/>
    </row>
    <row r="2833" spans="1:12" x14ac:dyDescent="0.25">
      <c r="A2833" s="3" t="s">
        <v>3225</v>
      </c>
      <c r="B2833" s="3" t="s">
        <v>6092</v>
      </c>
      <c r="C2833" s="3" t="s">
        <v>1600</v>
      </c>
      <c r="D2833" s="9">
        <v>19.899999999999999</v>
      </c>
      <c r="E2833" s="3" t="s">
        <v>142</v>
      </c>
      <c r="F2833" s="3" t="s">
        <v>3203</v>
      </c>
      <c r="G2833" s="9">
        <v>263.08999999999997</v>
      </c>
      <c r="H2833" s="10">
        <v>45671.400034722217</v>
      </c>
      <c r="I2833" s="10">
        <v>45671.400034722217</v>
      </c>
      <c r="J2833" s="10">
        <v>45671.401180555556</v>
      </c>
      <c r="K2833" s="11">
        <v>1.1458333333333329E-3</v>
      </c>
      <c r="L2833" s="13"/>
    </row>
    <row r="2834" spans="1:12" x14ac:dyDescent="0.25">
      <c r="A2834" s="3" t="s">
        <v>3225</v>
      </c>
      <c r="B2834" s="3" t="s">
        <v>6093</v>
      </c>
      <c r="C2834" s="3" t="s">
        <v>1603</v>
      </c>
      <c r="D2834" s="9">
        <v>28</v>
      </c>
      <c r="E2834" s="3" t="s">
        <v>142</v>
      </c>
      <c r="F2834" s="3" t="s">
        <v>3199</v>
      </c>
      <c r="G2834" s="9">
        <v>443.59</v>
      </c>
      <c r="H2834" s="10">
        <v>45671.401180555556</v>
      </c>
      <c r="I2834" s="10">
        <v>45671.401180555556</v>
      </c>
      <c r="J2834" s="10">
        <v>45671.403090277781</v>
      </c>
      <c r="K2834" s="11">
        <v>1.9097222222222219E-3</v>
      </c>
      <c r="L2834" s="13"/>
    </row>
    <row r="2835" spans="1:12" x14ac:dyDescent="0.25">
      <c r="A2835" s="3" t="s">
        <v>3225</v>
      </c>
      <c r="B2835" s="3" t="s">
        <v>6094</v>
      </c>
      <c r="C2835" s="3" t="s">
        <v>1605</v>
      </c>
      <c r="D2835" s="9">
        <v>108</v>
      </c>
      <c r="E2835" s="3" t="s">
        <v>142</v>
      </c>
      <c r="F2835" s="3" t="s">
        <v>3204</v>
      </c>
      <c r="G2835" s="9">
        <v>470.92</v>
      </c>
      <c r="H2835" s="10">
        <v>45671.403090277781</v>
      </c>
      <c r="I2835" s="10">
        <v>45671.403090277781</v>
      </c>
      <c r="J2835" s="10">
        <v>45671.405300925922</v>
      </c>
      <c r="K2835" s="11">
        <v>2.2106481481481482E-3</v>
      </c>
      <c r="L2835" s="13"/>
    </row>
    <row r="2836" spans="1:12" x14ac:dyDescent="0.25">
      <c r="A2836" s="3" t="s">
        <v>3225</v>
      </c>
      <c r="B2836" s="3" t="s">
        <v>6095</v>
      </c>
      <c r="C2836" s="3" t="s">
        <v>1607</v>
      </c>
      <c r="D2836" s="9">
        <v>42</v>
      </c>
      <c r="E2836" s="3" t="s">
        <v>142</v>
      </c>
      <c r="F2836" s="3" t="s">
        <v>3200</v>
      </c>
      <c r="G2836" s="9">
        <v>398.2</v>
      </c>
      <c r="H2836" s="10">
        <v>45671.405300925922</v>
      </c>
      <c r="I2836" s="10">
        <v>45671.405300925922</v>
      </c>
      <c r="J2836" s="10">
        <v>45671.407060185193</v>
      </c>
      <c r="K2836" s="11">
        <v>1.759259259259259E-3</v>
      </c>
      <c r="L2836" s="13"/>
    </row>
    <row r="2837" spans="1:12" x14ac:dyDescent="0.25">
      <c r="A2837" s="3" t="s">
        <v>3225</v>
      </c>
      <c r="B2837" s="3" t="s">
        <v>6096</v>
      </c>
      <c r="C2837" s="3" t="s">
        <v>1610</v>
      </c>
      <c r="D2837" s="9">
        <v>15.7</v>
      </c>
      <c r="E2837" s="3" t="s">
        <v>142</v>
      </c>
      <c r="F2837" s="3" t="s">
        <v>3197</v>
      </c>
      <c r="G2837" s="9">
        <v>453.13</v>
      </c>
      <c r="H2837" s="10">
        <v>45671.407060185193</v>
      </c>
      <c r="I2837" s="10">
        <v>45671.407060185193</v>
      </c>
      <c r="J2837" s="10">
        <v>45671.40898148148</v>
      </c>
      <c r="K2837" s="11">
        <v>1.9212962962962959E-3</v>
      </c>
      <c r="L2837" s="13"/>
    </row>
    <row r="2838" spans="1:12" x14ac:dyDescent="0.25">
      <c r="A2838" s="3" t="s">
        <v>3225</v>
      </c>
      <c r="B2838" s="3" t="s">
        <v>6097</v>
      </c>
      <c r="C2838" s="3" t="s">
        <v>1612</v>
      </c>
      <c r="D2838" s="9">
        <v>19.899999999999999</v>
      </c>
      <c r="E2838" s="3" t="s">
        <v>142</v>
      </c>
      <c r="F2838" s="3" t="s">
        <v>3198</v>
      </c>
      <c r="G2838" s="9">
        <v>344.04</v>
      </c>
      <c r="H2838" s="10">
        <v>45671.40898148148</v>
      </c>
      <c r="I2838" s="10">
        <v>45671.40898148148</v>
      </c>
      <c r="J2838" s="10">
        <v>45671.410462962973</v>
      </c>
      <c r="K2838" s="11">
        <v>1.481481481481481E-3</v>
      </c>
      <c r="L2838" s="13"/>
    </row>
    <row r="2839" spans="1:12" x14ac:dyDescent="0.25">
      <c r="A2839" s="3" t="s">
        <v>3225</v>
      </c>
      <c r="B2839" s="3" t="s">
        <v>6098</v>
      </c>
      <c r="C2839" s="3" t="s">
        <v>1615</v>
      </c>
      <c r="D2839" s="9">
        <v>16.5</v>
      </c>
      <c r="E2839" s="3" t="s">
        <v>142</v>
      </c>
      <c r="F2839" s="3" t="s">
        <v>3203</v>
      </c>
      <c r="G2839" s="9">
        <v>263.08999999999997</v>
      </c>
      <c r="H2839" s="10">
        <v>45671.410462962973</v>
      </c>
      <c r="I2839" s="10">
        <v>45671.410462962973</v>
      </c>
      <c r="J2839" s="10">
        <v>45671.411597222221</v>
      </c>
      <c r="K2839" s="11">
        <v>1.1342592592592589E-3</v>
      </c>
      <c r="L2839" s="13"/>
    </row>
    <row r="2840" spans="1:12" x14ac:dyDescent="0.25">
      <c r="A2840" s="3" t="s">
        <v>3225</v>
      </c>
      <c r="B2840" s="3" t="s">
        <v>6099</v>
      </c>
      <c r="C2840" s="3" t="s">
        <v>1617</v>
      </c>
      <c r="D2840" s="9">
        <v>14</v>
      </c>
      <c r="E2840" s="3" t="s">
        <v>142</v>
      </c>
      <c r="F2840" s="3" t="s">
        <v>3199</v>
      </c>
      <c r="G2840" s="9">
        <v>443.59</v>
      </c>
      <c r="H2840" s="10">
        <v>45671.411597222221</v>
      </c>
      <c r="I2840" s="10">
        <v>45671.411597222221</v>
      </c>
      <c r="J2840" s="10">
        <v>45671.413472222222</v>
      </c>
      <c r="K2840" s="11">
        <v>1.8749999999999999E-3</v>
      </c>
      <c r="L2840" s="13"/>
    </row>
    <row r="2841" spans="1:12" x14ac:dyDescent="0.25">
      <c r="A2841" s="3" t="s">
        <v>3225</v>
      </c>
      <c r="B2841" s="3" t="s">
        <v>6100</v>
      </c>
      <c r="C2841" s="3" t="s">
        <v>1619</v>
      </c>
      <c r="D2841" s="9">
        <v>31.5</v>
      </c>
      <c r="E2841" s="3" t="s">
        <v>142</v>
      </c>
      <c r="F2841" s="3" t="s">
        <v>3195</v>
      </c>
      <c r="G2841" s="9">
        <v>398.6</v>
      </c>
      <c r="H2841" s="10">
        <v>45671.413472222222</v>
      </c>
      <c r="I2841" s="10">
        <v>45671.413472222222</v>
      </c>
      <c r="J2841" s="10">
        <v>45671.415208333332</v>
      </c>
      <c r="K2841" s="11">
        <v>1.736111111111111E-3</v>
      </c>
      <c r="L2841" s="13"/>
    </row>
    <row r="2842" spans="1:12" x14ac:dyDescent="0.25">
      <c r="A2842" s="3" t="s">
        <v>3225</v>
      </c>
      <c r="B2842" s="3" t="s">
        <v>6101</v>
      </c>
      <c r="C2842" s="3" t="s">
        <v>1621</v>
      </c>
      <c r="D2842" s="9">
        <v>31.5</v>
      </c>
      <c r="E2842" s="3" t="s">
        <v>142</v>
      </c>
      <c r="F2842" s="3" t="s">
        <v>3201</v>
      </c>
      <c r="G2842" s="9">
        <v>405.22</v>
      </c>
      <c r="H2842" s="10">
        <v>45671.415208333332</v>
      </c>
      <c r="I2842" s="10">
        <v>45671.415208333332</v>
      </c>
      <c r="J2842" s="10">
        <v>45671.416967592602</v>
      </c>
      <c r="K2842" s="11">
        <v>1.759259259259259E-3</v>
      </c>
      <c r="L2842" s="13"/>
    </row>
    <row r="2843" spans="1:12" x14ac:dyDescent="0.25">
      <c r="A2843" s="3" t="s">
        <v>3225</v>
      </c>
      <c r="B2843" s="3" t="s">
        <v>6102</v>
      </c>
      <c r="C2843" s="3" t="s">
        <v>1623</v>
      </c>
      <c r="D2843" s="9">
        <v>233.1</v>
      </c>
      <c r="E2843" s="3" t="s">
        <v>142</v>
      </c>
      <c r="F2843" s="3" t="s">
        <v>3202</v>
      </c>
      <c r="G2843" s="9">
        <v>317.52</v>
      </c>
      <c r="H2843" s="10">
        <v>45671.416967592602</v>
      </c>
      <c r="I2843" s="10">
        <v>45671.416967592602</v>
      </c>
      <c r="J2843" s="10">
        <v>45671.41883101852</v>
      </c>
      <c r="K2843" s="11">
        <v>1.8634259259259259E-3</v>
      </c>
      <c r="L2843" s="13"/>
    </row>
    <row r="2844" spans="1:12" x14ac:dyDescent="0.25">
      <c r="A2844" s="3" t="s">
        <v>3225</v>
      </c>
      <c r="B2844" s="3" t="s">
        <v>6103</v>
      </c>
      <c r="C2844" s="3" t="s">
        <v>1626</v>
      </c>
      <c r="D2844" s="9">
        <v>15.7</v>
      </c>
      <c r="E2844" s="3" t="s">
        <v>142</v>
      </c>
      <c r="F2844" s="3" t="s">
        <v>3199</v>
      </c>
      <c r="G2844" s="9">
        <v>443.59</v>
      </c>
      <c r="H2844" s="10">
        <v>45671.41883101852</v>
      </c>
      <c r="I2844" s="10">
        <v>45671.41883101852</v>
      </c>
      <c r="J2844" s="10">
        <v>45671.420717592591</v>
      </c>
      <c r="K2844" s="11">
        <v>1.8865740740740739E-3</v>
      </c>
      <c r="L2844" s="13"/>
    </row>
    <row r="2845" spans="1:12" x14ac:dyDescent="0.25">
      <c r="A2845" s="3" t="s">
        <v>3225</v>
      </c>
      <c r="B2845" s="3" t="s">
        <v>6104</v>
      </c>
      <c r="C2845" s="3" t="s">
        <v>1635</v>
      </c>
      <c r="D2845" s="9">
        <v>21</v>
      </c>
      <c r="E2845" s="3" t="s">
        <v>139</v>
      </c>
      <c r="F2845" s="3" t="s">
        <v>3198</v>
      </c>
      <c r="G2845" s="9">
        <v>350.87</v>
      </c>
      <c r="H2845" s="10">
        <v>45671.421585648153</v>
      </c>
      <c r="I2845" s="10">
        <v>45671.421585648153</v>
      </c>
      <c r="J2845" s="10">
        <v>45671.423101851848</v>
      </c>
      <c r="K2845" s="11">
        <v>1.5162037037037041E-3</v>
      </c>
      <c r="L2845" s="13"/>
    </row>
    <row r="2846" spans="1:12" x14ac:dyDescent="0.25">
      <c r="A2846" s="3" t="s">
        <v>3225</v>
      </c>
      <c r="B2846" s="3" t="s">
        <v>6105</v>
      </c>
      <c r="C2846" s="3" t="s">
        <v>1637</v>
      </c>
      <c r="D2846" s="9">
        <v>418.7</v>
      </c>
      <c r="E2846" s="3" t="s">
        <v>139</v>
      </c>
      <c r="F2846" s="3" t="s">
        <v>3202</v>
      </c>
      <c r="G2846" s="9">
        <v>324.35000000000002</v>
      </c>
      <c r="H2846" s="10">
        <v>45671.423101851848</v>
      </c>
      <c r="I2846" s="10">
        <v>45671.423101851848</v>
      </c>
      <c r="J2846" s="10">
        <v>45671.425416666672</v>
      </c>
      <c r="K2846" s="11">
        <v>2.3148148148148151E-3</v>
      </c>
      <c r="L2846" s="13"/>
    </row>
    <row r="2847" spans="1:12" x14ac:dyDescent="0.25">
      <c r="A2847" s="3" t="s">
        <v>3225</v>
      </c>
      <c r="B2847" s="3" t="s">
        <v>6106</v>
      </c>
      <c r="C2847" s="3" t="s">
        <v>1639</v>
      </c>
      <c r="D2847" s="9">
        <v>297.8</v>
      </c>
      <c r="E2847" s="3" t="s">
        <v>139</v>
      </c>
      <c r="F2847" s="3" t="s">
        <v>3202</v>
      </c>
      <c r="G2847" s="9">
        <v>324.35000000000002</v>
      </c>
      <c r="H2847" s="10">
        <v>45671.543807870366</v>
      </c>
      <c r="I2847" s="10">
        <v>45671.543807870366</v>
      </c>
      <c r="J2847" s="10">
        <v>45671.545844907407</v>
      </c>
      <c r="K2847" s="11">
        <v>2.0370370370370369E-3</v>
      </c>
      <c r="L2847" s="13"/>
    </row>
    <row r="2848" spans="1:12" x14ac:dyDescent="0.25">
      <c r="A2848" s="3" t="s">
        <v>3225</v>
      </c>
      <c r="B2848" s="3" t="s">
        <v>6107</v>
      </c>
      <c r="C2848" s="3" t="s">
        <v>1642</v>
      </c>
      <c r="D2848" s="9">
        <v>225.6</v>
      </c>
      <c r="E2848" s="3" t="s">
        <v>139</v>
      </c>
      <c r="F2848" s="3" t="s">
        <v>3202</v>
      </c>
      <c r="G2848" s="9">
        <v>324.35000000000002</v>
      </c>
      <c r="H2848" s="10">
        <v>45671.607152777768</v>
      </c>
      <c r="I2848" s="10">
        <v>45671.607152777768</v>
      </c>
      <c r="J2848" s="10">
        <v>45671.609027777777</v>
      </c>
      <c r="K2848" s="11">
        <v>1.8749999999999999E-3</v>
      </c>
      <c r="L2848" s="13"/>
    </row>
    <row r="2849" spans="1:12" x14ac:dyDescent="0.25">
      <c r="A2849" s="3" t="s">
        <v>3225</v>
      </c>
      <c r="B2849" s="3" t="s">
        <v>6108</v>
      </c>
      <c r="C2849" s="3" t="s">
        <v>1645</v>
      </c>
      <c r="D2849" s="9">
        <v>19.899999999999999</v>
      </c>
      <c r="E2849" s="3" t="s">
        <v>142</v>
      </c>
      <c r="F2849" s="3" t="s">
        <v>3205</v>
      </c>
      <c r="G2849" s="9">
        <v>292.27999999999997</v>
      </c>
      <c r="H2849" s="10">
        <v>45671.641898148147</v>
      </c>
      <c r="I2849" s="10">
        <v>45671.641898148147</v>
      </c>
      <c r="J2849" s="10">
        <v>45671.643159722233</v>
      </c>
      <c r="K2849" s="11">
        <v>1.261574074074074E-3</v>
      </c>
      <c r="L2849" s="13"/>
    </row>
    <row r="2850" spans="1:12" x14ac:dyDescent="0.25">
      <c r="A2850" s="3" t="s">
        <v>3225</v>
      </c>
      <c r="B2850" s="3" t="s">
        <v>6109</v>
      </c>
      <c r="C2850" s="3" t="s">
        <v>1647</v>
      </c>
      <c r="D2850" s="9">
        <v>59.7</v>
      </c>
      <c r="E2850" s="3" t="s">
        <v>142</v>
      </c>
      <c r="F2850" s="3" t="s">
        <v>3198</v>
      </c>
      <c r="G2850" s="9">
        <v>344.04</v>
      </c>
      <c r="H2850" s="10">
        <v>45671.643159722233</v>
      </c>
      <c r="I2850" s="10">
        <v>45671.643159722233</v>
      </c>
      <c r="J2850" s="10">
        <v>45671.644733796304</v>
      </c>
      <c r="K2850" s="11">
        <v>1.5740740740740741E-3</v>
      </c>
      <c r="L2850" s="13"/>
    </row>
    <row r="2851" spans="1:12" x14ac:dyDescent="0.25">
      <c r="A2851" s="3" t="s">
        <v>3225</v>
      </c>
      <c r="B2851" s="3" t="s">
        <v>6110</v>
      </c>
      <c r="C2851" s="3" t="s">
        <v>1649</v>
      </c>
      <c r="D2851" s="9">
        <v>47.2</v>
      </c>
      <c r="E2851" s="3" t="s">
        <v>142</v>
      </c>
      <c r="F2851" s="3" t="s">
        <v>3201</v>
      </c>
      <c r="G2851" s="9">
        <v>405.22</v>
      </c>
      <c r="H2851" s="10">
        <v>45671.644733796304</v>
      </c>
      <c r="I2851" s="10">
        <v>45671.644733796304</v>
      </c>
      <c r="J2851" s="10">
        <v>45671.646527777782</v>
      </c>
      <c r="K2851" s="11">
        <v>1.793981481481481E-3</v>
      </c>
      <c r="L2851" s="13"/>
    </row>
    <row r="2852" spans="1:12" x14ac:dyDescent="0.25">
      <c r="A2852" s="3" t="s">
        <v>3225</v>
      </c>
      <c r="B2852" s="3" t="s">
        <v>6111</v>
      </c>
      <c r="C2852" s="3" t="s">
        <v>1651</v>
      </c>
      <c r="D2852" s="9">
        <v>96</v>
      </c>
      <c r="E2852" s="3" t="s">
        <v>142</v>
      </c>
      <c r="F2852" s="3" t="s">
        <v>3203</v>
      </c>
      <c r="G2852" s="9">
        <v>263.08999999999997</v>
      </c>
      <c r="H2852" s="10">
        <v>45671.646527777782</v>
      </c>
      <c r="I2852" s="10">
        <v>45671.646527777782</v>
      </c>
      <c r="J2852" s="10">
        <v>45671.647847222222</v>
      </c>
      <c r="K2852" s="11">
        <v>1.3194444444444441E-3</v>
      </c>
      <c r="L2852" s="13"/>
    </row>
    <row r="2853" spans="1:12" x14ac:dyDescent="0.25">
      <c r="A2853" s="3" t="s">
        <v>3225</v>
      </c>
      <c r="B2853" s="3" t="s">
        <v>6112</v>
      </c>
      <c r="C2853" s="3" t="s">
        <v>1653</v>
      </c>
      <c r="D2853" s="9">
        <v>15.7</v>
      </c>
      <c r="E2853" s="3" t="s">
        <v>142</v>
      </c>
      <c r="F2853" s="3" t="s">
        <v>3199</v>
      </c>
      <c r="G2853" s="9">
        <v>443.59</v>
      </c>
      <c r="H2853" s="10">
        <v>45671.647847222222</v>
      </c>
      <c r="I2853" s="10">
        <v>45671.647847222222</v>
      </c>
      <c r="J2853" s="10">
        <v>45671.649733796286</v>
      </c>
      <c r="K2853" s="11">
        <v>1.8865740740740739E-3</v>
      </c>
      <c r="L2853" s="13"/>
    </row>
    <row r="2854" spans="1:12" x14ac:dyDescent="0.25">
      <c r="A2854" s="3" t="s">
        <v>3225</v>
      </c>
      <c r="B2854" s="3" t="s">
        <v>6113</v>
      </c>
      <c r="C2854" s="3" t="s">
        <v>1656</v>
      </c>
      <c r="D2854" s="9">
        <v>163.4</v>
      </c>
      <c r="E2854" s="3" t="s">
        <v>142</v>
      </c>
      <c r="F2854" s="3" t="s">
        <v>3193</v>
      </c>
      <c r="G2854" s="9">
        <v>290.60000000000002</v>
      </c>
      <c r="H2854" s="10">
        <v>45671.649733796286</v>
      </c>
      <c r="I2854" s="10">
        <v>45671.649733796286</v>
      </c>
      <c r="J2854" s="10">
        <v>45671.651319444441</v>
      </c>
      <c r="K2854" s="11">
        <v>1.5856481481481481E-3</v>
      </c>
      <c r="L2854" s="13"/>
    </row>
    <row r="2855" spans="1:12" x14ac:dyDescent="0.25">
      <c r="A2855" s="3" t="s">
        <v>3225</v>
      </c>
      <c r="B2855" s="3" t="s">
        <v>6114</v>
      </c>
      <c r="C2855" s="3" t="s">
        <v>1659</v>
      </c>
      <c r="D2855" s="9">
        <v>27</v>
      </c>
      <c r="E2855" s="3" t="s">
        <v>142</v>
      </c>
      <c r="F2855" s="3" t="s">
        <v>3199</v>
      </c>
      <c r="G2855" s="9">
        <v>443.59</v>
      </c>
      <c r="H2855" s="10">
        <v>45671.651319444441</v>
      </c>
      <c r="I2855" s="10">
        <v>45671.651319444441</v>
      </c>
      <c r="J2855" s="10">
        <v>45671.653229166674</v>
      </c>
      <c r="K2855" s="11">
        <v>1.9097222222222219E-3</v>
      </c>
      <c r="L2855" s="13"/>
    </row>
    <row r="2856" spans="1:12" x14ac:dyDescent="0.25">
      <c r="A2856" s="3" t="s">
        <v>3225</v>
      </c>
      <c r="B2856" s="3" t="s">
        <v>6115</v>
      </c>
      <c r="C2856" s="3" t="s">
        <v>1661</v>
      </c>
      <c r="D2856" s="9">
        <v>19.899999999999999</v>
      </c>
      <c r="E2856" s="3" t="s">
        <v>142</v>
      </c>
      <c r="F2856" s="3" t="s">
        <v>3205</v>
      </c>
      <c r="G2856" s="9">
        <v>292.27999999999997</v>
      </c>
      <c r="H2856" s="10">
        <v>45671.653229166674</v>
      </c>
      <c r="I2856" s="10">
        <v>45671.653229166674</v>
      </c>
      <c r="J2856" s="10">
        <v>45671.654490740737</v>
      </c>
      <c r="K2856" s="11">
        <v>1.261574074074074E-3</v>
      </c>
      <c r="L2856" s="13"/>
    </row>
    <row r="2857" spans="1:12" x14ac:dyDescent="0.25">
      <c r="A2857" s="3" t="s">
        <v>3225</v>
      </c>
      <c r="B2857" s="3" t="s">
        <v>6116</v>
      </c>
      <c r="C2857" s="3" t="s">
        <v>1663</v>
      </c>
      <c r="D2857" s="9">
        <v>15.7</v>
      </c>
      <c r="E2857" s="3" t="s">
        <v>142</v>
      </c>
      <c r="F2857" s="3" t="s">
        <v>3199</v>
      </c>
      <c r="G2857" s="9">
        <v>443.59</v>
      </c>
      <c r="H2857" s="10">
        <v>45671.654490740737</v>
      </c>
      <c r="I2857" s="10">
        <v>45671.654490740737</v>
      </c>
      <c r="J2857" s="10">
        <v>45671.656377314823</v>
      </c>
      <c r="K2857" s="11">
        <v>1.8865740740740739E-3</v>
      </c>
      <c r="L2857" s="13"/>
    </row>
    <row r="2858" spans="1:12" x14ac:dyDescent="0.25">
      <c r="A2858" s="3" t="s">
        <v>3225</v>
      </c>
      <c r="B2858" s="3" t="s">
        <v>6117</v>
      </c>
      <c r="C2858" s="3" t="s">
        <v>1665</v>
      </c>
      <c r="D2858" s="9">
        <v>81</v>
      </c>
      <c r="E2858" s="3" t="s">
        <v>142</v>
      </c>
      <c r="F2858" s="3" t="s">
        <v>3199</v>
      </c>
      <c r="G2858" s="9">
        <v>443.59</v>
      </c>
      <c r="H2858" s="10">
        <v>45671.656377314823</v>
      </c>
      <c r="I2858" s="10">
        <v>45671.656377314823</v>
      </c>
      <c r="J2858" s="10">
        <v>45671.658414351848</v>
      </c>
      <c r="K2858" s="11">
        <v>2.0370370370370369E-3</v>
      </c>
      <c r="L2858" s="13"/>
    </row>
    <row r="2859" spans="1:12" x14ac:dyDescent="0.25">
      <c r="A2859" s="3" t="s">
        <v>3225</v>
      </c>
      <c r="B2859" s="3" t="s">
        <v>6118</v>
      </c>
      <c r="C2859" s="3" t="s">
        <v>1667</v>
      </c>
      <c r="D2859" s="9">
        <v>39</v>
      </c>
      <c r="E2859" s="3" t="s">
        <v>142</v>
      </c>
      <c r="F2859" s="3" t="s">
        <v>3204</v>
      </c>
      <c r="G2859" s="9">
        <v>470.92</v>
      </c>
      <c r="H2859" s="10">
        <v>45671.658414351848</v>
      </c>
      <c r="I2859" s="10">
        <v>45671.658414351848</v>
      </c>
      <c r="J2859" s="10">
        <v>45671.660462962973</v>
      </c>
      <c r="K2859" s="11">
        <v>2.0486111111111109E-3</v>
      </c>
      <c r="L2859" s="13"/>
    </row>
    <row r="2860" spans="1:12" x14ac:dyDescent="0.25">
      <c r="A2860" s="3" t="s">
        <v>3225</v>
      </c>
      <c r="B2860" s="3" t="s">
        <v>6119</v>
      </c>
      <c r="C2860" s="3" t="s">
        <v>1670</v>
      </c>
      <c r="D2860" s="9">
        <v>173.1</v>
      </c>
      <c r="E2860" s="3" t="s">
        <v>139</v>
      </c>
      <c r="F2860" s="3" t="s">
        <v>3195</v>
      </c>
      <c r="G2860" s="9">
        <v>405.43</v>
      </c>
      <c r="H2860" s="10">
        <v>45671.66133101852</v>
      </c>
      <c r="I2860" s="10">
        <v>45671.66133101852</v>
      </c>
      <c r="J2860" s="10">
        <v>45671.663425925923</v>
      </c>
      <c r="K2860" s="11">
        <v>2.0949074074074069E-3</v>
      </c>
      <c r="L2860" s="13"/>
    </row>
    <row r="2861" spans="1:12" x14ac:dyDescent="0.25">
      <c r="A2861" s="3" t="s">
        <v>3225</v>
      </c>
      <c r="B2861" s="3" t="s">
        <v>6120</v>
      </c>
      <c r="C2861" s="3" t="s">
        <v>1673</v>
      </c>
      <c r="D2861" s="9">
        <v>40.9</v>
      </c>
      <c r="E2861" s="3" t="s">
        <v>164</v>
      </c>
      <c r="F2861" s="3" t="s">
        <v>3206</v>
      </c>
      <c r="G2861" s="9">
        <v>463.29</v>
      </c>
      <c r="H2861" s="10">
        <v>45671.664293981477</v>
      </c>
      <c r="I2861" s="10">
        <v>45671.664293981477</v>
      </c>
      <c r="J2861" s="10">
        <v>45671.666319444441</v>
      </c>
      <c r="K2861" s="11">
        <v>2.0254629629629629E-3</v>
      </c>
      <c r="L2861" s="13"/>
    </row>
    <row r="2862" spans="1:12" x14ac:dyDescent="0.25">
      <c r="A2862" s="3" t="s">
        <v>3225</v>
      </c>
      <c r="B2862" s="3" t="s">
        <v>6121</v>
      </c>
      <c r="C2862" s="3" t="s">
        <v>1702</v>
      </c>
      <c r="D2862" s="9">
        <v>63</v>
      </c>
      <c r="E2862" s="3" t="s">
        <v>164</v>
      </c>
      <c r="F2862" s="3" t="s">
        <v>3206</v>
      </c>
      <c r="G2862" s="9">
        <v>463.29</v>
      </c>
      <c r="H2862" s="10">
        <v>45671.750104166669</v>
      </c>
      <c r="I2862" s="10">
        <v>45671.750104166669</v>
      </c>
      <c r="J2862" s="10">
        <v>45671.752187500002</v>
      </c>
      <c r="K2862" s="11">
        <v>2.0833333333333329E-3</v>
      </c>
      <c r="L2862" s="13"/>
    </row>
    <row r="2863" spans="1:12" x14ac:dyDescent="0.25">
      <c r="A2863" s="3" t="s">
        <v>3225</v>
      </c>
      <c r="B2863" s="3" t="s">
        <v>6122</v>
      </c>
      <c r="C2863" s="3" t="s">
        <v>1676</v>
      </c>
      <c r="D2863" s="9">
        <v>31.5</v>
      </c>
      <c r="E2863" s="3" t="s">
        <v>139</v>
      </c>
      <c r="F2863" s="3" t="s">
        <v>3194</v>
      </c>
      <c r="G2863" s="9">
        <v>459.96</v>
      </c>
      <c r="H2863" s="10">
        <v>45671.753055555557</v>
      </c>
      <c r="I2863" s="10">
        <v>45671.753055555557</v>
      </c>
      <c r="J2863" s="10">
        <v>45671.755046296297</v>
      </c>
      <c r="K2863" s="11">
        <v>1.9907407407407408E-3</v>
      </c>
      <c r="L2863" s="13"/>
    </row>
    <row r="2864" spans="1:12" x14ac:dyDescent="0.25">
      <c r="A2864" s="3" t="s">
        <v>3225</v>
      </c>
      <c r="B2864" s="3" t="s">
        <v>6123</v>
      </c>
      <c r="C2864" s="3" t="s">
        <v>1678</v>
      </c>
      <c r="D2864" s="9">
        <v>108</v>
      </c>
      <c r="E2864" s="3" t="s">
        <v>139</v>
      </c>
      <c r="F2864" s="3" t="s">
        <v>3203</v>
      </c>
      <c r="G2864" s="9">
        <v>269.92</v>
      </c>
      <c r="H2864" s="10">
        <v>45671.755046296297</v>
      </c>
      <c r="I2864" s="10">
        <v>45671.755046296297</v>
      </c>
      <c r="J2864" s="10">
        <v>45671.756412037037</v>
      </c>
      <c r="K2864" s="11">
        <v>1.3657407407407409E-3</v>
      </c>
      <c r="L2864" s="13"/>
    </row>
    <row r="2865" spans="1:12" x14ac:dyDescent="0.25">
      <c r="A2865" s="3" t="s">
        <v>3225</v>
      </c>
      <c r="B2865" s="3" t="s">
        <v>6124</v>
      </c>
      <c r="C2865" s="3" t="s">
        <v>1681</v>
      </c>
      <c r="D2865" s="9">
        <v>12</v>
      </c>
      <c r="E2865" s="3" t="s">
        <v>139</v>
      </c>
      <c r="F2865" s="3" t="s">
        <v>3205</v>
      </c>
      <c r="G2865" s="9">
        <v>299.11</v>
      </c>
      <c r="H2865" s="10">
        <v>45671.756412037037</v>
      </c>
      <c r="I2865" s="10">
        <v>45671.756412037037</v>
      </c>
      <c r="J2865" s="10">
        <v>45671.757685185177</v>
      </c>
      <c r="K2865" s="11">
        <v>1.273148148148148E-3</v>
      </c>
      <c r="L2865" s="13"/>
    </row>
    <row r="2866" spans="1:12" x14ac:dyDescent="0.25">
      <c r="A2866" s="3" t="s">
        <v>3225</v>
      </c>
      <c r="B2866" s="3" t="s">
        <v>6125</v>
      </c>
      <c r="C2866" s="3" t="s">
        <v>1683</v>
      </c>
      <c r="D2866" s="9">
        <v>39</v>
      </c>
      <c r="E2866" s="3" t="s">
        <v>139</v>
      </c>
      <c r="F2866" s="3" t="s">
        <v>3204</v>
      </c>
      <c r="G2866" s="9">
        <v>477.75</v>
      </c>
      <c r="H2866" s="10">
        <v>45671.757685185177</v>
      </c>
      <c r="I2866" s="10">
        <v>45671.757685185177</v>
      </c>
      <c r="J2866" s="10">
        <v>45671.759768518517</v>
      </c>
      <c r="K2866" s="11">
        <v>2.0833333333333329E-3</v>
      </c>
      <c r="L2866" s="13"/>
    </row>
    <row r="2867" spans="1:12" x14ac:dyDescent="0.25">
      <c r="A2867" s="3" t="s">
        <v>3225</v>
      </c>
      <c r="B2867" s="3" t="s">
        <v>6126</v>
      </c>
      <c r="C2867" s="3" t="s">
        <v>1685</v>
      </c>
      <c r="D2867" s="9">
        <v>19.899999999999999</v>
      </c>
      <c r="E2867" s="3" t="s">
        <v>139</v>
      </c>
      <c r="F2867" s="3" t="s">
        <v>3193</v>
      </c>
      <c r="G2867" s="9">
        <v>297.43</v>
      </c>
      <c r="H2867" s="10">
        <v>45671.759768518517</v>
      </c>
      <c r="I2867" s="10">
        <v>45671.759768518517</v>
      </c>
      <c r="J2867" s="10">
        <v>45671.761053240742</v>
      </c>
      <c r="K2867" s="11">
        <v>1.284722222222222E-3</v>
      </c>
      <c r="L2867" s="13"/>
    </row>
    <row r="2868" spans="1:12" x14ac:dyDescent="0.25">
      <c r="A2868" s="3" t="s">
        <v>3225</v>
      </c>
      <c r="B2868" s="3" t="s">
        <v>6127</v>
      </c>
      <c r="C2868" s="3" t="s">
        <v>1688</v>
      </c>
      <c r="D2868" s="9">
        <v>15.7</v>
      </c>
      <c r="E2868" s="3" t="s">
        <v>139</v>
      </c>
      <c r="F2868" s="3" t="s">
        <v>3199</v>
      </c>
      <c r="G2868" s="9">
        <v>450.42</v>
      </c>
      <c r="H2868" s="10">
        <v>45671.761053240742</v>
      </c>
      <c r="I2868" s="10">
        <v>45671.761053240742</v>
      </c>
      <c r="J2868" s="10">
        <v>45671.762974537043</v>
      </c>
      <c r="K2868" s="11">
        <v>1.9212962962962959E-3</v>
      </c>
      <c r="L2868" s="13"/>
    </row>
    <row r="2869" spans="1:12" x14ac:dyDescent="0.25">
      <c r="A2869" s="3" t="s">
        <v>3225</v>
      </c>
      <c r="B2869" s="3" t="s">
        <v>6128</v>
      </c>
      <c r="C2869" s="3" t="s">
        <v>1691</v>
      </c>
      <c r="D2869" s="9">
        <v>54.7</v>
      </c>
      <c r="E2869" s="3" t="s">
        <v>139</v>
      </c>
      <c r="F2869" s="3" t="s">
        <v>3195</v>
      </c>
      <c r="G2869" s="9">
        <v>405.43</v>
      </c>
      <c r="H2869" s="10">
        <v>45671.762974537043</v>
      </c>
      <c r="I2869" s="10">
        <v>45671.762974537043</v>
      </c>
      <c r="J2869" s="10">
        <v>45671.764780092592</v>
      </c>
      <c r="K2869" s="11">
        <v>1.805555555555555E-3</v>
      </c>
      <c r="L2869" s="13"/>
    </row>
    <row r="2870" spans="1:12" x14ac:dyDescent="0.25">
      <c r="A2870" s="3" t="s">
        <v>3225</v>
      </c>
      <c r="B2870" s="3" t="s">
        <v>6129</v>
      </c>
      <c r="C2870" s="3" t="s">
        <v>1694</v>
      </c>
      <c r="D2870" s="9">
        <v>111.4</v>
      </c>
      <c r="E2870" s="3" t="s">
        <v>139</v>
      </c>
      <c r="F2870" s="3" t="s">
        <v>3201</v>
      </c>
      <c r="G2870" s="9">
        <v>412.05</v>
      </c>
      <c r="H2870" s="10">
        <v>45671.764780092592</v>
      </c>
      <c r="I2870" s="10">
        <v>45671.764780092592</v>
      </c>
      <c r="J2870" s="10">
        <v>45671.766759259262</v>
      </c>
      <c r="K2870" s="11">
        <v>1.9791666666666668E-3</v>
      </c>
      <c r="L2870" s="13"/>
    </row>
    <row r="2871" spans="1:12" x14ac:dyDescent="0.25">
      <c r="A2871" s="3" t="s">
        <v>3225</v>
      </c>
      <c r="B2871" s="3" t="s">
        <v>6130</v>
      </c>
      <c r="C2871" s="3" t="s">
        <v>1697</v>
      </c>
      <c r="D2871" s="9">
        <v>19.899999999999999</v>
      </c>
      <c r="E2871" s="3" t="s">
        <v>139</v>
      </c>
      <c r="F2871" s="3" t="s">
        <v>3198</v>
      </c>
      <c r="G2871" s="9">
        <v>350.87</v>
      </c>
      <c r="H2871" s="10">
        <v>45671.766759259262</v>
      </c>
      <c r="I2871" s="10">
        <v>45671.766759259262</v>
      </c>
      <c r="J2871" s="10">
        <v>45671.768263888887</v>
      </c>
      <c r="K2871" s="11">
        <v>1.5046296296296301E-3</v>
      </c>
      <c r="L2871" s="13"/>
    </row>
    <row r="2872" spans="1:12" x14ac:dyDescent="0.25">
      <c r="A2872" s="3" t="s">
        <v>3225</v>
      </c>
      <c r="B2872" s="3" t="s">
        <v>6131</v>
      </c>
      <c r="C2872" s="3" t="s">
        <v>1700</v>
      </c>
      <c r="D2872" s="9">
        <v>78</v>
      </c>
      <c r="E2872" s="3" t="s">
        <v>139</v>
      </c>
      <c r="F2872" s="3" t="s">
        <v>3195</v>
      </c>
      <c r="G2872" s="9">
        <v>405.43</v>
      </c>
      <c r="H2872" s="10">
        <v>45671.768263888887</v>
      </c>
      <c r="I2872" s="10">
        <v>45671.768263888887</v>
      </c>
      <c r="J2872" s="10">
        <v>45671.770138888889</v>
      </c>
      <c r="K2872" s="11">
        <v>1.8749999999999999E-3</v>
      </c>
      <c r="L2872" s="13"/>
    </row>
    <row r="2873" spans="1:12" x14ac:dyDescent="0.25">
      <c r="A2873" s="3" t="s">
        <v>3225</v>
      </c>
      <c r="B2873" s="3" t="s">
        <v>6132</v>
      </c>
      <c r="C2873" s="3" t="s">
        <v>1704</v>
      </c>
      <c r="D2873" s="9">
        <v>15.7</v>
      </c>
      <c r="E2873" s="3" t="s">
        <v>164</v>
      </c>
      <c r="F2873" s="3" t="s">
        <v>3203</v>
      </c>
      <c r="G2873" s="9">
        <v>354.81</v>
      </c>
      <c r="H2873" s="10">
        <v>45671.829814814817</v>
      </c>
      <c r="I2873" s="10">
        <v>45671.829814814817</v>
      </c>
      <c r="J2873" s="10">
        <v>45671.831331018519</v>
      </c>
      <c r="K2873" s="11">
        <v>1.5162037037037041E-3</v>
      </c>
      <c r="L2873" s="13"/>
    </row>
    <row r="2874" spans="1:12" x14ac:dyDescent="0.25">
      <c r="A2874" s="3" t="s">
        <v>3225</v>
      </c>
      <c r="B2874" s="3" t="s">
        <v>6133</v>
      </c>
      <c r="C2874" s="3" t="s">
        <v>1707</v>
      </c>
      <c r="D2874" s="9">
        <v>166.9</v>
      </c>
      <c r="E2874" s="3" t="s">
        <v>139</v>
      </c>
      <c r="F2874" s="3" t="s">
        <v>3200</v>
      </c>
      <c r="G2874" s="9">
        <v>405.03</v>
      </c>
      <c r="H2874" s="10">
        <v>45672.111076388886</v>
      </c>
      <c r="I2874" s="10">
        <v>45672.111076388886</v>
      </c>
      <c r="J2874" s="10">
        <v>45672.11314814815</v>
      </c>
      <c r="K2874" s="11">
        <v>2.0717592592592589E-3</v>
      </c>
      <c r="L2874" s="13"/>
    </row>
    <row r="2875" spans="1:12" x14ac:dyDescent="0.25">
      <c r="A2875" s="3" t="s">
        <v>3225</v>
      </c>
      <c r="B2875" s="3" t="s">
        <v>6134</v>
      </c>
      <c r="C2875" s="3" t="s">
        <v>1709</v>
      </c>
      <c r="D2875" s="9">
        <v>47.2</v>
      </c>
      <c r="E2875" s="3" t="s">
        <v>139</v>
      </c>
      <c r="F2875" s="3" t="s">
        <v>3199</v>
      </c>
      <c r="G2875" s="9">
        <v>450.42</v>
      </c>
      <c r="H2875" s="10">
        <v>45672.11314814815</v>
      </c>
      <c r="I2875" s="10">
        <v>45672.11314814815</v>
      </c>
      <c r="J2875" s="10">
        <v>45672.115127314813</v>
      </c>
      <c r="K2875" s="11">
        <v>1.9791666666666668E-3</v>
      </c>
      <c r="L2875" s="13"/>
    </row>
    <row r="2876" spans="1:12" x14ac:dyDescent="0.25">
      <c r="A2876" s="3" t="s">
        <v>3225</v>
      </c>
      <c r="B2876" s="3" t="s">
        <v>6135</v>
      </c>
      <c r="C2876" s="3" t="s">
        <v>1711</v>
      </c>
      <c r="D2876" s="9">
        <v>12</v>
      </c>
      <c r="E2876" s="3" t="s">
        <v>139</v>
      </c>
      <c r="F2876" s="3" t="s">
        <v>3195</v>
      </c>
      <c r="G2876" s="9">
        <v>405.43</v>
      </c>
      <c r="H2876" s="10">
        <v>45672.115127314813</v>
      </c>
      <c r="I2876" s="10">
        <v>45672.115127314813</v>
      </c>
      <c r="J2876" s="10">
        <v>45672.116851851853</v>
      </c>
      <c r="K2876" s="11">
        <v>1.724537037037037E-3</v>
      </c>
      <c r="L2876" s="13"/>
    </row>
    <row r="2877" spans="1:12" x14ac:dyDescent="0.25">
      <c r="A2877" s="3" t="s">
        <v>3225</v>
      </c>
      <c r="B2877" s="3" t="s">
        <v>6136</v>
      </c>
      <c r="C2877" s="3" t="s">
        <v>1714</v>
      </c>
      <c r="D2877" s="9">
        <v>87</v>
      </c>
      <c r="E2877" s="3" t="s">
        <v>139</v>
      </c>
      <c r="F2877" s="3" t="s">
        <v>3197</v>
      </c>
      <c r="G2877" s="9">
        <v>459.96</v>
      </c>
      <c r="H2877" s="10">
        <v>45672.116851851853</v>
      </c>
      <c r="I2877" s="10">
        <v>45672.116851851853</v>
      </c>
      <c r="J2877" s="10">
        <v>45672.118969907409</v>
      </c>
      <c r="K2877" s="11">
        <v>2.1180555555555562E-3</v>
      </c>
      <c r="L2877" s="13"/>
    </row>
    <row r="2878" spans="1:12" x14ac:dyDescent="0.25">
      <c r="A2878" s="3" t="s">
        <v>3225</v>
      </c>
      <c r="B2878" s="3" t="s">
        <v>6137</v>
      </c>
      <c r="C2878" s="3" t="s">
        <v>1716</v>
      </c>
      <c r="D2878" s="9">
        <v>521.9</v>
      </c>
      <c r="E2878" s="3" t="s">
        <v>139</v>
      </c>
      <c r="F2878" s="3" t="s">
        <v>3201</v>
      </c>
      <c r="G2878" s="9">
        <v>412.05</v>
      </c>
      <c r="H2878" s="10">
        <v>45672.201967592591</v>
      </c>
      <c r="I2878" s="10">
        <v>45672.201967592591</v>
      </c>
      <c r="J2878" s="10">
        <v>45672.204884259263</v>
      </c>
      <c r="K2878" s="11">
        <v>2.9166666666666668E-3</v>
      </c>
      <c r="L2878" s="13"/>
    </row>
    <row r="2879" spans="1:12" x14ac:dyDescent="0.25">
      <c r="A2879" s="3" t="s">
        <v>3225</v>
      </c>
      <c r="B2879" s="3" t="s">
        <v>6138</v>
      </c>
      <c r="C2879" s="3" t="s">
        <v>1719</v>
      </c>
      <c r="D2879" s="9">
        <v>298</v>
      </c>
      <c r="E2879" s="3" t="s">
        <v>139</v>
      </c>
      <c r="F2879" s="3" t="s">
        <v>3203</v>
      </c>
      <c r="G2879" s="9">
        <v>269.92</v>
      </c>
      <c r="H2879" s="10">
        <v>45672.278090277781</v>
      </c>
      <c r="I2879" s="10">
        <v>45672.278090277781</v>
      </c>
      <c r="J2879" s="10">
        <v>45672.279895833337</v>
      </c>
      <c r="K2879" s="11">
        <v>1.805555555555555E-3</v>
      </c>
      <c r="L2879" s="13"/>
    </row>
    <row r="2880" spans="1:12" x14ac:dyDescent="0.25">
      <c r="A2880" s="3" t="s">
        <v>3225</v>
      </c>
      <c r="B2880" s="3" t="s">
        <v>6139</v>
      </c>
      <c r="C2880" s="3" t="s">
        <v>1721</v>
      </c>
      <c r="D2880" s="9">
        <v>47.2</v>
      </c>
      <c r="E2880" s="3" t="s">
        <v>139</v>
      </c>
      <c r="F2880" s="3" t="s">
        <v>3199</v>
      </c>
      <c r="G2880" s="9">
        <v>450.42</v>
      </c>
      <c r="H2880" s="10">
        <v>45672.315474537027</v>
      </c>
      <c r="I2880" s="10">
        <v>45672.315474537027</v>
      </c>
      <c r="J2880" s="10">
        <v>45672.317453703698</v>
      </c>
      <c r="K2880" s="11">
        <v>1.9791666666666668E-3</v>
      </c>
      <c r="L2880" s="13"/>
    </row>
    <row r="2881" spans="1:12" x14ac:dyDescent="0.25">
      <c r="A2881" s="3" t="s">
        <v>3225</v>
      </c>
      <c r="B2881" s="3" t="s">
        <v>6140</v>
      </c>
      <c r="C2881" s="3" t="s">
        <v>1723</v>
      </c>
      <c r="D2881" s="9">
        <v>23.2</v>
      </c>
      <c r="E2881" s="3" t="s">
        <v>139</v>
      </c>
      <c r="F2881" s="3" t="s">
        <v>3197</v>
      </c>
      <c r="G2881" s="9">
        <v>459.96</v>
      </c>
      <c r="H2881" s="10">
        <v>45672.317453703698</v>
      </c>
      <c r="I2881" s="10">
        <v>45672.317453703698</v>
      </c>
      <c r="J2881" s="10">
        <v>45672.319421296299</v>
      </c>
      <c r="K2881" s="11">
        <v>1.967592592592592E-3</v>
      </c>
      <c r="L2881" s="13"/>
    </row>
    <row r="2882" spans="1:12" x14ac:dyDescent="0.25">
      <c r="A2882" s="3" t="s">
        <v>3225</v>
      </c>
      <c r="B2882" s="3" t="s">
        <v>6141</v>
      </c>
      <c r="C2882" s="3" t="s">
        <v>1726</v>
      </c>
      <c r="D2882" s="9">
        <v>37.5</v>
      </c>
      <c r="E2882" s="3" t="s">
        <v>139</v>
      </c>
      <c r="F2882" s="3" t="s">
        <v>3200</v>
      </c>
      <c r="G2882" s="9">
        <v>405.03</v>
      </c>
      <c r="H2882" s="10">
        <v>45672.319421296299</v>
      </c>
      <c r="I2882" s="10">
        <v>45672.319421296299</v>
      </c>
      <c r="J2882" s="10">
        <v>45672.321203703701</v>
      </c>
      <c r="K2882" s="11">
        <v>1.782407407407407E-3</v>
      </c>
      <c r="L2882" s="13"/>
    </row>
    <row r="2883" spans="1:12" x14ac:dyDescent="0.25">
      <c r="A2883" s="3" t="s">
        <v>3225</v>
      </c>
      <c r="B2883" s="3" t="s">
        <v>6142</v>
      </c>
      <c r="C2883" s="3" t="s">
        <v>1729</v>
      </c>
      <c r="D2883" s="9">
        <v>12</v>
      </c>
      <c r="E2883" s="3" t="s">
        <v>139</v>
      </c>
      <c r="F2883" s="3" t="s">
        <v>3195</v>
      </c>
      <c r="G2883" s="9">
        <v>405.43</v>
      </c>
      <c r="H2883" s="10">
        <v>45672.321203703701</v>
      </c>
      <c r="I2883" s="10">
        <v>45672.321203703701</v>
      </c>
      <c r="J2883" s="10">
        <v>45672.322916666657</v>
      </c>
      <c r="K2883" s="11">
        <v>1.712962962962963E-3</v>
      </c>
      <c r="L2883" s="13"/>
    </row>
    <row r="2884" spans="1:12" x14ac:dyDescent="0.25">
      <c r="A2884" s="3" t="s">
        <v>3225</v>
      </c>
      <c r="B2884" s="3" t="s">
        <v>6143</v>
      </c>
      <c r="C2884" s="3" t="s">
        <v>1731</v>
      </c>
      <c r="D2884" s="9">
        <v>21</v>
      </c>
      <c r="E2884" s="3" t="s">
        <v>139</v>
      </c>
      <c r="F2884" s="3" t="s">
        <v>3206</v>
      </c>
      <c r="G2884" s="9">
        <v>378.4</v>
      </c>
      <c r="H2884" s="10">
        <v>45672.322916666657</v>
      </c>
      <c r="I2884" s="10">
        <v>45672.322916666657</v>
      </c>
      <c r="J2884" s="10">
        <v>45672.324548611112</v>
      </c>
      <c r="K2884" s="11">
        <v>1.631944444444445E-3</v>
      </c>
      <c r="L2884" s="13"/>
    </row>
    <row r="2885" spans="1:12" x14ac:dyDescent="0.25">
      <c r="A2885" s="3" t="s">
        <v>3225</v>
      </c>
      <c r="B2885" s="3" t="s">
        <v>6144</v>
      </c>
      <c r="C2885" s="3" t="s">
        <v>1734</v>
      </c>
      <c r="D2885" s="9">
        <v>28</v>
      </c>
      <c r="E2885" s="3" t="s">
        <v>139</v>
      </c>
      <c r="F2885" s="3" t="s">
        <v>3202</v>
      </c>
      <c r="G2885" s="9">
        <v>324.35000000000002</v>
      </c>
      <c r="H2885" s="10">
        <v>45672.324548611112</v>
      </c>
      <c r="I2885" s="10">
        <v>45672.324548611112</v>
      </c>
      <c r="J2885" s="10">
        <v>45672.325960648152</v>
      </c>
      <c r="K2885" s="11">
        <v>1.4120370370370369E-3</v>
      </c>
      <c r="L2885" s="13"/>
    </row>
    <row r="2886" spans="1:12" x14ac:dyDescent="0.25">
      <c r="A2886" s="3" t="s">
        <v>3225</v>
      </c>
      <c r="B2886" s="3" t="s">
        <v>6145</v>
      </c>
      <c r="C2886" s="3" t="s">
        <v>1737</v>
      </c>
      <c r="D2886" s="9">
        <v>67.099999999999994</v>
      </c>
      <c r="E2886" s="3" t="s">
        <v>139</v>
      </c>
      <c r="F2886" s="3" t="s">
        <v>3204</v>
      </c>
      <c r="G2886" s="9">
        <v>477.75</v>
      </c>
      <c r="H2886" s="10">
        <v>45672.325960648152</v>
      </c>
      <c r="I2886" s="10">
        <v>45672.325960648152</v>
      </c>
      <c r="J2886" s="10">
        <v>45672.328101851846</v>
      </c>
      <c r="K2886" s="11">
        <v>2.1412037037037042E-3</v>
      </c>
      <c r="L2886" s="13"/>
    </row>
    <row r="2887" spans="1:12" x14ac:dyDescent="0.25">
      <c r="A2887" s="3" t="s">
        <v>3225</v>
      </c>
      <c r="B2887" s="3" t="s">
        <v>6146</v>
      </c>
      <c r="C2887" s="3" t="s">
        <v>1739</v>
      </c>
      <c r="D2887" s="9">
        <v>62.2</v>
      </c>
      <c r="E2887" s="3" t="s">
        <v>139</v>
      </c>
      <c r="F2887" s="3" t="s">
        <v>3197</v>
      </c>
      <c r="G2887" s="9">
        <v>459.96</v>
      </c>
      <c r="H2887" s="10">
        <v>45672.328101851846</v>
      </c>
      <c r="I2887" s="10">
        <v>45672.328101851846</v>
      </c>
      <c r="J2887" s="10">
        <v>45672.33016203704</v>
      </c>
      <c r="K2887" s="11">
        <v>2.0601851851851849E-3</v>
      </c>
      <c r="L2887" s="13"/>
    </row>
    <row r="2888" spans="1:12" x14ac:dyDescent="0.25">
      <c r="A2888" s="3" t="s">
        <v>3225</v>
      </c>
      <c r="B2888" s="3" t="s">
        <v>6147</v>
      </c>
      <c r="C2888" s="3" t="s">
        <v>1741</v>
      </c>
      <c r="D2888" s="9">
        <v>108</v>
      </c>
      <c r="E2888" s="3" t="s">
        <v>139</v>
      </c>
      <c r="F2888" s="3" t="s">
        <v>3205</v>
      </c>
      <c r="G2888" s="9">
        <v>299.11</v>
      </c>
      <c r="H2888" s="10">
        <v>45672.33016203704</v>
      </c>
      <c r="I2888" s="10">
        <v>45672.33016203704</v>
      </c>
      <c r="J2888" s="10">
        <v>45672.331666666672</v>
      </c>
      <c r="K2888" s="11">
        <v>1.5046296296296301E-3</v>
      </c>
      <c r="L2888" s="13"/>
    </row>
    <row r="2889" spans="1:12" x14ac:dyDescent="0.25">
      <c r="A2889" s="3" t="s">
        <v>3225</v>
      </c>
      <c r="B2889" s="3" t="s">
        <v>6148</v>
      </c>
      <c r="C2889" s="3" t="s">
        <v>1744</v>
      </c>
      <c r="D2889" s="9">
        <v>257</v>
      </c>
      <c r="E2889" s="3" t="s">
        <v>142</v>
      </c>
      <c r="F2889" s="3" t="s">
        <v>3201</v>
      </c>
      <c r="G2889" s="9">
        <v>405.22</v>
      </c>
      <c r="H2889" s="10">
        <v>45672.332546296297</v>
      </c>
      <c r="I2889" s="10">
        <v>45672.332546296297</v>
      </c>
      <c r="J2889" s="10">
        <v>45672.334826388891</v>
      </c>
      <c r="K2889" s="11">
        <v>2.2800925925925931E-3</v>
      </c>
      <c r="L2889" s="13"/>
    </row>
    <row r="2890" spans="1:12" x14ac:dyDescent="0.25">
      <c r="A2890" s="3" t="s">
        <v>3225</v>
      </c>
      <c r="B2890" s="3" t="s">
        <v>6149</v>
      </c>
      <c r="C2890" s="3" t="s">
        <v>1747</v>
      </c>
      <c r="D2890" s="9">
        <v>374.1</v>
      </c>
      <c r="E2890" s="3" t="s">
        <v>139</v>
      </c>
      <c r="F2890" s="3" t="s">
        <v>3194</v>
      </c>
      <c r="G2890" s="9">
        <v>459.96</v>
      </c>
      <c r="H2890" s="10">
        <v>45672.344317129631</v>
      </c>
      <c r="I2890" s="10">
        <v>45672.344317129631</v>
      </c>
      <c r="J2890" s="10">
        <v>45672.34710648148</v>
      </c>
      <c r="K2890" s="11">
        <v>2.7893518518518519E-3</v>
      </c>
      <c r="L2890" s="13"/>
    </row>
    <row r="2891" spans="1:12" x14ac:dyDescent="0.25">
      <c r="A2891" s="3" t="s">
        <v>3225</v>
      </c>
      <c r="B2891" s="3" t="s">
        <v>6150</v>
      </c>
      <c r="C2891" s="3" t="s">
        <v>1750</v>
      </c>
      <c r="D2891" s="9">
        <v>23.2</v>
      </c>
      <c r="E2891" s="3" t="s">
        <v>139</v>
      </c>
      <c r="F2891" s="3" t="s">
        <v>3197</v>
      </c>
      <c r="G2891" s="9">
        <v>459.96</v>
      </c>
      <c r="H2891" s="10">
        <v>45672.385763888888</v>
      </c>
      <c r="I2891" s="10">
        <v>45672.385763888888</v>
      </c>
      <c r="J2891" s="10">
        <v>45672.387731481482</v>
      </c>
      <c r="K2891" s="11">
        <v>1.967592592592592E-3</v>
      </c>
      <c r="L2891" s="13"/>
    </row>
    <row r="2892" spans="1:12" x14ac:dyDescent="0.25">
      <c r="A2892" s="3" t="s">
        <v>3225</v>
      </c>
      <c r="B2892" s="3" t="s">
        <v>6151</v>
      </c>
      <c r="C2892" s="3" t="s">
        <v>1752</v>
      </c>
      <c r="D2892" s="9">
        <v>21</v>
      </c>
      <c r="E2892" s="3" t="s">
        <v>139</v>
      </c>
      <c r="F2892" s="3" t="s">
        <v>3206</v>
      </c>
      <c r="G2892" s="9">
        <v>378.4</v>
      </c>
      <c r="H2892" s="10">
        <v>45672.387731481482</v>
      </c>
      <c r="I2892" s="10">
        <v>45672.387731481482</v>
      </c>
      <c r="J2892" s="10">
        <v>45672.389351851853</v>
      </c>
      <c r="K2892" s="11">
        <v>1.6203703703703701E-3</v>
      </c>
      <c r="L2892" s="13"/>
    </row>
    <row r="2893" spans="1:12" x14ac:dyDescent="0.25">
      <c r="A2893" s="3" t="s">
        <v>3225</v>
      </c>
      <c r="B2893" s="3" t="s">
        <v>6152</v>
      </c>
      <c r="C2893" s="3" t="s">
        <v>1754</v>
      </c>
      <c r="D2893" s="9">
        <v>19.899999999999999</v>
      </c>
      <c r="E2893" s="3" t="s">
        <v>139</v>
      </c>
      <c r="F2893" s="3" t="s">
        <v>3203</v>
      </c>
      <c r="G2893" s="9">
        <v>269.92</v>
      </c>
      <c r="H2893" s="10">
        <v>45672.389351851853</v>
      </c>
      <c r="I2893" s="10">
        <v>45672.389351851853</v>
      </c>
      <c r="J2893" s="10">
        <v>45672.390520833331</v>
      </c>
      <c r="K2893" s="11">
        <v>1.168981481481482E-3</v>
      </c>
      <c r="L2893" s="13"/>
    </row>
    <row r="2894" spans="1:12" x14ac:dyDescent="0.25">
      <c r="A2894" s="3" t="s">
        <v>3225</v>
      </c>
      <c r="B2894" s="3" t="s">
        <v>6153</v>
      </c>
      <c r="C2894" s="3" t="s">
        <v>1757</v>
      </c>
      <c r="D2894" s="9">
        <v>57.4</v>
      </c>
      <c r="E2894" s="3" t="s">
        <v>139</v>
      </c>
      <c r="F2894" s="3" t="s">
        <v>3200</v>
      </c>
      <c r="G2894" s="9">
        <v>405.03</v>
      </c>
      <c r="H2894" s="10">
        <v>45672.390520833331</v>
      </c>
      <c r="I2894" s="10">
        <v>45672.390520833331</v>
      </c>
      <c r="J2894" s="10">
        <v>45672.39234953704</v>
      </c>
      <c r="K2894" s="11">
        <v>1.8287037037037039E-3</v>
      </c>
      <c r="L2894" s="13"/>
    </row>
    <row r="2895" spans="1:12" x14ac:dyDescent="0.25">
      <c r="A2895" s="3" t="s">
        <v>3225</v>
      </c>
      <c r="B2895" s="3" t="s">
        <v>6154</v>
      </c>
      <c r="C2895" s="3" t="s">
        <v>1759</v>
      </c>
      <c r="D2895" s="9">
        <v>31.5</v>
      </c>
      <c r="E2895" s="3" t="s">
        <v>139</v>
      </c>
      <c r="F2895" s="3" t="s">
        <v>3203</v>
      </c>
      <c r="G2895" s="9">
        <v>269.92</v>
      </c>
      <c r="H2895" s="10">
        <v>45672.39234953704</v>
      </c>
      <c r="I2895" s="10">
        <v>45672.39234953704</v>
      </c>
      <c r="J2895" s="10">
        <v>45672.393541666657</v>
      </c>
      <c r="K2895" s="11">
        <v>1.19212962962963E-3</v>
      </c>
      <c r="L2895" s="13"/>
    </row>
    <row r="2896" spans="1:12" x14ac:dyDescent="0.25">
      <c r="A2896" s="3" t="s">
        <v>3225</v>
      </c>
      <c r="B2896" s="3" t="s">
        <v>6155</v>
      </c>
      <c r="C2896" s="3" t="s">
        <v>1761</v>
      </c>
      <c r="D2896" s="9">
        <v>63</v>
      </c>
      <c r="E2896" s="3" t="s">
        <v>139</v>
      </c>
      <c r="F2896" s="3" t="s">
        <v>3199</v>
      </c>
      <c r="G2896" s="9">
        <v>450.42</v>
      </c>
      <c r="H2896" s="10">
        <v>45672.393541666657</v>
      </c>
      <c r="I2896" s="10">
        <v>45672.393541666657</v>
      </c>
      <c r="J2896" s="10">
        <v>45672.395567129628</v>
      </c>
      <c r="K2896" s="11">
        <v>2.0254629629629629E-3</v>
      </c>
      <c r="L2896" s="13"/>
    </row>
    <row r="2897" spans="1:12" x14ac:dyDescent="0.25">
      <c r="A2897" s="3" t="s">
        <v>3225</v>
      </c>
      <c r="B2897" s="3" t="s">
        <v>6156</v>
      </c>
      <c r="C2897" s="3" t="s">
        <v>1764</v>
      </c>
      <c r="D2897" s="9">
        <v>54</v>
      </c>
      <c r="E2897" s="3" t="s">
        <v>139</v>
      </c>
      <c r="F2897" s="3" t="s">
        <v>3204</v>
      </c>
      <c r="G2897" s="9">
        <v>477.75</v>
      </c>
      <c r="H2897" s="10">
        <v>45672.395567129628</v>
      </c>
      <c r="I2897" s="10">
        <v>45672.395567129628</v>
      </c>
      <c r="J2897" s="10">
        <v>45672.397685185177</v>
      </c>
      <c r="K2897" s="11">
        <v>2.1180555555555562E-3</v>
      </c>
      <c r="L2897" s="13"/>
    </row>
    <row r="2898" spans="1:12" x14ac:dyDescent="0.25">
      <c r="A2898" s="3" t="s">
        <v>3225</v>
      </c>
      <c r="B2898" s="3" t="s">
        <v>6157</v>
      </c>
      <c r="C2898" s="3" t="s">
        <v>1767</v>
      </c>
      <c r="D2898" s="9">
        <v>15.7</v>
      </c>
      <c r="E2898" s="3" t="s">
        <v>139</v>
      </c>
      <c r="F2898" s="3" t="s">
        <v>3206</v>
      </c>
      <c r="G2898" s="9">
        <v>378.4</v>
      </c>
      <c r="H2898" s="10">
        <v>45672.397685185177</v>
      </c>
      <c r="I2898" s="10">
        <v>45672.397685185177</v>
      </c>
      <c r="J2898" s="10">
        <v>45672.399293981478</v>
      </c>
      <c r="K2898" s="11">
        <v>1.6087962962962961E-3</v>
      </c>
      <c r="L2898" s="13"/>
    </row>
    <row r="2899" spans="1:12" x14ac:dyDescent="0.25">
      <c r="A2899" s="3" t="s">
        <v>3225</v>
      </c>
      <c r="B2899" s="3" t="s">
        <v>6158</v>
      </c>
      <c r="C2899" s="3" t="s">
        <v>1769</v>
      </c>
      <c r="D2899" s="9">
        <v>281.39999999999998</v>
      </c>
      <c r="E2899" s="3" t="s">
        <v>142</v>
      </c>
      <c r="F2899" s="3" t="s">
        <v>3205</v>
      </c>
      <c r="G2899" s="9">
        <v>292.27999999999997</v>
      </c>
      <c r="H2899" s="10">
        <v>45672.40016203704</v>
      </c>
      <c r="I2899" s="10">
        <v>45672.40016203704</v>
      </c>
      <c r="J2899" s="10">
        <v>45672.402037037027</v>
      </c>
      <c r="K2899" s="11">
        <v>1.8749999999999999E-3</v>
      </c>
      <c r="L2899" s="13"/>
    </row>
    <row r="2900" spans="1:12" x14ac:dyDescent="0.25">
      <c r="A2900" s="3" t="s">
        <v>3225</v>
      </c>
      <c r="B2900" s="3" t="s">
        <v>6159</v>
      </c>
      <c r="C2900" s="3" t="s">
        <v>1772</v>
      </c>
      <c r="D2900" s="9">
        <v>73.900000000000006</v>
      </c>
      <c r="E2900" s="3" t="s">
        <v>142</v>
      </c>
      <c r="F2900" s="3" t="s">
        <v>3198</v>
      </c>
      <c r="G2900" s="9">
        <v>344.04</v>
      </c>
      <c r="H2900" s="10">
        <v>45672.402037037027</v>
      </c>
      <c r="I2900" s="10">
        <v>45672.402037037027</v>
      </c>
      <c r="J2900" s="10">
        <v>45672.403634259259</v>
      </c>
      <c r="K2900" s="11">
        <v>1.5972222222222221E-3</v>
      </c>
      <c r="L2900" s="13"/>
    </row>
    <row r="2901" spans="1:12" x14ac:dyDescent="0.25">
      <c r="A2901" s="3" t="s">
        <v>3225</v>
      </c>
      <c r="B2901" s="3" t="s">
        <v>6160</v>
      </c>
      <c r="C2901" s="3" t="s">
        <v>1774</v>
      </c>
      <c r="D2901" s="9">
        <v>21</v>
      </c>
      <c r="E2901" s="3" t="s">
        <v>139</v>
      </c>
      <c r="F2901" s="3" t="s">
        <v>3198</v>
      </c>
      <c r="G2901" s="9">
        <v>350.87</v>
      </c>
      <c r="H2901" s="10">
        <v>45672.423726851863</v>
      </c>
      <c r="I2901" s="10">
        <v>45672.423726851863</v>
      </c>
      <c r="J2901" s="10">
        <v>45672.425243055557</v>
      </c>
      <c r="K2901" s="11">
        <v>1.5162037037037041E-3</v>
      </c>
      <c r="L2901" s="13"/>
    </row>
    <row r="2902" spans="1:12" x14ac:dyDescent="0.25">
      <c r="A2902" s="3" t="s">
        <v>3225</v>
      </c>
      <c r="B2902" s="3" t="s">
        <v>6161</v>
      </c>
      <c r="C2902" s="3" t="s">
        <v>1776</v>
      </c>
      <c r="D2902" s="9">
        <v>252.6</v>
      </c>
      <c r="E2902" s="3" t="s">
        <v>139</v>
      </c>
      <c r="F2902" s="3" t="s">
        <v>3201</v>
      </c>
      <c r="G2902" s="9">
        <v>412.05</v>
      </c>
      <c r="H2902" s="10">
        <v>45672.425243055557</v>
      </c>
      <c r="I2902" s="10">
        <v>45672.425243055557</v>
      </c>
      <c r="J2902" s="10">
        <v>45672.427534722221</v>
      </c>
      <c r="K2902" s="11">
        <v>2.2916666666666671E-3</v>
      </c>
      <c r="L2902" s="13"/>
    </row>
    <row r="2903" spans="1:12" x14ac:dyDescent="0.25">
      <c r="A2903" s="3" t="s">
        <v>3225</v>
      </c>
      <c r="B2903" s="3" t="s">
        <v>6162</v>
      </c>
      <c r="C2903" s="3" t="s">
        <v>1779</v>
      </c>
      <c r="D2903" s="9">
        <v>120.9</v>
      </c>
      <c r="E2903" s="3" t="s">
        <v>139</v>
      </c>
      <c r="F2903" s="3" t="s">
        <v>3201</v>
      </c>
      <c r="G2903" s="9">
        <v>412.05</v>
      </c>
      <c r="H2903" s="10">
        <v>45672.547372685192</v>
      </c>
      <c r="I2903" s="10">
        <v>45672.547372685192</v>
      </c>
      <c r="J2903" s="10">
        <v>45672.549363425933</v>
      </c>
      <c r="K2903" s="11">
        <v>1.9907407407407408E-3</v>
      </c>
      <c r="L2903" s="13"/>
    </row>
    <row r="2904" spans="1:12" x14ac:dyDescent="0.25">
      <c r="A2904" s="3" t="s">
        <v>3225</v>
      </c>
      <c r="B2904" s="3" t="s">
        <v>6163</v>
      </c>
      <c r="C2904" s="3" t="s">
        <v>1782</v>
      </c>
      <c r="D2904" s="9">
        <v>19.899999999999999</v>
      </c>
      <c r="E2904" s="3" t="s">
        <v>139</v>
      </c>
      <c r="F2904" s="3" t="s">
        <v>3206</v>
      </c>
      <c r="G2904" s="9">
        <v>378.4</v>
      </c>
      <c r="H2904" s="10">
        <v>45672.647696759261</v>
      </c>
      <c r="I2904" s="10">
        <v>45672.647696759261</v>
      </c>
      <c r="J2904" s="10">
        <v>45672.649328703701</v>
      </c>
      <c r="K2904" s="11">
        <v>1.631944444444445E-3</v>
      </c>
      <c r="L2904" s="13"/>
    </row>
    <row r="2905" spans="1:12" x14ac:dyDescent="0.25">
      <c r="A2905" s="3" t="s">
        <v>3225</v>
      </c>
      <c r="B2905" s="3" t="s">
        <v>6164</v>
      </c>
      <c r="C2905" s="3" t="s">
        <v>1784</v>
      </c>
      <c r="D2905" s="9">
        <v>15.7</v>
      </c>
      <c r="E2905" s="3" t="s">
        <v>139</v>
      </c>
      <c r="F2905" s="3" t="s">
        <v>3199</v>
      </c>
      <c r="G2905" s="9">
        <v>450.42</v>
      </c>
      <c r="H2905" s="10">
        <v>45672.649328703701</v>
      </c>
      <c r="I2905" s="10">
        <v>45672.649328703701</v>
      </c>
      <c r="J2905" s="10">
        <v>45672.651238425933</v>
      </c>
      <c r="K2905" s="11">
        <v>1.9097222222222219E-3</v>
      </c>
      <c r="L2905" s="13"/>
    </row>
    <row r="2906" spans="1:12" x14ac:dyDescent="0.25">
      <c r="A2906" s="3" t="s">
        <v>3225</v>
      </c>
      <c r="B2906" s="3" t="s">
        <v>6165</v>
      </c>
      <c r="C2906" s="3" t="s">
        <v>1786</v>
      </c>
      <c r="D2906" s="9">
        <v>135</v>
      </c>
      <c r="E2906" s="3" t="s">
        <v>139</v>
      </c>
      <c r="F2906" s="3" t="s">
        <v>3204</v>
      </c>
      <c r="G2906" s="9">
        <v>477.75</v>
      </c>
      <c r="H2906" s="10">
        <v>45672.651238425933</v>
      </c>
      <c r="I2906" s="10">
        <v>45672.651238425933</v>
      </c>
      <c r="J2906" s="10">
        <v>45672.653541666667</v>
      </c>
      <c r="K2906" s="11">
        <v>2.3032407407407411E-3</v>
      </c>
      <c r="L2906" s="13"/>
    </row>
    <row r="2907" spans="1:12" x14ac:dyDescent="0.25">
      <c r="A2907" s="3" t="s">
        <v>3225</v>
      </c>
      <c r="B2907" s="3" t="s">
        <v>6166</v>
      </c>
      <c r="C2907" s="3" t="s">
        <v>1788</v>
      </c>
      <c r="D2907" s="9">
        <v>15.7</v>
      </c>
      <c r="E2907" s="3" t="s">
        <v>139</v>
      </c>
      <c r="F2907" s="3" t="s">
        <v>3201</v>
      </c>
      <c r="G2907" s="9">
        <v>412.05</v>
      </c>
      <c r="H2907" s="10">
        <v>45672.653541666667</v>
      </c>
      <c r="I2907" s="10">
        <v>45672.653541666667</v>
      </c>
      <c r="J2907" s="10">
        <v>45672.655289351853</v>
      </c>
      <c r="K2907" s="11">
        <v>1.747685185185185E-3</v>
      </c>
      <c r="L2907" s="13"/>
    </row>
    <row r="2908" spans="1:12" x14ac:dyDescent="0.25">
      <c r="A2908" s="3" t="s">
        <v>3225</v>
      </c>
      <c r="B2908" s="3" t="s">
        <v>6167</v>
      </c>
      <c r="C2908" s="3" t="s">
        <v>1791</v>
      </c>
      <c r="D2908" s="9">
        <v>93.7</v>
      </c>
      <c r="E2908" s="3" t="s">
        <v>139</v>
      </c>
      <c r="F2908" s="3" t="s">
        <v>3197</v>
      </c>
      <c r="G2908" s="9">
        <v>459.96</v>
      </c>
      <c r="H2908" s="10">
        <v>45672.655289351853</v>
      </c>
      <c r="I2908" s="10">
        <v>45672.655289351853</v>
      </c>
      <c r="J2908" s="10">
        <v>45672.657430555562</v>
      </c>
      <c r="K2908" s="11">
        <v>2.1412037037037042E-3</v>
      </c>
      <c r="L2908" s="13"/>
    </row>
    <row r="2909" spans="1:12" x14ac:dyDescent="0.25">
      <c r="A2909" s="3" t="s">
        <v>3225</v>
      </c>
      <c r="B2909" s="3" t="s">
        <v>6168</v>
      </c>
      <c r="C2909" s="3" t="s">
        <v>1794</v>
      </c>
      <c r="D2909" s="9">
        <v>19.899999999999999</v>
      </c>
      <c r="E2909" s="3" t="s">
        <v>139</v>
      </c>
      <c r="F2909" s="3" t="s">
        <v>3206</v>
      </c>
      <c r="G2909" s="9">
        <v>378.4</v>
      </c>
      <c r="H2909" s="10">
        <v>45672.657430555562</v>
      </c>
      <c r="I2909" s="10">
        <v>45672.657430555562</v>
      </c>
      <c r="J2909" s="10">
        <v>45672.659050925933</v>
      </c>
      <c r="K2909" s="11">
        <v>1.6203703703703701E-3</v>
      </c>
      <c r="L2909" s="13"/>
    </row>
    <row r="2910" spans="1:12" x14ac:dyDescent="0.25">
      <c r="A2910" s="3" t="s">
        <v>3225</v>
      </c>
      <c r="B2910" s="3" t="s">
        <v>6169</v>
      </c>
      <c r="C2910" s="3" t="s">
        <v>1796</v>
      </c>
      <c r="D2910" s="9">
        <v>12</v>
      </c>
      <c r="E2910" s="3" t="s">
        <v>139</v>
      </c>
      <c r="F2910" s="3" t="s">
        <v>3195</v>
      </c>
      <c r="G2910" s="9">
        <v>405.43</v>
      </c>
      <c r="H2910" s="10">
        <v>45672.659050925933</v>
      </c>
      <c r="I2910" s="10">
        <v>45672.659050925933</v>
      </c>
      <c r="J2910" s="10">
        <v>45672.660763888889</v>
      </c>
      <c r="K2910" s="11">
        <v>1.712962962962963E-3</v>
      </c>
      <c r="L2910" s="13"/>
    </row>
    <row r="2911" spans="1:12" x14ac:dyDescent="0.25">
      <c r="A2911" s="3" t="s">
        <v>3225</v>
      </c>
      <c r="B2911" s="3" t="s">
        <v>6170</v>
      </c>
      <c r="C2911" s="3" t="s">
        <v>1798</v>
      </c>
      <c r="D2911" s="9">
        <v>51.4</v>
      </c>
      <c r="E2911" s="3" t="s">
        <v>139</v>
      </c>
      <c r="F2911" s="3" t="s">
        <v>3203</v>
      </c>
      <c r="G2911" s="9">
        <v>269.92</v>
      </c>
      <c r="H2911" s="10">
        <v>45672.660763888889</v>
      </c>
      <c r="I2911" s="10">
        <v>45672.660763888889</v>
      </c>
      <c r="J2911" s="10">
        <v>45672.66201388889</v>
      </c>
      <c r="K2911" s="11">
        <v>1.25E-3</v>
      </c>
      <c r="L2911" s="13"/>
    </row>
    <row r="2912" spans="1:12" x14ac:dyDescent="0.25">
      <c r="A2912" s="3" t="s">
        <v>3225</v>
      </c>
      <c r="B2912" s="3" t="s">
        <v>6171</v>
      </c>
      <c r="C2912" s="3" t="s">
        <v>1800</v>
      </c>
      <c r="D2912" s="9">
        <v>23.2</v>
      </c>
      <c r="E2912" s="3" t="s">
        <v>139</v>
      </c>
      <c r="F2912" s="3" t="s">
        <v>3198</v>
      </c>
      <c r="G2912" s="9">
        <v>350.87</v>
      </c>
      <c r="H2912" s="10">
        <v>45672.66201388889</v>
      </c>
      <c r="I2912" s="10">
        <v>45672.66201388889</v>
      </c>
      <c r="J2912" s="10">
        <v>45672.663530092592</v>
      </c>
      <c r="K2912" s="11">
        <v>1.5162037037037041E-3</v>
      </c>
      <c r="L2912" s="13"/>
    </row>
    <row r="2913" spans="1:12" x14ac:dyDescent="0.25">
      <c r="A2913" s="3" t="s">
        <v>3225</v>
      </c>
      <c r="B2913" s="3" t="s">
        <v>6172</v>
      </c>
      <c r="C2913" s="3" t="s">
        <v>1803</v>
      </c>
      <c r="D2913" s="9">
        <v>129</v>
      </c>
      <c r="E2913" s="3" t="s">
        <v>139</v>
      </c>
      <c r="F2913" s="3" t="s">
        <v>3200</v>
      </c>
      <c r="G2913" s="9">
        <v>405.03</v>
      </c>
      <c r="H2913" s="10">
        <v>45672.663530092592</v>
      </c>
      <c r="I2913" s="10">
        <v>45672.663530092592</v>
      </c>
      <c r="J2913" s="10">
        <v>45672.665509259263</v>
      </c>
      <c r="K2913" s="11">
        <v>1.9791666666666668E-3</v>
      </c>
      <c r="L2913" s="13"/>
    </row>
    <row r="2914" spans="1:12" x14ac:dyDescent="0.25">
      <c r="A2914" s="3" t="s">
        <v>3225</v>
      </c>
      <c r="B2914" s="3" t="s">
        <v>6173</v>
      </c>
      <c r="C2914" s="3" t="s">
        <v>1805</v>
      </c>
      <c r="D2914" s="9">
        <v>110.2</v>
      </c>
      <c r="E2914" s="3" t="s">
        <v>142</v>
      </c>
      <c r="F2914" s="3" t="s">
        <v>3205</v>
      </c>
      <c r="G2914" s="9">
        <v>292.27999999999997</v>
      </c>
      <c r="H2914" s="10">
        <v>45672.666377314818</v>
      </c>
      <c r="I2914" s="10">
        <v>45672.666377314818</v>
      </c>
      <c r="J2914" s="10">
        <v>45672.667847222219</v>
      </c>
      <c r="K2914" s="11">
        <v>1.469907407407407E-3</v>
      </c>
      <c r="L2914" s="13"/>
    </row>
    <row r="2915" spans="1:12" x14ac:dyDescent="0.25">
      <c r="A2915" s="3" t="s">
        <v>3225</v>
      </c>
      <c r="B2915" s="3" t="s">
        <v>6174</v>
      </c>
      <c r="C2915" s="3" t="s">
        <v>1808</v>
      </c>
      <c r="D2915" s="9">
        <v>325.39999999999998</v>
      </c>
      <c r="E2915" s="3" t="s">
        <v>139</v>
      </c>
      <c r="F2915" s="3" t="s">
        <v>3203</v>
      </c>
      <c r="G2915" s="9">
        <v>269.92</v>
      </c>
      <c r="H2915" s="10">
        <v>45672.7268287037</v>
      </c>
      <c r="I2915" s="10">
        <v>45672.7268287037</v>
      </c>
      <c r="J2915" s="10">
        <v>45672.728703703702</v>
      </c>
      <c r="K2915" s="11">
        <v>1.8749999999999999E-3</v>
      </c>
      <c r="L2915" s="13"/>
    </row>
    <row r="2916" spans="1:12" x14ac:dyDescent="0.25">
      <c r="A2916" s="3" t="s">
        <v>3225</v>
      </c>
      <c r="B2916" s="3" t="s">
        <v>6175</v>
      </c>
      <c r="C2916" s="3" t="s">
        <v>1811</v>
      </c>
      <c r="D2916" s="9">
        <v>15.7</v>
      </c>
      <c r="E2916" s="3" t="s">
        <v>139</v>
      </c>
      <c r="F2916" s="3" t="s">
        <v>3199</v>
      </c>
      <c r="G2916" s="9">
        <v>450.42</v>
      </c>
      <c r="H2916" s="10">
        <v>45672.754479166673</v>
      </c>
      <c r="I2916" s="10">
        <v>45672.754479166673</v>
      </c>
      <c r="J2916" s="10">
        <v>45672.756388888891</v>
      </c>
      <c r="K2916" s="11">
        <v>1.9097222222222219E-3</v>
      </c>
      <c r="L2916" s="13"/>
    </row>
    <row r="2917" spans="1:12" x14ac:dyDescent="0.25">
      <c r="A2917" s="3" t="s">
        <v>3225</v>
      </c>
      <c r="B2917" s="3" t="s">
        <v>6176</v>
      </c>
      <c r="C2917" s="3" t="s">
        <v>1813</v>
      </c>
      <c r="D2917" s="9">
        <v>14</v>
      </c>
      <c r="E2917" s="3" t="s">
        <v>139</v>
      </c>
      <c r="F2917" s="3" t="s">
        <v>3202</v>
      </c>
      <c r="G2917" s="9">
        <v>324.35000000000002</v>
      </c>
      <c r="H2917" s="10">
        <v>45672.756388888891</v>
      </c>
      <c r="I2917" s="10">
        <v>45672.756388888891</v>
      </c>
      <c r="J2917" s="10">
        <v>45672.757777777777</v>
      </c>
      <c r="K2917" s="11">
        <v>1.3888888888888889E-3</v>
      </c>
      <c r="L2917" s="13"/>
    </row>
    <row r="2918" spans="1:12" x14ac:dyDescent="0.25">
      <c r="A2918" s="3" t="s">
        <v>3225</v>
      </c>
      <c r="B2918" s="3" t="s">
        <v>6177</v>
      </c>
      <c r="C2918" s="3" t="s">
        <v>1815</v>
      </c>
      <c r="D2918" s="9">
        <v>23.2</v>
      </c>
      <c r="E2918" s="3" t="s">
        <v>139</v>
      </c>
      <c r="F2918" s="3" t="s">
        <v>3197</v>
      </c>
      <c r="G2918" s="9">
        <v>459.96</v>
      </c>
      <c r="H2918" s="10">
        <v>45672.757777777777</v>
      </c>
      <c r="I2918" s="10">
        <v>45672.757777777777</v>
      </c>
      <c r="J2918" s="10">
        <v>45672.759745370371</v>
      </c>
      <c r="K2918" s="11">
        <v>1.967592592592592E-3</v>
      </c>
      <c r="L2918" s="13"/>
    </row>
    <row r="2919" spans="1:12" x14ac:dyDescent="0.25">
      <c r="A2919" s="3" t="s">
        <v>3225</v>
      </c>
      <c r="B2919" s="3" t="s">
        <v>6178</v>
      </c>
      <c r="C2919" s="3" t="s">
        <v>1817</v>
      </c>
      <c r="D2919" s="9">
        <v>21</v>
      </c>
      <c r="E2919" s="3" t="s">
        <v>139</v>
      </c>
      <c r="F2919" s="3" t="s">
        <v>3206</v>
      </c>
      <c r="G2919" s="9">
        <v>378.4</v>
      </c>
      <c r="H2919" s="10">
        <v>45672.759745370371</v>
      </c>
      <c r="I2919" s="10">
        <v>45672.759745370371</v>
      </c>
      <c r="J2919" s="10">
        <v>45672.761365740742</v>
      </c>
      <c r="K2919" s="11">
        <v>1.6203703703703701E-3</v>
      </c>
      <c r="L2919" s="13"/>
    </row>
    <row r="2920" spans="1:12" x14ac:dyDescent="0.25">
      <c r="A2920" s="3" t="s">
        <v>3225</v>
      </c>
      <c r="B2920" s="3" t="s">
        <v>6179</v>
      </c>
      <c r="C2920" s="3" t="s">
        <v>1819</v>
      </c>
      <c r="D2920" s="9">
        <v>27</v>
      </c>
      <c r="E2920" s="3" t="s">
        <v>139</v>
      </c>
      <c r="F2920" s="3" t="s">
        <v>3204</v>
      </c>
      <c r="G2920" s="9">
        <v>477.75</v>
      </c>
      <c r="H2920" s="10">
        <v>45672.761365740742</v>
      </c>
      <c r="I2920" s="10">
        <v>45672.761365740742</v>
      </c>
      <c r="J2920" s="10">
        <v>45672.763425925928</v>
      </c>
      <c r="K2920" s="11">
        <v>2.0601851851851849E-3</v>
      </c>
      <c r="L2920" s="13"/>
    </row>
    <row r="2921" spans="1:12" x14ac:dyDescent="0.25">
      <c r="A2921" s="3" t="s">
        <v>3225</v>
      </c>
      <c r="B2921" s="3" t="s">
        <v>6180</v>
      </c>
      <c r="C2921" s="3" t="s">
        <v>1822</v>
      </c>
      <c r="D2921" s="9">
        <v>23.2</v>
      </c>
      <c r="E2921" s="3" t="s">
        <v>139</v>
      </c>
      <c r="F2921" s="3" t="s">
        <v>3194</v>
      </c>
      <c r="G2921" s="9">
        <v>459.96</v>
      </c>
      <c r="H2921" s="10">
        <v>45672.763425925928</v>
      </c>
      <c r="I2921" s="10">
        <v>45672.763425925928</v>
      </c>
      <c r="J2921" s="10">
        <v>45672.765393518523</v>
      </c>
      <c r="K2921" s="11">
        <v>1.967592592592592E-3</v>
      </c>
      <c r="L2921" s="13"/>
    </row>
    <row r="2922" spans="1:12" x14ac:dyDescent="0.25">
      <c r="A2922" s="3" t="s">
        <v>3225</v>
      </c>
      <c r="B2922" s="3" t="s">
        <v>6181</v>
      </c>
      <c r="C2922" s="3" t="s">
        <v>1825</v>
      </c>
      <c r="D2922" s="9">
        <v>28</v>
      </c>
      <c r="E2922" s="3" t="s">
        <v>139</v>
      </c>
      <c r="F2922" s="3" t="s">
        <v>3203</v>
      </c>
      <c r="G2922" s="9">
        <v>269.92</v>
      </c>
      <c r="H2922" s="10">
        <v>45672.765393518523</v>
      </c>
      <c r="I2922" s="10">
        <v>45672.765393518523</v>
      </c>
      <c r="J2922" s="10">
        <v>45672.766585648147</v>
      </c>
      <c r="K2922" s="11">
        <v>1.19212962962963E-3</v>
      </c>
      <c r="L2922" s="13"/>
    </row>
    <row r="2923" spans="1:12" x14ac:dyDescent="0.25">
      <c r="A2923" s="3" t="s">
        <v>3225</v>
      </c>
      <c r="B2923" s="3" t="s">
        <v>6182</v>
      </c>
      <c r="C2923" s="3" t="s">
        <v>1828</v>
      </c>
      <c r="D2923" s="9">
        <v>15.7</v>
      </c>
      <c r="E2923" s="3" t="s">
        <v>139</v>
      </c>
      <c r="F2923" s="3" t="s">
        <v>3198</v>
      </c>
      <c r="G2923" s="9">
        <v>350.87</v>
      </c>
      <c r="H2923" s="10">
        <v>45672.766585648147</v>
      </c>
      <c r="I2923" s="10">
        <v>45672.766585648147</v>
      </c>
      <c r="J2923" s="10">
        <v>45672.768078703702</v>
      </c>
      <c r="K2923" s="11">
        <v>1.4930555555555561E-3</v>
      </c>
      <c r="L2923" s="13"/>
    </row>
    <row r="2924" spans="1:12" x14ac:dyDescent="0.25">
      <c r="A2924" s="3" t="s">
        <v>3225</v>
      </c>
      <c r="B2924" s="3" t="s">
        <v>6183</v>
      </c>
      <c r="C2924" s="3" t="s">
        <v>1830</v>
      </c>
      <c r="D2924" s="9">
        <v>59.7</v>
      </c>
      <c r="E2924" s="3" t="s">
        <v>139</v>
      </c>
      <c r="F2924" s="3" t="s">
        <v>3200</v>
      </c>
      <c r="G2924" s="9">
        <v>405.03</v>
      </c>
      <c r="H2924" s="10">
        <v>45672.768078703702</v>
      </c>
      <c r="I2924" s="10">
        <v>45672.768078703702</v>
      </c>
      <c r="J2924" s="10">
        <v>45672.769907407397</v>
      </c>
      <c r="K2924" s="11">
        <v>1.8287037037037039E-3</v>
      </c>
      <c r="L2924" s="13"/>
    </row>
    <row r="2925" spans="1:12" x14ac:dyDescent="0.25">
      <c r="A2925" s="3" t="s">
        <v>3225</v>
      </c>
      <c r="B2925" s="3" t="s">
        <v>6184</v>
      </c>
      <c r="C2925" s="3" t="s">
        <v>1833</v>
      </c>
      <c r="D2925" s="9">
        <v>31.5</v>
      </c>
      <c r="E2925" s="3" t="s">
        <v>139</v>
      </c>
      <c r="F2925" s="3" t="s">
        <v>3199</v>
      </c>
      <c r="G2925" s="9">
        <v>450.42</v>
      </c>
      <c r="H2925" s="10">
        <v>45672.769907407397</v>
      </c>
      <c r="I2925" s="10">
        <v>45672.769907407397</v>
      </c>
      <c r="J2925" s="10">
        <v>45672.771851851852</v>
      </c>
      <c r="K2925" s="11">
        <v>1.944444444444444E-3</v>
      </c>
      <c r="L2925" s="13"/>
    </row>
    <row r="2926" spans="1:12" x14ac:dyDescent="0.25">
      <c r="A2926" s="3" t="s">
        <v>3225</v>
      </c>
      <c r="B2926" s="3" t="s">
        <v>6185</v>
      </c>
      <c r="C2926" s="3" t="s">
        <v>1835</v>
      </c>
      <c r="D2926" s="9">
        <v>37.5</v>
      </c>
      <c r="E2926" s="3" t="s">
        <v>139</v>
      </c>
      <c r="F2926" s="3" t="s">
        <v>3205</v>
      </c>
      <c r="G2926" s="9">
        <v>299.11</v>
      </c>
      <c r="H2926" s="10">
        <v>45672.771851851852</v>
      </c>
      <c r="I2926" s="10">
        <v>45672.771851851852</v>
      </c>
      <c r="J2926" s="10">
        <v>45672.773182870369</v>
      </c>
      <c r="K2926" s="11">
        <v>1.3310185185185181E-3</v>
      </c>
      <c r="L2926" s="13"/>
    </row>
    <row r="2927" spans="1:12" x14ac:dyDescent="0.25">
      <c r="A2927" s="3" t="s">
        <v>3225</v>
      </c>
      <c r="B2927" s="3" t="s">
        <v>6186</v>
      </c>
      <c r="C2927" s="3" t="s">
        <v>1838</v>
      </c>
      <c r="D2927" s="9">
        <v>144.80000000000001</v>
      </c>
      <c r="E2927" s="3" t="s">
        <v>139</v>
      </c>
      <c r="F2927" s="3" t="s">
        <v>3203</v>
      </c>
      <c r="G2927" s="9">
        <v>269.92</v>
      </c>
      <c r="H2927" s="10">
        <v>45673.120162037027</v>
      </c>
      <c r="I2927" s="10">
        <v>45673.120162037027</v>
      </c>
      <c r="J2927" s="10">
        <v>45673.121620370373</v>
      </c>
      <c r="K2927" s="11">
        <v>1.458333333333333E-3</v>
      </c>
      <c r="L2927" s="13"/>
    </row>
    <row r="2928" spans="1:12" x14ac:dyDescent="0.25">
      <c r="A2928" s="3" t="s">
        <v>3225</v>
      </c>
      <c r="B2928" s="3" t="s">
        <v>6187</v>
      </c>
      <c r="C2928" s="3" t="s">
        <v>1840</v>
      </c>
      <c r="D2928" s="9">
        <v>39.799999999999997</v>
      </c>
      <c r="E2928" s="3" t="s">
        <v>139</v>
      </c>
      <c r="F2928" s="3" t="s">
        <v>3195</v>
      </c>
      <c r="G2928" s="9">
        <v>405.43</v>
      </c>
      <c r="H2928" s="10">
        <v>45673.121620370373</v>
      </c>
      <c r="I2928" s="10">
        <v>45673.121620370373</v>
      </c>
      <c r="J2928" s="10">
        <v>45673.123402777783</v>
      </c>
      <c r="K2928" s="11">
        <v>1.782407407407407E-3</v>
      </c>
      <c r="L2928" s="13"/>
    </row>
    <row r="2929" spans="1:12" x14ac:dyDescent="0.25">
      <c r="A2929" s="3" t="s">
        <v>3225</v>
      </c>
      <c r="B2929" s="3" t="s">
        <v>6188</v>
      </c>
      <c r="C2929" s="3" t="s">
        <v>1842</v>
      </c>
      <c r="D2929" s="9">
        <v>15.7</v>
      </c>
      <c r="E2929" s="3" t="s">
        <v>139</v>
      </c>
      <c r="F2929" s="3" t="s">
        <v>3199</v>
      </c>
      <c r="G2929" s="9">
        <v>450.42</v>
      </c>
      <c r="H2929" s="10">
        <v>45673.123402777783</v>
      </c>
      <c r="I2929" s="10">
        <v>45673.123402777783</v>
      </c>
      <c r="J2929" s="10">
        <v>45673.1253125</v>
      </c>
      <c r="K2929" s="11">
        <v>1.9097222222222219E-3</v>
      </c>
      <c r="L2929" s="13"/>
    </row>
    <row r="2930" spans="1:12" x14ac:dyDescent="0.25">
      <c r="A2930" s="3" t="s">
        <v>3225</v>
      </c>
      <c r="B2930" s="3" t="s">
        <v>6189</v>
      </c>
      <c r="C2930" s="3" t="s">
        <v>1845</v>
      </c>
      <c r="D2930" s="9">
        <v>297</v>
      </c>
      <c r="E2930" s="3" t="s">
        <v>139</v>
      </c>
      <c r="F2930" s="3" t="s">
        <v>3203</v>
      </c>
      <c r="G2930" s="9">
        <v>269.92</v>
      </c>
      <c r="H2930" s="10">
        <v>45673.272800925923</v>
      </c>
      <c r="I2930" s="10">
        <v>45673.272800925923</v>
      </c>
      <c r="J2930" s="10">
        <v>45673.274606481478</v>
      </c>
      <c r="K2930" s="11">
        <v>1.805555555555555E-3</v>
      </c>
      <c r="L2930" s="13"/>
    </row>
    <row r="2931" spans="1:12" x14ac:dyDescent="0.25">
      <c r="A2931" s="3" t="s">
        <v>3225</v>
      </c>
      <c r="B2931" s="3" t="s">
        <v>6190</v>
      </c>
      <c r="C2931" s="3" t="s">
        <v>1872</v>
      </c>
      <c r="D2931" s="9">
        <v>126</v>
      </c>
      <c r="E2931" s="3" t="s">
        <v>142</v>
      </c>
      <c r="F2931" s="3" t="s">
        <v>3197</v>
      </c>
      <c r="G2931" s="9">
        <v>453.13</v>
      </c>
      <c r="H2931" s="10">
        <v>45673.307511574072</v>
      </c>
      <c r="I2931" s="10">
        <v>45673.307511574072</v>
      </c>
      <c r="J2931" s="10">
        <v>45673.309699074067</v>
      </c>
      <c r="K2931" s="11">
        <v>2.1875000000000002E-3</v>
      </c>
      <c r="L2931" s="13"/>
    </row>
    <row r="2932" spans="1:12" x14ac:dyDescent="0.25">
      <c r="A2932" s="3" t="s">
        <v>3225</v>
      </c>
      <c r="B2932" s="3" t="s">
        <v>6191</v>
      </c>
      <c r="C2932" s="3" t="s">
        <v>1848</v>
      </c>
      <c r="D2932" s="9">
        <v>47.2</v>
      </c>
      <c r="E2932" s="3" t="s">
        <v>139</v>
      </c>
      <c r="F2932" s="3" t="s">
        <v>3206</v>
      </c>
      <c r="G2932" s="9">
        <v>378.4</v>
      </c>
      <c r="H2932" s="10">
        <v>45673.319421296299</v>
      </c>
      <c r="I2932" s="10">
        <v>45673.319421296299</v>
      </c>
      <c r="J2932" s="10">
        <v>45673.321111111109</v>
      </c>
      <c r="K2932" s="11">
        <v>1.689814814814815E-3</v>
      </c>
      <c r="L2932" s="13"/>
    </row>
    <row r="2933" spans="1:12" x14ac:dyDescent="0.25">
      <c r="A2933" s="3" t="s">
        <v>3225</v>
      </c>
      <c r="B2933" s="3" t="s">
        <v>6192</v>
      </c>
      <c r="C2933" s="3" t="s">
        <v>1851</v>
      </c>
      <c r="D2933" s="9">
        <v>101.2</v>
      </c>
      <c r="E2933" s="3" t="s">
        <v>139</v>
      </c>
      <c r="F2933" s="3" t="s">
        <v>3194</v>
      </c>
      <c r="G2933" s="9">
        <v>459.96</v>
      </c>
      <c r="H2933" s="10">
        <v>45673.321111111109</v>
      </c>
      <c r="I2933" s="10">
        <v>45673.321111111109</v>
      </c>
      <c r="J2933" s="10">
        <v>45673.323263888888</v>
      </c>
      <c r="K2933" s="11">
        <v>2.1527777777777782E-3</v>
      </c>
      <c r="L2933" s="13"/>
    </row>
    <row r="2934" spans="1:12" x14ac:dyDescent="0.25">
      <c r="A2934" s="3" t="s">
        <v>3225</v>
      </c>
      <c r="B2934" s="3" t="s">
        <v>6193</v>
      </c>
      <c r="C2934" s="3" t="s">
        <v>1853</v>
      </c>
      <c r="D2934" s="9">
        <v>15.7</v>
      </c>
      <c r="E2934" s="3" t="s">
        <v>139</v>
      </c>
      <c r="F2934" s="3" t="s">
        <v>3199</v>
      </c>
      <c r="G2934" s="9">
        <v>450.42</v>
      </c>
      <c r="H2934" s="10">
        <v>45673.323263888888</v>
      </c>
      <c r="I2934" s="10">
        <v>45673.323263888888</v>
      </c>
      <c r="J2934" s="10">
        <v>45673.325173611112</v>
      </c>
      <c r="K2934" s="11">
        <v>1.9097222222222219E-3</v>
      </c>
      <c r="L2934" s="13"/>
    </row>
    <row r="2935" spans="1:12" x14ac:dyDescent="0.25">
      <c r="A2935" s="3" t="s">
        <v>3225</v>
      </c>
      <c r="B2935" s="3" t="s">
        <v>6194</v>
      </c>
      <c r="C2935" s="3" t="s">
        <v>1855</v>
      </c>
      <c r="D2935" s="9">
        <v>19.899999999999999</v>
      </c>
      <c r="E2935" s="3" t="s">
        <v>139</v>
      </c>
      <c r="F2935" s="3" t="s">
        <v>3193</v>
      </c>
      <c r="G2935" s="9">
        <v>297.43</v>
      </c>
      <c r="H2935" s="10">
        <v>45673.325173611112</v>
      </c>
      <c r="I2935" s="10">
        <v>45673.325173611112</v>
      </c>
      <c r="J2935" s="10">
        <v>45673.326458333337</v>
      </c>
      <c r="K2935" s="11">
        <v>1.284722222222222E-3</v>
      </c>
      <c r="L2935" s="13"/>
    </row>
    <row r="2936" spans="1:12" x14ac:dyDescent="0.25">
      <c r="A2936" s="3" t="s">
        <v>3225</v>
      </c>
      <c r="B2936" s="3" t="s">
        <v>6195</v>
      </c>
      <c r="C2936" s="3" t="s">
        <v>1857</v>
      </c>
      <c r="D2936" s="9">
        <v>21</v>
      </c>
      <c r="E2936" s="3" t="s">
        <v>139</v>
      </c>
      <c r="F2936" s="3" t="s">
        <v>3205</v>
      </c>
      <c r="G2936" s="9">
        <v>299.11</v>
      </c>
      <c r="H2936" s="10">
        <v>45673.326458333337</v>
      </c>
      <c r="I2936" s="10">
        <v>45673.326458333337</v>
      </c>
      <c r="J2936" s="10">
        <v>45673.32775462963</v>
      </c>
      <c r="K2936" s="11">
        <v>1.296296296296296E-3</v>
      </c>
      <c r="L2936" s="13"/>
    </row>
    <row r="2937" spans="1:12" x14ac:dyDescent="0.25">
      <c r="A2937" s="3" t="s">
        <v>3225</v>
      </c>
      <c r="B2937" s="3" t="s">
        <v>6196</v>
      </c>
      <c r="C2937" s="3" t="s">
        <v>1859</v>
      </c>
      <c r="D2937" s="9">
        <v>47.2</v>
      </c>
      <c r="E2937" s="3" t="s">
        <v>139</v>
      </c>
      <c r="F2937" s="3" t="s">
        <v>3193</v>
      </c>
      <c r="G2937" s="9">
        <v>297.43</v>
      </c>
      <c r="H2937" s="10">
        <v>45673.32775462963</v>
      </c>
      <c r="I2937" s="10">
        <v>45673.32775462963</v>
      </c>
      <c r="J2937" s="10">
        <v>45673.329108796293</v>
      </c>
      <c r="K2937" s="11">
        <v>1.3541666666666669E-3</v>
      </c>
      <c r="L2937" s="13"/>
    </row>
    <row r="2938" spans="1:12" x14ac:dyDescent="0.25">
      <c r="A2938" s="3" t="s">
        <v>3225</v>
      </c>
      <c r="B2938" s="3" t="s">
        <v>6197</v>
      </c>
      <c r="C2938" s="3" t="s">
        <v>1861</v>
      </c>
      <c r="D2938" s="9">
        <v>27</v>
      </c>
      <c r="E2938" s="3" t="s">
        <v>139</v>
      </c>
      <c r="F2938" s="3" t="s">
        <v>3204</v>
      </c>
      <c r="G2938" s="9">
        <v>477.75</v>
      </c>
      <c r="H2938" s="10">
        <v>45673.329108796293</v>
      </c>
      <c r="I2938" s="10">
        <v>45673.329108796293</v>
      </c>
      <c r="J2938" s="10">
        <v>45673.331157407411</v>
      </c>
      <c r="K2938" s="11">
        <v>2.0486111111111109E-3</v>
      </c>
      <c r="L2938" s="13"/>
    </row>
    <row r="2939" spans="1:12" x14ac:dyDescent="0.25">
      <c r="A2939" s="3" t="s">
        <v>3225</v>
      </c>
      <c r="B2939" s="3" t="s">
        <v>6198</v>
      </c>
      <c r="C2939" s="3" t="s">
        <v>1863</v>
      </c>
      <c r="D2939" s="9">
        <v>31.5</v>
      </c>
      <c r="E2939" s="3" t="s">
        <v>139</v>
      </c>
      <c r="F2939" s="3" t="s">
        <v>3200</v>
      </c>
      <c r="G2939" s="9">
        <v>405.03</v>
      </c>
      <c r="H2939" s="10">
        <v>45673.331157407411</v>
      </c>
      <c r="I2939" s="10">
        <v>45673.331157407411</v>
      </c>
      <c r="J2939" s="10">
        <v>45673.332916666674</v>
      </c>
      <c r="K2939" s="11">
        <v>1.759259259259259E-3</v>
      </c>
      <c r="L2939" s="13"/>
    </row>
    <row r="2940" spans="1:12" x14ac:dyDescent="0.25">
      <c r="A2940" s="3" t="s">
        <v>3225</v>
      </c>
      <c r="B2940" s="3" t="s">
        <v>6199</v>
      </c>
      <c r="C2940" s="3" t="s">
        <v>1865</v>
      </c>
      <c r="D2940" s="9">
        <v>21</v>
      </c>
      <c r="E2940" s="3" t="s">
        <v>139</v>
      </c>
      <c r="F2940" s="3" t="s">
        <v>3196</v>
      </c>
      <c r="G2940" s="9">
        <v>450.42</v>
      </c>
      <c r="H2940" s="10">
        <v>45673.332916666674</v>
      </c>
      <c r="I2940" s="10">
        <v>45673.332916666674</v>
      </c>
      <c r="J2940" s="10">
        <v>45673.334837962961</v>
      </c>
      <c r="K2940" s="11">
        <v>1.9212962962962959E-3</v>
      </c>
      <c r="L2940" s="13"/>
    </row>
    <row r="2941" spans="1:12" x14ac:dyDescent="0.25">
      <c r="A2941" s="3" t="s">
        <v>3225</v>
      </c>
      <c r="B2941" s="3" t="s">
        <v>6200</v>
      </c>
      <c r="C2941" s="3" t="s">
        <v>1868</v>
      </c>
      <c r="D2941" s="9">
        <v>31.9</v>
      </c>
      <c r="E2941" s="3" t="s">
        <v>139</v>
      </c>
      <c r="F2941" s="3" t="s">
        <v>3195</v>
      </c>
      <c r="G2941" s="9">
        <v>405.43</v>
      </c>
      <c r="H2941" s="10">
        <v>45673.334837962961</v>
      </c>
      <c r="I2941" s="10">
        <v>45673.334837962961</v>
      </c>
      <c r="J2941" s="10">
        <v>45673.336608796293</v>
      </c>
      <c r="K2941" s="11">
        <v>1.770833333333333E-3</v>
      </c>
      <c r="L2941" s="13"/>
    </row>
    <row r="2942" spans="1:12" x14ac:dyDescent="0.25">
      <c r="A2942" s="3" t="s">
        <v>3225</v>
      </c>
      <c r="B2942" s="3" t="s">
        <v>6201</v>
      </c>
      <c r="C2942" s="3" t="s">
        <v>1870</v>
      </c>
      <c r="D2942" s="9">
        <v>27</v>
      </c>
      <c r="E2942" s="3" t="s">
        <v>139</v>
      </c>
      <c r="F2942" s="3" t="s">
        <v>3204</v>
      </c>
      <c r="G2942" s="9">
        <v>477.75</v>
      </c>
      <c r="H2942" s="10">
        <v>45673.336608796293</v>
      </c>
      <c r="I2942" s="10">
        <v>45673.336608796293</v>
      </c>
      <c r="J2942" s="10">
        <v>45673.33865740741</v>
      </c>
      <c r="K2942" s="11">
        <v>2.0486111111111109E-3</v>
      </c>
      <c r="L2942" s="13"/>
    </row>
    <row r="2943" spans="1:12" x14ac:dyDescent="0.25">
      <c r="A2943" s="3" t="s">
        <v>3225</v>
      </c>
      <c r="B2943" s="3" t="s">
        <v>6202</v>
      </c>
      <c r="C2943" s="3" t="s">
        <v>1875</v>
      </c>
      <c r="D2943" s="9">
        <v>396.6</v>
      </c>
      <c r="E2943" s="3" t="s">
        <v>142</v>
      </c>
      <c r="F2943" s="3" t="s">
        <v>3203</v>
      </c>
      <c r="G2943" s="9">
        <v>263.08999999999997</v>
      </c>
      <c r="H2943" s="10">
        <v>45673.339525462958</v>
      </c>
      <c r="I2943" s="10">
        <v>45673.339525462958</v>
      </c>
      <c r="J2943" s="10">
        <v>45673.341539351852</v>
      </c>
      <c r="K2943" s="11">
        <v>2.0138888888888888E-3</v>
      </c>
      <c r="L2943" s="13"/>
    </row>
    <row r="2944" spans="1:12" x14ac:dyDescent="0.25">
      <c r="A2944" s="3" t="s">
        <v>3225</v>
      </c>
      <c r="B2944" s="3" t="s">
        <v>6203</v>
      </c>
      <c r="C2944" s="3" t="s">
        <v>1898</v>
      </c>
      <c r="D2944" s="9">
        <v>208.6</v>
      </c>
      <c r="E2944" s="3" t="s">
        <v>142</v>
      </c>
      <c r="F2944" s="3" t="s">
        <v>3195</v>
      </c>
      <c r="G2944" s="9">
        <v>398.6</v>
      </c>
      <c r="H2944" s="10">
        <v>45673.386053240742</v>
      </c>
      <c r="I2944" s="10">
        <v>45673.386053240742</v>
      </c>
      <c r="J2944" s="10">
        <v>45673.388194444437</v>
      </c>
      <c r="K2944" s="11">
        <v>2.1412037037037042E-3</v>
      </c>
      <c r="L2944" s="13"/>
    </row>
    <row r="2945" spans="1:12" x14ac:dyDescent="0.25">
      <c r="A2945" s="3" t="s">
        <v>3225</v>
      </c>
      <c r="B2945" s="3" t="s">
        <v>6204</v>
      </c>
      <c r="C2945" s="3" t="s">
        <v>1901</v>
      </c>
      <c r="D2945" s="9">
        <v>180.8</v>
      </c>
      <c r="E2945" s="3" t="s">
        <v>142</v>
      </c>
      <c r="F2945" s="3" t="s">
        <v>3197</v>
      </c>
      <c r="G2945" s="9">
        <v>453.13</v>
      </c>
      <c r="H2945" s="10">
        <v>45673.388194444437</v>
      </c>
      <c r="I2945" s="10">
        <v>45673.388194444437</v>
      </c>
      <c r="J2945" s="10">
        <v>45673.390497685177</v>
      </c>
      <c r="K2945" s="11">
        <v>2.3032407407407411E-3</v>
      </c>
      <c r="L2945" s="13"/>
    </row>
    <row r="2946" spans="1:12" x14ac:dyDescent="0.25">
      <c r="A2946" s="3" t="s">
        <v>3225</v>
      </c>
      <c r="B2946" s="3" t="s">
        <v>6205</v>
      </c>
      <c r="C2946" s="3" t="s">
        <v>1878</v>
      </c>
      <c r="D2946" s="9">
        <v>31.5</v>
      </c>
      <c r="E2946" s="3" t="s">
        <v>139</v>
      </c>
      <c r="F2946" s="3" t="s">
        <v>3206</v>
      </c>
      <c r="G2946" s="9">
        <v>378.4</v>
      </c>
      <c r="H2946" s="10">
        <v>45673.395011574074</v>
      </c>
      <c r="I2946" s="10">
        <v>45673.395011574074</v>
      </c>
      <c r="J2946" s="10">
        <v>45673.396655092591</v>
      </c>
      <c r="K2946" s="11">
        <v>1.643518518518519E-3</v>
      </c>
      <c r="L2946" s="13"/>
    </row>
    <row r="2947" spans="1:12" x14ac:dyDescent="0.25">
      <c r="A2947" s="3" t="s">
        <v>3225</v>
      </c>
      <c r="B2947" s="3" t="s">
        <v>6206</v>
      </c>
      <c r="C2947" s="3" t="s">
        <v>1880</v>
      </c>
      <c r="D2947" s="9">
        <v>14</v>
      </c>
      <c r="E2947" s="3" t="s">
        <v>139</v>
      </c>
      <c r="F2947" s="3" t="s">
        <v>3202</v>
      </c>
      <c r="G2947" s="9">
        <v>324.35000000000002</v>
      </c>
      <c r="H2947" s="10">
        <v>45673.396655092591</v>
      </c>
      <c r="I2947" s="10">
        <v>45673.396655092591</v>
      </c>
      <c r="J2947" s="10">
        <v>45673.398043981477</v>
      </c>
      <c r="K2947" s="11">
        <v>1.3888888888888889E-3</v>
      </c>
      <c r="L2947" s="13"/>
    </row>
    <row r="2948" spans="1:12" x14ac:dyDescent="0.25">
      <c r="A2948" s="3" t="s">
        <v>3225</v>
      </c>
      <c r="B2948" s="3" t="s">
        <v>6207</v>
      </c>
      <c r="C2948" s="3" t="s">
        <v>1882</v>
      </c>
      <c r="D2948" s="9">
        <v>15.7</v>
      </c>
      <c r="E2948" s="3" t="s">
        <v>139</v>
      </c>
      <c r="F2948" s="3" t="s">
        <v>3201</v>
      </c>
      <c r="G2948" s="9">
        <v>412.05</v>
      </c>
      <c r="H2948" s="10">
        <v>45673.398043981477</v>
      </c>
      <c r="I2948" s="10">
        <v>45673.398043981477</v>
      </c>
      <c r="J2948" s="10">
        <v>45673.399791666663</v>
      </c>
      <c r="K2948" s="11">
        <v>1.747685185185185E-3</v>
      </c>
      <c r="L2948" s="13"/>
    </row>
    <row r="2949" spans="1:12" x14ac:dyDescent="0.25">
      <c r="A2949" s="3" t="s">
        <v>3225</v>
      </c>
      <c r="B2949" s="3" t="s">
        <v>6208</v>
      </c>
      <c r="C2949" s="3" t="s">
        <v>1884</v>
      </c>
      <c r="D2949" s="9">
        <v>21</v>
      </c>
      <c r="E2949" s="3" t="s">
        <v>139</v>
      </c>
      <c r="F2949" s="3" t="s">
        <v>3196</v>
      </c>
      <c r="G2949" s="9">
        <v>450.42</v>
      </c>
      <c r="H2949" s="10">
        <v>45673.399791666663</v>
      </c>
      <c r="I2949" s="10">
        <v>45673.399791666663</v>
      </c>
      <c r="J2949" s="10">
        <v>45673.401724537027</v>
      </c>
      <c r="K2949" s="11">
        <v>1.93287037037037E-3</v>
      </c>
      <c r="L2949" s="13"/>
    </row>
    <row r="2950" spans="1:12" x14ac:dyDescent="0.25">
      <c r="A2950" s="3" t="s">
        <v>3225</v>
      </c>
      <c r="B2950" s="3" t="s">
        <v>6209</v>
      </c>
      <c r="C2950" s="3" t="s">
        <v>1886</v>
      </c>
      <c r="D2950" s="9">
        <v>27</v>
      </c>
      <c r="E2950" s="3" t="s">
        <v>139</v>
      </c>
      <c r="F2950" s="3" t="s">
        <v>3204</v>
      </c>
      <c r="G2950" s="9">
        <v>477.75</v>
      </c>
      <c r="H2950" s="10">
        <v>45673.401724537027</v>
      </c>
      <c r="I2950" s="10">
        <v>45673.401724537027</v>
      </c>
      <c r="J2950" s="10">
        <v>45673.403773148151</v>
      </c>
      <c r="K2950" s="11">
        <v>2.0486111111111109E-3</v>
      </c>
      <c r="L2950" s="13"/>
    </row>
    <row r="2951" spans="1:12" x14ac:dyDescent="0.25">
      <c r="A2951" s="3" t="s">
        <v>3225</v>
      </c>
      <c r="B2951" s="3" t="s">
        <v>6210</v>
      </c>
      <c r="C2951" s="3" t="s">
        <v>1888</v>
      </c>
      <c r="D2951" s="9">
        <v>42</v>
      </c>
      <c r="E2951" s="3" t="s">
        <v>139</v>
      </c>
      <c r="F2951" s="3" t="s">
        <v>3205</v>
      </c>
      <c r="G2951" s="9">
        <v>299.11</v>
      </c>
      <c r="H2951" s="10">
        <v>45673.403773148151</v>
      </c>
      <c r="I2951" s="10">
        <v>45673.403773148151</v>
      </c>
      <c r="J2951" s="10">
        <v>45673.405115740738</v>
      </c>
      <c r="K2951" s="11">
        <v>1.3425925925925921E-3</v>
      </c>
      <c r="L2951" s="13"/>
    </row>
    <row r="2952" spans="1:12" x14ac:dyDescent="0.25">
      <c r="A2952" s="3" t="s">
        <v>3225</v>
      </c>
      <c r="B2952" s="3" t="s">
        <v>6211</v>
      </c>
      <c r="C2952" s="3" t="s">
        <v>1890</v>
      </c>
      <c r="D2952" s="9">
        <v>15.7</v>
      </c>
      <c r="E2952" s="3" t="s">
        <v>139</v>
      </c>
      <c r="F2952" s="3" t="s">
        <v>3199</v>
      </c>
      <c r="G2952" s="9">
        <v>450.42</v>
      </c>
      <c r="H2952" s="10">
        <v>45673.405115740738</v>
      </c>
      <c r="I2952" s="10">
        <v>45673.405115740738</v>
      </c>
      <c r="J2952" s="10">
        <v>45673.407025462962</v>
      </c>
      <c r="K2952" s="11">
        <v>1.9097222222222219E-3</v>
      </c>
      <c r="L2952" s="13"/>
    </row>
    <row r="2953" spans="1:12" x14ac:dyDescent="0.25">
      <c r="A2953" s="3" t="s">
        <v>3225</v>
      </c>
      <c r="B2953" s="3" t="s">
        <v>6212</v>
      </c>
      <c r="C2953" s="3" t="s">
        <v>1892</v>
      </c>
      <c r="D2953" s="9">
        <v>19.899999999999999</v>
      </c>
      <c r="E2953" s="3" t="s">
        <v>139</v>
      </c>
      <c r="F2953" s="3" t="s">
        <v>3198</v>
      </c>
      <c r="G2953" s="9">
        <v>350.87</v>
      </c>
      <c r="H2953" s="10">
        <v>45673.407025462962</v>
      </c>
      <c r="I2953" s="10">
        <v>45673.407025462962</v>
      </c>
      <c r="J2953" s="10">
        <v>45673.408541666657</v>
      </c>
      <c r="K2953" s="11">
        <v>1.5162037037037041E-3</v>
      </c>
      <c r="L2953" s="13"/>
    </row>
    <row r="2954" spans="1:12" x14ac:dyDescent="0.25">
      <c r="A2954" s="3" t="s">
        <v>3225</v>
      </c>
      <c r="B2954" s="3" t="s">
        <v>6213</v>
      </c>
      <c r="C2954" s="3" t="s">
        <v>1894</v>
      </c>
      <c r="D2954" s="9">
        <v>59.7</v>
      </c>
      <c r="E2954" s="3" t="s">
        <v>139</v>
      </c>
      <c r="F2954" s="3" t="s">
        <v>3193</v>
      </c>
      <c r="G2954" s="9">
        <v>297.43</v>
      </c>
      <c r="H2954" s="10">
        <v>45673.408541666657</v>
      </c>
      <c r="I2954" s="10">
        <v>45673.408541666657</v>
      </c>
      <c r="J2954" s="10">
        <v>45673.409918981481</v>
      </c>
      <c r="K2954" s="11">
        <v>1.3773148148148149E-3</v>
      </c>
      <c r="L2954" s="13"/>
    </row>
    <row r="2955" spans="1:12" x14ac:dyDescent="0.25">
      <c r="A2955" s="3" t="s">
        <v>3225</v>
      </c>
      <c r="B2955" s="3" t="s">
        <v>6214</v>
      </c>
      <c r="C2955" s="3" t="s">
        <v>1896</v>
      </c>
      <c r="D2955" s="9">
        <v>170.9</v>
      </c>
      <c r="E2955" s="3" t="s">
        <v>139</v>
      </c>
      <c r="F2955" s="3" t="s">
        <v>3193</v>
      </c>
      <c r="G2955" s="9">
        <v>297.43</v>
      </c>
      <c r="H2955" s="10">
        <v>45673.409918981481</v>
      </c>
      <c r="I2955" s="10">
        <v>45673.409918981481</v>
      </c>
      <c r="J2955" s="10">
        <v>45673.411550925928</v>
      </c>
      <c r="K2955" s="11">
        <v>1.631944444444445E-3</v>
      </c>
      <c r="L2955" s="13"/>
    </row>
    <row r="2956" spans="1:12" x14ac:dyDescent="0.25">
      <c r="A2956" s="3" t="s">
        <v>3225</v>
      </c>
      <c r="B2956" s="3" t="s">
        <v>6215</v>
      </c>
      <c r="C2956" s="3" t="s">
        <v>1904</v>
      </c>
      <c r="D2956" s="9">
        <v>21</v>
      </c>
      <c r="E2956" s="3" t="s">
        <v>139</v>
      </c>
      <c r="F2956" s="3" t="s">
        <v>3203</v>
      </c>
      <c r="G2956" s="9">
        <v>269.92</v>
      </c>
      <c r="H2956" s="10">
        <v>45673.45113425926</v>
      </c>
      <c r="I2956" s="10">
        <v>45673.45113425926</v>
      </c>
      <c r="J2956" s="10">
        <v>45673.452314814807</v>
      </c>
      <c r="K2956" s="11">
        <v>1.180555555555556E-3</v>
      </c>
      <c r="L2956" s="13"/>
    </row>
    <row r="2957" spans="1:12" x14ac:dyDescent="0.25">
      <c r="A2957" s="3" t="s">
        <v>3225</v>
      </c>
      <c r="B2957" s="3" t="s">
        <v>6216</v>
      </c>
      <c r="C2957" s="3" t="s">
        <v>1907</v>
      </c>
      <c r="D2957" s="9">
        <v>338.3</v>
      </c>
      <c r="E2957" s="3" t="s">
        <v>139</v>
      </c>
      <c r="F2957" s="3" t="s">
        <v>3195</v>
      </c>
      <c r="G2957" s="9">
        <v>405.43</v>
      </c>
      <c r="H2957" s="10">
        <v>45673.452314814807</v>
      </c>
      <c r="I2957" s="10">
        <v>45673.452314814807</v>
      </c>
      <c r="J2957" s="10">
        <v>45673.454780092587</v>
      </c>
      <c r="K2957" s="11">
        <v>2.465277777777778E-3</v>
      </c>
      <c r="L2957" s="13"/>
    </row>
    <row r="2958" spans="1:12" x14ac:dyDescent="0.25">
      <c r="A2958" s="3" t="s">
        <v>3225</v>
      </c>
      <c r="B2958" s="3" t="s">
        <v>6217</v>
      </c>
      <c r="C2958" s="3" t="s">
        <v>1910</v>
      </c>
      <c r="D2958" s="9">
        <v>173</v>
      </c>
      <c r="E2958" s="3" t="s">
        <v>139</v>
      </c>
      <c r="F2958" s="3" t="s">
        <v>3204</v>
      </c>
      <c r="G2958" s="9">
        <v>477.75</v>
      </c>
      <c r="H2958" s="10">
        <v>45673.539004629631</v>
      </c>
      <c r="I2958" s="10">
        <v>45673.539004629631</v>
      </c>
      <c r="J2958" s="10">
        <v>45673.541388888887</v>
      </c>
      <c r="K2958" s="11">
        <v>2.3842592592592591E-3</v>
      </c>
      <c r="L2958" s="13"/>
    </row>
    <row r="2959" spans="1:12" x14ac:dyDescent="0.25">
      <c r="A2959" s="3" t="s">
        <v>3225</v>
      </c>
      <c r="B2959" s="3" t="s">
        <v>6218</v>
      </c>
      <c r="C2959" s="3" t="s">
        <v>1913</v>
      </c>
      <c r="D2959" s="9">
        <v>233.9</v>
      </c>
      <c r="E2959" s="3" t="s">
        <v>139</v>
      </c>
      <c r="F2959" s="3" t="s">
        <v>3193</v>
      </c>
      <c r="G2959" s="9">
        <v>297.43</v>
      </c>
      <c r="H2959" s="10">
        <v>45673.612476851849</v>
      </c>
      <c r="I2959" s="10">
        <v>45673.612476851849</v>
      </c>
      <c r="J2959" s="10">
        <v>45673.614259259259</v>
      </c>
      <c r="K2959" s="11">
        <v>1.782407407407407E-3</v>
      </c>
      <c r="L2959" s="13"/>
    </row>
    <row r="2960" spans="1:12" x14ac:dyDescent="0.25">
      <c r="A2960" s="3" t="s">
        <v>3225</v>
      </c>
      <c r="B2960" s="3" t="s">
        <v>6219</v>
      </c>
      <c r="C2960" s="3" t="s">
        <v>1916</v>
      </c>
      <c r="D2960" s="9">
        <v>42</v>
      </c>
      <c r="E2960" s="3" t="s">
        <v>139</v>
      </c>
      <c r="F2960" s="3" t="s">
        <v>3196</v>
      </c>
      <c r="G2960" s="9">
        <v>450.42</v>
      </c>
      <c r="H2960" s="10">
        <v>45673.62877314815</v>
      </c>
      <c r="I2960" s="10">
        <v>45673.62877314815</v>
      </c>
      <c r="J2960" s="10">
        <v>45673.630740740737</v>
      </c>
      <c r="K2960" s="11">
        <v>1.967592592592592E-3</v>
      </c>
      <c r="L2960" s="13"/>
    </row>
    <row r="2961" spans="1:12" x14ac:dyDescent="0.25">
      <c r="A2961" s="3" t="s">
        <v>3225</v>
      </c>
      <c r="B2961" s="3" t="s">
        <v>6220</v>
      </c>
      <c r="C2961" s="3" t="s">
        <v>1918</v>
      </c>
      <c r="D2961" s="9">
        <v>171.7</v>
      </c>
      <c r="E2961" s="3" t="s">
        <v>139</v>
      </c>
      <c r="F2961" s="3" t="s">
        <v>3193</v>
      </c>
      <c r="G2961" s="9">
        <v>297.43</v>
      </c>
      <c r="H2961" s="10">
        <v>45673.630740740737</v>
      </c>
      <c r="I2961" s="10">
        <v>45673.630740740737</v>
      </c>
      <c r="J2961" s="10">
        <v>45673.632384259261</v>
      </c>
      <c r="K2961" s="11">
        <v>1.643518518518519E-3</v>
      </c>
      <c r="L2961" s="13"/>
    </row>
    <row r="2962" spans="1:12" x14ac:dyDescent="0.25">
      <c r="A2962" s="3" t="s">
        <v>3225</v>
      </c>
      <c r="B2962" s="3" t="s">
        <v>6221</v>
      </c>
      <c r="C2962" s="3" t="s">
        <v>1921</v>
      </c>
      <c r="D2962" s="9">
        <v>15.7</v>
      </c>
      <c r="E2962" s="3" t="s">
        <v>139</v>
      </c>
      <c r="F2962" s="3" t="s">
        <v>3206</v>
      </c>
      <c r="G2962" s="9">
        <v>378.4</v>
      </c>
      <c r="H2962" s="10">
        <v>45673.632384259261</v>
      </c>
      <c r="I2962" s="10">
        <v>45673.632384259261</v>
      </c>
      <c r="J2962" s="10">
        <v>45673.633993055562</v>
      </c>
      <c r="K2962" s="11">
        <v>1.6087962962962961E-3</v>
      </c>
      <c r="L2962" s="13"/>
    </row>
    <row r="2963" spans="1:12" x14ac:dyDescent="0.25">
      <c r="A2963" s="3" t="s">
        <v>3225</v>
      </c>
      <c r="B2963" s="3" t="s">
        <v>6222</v>
      </c>
      <c r="C2963" s="3" t="s">
        <v>1923</v>
      </c>
      <c r="D2963" s="9">
        <v>19.899999999999999</v>
      </c>
      <c r="E2963" s="3" t="s">
        <v>139</v>
      </c>
      <c r="F2963" s="3" t="s">
        <v>3198</v>
      </c>
      <c r="G2963" s="9">
        <v>350.87</v>
      </c>
      <c r="H2963" s="10">
        <v>45673.633993055562</v>
      </c>
      <c r="I2963" s="10">
        <v>45673.633993055562</v>
      </c>
      <c r="J2963" s="10">
        <v>45673.635497685187</v>
      </c>
      <c r="K2963" s="11">
        <v>1.5046296296296301E-3</v>
      </c>
      <c r="L2963" s="13"/>
    </row>
    <row r="2964" spans="1:12" x14ac:dyDescent="0.25">
      <c r="A2964" s="3" t="s">
        <v>3225</v>
      </c>
      <c r="B2964" s="3" t="s">
        <v>6223</v>
      </c>
      <c r="C2964" s="3" t="s">
        <v>1925</v>
      </c>
      <c r="D2964" s="9">
        <v>15.7</v>
      </c>
      <c r="E2964" s="3" t="s">
        <v>139</v>
      </c>
      <c r="F2964" s="3" t="s">
        <v>3199</v>
      </c>
      <c r="G2964" s="9">
        <v>450.42</v>
      </c>
      <c r="H2964" s="10">
        <v>45673.635497685187</v>
      </c>
      <c r="I2964" s="10">
        <v>45673.635497685187</v>
      </c>
      <c r="J2964" s="10">
        <v>45673.637418981481</v>
      </c>
      <c r="K2964" s="11">
        <v>1.9212962962962959E-3</v>
      </c>
      <c r="L2964" s="13"/>
    </row>
    <row r="2965" spans="1:12" x14ac:dyDescent="0.25">
      <c r="A2965" s="3" t="s">
        <v>3225</v>
      </c>
      <c r="B2965" s="3" t="s">
        <v>6224</v>
      </c>
      <c r="C2965" s="3" t="s">
        <v>1927</v>
      </c>
      <c r="D2965" s="9">
        <v>19.899999999999999</v>
      </c>
      <c r="E2965" s="3" t="s">
        <v>139</v>
      </c>
      <c r="F2965" s="3" t="s">
        <v>3197</v>
      </c>
      <c r="G2965" s="9">
        <v>459.96</v>
      </c>
      <c r="H2965" s="10">
        <v>45673.637418981481</v>
      </c>
      <c r="I2965" s="10">
        <v>45673.637418981481</v>
      </c>
      <c r="J2965" s="10">
        <v>45673.639374999999</v>
      </c>
      <c r="K2965" s="11">
        <v>1.956018518518518E-3</v>
      </c>
      <c r="L2965" s="13"/>
    </row>
    <row r="2966" spans="1:12" x14ac:dyDescent="0.25">
      <c r="A2966" s="3" t="s">
        <v>3225</v>
      </c>
      <c r="B2966" s="3" t="s">
        <v>6225</v>
      </c>
      <c r="C2966" s="3" t="s">
        <v>1930</v>
      </c>
      <c r="D2966" s="9">
        <v>54</v>
      </c>
      <c r="E2966" s="3" t="s">
        <v>139</v>
      </c>
      <c r="F2966" s="3" t="s">
        <v>3205</v>
      </c>
      <c r="G2966" s="9">
        <v>299.11</v>
      </c>
      <c r="H2966" s="10">
        <v>45673.639374999999</v>
      </c>
      <c r="I2966" s="10">
        <v>45673.639374999999</v>
      </c>
      <c r="J2966" s="10">
        <v>45673.640752314823</v>
      </c>
      <c r="K2966" s="11">
        <v>1.3773148148148149E-3</v>
      </c>
      <c r="L2966" s="13"/>
    </row>
    <row r="2967" spans="1:12" x14ac:dyDescent="0.25">
      <c r="A2967" s="3" t="s">
        <v>3225</v>
      </c>
      <c r="B2967" s="3" t="s">
        <v>6226</v>
      </c>
      <c r="C2967" s="3" t="s">
        <v>1933</v>
      </c>
      <c r="D2967" s="9">
        <v>63</v>
      </c>
      <c r="E2967" s="3" t="s">
        <v>164</v>
      </c>
      <c r="F2967" s="3" t="s">
        <v>3194</v>
      </c>
      <c r="G2967" s="9">
        <v>544.85</v>
      </c>
      <c r="H2967" s="10">
        <v>45673.649016203701</v>
      </c>
      <c r="I2967" s="10">
        <v>45673.649016203701</v>
      </c>
      <c r="J2967" s="10">
        <v>45673.651435185187</v>
      </c>
      <c r="K2967" s="11">
        <v>2.418981481481482E-3</v>
      </c>
      <c r="L2967" s="13"/>
    </row>
    <row r="2968" spans="1:12" x14ac:dyDescent="0.25">
      <c r="A2968" s="3" t="s">
        <v>3225</v>
      </c>
      <c r="B2968" s="3" t="s">
        <v>6227</v>
      </c>
      <c r="C2968" s="3" t="s">
        <v>1936</v>
      </c>
      <c r="D2968" s="9">
        <v>61.9</v>
      </c>
      <c r="E2968" s="3" t="s">
        <v>139</v>
      </c>
      <c r="F2968" s="3" t="s">
        <v>3203</v>
      </c>
      <c r="G2968" s="9">
        <v>269.92</v>
      </c>
      <c r="H2968" s="10">
        <v>45673.677974537037</v>
      </c>
      <c r="I2968" s="10">
        <v>45673.677974537037</v>
      </c>
      <c r="J2968" s="10">
        <v>45673.679247685177</v>
      </c>
      <c r="K2968" s="11">
        <v>1.273148148148148E-3</v>
      </c>
      <c r="L2968" s="13"/>
    </row>
    <row r="2969" spans="1:12" x14ac:dyDescent="0.25">
      <c r="A2969" s="3" t="s">
        <v>3225</v>
      </c>
      <c r="B2969" s="3" t="s">
        <v>6228</v>
      </c>
      <c r="C2969" s="3" t="s">
        <v>1938</v>
      </c>
      <c r="D2969" s="9">
        <v>57.4</v>
      </c>
      <c r="E2969" s="3" t="s">
        <v>139</v>
      </c>
      <c r="F2969" s="3" t="s">
        <v>3194</v>
      </c>
      <c r="G2969" s="9">
        <v>459.96</v>
      </c>
      <c r="H2969" s="10">
        <v>45673.679247685177</v>
      </c>
      <c r="I2969" s="10">
        <v>45673.679247685177</v>
      </c>
      <c r="J2969" s="10">
        <v>45673.681296296287</v>
      </c>
      <c r="K2969" s="11">
        <v>2.0486111111111109E-3</v>
      </c>
      <c r="L2969" s="13"/>
    </row>
    <row r="2970" spans="1:12" x14ac:dyDescent="0.25">
      <c r="A2970" s="3" t="s">
        <v>3225</v>
      </c>
      <c r="B2970" s="3" t="s">
        <v>6229</v>
      </c>
      <c r="C2970" s="3" t="s">
        <v>1940</v>
      </c>
      <c r="D2970" s="9">
        <v>27</v>
      </c>
      <c r="E2970" s="3" t="s">
        <v>139</v>
      </c>
      <c r="F2970" s="3" t="s">
        <v>3205</v>
      </c>
      <c r="G2970" s="9">
        <v>299.11</v>
      </c>
      <c r="H2970" s="10">
        <v>45673.741446759261</v>
      </c>
      <c r="I2970" s="10">
        <v>45673.741446759261</v>
      </c>
      <c r="J2970" s="10">
        <v>45673.742754629631</v>
      </c>
      <c r="K2970" s="11">
        <v>1.30787037037037E-3</v>
      </c>
      <c r="L2970" s="13"/>
    </row>
    <row r="2971" spans="1:12" x14ac:dyDescent="0.25">
      <c r="A2971" s="3" t="s">
        <v>3225</v>
      </c>
      <c r="B2971" s="3" t="s">
        <v>6230</v>
      </c>
      <c r="C2971" s="3" t="s">
        <v>1942</v>
      </c>
      <c r="D2971" s="9">
        <v>42</v>
      </c>
      <c r="E2971" s="3" t="s">
        <v>139</v>
      </c>
      <c r="F2971" s="3" t="s">
        <v>3196</v>
      </c>
      <c r="G2971" s="9">
        <v>450.42</v>
      </c>
      <c r="H2971" s="10">
        <v>45673.742754629631</v>
      </c>
      <c r="I2971" s="10">
        <v>45673.742754629631</v>
      </c>
      <c r="J2971" s="10">
        <v>45673.744722222233</v>
      </c>
      <c r="K2971" s="11">
        <v>1.967592592592592E-3</v>
      </c>
      <c r="L2971" s="13"/>
    </row>
    <row r="2972" spans="1:12" x14ac:dyDescent="0.25">
      <c r="A2972" s="3" t="s">
        <v>3225</v>
      </c>
      <c r="B2972" s="3" t="s">
        <v>6231</v>
      </c>
      <c r="C2972" s="3" t="s">
        <v>1944</v>
      </c>
      <c r="D2972" s="9">
        <v>373.3</v>
      </c>
      <c r="E2972" s="3" t="s">
        <v>139</v>
      </c>
      <c r="F2972" s="3" t="s">
        <v>3193</v>
      </c>
      <c r="G2972" s="9">
        <v>297.43</v>
      </c>
      <c r="H2972" s="10">
        <v>45673.744722222233</v>
      </c>
      <c r="I2972" s="10">
        <v>45673.744722222233</v>
      </c>
      <c r="J2972" s="10">
        <v>45673.746828703697</v>
      </c>
      <c r="K2972" s="11">
        <v>2.1064814814814809E-3</v>
      </c>
      <c r="L2972" s="13"/>
    </row>
    <row r="2973" spans="1:12" x14ac:dyDescent="0.25">
      <c r="A2973" s="3" t="s">
        <v>3225</v>
      </c>
      <c r="B2973" s="3" t="s">
        <v>6232</v>
      </c>
      <c r="C2973" s="3" t="s">
        <v>1947</v>
      </c>
      <c r="D2973" s="9">
        <v>40.9</v>
      </c>
      <c r="E2973" s="3" t="s">
        <v>139</v>
      </c>
      <c r="F2973" s="3" t="s">
        <v>3197</v>
      </c>
      <c r="G2973" s="9">
        <v>459.96</v>
      </c>
      <c r="H2973" s="10">
        <v>45673.746828703697</v>
      </c>
      <c r="I2973" s="10">
        <v>45673.746828703697</v>
      </c>
      <c r="J2973" s="10">
        <v>45673.748842592591</v>
      </c>
      <c r="K2973" s="11">
        <v>2.0138888888888888E-3</v>
      </c>
      <c r="L2973" s="13"/>
    </row>
    <row r="2974" spans="1:12" x14ac:dyDescent="0.25">
      <c r="A2974" s="3" t="s">
        <v>3225</v>
      </c>
      <c r="B2974" s="3" t="s">
        <v>6233</v>
      </c>
      <c r="C2974" s="3" t="s">
        <v>1949</v>
      </c>
      <c r="D2974" s="9">
        <v>19.899999999999999</v>
      </c>
      <c r="E2974" s="3" t="s">
        <v>139</v>
      </c>
      <c r="F2974" s="3" t="s">
        <v>3193</v>
      </c>
      <c r="G2974" s="9">
        <v>297.43</v>
      </c>
      <c r="H2974" s="10">
        <v>45673.748842592591</v>
      </c>
      <c r="I2974" s="10">
        <v>45673.748842592591</v>
      </c>
      <c r="J2974" s="10">
        <v>45673.750127314823</v>
      </c>
      <c r="K2974" s="11">
        <v>1.284722222222222E-3</v>
      </c>
      <c r="L2974" s="13"/>
    </row>
    <row r="2975" spans="1:12" x14ac:dyDescent="0.25">
      <c r="A2975" s="3" t="s">
        <v>3225</v>
      </c>
      <c r="B2975" s="3" t="s">
        <v>6234</v>
      </c>
      <c r="C2975" s="3" t="s">
        <v>1952</v>
      </c>
      <c r="D2975" s="9">
        <v>14</v>
      </c>
      <c r="E2975" s="3" t="s">
        <v>139</v>
      </c>
      <c r="F2975" s="3" t="s">
        <v>3202</v>
      </c>
      <c r="G2975" s="9">
        <v>324.35000000000002</v>
      </c>
      <c r="H2975" s="10">
        <v>45673.848379629628</v>
      </c>
      <c r="I2975" s="10">
        <v>45673.848379629628</v>
      </c>
      <c r="J2975" s="10">
        <v>45673.849768518521</v>
      </c>
      <c r="K2975" s="11">
        <v>1.3888888888888889E-3</v>
      </c>
      <c r="L2975" s="13"/>
    </row>
    <row r="2976" spans="1:12" x14ac:dyDescent="0.25">
      <c r="A2976" s="3" t="s">
        <v>3225</v>
      </c>
      <c r="B2976" s="3" t="s">
        <v>6235</v>
      </c>
      <c r="C2976" s="3" t="s">
        <v>1954</v>
      </c>
      <c r="D2976" s="9">
        <v>108.7</v>
      </c>
      <c r="E2976" s="3" t="s">
        <v>139</v>
      </c>
      <c r="F2976" s="3" t="s">
        <v>3204</v>
      </c>
      <c r="G2976" s="9">
        <v>477.75</v>
      </c>
      <c r="H2976" s="10">
        <v>45673.849768518521</v>
      </c>
      <c r="I2976" s="10">
        <v>45673.849768518521</v>
      </c>
      <c r="J2976" s="10">
        <v>45673.852002314823</v>
      </c>
      <c r="K2976" s="11">
        <v>2.2337962962962958E-3</v>
      </c>
      <c r="L2976" s="13"/>
    </row>
    <row r="2977" spans="1:12" x14ac:dyDescent="0.25">
      <c r="A2977" s="3" t="s">
        <v>3225</v>
      </c>
      <c r="B2977" s="3" t="s">
        <v>6236</v>
      </c>
      <c r="C2977" s="3" t="s">
        <v>1957</v>
      </c>
      <c r="D2977" s="9">
        <v>19.899999999999999</v>
      </c>
      <c r="E2977" s="3" t="s">
        <v>139</v>
      </c>
      <c r="F2977" s="3" t="s">
        <v>3198</v>
      </c>
      <c r="G2977" s="9">
        <v>350.87</v>
      </c>
      <c r="H2977" s="10">
        <v>45673.852002314823</v>
      </c>
      <c r="I2977" s="10">
        <v>45673.852002314823</v>
      </c>
      <c r="J2977" s="10">
        <v>45673.853518518517</v>
      </c>
      <c r="K2977" s="11">
        <v>1.5162037037037041E-3</v>
      </c>
      <c r="L2977" s="13"/>
    </row>
    <row r="2978" spans="1:12" x14ac:dyDescent="0.25">
      <c r="A2978" s="3" t="s">
        <v>3225</v>
      </c>
      <c r="B2978" s="3" t="s">
        <v>6237</v>
      </c>
      <c r="C2978" s="3" t="s">
        <v>1959</v>
      </c>
      <c r="D2978" s="9">
        <v>15.7</v>
      </c>
      <c r="E2978" s="3" t="s">
        <v>139</v>
      </c>
      <c r="F2978" s="3" t="s">
        <v>3201</v>
      </c>
      <c r="G2978" s="9">
        <v>412.05</v>
      </c>
      <c r="H2978" s="10">
        <v>45673.853518518517</v>
      </c>
      <c r="I2978" s="10">
        <v>45673.853518518517</v>
      </c>
      <c r="J2978" s="10">
        <v>45673.855266203696</v>
      </c>
      <c r="K2978" s="11">
        <v>1.747685185185185E-3</v>
      </c>
      <c r="L2978" s="13"/>
    </row>
    <row r="2979" spans="1:12" x14ac:dyDescent="0.25">
      <c r="A2979" s="3" t="s">
        <v>3225</v>
      </c>
      <c r="B2979" s="3" t="s">
        <v>6238</v>
      </c>
      <c r="C2979" s="3" t="s">
        <v>1961</v>
      </c>
      <c r="D2979" s="9">
        <v>27</v>
      </c>
      <c r="E2979" s="3" t="s">
        <v>139</v>
      </c>
      <c r="F2979" s="3" t="s">
        <v>3205</v>
      </c>
      <c r="G2979" s="9">
        <v>299.11</v>
      </c>
      <c r="H2979" s="10">
        <v>45673.855266203696</v>
      </c>
      <c r="I2979" s="10">
        <v>45673.855266203696</v>
      </c>
      <c r="J2979" s="10">
        <v>45673.856574074067</v>
      </c>
      <c r="K2979" s="11">
        <v>1.30787037037037E-3</v>
      </c>
      <c r="L2979" s="13"/>
    </row>
    <row r="2980" spans="1:12" x14ac:dyDescent="0.25">
      <c r="A2980" s="3" t="s">
        <v>3225</v>
      </c>
      <c r="B2980" s="3" t="s">
        <v>6239</v>
      </c>
      <c r="C2980" s="3" t="s">
        <v>1963</v>
      </c>
      <c r="D2980" s="9">
        <v>15.7</v>
      </c>
      <c r="E2980" s="3" t="s">
        <v>139</v>
      </c>
      <c r="F2980" s="3" t="s">
        <v>3206</v>
      </c>
      <c r="G2980" s="9">
        <v>378.4</v>
      </c>
      <c r="H2980" s="10">
        <v>45673.856574074067</v>
      </c>
      <c r="I2980" s="10">
        <v>45673.856574074067</v>
      </c>
      <c r="J2980" s="10">
        <v>45673.858194444438</v>
      </c>
      <c r="K2980" s="11">
        <v>1.6203703703703701E-3</v>
      </c>
      <c r="L2980" s="13"/>
    </row>
    <row r="2981" spans="1:12" x14ac:dyDescent="0.25">
      <c r="A2981" s="3" t="s">
        <v>3225</v>
      </c>
      <c r="B2981" s="3" t="s">
        <v>6240</v>
      </c>
      <c r="C2981" s="3" t="s">
        <v>1965</v>
      </c>
      <c r="D2981" s="9">
        <v>19.899999999999999</v>
      </c>
      <c r="E2981" s="3" t="s">
        <v>139</v>
      </c>
      <c r="F2981" s="3" t="s">
        <v>3195</v>
      </c>
      <c r="G2981" s="9">
        <v>405.43</v>
      </c>
      <c r="H2981" s="10">
        <v>45673.858194444438</v>
      </c>
      <c r="I2981" s="10">
        <v>45673.858194444438</v>
      </c>
      <c r="J2981" s="10">
        <v>45673.859930555547</v>
      </c>
      <c r="K2981" s="11">
        <v>1.736111111111111E-3</v>
      </c>
      <c r="L2981" s="13"/>
    </row>
    <row r="2982" spans="1:12" x14ac:dyDescent="0.25">
      <c r="A2982" s="3" t="s">
        <v>3225</v>
      </c>
      <c r="B2982" s="3" t="s">
        <v>6241</v>
      </c>
      <c r="C2982" s="3" t="s">
        <v>1968</v>
      </c>
      <c r="D2982" s="9">
        <v>145.9</v>
      </c>
      <c r="E2982" s="3" t="s">
        <v>139</v>
      </c>
      <c r="F2982" s="3" t="s">
        <v>3195</v>
      </c>
      <c r="G2982" s="9">
        <v>405.43</v>
      </c>
      <c r="H2982" s="10">
        <v>45674.124525462961</v>
      </c>
      <c r="I2982" s="10">
        <v>45674.124525462961</v>
      </c>
      <c r="J2982" s="10">
        <v>45674.126550925917</v>
      </c>
      <c r="K2982" s="11">
        <v>2.0254629629629629E-3</v>
      </c>
      <c r="L2982" s="13"/>
    </row>
    <row r="2983" spans="1:12" x14ac:dyDescent="0.25">
      <c r="A2983" s="3" t="s">
        <v>3225</v>
      </c>
      <c r="B2983" s="3" t="s">
        <v>6242</v>
      </c>
      <c r="C2983" s="3" t="s">
        <v>1970</v>
      </c>
      <c r="D2983" s="9">
        <v>15.7</v>
      </c>
      <c r="E2983" s="3" t="s">
        <v>139</v>
      </c>
      <c r="F2983" s="3" t="s">
        <v>3199</v>
      </c>
      <c r="G2983" s="9">
        <v>450.42</v>
      </c>
      <c r="H2983" s="10">
        <v>45674.126550925917</v>
      </c>
      <c r="I2983" s="10">
        <v>45674.126550925917</v>
      </c>
      <c r="J2983" s="10">
        <v>45674.128472222219</v>
      </c>
      <c r="K2983" s="11">
        <v>1.9212962962962959E-3</v>
      </c>
      <c r="L2983" s="13"/>
    </row>
    <row r="2984" spans="1:12" x14ac:dyDescent="0.25">
      <c r="A2984" s="3" t="s">
        <v>3225</v>
      </c>
      <c r="B2984" s="3" t="s">
        <v>6243</v>
      </c>
      <c r="C2984" s="3" t="s">
        <v>1972</v>
      </c>
      <c r="D2984" s="9">
        <v>12</v>
      </c>
      <c r="E2984" s="3" t="s">
        <v>139</v>
      </c>
      <c r="F2984" s="3" t="s">
        <v>3194</v>
      </c>
      <c r="G2984" s="9">
        <v>459.96</v>
      </c>
      <c r="H2984" s="10">
        <v>45674.128472222219</v>
      </c>
      <c r="I2984" s="10">
        <v>45674.128472222219</v>
      </c>
      <c r="J2984" s="10">
        <v>45674.13040509259</v>
      </c>
      <c r="K2984" s="11">
        <v>1.93287037037037E-3</v>
      </c>
      <c r="L2984" s="13"/>
    </row>
    <row r="2985" spans="1:12" x14ac:dyDescent="0.25">
      <c r="A2985" s="3" t="s">
        <v>3225</v>
      </c>
      <c r="B2985" s="3" t="s">
        <v>6244</v>
      </c>
      <c r="C2985" s="3" t="s">
        <v>1975</v>
      </c>
      <c r="D2985" s="9">
        <v>35.6</v>
      </c>
      <c r="E2985" s="3" t="s">
        <v>139</v>
      </c>
      <c r="F2985" s="3" t="s">
        <v>3198</v>
      </c>
      <c r="G2985" s="9">
        <v>350.87</v>
      </c>
      <c r="H2985" s="10">
        <v>45674.13040509259</v>
      </c>
      <c r="I2985" s="10">
        <v>45674.13040509259</v>
      </c>
      <c r="J2985" s="10">
        <v>45674.131956018522</v>
      </c>
      <c r="K2985" s="11">
        <v>1.5509259259259261E-3</v>
      </c>
      <c r="L2985" s="13"/>
    </row>
    <row r="2986" spans="1:12" x14ac:dyDescent="0.25">
      <c r="A2986" s="3" t="s">
        <v>3225</v>
      </c>
      <c r="B2986" s="3" t="s">
        <v>6245</v>
      </c>
      <c r="C2986" s="3" t="s">
        <v>1977</v>
      </c>
      <c r="D2986" s="9">
        <v>513.29999999999995</v>
      </c>
      <c r="E2986" s="3" t="s">
        <v>139</v>
      </c>
      <c r="F2986" s="3" t="s">
        <v>3197</v>
      </c>
      <c r="G2986" s="9">
        <v>459.96</v>
      </c>
      <c r="H2986" s="10">
        <v>45674.194618055553</v>
      </c>
      <c r="I2986" s="10">
        <v>45674.194618055553</v>
      </c>
      <c r="J2986" s="10">
        <v>45674.19771990741</v>
      </c>
      <c r="K2986" s="11">
        <v>3.1018518518518522E-3</v>
      </c>
      <c r="L2986" s="13"/>
    </row>
    <row r="2987" spans="1:12" x14ac:dyDescent="0.25">
      <c r="A2987" s="3" t="s">
        <v>3225</v>
      </c>
      <c r="B2987" s="3" t="s">
        <v>6246</v>
      </c>
      <c r="C2987" s="3" t="s">
        <v>1979</v>
      </c>
      <c r="D2987" s="9">
        <v>297</v>
      </c>
      <c r="E2987" s="3" t="s">
        <v>139</v>
      </c>
      <c r="F2987" s="3" t="s">
        <v>3193</v>
      </c>
      <c r="G2987" s="9">
        <v>297.43</v>
      </c>
      <c r="H2987" s="10">
        <v>45674.277858796297</v>
      </c>
      <c r="I2987" s="10">
        <v>45674.277858796297</v>
      </c>
      <c r="J2987" s="10">
        <v>45674.279780092591</v>
      </c>
      <c r="K2987" s="11">
        <v>1.9212962962962959E-3</v>
      </c>
      <c r="L2987" s="13"/>
    </row>
    <row r="2988" spans="1:12" x14ac:dyDescent="0.25">
      <c r="A2988" s="3" t="s">
        <v>3225</v>
      </c>
      <c r="B2988" s="3" t="s">
        <v>6247</v>
      </c>
      <c r="C2988" s="3" t="s">
        <v>1981</v>
      </c>
      <c r="D2988" s="9">
        <v>43.1</v>
      </c>
      <c r="E2988" s="3" t="s">
        <v>139</v>
      </c>
      <c r="F2988" s="3" t="s">
        <v>3200</v>
      </c>
      <c r="G2988" s="9">
        <v>405.03</v>
      </c>
      <c r="H2988" s="10">
        <v>45674.307500000003</v>
      </c>
      <c r="I2988" s="10">
        <v>45674.307500000003</v>
      </c>
      <c r="J2988" s="10">
        <v>45674.309293981481</v>
      </c>
      <c r="K2988" s="11">
        <v>1.793981481481481E-3</v>
      </c>
      <c r="L2988" s="13"/>
    </row>
    <row r="2989" spans="1:12" x14ac:dyDescent="0.25">
      <c r="A2989" s="3" t="s">
        <v>3225</v>
      </c>
      <c r="B2989" s="3" t="s">
        <v>6248</v>
      </c>
      <c r="C2989" s="3" t="s">
        <v>1983</v>
      </c>
      <c r="D2989" s="9">
        <v>147.69999999999999</v>
      </c>
      <c r="E2989" s="3" t="s">
        <v>139</v>
      </c>
      <c r="F2989" s="3" t="s">
        <v>3204</v>
      </c>
      <c r="G2989" s="9">
        <v>477.75</v>
      </c>
      <c r="H2989" s="10">
        <v>45674.309293981481</v>
      </c>
      <c r="I2989" s="10">
        <v>45674.309293981481</v>
      </c>
      <c r="J2989" s="10">
        <v>45674.311620370368</v>
      </c>
      <c r="K2989" s="11">
        <v>2.3263888888888891E-3</v>
      </c>
      <c r="L2989" s="13"/>
    </row>
    <row r="2990" spans="1:12" x14ac:dyDescent="0.25">
      <c r="A2990" s="3" t="s">
        <v>3225</v>
      </c>
      <c r="B2990" s="3" t="s">
        <v>6249</v>
      </c>
      <c r="C2990" s="3" t="s">
        <v>1986</v>
      </c>
      <c r="D2990" s="9">
        <v>15.7</v>
      </c>
      <c r="E2990" s="3" t="s">
        <v>139</v>
      </c>
      <c r="F2990" s="3" t="s">
        <v>3201</v>
      </c>
      <c r="G2990" s="9">
        <v>412.05</v>
      </c>
      <c r="H2990" s="10">
        <v>45674.311620370368</v>
      </c>
      <c r="I2990" s="10">
        <v>45674.311620370368</v>
      </c>
      <c r="J2990" s="10">
        <v>45674.313379629632</v>
      </c>
      <c r="K2990" s="11">
        <v>1.759259259259259E-3</v>
      </c>
      <c r="L2990" s="13"/>
    </row>
    <row r="2991" spans="1:12" x14ac:dyDescent="0.25">
      <c r="A2991" s="3" t="s">
        <v>3225</v>
      </c>
      <c r="B2991" s="3" t="s">
        <v>6250</v>
      </c>
      <c r="C2991" s="3" t="s">
        <v>1988</v>
      </c>
      <c r="D2991" s="9">
        <v>51.4</v>
      </c>
      <c r="E2991" s="3" t="s">
        <v>139</v>
      </c>
      <c r="F2991" s="3" t="s">
        <v>3203</v>
      </c>
      <c r="G2991" s="9">
        <v>269.92</v>
      </c>
      <c r="H2991" s="10">
        <v>45674.313379629632</v>
      </c>
      <c r="I2991" s="10">
        <v>45674.313379629632</v>
      </c>
      <c r="J2991" s="10">
        <v>45674.314618055563</v>
      </c>
      <c r="K2991" s="11">
        <v>1.238425925925926E-3</v>
      </c>
      <c r="L2991" s="13"/>
    </row>
    <row r="2992" spans="1:12" x14ac:dyDescent="0.25">
      <c r="A2992" s="3" t="s">
        <v>3225</v>
      </c>
      <c r="B2992" s="3" t="s">
        <v>6251</v>
      </c>
      <c r="C2992" s="3" t="s">
        <v>1990</v>
      </c>
      <c r="D2992" s="9">
        <v>15.7</v>
      </c>
      <c r="E2992" s="3" t="s">
        <v>139</v>
      </c>
      <c r="F2992" s="3" t="s">
        <v>3206</v>
      </c>
      <c r="G2992" s="9">
        <v>378.4</v>
      </c>
      <c r="H2992" s="10">
        <v>45674.314618055563</v>
      </c>
      <c r="I2992" s="10">
        <v>45674.314618055563</v>
      </c>
      <c r="J2992" s="10">
        <v>45674.316238425927</v>
      </c>
      <c r="K2992" s="11">
        <v>1.6203703703703701E-3</v>
      </c>
      <c r="L2992" s="13"/>
    </row>
    <row r="2993" spans="1:12" x14ac:dyDescent="0.25">
      <c r="A2993" s="3" t="s">
        <v>3225</v>
      </c>
      <c r="B2993" s="3" t="s">
        <v>6252</v>
      </c>
      <c r="C2993" s="3" t="s">
        <v>1993</v>
      </c>
      <c r="D2993" s="9">
        <v>73.900000000000006</v>
      </c>
      <c r="E2993" s="3" t="s">
        <v>139</v>
      </c>
      <c r="F2993" s="3" t="s">
        <v>3196</v>
      </c>
      <c r="G2993" s="9">
        <v>450.42</v>
      </c>
      <c r="H2993" s="10">
        <v>45674.316238425927</v>
      </c>
      <c r="I2993" s="10">
        <v>45674.316238425927</v>
      </c>
      <c r="J2993" s="10">
        <v>45674.318287037036</v>
      </c>
      <c r="K2993" s="11">
        <v>2.0486111111111109E-3</v>
      </c>
      <c r="L2993" s="13"/>
    </row>
    <row r="2994" spans="1:12" x14ac:dyDescent="0.25">
      <c r="A2994" s="3" t="s">
        <v>3225</v>
      </c>
      <c r="B2994" s="3" t="s">
        <v>6253</v>
      </c>
      <c r="C2994" s="3" t="s">
        <v>1996</v>
      </c>
      <c r="D2994" s="9">
        <v>15.7</v>
      </c>
      <c r="E2994" s="3" t="s">
        <v>139</v>
      </c>
      <c r="F2994" s="3" t="s">
        <v>3197</v>
      </c>
      <c r="G2994" s="9">
        <v>459.96</v>
      </c>
      <c r="H2994" s="10">
        <v>45674.318287037036</v>
      </c>
      <c r="I2994" s="10">
        <v>45674.318287037036</v>
      </c>
      <c r="J2994" s="10">
        <v>45674.320231481477</v>
      </c>
      <c r="K2994" s="11">
        <v>1.944444444444444E-3</v>
      </c>
      <c r="L2994" s="13"/>
    </row>
    <row r="2995" spans="1:12" x14ac:dyDescent="0.25">
      <c r="A2995" s="3" t="s">
        <v>3225</v>
      </c>
      <c r="B2995" s="3" t="s">
        <v>6254</v>
      </c>
      <c r="C2995" s="3" t="s">
        <v>1999</v>
      </c>
      <c r="D2995" s="9">
        <v>116.9</v>
      </c>
      <c r="E2995" s="3" t="s">
        <v>139</v>
      </c>
      <c r="F2995" s="3" t="s">
        <v>3194</v>
      </c>
      <c r="G2995" s="9">
        <v>459.96</v>
      </c>
      <c r="H2995" s="10">
        <v>45674.320231481477</v>
      </c>
      <c r="I2995" s="10">
        <v>45674.320231481477</v>
      </c>
      <c r="J2995" s="10">
        <v>45674.322418981479</v>
      </c>
      <c r="K2995" s="11">
        <v>2.1875000000000002E-3</v>
      </c>
      <c r="L2995" s="13"/>
    </row>
    <row r="2996" spans="1:12" x14ac:dyDescent="0.25">
      <c r="A2996" s="3" t="s">
        <v>3225</v>
      </c>
      <c r="B2996" s="3" t="s">
        <v>6255</v>
      </c>
      <c r="C2996" s="3" t="s">
        <v>2001</v>
      </c>
      <c r="D2996" s="9">
        <v>12</v>
      </c>
      <c r="E2996" s="3" t="s">
        <v>139</v>
      </c>
      <c r="F2996" s="3" t="s">
        <v>3194</v>
      </c>
      <c r="G2996" s="9">
        <v>459.96</v>
      </c>
      <c r="H2996" s="10">
        <v>45674.322418981479</v>
      </c>
      <c r="I2996" s="10">
        <v>45674.322418981479</v>
      </c>
      <c r="J2996" s="10">
        <v>45674.324363425927</v>
      </c>
      <c r="K2996" s="11">
        <v>1.944444444444444E-3</v>
      </c>
      <c r="L2996" s="13"/>
    </row>
    <row r="2997" spans="1:12" x14ac:dyDescent="0.25">
      <c r="A2997" s="3" t="s">
        <v>3225</v>
      </c>
      <c r="B2997" s="3" t="s">
        <v>6256</v>
      </c>
      <c r="C2997" s="3" t="s">
        <v>2003</v>
      </c>
      <c r="D2997" s="9">
        <v>339.8</v>
      </c>
      <c r="E2997" s="3" t="s">
        <v>142</v>
      </c>
      <c r="F2997" s="3" t="s">
        <v>3205</v>
      </c>
      <c r="G2997" s="9">
        <v>292.27999999999997</v>
      </c>
      <c r="H2997" s="10">
        <v>45674.325162037043</v>
      </c>
      <c r="I2997" s="10">
        <v>45674.325162037043</v>
      </c>
      <c r="J2997" s="10">
        <v>45674.327164351853</v>
      </c>
      <c r="K2997" s="11">
        <v>2.0023148148148148E-3</v>
      </c>
      <c r="L2997" s="13"/>
    </row>
    <row r="2998" spans="1:12" x14ac:dyDescent="0.25">
      <c r="A2998" s="3" t="s">
        <v>3225</v>
      </c>
      <c r="B2998" s="3" t="s">
        <v>6257</v>
      </c>
      <c r="C2998" s="3" t="s">
        <v>2006</v>
      </c>
      <c r="D2998" s="9">
        <v>287.89999999999998</v>
      </c>
      <c r="E2998" s="3" t="s">
        <v>139</v>
      </c>
      <c r="F2998" s="3" t="s">
        <v>3201</v>
      </c>
      <c r="G2998" s="9">
        <v>412.05</v>
      </c>
      <c r="H2998" s="10">
        <v>45674.340509259258</v>
      </c>
      <c r="I2998" s="10">
        <v>45674.340509259258</v>
      </c>
      <c r="J2998" s="10">
        <v>45674.342893518522</v>
      </c>
      <c r="K2998" s="11">
        <v>2.3842592592592591E-3</v>
      </c>
      <c r="L2998" s="13"/>
    </row>
    <row r="2999" spans="1:12" x14ac:dyDescent="0.25">
      <c r="A2999" s="3" t="s">
        <v>3225</v>
      </c>
      <c r="B2999" s="3" t="s">
        <v>6258</v>
      </c>
      <c r="C2999" s="3" t="s">
        <v>2033</v>
      </c>
      <c r="D2999" s="9">
        <v>173.3</v>
      </c>
      <c r="E2999" s="3" t="s">
        <v>139</v>
      </c>
      <c r="F2999" s="3" t="s">
        <v>3203</v>
      </c>
      <c r="G2999" s="9">
        <v>269.92</v>
      </c>
      <c r="H2999" s="10">
        <v>45674.375914351847</v>
      </c>
      <c r="I2999" s="10">
        <v>45674.375914351847</v>
      </c>
      <c r="J2999" s="10">
        <v>45674.377442129633</v>
      </c>
      <c r="K2999" s="11">
        <v>1.5277777777777781E-3</v>
      </c>
      <c r="L2999" s="13"/>
    </row>
    <row r="3000" spans="1:12" x14ac:dyDescent="0.25">
      <c r="A3000" s="3" t="s">
        <v>3225</v>
      </c>
      <c r="B3000" s="3" t="s">
        <v>6259</v>
      </c>
      <c r="C3000" s="3" t="s">
        <v>2008</v>
      </c>
      <c r="D3000" s="9">
        <v>15.7</v>
      </c>
      <c r="E3000" s="3" t="s">
        <v>142</v>
      </c>
      <c r="F3000" s="3" t="s">
        <v>3195</v>
      </c>
      <c r="G3000" s="9">
        <v>398.6</v>
      </c>
      <c r="H3000" s="10">
        <v>45674.379745370366</v>
      </c>
      <c r="I3000" s="10">
        <v>45674.379745370366</v>
      </c>
      <c r="J3000" s="10">
        <v>45674.38144675926</v>
      </c>
      <c r="K3000" s="11">
        <v>1.701388888888889E-3</v>
      </c>
      <c r="L3000" s="13"/>
    </row>
    <row r="3001" spans="1:12" x14ac:dyDescent="0.25">
      <c r="A3001" s="3" t="s">
        <v>3225</v>
      </c>
      <c r="B3001" s="3" t="s">
        <v>6260</v>
      </c>
      <c r="C3001" s="3" t="s">
        <v>2011</v>
      </c>
      <c r="D3001" s="9">
        <v>240.6</v>
      </c>
      <c r="E3001" s="3" t="s">
        <v>142</v>
      </c>
      <c r="F3001" s="3" t="s">
        <v>3206</v>
      </c>
      <c r="G3001" s="9">
        <v>371.57</v>
      </c>
      <c r="H3001" s="10">
        <v>45674.38144675926</v>
      </c>
      <c r="I3001" s="10">
        <v>45674.38144675926</v>
      </c>
      <c r="J3001" s="10">
        <v>45674.383553240739</v>
      </c>
      <c r="K3001" s="11">
        <v>2.1064814814814809E-3</v>
      </c>
      <c r="L3001" s="13"/>
    </row>
    <row r="3002" spans="1:12" x14ac:dyDescent="0.25">
      <c r="A3002" s="3" t="s">
        <v>3225</v>
      </c>
      <c r="B3002" s="3" t="s">
        <v>6261</v>
      </c>
      <c r="C3002" s="3" t="s">
        <v>2013</v>
      </c>
      <c r="D3002" s="9">
        <v>19.899999999999999</v>
      </c>
      <c r="E3002" s="3" t="s">
        <v>142</v>
      </c>
      <c r="F3002" s="3" t="s">
        <v>3198</v>
      </c>
      <c r="G3002" s="9">
        <v>344.04</v>
      </c>
      <c r="H3002" s="10">
        <v>45674.383553240739</v>
      </c>
      <c r="I3002" s="10">
        <v>45674.383553240739</v>
      </c>
      <c r="J3002" s="10">
        <v>45674.385034722232</v>
      </c>
      <c r="K3002" s="11">
        <v>1.481481481481481E-3</v>
      </c>
      <c r="L3002" s="13"/>
    </row>
    <row r="3003" spans="1:12" x14ac:dyDescent="0.25">
      <c r="A3003" s="3" t="s">
        <v>3225</v>
      </c>
      <c r="B3003" s="3" t="s">
        <v>6262</v>
      </c>
      <c r="C3003" s="3" t="s">
        <v>2016</v>
      </c>
      <c r="D3003" s="9">
        <v>15.7</v>
      </c>
      <c r="E3003" s="3" t="s">
        <v>142</v>
      </c>
      <c r="F3003" s="3" t="s">
        <v>3197</v>
      </c>
      <c r="G3003" s="9">
        <v>453.13</v>
      </c>
      <c r="H3003" s="10">
        <v>45674.385034722232</v>
      </c>
      <c r="I3003" s="10">
        <v>45674.385034722232</v>
      </c>
      <c r="J3003" s="10">
        <v>45674.386956018519</v>
      </c>
      <c r="K3003" s="11">
        <v>1.9212962962962959E-3</v>
      </c>
      <c r="L3003" s="13"/>
    </row>
    <row r="3004" spans="1:12" x14ac:dyDescent="0.25">
      <c r="A3004" s="3" t="s">
        <v>3225</v>
      </c>
      <c r="B3004" s="3" t="s">
        <v>6263</v>
      </c>
      <c r="C3004" s="3" t="s">
        <v>2018</v>
      </c>
      <c r="D3004" s="9">
        <v>47.2</v>
      </c>
      <c r="E3004" s="3" t="s">
        <v>142</v>
      </c>
      <c r="F3004" s="3" t="s">
        <v>3204</v>
      </c>
      <c r="G3004" s="9">
        <v>470.92</v>
      </c>
      <c r="H3004" s="10">
        <v>45674.386956018519</v>
      </c>
      <c r="I3004" s="10">
        <v>45674.386956018519</v>
      </c>
      <c r="J3004" s="10">
        <v>45674.389027777783</v>
      </c>
      <c r="K3004" s="11">
        <v>2.0717592592592589E-3</v>
      </c>
      <c r="L3004" s="13"/>
    </row>
    <row r="3005" spans="1:12" x14ac:dyDescent="0.25">
      <c r="A3005" s="3" t="s">
        <v>3225</v>
      </c>
      <c r="B3005" s="3" t="s">
        <v>6264</v>
      </c>
      <c r="C3005" s="3" t="s">
        <v>2021</v>
      </c>
      <c r="D3005" s="9">
        <v>14</v>
      </c>
      <c r="E3005" s="3" t="s">
        <v>142</v>
      </c>
      <c r="F3005" s="3" t="s">
        <v>3202</v>
      </c>
      <c r="G3005" s="9">
        <v>317.52</v>
      </c>
      <c r="H3005" s="10">
        <v>45674.389027777783</v>
      </c>
      <c r="I3005" s="10">
        <v>45674.389027777783</v>
      </c>
      <c r="J3005" s="10">
        <v>45674.390381944453</v>
      </c>
      <c r="K3005" s="11">
        <v>1.3541666666666669E-3</v>
      </c>
      <c r="L3005" s="13"/>
    </row>
    <row r="3006" spans="1:12" x14ac:dyDescent="0.25">
      <c r="A3006" s="3" t="s">
        <v>3225</v>
      </c>
      <c r="B3006" s="3" t="s">
        <v>6265</v>
      </c>
      <c r="C3006" s="3" t="s">
        <v>2023</v>
      </c>
      <c r="D3006" s="9">
        <v>15.7</v>
      </c>
      <c r="E3006" s="3" t="s">
        <v>142</v>
      </c>
      <c r="F3006" s="3" t="s">
        <v>3206</v>
      </c>
      <c r="G3006" s="9">
        <v>371.57</v>
      </c>
      <c r="H3006" s="10">
        <v>45674.390381944453</v>
      </c>
      <c r="I3006" s="10">
        <v>45674.390381944453</v>
      </c>
      <c r="J3006" s="10">
        <v>45674.391967592594</v>
      </c>
      <c r="K3006" s="11">
        <v>1.5856481481481481E-3</v>
      </c>
      <c r="L3006" s="13"/>
    </row>
    <row r="3007" spans="1:12" x14ac:dyDescent="0.25">
      <c r="A3007" s="3" t="s">
        <v>3225</v>
      </c>
      <c r="B3007" s="3" t="s">
        <v>6266</v>
      </c>
      <c r="C3007" s="3" t="s">
        <v>2026</v>
      </c>
      <c r="D3007" s="9">
        <v>94.9</v>
      </c>
      <c r="E3007" s="3" t="s">
        <v>142</v>
      </c>
      <c r="F3007" s="3" t="s">
        <v>3196</v>
      </c>
      <c r="G3007" s="9">
        <v>443.59</v>
      </c>
      <c r="H3007" s="10">
        <v>45674.391967592594</v>
      </c>
      <c r="I3007" s="10">
        <v>45674.391967592594</v>
      </c>
      <c r="J3007" s="10">
        <v>45674.39403935185</v>
      </c>
      <c r="K3007" s="11">
        <v>2.0717592592592589E-3</v>
      </c>
      <c r="L3007" s="13"/>
    </row>
    <row r="3008" spans="1:12" x14ac:dyDescent="0.25">
      <c r="A3008" s="3" t="s">
        <v>3225</v>
      </c>
      <c r="B3008" s="3" t="s">
        <v>6267</v>
      </c>
      <c r="C3008" s="3" t="s">
        <v>2028</v>
      </c>
      <c r="D3008" s="9">
        <v>81</v>
      </c>
      <c r="E3008" s="3" t="s">
        <v>142</v>
      </c>
      <c r="F3008" s="3" t="s">
        <v>3199</v>
      </c>
      <c r="G3008" s="9">
        <v>443.59</v>
      </c>
      <c r="H3008" s="10">
        <v>45674.39403935185</v>
      </c>
      <c r="I3008" s="10">
        <v>45674.39403935185</v>
      </c>
      <c r="J3008" s="10">
        <v>45674.39607638889</v>
      </c>
      <c r="K3008" s="11">
        <v>2.0370370370370369E-3</v>
      </c>
      <c r="L3008" s="13"/>
    </row>
    <row r="3009" spans="1:12" x14ac:dyDescent="0.25">
      <c r="A3009" s="3" t="s">
        <v>3225</v>
      </c>
      <c r="B3009" s="3" t="s">
        <v>6268</v>
      </c>
      <c r="C3009" s="3" t="s">
        <v>2030</v>
      </c>
      <c r="D3009" s="9">
        <v>15.7</v>
      </c>
      <c r="E3009" s="3" t="s">
        <v>142</v>
      </c>
      <c r="F3009" s="3" t="s">
        <v>3196</v>
      </c>
      <c r="G3009" s="9">
        <v>443.59</v>
      </c>
      <c r="H3009" s="10">
        <v>45674.39607638889</v>
      </c>
      <c r="I3009" s="10">
        <v>45674.39607638889</v>
      </c>
      <c r="J3009" s="10">
        <v>45674.397951388892</v>
      </c>
      <c r="K3009" s="11">
        <v>1.8749999999999999E-3</v>
      </c>
      <c r="L3009" s="13"/>
    </row>
    <row r="3010" spans="1:12" x14ac:dyDescent="0.25">
      <c r="A3010" s="3" t="s">
        <v>3225</v>
      </c>
      <c r="B3010" s="3" t="s">
        <v>6269</v>
      </c>
      <c r="C3010" s="3" t="s">
        <v>2036</v>
      </c>
      <c r="D3010" s="9">
        <v>21</v>
      </c>
      <c r="E3010" s="3" t="s">
        <v>139</v>
      </c>
      <c r="F3010" s="3" t="s">
        <v>3203</v>
      </c>
      <c r="G3010" s="9">
        <v>269.92</v>
      </c>
      <c r="H3010" s="10">
        <v>45674.434305555558</v>
      </c>
      <c r="I3010" s="10">
        <v>45674.434305555558</v>
      </c>
      <c r="J3010" s="10">
        <v>45674.435474537036</v>
      </c>
      <c r="K3010" s="11">
        <v>1.168981481481482E-3</v>
      </c>
      <c r="L3010" s="13"/>
    </row>
    <row r="3011" spans="1:12" x14ac:dyDescent="0.25">
      <c r="A3011" s="3" t="s">
        <v>3225</v>
      </c>
      <c r="B3011" s="3" t="s">
        <v>6270</v>
      </c>
      <c r="C3011" s="3" t="s">
        <v>2040</v>
      </c>
      <c r="D3011" s="9">
        <v>238.4</v>
      </c>
      <c r="E3011" s="3" t="s">
        <v>139</v>
      </c>
      <c r="F3011" s="3" t="s">
        <v>3193</v>
      </c>
      <c r="G3011" s="9">
        <v>297.43</v>
      </c>
      <c r="H3011" s="10">
        <v>45674.541956018518</v>
      </c>
      <c r="I3011" s="10">
        <v>45674.541956018518</v>
      </c>
      <c r="J3011" s="10">
        <v>45674.543749999997</v>
      </c>
      <c r="K3011" s="11">
        <v>1.793981481481481E-3</v>
      </c>
      <c r="L3011" s="13"/>
    </row>
    <row r="3012" spans="1:12" x14ac:dyDescent="0.25">
      <c r="A3012" s="3" t="s">
        <v>3225</v>
      </c>
      <c r="B3012" s="3" t="s">
        <v>6271</v>
      </c>
      <c r="C3012" s="3" t="s">
        <v>2043</v>
      </c>
      <c r="D3012" s="9">
        <v>220.4</v>
      </c>
      <c r="E3012" s="3" t="s">
        <v>139</v>
      </c>
      <c r="F3012" s="3" t="s">
        <v>3204</v>
      </c>
      <c r="G3012" s="9">
        <v>477.75</v>
      </c>
      <c r="H3012" s="10">
        <v>45674.655312499999</v>
      </c>
      <c r="I3012" s="10">
        <v>45674.655312499999</v>
      </c>
      <c r="J3012" s="10">
        <v>45674.657824074071</v>
      </c>
      <c r="K3012" s="11">
        <v>2.5115740740740741E-3</v>
      </c>
      <c r="L3012" s="13"/>
    </row>
    <row r="3013" spans="1:12" x14ac:dyDescent="0.25">
      <c r="A3013" s="3" t="s">
        <v>3225</v>
      </c>
      <c r="B3013" s="3" t="s">
        <v>6272</v>
      </c>
      <c r="C3013" s="3" t="s">
        <v>2045</v>
      </c>
      <c r="D3013" s="9">
        <v>302.10000000000002</v>
      </c>
      <c r="E3013" s="3" t="s">
        <v>139</v>
      </c>
      <c r="F3013" s="3" t="s">
        <v>3203</v>
      </c>
      <c r="G3013" s="9">
        <v>269.92</v>
      </c>
      <c r="H3013" s="10">
        <v>45674.737337962957</v>
      </c>
      <c r="I3013" s="10">
        <v>45674.737337962957</v>
      </c>
      <c r="J3013" s="10">
        <v>45674.739166666674</v>
      </c>
      <c r="K3013" s="11">
        <v>1.8287037037037039E-3</v>
      </c>
      <c r="L3013" s="13"/>
    </row>
    <row r="3014" spans="1:12" x14ac:dyDescent="0.25">
      <c r="A3014" s="3" t="s">
        <v>3225</v>
      </c>
      <c r="B3014" s="3" t="s">
        <v>6273</v>
      </c>
      <c r="C3014" s="3" t="s">
        <v>2047</v>
      </c>
      <c r="D3014" s="9">
        <v>110.2</v>
      </c>
      <c r="E3014" s="3" t="s">
        <v>139</v>
      </c>
      <c r="F3014" s="3" t="s">
        <v>3197</v>
      </c>
      <c r="G3014" s="9">
        <v>459.96</v>
      </c>
      <c r="H3014" s="10">
        <v>45674.756203703713</v>
      </c>
      <c r="I3014" s="10">
        <v>45674.756203703713</v>
      </c>
      <c r="J3014" s="10">
        <v>45674.758379629631</v>
      </c>
      <c r="K3014" s="11">
        <v>2.1759259259259262E-3</v>
      </c>
      <c r="L3014" s="13"/>
    </row>
    <row r="3015" spans="1:12" x14ac:dyDescent="0.25">
      <c r="A3015" s="3" t="s">
        <v>3225</v>
      </c>
      <c r="B3015" s="3" t="s">
        <v>6274</v>
      </c>
      <c r="C3015" s="3" t="s">
        <v>2049</v>
      </c>
      <c r="D3015" s="9">
        <v>15.7</v>
      </c>
      <c r="E3015" s="3" t="s">
        <v>139</v>
      </c>
      <c r="F3015" s="3" t="s">
        <v>3204</v>
      </c>
      <c r="G3015" s="9">
        <v>477.75</v>
      </c>
      <c r="H3015" s="10">
        <v>45674.853275462963</v>
      </c>
      <c r="I3015" s="10">
        <v>45674.853275462963</v>
      </c>
      <c r="J3015" s="10">
        <v>45674.855300925927</v>
      </c>
      <c r="K3015" s="11">
        <v>2.0254629629629629E-3</v>
      </c>
      <c r="L3015" s="13"/>
    </row>
    <row r="3016" spans="1:12" x14ac:dyDescent="0.25">
      <c r="A3016" s="3" t="s">
        <v>3225</v>
      </c>
      <c r="B3016" s="3" t="s">
        <v>6275</v>
      </c>
      <c r="C3016" s="3" t="s">
        <v>2052</v>
      </c>
      <c r="D3016" s="9">
        <v>36.4</v>
      </c>
      <c r="E3016" s="3" t="s">
        <v>139</v>
      </c>
      <c r="F3016" s="3" t="s">
        <v>3200</v>
      </c>
      <c r="G3016" s="9">
        <v>405.03</v>
      </c>
      <c r="H3016" s="10">
        <v>45674.855300925927</v>
      </c>
      <c r="I3016" s="10">
        <v>45674.855300925927</v>
      </c>
      <c r="J3016" s="10">
        <v>45674.857071759259</v>
      </c>
      <c r="K3016" s="11">
        <v>1.770833333333333E-3</v>
      </c>
      <c r="L3016" s="13"/>
    </row>
    <row r="3017" spans="1:12" x14ac:dyDescent="0.25">
      <c r="A3017" s="3" t="s">
        <v>3225</v>
      </c>
      <c r="B3017" s="3" t="s">
        <v>6276</v>
      </c>
      <c r="C3017" s="3" t="s">
        <v>2055</v>
      </c>
      <c r="D3017" s="9">
        <v>19.899999999999999</v>
      </c>
      <c r="E3017" s="3" t="s">
        <v>139</v>
      </c>
      <c r="F3017" s="3" t="s">
        <v>3194</v>
      </c>
      <c r="G3017" s="9">
        <v>459.96</v>
      </c>
      <c r="H3017" s="10">
        <v>45674.857071759259</v>
      </c>
      <c r="I3017" s="10">
        <v>45674.857071759259</v>
      </c>
      <c r="J3017" s="10">
        <v>45674.859039351853</v>
      </c>
      <c r="K3017" s="11">
        <v>1.967592592592592E-3</v>
      </c>
      <c r="L3017" s="13"/>
    </row>
    <row r="3018" spans="1:12" x14ac:dyDescent="0.25">
      <c r="A3018" s="3" t="s">
        <v>3225</v>
      </c>
      <c r="B3018" s="3" t="s">
        <v>6277</v>
      </c>
      <c r="C3018" s="3" t="s">
        <v>2058</v>
      </c>
      <c r="D3018" s="9">
        <v>54</v>
      </c>
      <c r="E3018" s="3" t="s">
        <v>139</v>
      </c>
      <c r="F3018" s="3" t="s">
        <v>3205</v>
      </c>
      <c r="G3018" s="9">
        <v>299.11</v>
      </c>
      <c r="H3018" s="10">
        <v>45674.859039351853</v>
      </c>
      <c r="I3018" s="10">
        <v>45674.859039351853</v>
      </c>
      <c r="J3018" s="10">
        <v>45674.860405092593</v>
      </c>
      <c r="K3018" s="11">
        <v>1.3657407407407409E-3</v>
      </c>
      <c r="L3018" s="13"/>
    </row>
    <row r="3019" spans="1:12" x14ac:dyDescent="0.25">
      <c r="A3019" s="3" t="s">
        <v>3225</v>
      </c>
      <c r="B3019" s="3" t="s">
        <v>6278</v>
      </c>
      <c r="C3019" s="3" t="s">
        <v>2061</v>
      </c>
      <c r="D3019" s="9">
        <v>23.2</v>
      </c>
      <c r="E3019" s="3" t="s">
        <v>139</v>
      </c>
      <c r="F3019" s="3" t="s">
        <v>3196</v>
      </c>
      <c r="G3019" s="9">
        <v>450.42</v>
      </c>
      <c r="H3019" s="10">
        <v>45674.860405092593</v>
      </c>
      <c r="I3019" s="10">
        <v>45674.860405092593</v>
      </c>
      <c r="J3019" s="10">
        <v>45674.862337962957</v>
      </c>
      <c r="K3019" s="11">
        <v>1.93287037037037E-3</v>
      </c>
      <c r="L3019" s="13"/>
    </row>
    <row r="3020" spans="1:12" x14ac:dyDescent="0.25">
      <c r="A3020" s="3" t="s">
        <v>3225</v>
      </c>
      <c r="B3020" s="3" t="s">
        <v>6279</v>
      </c>
      <c r="C3020" s="3" t="s">
        <v>2064</v>
      </c>
      <c r="D3020" s="9">
        <v>155.9</v>
      </c>
      <c r="E3020" s="3" t="s">
        <v>139</v>
      </c>
      <c r="F3020" s="3" t="s">
        <v>3194</v>
      </c>
      <c r="G3020" s="9">
        <v>459.96</v>
      </c>
      <c r="H3020" s="10">
        <v>45674.862337962957</v>
      </c>
      <c r="I3020" s="10">
        <v>45674.862337962957</v>
      </c>
      <c r="J3020" s="10">
        <v>45674.864618055559</v>
      </c>
      <c r="K3020" s="11">
        <v>2.2800925925925931E-3</v>
      </c>
      <c r="L3020" s="13"/>
    </row>
    <row r="3021" spans="1:12" x14ac:dyDescent="0.25">
      <c r="A3021" s="3" t="s">
        <v>3225</v>
      </c>
      <c r="B3021" s="3" t="s">
        <v>6280</v>
      </c>
      <c r="C3021" s="3" t="s">
        <v>2066</v>
      </c>
      <c r="D3021" s="9">
        <v>19.899999999999999</v>
      </c>
      <c r="E3021" s="3" t="s">
        <v>139</v>
      </c>
      <c r="F3021" s="3" t="s">
        <v>3198</v>
      </c>
      <c r="G3021" s="9">
        <v>350.87</v>
      </c>
      <c r="H3021" s="10">
        <v>45674.864618055559</v>
      </c>
      <c r="I3021" s="10">
        <v>45674.864618055559</v>
      </c>
      <c r="J3021" s="10">
        <v>45674.866122685176</v>
      </c>
      <c r="K3021" s="11">
        <v>1.5046296296296301E-3</v>
      </c>
      <c r="L3021" s="13"/>
    </row>
    <row r="3022" spans="1:12" x14ac:dyDescent="0.25">
      <c r="A3022" s="3" t="s">
        <v>3225</v>
      </c>
      <c r="B3022" s="3" t="s">
        <v>6281</v>
      </c>
      <c r="C3022" s="3" t="s">
        <v>2069</v>
      </c>
      <c r="D3022" s="9">
        <v>179.2</v>
      </c>
      <c r="E3022" s="3" t="s">
        <v>139</v>
      </c>
      <c r="F3022" s="3" t="s">
        <v>3201</v>
      </c>
      <c r="G3022" s="9">
        <v>412.05</v>
      </c>
      <c r="H3022" s="10">
        <v>45675.028946759259</v>
      </c>
      <c r="I3022" s="10">
        <v>45675.028946759259</v>
      </c>
      <c r="J3022" s="10">
        <v>45675.031076388892</v>
      </c>
      <c r="K3022" s="11">
        <v>2.1296296296296302E-3</v>
      </c>
      <c r="L3022" s="13"/>
    </row>
    <row r="3023" spans="1:12" x14ac:dyDescent="0.25">
      <c r="A3023" s="3" t="s">
        <v>3225</v>
      </c>
      <c r="B3023" s="3" t="s">
        <v>6282</v>
      </c>
      <c r="C3023" s="3" t="s">
        <v>2072</v>
      </c>
      <c r="D3023" s="9">
        <v>54</v>
      </c>
      <c r="E3023" s="3" t="s">
        <v>139</v>
      </c>
      <c r="F3023" s="3" t="s">
        <v>3200</v>
      </c>
      <c r="G3023" s="9">
        <v>405.03</v>
      </c>
      <c r="H3023" s="10">
        <v>45675.031076388892</v>
      </c>
      <c r="I3023" s="10">
        <v>45675.031076388892</v>
      </c>
      <c r="J3023" s="10">
        <v>45675.032881944448</v>
      </c>
      <c r="K3023" s="11">
        <v>1.805555555555555E-3</v>
      </c>
      <c r="L3023" s="13"/>
    </row>
    <row r="3024" spans="1:12" x14ac:dyDescent="0.25">
      <c r="A3024" s="3" t="s">
        <v>3225</v>
      </c>
      <c r="B3024" s="3" t="s">
        <v>6283</v>
      </c>
      <c r="C3024" s="3" t="s">
        <v>2075</v>
      </c>
      <c r="D3024" s="9">
        <v>52.9</v>
      </c>
      <c r="E3024" s="3" t="s">
        <v>139</v>
      </c>
      <c r="F3024" s="3" t="s">
        <v>3200</v>
      </c>
      <c r="G3024" s="9">
        <v>405.03</v>
      </c>
      <c r="H3024" s="10">
        <v>45675.032881944448</v>
      </c>
      <c r="I3024" s="10">
        <v>45675.032881944448</v>
      </c>
      <c r="J3024" s="10">
        <v>45675.034699074073</v>
      </c>
      <c r="K3024" s="11">
        <v>1.8171296296296299E-3</v>
      </c>
      <c r="L3024" s="13"/>
    </row>
    <row r="3025" spans="1:12" x14ac:dyDescent="0.25">
      <c r="A3025" s="3" t="s">
        <v>3225</v>
      </c>
      <c r="B3025" s="3" t="s">
        <v>6284</v>
      </c>
      <c r="C3025" s="3" t="s">
        <v>2077</v>
      </c>
      <c r="D3025" s="9">
        <v>31.5</v>
      </c>
      <c r="E3025" s="3" t="s">
        <v>139</v>
      </c>
      <c r="F3025" s="3" t="s">
        <v>3204</v>
      </c>
      <c r="G3025" s="9">
        <v>477.75</v>
      </c>
      <c r="H3025" s="10">
        <v>45675.249259259261</v>
      </c>
      <c r="I3025" s="10">
        <v>45675.249259259261</v>
      </c>
      <c r="J3025" s="10">
        <v>45675.251331018517</v>
      </c>
      <c r="K3025" s="11">
        <v>2.0717592592592589E-3</v>
      </c>
      <c r="L3025" s="13"/>
    </row>
    <row r="3026" spans="1:12" x14ac:dyDescent="0.25">
      <c r="A3026" s="3" t="s">
        <v>3225</v>
      </c>
      <c r="B3026" s="3" t="s">
        <v>6285</v>
      </c>
      <c r="C3026" s="3" t="s">
        <v>2079</v>
      </c>
      <c r="D3026" s="9">
        <v>93.8</v>
      </c>
      <c r="E3026" s="3" t="s">
        <v>139</v>
      </c>
      <c r="F3026" s="3" t="s">
        <v>3203</v>
      </c>
      <c r="G3026" s="9">
        <v>269.92</v>
      </c>
      <c r="H3026" s="10">
        <v>45675.251331018517</v>
      </c>
      <c r="I3026" s="10">
        <v>45675.251331018517</v>
      </c>
      <c r="J3026" s="10">
        <v>45675.25267361111</v>
      </c>
      <c r="K3026" s="11">
        <v>1.3425925925925921E-3</v>
      </c>
      <c r="L3026" s="13"/>
    </row>
    <row r="3027" spans="1:12" x14ac:dyDescent="0.25">
      <c r="A3027" s="3" t="s">
        <v>3225</v>
      </c>
      <c r="B3027" s="3" t="s">
        <v>6286</v>
      </c>
      <c r="C3027" s="3" t="s">
        <v>2083</v>
      </c>
      <c r="D3027" s="9">
        <v>47.2</v>
      </c>
      <c r="E3027" s="3" t="s">
        <v>139</v>
      </c>
      <c r="F3027" s="3" t="s">
        <v>3204</v>
      </c>
      <c r="G3027" s="9">
        <v>477.75</v>
      </c>
      <c r="H3027" s="10">
        <v>45675.286527777767</v>
      </c>
      <c r="I3027" s="10">
        <v>45675.286527777767</v>
      </c>
      <c r="J3027" s="10">
        <v>45675.288634259261</v>
      </c>
      <c r="K3027" s="11">
        <v>2.1064814814814809E-3</v>
      </c>
      <c r="L3027" s="13"/>
    </row>
    <row r="3028" spans="1:12" x14ac:dyDescent="0.25">
      <c r="A3028" s="3" t="s">
        <v>3225</v>
      </c>
      <c r="B3028" s="3" t="s">
        <v>6287</v>
      </c>
      <c r="C3028" s="3" t="s">
        <v>2086</v>
      </c>
      <c r="D3028" s="9">
        <v>31.5</v>
      </c>
      <c r="E3028" s="3" t="s">
        <v>139</v>
      </c>
      <c r="F3028" s="3" t="s">
        <v>3199</v>
      </c>
      <c r="G3028" s="9">
        <v>450.42</v>
      </c>
      <c r="H3028" s="10">
        <v>45675.288634259261</v>
      </c>
      <c r="I3028" s="10">
        <v>45675.288634259261</v>
      </c>
      <c r="J3028" s="10">
        <v>45675.290578703702</v>
      </c>
      <c r="K3028" s="11">
        <v>1.944444444444444E-3</v>
      </c>
      <c r="L3028" s="13"/>
    </row>
    <row r="3029" spans="1:12" x14ac:dyDescent="0.25">
      <c r="A3029" s="3" t="s">
        <v>3225</v>
      </c>
      <c r="B3029" s="3" t="s">
        <v>6288</v>
      </c>
      <c r="C3029" s="3" t="s">
        <v>2089</v>
      </c>
      <c r="D3029" s="9">
        <v>15.7</v>
      </c>
      <c r="E3029" s="3" t="s">
        <v>139</v>
      </c>
      <c r="F3029" s="3" t="s">
        <v>3197</v>
      </c>
      <c r="G3029" s="9">
        <v>459.96</v>
      </c>
      <c r="H3029" s="10">
        <v>45675.290578703702</v>
      </c>
      <c r="I3029" s="10">
        <v>45675.290578703702</v>
      </c>
      <c r="J3029" s="10">
        <v>45675.292534722219</v>
      </c>
      <c r="K3029" s="11">
        <v>1.956018518518518E-3</v>
      </c>
      <c r="L3029" s="13"/>
    </row>
    <row r="3030" spans="1:12" x14ac:dyDescent="0.25">
      <c r="A3030" s="3" t="s">
        <v>3225</v>
      </c>
      <c r="B3030" s="3" t="s">
        <v>6289</v>
      </c>
      <c r="C3030" s="3" t="s">
        <v>2092</v>
      </c>
      <c r="D3030" s="9">
        <v>19.899999999999999</v>
      </c>
      <c r="E3030" s="3" t="s">
        <v>139</v>
      </c>
      <c r="F3030" s="3" t="s">
        <v>3194</v>
      </c>
      <c r="G3030" s="9">
        <v>459.96</v>
      </c>
      <c r="H3030" s="10">
        <v>45675.292534722219</v>
      </c>
      <c r="I3030" s="10">
        <v>45675.292534722219</v>
      </c>
      <c r="J3030" s="10">
        <v>45675.294490740736</v>
      </c>
      <c r="K3030" s="11">
        <v>1.956018518518518E-3</v>
      </c>
      <c r="L3030" s="13"/>
    </row>
    <row r="3031" spans="1:12" x14ac:dyDescent="0.25">
      <c r="A3031" s="3" t="s">
        <v>3225</v>
      </c>
      <c r="B3031" s="3" t="s">
        <v>6290</v>
      </c>
      <c r="C3031" s="3" t="s">
        <v>2095</v>
      </c>
      <c r="D3031" s="9">
        <v>27</v>
      </c>
      <c r="E3031" s="3" t="s">
        <v>139</v>
      </c>
      <c r="F3031" s="3" t="s">
        <v>3205</v>
      </c>
      <c r="G3031" s="9">
        <v>299.11</v>
      </c>
      <c r="H3031" s="10">
        <v>45675.294490740736</v>
      </c>
      <c r="I3031" s="10">
        <v>45675.294490740736</v>
      </c>
      <c r="J3031" s="10">
        <v>45675.295798611107</v>
      </c>
      <c r="K3031" s="11">
        <v>1.30787037037037E-3</v>
      </c>
      <c r="L3031" s="13"/>
    </row>
    <row r="3032" spans="1:12" x14ac:dyDescent="0.25">
      <c r="A3032" s="3" t="s">
        <v>3225</v>
      </c>
      <c r="B3032" s="3" t="s">
        <v>6291</v>
      </c>
      <c r="C3032" s="3" t="s">
        <v>2097</v>
      </c>
      <c r="D3032" s="9">
        <v>39</v>
      </c>
      <c r="E3032" s="3" t="s">
        <v>139</v>
      </c>
      <c r="F3032" s="3" t="s">
        <v>3196</v>
      </c>
      <c r="G3032" s="9">
        <v>450.42</v>
      </c>
      <c r="H3032" s="10">
        <v>45675.295798611107</v>
      </c>
      <c r="I3032" s="10">
        <v>45675.295798611107</v>
      </c>
      <c r="J3032" s="10">
        <v>45675.297766203701</v>
      </c>
      <c r="K3032" s="11">
        <v>1.967592592592592E-3</v>
      </c>
      <c r="L3032" s="13"/>
    </row>
    <row r="3033" spans="1:12" x14ac:dyDescent="0.25">
      <c r="A3033" s="3" t="s">
        <v>3225</v>
      </c>
      <c r="B3033" s="3" t="s">
        <v>6292</v>
      </c>
      <c r="C3033" s="3" t="s">
        <v>2100</v>
      </c>
      <c r="D3033" s="9">
        <v>16.5</v>
      </c>
      <c r="E3033" s="3" t="s">
        <v>139</v>
      </c>
      <c r="F3033" s="3" t="s">
        <v>3203</v>
      </c>
      <c r="G3033" s="9">
        <v>269.92</v>
      </c>
      <c r="H3033" s="10">
        <v>45675.297766203701</v>
      </c>
      <c r="I3033" s="10">
        <v>45675.297766203701</v>
      </c>
      <c r="J3033" s="10">
        <v>45675.298935185187</v>
      </c>
      <c r="K3033" s="11">
        <v>1.168981481481482E-3</v>
      </c>
      <c r="L3033" s="13"/>
    </row>
    <row r="3034" spans="1:12" x14ac:dyDescent="0.25">
      <c r="A3034" s="3" t="s">
        <v>3225</v>
      </c>
      <c r="B3034" s="3" t="s">
        <v>6293</v>
      </c>
      <c r="C3034" s="3" t="s">
        <v>2103</v>
      </c>
      <c r="D3034" s="9">
        <v>521.70000000000005</v>
      </c>
      <c r="E3034" s="3" t="s">
        <v>142</v>
      </c>
      <c r="F3034" s="3" t="s">
        <v>3199</v>
      </c>
      <c r="G3034" s="9">
        <v>443.59</v>
      </c>
      <c r="H3034" s="10">
        <v>45676.741423611107</v>
      </c>
      <c r="I3034" s="10">
        <v>45676.741423611107</v>
      </c>
      <c r="J3034" s="10">
        <v>45676.744479166657</v>
      </c>
      <c r="K3034" s="11">
        <v>3.0555555555555561E-3</v>
      </c>
      <c r="L3034" s="13"/>
    </row>
    <row r="3035" spans="1:12" x14ac:dyDescent="0.25">
      <c r="A3035" s="3" t="s">
        <v>3225</v>
      </c>
      <c r="B3035" s="3" t="s">
        <v>6294</v>
      </c>
      <c r="C3035" s="3" t="s">
        <v>2105</v>
      </c>
      <c r="D3035" s="9">
        <v>70.5</v>
      </c>
      <c r="E3035" s="3" t="s">
        <v>142</v>
      </c>
      <c r="F3035" s="3" t="s">
        <v>3206</v>
      </c>
      <c r="G3035" s="9">
        <v>371.57</v>
      </c>
      <c r="H3035" s="10">
        <v>45676.744479166657</v>
      </c>
      <c r="I3035" s="10">
        <v>45676.744479166657</v>
      </c>
      <c r="J3035" s="10">
        <v>45676.746180555558</v>
      </c>
      <c r="K3035" s="11">
        <v>1.701388888888889E-3</v>
      </c>
      <c r="L3035" s="13"/>
    </row>
    <row r="3036" spans="1:12" x14ac:dyDescent="0.25">
      <c r="A3036" s="3" t="s">
        <v>3225</v>
      </c>
      <c r="B3036" s="3" t="s">
        <v>6295</v>
      </c>
      <c r="C3036" s="3" t="s">
        <v>2107</v>
      </c>
      <c r="D3036" s="9">
        <v>132.69999999999999</v>
      </c>
      <c r="E3036" s="3" t="s">
        <v>139</v>
      </c>
      <c r="F3036" s="3" t="s">
        <v>3196</v>
      </c>
      <c r="G3036" s="9">
        <v>450.42</v>
      </c>
      <c r="H3036" s="10">
        <v>45676.850092592591</v>
      </c>
      <c r="I3036" s="10">
        <v>45676.850092592591</v>
      </c>
      <c r="J3036" s="10">
        <v>45676.852268518523</v>
      </c>
      <c r="K3036" s="11">
        <v>2.1759259259259262E-3</v>
      </c>
      <c r="L3036" s="13"/>
    </row>
    <row r="3037" spans="1:12" x14ac:dyDescent="0.25">
      <c r="A3037" s="3" t="s">
        <v>3225</v>
      </c>
      <c r="B3037" s="3" t="s">
        <v>6296</v>
      </c>
      <c r="C3037" s="3" t="s">
        <v>2109</v>
      </c>
      <c r="D3037" s="9">
        <v>37.5</v>
      </c>
      <c r="E3037" s="3" t="s">
        <v>139</v>
      </c>
      <c r="F3037" s="3" t="s">
        <v>3206</v>
      </c>
      <c r="G3037" s="9">
        <v>378.4</v>
      </c>
      <c r="H3037" s="10">
        <v>45676.852268518523</v>
      </c>
      <c r="I3037" s="10">
        <v>45676.852268518523</v>
      </c>
      <c r="J3037" s="10">
        <v>45676.853935185187</v>
      </c>
      <c r="K3037" s="11">
        <v>1.666666666666667E-3</v>
      </c>
      <c r="L3037" s="13"/>
    </row>
    <row r="3038" spans="1:12" x14ac:dyDescent="0.25">
      <c r="A3038" s="3" t="s">
        <v>3225</v>
      </c>
      <c r="B3038" s="3" t="s">
        <v>6297</v>
      </c>
      <c r="C3038" s="3" t="s">
        <v>2111</v>
      </c>
      <c r="D3038" s="9">
        <v>12</v>
      </c>
      <c r="E3038" s="3" t="s">
        <v>139</v>
      </c>
      <c r="F3038" s="3" t="s">
        <v>3194</v>
      </c>
      <c r="G3038" s="9">
        <v>459.96</v>
      </c>
      <c r="H3038" s="10">
        <v>45677.113437499997</v>
      </c>
      <c r="I3038" s="10">
        <v>45677.113437499997</v>
      </c>
      <c r="J3038" s="10">
        <v>45677.115381944437</v>
      </c>
      <c r="K3038" s="11">
        <v>1.944444444444444E-3</v>
      </c>
      <c r="L3038" s="13"/>
    </row>
    <row r="3039" spans="1:12" x14ac:dyDescent="0.25">
      <c r="A3039" s="3" t="s">
        <v>3225</v>
      </c>
      <c r="B3039" s="3" t="s">
        <v>6298</v>
      </c>
      <c r="C3039" s="3" t="s">
        <v>2113</v>
      </c>
      <c r="D3039" s="9">
        <v>165.8</v>
      </c>
      <c r="E3039" s="3" t="s">
        <v>139</v>
      </c>
      <c r="F3039" s="3" t="s">
        <v>3193</v>
      </c>
      <c r="G3039" s="9">
        <v>297.43</v>
      </c>
      <c r="H3039" s="10">
        <v>45677.115381944437</v>
      </c>
      <c r="I3039" s="10">
        <v>45677.115381944437</v>
      </c>
      <c r="J3039" s="10">
        <v>45677.117013888892</v>
      </c>
      <c r="K3039" s="11">
        <v>1.631944444444445E-3</v>
      </c>
      <c r="L3039" s="13"/>
    </row>
    <row r="3040" spans="1:12" x14ac:dyDescent="0.25">
      <c r="A3040" s="3" t="s">
        <v>3225</v>
      </c>
      <c r="B3040" s="3" t="s">
        <v>6299</v>
      </c>
      <c r="C3040" s="3" t="s">
        <v>2116</v>
      </c>
      <c r="D3040" s="9">
        <v>35.6</v>
      </c>
      <c r="E3040" s="3" t="s">
        <v>139</v>
      </c>
      <c r="F3040" s="3" t="s">
        <v>3197</v>
      </c>
      <c r="G3040" s="9">
        <v>459.96</v>
      </c>
      <c r="H3040" s="10">
        <v>45677.117013888892</v>
      </c>
      <c r="I3040" s="10">
        <v>45677.117013888892</v>
      </c>
      <c r="J3040" s="10">
        <v>45677.119004629632</v>
      </c>
      <c r="K3040" s="11">
        <v>1.9907407407407408E-3</v>
      </c>
      <c r="L3040" s="13"/>
    </row>
    <row r="3041" spans="1:12" x14ac:dyDescent="0.25">
      <c r="A3041" s="3" t="s">
        <v>3225</v>
      </c>
      <c r="B3041" s="3" t="s">
        <v>6300</v>
      </c>
      <c r="C3041" s="3" t="s">
        <v>2118</v>
      </c>
      <c r="D3041" s="9">
        <v>47.2</v>
      </c>
      <c r="E3041" s="3" t="s">
        <v>139</v>
      </c>
      <c r="F3041" s="3" t="s">
        <v>3199</v>
      </c>
      <c r="G3041" s="9">
        <v>450.42</v>
      </c>
      <c r="H3041" s="10">
        <v>45677.119004629632</v>
      </c>
      <c r="I3041" s="10">
        <v>45677.119004629632</v>
      </c>
      <c r="J3041" s="10">
        <v>45677.120995370373</v>
      </c>
      <c r="K3041" s="11">
        <v>1.9907407407407408E-3</v>
      </c>
      <c r="L3041" s="13"/>
    </row>
    <row r="3042" spans="1:12" x14ac:dyDescent="0.25">
      <c r="A3042" s="3" t="s">
        <v>3225</v>
      </c>
      <c r="B3042" s="3" t="s">
        <v>6301</v>
      </c>
      <c r="C3042" s="3" t="s">
        <v>2121</v>
      </c>
      <c r="D3042" s="9">
        <v>329.7</v>
      </c>
      <c r="E3042" s="3" t="s">
        <v>139</v>
      </c>
      <c r="F3042" s="3" t="s">
        <v>3204</v>
      </c>
      <c r="G3042" s="9">
        <v>477.75</v>
      </c>
      <c r="H3042" s="10">
        <v>45677.196921296287</v>
      </c>
      <c r="I3042" s="10">
        <v>45677.196921296287</v>
      </c>
      <c r="J3042" s="10">
        <v>45677.199675925927</v>
      </c>
      <c r="K3042" s="11">
        <v>2.754629629629629E-3</v>
      </c>
      <c r="L3042" s="13"/>
    </row>
    <row r="3043" spans="1:12" x14ac:dyDescent="0.25">
      <c r="A3043" s="3" t="s">
        <v>3225</v>
      </c>
      <c r="B3043" s="3" t="s">
        <v>6302</v>
      </c>
      <c r="C3043" s="3" t="s">
        <v>2124</v>
      </c>
      <c r="D3043" s="9">
        <v>102.8</v>
      </c>
      <c r="E3043" s="3" t="s">
        <v>169</v>
      </c>
      <c r="F3043" s="3" t="s">
        <v>3203</v>
      </c>
      <c r="G3043" s="9">
        <v>235.73</v>
      </c>
      <c r="H3043" s="10">
        <v>45677.330578703702</v>
      </c>
      <c r="I3043" s="10">
        <v>45677.330578703702</v>
      </c>
      <c r="J3043" s="10">
        <v>45677.331793981481</v>
      </c>
      <c r="K3043" s="11">
        <v>1.215277777777778E-3</v>
      </c>
      <c r="L3043" s="13"/>
    </row>
    <row r="3044" spans="1:12" x14ac:dyDescent="0.25">
      <c r="A3044" s="3" t="s">
        <v>3225</v>
      </c>
      <c r="B3044" s="3" t="s">
        <v>6303</v>
      </c>
      <c r="C3044" s="3" t="s">
        <v>2127</v>
      </c>
      <c r="D3044" s="9">
        <v>19.899999999999999</v>
      </c>
      <c r="E3044" s="3" t="s">
        <v>169</v>
      </c>
      <c r="F3044" s="3" t="s">
        <v>3197</v>
      </c>
      <c r="G3044" s="9">
        <v>425.77</v>
      </c>
      <c r="H3044" s="10">
        <v>45677.331793981481</v>
      </c>
      <c r="I3044" s="10">
        <v>45677.331793981481</v>
      </c>
      <c r="J3044" s="10">
        <v>45677.333611111113</v>
      </c>
      <c r="K3044" s="11">
        <v>1.8171296296296299E-3</v>
      </c>
      <c r="L3044" s="13"/>
    </row>
    <row r="3045" spans="1:12" x14ac:dyDescent="0.25">
      <c r="A3045" s="3" t="s">
        <v>3225</v>
      </c>
      <c r="B3045" s="3" t="s">
        <v>6304</v>
      </c>
      <c r="C3045" s="3" t="s">
        <v>2129</v>
      </c>
      <c r="D3045" s="9">
        <v>54</v>
      </c>
      <c r="E3045" s="3" t="s">
        <v>169</v>
      </c>
      <c r="F3045" s="3" t="s">
        <v>3205</v>
      </c>
      <c r="G3045" s="9">
        <v>264.92</v>
      </c>
      <c r="H3045" s="10">
        <v>45677.333611111113</v>
      </c>
      <c r="I3045" s="10">
        <v>45677.333611111113</v>
      </c>
      <c r="J3045" s="10">
        <v>45677.334849537037</v>
      </c>
      <c r="K3045" s="11">
        <v>1.238425925925926E-3</v>
      </c>
      <c r="L3045" s="13"/>
    </row>
    <row r="3046" spans="1:12" x14ac:dyDescent="0.25">
      <c r="A3046" s="3" t="s">
        <v>3225</v>
      </c>
      <c r="B3046" s="3" t="s">
        <v>6305</v>
      </c>
      <c r="C3046" s="3" t="s">
        <v>2131</v>
      </c>
      <c r="D3046" s="9">
        <v>15.7</v>
      </c>
      <c r="E3046" s="3" t="s">
        <v>169</v>
      </c>
      <c r="F3046" s="3" t="s">
        <v>3195</v>
      </c>
      <c r="G3046" s="9">
        <v>371.24</v>
      </c>
      <c r="H3046" s="10">
        <v>45677.334849537037</v>
      </c>
      <c r="I3046" s="10">
        <v>45677.334849537037</v>
      </c>
      <c r="J3046" s="10">
        <v>45677.336423611108</v>
      </c>
      <c r="K3046" s="11">
        <v>1.5740740740740741E-3</v>
      </c>
      <c r="L3046" s="13"/>
    </row>
    <row r="3047" spans="1:12" x14ac:dyDescent="0.25">
      <c r="A3047" s="3" t="s">
        <v>3225</v>
      </c>
      <c r="B3047" s="3" t="s">
        <v>6306</v>
      </c>
      <c r="C3047" s="3" t="s">
        <v>2133</v>
      </c>
      <c r="D3047" s="9">
        <v>31.5</v>
      </c>
      <c r="E3047" s="3" t="s">
        <v>169</v>
      </c>
      <c r="F3047" s="3" t="s">
        <v>3204</v>
      </c>
      <c r="G3047" s="9">
        <v>443.56000000000012</v>
      </c>
      <c r="H3047" s="10">
        <v>45677.336423611108</v>
      </c>
      <c r="I3047" s="10">
        <v>45677.336423611108</v>
      </c>
      <c r="J3047" s="10">
        <v>45677.33834490741</v>
      </c>
      <c r="K3047" s="11">
        <v>1.9212962962962959E-3</v>
      </c>
      <c r="L3047" s="13"/>
    </row>
    <row r="3048" spans="1:12" x14ac:dyDescent="0.25">
      <c r="A3048" s="3" t="s">
        <v>3225</v>
      </c>
      <c r="B3048" s="3" t="s">
        <v>6307</v>
      </c>
      <c r="C3048" s="3" t="s">
        <v>2136</v>
      </c>
      <c r="D3048" s="9">
        <v>31.5</v>
      </c>
      <c r="E3048" s="3" t="s">
        <v>169</v>
      </c>
      <c r="F3048" s="3" t="s">
        <v>3196</v>
      </c>
      <c r="G3048" s="9">
        <v>416.23</v>
      </c>
      <c r="H3048" s="10">
        <v>45677.33834490741</v>
      </c>
      <c r="I3048" s="10">
        <v>45677.33834490741</v>
      </c>
      <c r="J3048" s="10">
        <v>45677.340150462973</v>
      </c>
      <c r="K3048" s="11">
        <v>1.805555555555555E-3</v>
      </c>
      <c r="L3048" s="13"/>
    </row>
    <row r="3049" spans="1:12" x14ac:dyDescent="0.25">
      <c r="A3049" s="3" t="s">
        <v>3225</v>
      </c>
      <c r="B3049" s="3" t="s">
        <v>6308</v>
      </c>
      <c r="C3049" s="3" t="s">
        <v>2140</v>
      </c>
      <c r="D3049" s="9">
        <v>15.7</v>
      </c>
      <c r="E3049" s="3" t="s">
        <v>169</v>
      </c>
      <c r="F3049" s="3" t="s">
        <v>3199</v>
      </c>
      <c r="G3049" s="9">
        <v>416.23</v>
      </c>
      <c r="H3049" s="10">
        <v>45677.340150462973</v>
      </c>
      <c r="I3049" s="10">
        <v>45677.340150462973</v>
      </c>
      <c r="J3049" s="10">
        <v>45677.341921296298</v>
      </c>
      <c r="K3049" s="11">
        <v>1.770833333333333E-3</v>
      </c>
      <c r="L3049" s="13"/>
    </row>
    <row r="3050" spans="1:12" x14ac:dyDescent="0.25">
      <c r="A3050" s="3" t="s">
        <v>3225</v>
      </c>
      <c r="B3050" s="3" t="s">
        <v>6309</v>
      </c>
      <c r="C3050" s="3" t="s">
        <v>2143</v>
      </c>
      <c r="D3050" s="9">
        <v>21</v>
      </c>
      <c r="E3050" s="3" t="s">
        <v>169</v>
      </c>
      <c r="F3050" s="3" t="s">
        <v>3197</v>
      </c>
      <c r="G3050" s="9">
        <v>425.77</v>
      </c>
      <c r="H3050" s="10">
        <v>45677.341921296298</v>
      </c>
      <c r="I3050" s="10">
        <v>45677.341921296298</v>
      </c>
      <c r="J3050" s="10">
        <v>45677.34375</v>
      </c>
      <c r="K3050" s="11">
        <v>1.8287037037037039E-3</v>
      </c>
      <c r="L3050" s="13"/>
    </row>
    <row r="3051" spans="1:12" x14ac:dyDescent="0.25">
      <c r="A3051" s="3" t="s">
        <v>3225</v>
      </c>
      <c r="B3051" s="3" t="s">
        <v>6310</v>
      </c>
      <c r="C3051" s="3" t="s">
        <v>2145</v>
      </c>
      <c r="D3051" s="9">
        <v>31.5</v>
      </c>
      <c r="E3051" s="3" t="s">
        <v>169</v>
      </c>
      <c r="F3051" s="3" t="s">
        <v>3201</v>
      </c>
      <c r="G3051" s="9">
        <v>377.86</v>
      </c>
      <c r="H3051" s="10">
        <v>45677.34375</v>
      </c>
      <c r="I3051" s="10">
        <v>45677.34375</v>
      </c>
      <c r="J3051" s="10">
        <v>45677.345393518517</v>
      </c>
      <c r="K3051" s="11">
        <v>1.643518518518519E-3</v>
      </c>
      <c r="L3051" s="13"/>
    </row>
    <row r="3052" spans="1:12" x14ac:dyDescent="0.25">
      <c r="A3052" s="3" t="s">
        <v>3225</v>
      </c>
      <c r="B3052" s="3" t="s">
        <v>6311</v>
      </c>
      <c r="C3052" s="3" t="s">
        <v>2149</v>
      </c>
      <c r="D3052" s="9">
        <v>15.7</v>
      </c>
      <c r="E3052" s="3" t="s">
        <v>169</v>
      </c>
      <c r="F3052" s="3" t="s">
        <v>3206</v>
      </c>
      <c r="G3052" s="9">
        <v>344.21</v>
      </c>
      <c r="H3052" s="10">
        <v>45677.345393518517</v>
      </c>
      <c r="I3052" s="10">
        <v>45677.345393518517</v>
      </c>
      <c r="J3052" s="10">
        <v>45677.346863425933</v>
      </c>
      <c r="K3052" s="11">
        <v>1.469907407407407E-3</v>
      </c>
      <c r="L3052" s="13"/>
    </row>
    <row r="3053" spans="1:12" x14ac:dyDescent="0.25">
      <c r="A3053" s="3" t="s">
        <v>3225</v>
      </c>
      <c r="B3053" s="3" t="s">
        <v>6312</v>
      </c>
      <c r="C3053" s="3" t="s">
        <v>2152</v>
      </c>
      <c r="D3053" s="9">
        <v>15.7</v>
      </c>
      <c r="E3053" s="3" t="s">
        <v>169</v>
      </c>
      <c r="F3053" s="3" t="s">
        <v>3204</v>
      </c>
      <c r="G3053" s="9">
        <v>443.56000000000012</v>
      </c>
      <c r="H3053" s="10">
        <v>45677.346863425933</v>
      </c>
      <c r="I3053" s="10">
        <v>45677.346863425933</v>
      </c>
      <c r="J3053" s="10">
        <v>45677.348749999997</v>
      </c>
      <c r="K3053" s="11">
        <v>1.8865740740740739E-3</v>
      </c>
      <c r="L3053" s="13"/>
    </row>
    <row r="3054" spans="1:12" x14ac:dyDescent="0.25">
      <c r="A3054" s="3" t="s">
        <v>3225</v>
      </c>
      <c r="B3054" s="3" t="s">
        <v>6313</v>
      </c>
      <c r="C3054" s="3" t="s">
        <v>2154</v>
      </c>
      <c r="D3054" s="9">
        <v>15.7</v>
      </c>
      <c r="E3054" s="3" t="s">
        <v>169</v>
      </c>
      <c r="F3054" s="3" t="s">
        <v>3197</v>
      </c>
      <c r="G3054" s="9">
        <v>425.77</v>
      </c>
      <c r="H3054" s="10">
        <v>45677.348749999997</v>
      </c>
      <c r="I3054" s="10">
        <v>45677.348749999997</v>
      </c>
      <c r="J3054" s="10">
        <v>45677.350555555553</v>
      </c>
      <c r="K3054" s="11">
        <v>1.805555555555555E-3</v>
      </c>
      <c r="L3054" s="13"/>
    </row>
    <row r="3055" spans="1:12" x14ac:dyDescent="0.25">
      <c r="A3055" s="3" t="s">
        <v>3225</v>
      </c>
      <c r="B3055" s="3" t="s">
        <v>6314</v>
      </c>
      <c r="C3055" s="3" t="s">
        <v>2156</v>
      </c>
      <c r="D3055" s="9">
        <v>42</v>
      </c>
      <c r="E3055" s="3" t="s">
        <v>169</v>
      </c>
      <c r="F3055" s="3" t="s">
        <v>3202</v>
      </c>
      <c r="G3055" s="9">
        <v>290.16000000000003</v>
      </c>
      <c r="H3055" s="10">
        <v>45677.350555555553</v>
      </c>
      <c r="I3055" s="10">
        <v>45677.350555555553</v>
      </c>
      <c r="J3055" s="10">
        <v>45677.351863425924</v>
      </c>
      <c r="K3055" s="11">
        <v>1.30787037037037E-3</v>
      </c>
      <c r="L3055" s="13"/>
    </row>
    <row r="3056" spans="1:12" x14ac:dyDescent="0.25">
      <c r="A3056" s="3" t="s">
        <v>3225</v>
      </c>
      <c r="B3056" s="3" t="s">
        <v>6315</v>
      </c>
      <c r="C3056" s="3" t="s">
        <v>2186</v>
      </c>
      <c r="D3056" s="9">
        <v>145.6</v>
      </c>
      <c r="E3056" s="3" t="s">
        <v>142</v>
      </c>
      <c r="F3056" s="3" t="s">
        <v>3203</v>
      </c>
      <c r="G3056" s="9">
        <v>263.08999999999997</v>
      </c>
      <c r="H3056" s="10">
        <v>45677.384131944447</v>
      </c>
      <c r="I3056" s="10">
        <v>45677.384131944447</v>
      </c>
      <c r="J3056" s="10">
        <v>45677.385555555556</v>
      </c>
      <c r="K3056" s="11">
        <v>1.423611111111111E-3</v>
      </c>
      <c r="L3056" s="13"/>
    </row>
    <row r="3057" spans="1:12" x14ac:dyDescent="0.25">
      <c r="A3057" s="3" t="s">
        <v>3225</v>
      </c>
      <c r="B3057" s="3" t="s">
        <v>6316</v>
      </c>
      <c r="C3057" s="3" t="s">
        <v>2160</v>
      </c>
      <c r="D3057" s="9">
        <v>46.5</v>
      </c>
      <c r="E3057" s="3" t="s">
        <v>139</v>
      </c>
      <c r="F3057" s="3" t="s">
        <v>3201</v>
      </c>
      <c r="G3057" s="9">
        <v>412.05</v>
      </c>
      <c r="H3057" s="10">
        <v>45677.388541666667</v>
      </c>
      <c r="I3057" s="10">
        <v>45677.388541666667</v>
      </c>
      <c r="J3057" s="10">
        <v>45677.390370370369</v>
      </c>
      <c r="K3057" s="11">
        <v>1.8287037037037039E-3</v>
      </c>
      <c r="L3057" s="13"/>
    </row>
    <row r="3058" spans="1:12" x14ac:dyDescent="0.25">
      <c r="A3058" s="3" t="s">
        <v>3225</v>
      </c>
      <c r="B3058" s="3" t="s">
        <v>6317</v>
      </c>
      <c r="C3058" s="3" t="s">
        <v>2162</v>
      </c>
      <c r="D3058" s="9">
        <v>47.2</v>
      </c>
      <c r="E3058" s="3" t="s">
        <v>139</v>
      </c>
      <c r="F3058" s="3" t="s">
        <v>3204</v>
      </c>
      <c r="G3058" s="9">
        <v>477.75</v>
      </c>
      <c r="H3058" s="10">
        <v>45677.390370370369</v>
      </c>
      <c r="I3058" s="10">
        <v>45677.390370370369</v>
      </c>
      <c r="J3058" s="10">
        <v>45677.392465277779</v>
      </c>
      <c r="K3058" s="11">
        <v>2.0949074074074069E-3</v>
      </c>
      <c r="L3058" s="13"/>
    </row>
    <row r="3059" spans="1:12" x14ac:dyDescent="0.25">
      <c r="A3059" s="3" t="s">
        <v>3225</v>
      </c>
      <c r="B3059" s="3" t="s">
        <v>6318</v>
      </c>
      <c r="C3059" s="3" t="s">
        <v>2164</v>
      </c>
      <c r="D3059" s="9">
        <v>135</v>
      </c>
      <c r="E3059" s="3" t="s">
        <v>139</v>
      </c>
      <c r="F3059" s="3" t="s">
        <v>3194</v>
      </c>
      <c r="G3059" s="9">
        <v>459.96</v>
      </c>
      <c r="H3059" s="10">
        <v>45677.392465277779</v>
      </c>
      <c r="I3059" s="10">
        <v>45677.392465277779</v>
      </c>
      <c r="J3059" s="10">
        <v>45677.394699074073</v>
      </c>
      <c r="K3059" s="11">
        <v>2.2337962962962958E-3</v>
      </c>
      <c r="L3059" s="13"/>
    </row>
    <row r="3060" spans="1:12" x14ac:dyDescent="0.25">
      <c r="A3060" s="3" t="s">
        <v>3225</v>
      </c>
      <c r="B3060" s="3" t="s">
        <v>6319</v>
      </c>
      <c r="C3060" s="3" t="s">
        <v>2166</v>
      </c>
      <c r="D3060" s="9">
        <v>15.7</v>
      </c>
      <c r="E3060" s="3" t="s">
        <v>139</v>
      </c>
      <c r="F3060" s="3" t="s">
        <v>3199</v>
      </c>
      <c r="G3060" s="9">
        <v>450.42</v>
      </c>
      <c r="H3060" s="10">
        <v>45677.394699074073</v>
      </c>
      <c r="I3060" s="10">
        <v>45677.394699074073</v>
      </c>
      <c r="J3060" s="10">
        <v>45677.396608796298</v>
      </c>
      <c r="K3060" s="11">
        <v>1.9097222222222219E-3</v>
      </c>
      <c r="L3060" s="13"/>
    </row>
    <row r="3061" spans="1:12" x14ac:dyDescent="0.25">
      <c r="A3061" s="3" t="s">
        <v>3225</v>
      </c>
      <c r="B3061" s="3" t="s">
        <v>6320</v>
      </c>
      <c r="C3061" s="3" t="s">
        <v>2168</v>
      </c>
      <c r="D3061" s="9">
        <v>36.4</v>
      </c>
      <c r="E3061" s="3" t="s">
        <v>139</v>
      </c>
      <c r="F3061" s="3" t="s">
        <v>3197</v>
      </c>
      <c r="G3061" s="9">
        <v>459.96</v>
      </c>
      <c r="H3061" s="10">
        <v>45677.396608796298</v>
      </c>
      <c r="I3061" s="10">
        <v>45677.396608796298</v>
      </c>
      <c r="J3061" s="10">
        <v>45677.398611111108</v>
      </c>
      <c r="K3061" s="11">
        <v>2.0023148148148148E-3</v>
      </c>
      <c r="L3061" s="13"/>
    </row>
    <row r="3062" spans="1:12" x14ac:dyDescent="0.25">
      <c r="A3062" s="3" t="s">
        <v>3225</v>
      </c>
      <c r="B3062" s="3" t="s">
        <v>6321</v>
      </c>
      <c r="C3062" s="3" t="s">
        <v>2171</v>
      </c>
      <c r="D3062" s="9">
        <v>31.5</v>
      </c>
      <c r="E3062" s="3" t="s">
        <v>139</v>
      </c>
      <c r="F3062" s="3" t="s">
        <v>3196</v>
      </c>
      <c r="G3062" s="9">
        <v>450.42</v>
      </c>
      <c r="H3062" s="10">
        <v>45677.398611111108</v>
      </c>
      <c r="I3062" s="10">
        <v>45677.398611111108</v>
      </c>
      <c r="J3062" s="10">
        <v>45677.400555555563</v>
      </c>
      <c r="K3062" s="11">
        <v>1.944444444444444E-3</v>
      </c>
      <c r="L3062" s="13"/>
    </row>
    <row r="3063" spans="1:12" x14ac:dyDescent="0.25">
      <c r="A3063" s="3" t="s">
        <v>3225</v>
      </c>
      <c r="B3063" s="3" t="s">
        <v>6322</v>
      </c>
      <c r="C3063" s="3" t="s">
        <v>2173</v>
      </c>
      <c r="D3063" s="9">
        <v>19.899999999999999</v>
      </c>
      <c r="E3063" s="3" t="s">
        <v>139</v>
      </c>
      <c r="F3063" s="3" t="s">
        <v>3193</v>
      </c>
      <c r="G3063" s="9">
        <v>297.43</v>
      </c>
      <c r="H3063" s="10">
        <v>45677.400555555563</v>
      </c>
      <c r="I3063" s="10">
        <v>45677.400555555563</v>
      </c>
      <c r="J3063" s="10">
        <v>45677.40184027778</v>
      </c>
      <c r="K3063" s="11">
        <v>1.284722222222222E-3</v>
      </c>
      <c r="L3063" s="13"/>
    </row>
    <row r="3064" spans="1:12" x14ac:dyDescent="0.25">
      <c r="A3064" s="3" t="s">
        <v>3225</v>
      </c>
      <c r="B3064" s="3" t="s">
        <v>6323</v>
      </c>
      <c r="C3064" s="3" t="s">
        <v>2177</v>
      </c>
      <c r="D3064" s="9">
        <v>15.7</v>
      </c>
      <c r="E3064" s="3" t="s">
        <v>139</v>
      </c>
      <c r="F3064" s="3" t="s">
        <v>3201</v>
      </c>
      <c r="G3064" s="9">
        <v>412.05</v>
      </c>
      <c r="H3064" s="10">
        <v>45677.40184027778</v>
      </c>
      <c r="I3064" s="10">
        <v>45677.40184027778</v>
      </c>
      <c r="J3064" s="10">
        <v>45677.403599537043</v>
      </c>
      <c r="K3064" s="11">
        <v>1.759259259259259E-3</v>
      </c>
      <c r="L3064" s="13"/>
    </row>
    <row r="3065" spans="1:12" x14ac:dyDescent="0.25">
      <c r="A3065" s="3" t="s">
        <v>3225</v>
      </c>
      <c r="B3065" s="3" t="s">
        <v>6324</v>
      </c>
      <c r="C3065" s="3" t="s">
        <v>2179</v>
      </c>
      <c r="D3065" s="9">
        <v>43.1</v>
      </c>
      <c r="E3065" s="3" t="s">
        <v>139</v>
      </c>
      <c r="F3065" s="3" t="s">
        <v>3197</v>
      </c>
      <c r="G3065" s="9">
        <v>459.96</v>
      </c>
      <c r="H3065" s="10">
        <v>45677.403599537043</v>
      </c>
      <c r="I3065" s="10">
        <v>45677.403599537043</v>
      </c>
      <c r="J3065" s="10">
        <v>45677.405613425923</v>
      </c>
      <c r="K3065" s="11">
        <v>2.0138888888888888E-3</v>
      </c>
      <c r="L3065" s="13"/>
    </row>
    <row r="3066" spans="1:12" x14ac:dyDescent="0.25">
      <c r="A3066" s="3" t="s">
        <v>3225</v>
      </c>
      <c r="B3066" s="3" t="s">
        <v>6325</v>
      </c>
      <c r="C3066" s="3" t="s">
        <v>2181</v>
      </c>
      <c r="D3066" s="9">
        <v>19.899999999999999</v>
      </c>
      <c r="E3066" s="3" t="s">
        <v>139</v>
      </c>
      <c r="F3066" s="3" t="s">
        <v>3194</v>
      </c>
      <c r="G3066" s="9">
        <v>459.96</v>
      </c>
      <c r="H3066" s="10">
        <v>45677.405613425923</v>
      </c>
      <c r="I3066" s="10">
        <v>45677.405613425923</v>
      </c>
      <c r="J3066" s="10">
        <v>45677.407581018517</v>
      </c>
      <c r="K3066" s="11">
        <v>1.967592592592592E-3</v>
      </c>
      <c r="L3066" s="13"/>
    </row>
    <row r="3067" spans="1:12" x14ac:dyDescent="0.25">
      <c r="A3067" s="3" t="s">
        <v>3225</v>
      </c>
      <c r="B3067" s="3" t="s">
        <v>6326</v>
      </c>
      <c r="C3067" s="3" t="s">
        <v>2189</v>
      </c>
      <c r="D3067" s="9">
        <v>144.80000000000001</v>
      </c>
      <c r="E3067" s="3" t="s">
        <v>139</v>
      </c>
      <c r="F3067" s="3" t="s">
        <v>3203</v>
      </c>
      <c r="G3067" s="9">
        <v>269.92</v>
      </c>
      <c r="H3067" s="10">
        <v>45677.450439814813</v>
      </c>
      <c r="I3067" s="10">
        <v>45677.450439814813</v>
      </c>
      <c r="J3067" s="10">
        <v>45677.451898148152</v>
      </c>
      <c r="K3067" s="11">
        <v>1.458333333333333E-3</v>
      </c>
      <c r="L3067" s="13"/>
    </row>
    <row r="3068" spans="1:12" x14ac:dyDescent="0.25">
      <c r="A3068" s="3" t="s">
        <v>3225</v>
      </c>
      <c r="B3068" s="3" t="s">
        <v>6327</v>
      </c>
      <c r="C3068" s="3" t="s">
        <v>2192</v>
      </c>
      <c r="D3068" s="9">
        <v>21</v>
      </c>
      <c r="E3068" s="3" t="s">
        <v>139</v>
      </c>
      <c r="F3068" s="3" t="s">
        <v>3203</v>
      </c>
      <c r="G3068" s="9">
        <v>269.92</v>
      </c>
      <c r="H3068" s="10">
        <v>45677.451898148152</v>
      </c>
      <c r="I3068" s="10">
        <v>45677.451898148152</v>
      </c>
      <c r="J3068" s="10">
        <v>45677.453067129631</v>
      </c>
      <c r="K3068" s="11">
        <v>1.168981481481482E-3</v>
      </c>
      <c r="L3068" s="13"/>
    </row>
    <row r="3069" spans="1:12" x14ac:dyDescent="0.25">
      <c r="A3069" s="3" t="s">
        <v>3225</v>
      </c>
      <c r="B3069" s="3" t="s">
        <v>6328</v>
      </c>
      <c r="C3069" s="3" t="s">
        <v>2194</v>
      </c>
      <c r="D3069" s="9">
        <v>153.9</v>
      </c>
      <c r="E3069" s="3" t="s">
        <v>139</v>
      </c>
      <c r="F3069" s="3" t="s">
        <v>3200</v>
      </c>
      <c r="G3069" s="9">
        <v>405.03</v>
      </c>
      <c r="H3069" s="10">
        <v>45677.453067129631</v>
      </c>
      <c r="I3069" s="10">
        <v>45677.453067129631</v>
      </c>
      <c r="J3069" s="10">
        <v>45677.45511574074</v>
      </c>
      <c r="K3069" s="11">
        <v>2.0486111111111109E-3</v>
      </c>
      <c r="L3069" s="13"/>
    </row>
    <row r="3070" spans="1:12" x14ac:dyDescent="0.25">
      <c r="A3070" s="3" t="s">
        <v>3225</v>
      </c>
      <c r="B3070" s="3" t="s">
        <v>6329</v>
      </c>
      <c r="C3070" s="3" t="s">
        <v>2197</v>
      </c>
      <c r="D3070" s="9">
        <v>105</v>
      </c>
      <c r="E3070" s="3" t="s">
        <v>139</v>
      </c>
      <c r="F3070" s="3" t="s">
        <v>3199</v>
      </c>
      <c r="G3070" s="9">
        <v>450.42</v>
      </c>
      <c r="H3070" s="10">
        <v>45677.537083333344</v>
      </c>
      <c r="I3070" s="10">
        <v>45677.537083333344</v>
      </c>
      <c r="J3070" s="10">
        <v>45677.539201388892</v>
      </c>
      <c r="K3070" s="11">
        <v>2.1180555555555562E-3</v>
      </c>
      <c r="L3070" s="13"/>
    </row>
    <row r="3071" spans="1:12" x14ac:dyDescent="0.25">
      <c r="A3071" s="3" t="s">
        <v>3225</v>
      </c>
      <c r="B3071" s="3" t="s">
        <v>6330</v>
      </c>
      <c r="C3071" s="3" t="s">
        <v>2199</v>
      </c>
      <c r="D3071" s="9">
        <v>389.1</v>
      </c>
      <c r="E3071" s="3" t="s">
        <v>139</v>
      </c>
      <c r="F3071" s="3" t="s">
        <v>3206</v>
      </c>
      <c r="G3071" s="9">
        <v>378.4</v>
      </c>
      <c r="H3071" s="10">
        <v>45677.608472222222</v>
      </c>
      <c r="I3071" s="10">
        <v>45677.608472222222</v>
      </c>
      <c r="J3071" s="10">
        <v>45677.610949074071</v>
      </c>
      <c r="K3071" s="11">
        <v>2.476851851851852E-3</v>
      </c>
      <c r="L3071" s="13"/>
    </row>
    <row r="3072" spans="1:12" x14ac:dyDescent="0.25">
      <c r="A3072" s="3" t="s">
        <v>3225</v>
      </c>
      <c r="B3072" s="3" t="s">
        <v>6331</v>
      </c>
      <c r="C3072" s="3" t="s">
        <v>2201</v>
      </c>
      <c r="D3072" s="9">
        <v>19.899999999999999</v>
      </c>
      <c r="E3072" s="3" t="s">
        <v>139</v>
      </c>
      <c r="F3072" s="3" t="s">
        <v>3198</v>
      </c>
      <c r="G3072" s="9">
        <v>350.87</v>
      </c>
      <c r="H3072" s="10">
        <v>45677.648298611108</v>
      </c>
      <c r="I3072" s="10">
        <v>45677.648298611108</v>
      </c>
      <c r="J3072" s="10">
        <v>45677.649814814817</v>
      </c>
      <c r="K3072" s="11">
        <v>1.5162037037037041E-3</v>
      </c>
      <c r="L3072" s="13"/>
    </row>
    <row r="3073" spans="1:12" x14ac:dyDescent="0.25">
      <c r="A3073" s="3" t="s">
        <v>3225</v>
      </c>
      <c r="B3073" s="3" t="s">
        <v>6332</v>
      </c>
      <c r="C3073" s="3" t="s">
        <v>2203</v>
      </c>
      <c r="D3073" s="9">
        <v>19.899999999999999</v>
      </c>
      <c r="E3073" s="3" t="s">
        <v>139</v>
      </c>
      <c r="F3073" s="3" t="s">
        <v>3197</v>
      </c>
      <c r="G3073" s="9">
        <v>459.96</v>
      </c>
      <c r="H3073" s="10">
        <v>45677.649814814817</v>
      </c>
      <c r="I3073" s="10">
        <v>45677.649814814817</v>
      </c>
      <c r="J3073" s="10">
        <v>45677.651770833327</v>
      </c>
      <c r="K3073" s="11">
        <v>1.956018518518518E-3</v>
      </c>
      <c r="L3073" s="13"/>
    </row>
    <row r="3074" spans="1:12" x14ac:dyDescent="0.25">
      <c r="A3074" s="3" t="s">
        <v>3225</v>
      </c>
      <c r="B3074" s="3" t="s">
        <v>6333</v>
      </c>
      <c r="C3074" s="3" t="s">
        <v>2206</v>
      </c>
      <c r="D3074" s="9">
        <v>19.899999999999999</v>
      </c>
      <c r="E3074" s="3" t="s">
        <v>139</v>
      </c>
      <c r="F3074" s="3" t="s">
        <v>3196</v>
      </c>
      <c r="G3074" s="9">
        <v>450.42</v>
      </c>
      <c r="H3074" s="10">
        <v>45677.651770833327</v>
      </c>
      <c r="I3074" s="10">
        <v>45677.651770833327</v>
      </c>
      <c r="J3074" s="10">
        <v>45677.653692129628</v>
      </c>
      <c r="K3074" s="11">
        <v>1.9212962962962959E-3</v>
      </c>
      <c r="L3074" s="13"/>
    </row>
    <row r="3075" spans="1:12" x14ac:dyDescent="0.25">
      <c r="A3075" s="3" t="s">
        <v>3225</v>
      </c>
      <c r="B3075" s="3" t="s">
        <v>6334</v>
      </c>
      <c r="C3075" s="3" t="s">
        <v>2209</v>
      </c>
      <c r="D3075" s="9">
        <v>19.899999999999999</v>
      </c>
      <c r="E3075" s="3" t="s">
        <v>139</v>
      </c>
      <c r="F3075" s="3" t="s">
        <v>3193</v>
      </c>
      <c r="G3075" s="9">
        <v>297.43</v>
      </c>
      <c r="H3075" s="10">
        <v>45677.653692129628</v>
      </c>
      <c r="I3075" s="10">
        <v>45677.653692129628</v>
      </c>
      <c r="J3075" s="10">
        <v>45677.654976851853</v>
      </c>
      <c r="K3075" s="11">
        <v>1.284722222222222E-3</v>
      </c>
      <c r="L3075" s="13"/>
    </row>
    <row r="3076" spans="1:12" x14ac:dyDescent="0.25">
      <c r="A3076" s="3" t="s">
        <v>3225</v>
      </c>
      <c r="B3076" s="3" t="s">
        <v>6335</v>
      </c>
      <c r="C3076" s="3" t="s">
        <v>2211</v>
      </c>
      <c r="D3076" s="9">
        <v>15.7</v>
      </c>
      <c r="E3076" s="3" t="s">
        <v>139</v>
      </c>
      <c r="F3076" s="3" t="s">
        <v>3201</v>
      </c>
      <c r="G3076" s="9">
        <v>412.05</v>
      </c>
      <c r="H3076" s="10">
        <v>45677.654976851853</v>
      </c>
      <c r="I3076" s="10">
        <v>45677.654976851853</v>
      </c>
      <c r="J3076" s="10">
        <v>45677.656736111108</v>
      </c>
      <c r="K3076" s="11">
        <v>1.759259259259259E-3</v>
      </c>
      <c r="L3076" s="13"/>
    </row>
    <row r="3077" spans="1:12" x14ac:dyDescent="0.25">
      <c r="A3077" s="3" t="s">
        <v>3225</v>
      </c>
      <c r="B3077" s="3" t="s">
        <v>6336</v>
      </c>
      <c r="C3077" s="3" t="s">
        <v>2213</v>
      </c>
      <c r="D3077" s="9">
        <v>62.2</v>
      </c>
      <c r="E3077" s="3" t="s">
        <v>139</v>
      </c>
      <c r="F3077" s="3" t="s">
        <v>3201</v>
      </c>
      <c r="G3077" s="9">
        <v>412.05</v>
      </c>
      <c r="H3077" s="10">
        <v>45677.656736111108</v>
      </c>
      <c r="I3077" s="10">
        <v>45677.656736111108</v>
      </c>
      <c r="J3077" s="10">
        <v>45677.658599537041</v>
      </c>
      <c r="K3077" s="11">
        <v>1.8634259259259259E-3</v>
      </c>
      <c r="L3077" s="13"/>
    </row>
    <row r="3078" spans="1:12" x14ac:dyDescent="0.25">
      <c r="A3078" s="3" t="s">
        <v>3225</v>
      </c>
      <c r="B3078" s="3" t="s">
        <v>6337</v>
      </c>
      <c r="C3078" s="3" t="s">
        <v>2215</v>
      </c>
      <c r="D3078" s="9">
        <v>15.7</v>
      </c>
      <c r="E3078" s="3" t="s">
        <v>139</v>
      </c>
      <c r="F3078" s="3" t="s">
        <v>3199</v>
      </c>
      <c r="G3078" s="9">
        <v>450.42</v>
      </c>
      <c r="H3078" s="10">
        <v>45677.658599537041</v>
      </c>
      <c r="I3078" s="10">
        <v>45677.658599537041</v>
      </c>
      <c r="J3078" s="10">
        <v>45677.660509259258</v>
      </c>
      <c r="K3078" s="11">
        <v>1.9097222222222219E-3</v>
      </c>
      <c r="L3078" s="13"/>
    </row>
    <row r="3079" spans="1:12" x14ac:dyDescent="0.25">
      <c r="A3079" s="3" t="s">
        <v>3225</v>
      </c>
      <c r="B3079" s="3" t="s">
        <v>6338</v>
      </c>
      <c r="C3079" s="3" t="s">
        <v>2218</v>
      </c>
      <c r="D3079" s="9">
        <v>31.5</v>
      </c>
      <c r="E3079" s="3" t="s">
        <v>139</v>
      </c>
      <c r="F3079" s="3" t="s">
        <v>3196</v>
      </c>
      <c r="G3079" s="9">
        <v>450.42</v>
      </c>
      <c r="H3079" s="10">
        <v>45677.660509259258</v>
      </c>
      <c r="I3079" s="10">
        <v>45677.660509259258</v>
      </c>
      <c r="J3079" s="10">
        <v>45677.662453703713</v>
      </c>
      <c r="K3079" s="11">
        <v>1.944444444444444E-3</v>
      </c>
      <c r="L3079" s="13"/>
    </row>
    <row r="3080" spans="1:12" x14ac:dyDescent="0.25">
      <c r="A3080" s="3" t="s">
        <v>3225</v>
      </c>
      <c r="B3080" s="3" t="s">
        <v>6339</v>
      </c>
      <c r="C3080" s="3" t="s">
        <v>2220</v>
      </c>
      <c r="D3080" s="9">
        <v>15.7</v>
      </c>
      <c r="E3080" s="3" t="s">
        <v>139</v>
      </c>
      <c r="F3080" s="3" t="s">
        <v>3199</v>
      </c>
      <c r="G3080" s="9">
        <v>450.42</v>
      </c>
      <c r="H3080" s="10">
        <v>45677.662453703713</v>
      </c>
      <c r="I3080" s="10">
        <v>45677.662453703713</v>
      </c>
      <c r="J3080" s="10">
        <v>45677.664375</v>
      </c>
      <c r="K3080" s="11">
        <v>1.9212962962962959E-3</v>
      </c>
      <c r="L3080" s="13"/>
    </row>
    <row r="3081" spans="1:12" x14ac:dyDescent="0.25">
      <c r="A3081" s="3" t="s">
        <v>3225</v>
      </c>
      <c r="B3081" s="3" t="s">
        <v>6340</v>
      </c>
      <c r="C3081" s="3" t="s">
        <v>2222</v>
      </c>
      <c r="D3081" s="9">
        <v>152.30000000000001</v>
      </c>
      <c r="E3081" s="3" t="s">
        <v>142</v>
      </c>
      <c r="F3081" s="3" t="s">
        <v>3203</v>
      </c>
      <c r="G3081" s="9">
        <v>263.08999999999997</v>
      </c>
      <c r="H3081" s="10">
        <v>45677.666701388887</v>
      </c>
      <c r="I3081" s="10">
        <v>45677.666701388887</v>
      </c>
      <c r="J3081" s="10">
        <v>45677.66814814815</v>
      </c>
      <c r="K3081" s="11">
        <v>1.446759259259259E-3</v>
      </c>
      <c r="L3081" s="13"/>
    </row>
    <row r="3082" spans="1:12" x14ac:dyDescent="0.25">
      <c r="A3082" s="3" t="s">
        <v>3225</v>
      </c>
      <c r="B3082" s="3" t="s">
        <v>6341</v>
      </c>
      <c r="C3082" s="3" t="s">
        <v>2227</v>
      </c>
      <c r="D3082" s="9">
        <v>325.39999999999998</v>
      </c>
      <c r="E3082" s="3" t="s">
        <v>139</v>
      </c>
      <c r="F3082" s="3" t="s">
        <v>3203</v>
      </c>
      <c r="G3082" s="9">
        <v>269.92</v>
      </c>
      <c r="H3082" s="10">
        <v>45677.716331018521</v>
      </c>
      <c r="I3082" s="10">
        <v>45677.716331018521</v>
      </c>
      <c r="J3082" s="10">
        <v>45677.718217592592</v>
      </c>
      <c r="K3082" s="11">
        <v>1.8865740740740739E-3</v>
      </c>
      <c r="L3082" s="13"/>
    </row>
    <row r="3083" spans="1:12" x14ac:dyDescent="0.25">
      <c r="A3083" s="3" t="s">
        <v>3225</v>
      </c>
      <c r="B3083" s="3" t="s">
        <v>6342</v>
      </c>
      <c r="C3083" s="3" t="s">
        <v>2230</v>
      </c>
      <c r="D3083" s="9">
        <v>398</v>
      </c>
      <c r="E3083" s="3" t="s">
        <v>139</v>
      </c>
      <c r="F3083" s="3" t="s">
        <v>3204</v>
      </c>
      <c r="G3083" s="9">
        <v>477.75</v>
      </c>
      <c r="H3083" s="10">
        <v>45677.884699074071</v>
      </c>
      <c r="I3083" s="10">
        <v>45677.884699074071</v>
      </c>
      <c r="J3083" s="10">
        <v>45677.887615740743</v>
      </c>
      <c r="K3083" s="11">
        <v>2.9166666666666668E-3</v>
      </c>
      <c r="L3083" s="13"/>
    </row>
    <row r="3084" spans="1:12" x14ac:dyDescent="0.25">
      <c r="A3084" s="3" t="s">
        <v>3225</v>
      </c>
      <c r="B3084" s="3" t="s">
        <v>6343</v>
      </c>
      <c r="C3084" s="3" t="s">
        <v>2232</v>
      </c>
      <c r="D3084" s="9">
        <v>15.7</v>
      </c>
      <c r="E3084" s="3" t="s">
        <v>139</v>
      </c>
      <c r="F3084" s="3" t="s">
        <v>3199</v>
      </c>
      <c r="G3084" s="9">
        <v>450.42</v>
      </c>
      <c r="H3084" s="10">
        <v>45678.129560185182</v>
      </c>
      <c r="I3084" s="10">
        <v>45678.129560185182</v>
      </c>
      <c r="J3084" s="10">
        <v>45678.131469907406</v>
      </c>
      <c r="K3084" s="11">
        <v>1.9097222222222219E-3</v>
      </c>
      <c r="L3084" s="13"/>
    </row>
    <row r="3085" spans="1:12" x14ac:dyDescent="0.25">
      <c r="A3085" s="3" t="s">
        <v>3225</v>
      </c>
      <c r="B3085" s="3" t="s">
        <v>6344</v>
      </c>
      <c r="C3085" s="3" t="s">
        <v>2234</v>
      </c>
      <c r="D3085" s="9">
        <v>40.9</v>
      </c>
      <c r="E3085" s="3" t="s">
        <v>139</v>
      </c>
      <c r="F3085" s="3" t="s">
        <v>3196</v>
      </c>
      <c r="G3085" s="9">
        <v>450.42</v>
      </c>
      <c r="H3085" s="10">
        <v>45678.131469907406</v>
      </c>
      <c r="I3085" s="10">
        <v>45678.131469907406</v>
      </c>
      <c r="J3085" s="10">
        <v>45678.133449074077</v>
      </c>
      <c r="K3085" s="11">
        <v>1.9791666666666668E-3</v>
      </c>
      <c r="L3085" s="13"/>
    </row>
    <row r="3086" spans="1:12" x14ac:dyDescent="0.25">
      <c r="A3086" s="3" t="s">
        <v>3225</v>
      </c>
      <c r="B3086" s="3" t="s">
        <v>6345</v>
      </c>
      <c r="C3086" s="3" t="s">
        <v>2236</v>
      </c>
      <c r="D3086" s="9">
        <v>35.6</v>
      </c>
      <c r="E3086" s="3" t="s">
        <v>139</v>
      </c>
      <c r="F3086" s="3" t="s">
        <v>3203</v>
      </c>
      <c r="G3086" s="9">
        <v>269.92</v>
      </c>
      <c r="H3086" s="10">
        <v>45678.133449074077</v>
      </c>
      <c r="I3086" s="10">
        <v>45678.133449074077</v>
      </c>
      <c r="J3086" s="10">
        <v>45678.134652777779</v>
      </c>
      <c r="K3086" s="11">
        <v>1.203703703703704E-3</v>
      </c>
      <c r="L3086" s="13"/>
    </row>
    <row r="3087" spans="1:12" x14ac:dyDescent="0.25">
      <c r="A3087" s="3" t="s">
        <v>3225</v>
      </c>
      <c r="B3087" s="3" t="s">
        <v>6346</v>
      </c>
      <c r="C3087" s="3" t="s">
        <v>2239</v>
      </c>
      <c r="D3087" s="9">
        <v>19.899999999999999</v>
      </c>
      <c r="E3087" s="3" t="s">
        <v>139</v>
      </c>
      <c r="F3087" s="3" t="s">
        <v>3194</v>
      </c>
      <c r="G3087" s="9">
        <v>459.96</v>
      </c>
      <c r="H3087" s="10">
        <v>45678.134652777779</v>
      </c>
      <c r="I3087" s="10">
        <v>45678.134652777779</v>
      </c>
      <c r="J3087" s="10">
        <v>45678.136608796303</v>
      </c>
      <c r="K3087" s="11">
        <v>1.956018518518518E-3</v>
      </c>
      <c r="L3087" s="13"/>
    </row>
    <row r="3088" spans="1:12" x14ac:dyDescent="0.25">
      <c r="A3088" s="3" t="s">
        <v>3225</v>
      </c>
      <c r="B3088" s="3" t="s">
        <v>6347</v>
      </c>
      <c r="C3088" s="3" t="s">
        <v>2241</v>
      </c>
      <c r="D3088" s="9">
        <v>203.4</v>
      </c>
      <c r="E3088" s="3" t="s">
        <v>139</v>
      </c>
      <c r="F3088" s="3" t="s">
        <v>3196</v>
      </c>
      <c r="G3088" s="9">
        <v>450.42</v>
      </c>
      <c r="H3088" s="10">
        <v>45678.136608796303</v>
      </c>
      <c r="I3088" s="10">
        <v>45678.136608796303</v>
      </c>
      <c r="J3088" s="10">
        <v>45678.138958333337</v>
      </c>
      <c r="K3088" s="11">
        <v>2.3495370370370371E-3</v>
      </c>
      <c r="L3088" s="13"/>
    </row>
    <row r="3089" spans="1:12" x14ac:dyDescent="0.25">
      <c r="A3089" s="3" t="s">
        <v>3225</v>
      </c>
      <c r="B3089" s="3" t="s">
        <v>6348</v>
      </c>
      <c r="C3089" s="3" t="s">
        <v>2243</v>
      </c>
      <c r="D3089" s="9">
        <v>233.1</v>
      </c>
      <c r="E3089" s="3" t="s">
        <v>139</v>
      </c>
      <c r="F3089" s="3" t="s">
        <v>3202</v>
      </c>
      <c r="G3089" s="9">
        <v>324.35000000000002</v>
      </c>
      <c r="H3089" s="10">
        <v>45678.282453703701</v>
      </c>
      <c r="I3089" s="10">
        <v>45678.282453703701</v>
      </c>
      <c r="J3089" s="10">
        <v>45678.28434027778</v>
      </c>
      <c r="K3089" s="11">
        <v>1.8865740740740739E-3</v>
      </c>
      <c r="L3089" s="13"/>
    </row>
    <row r="3090" spans="1:12" x14ac:dyDescent="0.25">
      <c r="A3090" s="3" t="s">
        <v>3225</v>
      </c>
      <c r="B3090" s="3" t="s">
        <v>6349</v>
      </c>
      <c r="C3090" s="3" t="s">
        <v>2246</v>
      </c>
      <c r="D3090" s="9">
        <v>19.899999999999999</v>
      </c>
      <c r="E3090" s="3" t="s">
        <v>139</v>
      </c>
      <c r="F3090" s="3" t="s">
        <v>3205</v>
      </c>
      <c r="G3090" s="9">
        <v>299.11</v>
      </c>
      <c r="H3090" s="10">
        <v>45678.318622685183</v>
      </c>
      <c r="I3090" s="10">
        <v>45678.318622685183</v>
      </c>
      <c r="J3090" s="10">
        <v>45678.319907407407</v>
      </c>
      <c r="K3090" s="11">
        <v>1.284722222222222E-3</v>
      </c>
      <c r="L3090" s="13"/>
    </row>
    <row r="3091" spans="1:12" x14ac:dyDescent="0.25">
      <c r="A3091" s="3" t="s">
        <v>3225</v>
      </c>
      <c r="B3091" s="3" t="s">
        <v>6350</v>
      </c>
      <c r="C3091" s="3" t="s">
        <v>2249</v>
      </c>
      <c r="D3091" s="9">
        <v>19.899999999999999</v>
      </c>
      <c r="E3091" s="3" t="s">
        <v>139</v>
      </c>
      <c r="F3091" s="3" t="s">
        <v>3193</v>
      </c>
      <c r="G3091" s="9">
        <v>297.43</v>
      </c>
      <c r="H3091" s="10">
        <v>45678.319907407407</v>
      </c>
      <c r="I3091" s="10">
        <v>45678.319907407407</v>
      </c>
      <c r="J3091" s="10">
        <v>45678.321192129632</v>
      </c>
      <c r="K3091" s="11">
        <v>1.284722222222222E-3</v>
      </c>
      <c r="L3091" s="13"/>
    </row>
    <row r="3092" spans="1:12" x14ac:dyDescent="0.25">
      <c r="A3092" s="3" t="s">
        <v>3225</v>
      </c>
      <c r="B3092" s="3" t="s">
        <v>6351</v>
      </c>
      <c r="C3092" s="3" t="s">
        <v>2251</v>
      </c>
      <c r="D3092" s="9">
        <v>15.7</v>
      </c>
      <c r="E3092" s="3" t="s">
        <v>139</v>
      </c>
      <c r="F3092" s="3" t="s">
        <v>3196</v>
      </c>
      <c r="G3092" s="9">
        <v>450.42</v>
      </c>
      <c r="H3092" s="10">
        <v>45678.321192129632</v>
      </c>
      <c r="I3092" s="10">
        <v>45678.321192129632</v>
      </c>
      <c r="J3092" s="10">
        <v>45678.323113425933</v>
      </c>
      <c r="K3092" s="11">
        <v>1.9212962962962959E-3</v>
      </c>
      <c r="L3092" s="13"/>
    </row>
    <row r="3093" spans="1:12" x14ac:dyDescent="0.25">
      <c r="A3093" s="3" t="s">
        <v>3225</v>
      </c>
      <c r="B3093" s="3" t="s">
        <v>6352</v>
      </c>
      <c r="C3093" s="3" t="s">
        <v>2254</v>
      </c>
      <c r="D3093" s="9">
        <v>116.9</v>
      </c>
      <c r="E3093" s="3" t="s">
        <v>139</v>
      </c>
      <c r="F3093" s="3" t="s">
        <v>3194</v>
      </c>
      <c r="G3093" s="9">
        <v>459.96</v>
      </c>
      <c r="H3093" s="10">
        <v>45678.323113425933</v>
      </c>
      <c r="I3093" s="10">
        <v>45678.323113425933</v>
      </c>
      <c r="J3093" s="10">
        <v>45678.325300925928</v>
      </c>
      <c r="K3093" s="11">
        <v>2.1875000000000002E-3</v>
      </c>
      <c r="L3093" s="13"/>
    </row>
    <row r="3094" spans="1:12" x14ac:dyDescent="0.25">
      <c r="A3094" s="3" t="s">
        <v>3225</v>
      </c>
      <c r="B3094" s="3" t="s">
        <v>6353</v>
      </c>
      <c r="C3094" s="3" t="s">
        <v>2256</v>
      </c>
      <c r="D3094" s="9">
        <v>15.7</v>
      </c>
      <c r="E3094" s="3" t="s">
        <v>139</v>
      </c>
      <c r="F3094" s="3" t="s">
        <v>3195</v>
      </c>
      <c r="G3094" s="9">
        <v>405.43</v>
      </c>
      <c r="H3094" s="10">
        <v>45678.325300925928</v>
      </c>
      <c r="I3094" s="10">
        <v>45678.325300925928</v>
      </c>
      <c r="J3094" s="10">
        <v>45678.327025462961</v>
      </c>
      <c r="K3094" s="11">
        <v>1.724537037037037E-3</v>
      </c>
      <c r="L3094" s="13"/>
    </row>
    <row r="3095" spans="1:12" x14ac:dyDescent="0.25">
      <c r="A3095" s="3" t="s">
        <v>3225</v>
      </c>
      <c r="B3095" s="3" t="s">
        <v>6354</v>
      </c>
      <c r="C3095" s="3" t="s">
        <v>2259</v>
      </c>
      <c r="D3095" s="9">
        <v>15.7</v>
      </c>
      <c r="E3095" s="3" t="s">
        <v>139</v>
      </c>
      <c r="F3095" s="3" t="s">
        <v>3204</v>
      </c>
      <c r="G3095" s="9">
        <v>477.75</v>
      </c>
      <c r="H3095" s="10">
        <v>45678.327025462961</v>
      </c>
      <c r="I3095" s="10">
        <v>45678.327025462961</v>
      </c>
      <c r="J3095" s="10">
        <v>45678.329050925917</v>
      </c>
      <c r="K3095" s="11">
        <v>2.0254629629629629E-3</v>
      </c>
      <c r="L3095" s="13"/>
    </row>
    <row r="3096" spans="1:12" x14ac:dyDescent="0.25">
      <c r="A3096" s="3" t="s">
        <v>3225</v>
      </c>
      <c r="B3096" s="3" t="s">
        <v>6355</v>
      </c>
      <c r="C3096" s="3" t="s">
        <v>2262</v>
      </c>
      <c r="D3096" s="9">
        <v>19.899999999999999</v>
      </c>
      <c r="E3096" s="3" t="s">
        <v>139</v>
      </c>
      <c r="F3096" s="3" t="s">
        <v>3195</v>
      </c>
      <c r="G3096" s="9">
        <v>405.43</v>
      </c>
      <c r="H3096" s="10">
        <v>45678.329050925917</v>
      </c>
      <c r="I3096" s="10">
        <v>45678.329050925917</v>
      </c>
      <c r="J3096" s="10">
        <v>45678.330787037034</v>
      </c>
      <c r="K3096" s="11">
        <v>1.736111111111111E-3</v>
      </c>
      <c r="L3096" s="13"/>
    </row>
    <row r="3097" spans="1:12" x14ac:dyDescent="0.25">
      <c r="A3097" s="3" t="s">
        <v>3225</v>
      </c>
      <c r="B3097" s="3" t="s">
        <v>6356</v>
      </c>
      <c r="C3097" s="3" t="s">
        <v>2264</v>
      </c>
      <c r="D3097" s="9">
        <v>117.1</v>
      </c>
      <c r="E3097" s="3" t="s">
        <v>139</v>
      </c>
      <c r="F3097" s="3" t="s">
        <v>3197</v>
      </c>
      <c r="G3097" s="9">
        <v>459.96</v>
      </c>
      <c r="H3097" s="10">
        <v>45678.330787037034</v>
      </c>
      <c r="I3097" s="10">
        <v>45678.330787037034</v>
      </c>
      <c r="J3097" s="10">
        <v>45678.332974537043</v>
      </c>
      <c r="K3097" s="11">
        <v>2.1875000000000002E-3</v>
      </c>
      <c r="L3097" s="13"/>
    </row>
    <row r="3098" spans="1:12" x14ac:dyDescent="0.25">
      <c r="A3098" s="3" t="s">
        <v>3225</v>
      </c>
      <c r="B3098" s="3" t="s">
        <v>6357</v>
      </c>
      <c r="C3098" s="3" t="s">
        <v>2268</v>
      </c>
      <c r="D3098" s="9">
        <v>339.1</v>
      </c>
      <c r="E3098" s="3" t="s">
        <v>169</v>
      </c>
      <c r="F3098" s="3" t="s">
        <v>3197</v>
      </c>
      <c r="G3098" s="9">
        <v>425.77</v>
      </c>
      <c r="H3098" s="10">
        <v>45678.33384259259</v>
      </c>
      <c r="I3098" s="10">
        <v>45678.33384259259</v>
      </c>
      <c r="J3098" s="10">
        <v>45678.336400462962</v>
      </c>
      <c r="K3098" s="11">
        <v>2.5578703703703709E-3</v>
      </c>
      <c r="L3098" s="13"/>
    </row>
    <row r="3099" spans="1:12" x14ac:dyDescent="0.25">
      <c r="A3099" s="3" t="s">
        <v>3225</v>
      </c>
      <c r="B3099" s="3" t="s">
        <v>6358</v>
      </c>
      <c r="C3099" s="3" t="s">
        <v>2289</v>
      </c>
      <c r="D3099" s="9">
        <v>77.3</v>
      </c>
      <c r="E3099" s="3" t="s">
        <v>142</v>
      </c>
      <c r="F3099" s="3" t="s">
        <v>3197</v>
      </c>
      <c r="G3099" s="9">
        <v>453.13</v>
      </c>
      <c r="H3099" s="10">
        <v>45678.383032407408</v>
      </c>
      <c r="I3099" s="10">
        <v>45678.383032407408</v>
      </c>
      <c r="J3099" s="10">
        <v>45678.385104166657</v>
      </c>
      <c r="K3099" s="11">
        <v>2.0717592592592589E-3</v>
      </c>
      <c r="L3099" s="13"/>
    </row>
    <row r="3100" spans="1:12" x14ac:dyDescent="0.25">
      <c r="A3100" s="3" t="s">
        <v>3225</v>
      </c>
      <c r="B3100" s="3" t="s">
        <v>6359</v>
      </c>
      <c r="C3100" s="3" t="s">
        <v>2292</v>
      </c>
      <c r="D3100" s="9">
        <v>37.5</v>
      </c>
      <c r="E3100" s="3" t="s">
        <v>142</v>
      </c>
      <c r="F3100" s="3" t="s">
        <v>3203</v>
      </c>
      <c r="G3100" s="9">
        <v>263.08999999999997</v>
      </c>
      <c r="H3100" s="10">
        <v>45678.385104166657</v>
      </c>
      <c r="I3100" s="10">
        <v>45678.385104166657</v>
      </c>
      <c r="J3100" s="10">
        <v>45678.386284722219</v>
      </c>
      <c r="K3100" s="11">
        <v>1.180555555555556E-3</v>
      </c>
      <c r="L3100" s="13"/>
    </row>
    <row r="3101" spans="1:12" x14ac:dyDescent="0.25">
      <c r="A3101" s="3" t="s">
        <v>3225</v>
      </c>
      <c r="B3101" s="3" t="s">
        <v>6360</v>
      </c>
      <c r="C3101" s="3" t="s">
        <v>2271</v>
      </c>
      <c r="D3101" s="9">
        <v>19.899999999999999</v>
      </c>
      <c r="E3101" s="3" t="s">
        <v>139</v>
      </c>
      <c r="F3101" s="3" t="s">
        <v>3193</v>
      </c>
      <c r="G3101" s="9">
        <v>297.43</v>
      </c>
      <c r="H3101" s="10">
        <v>45678.387152777781</v>
      </c>
      <c r="I3101" s="10">
        <v>45678.387152777781</v>
      </c>
      <c r="J3101" s="10">
        <v>45678.388437499998</v>
      </c>
      <c r="K3101" s="11">
        <v>1.284722222222222E-3</v>
      </c>
      <c r="L3101" s="13"/>
    </row>
    <row r="3102" spans="1:12" x14ac:dyDescent="0.25">
      <c r="A3102" s="3" t="s">
        <v>3225</v>
      </c>
      <c r="B3102" s="3" t="s">
        <v>6361</v>
      </c>
      <c r="C3102" s="3" t="s">
        <v>2273</v>
      </c>
      <c r="D3102" s="9">
        <v>70.5</v>
      </c>
      <c r="E3102" s="3" t="s">
        <v>139</v>
      </c>
      <c r="F3102" s="3" t="s">
        <v>3203</v>
      </c>
      <c r="G3102" s="9">
        <v>269.92</v>
      </c>
      <c r="H3102" s="10">
        <v>45678.388437499998</v>
      </c>
      <c r="I3102" s="10">
        <v>45678.388437499998</v>
      </c>
      <c r="J3102" s="10">
        <v>45678.389722222222</v>
      </c>
      <c r="K3102" s="11">
        <v>1.284722222222222E-3</v>
      </c>
      <c r="L3102" s="13"/>
    </row>
    <row r="3103" spans="1:12" x14ac:dyDescent="0.25">
      <c r="A3103" s="3" t="s">
        <v>3225</v>
      </c>
      <c r="B3103" s="3" t="s">
        <v>6362</v>
      </c>
      <c r="C3103" s="3" t="s">
        <v>2275</v>
      </c>
      <c r="D3103" s="9">
        <v>35.6</v>
      </c>
      <c r="E3103" s="3" t="s">
        <v>139</v>
      </c>
      <c r="F3103" s="3" t="s">
        <v>3203</v>
      </c>
      <c r="G3103" s="9">
        <v>269.92</v>
      </c>
      <c r="H3103" s="10">
        <v>45678.389722222222</v>
      </c>
      <c r="I3103" s="10">
        <v>45678.389722222222</v>
      </c>
      <c r="J3103" s="10">
        <v>45678.3909375</v>
      </c>
      <c r="K3103" s="11">
        <v>1.215277777777778E-3</v>
      </c>
      <c r="L3103" s="13"/>
    </row>
    <row r="3104" spans="1:12" x14ac:dyDescent="0.25">
      <c r="A3104" s="3" t="s">
        <v>3225</v>
      </c>
      <c r="B3104" s="3" t="s">
        <v>6363</v>
      </c>
      <c r="C3104" s="3" t="s">
        <v>2277</v>
      </c>
      <c r="D3104" s="9">
        <v>90.4</v>
      </c>
      <c r="E3104" s="3" t="s">
        <v>139</v>
      </c>
      <c r="F3104" s="3" t="s">
        <v>3199</v>
      </c>
      <c r="G3104" s="9">
        <v>450.42</v>
      </c>
      <c r="H3104" s="10">
        <v>45678.3909375</v>
      </c>
      <c r="I3104" s="10">
        <v>45678.3909375</v>
      </c>
      <c r="J3104" s="10">
        <v>45678.393020833333</v>
      </c>
      <c r="K3104" s="11">
        <v>2.0833333333333329E-3</v>
      </c>
      <c r="L3104" s="13"/>
    </row>
    <row r="3105" spans="1:12" x14ac:dyDescent="0.25">
      <c r="A3105" s="3" t="s">
        <v>3225</v>
      </c>
      <c r="B3105" s="3" t="s">
        <v>6364</v>
      </c>
      <c r="C3105" s="3" t="s">
        <v>2280</v>
      </c>
      <c r="D3105" s="9">
        <v>108</v>
      </c>
      <c r="E3105" s="3" t="s">
        <v>139</v>
      </c>
      <c r="F3105" s="3" t="s">
        <v>3200</v>
      </c>
      <c r="G3105" s="9">
        <v>405.03</v>
      </c>
      <c r="H3105" s="10">
        <v>45678.393020833333</v>
      </c>
      <c r="I3105" s="10">
        <v>45678.393020833333</v>
      </c>
      <c r="J3105" s="10">
        <v>45678.394953703697</v>
      </c>
      <c r="K3105" s="11">
        <v>1.93287037037037E-3</v>
      </c>
      <c r="L3105" s="13"/>
    </row>
    <row r="3106" spans="1:12" x14ac:dyDescent="0.25">
      <c r="A3106" s="3" t="s">
        <v>3225</v>
      </c>
      <c r="B3106" s="3" t="s">
        <v>6365</v>
      </c>
      <c r="C3106" s="3" t="s">
        <v>2283</v>
      </c>
      <c r="D3106" s="9">
        <v>61.9</v>
      </c>
      <c r="E3106" s="3" t="s">
        <v>139</v>
      </c>
      <c r="F3106" s="3" t="s">
        <v>3205</v>
      </c>
      <c r="G3106" s="9">
        <v>299.11</v>
      </c>
      <c r="H3106" s="10">
        <v>45678.394953703697</v>
      </c>
      <c r="I3106" s="10">
        <v>45678.394953703697</v>
      </c>
      <c r="J3106" s="10">
        <v>45678.39634259259</v>
      </c>
      <c r="K3106" s="11">
        <v>1.3888888888888889E-3</v>
      </c>
      <c r="L3106" s="13"/>
    </row>
    <row r="3107" spans="1:12" x14ac:dyDescent="0.25">
      <c r="A3107" s="3" t="s">
        <v>3225</v>
      </c>
      <c r="B3107" s="3" t="s">
        <v>6366</v>
      </c>
      <c r="C3107" s="3" t="s">
        <v>2285</v>
      </c>
      <c r="D3107" s="9">
        <v>21</v>
      </c>
      <c r="E3107" s="3" t="s">
        <v>139</v>
      </c>
      <c r="F3107" s="3" t="s">
        <v>3199</v>
      </c>
      <c r="G3107" s="9">
        <v>450.42</v>
      </c>
      <c r="H3107" s="10">
        <v>45678.39634259259</v>
      </c>
      <c r="I3107" s="10">
        <v>45678.39634259259</v>
      </c>
      <c r="J3107" s="10">
        <v>45678.398275462961</v>
      </c>
      <c r="K3107" s="11">
        <v>1.93287037037037E-3</v>
      </c>
      <c r="L3107" s="13"/>
    </row>
    <row r="3108" spans="1:12" x14ac:dyDescent="0.25">
      <c r="A3108" s="3" t="s">
        <v>3225</v>
      </c>
      <c r="B3108" s="3" t="s">
        <v>6367</v>
      </c>
      <c r="C3108" s="3" t="s">
        <v>2287</v>
      </c>
      <c r="D3108" s="9">
        <v>15.7</v>
      </c>
      <c r="E3108" s="3" t="s">
        <v>139</v>
      </c>
      <c r="F3108" s="3" t="s">
        <v>3196</v>
      </c>
      <c r="G3108" s="9">
        <v>450.42</v>
      </c>
      <c r="H3108" s="10">
        <v>45678.398275462961</v>
      </c>
      <c r="I3108" s="10">
        <v>45678.398275462961</v>
      </c>
      <c r="J3108" s="10">
        <v>45678.400185185194</v>
      </c>
      <c r="K3108" s="11">
        <v>1.9097222222222219E-3</v>
      </c>
      <c r="L3108" s="13"/>
    </row>
    <row r="3109" spans="1:12" x14ac:dyDescent="0.25">
      <c r="A3109" s="3" t="s">
        <v>3225</v>
      </c>
      <c r="B3109" s="3" t="s">
        <v>6368</v>
      </c>
      <c r="C3109" s="3" t="s">
        <v>2294</v>
      </c>
      <c r="D3109" s="9">
        <v>286.3</v>
      </c>
      <c r="E3109" s="3" t="s">
        <v>139</v>
      </c>
      <c r="F3109" s="3" t="s">
        <v>3197</v>
      </c>
      <c r="G3109" s="9">
        <v>459.96</v>
      </c>
      <c r="H3109" s="10">
        <v>45678.430474537039</v>
      </c>
      <c r="I3109" s="10">
        <v>45678.430474537039</v>
      </c>
      <c r="J3109" s="10">
        <v>45678.433055555557</v>
      </c>
      <c r="K3109" s="11">
        <v>2.5810185185185189E-3</v>
      </c>
      <c r="L3109" s="13"/>
    </row>
    <row r="3110" spans="1:12" x14ac:dyDescent="0.25">
      <c r="A3110" s="3" t="s">
        <v>3225</v>
      </c>
      <c r="B3110" s="3" t="s">
        <v>6369</v>
      </c>
      <c r="C3110" s="3" t="s">
        <v>2296</v>
      </c>
      <c r="D3110" s="9">
        <v>40.9</v>
      </c>
      <c r="E3110" s="3" t="s">
        <v>139</v>
      </c>
      <c r="F3110" s="3" t="s">
        <v>3203</v>
      </c>
      <c r="G3110" s="9">
        <v>269.92</v>
      </c>
      <c r="H3110" s="10">
        <v>45678.433055555557</v>
      </c>
      <c r="I3110" s="10">
        <v>45678.433055555557</v>
      </c>
      <c r="J3110" s="10">
        <v>45678.434270833342</v>
      </c>
      <c r="K3110" s="11">
        <v>1.215277777777778E-3</v>
      </c>
      <c r="L3110" s="13"/>
    </row>
    <row r="3111" spans="1:12" x14ac:dyDescent="0.25">
      <c r="A3111" s="3" t="s">
        <v>3225</v>
      </c>
      <c r="B3111" s="3" t="s">
        <v>6370</v>
      </c>
      <c r="C3111" s="3" t="s">
        <v>2299</v>
      </c>
      <c r="D3111" s="9">
        <v>91.2</v>
      </c>
      <c r="E3111" s="3" t="s">
        <v>139</v>
      </c>
      <c r="F3111" s="3" t="s">
        <v>3197</v>
      </c>
      <c r="G3111" s="9">
        <v>459.96</v>
      </c>
      <c r="H3111" s="10">
        <v>45678.434270833342</v>
      </c>
      <c r="I3111" s="10">
        <v>45678.434270833342</v>
      </c>
      <c r="J3111" s="10">
        <v>45678.436400462961</v>
      </c>
      <c r="K3111" s="11">
        <v>2.1296296296296302E-3</v>
      </c>
      <c r="L3111" s="13"/>
    </row>
    <row r="3112" spans="1:12" x14ac:dyDescent="0.25">
      <c r="A3112" s="3" t="s">
        <v>3225</v>
      </c>
      <c r="B3112" s="3" t="s">
        <v>6371</v>
      </c>
      <c r="C3112" s="3" t="s">
        <v>2301</v>
      </c>
      <c r="D3112" s="9">
        <v>398</v>
      </c>
      <c r="E3112" s="3" t="s">
        <v>139</v>
      </c>
      <c r="F3112" s="3" t="s">
        <v>3197</v>
      </c>
      <c r="G3112" s="9">
        <v>459.96</v>
      </c>
      <c r="H3112" s="10">
        <v>45678.611354166656</v>
      </c>
      <c r="I3112" s="10">
        <v>45678.611354166656</v>
      </c>
      <c r="J3112" s="10">
        <v>45678.614201388889</v>
      </c>
      <c r="K3112" s="11">
        <v>2.8472222222222219E-3</v>
      </c>
      <c r="L3112" s="13"/>
    </row>
    <row r="3113" spans="1:12" x14ac:dyDescent="0.25">
      <c r="A3113" s="3" t="s">
        <v>3225</v>
      </c>
      <c r="B3113" s="3" t="s">
        <v>6372</v>
      </c>
      <c r="C3113" s="3" t="s">
        <v>2304</v>
      </c>
      <c r="D3113" s="9">
        <v>19.899999999999999</v>
      </c>
      <c r="E3113" s="3" t="s">
        <v>142</v>
      </c>
      <c r="F3113" s="3" t="s">
        <v>3205</v>
      </c>
      <c r="G3113" s="9">
        <v>292.27999999999997</v>
      </c>
      <c r="H3113" s="10">
        <v>45678.626701388886</v>
      </c>
      <c r="I3113" s="10">
        <v>45678.626701388886</v>
      </c>
      <c r="J3113" s="10">
        <v>45678.627962962957</v>
      </c>
      <c r="K3113" s="11">
        <v>1.261574074074074E-3</v>
      </c>
      <c r="L3113" s="13"/>
    </row>
    <row r="3114" spans="1:12" x14ac:dyDescent="0.25">
      <c r="A3114" s="3" t="s">
        <v>3225</v>
      </c>
      <c r="B3114" s="3" t="s">
        <v>6373</v>
      </c>
      <c r="C3114" s="3" t="s">
        <v>2306</v>
      </c>
      <c r="D3114" s="9">
        <v>19.899999999999999</v>
      </c>
      <c r="E3114" s="3" t="s">
        <v>142</v>
      </c>
      <c r="F3114" s="3" t="s">
        <v>3198</v>
      </c>
      <c r="G3114" s="9">
        <v>344.04</v>
      </c>
      <c r="H3114" s="10">
        <v>45678.627962962957</v>
      </c>
      <c r="I3114" s="10">
        <v>45678.627962962957</v>
      </c>
      <c r="J3114" s="10">
        <v>45678.629444444443</v>
      </c>
      <c r="K3114" s="11">
        <v>1.481481481481481E-3</v>
      </c>
      <c r="L3114" s="13"/>
    </row>
    <row r="3115" spans="1:12" x14ac:dyDescent="0.25">
      <c r="A3115" s="3" t="s">
        <v>3225</v>
      </c>
      <c r="B3115" s="3" t="s">
        <v>6374</v>
      </c>
      <c r="C3115" s="3" t="s">
        <v>2308</v>
      </c>
      <c r="D3115" s="9">
        <v>15.7</v>
      </c>
      <c r="E3115" s="3" t="s">
        <v>142</v>
      </c>
      <c r="F3115" s="3" t="s">
        <v>3201</v>
      </c>
      <c r="G3115" s="9">
        <v>405.22</v>
      </c>
      <c r="H3115" s="10">
        <v>45678.629444444443</v>
      </c>
      <c r="I3115" s="10">
        <v>45678.629444444443</v>
      </c>
      <c r="J3115" s="10">
        <v>45678.631168981483</v>
      </c>
      <c r="K3115" s="11">
        <v>1.724537037037037E-3</v>
      </c>
      <c r="L3115" s="13"/>
    </row>
    <row r="3116" spans="1:12" x14ac:dyDescent="0.25">
      <c r="A3116" s="3" t="s">
        <v>3225</v>
      </c>
      <c r="B3116" s="3" t="s">
        <v>6375</v>
      </c>
      <c r="C3116" s="3" t="s">
        <v>2311</v>
      </c>
      <c r="D3116" s="9">
        <v>173.3</v>
      </c>
      <c r="E3116" s="3" t="s">
        <v>142</v>
      </c>
      <c r="F3116" s="3" t="s">
        <v>3203</v>
      </c>
      <c r="G3116" s="9">
        <v>263.08999999999997</v>
      </c>
      <c r="H3116" s="10">
        <v>45678.631168981483</v>
      </c>
      <c r="I3116" s="10">
        <v>45678.631168981483</v>
      </c>
      <c r="J3116" s="10">
        <v>45678.632662037038</v>
      </c>
      <c r="K3116" s="11">
        <v>1.4930555555555561E-3</v>
      </c>
      <c r="L3116" s="13"/>
    </row>
    <row r="3117" spans="1:12" x14ac:dyDescent="0.25">
      <c r="A3117" s="3" t="s">
        <v>3225</v>
      </c>
      <c r="B3117" s="3" t="s">
        <v>6376</v>
      </c>
      <c r="C3117" s="3" t="s">
        <v>2313</v>
      </c>
      <c r="D3117" s="9">
        <v>108</v>
      </c>
      <c r="E3117" s="3" t="s">
        <v>142</v>
      </c>
      <c r="F3117" s="3" t="s">
        <v>3201</v>
      </c>
      <c r="G3117" s="9">
        <v>405.22</v>
      </c>
      <c r="H3117" s="10">
        <v>45678.632662037038</v>
      </c>
      <c r="I3117" s="10">
        <v>45678.632662037038</v>
      </c>
      <c r="J3117" s="10">
        <v>45678.634606481479</v>
      </c>
      <c r="K3117" s="11">
        <v>1.944444444444444E-3</v>
      </c>
      <c r="L3117" s="13"/>
    </row>
    <row r="3118" spans="1:12" x14ac:dyDescent="0.25">
      <c r="A3118" s="3" t="s">
        <v>3225</v>
      </c>
      <c r="B3118" s="3" t="s">
        <v>6377</v>
      </c>
      <c r="C3118" s="3" t="s">
        <v>2315</v>
      </c>
      <c r="D3118" s="9">
        <v>15.7</v>
      </c>
      <c r="E3118" s="3" t="s">
        <v>142</v>
      </c>
      <c r="F3118" s="3" t="s">
        <v>3196</v>
      </c>
      <c r="G3118" s="9">
        <v>443.59</v>
      </c>
      <c r="H3118" s="10">
        <v>45678.634606481479</v>
      </c>
      <c r="I3118" s="10">
        <v>45678.634606481479</v>
      </c>
      <c r="J3118" s="10">
        <v>45678.636481481481</v>
      </c>
      <c r="K3118" s="11">
        <v>1.8749999999999999E-3</v>
      </c>
      <c r="L3118" s="13"/>
    </row>
    <row r="3119" spans="1:12" x14ac:dyDescent="0.25">
      <c r="A3119" s="3" t="s">
        <v>3225</v>
      </c>
      <c r="B3119" s="3" t="s">
        <v>6378</v>
      </c>
      <c r="C3119" s="3" t="s">
        <v>2317</v>
      </c>
      <c r="D3119" s="9">
        <v>209.9</v>
      </c>
      <c r="E3119" s="3" t="s">
        <v>142</v>
      </c>
      <c r="F3119" s="3" t="s">
        <v>3206</v>
      </c>
      <c r="G3119" s="9">
        <v>371.57</v>
      </c>
      <c r="H3119" s="10">
        <v>45678.636481481481</v>
      </c>
      <c r="I3119" s="10">
        <v>45678.636481481481</v>
      </c>
      <c r="J3119" s="10">
        <v>45678.638518518521</v>
      </c>
      <c r="K3119" s="11">
        <v>2.0370370370370369E-3</v>
      </c>
      <c r="L3119" s="13"/>
    </row>
    <row r="3120" spans="1:12" x14ac:dyDescent="0.25">
      <c r="A3120" s="3" t="s">
        <v>3225</v>
      </c>
      <c r="B3120" s="3" t="s">
        <v>6379</v>
      </c>
      <c r="C3120" s="3" t="s">
        <v>2320</v>
      </c>
      <c r="D3120" s="9">
        <v>19.899999999999999</v>
      </c>
      <c r="E3120" s="3" t="s">
        <v>142</v>
      </c>
      <c r="F3120" s="3" t="s">
        <v>3195</v>
      </c>
      <c r="G3120" s="9">
        <v>398.6</v>
      </c>
      <c r="H3120" s="10">
        <v>45678.638518518521</v>
      </c>
      <c r="I3120" s="10">
        <v>45678.638518518521</v>
      </c>
      <c r="J3120" s="10">
        <v>45678.640231481477</v>
      </c>
      <c r="K3120" s="11">
        <v>1.712962962962963E-3</v>
      </c>
      <c r="L3120" s="13"/>
    </row>
    <row r="3121" spans="1:12" x14ac:dyDescent="0.25">
      <c r="A3121" s="3" t="s">
        <v>3225</v>
      </c>
      <c r="B3121" s="3" t="s">
        <v>6380</v>
      </c>
      <c r="C3121" s="3" t="s">
        <v>2322</v>
      </c>
      <c r="D3121" s="9">
        <v>125.9</v>
      </c>
      <c r="E3121" s="3" t="s">
        <v>139</v>
      </c>
      <c r="F3121" s="3" t="s">
        <v>3197</v>
      </c>
      <c r="G3121" s="9">
        <v>459.96</v>
      </c>
      <c r="H3121" s="10">
        <v>45678.641099537039</v>
      </c>
      <c r="I3121" s="10">
        <v>45678.641099537039</v>
      </c>
      <c r="J3121" s="10">
        <v>45678.64329861111</v>
      </c>
      <c r="K3121" s="11">
        <v>2.1990740740740742E-3</v>
      </c>
      <c r="L3121" s="13"/>
    </row>
    <row r="3122" spans="1:12" x14ac:dyDescent="0.25">
      <c r="A3122" s="3" t="s">
        <v>3225</v>
      </c>
      <c r="B3122" s="3" t="s">
        <v>6381</v>
      </c>
      <c r="C3122" s="3" t="s">
        <v>2325</v>
      </c>
      <c r="D3122" s="9">
        <v>187.4</v>
      </c>
      <c r="E3122" s="3" t="s">
        <v>139</v>
      </c>
      <c r="F3122" s="3" t="s">
        <v>3197</v>
      </c>
      <c r="G3122" s="9">
        <v>459.96</v>
      </c>
      <c r="H3122" s="10">
        <v>45678.875428240739</v>
      </c>
      <c r="I3122" s="10">
        <v>45678.875428240739</v>
      </c>
      <c r="J3122" s="10">
        <v>45678.87777777778</v>
      </c>
      <c r="K3122" s="11">
        <v>2.3495370370370371E-3</v>
      </c>
      <c r="L3122" s="13"/>
    </row>
    <row r="3123" spans="1:12" x14ac:dyDescent="0.25">
      <c r="A3123" s="3" t="s">
        <v>3225</v>
      </c>
      <c r="B3123" s="3" t="s">
        <v>6382</v>
      </c>
      <c r="C3123" s="3" t="s">
        <v>2328</v>
      </c>
      <c r="D3123" s="9">
        <v>74.599999999999994</v>
      </c>
      <c r="E3123" s="3" t="s">
        <v>139</v>
      </c>
      <c r="F3123" s="3" t="s">
        <v>3203</v>
      </c>
      <c r="G3123" s="9">
        <v>269.92</v>
      </c>
      <c r="H3123" s="10">
        <v>45679.114537037043</v>
      </c>
      <c r="I3123" s="10">
        <v>45679.114537037043</v>
      </c>
      <c r="J3123" s="10">
        <v>45679.115833333337</v>
      </c>
      <c r="K3123" s="11">
        <v>1.296296296296296E-3</v>
      </c>
      <c r="L3123" s="13"/>
    </row>
    <row r="3124" spans="1:12" x14ac:dyDescent="0.25">
      <c r="A3124" s="3" t="s">
        <v>3225</v>
      </c>
      <c r="B3124" s="3" t="s">
        <v>6383</v>
      </c>
      <c r="C3124" s="3" t="s">
        <v>2331</v>
      </c>
      <c r="D3124" s="9">
        <v>144.80000000000001</v>
      </c>
      <c r="E3124" s="3" t="s">
        <v>139</v>
      </c>
      <c r="F3124" s="3" t="s">
        <v>3203</v>
      </c>
      <c r="G3124" s="9">
        <v>269.92</v>
      </c>
      <c r="H3124" s="10">
        <v>45679.115833333337</v>
      </c>
      <c r="I3124" s="10">
        <v>45679.115833333337</v>
      </c>
      <c r="J3124" s="10">
        <v>45679.117291666669</v>
      </c>
      <c r="K3124" s="11">
        <v>1.458333333333333E-3</v>
      </c>
      <c r="L3124" s="13"/>
    </row>
    <row r="3125" spans="1:12" x14ac:dyDescent="0.25">
      <c r="A3125" s="3" t="s">
        <v>3225</v>
      </c>
      <c r="B3125" s="3" t="s">
        <v>6384</v>
      </c>
      <c r="C3125" s="3" t="s">
        <v>2333</v>
      </c>
      <c r="D3125" s="9">
        <v>47.2</v>
      </c>
      <c r="E3125" s="3" t="s">
        <v>139</v>
      </c>
      <c r="F3125" s="3" t="s">
        <v>3199</v>
      </c>
      <c r="G3125" s="9">
        <v>450.42</v>
      </c>
      <c r="H3125" s="10">
        <v>45679.117291666669</v>
      </c>
      <c r="I3125" s="10">
        <v>45679.117291666669</v>
      </c>
      <c r="J3125" s="10">
        <v>45679.11928240741</v>
      </c>
      <c r="K3125" s="11">
        <v>1.9907407407407408E-3</v>
      </c>
      <c r="L3125" s="13"/>
    </row>
    <row r="3126" spans="1:12" x14ac:dyDescent="0.25">
      <c r="A3126" s="3" t="s">
        <v>3225</v>
      </c>
      <c r="B3126" s="3" t="s">
        <v>6385</v>
      </c>
      <c r="C3126" s="3" t="s">
        <v>2336</v>
      </c>
      <c r="D3126" s="9">
        <v>31.9</v>
      </c>
      <c r="E3126" s="3" t="s">
        <v>139</v>
      </c>
      <c r="F3126" s="3" t="s">
        <v>3194</v>
      </c>
      <c r="G3126" s="9">
        <v>459.96</v>
      </c>
      <c r="H3126" s="10">
        <v>45679.11928240741</v>
      </c>
      <c r="I3126" s="10">
        <v>45679.11928240741</v>
      </c>
      <c r="J3126" s="10">
        <v>45679.12127314815</v>
      </c>
      <c r="K3126" s="11">
        <v>1.9907407407407408E-3</v>
      </c>
      <c r="L3126" s="13"/>
    </row>
    <row r="3127" spans="1:12" x14ac:dyDescent="0.25">
      <c r="A3127" s="3" t="s">
        <v>3225</v>
      </c>
      <c r="B3127" s="3" t="s">
        <v>6386</v>
      </c>
      <c r="C3127" s="3" t="s">
        <v>2339</v>
      </c>
      <c r="D3127" s="9">
        <v>366.6</v>
      </c>
      <c r="E3127" s="3" t="s">
        <v>139</v>
      </c>
      <c r="F3127" s="3" t="s">
        <v>3204</v>
      </c>
      <c r="G3127" s="9">
        <v>477.75</v>
      </c>
      <c r="H3127" s="10">
        <v>45679.198900462958</v>
      </c>
      <c r="I3127" s="10">
        <v>45679.198900462958</v>
      </c>
      <c r="J3127" s="10">
        <v>45679.201736111107</v>
      </c>
      <c r="K3127" s="11">
        <v>2.8356481481481479E-3</v>
      </c>
      <c r="L3127" s="13"/>
    </row>
    <row r="3128" spans="1:12" x14ac:dyDescent="0.25">
      <c r="A3128" s="3" t="s">
        <v>3225</v>
      </c>
      <c r="B3128" s="3" t="s">
        <v>6387</v>
      </c>
      <c r="C3128" s="3" t="s">
        <v>2341</v>
      </c>
      <c r="D3128" s="9">
        <v>291.7</v>
      </c>
      <c r="E3128" s="3" t="s">
        <v>139</v>
      </c>
      <c r="F3128" s="3" t="s">
        <v>3197</v>
      </c>
      <c r="G3128" s="9">
        <v>459.96</v>
      </c>
      <c r="H3128" s="10">
        <v>45679.272650462961</v>
      </c>
      <c r="I3128" s="10">
        <v>45679.272650462961</v>
      </c>
      <c r="J3128" s="10">
        <v>45679.275243055563</v>
      </c>
      <c r="K3128" s="11">
        <v>2.592592592592593E-3</v>
      </c>
      <c r="L3128" s="13"/>
    </row>
    <row r="3129" spans="1:12" x14ac:dyDescent="0.25">
      <c r="A3129" s="3" t="s">
        <v>3225</v>
      </c>
      <c r="B3129" s="3" t="s">
        <v>6388</v>
      </c>
      <c r="C3129" s="3" t="s">
        <v>2344</v>
      </c>
      <c r="D3129" s="9">
        <v>81</v>
      </c>
      <c r="E3129" s="3" t="s">
        <v>139</v>
      </c>
      <c r="F3129" s="3" t="s">
        <v>3202</v>
      </c>
      <c r="G3129" s="9">
        <v>324.35000000000002</v>
      </c>
      <c r="H3129" s="10">
        <v>45679.302291666667</v>
      </c>
      <c r="I3129" s="10">
        <v>45679.302291666667</v>
      </c>
      <c r="J3129" s="10">
        <v>45679.303831018522</v>
      </c>
      <c r="K3129" s="11">
        <v>1.5393518518518521E-3</v>
      </c>
      <c r="L3129" s="13"/>
    </row>
    <row r="3130" spans="1:12" x14ac:dyDescent="0.25">
      <c r="A3130" s="3" t="s">
        <v>3225</v>
      </c>
      <c r="B3130" s="3" t="s">
        <v>6389</v>
      </c>
      <c r="C3130" s="3" t="s">
        <v>2347</v>
      </c>
      <c r="D3130" s="9">
        <v>19.899999999999999</v>
      </c>
      <c r="E3130" s="3" t="s">
        <v>139</v>
      </c>
      <c r="F3130" s="3" t="s">
        <v>3194</v>
      </c>
      <c r="G3130" s="9">
        <v>459.96</v>
      </c>
      <c r="H3130" s="10">
        <v>45679.303831018522</v>
      </c>
      <c r="I3130" s="10">
        <v>45679.303831018522</v>
      </c>
      <c r="J3130" s="10">
        <v>45679.305787037039</v>
      </c>
      <c r="K3130" s="11">
        <v>1.956018518518518E-3</v>
      </c>
      <c r="L3130" s="13"/>
    </row>
    <row r="3131" spans="1:12" x14ac:dyDescent="0.25">
      <c r="A3131" s="3" t="s">
        <v>3225</v>
      </c>
      <c r="B3131" s="3" t="s">
        <v>6390</v>
      </c>
      <c r="C3131" s="3" t="s">
        <v>2349</v>
      </c>
      <c r="D3131" s="9">
        <v>15.7</v>
      </c>
      <c r="E3131" s="3" t="s">
        <v>139</v>
      </c>
      <c r="F3131" s="3" t="s">
        <v>3206</v>
      </c>
      <c r="G3131" s="9">
        <v>378.4</v>
      </c>
      <c r="H3131" s="10">
        <v>45679.305787037039</v>
      </c>
      <c r="I3131" s="10">
        <v>45679.305787037039</v>
      </c>
      <c r="J3131" s="10">
        <v>45679.30740740741</v>
      </c>
      <c r="K3131" s="11">
        <v>1.6203703703703701E-3</v>
      </c>
      <c r="L3131" s="13"/>
    </row>
    <row r="3132" spans="1:12" x14ac:dyDescent="0.25">
      <c r="A3132" s="3" t="s">
        <v>3225</v>
      </c>
      <c r="B3132" s="3" t="s">
        <v>6391</v>
      </c>
      <c r="C3132" s="3" t="s">
        <v>2352</v>
      </c>
      <c r="D3132" s="9">
        <v>19.899999999999999</v>
      </c>
      <c r="E3132" s="3" t="s">
        <v>139</v>
      </c>
      <c r="F3132" s="3" t="s">
        <v>3196</v>
      </c>
      <c r="G3132" s="9">
        <v>450.42</v>
      </c>
      <c r="H3132" s="10">
        <v>45679.30740740741</v>
      </c>
      <c r="I3132" s="10">
        <v>45679.30740740741</v>
      </c>
      <c r="J3132" s="10">
        <v>45679.309328703697</v>
      </c>
      <c r="K3132" s="11">
        <v>1.9212962962962959E-3</v>
      </c>
      <c r="L3132" s="13"/>
    </row>
    <row r="3133" spans="1:12" x14ac:dyDescent="0.25">
      <c r="A3133" s="3" t="s">
        <v>3225</v>
      </c>
      <c r="B3133" s="3" t="s">
        <v>6392</v>
      </c>
      <c r="C3133" s="3" t="s">
        <v>2354</v>
      </c>
      <c r="D3133" s="9">
        <v>19.899999999999999</v>
      </c>
      <c r="E3133" s="3" t="s">
        <v>139</v>
      </c>
      <c r="F3133" s="3" t="s">
        <v>3195</v>
      </c>
      <c r="G3133" s="9">
        <v>405.43</v>
      </c>
      <c r="H3133" s="10">
        <v>45679.309328703697</v>
      </c>
      <c r="I3133" s="10">
        <v>45679.309328703697</v>
      </c>
      <c r="J3133" s="10">
        <v>45679.311064814807</v>
      </c>
      <c r="K3133" s="11">
        <v>1.736111111111111E-3</v>
      </c>
      <c r="L3133" s="13"/>
    </row>
    <row r="3134" spans="1:12" x14ac:dyDescent="0.25">
      <c r="A3134" s="3" t="s">
        <v>3225</v>
      </c>
      <c r="B3134" s="3" t="s">
        <v>6393</v>
      </c>
      <c r="C3134" s="3" t="s">
        <v>2356</v>
      </c>
      <c r="D3134" s="9">
        <v>21</v>
      </c>
      <c r="E3134" s="3" t="s">
        <v>139</v>
      </c>
      <c r="F3134" s="3" t="s">
        <v>3194</v>
      </c>
      <c r="G3134" s="9">
        <v>459.96</v>
      </c>
      <c r="H3134" s="10">
        <v>45679.311064814807</v>
      </c>
      <c r="I3134" s="10">
        <v>45679.311064814807</v>
      </c>
      <c r="J3134" s="10">
        <v>45679.313032407408</v>
      </c>
      <c r="K3134" s="11">
        <v>1.967592592592592E-3</v>
      </c>
      <c r="L3134" s="13"/>
    </row>
    <row r="3135" spans="1:12" x14ac:dyDescent="0.25">
      <c r="A3135" s="3" t="s">
        <v>3225</v>
      </c>
      <c r="B3135" s="3" t="s">
        <v>6394</v>
      </c>
      <c r="C3135" s="3" t="s">
        <v>2358</v>
      </c>
      <c r="D3135" s="9">
        <v>15.7</v>
      </c>
      <c r="E3135" s="3" t="s">
        <v>139</v>
      </c>
      <c r="F3135" s="3" t="s">
        <v>3204</v>
      </c>
      <c r="G3135" s="9">
        <v>477.75</v>
      </c>
      <c r="H3135" s="10">
        <v>45679.313032407408</v>
      </c>
      <c r="I3135" s="10">
        <v>45679.313032407408</v>
      </c>
      <c r="J3135" s="10">
        <v>45679.315057870372</v>
      </c>
      <c r="K3135" s="11">
        <v>2.0254629629629629E-3</v>
      </c>
      <c r="L3135" s="13"/>
    </row>
    <row r="3136" spans="1:12" x14ac:dyDescent="0.25">
      <c r="A3136" s="3" t="s">
        <v>3225</v>
      </c>
      <c r="B3136" s="3" t="s">
        <v>6395</v>
      </c>
      <c r="C3136" s="3" t="s">
        <v>2362</v>
      </c>
      <c r="D3136" s="9">
        <v>23.2</v>
      </c>
      <c r="E3136" s="3" t="s">
        <v>139</v>
      </c>
      <c r="F3136" s="3" t="s">
        <v>3196</v>
      </c>
      <c r="G3136" s="9">
        <v>450.42</v>
      </c>
      <c r="H3136" s="10">
        <v>45679.315057870372</v>
      </c>
      <c r="I3136" s="10">
        <v>45679.315057870372</v>
      </c>
      <c r="J3136" s="10">
        <v>45679.316990740743</v>
      </c>
      <c r="K3136" s="11">
        <v>1.93287037037037E-3</v>
      </c>
      <c r="L3136" s="13"/>
    </row>
    <row r="3137" spans="1:12" x14ac:dyDescent="0.25">
      <c r="A3137" s="3" t="s">
        <v>3225</v>
      </c>
      <c r="B3137" s="3" t="s">
        <v>6396</v>
      </c>
      <c r="C3137" s="3" t="s">
        <v>2364</v>
      </c>
      <c r="D3137" s="9">
        <v>15.7</v>
      </c>
      <c r="E3137" s="3" t="s">
        <v>139</v>
      </c>
      <c r="F3137" s="3" t="s">
        <v>3204</v>
      </c>
      <c r="G3137" s="9">
        <v>477.75</v>
      </c>
      <c r="H3137" s="10">
        <v>45679.316990740743</v>
      </c>
      <c r="I3137" s="10">
        <v>45679.316990740743</v>
      </c>
      <c r="J3137" s="10">
        <v>45679.319016203714</v>
      </c>
      <c r="K3137" s="11">
        <v>2.0254629629629629E-3</v>
      </c>
      <c r="L3137" s="13"/>
    </row>
    <row r="3138" spans="1:12" x14ac:dyDescent="0.25">
      <c r="A3138" s="3" t="s">
        <v>3225</v>
      </c>
      <c r="B3138" s="3" t="s">
        <v>6397</v>
      </c>
      <c r="C3138" s="3" t="s">
        <v>2366</v>
      </c>
      <c r="D3138" s="9">
        <v>15.7</v>
      </c>
      <c r="E3138" s="3" t="s">
        <v>139</v>
      </c>
      <c r="F3138" s="3" t="s">
        <v>3201</v>
      </c>
      <c r="G3138" s="9">
        <v>412.05</v>
      </c>
      <c r="H3138" s="10">
        <v>45679.319016203714</v>
      </c>
      <c r="I3138" s="10">
        <v>45679.319016203714</v>
      </c>
      <c r="J3138" s="10">
        <v>45679.320763888893</v>
      </c>
      <c r="K3138" s="11">
        <v>1.747685185185185E-3</v>
      </c>
      <c r="L3138" s="13"/>
    </row>
    <row r="3139" spans="1:12" x14ac:dyDescent="0.25">
      <c r="A3139" s="3" t="s">
        <v>3225</v>
      </c>
      <c r="B3139" s="3" t="s">
        <v>6398</v>
      </c>
      <c r="C3139" s="3" t="s">
        <v>2371</v>
      </c>
      <c r="D3139" s="9">
        <v>114.8</v>
      </c>
      <c r="E3139" s="3" t="s">
        <v>139</v>
      </c>
      <c r="F3139" s="3" t="s">
        <v>3203</v>
      </c>
      <c r="G3139" s="9">
        <v>269.92</v>
      </c>
      <c r="H3139" s="10">
        <v>45679.358217592591</v>
      </c>
      <c r="I3139" s="10">
        <v>45679.358217592591</v>
      </c>
      <c r="J3139" s="10">
        <v>45679.359606481477</v>
      </c>
      <c r="K3139" s="11">
        <v>1.3888888888888889E-3</v>
      </c>
      <c r="L3139" s="13"/>
    </row>
    <row r="3140" spans="1:12" x14ac:dyDescent="0.25">
      <c r="A3140" s="3" t="s">
        <v>3225</v>
      </c>
      <c r="B3140" s="3" t="s">
        <v>6399</v>
      </c>
      <c r="C3140" s="3" t="s">
        <v>2374</v>
      </c>
      <c r="D3140" s="9">
        <v>216.4</v>
      </c>
      <c r="E3140" s="3" t="s">
        <v>139</v>
      </c>
      <c r="F3140" s="3" t="s">
        <v>3203</v>
      </c>
      <c r="G3140" s="9">
        <v>269.92</v>
      </c>
      <c r="H3140" s="10">
        <v>45679.359606481477</v>
      </c>
      <c r="I3140" s="10">
        <v>45679.359606481477</v>
      </c>
      <c r="J3140" s="10">
        <v>45679.361226851863</v>
      </c>
      <c r="K3140" s="11">
        <v>1.6203703703703701E-3</v>
      </c>
      <c r="L3140" s="13"/>
    </row>
    <row r="3141" spans="1:12" x14ac:dyDescent="0.25">
      <c r="A3141" s="3" t="s">
        <v>3225</v>
      </c>
      <c r="B3141" s="3" t="s">
        <v>6400</v>
      </c>
      <c r="C3141" s="3" t="s">
        <v>2376</v>
      </c>
      <c r="D3141" s="9">
        <v>15.7</v>
      </c>
      <c r="E3141" s="3" t="s">
        <v>139</v>
      </c>
      <c r="F3141" s="3" t="s">
        <v>3196</v>
      </c>
      <c r="G3141" s="9">
        <v>450.42</v>
      </c>
      <c r="H3141" s="10">
        <v>45679.400254629632</v>
      </c>
      <c r="I3141" s="10">
        <v>45679.400254629632</v>
      </c>
      <c r="J3141" s="10">
        <v>45679.40216435185</v>
      </c>
      <c r="K3141" s="11">
        <v>1.9097222222222219E-3</v>
      </c>
      <c r="L3141" s="13"/>
    </row>
    <row r="3142" spans="1:12" x14ac:dyDescent="0.25">
      <c r="A3142" s="3" t="s">
        <v>3225</v>
      </c>
      <c r="B3142" s="3" t="s">
        <v>6401</v>
      </c>
      <c r="C3142" s="3" t="s">
        <v>2378</v>
      </c>
      <c r="D3142" s="9">
        <v>179.2</v>
      </c>
      <c r="E3142" s="3" t="s">
        <v>139</v>
      </c>
      <c r="F3142" s="3" t="s">
        <v>3199</v>
      </c>
      <c r="G3142" s="9">
        <v>450.42</v>
      </c>
      <c r="H3142" s="10">
        <v>45679.40216435185</v>
      </c>
      <c r="I3142" s="10">
        <v>45679.40216435185</v>
      </c>
      <c r="J3142" s="10">
        <v>45679.404456018521</v>
      </c>
      <c r="K3142" s="11">
        <v>2.2916666666666671E-3</v>
      </c>
      <c r="L3142" s="13"/>
    </row>
    <row r="3143" spans="1:12" x14ac:dyDescent="0.25">
      <c r="A3143" s="3" t="s">
        <v>3225</v>
      </c>
      <c r="B3143" s="3" t="s">
        <v>6402</v>
      </c>
      <c r="C3143" s="3" t="s">
        <v>2380</v>
      </c>
      <c r="D3143" s="9">
        <v>61.9</v>
      </c>
      <c r="E3143" s="3" t="s">
        <v>139</v>
      </c>
      <c r="F3143" s="3" t="s">
        <v>3194</v>
      </c>
      <c r="G3143" s="9">
        <v>459.96</v>
      </c>
      <c r="H3143" s="10">
        <v>45679.404456018521</v>
      </c>
      <c r="I3143" s="10">
        <v>45679.404456018521</v>
      </c>
      <c r="J3143" s="10">
        <v>45679.4065162037</v>
      </c>
      <c r="K3143" s="11">
        <v>2.0601851851851849E-3</v>
      </c>
      <c r="L3143" s="13"/>
    </row>
    <row r="3144" spans="1:12" x14ac:dyDescent="0.25">
      <c r="A3144" s="3" t="s">
        <v>3225</v>
      </c>
      <c r="B3144" s="3" t="s">
        <v>6403</v>
      </c>
      <c r="C3144" s="3" t="s">
        <v>2382</v>
      </c>
      <c r="D3144" s="9">
        <v>12</v>
      </c>
      <c r="E3144" s="3" t="s">
        <v>139</v>
      </c>
      <c r="F3144" s="3" t="s">
        <v>3194</v>
      </c>
      <c r="G3144" s="9">
        <v>459.96</v>
      </c>
      <c r="H3144" s="10">
        <v>45679.4065162037</v>
      </c>
      <c r="I3144" s="10">
        <v>45679.4065162037</v>
      </c>
      <c r="J3144" s="10">
        <v>45679.408460648148</v>
      </c>
      <c r="K3144" s="11">
        <v>1.944444444444444E-3</v>
      </c>
      <c r="L3144" s="13"/>
    </row>
    <row r="3145" spans="1:12" x14ac:dyDescent="0.25">
      <c r="A3145" s="3" t="s">
        <v>3225</v>
      </c>
      <c r="B3145" s="3" t="s">
        <v>6404</v>
      </c>
      <c r="C3145" s="3" t="s">
        <v>2384</v>
      </c>
      <c r="D3145" s="9">
        <v>27</v>
      </c>
      <c r="E3145" s="3" t="s">
        <v>139</v>
      </c>
      <c r="F3145" s="3" t="s">
        <v>3202</v>
      </c>
      <c r="G3145" s="9">
        <v>324.35000000000002</v>
      </c>
      <c r="H3145" s="10">
        <v>45679.408460648148</v>
      </c>
      <c r="I3145" s="10">
        <v>45679.408460648148</v>
      </c>
      <c r="J3145" s="10">
        <v>45679.409872685188</v>
      </c>
      <c r="K3145" s="11">
        <v>1.4120370370370369E-3</v>
      </c>
      <c r="L3145" s="13"/>
    </row>
    <row r="3146" spans="1:12" x14ac:dyDescent="0.25">
      <c r="A3146" s="3" t="s">
        <v>3225</v>
      </c>
      <c r="B3146" s="3" t="s">
        <v>6405</v>
      </c>
      <c r="C3146" s="3" t="s">
        <v>2386</v>
      </c>
      <c r="D3146" s="9">
        <v>15.7</v>
      </c>
      <c r="E3146" s="3" t="s">
        <v>139</v>
      </c>
      <c r="F3146" s="3" t="s">
        <v>3206</v>
      </c>
      <c r="G3146" s="9">
        <v>378.4</v>
      </c>
      <c r="H3146" s="10">
        <v>45679.409872685188</v>
      </c>
      <c r="I3146" s="10">
        <v>45679.409872685188</v>
      </c>
      <c r="J3146" s="10">
        <v>45679.411481481482</v>
      </c>
      <c r="K3146" s="11">
        <v>1.6087962962962961E-3</v>
      </c>
      <c r="L3146" s="13"/>
    </row>
    <row r="3147" spans="1:12" x14ac:dyDescent="0.25">
      <c r="A3147" s="3" t="s">
        <v>3225</v>
      </c>
      <c r="B3147" s="3" t="s">
        <v>6406</v>
      </c>
      <c r="C3147" s="3" t="s">
        <v>2388</v>
      </c>
      <c r="D3147" s="9">
        <v>19.899999999999999</v>
      </c>
      <c r="E3147" s="3" t="s">
        <v>139</v>
      </c>
      <c r="F3147" s="3" t="s">
        <v>3198</v>
      </c>
      <c r="G3147" s="9">
        <v>350.87</v>
      </c>
      <c r="H3147" s="10">
        <v>45679.411481481482</v>
      </c>
      <c r="I3147" s="10">
        <v>45679.411481481482</v>
      </c>
      <c r="J3147" s="10">
        <v>45679.412997685176</v>
      </c>
      <c r="K3147" s="11">
        <v>1.5162037037037041E-3</v>
      </c>
      <c r="L3147" s="13"/>
    </row>
    <row r="3148" spans="1:12" x14ac:dyDescent="0.25">
      <c r="A3148" s="3" t="s">
        <v>3225</v>
      </c>
      <c r="B3148" s="3" t="s">
        <v>6407</v>
      </c>
      <c r="C3148" s="3" t="s">
        <v>2390</v>
      </c>
      <c r="D3148" s="9">
        <v>73.900000000000006</v>
      </c>
      <c r="E3148" s="3" t="s">
        <v>139</v>
      </c>
      <c r="F3148" s="3" t="s">
        <v>3196</v>
      </c>
      <c r="G3148" s="9">
        <v>450.42</v>
      </c>
      <c r="H3148" s="10">
        <v>45679.412997685176</v>
      </c>
      <c r="I3148" s="10">
        <v>45679.412997685176</v>
      </c>
      <c r="J3148" s="10">
        <v>45679.415046296293</v>
      </c>
      <c r="K3148" s="11">
        <v>2.0486111111111109E-3</v>
      </c>
      <c r="L3148" s="13"/>
    </row>
    <row r="3149" spans="1:12" x14ac:dyDescent="0.25">
      <c r="A3149" s="3" t="s">
        <v>3225</v>
      </c>
      <c r="B3149" s="3" t="s">
        <v>6408</v>
      </c>
      <c r="C3149" s="3" t="s">
        <v>2392</v>
      </c>
      <c r="D3149" s="9">
        <v>56</v>
      </c>
      <c r="E3149" s="3" t="s">
        <v>139</v>
      </c>
      <c r="F3149" s="3" t="s">
        <v>3197</v>
      </c>
      <c r="G3149" s="9">
        <v>459.96</v>
      </c>
      <c r="H3149" s="10">
        <v>45679.415046296293</v>
      </c>
      <c r="I3149" s="10">
        <v>45679.415046296293</v>
      </c>
      <c r="J3149" s="10">
        <v>45679.417083333326</v>
      </c>
      <c r="K3149" s="11">
        <v>2.0370370370370369E-3</v>
      </c>
      <c r="L3149" s="13"/>
    </row>
    <row r="3150" spans="1:12" x14ac:dyDescent="0.25">
      <c r="A3150" s="3" t="s">
        <v>3225</v>
      </c>
      <c r="B3150" s="3" t="s">
        <v>6409</v>
      </c>
      <c r="C3150" s="3" t="s">
        <v>2395</v>
      </c>
      <c r="D3150" s="9">
        <v>53.8</v>
      </c>
      <c r="E3150" s="3" t="s">
        <v>139</v>
      </c>
      <c r="F3150" s="3" t="s">
        <v>3200</v>
      </c>
      <c r="G3150" s="9">
        <v>405.03</v>
      </c>
      <c r="H3150" s="10">
        <v>45679.417083333326</v>
      </c>
      <c r="I3150" s="10">
        <v>45679.417083333326</v>
      </c>
      <c r="J3150" s="10">
        <v>45679.418900462973</v>
      </c>
      <c r="K3150" s="11">
        <v>1.8171296296296299E-3</v>
      </c>
      <c r="L3150" s="13"/>
    </row>
    <row r="3151" spans="1:12" x14ac:dyDescent="0.25">
      <c r="A3151" s="3" t="s">
        <v>3225</v>
      </c>
      <c r="B3151" s="3" t="s">
        <v>6410</v>
      </c>
      <c r="C3151" s="3" t="s">
        <v>2398</v>
      </c>
      <c r="D3151" s="9">
        <v>446.2</v>
      </c>
      <c r="E3151" s="3" t="s">
        <v>139</v>
      </c>
      <c r="F3151" s="3" t="s">
        <v>3203</v>
      </c>
      <c r="G3151" s="9">
        <v>269.92</v>
      </c>
      <c r="H3151" s="10">
        <v>45679.441967592589</v>
      </c>
      <c r="I3151" s="10">
        <v>45679.441967592589</v>
      </c>
      <c r="J3151" s="10">
        <v>45679.444131944438</v>
      </c>
      <c r="K3151" s="11">
        <v>2.1643518518518522E-3</v>
      </c>
      <c r="L3151" s="13"/>
    </row>
    <row r="3152" spans="1:12" x14ac:dyDescent="0.25">
      <c r="A3152" s="3" t="s">
        <v>3225</v>
      </c>
      <c r="B3152" s="3" t="s">
        <v>6411</v>
      </c>
      <c r="C3152" s="3" t="s">
        <v>2401</v>
      </c>
      <c r="D3152" s="9">
        <v>33.9</v>
      </c>
      <c r="E3152" s="3" t="s">
        <v>164</v>
      </c>
      <c r="F3152" s="3" t="s">
        <v>3203</v>
      </c>
      <c r="G3152" s="9">
        <v>354.81</v>
      </c>
      <c r="H3152" s="10">
        <v>45679.546666666669</v>
      </c>
      <c r="I3152" s="10">
        <v>45679.546666666669</v>
      </c>
      <c r="J3152" s="10">
        <v>45679.548217592594</v>
      </c>
      <c r="K3152" s="11">
        <v>1.5509259259259261E-3</v>
      </c>
      <c r="L3152" s="13"/>
    </row>
    <row r="3153" spans="1:12" x14ac:dyDescent="0.25">
      <c r="A3153" s="3" t="s">
        <v>3225</v>
      </c>
      <c r="B3153" s="3" t="s">
        <v>6412</v>
      </c>
      <c r="C3153" s="3" t="s">
        <v>2404</v>
      </c>
      <c r="D3153" s="9">
        <v>63</v>
      </c>
      <c r="E3153" s="3" t="s">
        <v>164</v>
      </c>
      <c r="F3153" s="3" t="s">
        <v>3203</v>
      </c>
      <c r="G3153" s="9">
        <v>354.81</v>
      </c>
      <c r="H3153" s="10">
        <v>45679.638773148137</v>
      </c>
      <c r="I3153" s="10">
        <v>45679.638773148137</v>
      </c>
      <c r="J3153" s="10">
        <v>45679.640393518523</v>
      </c>
      <c r="K3153" s="11">
        <v>1.6203703703703701E-3</v>
      </c>
      <c r="L3153" s="13"/>
    </row>
    <row r="3154" spans="1:12" x14ac:dyDescent="0.25">
      <c r="A3154" s="3" t="s">
        <v>3225</v>
      </c>
      <c r="B3154" s="3" t="s">
        <v>6413</v>
      </c>
      <c r="C3154" s="3" t="s">
        <v>2428</v>
      </c>
      <c r="D3154" s="9">
        <v>325.39999999999998</v>
      </c>
      <c r="E3154" s="3" t="s">
        <v>139</v>
      </c>
      <c r="F3154" s="3" t="s">
        <v>3203</v>
      </c>
      <c r="G3154" s="9">
        <v>269.92</v>
      </c>
      <c r="H3154" s="10">
        <v>45679.739502314813</v>
      </c>
      <c r="I3154" s="10">
        <v>45679.739502314813</v>
      </c>
      <c r="J3154" s="10">
        <v>45679.741377314807</v>
      </c>
      <c r="K3154" s="11">
        <v>1.8749999999999999E-3</v>
      </c>
      <c r="L3154" s="13"/>
    </row>
    <row r="3155" spans="1:12" x14ac:dyDescent="0.25">
      <c r="A3155" s="3" t="s">
        <v>3225</v>
      </c>
      <c r="B3155" s="3" t="s">
        <v>6414</v>
      </c>
      <c r="C3155" s="3" t="s">
        <v>2406</v>
      </c>
      <c r="D3155" s="9">
        <v>29.7</v>
      </c>
      <c r="E3155" s="3" t="s">
        <v>142</v>
      </c>
      <c r="F3155" s="3" t="s">
        <v>3200</v>
      </c>
      <c r="G3155" s="9">
        <v>398.2</v>
      </c>
      <c r="H3155" s="10">
        <v>45679.744444444441</v>
      </c>
      <c r="I3155" s="10">
        <v>45679.744444444441</v>
      </c>
      <c r="J3155" s="10">
        <v>45679.746180555558</v>
      </c>
      <c r="K3155" s="11">
        <v>1.736111111111111E-3</v>
      </c>
      <c r="L3155" s="13"/>
    </row>
    <row r="3156" spans="1:12" x14ac:dyDescent="0.25">
      <c r="A3156" s="3" t="s">
        <v>3225</v>
      </c>
      <c r="B3156" s="3" t="s">
        <v>6415</v>
      </c>
      <c r="C3156" s="3" t="s">
        <v>2408</v>
      </c>
      <c r="D3156" s="9">
        <v>19.899999999999999</v>
      </c>
      <c r="E3156" s="3" t="s">
        <v>142</v>
      </c>
      <c r="F3156" s="3" t="s">
        <v>3198</v>
      </c>
      <c r="G3156" s="9">
        <v>344.04</v>
      </c>
      <c r="H3156" s="10">
        <v>45679.746180555558</v>
      </c>
      <c r="I3156" s="10">
        <v>45679.746180555558</v>
      </c>
      <c r="J3156" s="10">
        <v>45679.747662037043</v>
      </c>
      <c r="K3156" s="11">
        <v>1.481481481481481E-3</v>
      </c>
      <c r="L3156" s="13"/>
    </row>
    <row r="3157" spans="1:12" x14ac:dyDescent="0.25">
      <c r="A3157" s="3" t="s">
        <v>3225</v>
      </c>
      <c r="B3157" s="3" t="s">
        <v>6416</v>
      </c>
      <c r="C3157" s="3" t="s">
        <v>2410</v>
      </c>
      <c r="D3157" s="9">
        <v>54.7</v>
      </c>
      <c r="E3157" s="3" t="s">
        <v>142</v>
      </c>
      <c r="F3157" s="3" t="s">
        <v>3203</v>
      </c>
      <c r="G3157" s="9">
        <v>263.08999999999997</v>
      </c>
      <c r="H3157" s="10">
        <v>45679.747662037043</v>
      </c>
      <c r="I3157" s="10">
        <v>45679.747662037043</v>
      </c>
      <c r="J3157" s="10">
        <v>45679.748877314807</v>
      </c>
      <c r="K3157" s="11">
        <v>1.215277777777778E-3</v>
      </c>
      <c r="L3157" s="13"/>
    </row>
    <row r="3158" spans="1:12" x14ac:dyDescent="0.25">
      <c r="A3158" s="3" t="s">
        <v>3225</v>
      </c>
      <c r="B3158" s="3" t="s">
        <v>6417</v>
      </c>
      <c r="C3158" s="3" t="s">
        <v>2413</v>
      </c>
      <c r="D3158" s="9">
        <v>99.5</v>
      </c>
      <c r="E3158" s="3" t="s">
        <v>142</v>
      </c>
      <c r="F3158" s="3" t="s">
        <v>3193</v>
      </c>
      <c r="G3158" s="9">
        <v>290.60000000000002</v>
      </c>
      <c r="H3158" s="10">
        <v>45679.748877314807</v>
      </c>
      <c r="I3158" s="10">
        <v>45679.748877314807</v>
      </c>
      <c r="J3158" s="10">
        <v>45679.750324074077</v>
      </c>
      <c r="K3158" s="11">
        <v>1.446759259259259E-3</v>
      </c>
      <c r="L3158" s="13"/>
    </row>
    <row r="3159" spans="1:12" x14ac:dyDescent="0.25">
      <c r="A3159" s="3" t="s">
        <v>3225</v>
      </c>
      <c r="B3159" s="3" t="s">
        <v>6418</v>
      </c>
      <c r="C3159" s="3" t="s">
        <v>2415</v>
      </c>
      <c r="D3159" s="9">
        <v>15.7</v>
      </c>
      <c r="E3159" s="3" t="s">
        <v>142</v>
      </c>
      <c r="F3159" s="3" t="s">
        <v>3204</v>
      </c>
      <c r="G3159" s="9">
        <v>470.92</v>
      </c>
      <c r="H3159" s="10">
        <v>45679.750324074077</v>
      </c>
      <c r="I3159" s="10">
        <v>45679.750324074077</v>
      </c>
      <c r="J3159" s="10">
        <v>45679.752314814818</v>
      </c>
      <c r="K3159" s="11">
        <v>1.9907407407407408E-3</v>
      </c>
      <c r="L3159" s="13"/>
    </row>
    <row r="3160" spans="1:12" x14ac:dyDescent="0.25">
      <c r="A3160" s="3" t="s">
        <v>3225</v>
      </c>
      <c r="B3160" s="3" t="s">
        <v>6419</v>
      </c>
      <c r="C3160" s="3" t="s">
        <v>2417</v>
      </c>
      <c r="D3160" s="9">
        <v>19.899999999999999</v>
      </c>
      <c r="E3160" s="3" t="s">
        <v>142</v>
      </c>
      <c r="F3160" s="3" t="s">
        <v>3201</v>
      </c>
      <c r="G3160" s="9">
        <v>405.22</v>
      </c>
      <c r="H3160" s="10">
        <v>45679.752314814818</v>
      </c>
      <c r="I3160" s="10">
        <v>45679.752314814818</v>
      </c>
      <c r="J3160" s="10">
        <v>45679.754050925927</v>
      </c>
      <c r="K3160" s="11">
        <v>1.736111111111111E-3</v>
      </c>
      <c r="L3160" s="13"/>
    </row>
    <row r="3161" spans="1:12" x14ac:dyDescent="0.25">
      <c r="A3161" s="3" t="s">
        <v>3225</v>
      </c>
      <c r="B3161" s="3" t="s">
        <v>6420</v>
      </c>
      <c r="C3161" s="3" t="s">
        <v>2419</v>
      </c>
      <c r="D3161" s="9">
        <v>15.7</v>
      </c>
      <c r="E3161" s="3" t="s">
        <v>142</v>
      </c>
      <c r="F3161" s="3" t="s">
        <v>3206</v>
      </c>
      <c r="G3161" s="9">
        <v>371.57</v>
      </c>
      <c r="H3161" s="10">
        <v>45679.754050925927</v>
      </c>
      <c r="I3161" s="10">
        <v>45679.754050925927</v>
      </c>
      <c r="J3161" s="10">
        <v>45679.755636574067</v>
      </c>
      <c r="K3161" s="11">
        <v>1.5856481481481481E-3</v>
      </c>
      <c r="L3161" s="13"/>
    </row>
    <row r="3162" spans="1:12" x14ac:dyDescent="0.25">
      <c r="A3162" s="3" t="s">
        <v>3225</v>
      </c>
      <c r="B3162" s="3" t="s">
        <v>6421</v>
      </c>
      <c r="C3162" s="3" t="s">
        <v>2421</v>
      </c>
      <c r="D3162" s="9">
        <v>295.39999999999998</v>
      </c>
      <c r="E3162" s="3" t="s">
        <v>142</v>
      </c>
      <c r="F3162" s="3" t="s">
        <v>3197</v>
      </c>
      <c r="G3162" s="9">
        <v>453.13</v>
      </c>
      <c r="H3162" s="10">
        <v>45679.755636574067</v>
      </c>
      <c r="I3162" s="10">
        <v>45679.755636574067</v>
      </c>
      <c r="J3162" s="10">
        <v>45679.758206018523</v>
      </c>
      <c r="K3162" s="11">
        <v>2.5694444444444449E-3</v>
      </c>
      <c r="L3162" s="13"/>
    </row>
    <row r="3163" spans="1:12" x14ac:dyDescent="0.25">
      <c r="A3163" s="3" t="s">
        <v>3225</v>
      </c>
      <c r="B3163" s="3" t="s">
        <v>6422</v>
      </c>
      <c r="C3163" s="3" t="s">
        <v>2423</v>
      </c>
      <c r="D3163" s="9">
        <v>21</v>
      </c>
      <c r="E3163" s="3" t="s">
        <v>142</v>
      </c>
      <c r="F3163" s="3" t="s">
        <v>3201</v>
      </c>
      <c r="G3163" s="9">
        <v>405.22</v>
      </c>
      <c r="H3163" s="10">
        <v>45679.758206018523</v>
      </c>
      <c r="I3163" s="10">
        <v>45679.758206018523</v>
      </c>
      <c r="J3163" s="10">
        <v>45679.759942129633</v>
      </c>
      <c r="K3163" s="11">
        <v>1.736111111111111E-3</v>
      </c>
      <c r="L3163" s="13"/>
    </row>
    <row r="3164" spans="1:12" x14ac:dyDescent="0.25">
      <c r="A3164" s="3" t="s">
        <v>3225</v>
      </c>
      <c r="B3164" s="3" t="s">
        <v>6423</v>
      </c>
      <c r="C3164" s="3" t="s">
        <v>2425</v>
      </c>
      <c r="D3164" s="9">
        <v>19.899999999999999</v>
      </c>
      <c r="E3164" s="3" t="s">
        <v>142</v>
      </c>
      <c r="F3164" s="3" t="s">
        <v>3205</v>
      </c>
      <c r="G3164" s="9">
        <v>292.27999999999997</v>
      </c>
      <c r="H3164" s="10">
        <v>45679.759942129633</v>
      </c>
      <c r="I3164" s="10">
        <v>45679.759942129633</v>
      </c>
      <c r="J3164" s="10">
        <v>45679.76121527778</v>
      </c>
      <c r="K3164" s="11">
        <v>1.273148148148148E-3</v>
      </c>
      <c r="L3164" s="13"/>
    </row>
    <row r="3165" spans="1:12" x14ac:dyDescent="0.25">
      <c r="A3165" s="3" t="s">
        <v>3225</v>
      </c>
      <c r="B3165" s="3" t="s">
        <v>6424</v>
      </c>
      <c r="C3165" s="3" t="s">
        <v>2431</v>
      </c>
      <c r="D3165" s="9">
        <v>93</v>
      </c>
      <c r="E3165" s="3" t="s">
        <v>139</v>
      </c>
      <c r="F3165" s="3" t="s">
        <v>3197</v>
      </c>
      <c r="G3165" s="9">
        <v>459.96</v>
      </c>
      <c r="H3165" s="10">
        <v>45679.849988425929</v>
      </c>
      <c r="I3165" s="10">
        <v>45679.849988425929</v>
      </c>
      <c r="J3165" s="10">
        <v>45679.852118055547</v>
      </c>
      <c r="K3165" s="11">
        <v>2.1296296296296302E-3</v>
      </c>
      <c r="L3165" s="13"/>
    </row>
    <row r="3166" spans="1:12" x14ac:dyDescent="0.25">
      <c r="A3166" s="3" t="s">
        <v>3225</v>
      </c>
      <c r="B3166" s="3" t="s">
        <v>6425</v>
      </c>
      <c r="C3166" s="3" t="s">
        <v>2434</v>
      </c>
      <c r="D3166" s="9">
        <v>19.899999999999999</v>
      </c>
      <c r="E3166" s="3" t="s">
        <v>139</v>
      </c>
      <c r="F3166" s="3" t="s">
        <v>3206</v>
      </c>
      <c r="G3166" s="9">
        <v>378.4</v>
      </c>
      <c r="H3166" s="10">
        <v>45679.852118055547</v>
      </c>
      <c r="I3166" s="10">
        <v>45679.852118055547</v>
      </c>
      <c r="J3166" s="10">
        <v>45679.853738425933</v>
      </c>
      <c r="K3166" s="11">
        <v>1.6203703703703701E-3</v>
      </c>
      <c r="L3166" s="13"/>
    </row>
    <row r="3167" spans="1:12" x14ac:dyDescent="0.25">
      <c r="A3167" s="3" t="s">
        <v>3225</v>
      </c>
      <c r="B3167" s="3" t="s">
        <v>6426</v>
      </c>
      <c r="C3167" s="3" t="s">
        <v>2436</v>
      </c>
      <c r="D3167" s="9">
        <v>14</v>
      </c>
      <c r="E3167" s="3" t="s">
        <v>139</v>
      </c>
      <c r="F3167" s="3" t="s">
        <v>3197</v>
      </c>
      <c r="G3167" s="9">
        <v>459.96</v>
      </c>
      <c r="H3167" s="10">
        <v>45679.853738425933</v>
      </c>
      <c r="I3167" s="10">
        <v>45679.853738425933</v>
      </c>
      <c r="J3167" s="10">
        <v>45679.855694444443</v>
      </c>
      <c r="K3167" s="11">
        <v>1.956018518518518E-3</v>
      </c>
      <c r="L3167" s="13"/>
    </row>
    <row r="3168" spans="1:12" x14ac:dyDescent="0.25">
      <c r="A3168" s="3" t="s">
        <v>3225</v>
      </c>
      <c r="B3168" s="3" t="s">
        <v>6427</v>
      </c>
      <c r="C3168" s="3" t="s">
        <v>2438</v>
      </c>
      <c r="D3168" s="9">
        <v>33</v>
      </c>
      <c r="E3168" s="3" t="s">
        <v>139</v>
      </c>
      <c r="F3168" s="3" t="s">
        <v>3205</v>
      </c>
      <c r="G3168" s="9">
        <v>299.11</v>
      </c>
      <c r="H3168" s="10">
        <v>45679.855694444443</v>
      </c>
      <c r="I3168" s="10">
        <v>45679.855694444443</v>
      </c>
      <c r="J3168" s="10">
        <v>45679.85701388889</v>
      </c>
      <c r="K3168" s="11">
        <v>1.3194444444444441E-3</v>
      </c>
      <c r="L3168" s="13"/>
    </row>
    <row r="3169" spans="1:12" x14ac:dyDescent="0.25">
      <c r="A3169" s="3" t="s">
        <v>3225</v>
      </c>
      <c r="B3169" s="3" t="s">
        <v>6428</v>
      </c>
      <c r="C3169" s="3" t="s">
        <v>2440</v>
      </c>
      <c r="D3169" s="9">
        <v>61.9</v>
      </c>
      <c r="E3169" s="3" t="s">
        <v>139</v>
      </c>
      <c r="F3169" s="3" t="s">
        <v>3201</v>
      </c>
      <c r="G3169" s="9">
        <v>412.05</v>
      </c>
      <c r="H3169" s="10">
        <v>45679.85701388889</v>
      </c>
      <c r="I3169" s="10">
        <v>45679.85701388889</v>
      </c>
      <c r="J3169" s="10">
        <v>45679.858877314808</v>
      </c>
      <c r="K3169" s="11">
        <v>1.8634259259259259E-3</v>
      </c>
      <c r="L3169" s="13"/>
    </row>
    <row r="3170" spans="1:12" x14ac:dyDescent="0.25">
      <c r="A3170" s="3" t="s">
        <v>3225</v>
      </c>
      <c r="B3170" s="3" t="s">
        <v>6429</v>
      </c>
      <c r="C3170" s="3" t="s">
        <v>2442</v>
      </c>
      <c r="D3170" s="9">
        <v>31.5</v>
      </c>
      <c r="E3170" s="3" t="s">
        <v>139</v>
      </c>
      <c r="F3170" s="3" t="s">
        <v>3197</v>
      </c>
      <c r="G3170" s="9">
        <v>459.96</v>
      </c>
      <c r="H3170" s="10">
        <v>45679.858877314808</v>
      </c>
      <c r="I3170" s="10">
        <v>45679.858877314808</v>
      </c>
      <c r="J3170" s="10">
        <v>45679.860868055563</v>
      </c>
      <c r="K3170" s="11">
        <v>1.9907407407407408E-3</v>
      </c>
      <c r="L3170" s="13"/>
    </row>
    <row r="3171" spans="1:12" x14ac:dyDescent="0.25">
      <c r="A3171" s="3" t="s">
        <v>3225</v>
      </c>
      <c r="B3171" s="3" t="s">
        <v>6430</v>
      </c>
      <c r="C3171" s="3" t="s">
        <v>2445</v>
      </c>
      <c r="D3171" s="9">
        <v>15.7</v>
      </c>
      <c r="E3171" s="3" t="s">
        <v>139</v>
      </c>
      <c r="F3171" s="3" t="s">
        <v>3206</v>
      </c>
      <c r="G3171" s="9">
        <v>378.4</v>
      </c>
      <c r="H3171" s="10">
        <v>45679.860868055563</v>
      </c>
      <c r="I3171" s="10">
        <v>45679.860868055563</v>
      </c>
      <c r="J3171" s="10">
        <v>45679.862476851849</v>
      </c>
      <c r="K3171" s="11">
        <v>1.6087962962962961E-3</v>
      </c>
      <c r="L3171" s="13"/>
    </row>
    <row r="3172" spans="1:12" x14ac:dyDescent="0.25">
      <c r="A3172" s="3" t="s">
        <v>3225</v>
      </c>
      <c r="B3172" s="3" t="s">
        <v>6431</v>
      </c>
      <c r="C3172" s="3" t="s">
        <v>2447</v>
      </c>
      <c r="D3172" s="9">
        <v>29.7</v>
      </c>
      <c r="E3172" s="3" t="s">
        <v>139</v>
      </c>
      <c r="F3172" s="3" t="s">
        <v>3200</v>
      </c>
      <c r="G3172" s="9">
        <v>405.03</v>
      </c>
      <c r="H3172" s="10">
        <v>45679.862476851849</v>
      </c>
      <c r="I3172" s="10">
        <v>45679.862476851849</v>
      </c>
      <c r="J3172" s="10">
        <v>45679.864236111112</v>
      </c>
      <c r="K3172" s="11">
        <v>1.759259259259259E-3</v>
      </c>
      <c r="L3172" s="13"/>
    </row>
    <row r="3173" spans="1:12" x14ac:dyDescent="0.25">
      <c r="A3173" s="3" t="s">
        <v>3225</v>
      </c>
      <c r="B3173" s="3" t="s">
        <v>6432</v>
      </c>
      <c r="C3173" s="3" t="s">
        <v>2449</v>
      </c>
      <c r="D3173" s="9">
        <v>123.8</v>
      </c>
      <c r="E3173" s="3" t="s">
        <v>139</v>
      </c>
      <c r="F3173" s="3" t="s">
        <v>3203</v>
      </c>
      <c r="G3173" s="9">
        <v>269.92</v>
      </c>
      <c r="H3173" s="10">
        <v>45680.123437499999</v>
      </c>
      <c r="I3173" s="10">
        <v>45680.123437499999</v>
      </c>
      <c r="J3173" s="10">
        <v>45680.124849537038</v>
      </c>
      <c r="K3173" s="11">
        <v>1.4120370370370369E-3</v>
      </c>
      <c r="L3173" s="13"/>
    </row>
    <row r="3174" spans="1:12" x14ac:dyDescent="0.25">
      <c r="A3174" s="3" t="s">
        <v>3225</v>
      </c>
      <c r="B3174" s="3" t="s">
        <v>6433</v>
      </c>
      <c r="C3174" s="3" t="s">
        <v>2451</v>
      </c>
      <c r="D3174" s="9">
        <v>107.9</v>
      </c>
      <c r="E3174" s="3" t="s">
        <v>139</v>
      </c>
      <c r="F3174" s="3" t="s">
        <v>3194</v>
      </c>
      <c r="G3174" s="9">
        <v>459.96</v>
      </c>
      <c r="H3174" s="10">
        <v>45680.124849537038</v>
      </c>
      <c r="I3174" s="10">
        <v>45680.124849537038</v>
      </c>
      <c r="J3174" s="10">
        <v>45680.127013888887</v>
      </c>
      <c r="K3174" s="11">
        <v>2.1643518518518522E-3</v>
      </c>
      <c r="L3174" s="13"/>
    </row>
    <row r="3175" spans="1:12" x14ac:dyDescent="0.25">
      <c r="A3175" s="3" t="s">
        <v>3225</v>
      </c>
      <c r="B3175" s="3" t="s">
        <v>6434</v>
      </c>
      <c r="C3175" s="3" t="s">
        <v>2454</v>
      </c>
      <c r="D3175" s="9">
        <v>15.7</v>
      </c>
      <c r="E3175" s="3" t="s">
        <v>139</v>
      </c>
      <c r="F3175" s="3" t="s">
        <v>3199</v>
      </c>
      <c r="G3175" s="9">
        <v>450.42</v>
      </c>
      <c r="H3175" s="10">
        <v>45680.127013888887</v>
      </c>
      <c r="I3175" s="10">
        <v>45680.127013888887</v>
      </c>
      <c r="J3175" s="10">
        <v>45680.128935185188</v>
      </c>
      <c r="K3175" s="11">
        <v>1.9212962962962959E-3</v>
      </c>
      <c r="L3175" s="13"/>
    </row>
    <row r="3176" spans="1:12" x14ac:dyDescent="0.25">
      <c r="A3176" s="3" t="s">
        <v>3225</v>
      </c>
      <c r="B3176" s="3" t="s">
        <v>6435</v>
      </c>
      <c r="C3176" s="3" t="s">
        <v>2457</v>
      </c>
      <c r="D3176" s="9">
        <v>63</v>
      </c>
      <c r="E3176" s="3" t="s">
        <v>139</v>
      </c>
      <c r="F3176" s="3" t="s">
        <v>3203</v>
      </c>
      <c r="G3176" s="9">
        <v>269.92</v>
      </c>
      <c r="H3176" s="10">
        <v>45680.128935185188</v>
      </c>
      <c r="I3176" s="10">
        <v>45680.128935185188</v>
      </c>
      <c r="J3176" s="10">
        <v>45680.130208333343</v>
      </c>
      <c r="K3176" s="11">
        <v>1.273148148148148E-3</v>
      </c>
      <c r="L3176" s="13"/>
    </row>
    <row r="3177" spans="1:12" x14ac:dyDescent="0.25">
      <c r="A3177" s="3" t="s">
        <v>3225</v>
      </c>
      <c r="B3177" s="3" t="s">
        <v>6436</v>
      </c>
      <c r="C3177" s="3" t="s">
        <v>2460</v>
      </c>
      <c r="D3177" s="9">
        <v>144.4</v>
      </c>
      <c r="E3177" s="3" t="s">
        <v>139</v>
      </c>
      <c r="F3177" s="3" t="s">
        <v>3204</v>
      </c>
      <c r="G3177" s="9">
        <v>477.75</v>
      </c>
      <c r="H3177" s="10">
        <v>45680.269861111112</v>
      </c>
      <c r="I3177" s="10">
        <v>45680.269861111112</v>
      </c>
      <c r="J3177" s="10">
        <v>45680.272175925929</v>
      </c>
      <c r="K3177" s="11">
        <v>2.3148148148148151E-3</v>
      </c>
      <c r="L3177" s="13"/>
    </row>
    <row r="3178" spans="1:12" x14ac:dyDescent="0.25">
      <c r="A3178" s="3" t="s">
        <v>3225</v>
      </c>
      <c r="B3178" s="3" t="s">
        <v>6437</v>
      </c>
      <c r="C3178" s="3" t="s">
        <v>2463</v>
      </c>
      <c r="D3178" s="9">
        <v>12</v>
      </c>
      <c r="E3178" s="3" t="s">
        <v>139</v>
      </c>
      <c r="F3178" s="3" t="s">
        <v>3194</v>
      </c>
      <c r="G3178" s="9">
        <v>459.96</v>
      </c>
      <c r="H3178" s="10">
        <v>45680.296226851853</v>
      </c>
      <c r="I3178" s="10">
        <v>45680.296226851853</v>
      </c>
      <c r="J3178" s="10">
        <v>45680.298171296286</v>
      </c>
      <c r="K3178" s="11">
        <v>1.944444444444444E-3</v>
      </c>
      <c r="L3178" s="13"/>
    </row>
    <row r="3179" spans="1:12" x14ac:dyDescent="0.25">
      <c r="A3179" s="3" t="s">
        <v>3225</v>
      </c>
      <c r="B3179" s="3" t="s">
        <v>6438</v>
      </c>
      <c r="C3179" s="3" t="s">
        <v>2466</v>
      </c>
      <c r="D3179" s="9">
        <v>54.7</v>
      </c>
      <c r="E3179" s="3" t="s">
        <v>139</v>
      </c>
      <c r="F3179" s="3" t="s">
        <v>3203</v>
      </c>
      <c r="G3179" s="9">
        <v>269.92</v>
      </c>
      <c r="H3179" s="10">
        <v>45680.298171296286</v>
      </c>
      <c r="I3179" s="10">
        <v>45680.298171296286</v>
      </c>
      <c r="J3179" s="10">
        <v>45680.299421296288</v>
      </c>
      <c r="K3179" s="11">
        <v>1.25E-3</v>
      </c>
      <c r="L3179" s="13"/>
    </row>
    <row r="3180" spans="1:12" x14ac:dyDescent="0.25">
      <c r="A3180" s="3" t="s">
        <v>3225</v>
      </c>
      <c r="B3180" s="3" t="s">
        <v>6439</v>
      </c>
      <c r="C3180" s="3" t="s">
        <v>2468</v>
      </c>
      <c r="D3180" s="9">
        <v>63</v>
      </c>
      <c r="E3180" s="3" t="s">
        <v>139</v>
      </c>
      <c r="F3180" s="3" t="s">
        <v>3196</v>
      </c>
      <c r="G3180" s="9">
        <v>450.42</v>
      </c>
      <c r="H3180" s="10">
        <v>45680.299421296288</v>
      </c>
      <c r="I3180" s="10">
        <v>45680.299421296288</v>
      </c>
      <c r="J3180" s="10">
        <v>45680.301446759258</v>
      </c>
      <c r="K3180" s="11">
        <v>2.0254629629629629E-3</v>
      </c>
      <c r="L3180" s="13"/>
    </row>
    <row r="3181" spans="1:12" x14ac:dyDescent="0.25">
      <c r="A3181" s="3" t="s">
        <v>3225</v>
      </c>
      <c r="B3181" s="3" t="s">
        <v>6440</v>
      </c>
      <c r="C3181" s="3" t="s">
        <v>2471</v>
      </c>
      <c r="D3181" s="9">
        <v>42</v>
      </c>
      <c r="E3181" s="3" t="s">
        <v>139</v>
      </c>
      <c r="F3181" s="3" t="s">
        <v>3205</v>
      </c>
      <c r="G3181" s="9">
        <v>299.11</v>
      </c>
      <c r="H3181" s="10">
        <v>45680.301446759258</v>
      </c>
      <c r="I3181" s="10">
        <v>45680.301446759258</v>
      </c>
      <c r="J3181" s="10">
        <v>45680.302789351852</v>
      </c>
      <c r="K3181" s="11">
        <v>1.3425925925925921E-3</v>
      </c>
      <c r="L3181" s="13"/>
    </row>
    <row r="3182" spans="1:12" x14ac:dyDescent="0.25">
      <c r="A3182" s="3" t="s">
        <v>3225</v>
      </c>
      <c r="B3182" s="3" t="s">
        <v>6441</v>
      </c>
      <c r="C3182" s="3" t="s">
        <v>4014</v>
      </c>
      <c r="D3182" s="9">
        <v>39</v>
      </c>
      <c r="E3182" s="3" t="s">
        <v>139</v>
      </c>
      <c r="F3182" s="3" t="s">
        <v>3197</v>
      </c>
      <c r="G3182" s="9">
        <v>459.96</v>
      </c>
      <c r="H3182" s="10">
        <v>45680.302789351852</v>
      </c>
      <c r="I3182" s="10">
        <v>45680.302789351852</v>
      </c>
      <c r="J3182" s="10">
        <v>45680.304791666669</v>
      </c>
      <c r="K3182" s="11">
        <v>2.0023148148148148E-3</v>
      </c>
      <c r="L3182" s="13"/>
    </row>
    <row r="3183" spans="1:12" x14ac:dyDescent="0.25">
      <c r="A3183" s="3" t="s">
        <v>3225</v>
      </c>
      <c r="B3183" s="3" t="s">
        <v>6442</v>
      </c>
      <c r="C3183" s="3" t="s">
        <v>2480</v>
      </c>
      <c r="D3183" s="9">
        <v>177.8</v>
      </c>
      <c r="E3183" s="3" t="s">
        <v>139</v>
      </c>
      <c r="F3183" s="3" t="s">
        <v>3199</v>
      </c>
      <c r="G3183" s="9">
        <v>450.42</v>
      </c>
      <c r="H3183" s="10">
        <v>45680.371157407397</v>
      </c>
      <c r="I3183" s="10">
        <v>45680.371157407397</v>
      </c>
      <c r="J3183" s="10">
        <v>45680.373449074083</v>
      </c>
      <c r="K3183" s="11">
        <v>2.2916666666666671E-3</v>
      </c>
      <c r="L3183" s="13"/>
    </row>
    <row r="3184" spans="1:12" x14ac:dyDescent="0.25">
      <c r="A3184" s="3" t="s">
        <v>3225</v>
      </c>
      <c r="B3184" s="3" t="s">
        <v>6443</v>
      </c>
      <c r="C3184" s="3" t="s">
        <v>2482</v>
      </c>
      <c r="D3184" s="9">
        <v>218.7</v>
      </c>
      <c r="E3184" s="3" t="s">
        <v>139</v>
      </c>
      <c r="F3184" s="3" t="s">
        <v>3195</v>
      </c>
      <c r="G3184" s="9">
        <v>405.43</v>
      </c>
      <c r="H3184" s="10">
        <v>45680.373449074083</v>
      </c>
      <c r="I3184" s="10">
        <v>45680.373449074083</v>
      </c>
      <c r="J3184" s="10">
        <v>45680.375648148147</v>
      </c>
      <c r="K3184" s="11">
        <v>2.1990740740740742E-3</v>
      </c>
      <c r="L3184" s="13"/>
    </row>
    <row r="3185" spans="1:12" x14ac:dyDescent="0.25">
      <c r="A3185" s="3" t="s">
        <v>3225</v>
      </c>
      <c r="B3185" s="3" t="s">
        <v>6444</v>
      </c>
      <c r="C3185" s="3" t="s">
        <v>2485</v>
      </c>
      <c r="D3185" s="9">
        <v>28</v>
      </c>
      <c r="E3185" s="3" t="s">
        <v>142</v>
      </c>
      <c r="F3185" s="3" t="s">
        <v>3203</v>
      </c>
      <c r="G3185" s="9">
        <v>263.08999999999997</v>
      </c>
      <c r="H3185" s="10">
        <v>45680.398518518523</v>
      </c>
      <c r="I3185" s="10">
        <v>45680.398518518523</v>
      </c>
      <c r="J3185" s="10">
        <v>45680.399675925917</v>
      </c>
      <c r="K3185" s="11">
        <v>1.1574074074074069E-3</v>
      </c>
      <c r="L3185" s="13"/>
    </row>
    <row r="3186" spans="1:12" x14ac:dyDescent="0.25">
      <c r="A3186" s="3" t="s">
        <v>3225</v>
      </c>
      <c r="B3186" s="3" t="s">
        <v>6445</v>
      </c>
      <c r="C3186" s="3" t="s">
        <v>2488</v>
      </c>
      <c r="D3186" s="9">
        <v>15.7</v>
      </c>
      <c r="E3186" s="3" t="s">
        <v>142</v>
      </c>
      <c r="F3186" s="3" t="s">
        <v>3201</v>
      </c>
      <c r="G3186" s="9">
        <v>405.22</v>
      </c>
      <c r="H3186" s="10">
        <v>45680.399675925917</v>
      </c>
      <c r="I3186" s="10">
        <v>45680.399675925917</v>
      </c>
      <c r="J3186" s="10">
        <v>45680.401400462957</v>
      </c>
      <c r="K3186" s="11">
        <v>1.724537037037037E-3</v>
      </c>
      <c r="L3186" s="13"/>
    </row>
    <row r="3187" spans="1:12" x14ac:dyDescent="0.25">
      <c r="A3187" s="3" t="s">
        <v>3225</v>
      </c>
      <c r="B3187" s="3" t="s">
        <v>6446</v>
      </c>
      <c r="C3187" s="3" t="s">
        <v>2491</v>
      </c>
      <c r="D3187" s="9">
        <v>31.5</v>
      </c>
      <c r="E3187" s="3" t="s">
        <v>142</v>
      </c>
      <c r="F3187" s="3" t="s">
        <v>3203</v>
      </c>
      <c r="G3187" s="9">
        <v>263.08999999999997</v>
      </c>
      <c r="H3187" s="10">
        <v>45680.401400462957</v>
      </c>
      <c r="I3187" s="10">
        <v>45680.401400462957</v>
      </c>
      <c r="J3187" s="10">
        <v>45680.402569444443</v>
      </c>
      <c r="K3187" s="11">
        <v>1.168981481481482E-3</v>
      </c>
      <c r="L3187" s="13"/>
    </row>
    <row r="3188" spans="1:12" x14ac:dyDescent="0.25">
      <c r="A3188" s="3" t="s">
        <v>3225</v>
      </c>
      <c r="B3188" s="3" t="s">
        <v>6447</v>
      </c>
      <c r="C3188" s="3" t="s">
        <v>2493</v>
      </c>
      <c r="D3188" s="9">
        <v>19.899999999999999</v>
      </c>
      <c r="E3188" s="3" t="s">
        <v>142</v>
      </c>
      <c r="F3188" s="3" t="s">
        <v>3206</v>
      </c>
      <c r="G3188" s="9">
        <v>371.57</v>
      </c>
      <c r="H3188" s="10">
        <v>45680.402569444443</v>
      </c>
      <c r="I3188" s="10">
        <v>45680.402569444443</v>
      </c>
      <c r="J3188" s="10">
        <v>45680.404166666667</v>
      </c>
      <c r="K3188" s="11">
        <v>1.5972222222222221E-3</v>
      </c>
      <c r="L3188" s="13"/>
    </row>
    <row r="3189" spans="1:12" x14ac:dyDescent="0.25">
      <c r="A3189" s="3" t="s">
        <v>3225</v>
      </c>
      <c r="B3189" s="3" t="s">
        <v>6448</v>
      </c>
      <c r="C3189" s="3" t="s">
        <v>2495</v>
      </c>
      <c r="D3189" s="9">
        <v>15.7</v>
      </c>
      <c r="E3189" s="3" t="s">
        <v>142</v>
      </c>
      <c r="F3189" s="3" t="s">
        <v>3206</v>
      </c>
      <c r="G3189" s="9">
        <v>371.57</v>
      </c>
      <c r="H3189" s="10">
        <v>45680.404166666667</v>
      </c>
      <c r="I3189" s="10">
        <v>45680.404166666667</v>
      </c>
      <c r="J3189" s="10">
        <v>45680.405752314808</v>
      </c>
      <c r="K3189" s="11">
        <v>1.5856481481481481E-3</v>
      </c>
      <c r="L3189" s="13"/>
    </row>
    <row r="3190" spans="1:12" x14ac:dyDescent="0.25">
      <c r="A3190" s="3" t="s">
        <v>3225</v>
      </c>
      <c r="B3190" s="3" t="s">
        <v>6449</v>
      </c>
      <c r="C3190" s="3" t="s">
        <v>2497</v>
      </c>
      <c r="D3190" s="9">
        <v>82.1</v>
      </c>
      <c r="E3190" s="3" t="s">
        <v>142</v>
      </c>
      <c r="F3190" s="3" t="s">
        <v>3196</v>
      </c>
      <c r="G3190" s="9">
        <v>443.59</v>
      </c>
      <c r="H3190" s="10">
        <v>45680.405752314808</v>
      </c>
      <c r="I3190" s="10">
        <v>45680.405752314808</v>
      </c>
      <c r="J3190" s="10">
        <v>45680.407789351862</v>
      </c>
      <c r="K3190" s="11">
        <v>2.0370370370370369E-3</v>
      </c>
      <c r="L3190" s="13"/>
    </row>
    <row r="3191" spans="1:12" x14ac:dyDescent="0.25">
      <c r="A3191" s="3" t="s">
        <v>3225</v>
      </c>
      <c r="B3191" s="3" t="s">
        <v>6450</v>
      </c>
      <c r="C3191" s="3" t="s">
        <v>2499</v>
      </c>
      <c r="D3191" s="9">
        <v>57.4</v>
      </c>
      <c r="E3191" s="3" t="s">
        <v>142</v>
      </c>
      <c r="F3191" s="3" t="s">
        <v>3205</v>
      </c>
      <c r="G3191" s="9">
        <v>292.27999999999997</v>
      </c>
      <c r="H3191" s="10">
        <v>45680.407789351862</v>
      </c>
      <c r="I3191" s="10">
        <v>45680.407789351862</v>
      </c>
      <c r="J3191" s="10">
        <v>45680.409131944441</v>
      </c>
      <c r="K3191" s="11">
        <v>1.3425925925925921E-3</v>
      </c>
      <c r="L3191" s="13"/>
    </row>
    <row r="3192" spans="1:12" x14ac:dyDescent="0.25">
      <c r="A3192" s="3" t="s">
        <v>3225</v>
      </c>
      <c r="B3192" s="3" t="s">
        <v>6451</v>
      </c>
      <c r="C3192" s="3" t="s">
        <v>2501</v>
      </c>
      <c r="D3192" s="9">
        <v>19.899999999999999</v>
      </c>
      <c r="E3192" s="3" t="s">
        <v>142</v>
      </c>
      <c r="F3192" s="3" t="s">
        <v>3196</v>
      </c>
      <c r="G3192" s="9">
        <v>443.59</v>
      </c>
      <c r="H3192" s="10">
        <v>45680.409131944441</v>
      </c>
      <c r="I3192" s="10">
        <v>45680.409131944441</v>
      </c>
      <c r="J3192" s="10">
        <v>45680.411030092589</v>
      </c>
      <c r="K3192" s="11">
        <v>1.8981481481481479E-3</v>
      </c>
      <c r="L3192" s="13"/>
    </row>
    <row r="3193" spans="1:12" x14ac:dyDescent="0.25">
      <c r="A3193" s="3" t="s">
        <v>3225</v>
      </c>
      <c r="B3193" s="3" t="s">
        <v>6452</v>
      </c>
      <c r="C3193" s="3" t="s">
        <v>2503</v>
      </c>
      <c r="D3193" s="9">
        <v>15.7</v>
      </c>
      <c r="E3193" s="3" t="s">
        <v>142</v>
      </c>
      <c r="F3193" s="3" t="s">
        <v>3204</v>
      </c>
      <c r="G3193" s="9">
        <v>470.92</v>
      </c>
      <c r="H3193" s="10">
        <v>45680.411030092589</v>
      </c>
      <c r="I3193" s="10">
        <v>45680.411030092589</v>
      </c>
      <c r="J3193" s="10">
        <v>45680.413032407407</v>
      </c>
      <c r="K3193" s="11">
        <v>2.0023148148148148E-3</v>
      </c>
      <c r="L3193" s="13"/>
    </row>
    <row r="3194" spans="1:12" x14ac:dyDescent="0.25">
      <c r="A3194" s="3" t="s">
        <v>3225</v>
      </c>
      <c r="B3194" s="3" t="s">
        <v>6453</v>
      </c>
      <c r="C3194" s="3" t="s">
        <v>2506</v>
      </c>
      <c r="D3194" s="9">
        <v>155.9</v>
      </c>
      <c r="E3194" s="3" t="s">
        <v>142</v>
      </c>
      <c r="F3194" s="3" t="s">
        <v>3197</v>
      </c>
      <c r="G3194" s="9">
        <v>453.13</v>
      </c>
      <c r="H3194" s="10">
        <v>45680.413032407407</v>
      </c>
      <c r="I3194" s="10">
        <v>45680.413032407407</v>
      </c>
      <c r="J3194" s="10">
        <v>45680.415277777778</v>
      </c>
      <c r="K3194" s="11">
        <v>2.2453703703703698E-3</v>
      </c>
      <c r="L3194" s="13"/>
    </row>
    <row r="3195" spans="1:12" x14ac:dyDescent="0.25">
      <c r="A3195" s="3" t="s">
        <v>3225</v>
      </c>
      <c r="B3195" s="3" t="s">
        <v>6454</v>
      </c>
      <c r="C3195" s="3" t="s">
        <v>2508</v>
      </c>
      <c r="D3195" s="9">
        <v>21</v>
      </c>
      <c r="E3195" s="3" t="s">
        <v>142</v>
      </c>
      <c r="F3195" s="3" t="s">
        <v>3197</v>
      </c>
      <c r="G3195" s="9">
        <v>453.13</v>
      </c>
      <c r="H3195" s="10">
        <v>45680.415277777778</v>
      </c>
      <c r="I3195" s="10">
        <v>45680.415277777778</v>
      </c>
      <c r="J3195" s="10">
        <v>45680.417210648149</v>
      </c>
      <c r="K3195" s="11">
        <v>1.93287037037037E-3</v>
      </c>
      <c r="L3195" s="13"/>
    </row>
    <row r="3196" spans="1:12" x14ac:dyDescent="0.25">
      <c r="A3196" s="3" t="s">
        <v>3225</v>
      </c>
      <c r="B3196" s="3" t="s">
        <v>6455</v>
      </c>
      <c r="C3196" s="3" t="s">
        <v>6456</v>
      </c>
      <c r="D3196" s="9">
        <v>407.8</v>
      </c>
      <c r="E3196" s="3" t="s">
        <v>139</v>
      </c>
      <c r="F3196" s="3" t="s">
        <v>3194</v>
      </c>
      <c r="G3196" s="9">
        <v>459.96</v>
      </c>
      <c r="H3196" s="10">
        <v>45680.448634259257</v>
      </c>
      <c r="I3196" s="10">
        <v>45680.448634259257</v>
      </c>
      <c r="J3196" s="10">
        <v>45680.451493055552</v>
      </c>
      <c r="K3196" s="11">
        <v>2.8587962962962959E-3</v>
      </c>
      <c r="L3196" s="13"/>
    </row>
    <row r="3197" spans="1:12" x14ac:dyDescent="0.25">
      <c r="A3197" s="3" t="s">
        <v>3225</v>
      </c>
      <c r="B3197" s="3" t="s">
        <v>6457</v>
      </c>
      <c r="C3197" s="3" t="s">
        <v>2519</v>
      </c>
      <c r="D3197" s="9">
        <v>396.6</v>
      </c>
      <c r="E3197" s="3" t="s">
        <v>139</v>
      </c>
      <c r="F3197" s="3" t="s">
        <v>3202</v>
      </c>
      <c r="G3197" s="9">
        <v>324.35000000000002</v>
      </c>
      <c r="H3197" s="10">
        <v>45680.610983796287</v>
      </c>
      <c r="I3197" s="10">
        <v>45680.610983796287</v>
      </c>
      <c r="J3197" s="10">
        <v>45680.613252314812</v>
      </c>
      <c r="K3197" s="11">
        <v>2.2685185185185191E-3</v>
      </c>
      <c r="L3197" s="13"/>
    </row>
    <row r="3198" spans="1:12" x14ac:dyDescent="0.25">
      <c r="A3198" s="3" t="s">
        <v>3225</v>
      </c>
      <c r="B3198" s="3" t="s">
        <v>6458</v>
      </c>
      <c r="C3198" s="3" t="s">
        <v>2522</v>
      </c>
      <c r="D3198" s="9">
        <v>35.6</v>
      </c>
      <c r="E3198" s="3" t="s">
        <v>142</v>
      </c>
      <c r="F3198" s="3" t="s">
        <v>3196</v>
      </c>
      <c r="G3198" s="9">
        <v>443.59</v>
      </c>
      <c r="H3198" s="10">
        <v>45680.626909722218</v>
      </c>
      <c r="I3198" s="10">
        <v>45680.626909722218</v>
      </c>
      <c r="J3198" s="10">
        <v>45680.628842592603</v>
      </c>
      <c r="K3198" s="11">
        <v>1.93287037037037E-3</v>
      </c>
      <c r="L3198" s="13"/>
    </row>
    <row r="3199" spans="1:12" x14ac:dyDescent="0.25">
      <c r="A3199" s="3" t="s">
        <v>3225</v>
      </c>
      <c r="B3199" s="3" t="s">
        <v>6459</v>
      </c>
      <c r="C3199" s="3" t="s">
        <v>2525</v>
      </c>
      <c r="D3199" s="9">
        <v>31.9</v>
      </c>
      <c r="E3199" s="3" t="s">
        <v>142</v>
      </c>
      <c r="F3199" s="3" t="s">
        <v>3194</v>
      </c>
      <c r="G3199" s="9">
        <v>453.13</v>
      </c>
      <c r="H3199" s="10">
        <v>45680.628842592603</v>
      </c>
      <c r="I3199" s="10">
        <v>45680.628842592603</v>
      </c>
      <c r="J3199" s="10">
        <v>45680.630798611113</v>
      </c>
      <c r="K3199" s="11">
        <v>1.956018518518518E-3</v>
      </c>
      <c r="L3199" s="13"/>
    </row>
    <row r="3200" spans="1:12" x14ac:dyDescent="0.25">
      <c r="A3200" s="3" t="s">
        <v>3225</v>
      </c>
      <c r="B3200" s="3" t="s">
        <v>6460</v>
      </c>
      <c r="C3200" s="3" t="s">
        <v>2528</v>
      </c>
      <c r="D3200" s="9">
        <v>15.7</v>
      </c>
      <c r="E3200" s="3" t="s">
        <v>142</v>
      </c>
      <c r="F3200" s="3" t="s">
        <v>3196</v>
      </c>
      <c r="G3200" s="9">
        <v>443.59</v>
      </c>
      <c r="H3200" s="10">
        <v>45680.630798611113</v>
      </c>
      <c r="I3200" s="10">
        <v>45680.630798611113</v>
      </c>
      <c r="J3200" s="10">
        <v>45680.632685185177</v>
      </c>
      <c r="K3200" s="11">
        <v>1.8865740740740739E-3</v>
      </c>
      <c r="L3200" s="13"/>
    </row>
    <row r="3201" spans="1:12" x14ac:dyDescent="0.25">
      <c r="A3201" s="3" t="s">
        <v>3225</v>
      </c>
      <c r="B3201" s="3" t="s">
        <v>6461</v>
      </c>
      <c r="C3201" s="3" t="s">
        <v>2530</v>
      </c>
      <c r="D3201" s="9">
        <v>15.7</v>
      </c>
      <c r="E3201" s="3" t="s">
        <v>142</v>
      </c>
      <c r="F3201" s="3" t="s">
        <v>3201</v>
      </c>
      <c r="G3201" s="9">
        <v>405.22</v>
      </c>
      <c r="H3201" s="10">
        <v>45680.632685185177</v>
      </c>
      <c r="I3201" s="10">
        <v>45680.632685185177</v>
      </c>
      <c r="J3201" s="10">
        <v>45680.634409722217</v>
      </c>
      <c r="K3201" s="11">
        <v>1.724537037037037E-3</v>
      </c>
      <c r="L3201" s="13"/>
    </row>
    <row r="3202" spans="1:12" x14ac:dyDescent="0.25">
      <c r="A3202" s="3" t="s">
        <v>3225</v>
      </c>
      <c r="B3202" s="3" t="s">
        <v>6462</v>
      </c>
      <c r="C3202" s="3" t="s">
        <v>2532</v>
      </c>
      <c r="D3202" s="9">
        <v>39.799999999999997</v>
      </c>
      <c r="E3202" s="3" t="s">
        <v>142</v>
      </c>
      <c r="F3202" s="3" t="s">
        <v>3196</v>
      </c>
      <c r="G3202" s="9">
        <v>443.59</v>
      </c>
      <c r="H3202" s="10">
        <v>45680.634409722217</v>
      </c>
      <c r="I3202" s="10">
        <v>45680.634409722217</v>
      </c>
      <c r="J3202" s="10">
        <v>45680.636354166672</v>
      </c>
      <c r="K3202" s="11">
        <v>1.944444444444444E-3</v>
      </c>
      <c r="L3202" s="13"/>
    </row>
    <row r="3203" spans="1:12" x14ac:dyDescent="0.25">
      <c r="A3203" s="3" t="s">
        <v>3225</v>
      </c>
      <c r="B3203" s="3" t="s">
        <v>6463</v>
      </c>
      <c r="C3203" s="3" t="s">
        <v>2534</v>
      </c>
      <c r="D3203" s="9">
        <v>15.7</v>
      </c>
      <c r="E3203" s="3" t="s">
        <v>142</v>
      </c>
      <c r="F3203" s="3" t="s">
        <v>3199</v>
      </c>
      <c r="G3203" s="9">
        <v>443.59</v>
      </c>
      <c r="H3203" s="10">
        <v>45680.636354166672</v>
      </c>
      <c r="I3203" s="10">
        <v>45680.636354166672</v>
      </c>
      <c r="J3203" s="10">
        <v>45680.638229166667</v>
      </c>
      <c r="K3203" s="11">
        <v>1.8749999999999999E-3</v>
      </c>
      <c r="L3203" s="13"/>
    </row>
    <row r="3204" spans="1:12" x14ac:dyDescent="0.25">
      <c r="A3204" s="3" t="s">
        <v>3225</v>
      </c>
      <c r="B3204" s="3" t="s">
        <v>6464</v>
      </c>
      <c r="C3204" s="3" t="s">
        <v>2543</v>
      </c>
      <c r="D3204" s="9">
        <v>21</v>
      </c>
      <c r="E3204" s="3" t="s">
        <v>139</v>
      </c>
      <c r="F3204" s="3" t="s">
        <v>3197</v>
      </c>
      <c r="G3204" s="9">
        <v>459.96</v>
      </c>
      <c r="H3204" s="10">
        <v>45680.728530092587</v>
      </c>
      <c r="I3204" s="10">
        <v>45680.728530092587</v>
      </c>
      <c r="J3204" s="10">
        <v>45680.730497685188</v>
      </c>
      <c r="K3204" s="11">
        <v>1.967592592592592E-3</v>
      </c>
      <c r="L3204" s="13"/>
    </row>
    <row r="3205" spans="1:12" x14ac:dyDescent="0.25">
      <c r="A3205" s="3" t="s">
        <v>3225</v>
      </c>
      <c r="B3205" s="3" t="s">
        <v>6465</v>
      </c>
      <c r="C3205" s="3" t="s">
        <v>2546</v>
      </c>
      <c r="D3205" s="9">
        <v>15.7</v>
      </c>
      <c r="E3205" s="3" t="s">
        <v>139</v>
      </c>
      <c r="F3205" s="3" t="s">
        <v>3199</v>
      </c>
      <c r="G3205" s="9">
        <v>450.42</v>
      </c>
      <c r="H3205" s="10">
        <v>45680.730497685188</v>
      </c>
      <c r="I3205" s="10">
        <v>45680.730497685188</v>
      </c>
      <c r="J3205" s="10">
        <v>45680.732407407413</v>
      </c>
      <c r="K3205" s="11">
        <v>1.9097222222222219E-3</v>
      </c>
      <c r="L3205" s="13"/>
    </row>
    <row r="3206" spans="1:12" x14ac:dyDescent="0.25">
      <c r="A3206" s="3" t="s">
        <v>3225</v>
      </c>
      <c r="B3206" s="3" t="s">
        <v>6466</v>
      </c>
      <c r="C3206" s="3" t="s">
        <v>2548</v>
      </c>
      <c r="D3206" s="9">
        <v>39</v>
      </c>
      <c r="E3206" s="3" t="s">
        <v>139</v>
      </c>
      <c r="F3206" s="3" t="s">
        <v>3196</v>
      </c>
      <c r="G3206" s="9">
        <v>450.42</v>
      </c>
      <c r="H3206" s="10">
        <v>45680.732407407413</v>
      </c>
      <c r="I3206" s="10">
        <v>45680.732407407413</v>
      </c>
      <c r="J3206" s="10">
        <v>45680.734375</v>
      </c>
      <c r="K3206" s="11">
        <v>1.967592592592592E-3</v>
      </c>
      <c r="L3206" s="13"/>
    </row>
    <row r="3207" spans="1:12" x14ac:dyDescent="0.25">
      <c r="A3207" s="3" t="s">
        <v>3225</v>
      </c>
      <c r="B3207" s="3" t="s">
        <v>6467</v>
      </c>
      <c r="C3207" s="3" t="s">
        <v>2550</v>
      </c>
      <c r="D3207" s="9">
        <v>27</v>
      </c>
      <c r="E3207" s="3" t="s">
        <v>139</v>
      </c>
      <c r="F3207" s="3" t="s">
        <v>3203</v>
      </c>
      <c r="G3207" s="9">
        <v>269.92</v>
      </c>
      <c r="H3207" s="10">
        <v>45680.734375</v>
      </c>
      <c r="I3207" s="10">
        <v>45680.734375</v>
      </c>
      <c r="J3207" s="10">
        <v>45680.735567129632</v>
      </c>
      <c r="K3207" s="11">
        <v>1.19212962962963E-3</v>
      </c>
      <c r="L3207" s="13"/>
    </row>
    <row r="3208" spans="1:12" x14ac:dyDescent="0.25">
      <c r="A3208" s="3" t="s">
        <v>3225</v>
      </c>
      <c r="B3208" s="3" t="s">
        <v>6468</v>
      </c>
      <c r="C3208" s="3" t="s">
        <v>2552</v>
      </c>
      <c r="D3208" s="9">
        <v>19.899999999999999</v>
      </c>
      <c r="E3208" s="3" t="s">
        <v>139</v>
      </c>
      <c r="F3208" s="3" t="s">
        <v>3206</v>
      </c>
      <c r="G3208" s="9">
        <v>378.4</v>
      </c>
      <c r="H3208" s="10">
        <v>45680.735567129632</v>
      </c>
      <c r="I3208" s="10">
        <v>45680.735567129632</v>
      </c>
      <c r="J3208" s="10">
        <v>45680.737187500003</v>
      </c>
      <c r="K3208" s="11">
        <v>1.6203703703703701E-3</v>
      </c>
      <c r="L3208" s="13"/>
    </row>
    <row r="3209" spans="1:12" x14ac:dyDescent="0.25">
      <c r="A3209" s="3" t="s">
        <v>3225</v>
      </c>
      <c r="B3209" s="3" t="s">
        <v>6469</v>
      </c>
      <c r="C3209" s="3" t="s">
        <v>2554</v>
      </c>
      <c r="D3209" s="9">
        <v>15.7</v>
      </c>
      <c r="E3209" s="3" t="s">
        <v>139</v>
      </c>
      <c r="F3209" s="3" t="s">
        <v>3201</v>
      </c>
      <c r="G3209" s="9">
        <v>412.05</v>
      </c>
      <c r="H3209" s="10">
        <v>45680.737187500003</v>
      </c>
      <c r="I3209" s="10">
        <v>45680.737187500003</v>
      </c>
      <c r="J3209" s="10">
        <v>45680.738935185182</v>
      </c>
      <c r="K3209" s="11">
        <v>1.747685185185185E-3</v>
      </c>
      <c r="L3209" s="13"/>
    </row>
    <row r="3210" spans="1:12" x14ac:dyDescent="0.25">
      <c r="A3210" s="3" t="s">
        <v>3225</v>
      </c>
      <c r="B3210" s="3" t="s">
        <v>6470</v>
      </c>
      <c r="C3210" s="3" t="s">
        <v>2556</v>
      </c>
      <c r="D3210" s="9">
        <v>15.7</v>
      </c>
      <c r="E3210" s="3" t="s">
        <v>139</v>
      </c>
      <c r="F3210" s="3" t="s">
        <v>3204</v>
      </c>
      <c r="G3210" s="9">
        <v>477.75</v>
      </c>
      <c r="H3210" s="10">
        <v>45680.738935185182</v>
      </c>
      <c r="I3210" s="10">
        <v>45680.738935185182</v>
      </c>
      <c r="J3210" s="10">
        <v>45680.740960648152</v>
      </c>
      <c r="K3210" s="11">
        <v>2.0254629629629629E-3</v>
      </c>
      <c r="L3210" s="13"/>
    </row>
    <row r="3211" spans="1:12" x14ac:dyDescent="0.25">
      <c r="A3211" s="3" t="s">
        <v>3225</v>
      </c>
      <c r="B3211" s="3" t="s">
        <v>6471</v>
      </c>
      <c r="C3211" s="3" t="s">
        <v>2558</v>
      </c>
      <c r="D3211" s="9">
        <v>15.7</v>
      </c>
      <c r="E3211" s="3" t="s">
        <v>139</v>
      </c>
      <c r="F3211" s="3" t="s">
        <v>3206</v>
      </c>
      <c r="G3211" s="9">
        <v>378.4</v>
      </c>
      <c r="H3211" s="10">
        <v>45680.740960648152</v>
      </c>
      <c r="I3211" s="10">
        <v>45680.740960648152</v>
      </c>
      <c r="J3211" s="10">
        <v>45680.742581018523</v>
      </c>
      <c r="K3211" s="11">
        <v>1.6203703703703701E-3</v>
      </c>
      <c r="L3211" s="13"/>
    </row>
    <row r="3212" spans="1:12" x14ac:dyDescent="0.25">
      <c r="A3212" s="3" t="s">
        <v>3225</v>
      </c>
      <c r="B3212" s="3" t="s">
        <v>6472</v>
      </c>
      <c r="C3212" s="3" t="s">
        <v>2560</v>
      </c>
      <c r="D3212" s="9">
        <v>15.7</v>
      </c>
      <c r="E3212" s="3" t="s">
        <v>139</v>
      </c>
      <c r="F3212" s="3" t="s">
        <v>3203</v>
      </c>
      <c r="G3212" s="9">
        <v>269.92</v>
      </c>
      <c r="H3212" s="10">
        <v>45680.742581018523</v>
      </c>
      <c r="I3212" s="10">
        <v>45680.742581018523</v>
      </c>
      <c r="J3212" s="10">
        <v>45680.743738425917</v>
      </c>
      <c r="K3212" s="11">
        <v>1.1574074074074069E-3</v>
      </c>
      <c r="L3212" s="13"/>
    </row>
    <row r="3213" spans="1:12" x14ac:dyDescent="0.25">
      <c r="A3213" s="3" t="s">
        <v>3225</v>
      </c>
      <c r="B3213" s="3" t="s">
        <v>6473</v>
      </c>
      <c r="C3213" s="3" t="s">
        <v>2562</v>
      </c>
      <c r="D3213" s="9">
        <v>14</v>
      </c>
      <c r="E3213" s="3" t="s">
        <v>139</v>
      </c>
      <c r="F3213" s="3" t="s">
        <v>3196</v>
      </c>
      <c r="G3213" s="9">
        <v>450.42</v>
      </c>
      <c r="H3213" s="10">
        <v>45680.743738425917</v>
      </c>
      <c r="I3213" s="10">
        <v>45680.743738425917</v>
      </c>
      <c r="J3213" s="10">
        <v>45680.745648148149</v>
      </c>
      <c r="K3213" s="11">
        <v>1.9097222222222219E-3</v>
      </c>
      <c r="L3213" s="13"/>
    </row>
    <row r="3214" spans="1:12" x14ac:dyDescent="0.25">
      <c r="A3214" s="3" t="s">
        <v>3225</v>
      </c>
      <c r="B3214" s="3" t="s">
        <v>6474</v>
      </c>
      <c r="C3214" s="3" t="s">
        <v>2565</v>
      </c>
      <c r="D3214" s="9">
        <v>117.7</v>
      </c>
      <c r="E3214" s="3" t="s">
        <v>139</v>
      </c>
      <c r="F3214" s="3" t="s">
        <v>3193</v>
      </c>
      <c r="G3214" s="9">
        <v>297.43</v>
      </c>
      <c r="H3214" s="10">
        <v>45680.745648148149</v>
      </c>
      <c r="I3214" s="10">
        <v>45680.745648148149</v>
      </c>
      <c r="J3214" s="10">
        <v>45680.747164351851</v>
      </c>
      <c r="K3214" s="11">
        <v>1.5162037037037041E-3</v>
      </c>
      <c r="L3214" s="13"/>
    </row>
    <row r="3215" spans="1:12" x14ac:dyDescent="0.25">
      <c r="A3215" s="3" t="s">
        <v>3225</v>
      </c>
      <c r="B3215" s="3" t="s">
        <v>6475</v>
      </c>
      <c r="C3215" s="3" t="s">
        <v>2568</v>
      </c>
      <c r="D3215" s="9">
        <v>14</v>
      </c>
      <c r="E3215" s="3" t="s">
        <v>139</v>
      </c>
      <c r="F3215" s="3" t="s">
        <v>3203</v>
      </c>
      <c r="G3215" s="9">
        <v>269.92</v>
      </c>
      <c r="H3215" s="10">
        <v>45680.747164351851</v>
      </c>
      <c r="I3215" s="10">
        <v>45680.747164351851</v>
      </c>
      <c r="J3215" s="10">
        <v>45680.74832175926</v>
      </c>
      <c r="K3215" s="11">
        <v>1.1574074074074069E-3</v>
      </c>
      <c r="L3215" s="13"/>
    </row>
    <row r="3216" spans="1:12" x14ac:dyDescent="0.25">
      <c r="A3216" s="3" t="s">
        <v>3225</v>
      </c>
      <c r="B3216" s="3" t="s">
        <v>6476</v>
      </c>
      <c r="C3216" s="3" t="s">
        <v>2570</v>
      </c>
      <c r="D3216" s="9">
        <v>54.7</v>
      </c>
      <c r="E3216" s="3" t="s">
        <v>164</v>
      </c>
      <c r="F3216" s="3" t="s">
        <v>3198</v>
      </c>
      <c r="G3216" s="9">
        <v>435.76</v>
      </c>
      <c r="H3216" s="10">
        <v>45680.749189814807</v>
      </c>
      <c r="I3216" s="10">
        <v>45680.749189814807</v>
      </c>
      <c r="J3216" s="10">
        <v>45680.751122685193</v>
      </c>
      <c r="K3216" s="11">
        <v>1.93287037037037E-3</v>
      </c>
      <c r="L3216" s="13"/>
    </row>
    <row r="3217" spans="1:12" x14ac:dyDescent="0.25">
      <c r="A3217" s="3" t="s">
        <v>3225</v>
      </c>
      <c r="B3217" s="3" t="s">
        <v>6477</v>
      </c>
      <c r="C3217" s="3" t="s">
        <v>2573</v>
      </c>
      <c r="D3217" s="9">
        <v>85.5</v>
      </c>
      <c r="E3217" s="3" t="s">
        <v>139</v>
      </c>
      <c r="F3217" s="3" t="s">
        <v>3198</v>
      </c>
      <c r="G3217" s="9">
        <v>350.87</v>
      </c>
      <c r="H3217" s="10">
        <v>45680.879467592589</v>
      </c>
      <c r="I3217" s="10">
        <v>45680.879467592589</v>
      </c>
      <c r="J3217" s="10">
        <v>45680.881122685183</v>
      </c>
      <c r="K3217" s="11">
        <v>1.655092592592593E-3</v>
      </c>
      <c r="L3217" s="13"/>
    </row>
    <row r="3218" spans="1:12" x14ac:dyDescent="0.25">
      <c r="A3218" s="3" t="s">
        <v>3225</v>
      </c>
      <c r="B3218" s="3" t="s">
        <v>6478</v>
      </c>
      <c r="C3218" s="3" t="s">
        <v>2575</v>
      </c>
      <c r="D3218" s="9">
        <v>31.5</v>
      </c>
      <c r="E3218" s="3" t="s">
        <v>139</v>
      </c>
      <c r="F3218" s="3" t="s">
        <v>3199</v>
      </c>
      <c r="G3218" s="9">
        <v>450.42</v>
      </c>
      <c r="H3218" s="10">
        <v>45681.122465277767</v>
      </c>
      <c r="I3218" s="10">
        <v>45681.122465277767</v>
      </c>
      <c r="J3218" s="10">
        <v>45681.124409722222</v>
      </c>
      <c r="K3218" s="11">
        <v>1.944444444444444E-3</v>
      </c>
      <c r="L3218" s="13"/>
    </row>
    <row r="3219" spans="1:12" x14ac:dyDescent="0.25">
      <c r="A3219" s="3" t="s">
        <v>3225</v>
      </c>
      <c r="B3219" s="3" t="s">
        <v>6479</v>
      </c>
      <c r="C3219" s="3" t="s">
        <v>2577</v>
      </c>
      <c r="D3219" s="9">
        <v>164.7</v>
      </c>
      <c r="E3219" s="3" t="s">
        <v>139</v>
      </c>
      <c r="F3219" s="3" t="s">
        <v>3197</v>
      </c>
      <c r="G3219" s="9">
        <v>459.96</v>
      </c>
      <c r="H3219" s="10">
        <v>45681.124409722222</v>
      </c>
      <c r="I3219" s="10">
        <v>45681.124409722222</v>
      </c>
      <c r="J3219" s="10">
        <v>45681.126712962963</v>
      </c>
      <c r="K3219" s="11">
        <v>2.3032407407407411E-3</v>
      </c>
      <c r="L3219" s="13"/>
    </row>
    <row r="3220" spans="1:12" x14ac:dyDescent="0.25">
      <c r="A3220" s="3" t="s">
        <v>3225</v>
      </c>
      <c r="B3220" s="3" t="s">
        <v>6480</v>
      </c>
      <c r="C3220" s="3" t="s">
        <v>2579</v>
      </c>
      <c r="D3220" s="9">
        <v>35.6</v>
      </c>
      <c r="E3220" s="3" t="s">
        <v>139</v>
      </c>
      <c r="F3220" s="3" t="s">
        <v>3203</v>
      </c>
      <c r="G3220" s="9">
        <v>269.92</v>
      </c>
      <c r="H3220" s="10">
        <v>45681.126712962963</v>
      </c>
      <c r="I3220" s="10">
        <v>45681.126712962963</v>
      </c>
      <c r="J3220" s="10">
        <v>45681.127916666657</v>
      </c>
      <c r="K3220" s="11">
        <v>1.203703703703704E-3</v>
      </c>
      <c r="L3220" s="13"/>
    </row>
    <row r="3221" spans="1:12" x14ac:dyDescent="0.25">
      <c r="A3221" s="3" t="s">
        <v>3225</v>
      </c>
      <c r="B3221" s="3" t="s">
        <v>6481</v>
      </c>
      <c r="C3221" s="3" t="s">
        <v>2581</v>
      </c>
      <c r="D3221" s="9">
        <v>12</v>
      </c>
      <c r="E3221" s="3" t="s">
        <v>139</v>
      </c>
      <c r="F3221" s="3" t="s">
        <v>3194</v>
      </c>
      <c r="G3221" s="9">
        <v>459.96</v>
      </c>
      <c r="H3221" s="10">
        <v>45681.127916666657</v>
      </c>
      <c r="I3221" s="10">
        <v>45681.127916666657</v>
      </c>
      <c r="J3221" s="10">
        <v>45681.129861111112</v>
      </c>
      <c r="K3221" s="11">
        <v>1.944444444444444E-3</v>
      </c>
      <c r="L3221" s="13"/>
    </row>
    <row r="3222" spans="1:12" x14ac:dyDescent="0.25">
      <c r="A3222" s="3" t="s">
        <v>3225</v>
      </c>
      <c r="B3222" s="3" t="s">
        <v>6482</v>
      </c>
      <c r="C3222" s="3" t="s">
        <v>2583</v>
      </c>
      <c r="D3222" s="9">
        <v>51.4</v>
      </c>
      <c r="E3222" s="3" t="s">
        <v>139</v>
      </c>
      <c r="F3222" s="3" t="s">
        <v>3203</v>
      </c>
      <c r="G3222" s="9">
        <v>269.92</v>
      </c>
      <c r="H3222" s="10">
        <v>45681.129861111112</v>
      </c>
      <c r="I3222" s="10">
        <v>45681.129861111112</v>
      </c>
      <c r="J3222" s="10">
        <v>45681.131111111114</v>
      </c>
      <c r="K3222" s="11">
        <v>1.25E-3</v>
      </c>
      <c r="L3222" s="13"/>
    </row>
    <row r="3223" spans="1:12" x14ac:dyDescent="0.25">
      <c r="A3223" s="3" t="s">
        <v>3225</v>
      </c>
      <c r="B3223" s="3" t="s">
        <v>6483</v>
      </c>
      <c r="C3223" s="3" t="s">
        <v>2585</v>
      </c>
      <c r="D3223" s="9">
        <v>118.2</v>
      </c>
      <c r="E3223" s="3" t="s">
        <v>139</v>
      </c>
      <c r="F3223" s="3" t="s">
        <v>3201</v>
      </c>
      <c r="G3223" s="9">
        <v>412.05</v>
      </c>
      <c r="H3223" s="10">
        <v>45681.195185185177</v>
      </c>
      <c r="I3223" s="10">
        <v>45681.195185185177</v>
      </c>
      <c r="J3223" s="10">
        <v>45681.197175925918</v>
      </c>
      <c r="K3223" s="11">
        <v>1.9907407407407408E-3</v>
      </c>
      <c r="L3223" s="13"/>
    </row>
    <row r="3224" spans="1:12" x14ac:dyDescent="0.25">
      <c r="A3224" s="3" t="s">
        <v>3225</v>
      </c>
      <c r="B3224" s="3" t="s">
        <v>6484</v>
      </c>
      <c r="C3224" s="3" t="s">
        <v>2587</v>
      </c>
      <c r="D3224" s="9">
        <v>297</v>
      </c>
      <c r="E3224" s="3" t="s">
        <v>139</v>
      </c>
      <c r="F3224" s="3" t="s">
        <v>3203</v>
      </c>
      <c r="G3224" s="9">
        <v>269.92</v>
      </c>
      <c r="H3224" s="10">
        <v>45681.265775462962</v>
      </c>
      <c r="I3224" s="10">
        <v>45681.265775462962</v>
      </c>
      <c r="J3224" s="10">
        <v>45681.267592592587</v>
      </c>
      <c r="K3224" s="11">
        <v>1.8171296296296299E-3</v>
      </c>
      <c r="L3224" s="13"/>
    </row>
    <row r="3225" spans="1:12" x14ac:dyDescent="0.25">
      <c r="A3225" s="3" t="s">
        <v>3225</v>
      </c>
      <c r="B3225" s="3" t="s">
        <v>6485</v>
      </c>
      <c r="C3225" s="3" t="s">
        <v>2590</v>
      </c>
      <c r="D3225" s="9">
        <v>240.4</v>
      </c>
      <c r="E3225" s="3" t="s">
        <v>139</v>
      </c>
      <c r="F3225" s="3" t="s">
        <v>3200</v>
      </c>
      <c r="G3225" s="9">
        <v>405.03</v>
      </c>
      <c r="H3225" s="10">
        <v>45681.296956018523</v>
      </c>
      <c r="I3225" s="10">
        <v>45681.296956018523</v>
      </c>
      <c r="J3225" s="10">
        <v>45681.299201388887</v>
      </c>
      <c r="K3225" s="11">
        <v>2.2453703703703698E-3</v>
      </c>
      <c r="L3225" s="13"/>
    </row>
    <row r="3226" spans="1:12" x14ac:dyDescent="0.25">
      <c r="A3226" s="3" t="s">
        <v>3225</v>
      </c>
      <c r="B3226" s="3" t="s">
        <v>6486</v>
      </c>
      <c r="C3226" s="3" t="s">
        <v>2593</v>
      </c>
      <c r="D3226" s="9">
        <v>42</v>
      </c>
      <c r="E3226" s="3" t="s">
        <v>139</v>
      </c>
      <c r="F3226" s="3" t="s">
        <v>3203</v>
      </c>
      <c r="G3226" s="9">
        <v>269.92</v>
      </c>
      <c r="H3226" s="10">
        <v>45681.320787037039</v>
      </c>
      <c r="I3226" s="10">
        <v>45681.320787037039</v>
      </c>
      <c r="J3226" s="10">
        <v>45681.322002314817</v>
      </c>
      <c r="K3226" s="11">
        <v>1.215277777777778E-3</v>
      </c>
      <c r="L3226" s="13"/>
    </row>
    <row r="3227" spans="1:12" x14ac:dyDescent="0.25">
      <c r="A3227" s="3" t="s">
        <v>3225</v>
      </c>
      <c r="B3227" s="3" t="s">
        <v>6487</v>
      </c>
      <c r="C3227" s="3" t="s">
        <v>2596</v>
      </c>
      <c r="D3227" s="9">
        <v>15.7</v>
      </c>
      <c r="E3227" s="3" t="s">
        <v>139</v>
      </c>
      <c r="F3227" s="3" t="s">
        <v>3194</v>
      </c>
      <c r="G3227" s="9">
        <v>459.96</v>
      </c>
      <c r="H3227" s="10">
        <v>45681.322002314817</v>
      </c>
      <c r="I3227" s="10">
        <v>45681.322002314817</v>
      </c>
      <c r="J3227" s="10">
        <v>45681.323958333327</v>
      </c>
      <c r="K3227" s="11">
        <v>1.956018518518518E-3</v>
      </c>
      <c r="L3227" s="13"/>
    </row>
    <row r="3228" spans="1:12" x14ac:dyDescent="0.25">
      <c r="A3228" s="3" t="s">
        <v>3225</v>
      </c>
      <c r="B3228" s="3" t="s">
        <v>6488</v>
      </c>
      <c r="C3228" s="3" t="s">
        <v>2601</v>
      </c>
      <c r="D3228" s="9">
        <v>27</v>
      </c>
      <c r="E3228" s="3" t="s">
        <v>139</v>
      </c>
      <c r="F3228" s="3" t="s">
        <v>3203</v>
      </c>
      <c r="G3228" s="9">
        <v>269.92</v>
      </c>
      <c r="H3228" s="10">
        <v>45681.323958333327</v>
      </c>
      <c r="I3228" s="10">
        <v>45681.323958333327</v>
      </c>
      <c r="J3228" s="10">
        <v>45681.325138888889</v>
      </c>
      <c r="K3228" s="11">
        <v>1.180555555555556E-3</v>
      </c>
      <c r="L3228" s="13"/>
    </row>
    <row r="3229" spans="1:12" x14ac:dyDescent="0.25">
      <c r="A3229" s="3" t="s">
        <v>3225</v>
      </c>
      <c r="B3229" s="3" t="s">
        <v>6489</v>
      </c>
      <c r="C3229" s="3" t="s">
        <v>2604</v>
      </c>
      <c r="D3229" s="9">
        <v>12</v>
      </c>
      <c r="E3229" s="3" t="s">
        <v>139</v>
      </c>
      <c r="F3229" s="3" t="s">
        <v>3194</v>
      </c>
      <c r="G3229" s="9">
        <v>459.96</v>
      </c>
      <c r="H3229" s="10">
        <v>45681.325138888889</v>
      </c>
      <c r="I3229" s="10">
        <v>45681.325138888889</v>
      </c>
      <c r="J3229" s="10">
        <v>45681.32708333333</v>
      </c>
      <c r="K3229" s="11">
        <v>1.944444444444444E-3</v>
      </c>
      <c r="L3229" s="13"/>
    </row>
    <row r="3230" spans="1:12" x14ac:dyDescent="0.25">
      <c r="A3230" s="3" t="s">
        <v>3225</v>
      </c>
      <c r="B3230" s="3" t="s">
        <v>6490</v>
      </c>
      <c r="C3230" s="3" t="s">
        <v>2607</v>
      </c>
      <c r="D3230" s="9">
        <v>15.7</v>
      </c>
      <c r="E3230" s="3" t="s">
        <v>139</v>
      </c>
      <c r="F3230" s="3" t="s">
        <v>3201</v>
      </c>
      <c r="G3230" s="9">
        <v>412.05</v>
      </c>
      <c r="H3230" s="10">
        <v>45681.32708333333</v>
      </c>
      <c r="I3230" s="10">
        <v>45681.32708333333</v>
      </c>
      <c r="J3230" s="10">
        <v>45681.328842592593</v>
      </c>
      <c r="K3230" s="11">
        <v>1.759259259259259E-3</v>
      </c>
      <c r="L3230" s="13"/>
    </row>
    <row r="3231" spans="1:12" x14ac:dyDescent="0.25">
      <c r="A3231" s="3" t="s">
        <v>3225</v>
      </c>
      <c r="B3231" s="3" t="s">
        <v>6491</v>
      </c>
      <c r="C3231" s="3" t="s">
        <v>2612</v>
      </c>
      <c r="D3231" s="9">
        <v>39.799999999999997</v>
      </c>
      <c r="E3231" s="3" t="s">
        <v>139</v>
      </c>
      <c r="F3231" s="3" t="s">
        <v>3206</v>
      </c>
      <c r="G3231" s="9">
        <v>378.4</v>
      </c>
      <c r="H3231" s="10">
        <v>45681.328842592593</v>
      </c>
      <c r="I3231" s="10">
        <v>45681.328842592593</v>
      </c>
      <c r="J3231" s="10">
        <v>45681.330509259264</v>
      </c>
      <c r="K3231" s="11">
        <v>1.666666666666667E-3</v>
      </c>
      <c r="L3231" s="13"/>
    </row>
    <row r="3232" spans="1:12" x14ac:dyDescent="0.25">
      <c r="A3232" s="3" t="s">
        <v>3225</v>
      </c>
      <c r="B3232" s="3" t="s">
        <v>6492</v>
      </c>
      <c r="C3232" s="3" t="s">
        <v>2616</v>
      </c>
      <c r="D3232" s="9">
        <v>36.4</v>
      </c>
      <c r="E3232" s="3" t="s">
        <v>139</v>
      </c>
      <c r="F3232" s="3" t="s">
        <v>3203</v>
      </c>
      <c r="G3232" s="9">
        <v>269.92</v>
      </c>
      <c r="H3232" s="10">
        <v>45681.372974537036</v>
      </c>
      <c r="I3232" s="10">
        <v>45681.372974537036</v>
      </c>
      <c r="J3232" s="10">
        <v>45681.374189814807</v>
      </c>
      <c r="K3232" s="11">
        <v>1.215277777777778E-3</v>
      </c>
      <c r="L3232" s="13"/>
    </row>
    <row r="3233" spans="1:12" x14ac:dyDescent="0.25">
      <c r="A3233" s="3" t="s">
        <v>3225</v>
      </c>
      <c r="B3233" s="3" t="s">
        <v>6493</v>
      </c>
      <c r="C3233" s="3" t="s">
        <v>2618</v>
      </c>
      <c r="D3233" s="9">
        <v>111.4</v>
      </c>
      <c r="E3233" s="3" t="s">
        <v>139</v>
      </c>
      <c r="F3233" s="3" t="s">
        <v>3199</v>
      </c>
      <c r="G3233" s="9">
        <v>450.42</v>
      </c>
      <c r="H3233" s="10">
        <v>45681.374189814807</v>
      </c>
      <c r="I3233" s="10">
        <v>45681.374189814807</v>
      </c>
      <c r="J3233" s="10">
        <v>45681.376319444447</v>
      </c>
      <c r="K3233" s="11">
        <v>2.1296296296296302E-3</v>
      </c>
      <c r="L3233" s="13"/>
    </row>
    <row r="3234" spans="1:12" x14ac:dyDescent="0.25">
      <c r="A3234" s="3" t="s">
        <v>3225</v>
      </c>
      <c r="B3234" s="3" t="s">
        <v>6494</v>
      </c>
      <c r="C3234" s="3" t="s">
        <v>2620</v>
      </c>
      <c r="D3234" s="9">
        <v>27</v>
      </c>
      <c r="E3234" s="3" t="s">
        <v>142</v>
      </c>
      <c r="F3234" s="3" t="s">
        <v>3203</v>
      </c>
      <c r="G3234" s="9">
        <v>263.08999999999997</v>
      </c>
      <c r="H3234" s="10">
        <v>45681.390763888892</v>
      </c>
      <c r="I3234" s="10">
        <v>45681.390763888892</v>
      </c>
      <c r="J3234" s="10">
        <v>45681.391921296286</v>
      </c>
      <c r="K3234" s="11">
        <v>1.1574074074074069E-3</v>
      </c>
      <c r="L3234" s="13"/>
    </row>
    <row r="3235" spans="1:12" x14ac:dyDescent="0.25">
      <c r="A3235" s="3" t="s">
        <v>3225</v>
      </c>
      <c r="B3235" s="3" t="s">
        <v>6495</v>
      </c>
      <c r="C3235" s="3" t="s">
        <v>2622</v>
      </c>
      <c r="D3235" s="9">
        <v>15.7</v>
      </c>
      <c r="E3235" s="3" t="s">
        <v>142</v>
      </c>
      <c r="F3235" s="3" t="s">
        <v>3201</v>
      </c>
      <c r="G3235" s="9">
        <v>405.22</v>
      </c>
      <c r="H3235" s="10">
        <v>45681.391921296286</v>
      </c>
      <c r="I3235" s="10">
        <v>45681.391921296286</v>
      </c>
      <c r="J3235" s="10">
        <v>45681.393645833326</v>
      </c>
      <c r="K3235" s="11">
        <v>1.724537037037037E-3</v>
      </c>
      <c r="L3235" s="13"/>
    </row>
    <row r="3236" spans="1:12" x14ac:dyDescent="0.25">
      <c r="A3236" s="3" t="s">
        <v>3225</v>
      </c>
      <c r="B3236" s="3" t="s">
        <v>6496</v>
      </c>
      <c r="C3236" s="3" t="s">
        <v>2624</v>
      </c>
      <c r="D3236" s="9">
        <v>178.4</v>
      </c>
      <c r="E3236" s="3" t="s">
        <v>142</v>
      </c>
      <c r="F3236" s="3" t="s">
        <v>3204</v>
      </c>
      <c r="G3236" s="9">
        <v>470.92</v>
      </c>
      <c r="H3236" s="10">
        <v>45681.393645833326</v>
      </c>
      <c r="I3236" s="10">
        <v>45681.393645833326</v>
      </c>
      <c r="J3236" s="10">
        <v>45681.396018518521</v>
      </c>
      <c r="K3236" s="11">
        <v>2.3726851851851851E-3</v>
      </c>
      <c r="L3236" s="13"/>
    </row>
    <row r="3237" spans="1:12" x14ac:dyDescent="0.25">
      <c r="A3237" s="3" t="s">
        <v>3225</v>
      </c>
      <c r="B3237" s="3" t="s">
        <v>6497</v>
      </c>
      <c r="C3237" s="3" t="s">
        <v>2627</v>
      </c>
      <c r="D3237" s="9">
        <v>14</v>
      </c>
      <c r="E3237" s="3" t="s">
        <v>142</v>
      </c>
      <c r="F3237" s="3" t="s">
        <v>3203</v>
      </c>
      <c r="G3237" s="9">
        <v>263.08999999999997</v>
      </c>
      <c r="H3237" s="10">
        <v>45681.396018518521</v>
      </c>
      <c r="I3237" s="10">
        <v>45681.396018518521</v>
      </c>
      <c r="J3237" s="10">
        <v>45681.397152777783</v>
      </c>
      <c r="K3237" s="11">
        <v>1.1342592592592589E-3</v>
      </c>
      <c r="L3237" s="13"/>
    </row>
    <row r="3238" spans="1:12" x14ac:dyDescent="0.25">
      <c r="A3238" s="3" t="s">
        <v>3225</v>
      </c>
      <c r="B3238" s="3" t="s">
        <v>6498</v>
      </c>
      <c r="C3238" s="3" t="s">
        <v>2630</v>
      </c>
      <c r="D3238" s="9">
        <v>15.7</v>
      </c>
      <c r="E3238" s="3" t="s">
        <v>142</v>
      </c>
      <c r="F3238" s="3" t="s">
        <v>3199</v>
      </c>
      <c r="G3238" s="9">
        <v>443.59</v>
      </c>
      <c r="H3238" s="10">
        <v>45681.397152777783</v>
      </c>
      <c r="I3238" s="10">
        <v>45681.397152777783</v>
      </c>
      <c r="J3238" s="10">
        <v>45681.399039351847</v>
      </c>
      <c r="K3238" s="11">
        <v>1.8865740740740739E-3</v>
      </c>
      <c r="L3238" s="13"/>
    </row>
    <row r="3239" spans="1:12" x14ac:dyDescent="0.25">
      <c r="A3239" s="3" t="s">
        <v>3225</v>
      </c>
      <c r="B3239" s="3" t="s">
        <v>6499</v>
      </c>
      <c r="C3239" s="3" t="s">
        <v>2634</v>
      </c>
      <c r="D3239" s="9">
        <v>61.9</v>
      </c>
      <c r="E3239" s="3" t="s">
        <v>139</v>
      </c>
      <c r="F3239" s="3" t="s">
        <v>3203</v>
      </c>
      <c r="G3239" s="9">
        <v>269.92</v>
      </c>
      <c r="H3239" s="10">
        <v>45681.421805555547</v>
      </c>
      <c r="I3239" s="10">
        <v>45681.421805555547</v>
      </c>
      <c r="J3239" s="10">
        <v>45681.423078703701</v>
      </c>
      <c r="K3239" s="11">
        <v>1.273148148148148E-3</v>
      </c>
      <c r="L3239" s="13"/>
    </row>
    <row r="3240" spans="1:12" x14ac:dyDescent="0.25">
      <c r="A3240" s="3" t="s">
        <v>3225</v>
      </c>
      <c r="B3240" s="3" t="s">
        <v>6500</v>
      </c>
      <c r="C3240" s="3" t="s">
        <v>2637</v>
      </c>
      <c r="D3240" s="9">
        <v>177.5</v>
      </c>
      <c r="E3240" s="3" t="s">
        <v>139</v>
      </c>
      <c r="F3240" s="3" t="s">
        <v>3195</v>
      </c>
      <c r="G3240" s="9">
        <v>405.43</v>
      </c>
      <c r="H3240" s="10">
        <v>45681.549386574072</v>
      </c>
      <c r="I3240" s="10">
        <v>45681.549386574072</v>
      </c>
      <c r="J3240" s="10">
        <v>45681.551481481481</v>
      </c>
      <c r="K3240" s="11">
        <v>2.0949074074074069E-3</v>
      </c>
      <c r="L3240" s="13"/>
    </row>
    <row r="3241" spans="1:12" x14ac:dyDescent="0.25">
      <c r="A3241" s="3" t="s">
        <v>3225</v>
      </c>
      <c r="B3241" s="3" t="s">
        <v>6501</v>
      </c>
      <c r="C3241" s="3" t="s">
        <v>2640</v>
      </c>
      <c r="D3241" s="9">
        <v>296.10000000000002</v>
      </c>
      <c r="E3241" s="3" t="s">
        <v>139</v>
      </c>
      <c r="F3241" s="3" t="s">
        <v>3197</v>
      </c>
      <c r="G3241" s="9">
        <v>459.96</v>
      </c>
      <c r="H3241" s="10">
        <v>45681.611030092587</v>
      </c>
      <c r="I3241" s="10">
        <v>45681.611030092587</v>
      </c>
      <c r="J3241" s="10">
        <v>45681.613634259258</v>
      </c>
      <c r="K3241" s="11">
        <v>2.604166666666667E-3</v>
      </c>
      <c r="L3241" s="13"/>
    </row>
    <row r="3242" spans="1:12" x14ac:dyDescent="0.25">
      <c r="A3242" s="3" t="s">
        <v>3225</v>
      </c>
      <c r="B3242" s="3" t="s">
        <v>6502</v>
      </c>
      <c r="C3242" s="3" t="s">
        <v>2643</v>
      </c>
      <c r="D3242" s="9">
        <v>42</v>
      </c>
      <c r="E3242" s="3" t="s">
        <v>139</v>
      </c>
      <c r="F3242" s="3" t="s">
        <v>3205</v>
      </c>
      <c r="G3242" s="9">
        <v>299.11</v>
      </c>
      <c r="H3242" s="10">
        <v>45681.63652777778</v>
      </c>
      <c r="I3242" s="10">
        <v>45681.63652777778</v>
      </c>
      <c r="J3242" s="10">
        <v>45681.637870370367</v>
      </c>
      <c r="K3242" s="11">
        <v>1.3425925925925921E-3</v>
      </c>
      <c r="L3242" s="13"/>
    </row>
    <row r="3243" spans="1:12" x14ac:dyDescent="0.25">
      <c r="A3243" s="3" t="s">
        <v>3225</v>
      </c>
      <c r="B3243" s="3" t="s">
        <v>6503</v>
      </c>
      <c r="C3243" s="3" t="s">
        <v>2646</v>
      </c>
      <c r="D3243" s="9">
        <v>54</v>
      </c>
      <c r="E3243" s="3" t="s">
        <v>139</v>
      </c>
      <c r="F3243" s="3" t="s">
        <v>3203</v>
      </c>
      <c r="G3243" s="9">
        <v>269.92</v>
      </c>
      <c r="H3243" s="10">
        <v>45681.637870370367</v>
      </c>
      <c r="I3243" s="10">
        <v>45681.637870370367</v>
      </c>
      <c r="J3243" s="10">
        <v>45681.639120370368</v>
      </c>
      <c r="K3243" s="11">
        <v>1.25E-3</v>
      </c>
      <c r="L3243" s="13"/>
    </row>
    <row r="3244" spans="1:12" x14ac:dyDescent="0.25">
      <c r="A3244" s="3" t="s">
        <v>3225</v>
      </c>
      <c r="B3244" s="3" t="s">
        <v>6504</v>
      </c>
      <c r="C3244" s="3" t="s">
        <v>2649</v>
      </c>
      <c r="D3244" s="9">
        <v>19.899999999999999</v>
      </c>
      <c r="E3244" s="3" t="s">
        <v>139</v>
      </c>
      <c r="F3244" s="3" t="s">
        <v>3194</v>
      </c>
      <c r="G3244" s="9">
        <v>459.96</v>
      </c>
      <c r="H3244" s="10">
        <v>45681.639120370368</v>
      </c>
      <c r="I3244" s="10">
        <v>45681.639120370368</v>
      </c>
      <c r="J3244" s="10">
        <v>45681.641087962962</v>
      </c>
      <c r="K3244" s="11">
        <v>1.967592592592592E-3</v>
      </c>
      <c r="L3244" s="13"/>
    </row>
    <row r="3245" spans="1:12" x14ac:dyDescent="0.25">
      <c r="A3245" s="3" t="s">
        <v>3225</v>
      </c>
      <c r="B3245" s="3" t="s">
        <v>6505</v>
      </c>
      <c r="C3245" s="3" t="s">
        <v>2651</v>
      </c>
      <c r="D3245" s="9">
        <v>101.9</v>
      </c>
      <c r="E3245" s="3" t="s">
        <v>139</v>
      </c>
      <c r="F3245" s="3" t="s">
        <v>3196</v>
      </c>
      <c r="G3245" s="9">
        <v>450.42</v>
      </c>
      <c r="H3245" s="10">
        <v>45681.641087962962</v>
      </c>
      <c r="I3245" s="10">
        <v>45681.641087962962</v>
      </c>
      <c r="J3245" s="10">
        <v>45681.643194444441</v>
      </c>
      <c r="K3245" s="11">
        <v>2.1064814814814809E-3</v>
      </c>
      <c r="L3245" s="13"/>
    </row>
    <row r="3246" spans="1:12" x14ac:dyDescent="0.25">
      <c r="A3246" s="3" t="s">
        <v>3225</v>
      </c>
      <c r="B3246" s="3" t="s">
        <v>6506</v>
      </c>
      <c r="C3246" s="3" t="s">
        <v>2653</v>
      </c>
      <c r="D3246" s="9">
        <v>15.7</v>
      </c>
      <c r="E3246" s="3" t="s">
        <v>139</v>
      </c>
      <c r="F3246" s="3" t="s">
        <v>3199</v>
      </c>
      <c r="G3246" s="9">
        <v>450.42</v>
      </c>
      <c r="H3246" s="10">
        <v>45681.643194444441</v>
      </c>
      <c r="I3246" s="10">
        <v>45681.643194444441</v>
      </c>
      <c r="J3246" s="10">
        <v>45681.645104166673</v>
      </c>
      <c r="K3246" s="11">
        <v>1.9097222222222219E-3</v>
      </c>
      <c r="L3246" s="13"/>
    </row>
    <row r="3247" spans="1:12" x14ac:dyDescent="0.25">
      <c r="A3247" s="3" t="s">
        <v>3225</v>
      </c>
      <c r="B3247" s="3" t="s">
        <v>6507</v>
      </c>
      <c r="C3247" s="3" t="s">
        <v>2655</v>
      </c>
      <c r="D3247" s="9">
        <v>15.7</v>
      </c>
      <c r="E3247" s="3" t="s">
        <v>139</v>
      </c>
      <c r="F3247" s="3" t="s">
        <v>3194</v>
      </c>
      <c r="G3247" s="9">
        <v>459.96</v>
      </c>
      <c r="H3247" s="10">
        <v>45681.645104166673</v>
      </c>
      <c r="I3247" s="10">
        <v>45681.645104166673</v>
      </c>
      <c r="J3247" s="10">
        <v>45681.647060185183</v>
      </c>
      <c r="K3247" s="11">
        <v>1.956018518518518E-3</v>
      </c>
      <c r="L3247" s="13"/>
    </row>
    <row r="3248" spans="1:12" x14ac:dyDescent="0.25">
      <c r="A3248" s="3" t="s">
        <v>3225</v>
      </c>
      <c r="B3248" s="3" t="s">
        <v>6508</v>
      </c>
      <c r="C3248" s="3" t="s">
        <v>2658</v>
      </c>
      <c r="D3248" s="9">
        <v>15.7</v>
      </c>
      <c r="E3248" s="3" t="s">
        <v>139</v>
      </c>
      <c r="F3248" s="3" t="s">
        <v>3201</v>
      </c>
      <c r="G3248" s="9">
        <v>412.05</v>
      </c>
      <c r="H3248" s="10">
        <v>45681.647060185183</v>
      </c>
      <c r="I3248" s="10">
        <v>45681.647060185183</v>
      </c>
      <c r="J3248" s="10">
        <v>45681.648819444446</v>
      </c>
      <c r="K3248" s="11">
        <v>1.759259259259259E-3</v>
      </c>
      <c r="L3248" s="13"/>
    </row>
    <row r="3249" spans="1:12" x14ac:dyDescent="0.25">
      <c r="A3249" s="3" t="s">
        <v>3225</v>
      </c>
      <c r="B3249" s="3" t="s">
        <v>6509</v>
      </c>
      <c r="C3249" s="3" t="s">
        <v>2664</v>
      </c>
      <c r="D3249" s="9">
        <v>134.69999999999999</v>
      </c>
      <c r="E3249" s="3" t="s">
        <v>142</v>
      </c>
      <c r="F3249" s="3" t="s">
        <v>3202</v>
      </c>
      <c r="G3249" s="9">
        <v>317.52</v>
      </c>
      <c r="H3249" s="10">
        <v>45681.735300925917</v>
      </c>
      <c r="I3249" s="10">
        <v>45681.735300925917</v>
      </c>
      <c r="J3249" s="10">
        <v>45681.736932870372</v>
      </c>
      <c r="K3249" s="11">
        <v>1.631944444444445E-3</v>
      </c>
      <c r="L3249" s="13"/>
    </row>
    <row r="3250" spans="1:12" x14ac:dyDescent="0.25">
      <c r="A3250" s="3" t="s">
        <v>3225</v>
      </c>
      <c r="B3250" s="3" t="s">
        <v>6510</v>
      </c>
      <c r="C3250" s="3" t="s">
        <v>2662</v>
      </c>
      <c r="D3250" s="9">
        <v>232.4</v>
      </c>
      <c r="E3250" s="3" t="s">
        <v>139</v>
      </c>
      <c r="F3250" s="3" t="s">
        <v>3194</v>
      </c>
      <c r="G3250" s="9">
        <v>459.96</v>
      </c>
      <c r="H3250" s="10">
        <v>45681.737812500003</v>
      </c>
      <c r="I3250" s="10">
        <v>45681.737812500003</v>
      </c>
      <c r="J3250" s="10">
        <v>45681.740266203713</v>
      </c>
      <c r="K3250" s="11">
        <v>2.453703703703704E-3</v>
      </c>
      <c r="L3250" s="13"/>
    </row>
    <row r="3251" spans="1:12" x14ac:dyDescent="0.25">
      <c r="A3251" s="3" t="s">
        <v>3225</v>
      </c>
      <c r="B3251" s="3" t="s">
        <v>6511</v>
      </c>
      <c r="C3251" s="3" t="s">
        <v>2667</v>
      </c>
      <c r="D3251" s="9">
        <v>389.1</v>
      </c>
      <c r="E3251" s="3" t="s">
        <v>142</v>
      </c>
      <c r="F3251" s="3" t="s">
        <v>3193</v>
      </c>
      <c r="G3251" s="9">
        <v>290.60000000000002</v>
      </c>
      <c r="H3251" s="10">
        <v>45682.082777777781</v>
      </c>
      <c r="I3251" s="10">
        <v>45682.082777777781</v>
      </c>
      <c r="J3251" s="10">
        <v>45682.08489583333</v>
      </c>
      <c r="K3251" s="11">
        <v>2.1180555555555562E-3</v>
      </c>
      <c r="L3251" s="13"/>
    </row>
    <row r="3252" spans="1:12" x14ac:dyDescent="0.25">
      <c r="A3252" s="3" t="s">
        <v>3225</v>
      </c>
      <c r="B3252" s="3" t="s">
        <v>6512</v>
      </c>
      <c r="C3252" s="3" t="s">
        <v>2670</v>
      </c>
      <c r="D3252" s="9">
        <v>37.5</v>
      </c>
      <c r="E3252" s="3" t="s">
        <v>142</v>
      </c>
      <c r="F3252" s="3" t="s">
        <v>3206</v>
      </c>
      <c r="G3252" s="9">
        <v>371.57</v>
      </c>
      <c r="H3252" s="10">
        <v>45682.08489583333</v>
      </c>
      <c r="I3252" s="10">
        <v>45682.08489583333</v>
      </c>
      <c r="J3252" s="10">
        <v>45682.086527777778</v>
      </c>
      <c r="K3252" s="11">
        <v>1.631944444444445E-3</v>
      </c>
      <c r="L3252" s="13"/>
    </row>
    <row r="3253" spans="1:12" x14ac:dyDescent="0.25">
      <c r="A3253" s="3" t="s">
        <v>3225</v>
      </c>
      <c r="B3253" s="3" t="s">
        <v>6513</v>
      </c>
      <c r="C3253" s="3" t="s">
        <v>2672</v>
      </c>
      <c r="D3253" s="9">
        <v>155.9</v>
      </c>
      <c r="E3253" s="3" t="s">
        <v>142</v>
      </c>
      <c r="F3253" s="3" t="s">
        <v>3196</v>
      </c>
      <c r="G3253" s="9">
        <v>443.59</v>
      </c>
      <c r="H3253" s="10">
        <v>45682.086527777778</v>
      </c>
      <c r="I3253" s="10">
        <v>45682.086527777778</v>
      </c>
      <c r="J3253" s="10">
        <v>45682.088738425933</v>
      </c>
      <c r="K3253" s="11">
        <v>2.2106481481481482E-3</v>
      </c>
      <c r="L3253" s="13"/>
    </row>
    <row r="3254" spans="1:12" x14ac:dyDescent="0.25">
      <c r="A3254" s="3" t="s">
        <v>3225</v>
      </c>
      <c r="B3254" s="3" t="s">
        <v>6514</v>
      </c>
      <c r="C3254" s="3" t="s">
        <v>2675</v>
      </c>
      <c r="D3254" s="9">
        <v>58.5</v>
      </c>
      <c r="E3254" s="3" t="s">
        <v>142</v>
      </c>
      <c r="F3254" s="3" t="s">
        <v>3206</v>
      </c>
      <c r="G3254" s="9">
        <v>371.57</v>
      </c>
      <c r="H3254" s="10">
        <v>45683.75304398148</v>
      </c>
      <c r="I3254" s="10">
        <v>45683.75304398148</v>
      </c>
      <c r="J3254" s="10">
        <v>45683.75472222222</v>
      </c>
      <c r="K3254" s="11">
        <v>1.678240740740741E-3</v>
      </c>
      <c r="L3254" s="13"/>
    </row>
    <row r="3255" spans="1:12" x14ac:dyDescent="0.25">
      <c r="A3255" s="3" t="s">
        <v>3225</v>
      </c>
      <c r="B3255" s="3" t="s">
        <v>6515</v>
      </c>
      <c r="C3255" s="3" t="s">
        <v>2677</v>
      </c>
      <c r="D3255" s="9">
        <v>459.5</v>
      </c>
      <c r="E3255" s="3" t="s">
        <v>142</v>
      </c>
      <c r="F3255" s="3" t="s">
        <v>3198</v>
      </c>
      <c r="G3255" s="9">
        <v>344.04</v>
      </c>
      <c r="H3255" s="10">
        <v>45683.75472222222</v>
      </c>
      <c r="I3255" s="10">
        <v>45683.75472222222</v>
      </c>
      <c r="J3255" s="10">
        <v>45683.757222222222</v>
      </c>
      <c r="K3255" s="11">
        <v>2.5000000000000001E-3</v>
      </c>
      <c r="L3255" s="13"/>
    </row>
    <row r="3256" spans="1:12" x14ac:dyDescent="0.25">
      <c r="A3256" s="3" t="s">
        <v>3225</v>
      </c>
      <c r="B3256" s="3" t="s">
        <v>6516</v>
      </c>
      <c r="C3256" s="3" t="s">
        <v>2680</v>
      </c>
      <c r="D3256" s="9">
        <v>42</v>
      </c>
      <c r="E3256" s="3" t="s">
        <v>142</v>
      </c>
      <c r="F3256" s="3" t="s">
        <v>3206</v>
      </c>
      <c r="G3256" s="9">
        <v>371.57</v>
      </c>
      <c r="H3256" s="10">
        <v>45683.757222222222</v>
      </c>
      <c r="I3256" s="10">
        <v>45683.757222222222</v>
      </c>
      <c r="J3256" s="10">
        <v>45683.75886574074</v>
      </c>
      <c r="K3256" s="11">
        <v>1.643518518518519E-3</v>
      </c>
      <c r="L3256" s="13"/>
    </row>
    <row r="3257" spans="1:12" x14ac:dyDescent="0.25">
      <c r="A3257" s="3" t="s">
        <v>3225</v>
      </c>
      <c r="B3257" s="3" t="s">
        <v>6517</v>
      </c>
      <c r="C3257" s="3" t="s">
        <v>2682</v>
      </c>
      <c r="D3257" s="9">
        <v>31.5</v>
      </c>
      <c r="E3257" s="3" t="s">
        <v>139</v>
      </c>
      <c r="F3257" s="3" t="s">
        <v>3199</v>
      </c>
      <c r="G3257" s="9">
        <v>450.42</v>
      </c>
      <c r="H3257" s="10">
        <v>45684.11922453704</v>
      </c>
      <c r="I3257" s="10">
        <v>45684.11922453704</v>
      </c>
      <c r="J3257" s="10">
        <v>45684.121168981481</v>
      </c>
      <c r="K3257" s="11">
        <v>1.944444444444444E-3</v>
      </c>
      <c r="L3257" s="13"/>
    </row>
    <row r="3258" spans="1:12" x14ac:dyDescent="0.25">
      <c r="A3258" s="3" t="s">
        <v>3225</v>
      </c>
      <c r="B3258" s="3" t="s">
        <v>6518</v>
      </c>
      <c r="C3258" s="3" t="s">
        <v>2684</v>
      </c>
      <c r="D3258" s="9">
        <v>19.899999999999999</v>
      </c>
      <c r="E3258" s="3" t="s">
        <v>139</v>
      </c>
      <c r="F3258" s="3" t="s">
        <v>3197</v>
      </c>
      <c r="G3258" s="9">
        <v>459.96</v>
      </c>
      <c r="H3258" s="10">
        <v>45684.121168981481</v>
      </c>
      <c r="I3258" s="10">
        <v>45684.121168981481</v>
      </c>
      <c r="J3258" s="10">
        <v>45684.123136574082</v>
      </c>
      <c r="K3258" s="11">
        <v>1.967592592592592E-3</v>
      </c>
      <c r="L3258" s="13"/>
    </row>
    <row r="3259" spans="1:12" x14ac:dyDescent="0.25">
      <c r="A3259" s="3" t="s">
        <v>3225</v>
      </c>
      <c r="B3259" s="3" t="s">
        <v>6519</v>
      </c>
      <c r="C3259" s="3" t="s">
        <v>2687</v>
      </c>
      <c r="D3259" s="9">
        <v>183.5</v>
      </c>
      <c r="E3259" s="3" t="s">
        <v>139</v>
      </c>
      <c r="F3259" s="3" t="s">
        <v>3205</v>
      </c>
      <c r="G3259" s="9">
        <v>299.11</v>
      </c>
      <c r="H3259" s="10">
        <v>45684.123136574082</v>
      </c>
      <c r="I3259" s="10">
        <v>45684.123136574082</v>
      </c>
      <c r="J3259" s="10">
        <v>45684.124803240738</v>
      </c>
      <c r="K3259" s="11">
        <v>1.666666666666667E-3</v>
      </c>
      <c r="L3259" s="13"/>
    </row>
    <row r="3260" spans="1:12" x14ac:dyDescent="0.25">
      <c r="A3260" s="3" t="s">
        <v>3225</v>
      </c>
      <c r="B3260" s="3" t="s">
        <v>6520</v>
      </c>
      <c r="C3260" s="3" t="s">
        <v>2689</v>
      </c>
      <c r="D3260" s="9">
        <v>24.1</v>
      </c>
      <c r="E3260" s="3" t="s">
        <v>139</v>
      </c>
      <c r="F3260" s="3" t="s">
        <v>3194</v>
      </c>
      <c r="G3260" s="9">
        <v>459.96</v>
      </c>
      <c r="H3260" s="10">
        <v>45684.124803240738</v>
      </c>
      <c r="I3260" s="10">
        <v>45684.124803240738</v>
      </c>
      <c r="J3260" s="10">
        <v>45684.126770833333</v>
      </c>
      <c r="K3260" s="11">
        <v>1.967592592592592E-3</v>
      </c>
      <c r="L3260" s="13"/>
    </row>
    <row r="3261" spans="1:12" x14ac:dyDescent="0.25">
      <c r="A3261" s="3" t="s">
        <v>3225</v>
      </c>
      <c r="B3261" s="3" t="s">
        <v>6521</v>
      </c>
      <c r="C3261" s="3" t="s">
        <v>2692</v>
      </c>
      <c r="D3261" s="9">
        <v>298.2</v>
      </c>
      <c r="E3261" s="3" t="s">
        <v>139</v>
      </c>
      <c r="F3261" s="3" t="s">
        <v>3203</v>
      </c>
      <c r="G3261" s="9">
        <v>269.92</v>
      </c>
      <c r="H3261" s="10">
        <v>45684.196898148148</v>
      </c>
      <c r="I3261" s="10">
        <v>45684.196898148148</v>
      </c>
      <c r="J3261" s="10">
        <v>45684.19871527778</v>
      </c>
      <c r="K3261" s="11">
        <v>1.8171296296296299E-3</v>
      </c>
      <c r="L3261" s="13"/>
    </row>
    <row r="3262" spans="1:12" x14ac:dyDescent="0.25">
      <c r="A3262" s="3" t="s">
        <v>3225</v>
      </c>
      <c r="B3262" s="3" t="s">
        <v>6522</v>
      </c>
      <c r="C3262" s="3" t="s">
        <v>2694</v>
      </c>
      <c r="D3262" s="9">
        <v>284.8</v>
      </c>
      <c r="E3262" s="3" t="s">
        <v>139</v>
      </c>
      <c r="F3262" s="3" t="s">
        <v>3201</v>
      </c>
      <c r="G3262" s="9">
        <v>412.05</v>
      </c>
      <c r="H3262" s="10">
        <v>45684.282118055547</v>
      </c>
      <c r="I3262" s="10">
        <v>45684.282118055547</v>
      </c>
      <c r="J3262" s="10">
        <v>45684.284490740742</v>
      </c>
      <c r="K3262" s="11">
        <v>2.3726851851851851E-3</v>
      </c>
      <c r="L3262" s="13"/>
    </row>
    <row r="3263" spans="1:12" x14ac:dyDescent="0.25">
      <c r="A3263" s="3" t="s">
        <v>3225</v>
      </c>
      <c r="B3263" s="3" t="s">
        <v>6523</v>
      </c>
      <c r="C3263" s="3" t="s">
        <v>2696</v>
      </c>
      <c r="D3263" s="9">
        <v>27</v>
      </c>
      <c r="E3263" s="3" t="s">
        <v>142</v>
      </c>
      <c r="F3263" s="3" t="s">
        <v>3203</v>
      </c>
      <c r="G3263" s="9">
        <v>263.08999999999997</v>
      </c>
      <c r="H3263" s="10">
        <v>45684.31454861111</v>
      </c>
      <c r="I3263" s="10">
        <v>45684.31454861111</v>
      </c>
      <c r="J3263" s="10">
        <v>45684.315706018519</v>
      </c>
      <c r="K3263" s="11">
        <v>1.1574074074074069E-3</v>
      </c>
      <c r="L3263" s="13"/>
    </row>
    <row r="3264" spans="1:12" x14ac:dyDescent="0.25">
      <c r="A3264" s="3" t="s">
        <v>3225</v>
      </c>
      <c r="B3264" s="3" t="s">
        <v>6524</v>
      </c>
      <c r="C3264" s="3" t="s">
        <v>2699</v>
      </c>
      <c r="D3264" s="9">
        <v>39</v>
      </c>
      <c r="E3264" s="3" t="s">
        <v>142</v>
      </c>
      <c r="F3264" s="3" t="s">
        <v>3197</v>
      </c>
      <c r="G3264" s="9">
        <v>453.13</v>
      </c>
      <c r="H3264" s="10">
        <v>45684.315706018519</v>
      </c>
      <c r="I3264" s="10">
        <v>45684.315706018519</v>
      </c>
      <c r="J3264" s="10">
        <v>45684.317685185182</v>
      </c>
      <c r="K3264" s="11">
        <v>1.9791666666666668E-3</v>
      </c>
      <c r="L3264" s="13"/>
    </row>
    <row r="3265" spans="1:12" x14ac:dyDescent="0.25">
      <c r="A3265" s="3" t="s">
        <v>3225</v>
      </c>
      <c r="B3265" s="3" t="s">
        <v>6525</v>
      </c>
      <c r="C3265" s="3" t="s">
        <v>2703</v>
      </c>
      <c r="D3265" s="9">
        <v>106.9</v>
      </c>
      <c r="E3265" s="3" t="s">
        <v>142</v>
      </c>
      <c r="F3265" s="3" t="s">
        <v>3196</v>
      </c>
      <c r="G3265" s="9">
        <v>443.59</v>
      </c>
      <c r="H3265" s="10">
        <v>45684.317685185182</v>
      </c>
      <c r="I3265" s="10">
        <v>45684.317685185182</v>
      </c>
      <c r="J3265" s="10">
        <v>45684.319780092592</v>
      </c>
      <c r="K3265" s="11">
        <v>2.0949074074074069E-3</v>
      </c>
      <c r="L3265" s="13"/>
    </row>
    <row r="3266" spans="1:12" x14ac:dyDescent="0.25">
      <c r="A3266" s="3" t="s">
        <v>3225</v>
      </c>
      <c r="B3266" s="3" t="s">
        <v>6526</v>
      </c>
      <c r="C3266" s="3" t="s">
        <v>2706</v>
      </c>
      <c r="D3266" s="9">
        <v>39.799999999999997</v>
      </c>
      <c r="E3266" s="3" t="s">
        <v>142</v>
      </c>
      <c r="F3266" s="3" t="s">
        <v>3206</v>
      </c>
      <c r="G3266" s="9">
        <v>371.57</v>
      </c>
      <c r="H3266" s="10">
        <v>45684.319780092592</v>
      </c>
      <c r="I3266" s="10">
        <v>45684.319780092592</v>
      </c>
      <c r="J3266" s="10">
        <v>45684.321412037039</v>
      </c>
      <c r="K3266" s="11">
        <v>1.631944444444445E-3</v>
      </c>
      <c r="L3266" s="13"/>
    </row>
    <row r="3267" spans="1:12" x14ac:dyDescent="0.25">
      <c r="A3267" s="3" t="s">
        <v>3225</v>
      </c>
      <c r="B3267" s="3" t="s">
        <v>6527</v>
      </c>
      <c r="C3267" s="3" t="s">
        <v>2713</v>
      </c>
      <c r="D3267" s="9">
        <v>40.9</v>
      </c>
      <c r="E3267" s="3" t="s">
        <v>142</v>
      </c>
      <c r="F3267" s="3" t="s">
        <v>3203</v>
      </c>
      <c r="G3267" s="9">
        <v>263.08999999999997</v>
      </c>
      <c r="H3267" s="10">
        <v>45684.375798611109</v>
      </c>
      <c r="I3267" s="10">
        <v>45684.375798611109</v>
      </c>
      <c r="J3267" s="10">
        <v>45684.37699074074</v>
      </c>
      <c r="K3267" s="11">
        <v>1.19212962962963E-3</v>
      </c>
      <c r="L3267" s="13"/>
    </row>
    <row r="3268" spans="1:12" x14ac:dyDescent="0.25">
      <c r="A3268" s="3" t="s">
        <v>3225</v>
      </c>
      <c r="B3268" s="3" t="s">
        <v>6528</v>
      </c>
      <c r="C3268" s="3" t="s">
        <v>2715</v>
      </c>
      <c r="D3268" s="9">
        <v>33.9</v>
      </c>
      <c r="E3268" s="3" t="s">
        <v>142</v>
      </c>
      <c r="F3268" s="3" t="s">
        <v>3196</v>
      </c>
      <c r="G3268" s="9">
        <v>443.59</v>
      </c>
      <c r="H3268" s="10">
        <v>45684.37699074074</v>
      </c>
      <c r="I3268" s="10">
        <v>45684.37699074074</v>
      </c>
      <c r="J3268" s="10">
        <v>45684.378912037027</v>
      </c>
      <c r="K3268" s="11">
        <v>1.9212962962962959E-3</v>
      </c>
      <c r="L3268" s="13"/>
    </row>
    <row r="3269" spans="1:12" x14ac:dyDescent="0.25">
      <c r="A3269" s="3" t="s">
        <v>3225</v>
      </c>
      <c r="B3269" s="3" t="s">
        <v>6529</v>
      </c>
      <c r="C3269" s="3" t="s">
        <v>2718</v>
      </c>
      <c r="D3269" s="9">
        <v>27</v>
      </c>
      <c r="E3269" s="3" t="s">
        <v>142</v>
      </c>
      <c r="F3269" s="3" t="s">
        <v>3203</v>
      </c>
      <c r="G3269" s="9">
        <v>263.08999999999997</v>
      </c>
      <c r="H3269" s="10">
        <v>45684.378912037027</v>
      </c>
      <c r="I3269" s="10">
        <v>45684.378912037027</v>
      </c>
      <c r="J3269" s="10">
        <v>45684.380069444444</v>
      </c>
      <c r="K3269" s="11">
        <v>1.1574074074074069E-3</v>
      </c>
      <c r="L3269" s="13"/>
    </row>
    <row r="3270" spans="1:12" x14ac:dyDescent="0.25">
      <c r="A3270" s="3" t="s">
        <v>3225</v>
      </c>
      <c r="B3270" s="3" t="s">
        <v>6530</v>
      </c>
      <c r="C3270" s="3" t="s">
        <v>2720</v>
      </c>
      <c r="D3270" s="9">
        <v>15.7</v>
      </c>
      <c r="E3270" s="3" t="s">
        <v>142</v>
      </c>
      <c r="F3270" s="3" t="s">
        <v>3197</v>
      </c>
      <c r="G3270" s="9">
        <v>453.13</v>
      </c>
      <c r="H3270" s="10">
        <v>45684.380069444444</v>
      </c>
      <c r="I3270" s="10">
        <v>45684.380069444444</v>
      </c>
      <c r="J3270" s="10">
        <v>45684.382002314807</v>
      </c>
      <c r="K3270" s="11">
        <v>1.93287037037037E-3</v>
      </c>
      <c r="L3270" s="13"/>
    </row>
    <row r="3271" spans="1:12" x14ac:dyDescent="0.25">
      <c r="A3271" s="3" t="s">
        <v>3225</v>
      </c>
      <c r="B3271" s="3" t="s">
        <v>6531</v>
      </c>
      <c r="C3271" s="3" t="s">
        <v>2722</v>
      </c>
      <c r="D3271" s="9">
        <v>179.2</v>
      </c>
      <c r="E3271" s="3" t="s">
        <v>142</v>
      </c>
      <c r="F3271" s="3" t="s">
        <v>3199</v>
      </c>
      <c r="G3271" s="9">
        <v>443.59</v>
      </c>
      <c r="H3271" s="10">
        <v>45684.382002314807</v>
      </c>
      <c r="I3271" s="10">
        <v>45684.382002314807</v>
      </c>
      <c r="J3271" s="10">
        <v>45684.384259259263</v>
      </c>
      <c r="K3271" s="11">
        <v>2.2569444444444438E-3</v>
      </c>
      <c r="L3271" s="13"/>
    </row>
    <row r="3272" spans="1:12" x14ac:dyDescent="0.25">
      <c r="A3272" s="3" t="s">
        <v>3225</v>
      </c>
      <c r="B3272" s="3" t="s">
        <v>6532</v>
      </c>
      <c r="C3272" s="3" t="s">
        <v>2726</v>
      </c>
      <c r="D3272" s="9">
        <v>15.7</v>
      </c>
      <c r="E3272" s="3" t="s">
        <v>142</v>
      </c>
      <c r="F3272" s="3" t="s">
        <v>3199</v>
      </c>
      <c r="G3272" s="9">
        <v>443.59</v>
      </c>
      <c r="H3272" s="10">
        <v>45684.384259259263</v>
      </c>
      <c r="I3272" s="10">
        <v>45684.384259259263</v>
      </c>
      <c r="J3272" s="10">
        <v>45684.386145833327</v>
      </c>
      <c r="K3272" s="11">
        <v>1.8865740740740739E-3</v>
      </c>
      <c r="L3272" s="13"/>
    </row>
    <row r="3273" spans="1:12" x14ac:dyDescent="0.25">
      <c r="A3273" s="3" t="s">
        <v>3225</v>
      </c>
      <c r="B3273" s="3" t="s">
        <v>6533</v>
      </c>
      <c r="C3273" s="3" t="s">
        <v>2728</v>
      </c>
      <c r="D3273" s="9">
        <v>19.899999999999999</v>
      </c>
      <c r="E3273" s="3" t="s">
        <v>142</v>
      </c>
      <c r="F3273" s="3" t="s">
        <v>3206</v>
      </c>
      <c r="G3273" s="9">
        <v>371.57</v>
      </c>
      <c r="H3273" s="10">
        <v>45684.386145833327</v>
      </c>
      <c r="I3273" s="10">
        <v>45684.386145833327</v>
      </c>
      <c r="J3273" s="10">
        <v>45684.387743055559</v>
      </c>
      <c r="K3273" s="11">
        <v>1.5972222222222221E-3</v>
      </c>
      <c r="L3273" s="13"/>
    </row>
    <row r="3274" spans="1:12" x14ac:dyDescent="0.25">
      <c r="A3274" s="3" t="s">
        <v>3225</v>
      </c>
      <c r="B3274" s="3" t="s">
        <v>6534</v>
      </c>
      <c r="C3274" s="3" t="s">
        <v>2730</v>
      </c>
      <c r="D3274" s="9">
        <v>42</v>
      </c>
      <c r="E3274" s="3" t="s">
        <v>142</v>
      </c>
      <c r="F3274" s="3" t="s">
        <v>3203</v>
      </c>
      <c r="G3274" s="9">
        <v>263.08999999999997</v>
      </c>
      <c r="H3274" s="10">
        <v>45684.387743055559</v>
      </c>
      <c r="I3274" s="10">
        <v>45684.387743055559</v>
      </c>
      <c r="J3274" s="10">
        <v>45684.388935185183</v>
      </c>
      <c r="K3274" s="11">
        <v>1.19212962962963E-3</v>
      </c>
      <c r="L3274" s="13"/>
    </row>
    <row r="3275" spans="1:12" x14ac:dyDescent="0.25">
      <c r="A3275" s="3" t="s">
        <v>3225</v>
      </c>
      <c r="B3275" s="3" t="s">
        <v>6535</v>
      </c>
      <c r="C3275" s="3" t="s">
        <v>2733</v>
      </c>
      <c r="D3275" s="9">
        <v>15.7</v>
      </c>
      <c r="E3275" s="3" t="s">
        <v>142</v>
      </c>
      <c r="F3275" s="3" t="s">
        <v>3194</v>
      </c>
      <c r="G3275" s="9">
        <v>453.13</v>
      </c>
      <c r="H3275" s="10">
        <v>45684.388935185183</v>
      </c>
      <c r="I3275" s="10">
        <v>45684.388935185183</v>
      </c>
      <c r="J3275" s="10">
        <v>45684.390856481477</v>
      </c>
      <c r="K3275" s="11">
        <v>1.9212962962962959E-3</v>
      </c>
      <c r="L3275" s="13"/>
    </row>
    <row r="3276" spans="1:12" x14ac:dyDescent="0.25">
      <c r="A3276" s="3" t="s">
        <v>3225</v>
      </c>
      <c r="B3276" s="3" t="s">
        <v>6536</v>
      </c>
      <c r="C3276" s="3" t="s">
        <v>2737</v>
      </c>
      <c r="D3276" s="9">
        <v>394.6</v>
      </c>
      <c r="E3276" s="3" t="s">
        <v>139</v>
      </c>
      <c r="F3276" s="3" t="s">
        <v>3203</v>
      </c>
      <c r="G3276" s="9">
        <v>269.92</v>
      </c>
      <c r="H3276" s="10">
        <v>45684.447905092587</v>
      </c>
      <c r="I3276" s="10">
        <v>45684.447905092587</v>
      </c>
      <c r="J3276" s="10">
        <v>45684.449942129628</v>
      </c>
      <c r="K3276" s="11">
        <v>2.0370370370370369E-3</v>
      </c>
      <c r="L3276" s="13"/>
    </row>
    <row r="3277" spans="1:12" x14ac:dyDescent="0.25">
      <c r="A3277" s="3" t="s">
        <v>3225</v>
      </c>
      <c r="B3277" s="3" t="s">
        <v>6537</v>
      </c>
      <c r="C3277" s="3" t="s">
        <v>2739</v>
      </c>
      <c r="D3277" s="9">
        <v>40.9</v>
      </c>
      <c r="E3277" s="3" t="s">
        <v>139</v>
      </c>
      <c r="F3277" s="3" t="s">
        <v>3204</v>
      </c>
      <c r="G3277" s="9">
        <v>477.75</v>
      </c>
      <c r="H3277" s="10">
        <v>45684.449942129628</v>
      </c>
      <c r="I3277" s="10">
        <v>45684.449942129628</v>
      </c>
      <c r="J3277" s="10">
        <v>45684.452025462961</v>
      </c>
      <c r="K3277" s="11">
        <v>2.0833333333333329E-3</v>
      </c>
      <c r="L3277" s="13"/>
    </row>
    <row r="3278" spans="1:12" x14ac:dyDescent="0.25">
      <c r="A3278" s="3" t="s">
        <v>3225</v>
      </c>
      <c r="B3278" s="3" t="s">
        <v>6538</v>
      </c>
      <c r="C3278" s="3" t="s">
        <v>2742</v>
      </c>
      <c r="D3278" s="9">
        <v>212.1</v>
      </c>
      <c r="E3278" s="3" t="s">
        <v>139</v>
      </c>
      <c r="F3278" s="3" t="s">
        <v>3195</v>
      </c>
      <c r="G3278" s="9">
        <v>405.43</v>
      </c>
      <c r="H3278" s="10">
        <v>45684.536064814813</v>
      </c>
      <c r="I3278" s="10">
        <v>45684.536064814813</v>
      </c>
      <c r="J3278" s="10">
        <v>45684.538240740738</v>
      </c>
      <c r="K3278" s="11">
        <v>2.1759259259259262E-3</v>
      </c>
      <c r="L3278" s="13"/>
    </row>
    <row r="3279" spans="1:12" x14ac:dyDescent="0.25">
      <c r="A3279" s="3" t="s">
        <v>3225</v>
      </c>
      <c r="B3279" s="3" t="s">
        <v>6539</v>
      </c>
      <c r="C3279" s="3" t="s">
        <v>2745</v>
      </c>
      <c r="D3279" s="9">
        <v>381.6</v>
      </c>
      <c r="E3279" s="3" t="s">
        <v>139</v>
      </c>
      <c r="F3279" s="3" t="s">
        <v>3197</v>
      </c>
      <c r="G3279" s="9">
        <v>459.96</v>
      </c>
      <c r="H3279" s="10">
        <v>45684.60670138889</v>
      </c>
      <c r="I3279" s="10">
        <v>45684.60670138889</v>
      </c>
      <c r="J3279" s="10">
        <v>45684.609502314823</v>
      </c>
      <c r="K3279" s="11">
        <v>2.8009259259259259E-3</v>
      </c>
      <c r="L3279" s="13"/>
    </row>
    <row r="3280" spans="1:12" x14ac:dyDescent="0.25">
      <c r="A3280" s="3" t="s">
        <v>3225</v>
      </c>
      <c r="B3280" s="3" t="s">
        <v>6540</v>
      </c>
      <c r="C3280" s="3" t="s">
        <v>2747</v>
      </c>
      <c r="D3280" s="9">
        <v>15.7</v>
      </c>
      <c r="E3280" s="3" t="s">
        <v>164</v>
      </c>
      <c r="F3280" s="3" t="s">
        <v>3200</v>
      </c>
      <c r="G3280" s="9">
        <v>489.92</v>
      </c>
      <c r="H3280" s="10">
        <v>45684.648090277777</v>
      </c>
      <c r="I3280" s="10">
        <v>45684.648090277777</v>
      </c>
      <c r="J3280" s="10">
        <v>45684.650173611109</v>
      </c>
      <c r="K3280" s="11">
        <v>2.0833333333333329E-3</v>
      </c>
      <c r="L3280" s="13"/>
    </row>
    <row r="3281" spans="1:12" x14ac:dyDescent="0.25">
      <c r="A3281" s="3" t="s">
        <v>3225</v>
      </c>
      <c r="B3281" s="3" t="s">
        <v>6541</v>
      </c>
      <c r="C3281" s="3" t="s">
        <v>2750</v>
      </c>
      <c r="D3281" s="9">
        <v>77.3</v>
      </c>
      <c r="E3281" s="3" t="s">
        <v>139</v>
      </c>
      <c r="F3281" s="3" t="s">
        <v>3204</v>
      </c>
      <c r="G3281" s="9">
        <v>477.75</v>
      </c>
      <c r="H3281" s="10">
        <v>45684.673078703701</v>
      </c>
      <c r="I3281" s="10">
        <v>45684.673078703701</v>
      </c>
      <c r="J3281" s="10">
        <v>45684.675254629627</v>
      </c>
      <c r="K3281" s="11">
        <v>2.1759259259259262E-3</v>
      </c>
      <c r="L3281" s="13"/>
    </row>
    <row r="3282" spans="1:12" x14ac:dyDescent="0.25">
      <c r="A3282" s="3" t="s">
        <v>3225</v>
      </c>
      <c r="B3282" s="3" t="s">
        <v>6542</v>
      </c>
      <c r="C3282" s="3" t="s">
        <v>2752</v>
      </c>
      <c r="D3282" s="9">
        <v>305.8</v>
      </c>
      <c r="E3282" s="3" t="s">
        <v>139</v>
      </c>
      <c r="F3282" s="3" t="s">
        <v>3200</v>
      </c>
      <c r="G3282" s="9">
        <v>405.03</v>
      </c>
      <c r="H3282" s="10">
        <v>45684.675254629627</v>
      </c>
      <c r="I3282" s="10">
        <v>45684.675254629627</v>
      </c>
      <c r="J3282" s="10">
        <v>45684.67765046296</v>
      </c>
      <c r="K3282" s="11">
        <v>2.3958333333333331E-3</v>
      </c>
      <c r="L3282" s="13"/>
    </row>
    <row r="3283" spans="1:12" x14ac:dyDescent="0.25">
      <c r="A3283" s="3" t="s">
        <v>3225</v>
      </c>
      <c r="B3283" s="3" t="s">
        <v>6543</v>
      </c>
      <c r="C3283" s="3" t="s">
        <v>2754</v>
      </c>
      <c r="D3283" s="9">
        <v>232.4</v>
      </c>
      <c r="E3283" s="3" t="s">
        <v>139</v>
      </c>
      <c r="F3283" s="3" t="s">
        <v>3202</v>
      </c>
      <c r="G3283" s="9">
        <v>324.35000000000002</v>
      </c>
      <c r="H3283" s="10">
        <v>45684.737847222219</v>
      </c>
      <c r="I3283" s="10">
        <v>45684.737847222219</v>
      </c>
      <c r="J3283" s="10">
        <v>45684.739733796298</v>
      </c>
      <c r="K3283" s="11">
        <v>1.8865740740740739E-3</v>
      </c>
      <c r="L3283" s="13"/>
    </row>
    <row r="3284" spans="1:12" x14ac:dyDescent="0.25">
      <c r="A3284" s="3" t="s">
        <v>3225</v>
      </c>
      <c r="B3284" s="3" t="s">
        <v>6544</v>
      </c>
      <c r="C3284" s="3" t="s">
        <v>2757</v>
      </c>
      <c r="D3284" s="9">
        <v>310.60000000000002</v>
      </c>
      <c r="E3284" s="3" t="s">
        <v>142</v>
      </c>
      <c r="F3284" s="3" t="s">
        <v>3196</v>
      </c>
      <c r="G3284" s="9">
        <v>443.59</v>
      </c>
      <c r="H3284" s="10">
        <v>45684.747870370367</v>
      </c>
      <c r="I3284" s="10">
        <v>45684.747870370367</v>
      </c>
      <c r="J3284" s="10">
        <v>45684.750439814823</v>
      </c>
      <c r="K3284" s="11">
        <v>2.5694444444444449E-3</v>
      </c>
      <c r="L3284" s="13"/>
    </row>
    <row r="3285" spans="1:12" x14ac:dyDescent="0.25">
      <c r="A3285" s="3" t="s">
        <v>3225</v>
      </c>
      <c r="B3285" s="3" t="s">
        <v>6545</v>
      </c>
      <c r="C3285" s="3" t="s">
        <v>2759</v>
      </c>
      <c r="D3285" s="9">
        <v>84</v>
      </c>
      <c r="E3285" s="3" t="s">
        <v>142</v>
      </c>
      <c r="F3285" s="3" t="s">
        <v>3194</v>
      </c>
      <c r="G3285" s="9">
        <v>453.13</v>
      </c>
      <c r="H3285" s="10">
        <v>45684.750439814823</v>
      </c>
      <c r="I3285" s="10">
        <v>45684.750439814823</v>
      </c>
      <c r="J3285" s="10">
        <v>45684.752523148149</v>
      </c>
      <c r="K3285" s="11">
        <v>2.0833333333333329E-3</v>
      </c>
      <c r="L3285" s="13"/>
    </row>
    <row r="3286" spans="1:12" x14ac:dyDescent="0.25">
      <c r="A3286" s="3" t="s">
        <v>3225</v>
      </c>
      <c r="B3286" s="3" t="s">
        <v>6546</v>
      </c>
      <c r="C3286" s="3" t="s">
        <v>2761</v>
      </c>
      <c r="D3286" s="9">
        <v>51.4</v>
      </c>
      <c r="E3286" s="3" t="s">
        <v>142</v>
      </c>
      <c r="F3286" s="3" t="s">
        <v>3193</v>
      </c>
      <c r="G3286" s="9">
        <v>290.60000000000002</v>
      </c>
      <c r="H3286" s="10">
        <v>45684.752523148149</v>
      </c>
      <c r="I3286" s="10">
        <v>45684.752523148149</v>
      </c>
      <c r="J3286" s="10">
        <v>45684.753854166673</v>
      </c>
      <c r="K3286" s="11">
        <v>1.3310185185185181E-3</v>
      </c>
      <c r="L3286" s="13"/>
    </row>
    <row r="3287" spans="1:12" x14ac:dyDescent="0.25">
      <c r="A3287" s="3" t="s">
        <v>3225</v>
      </c>
      <c r="B3287" s="3" t="s">
        <v>6547</v>
      </c>
      <c r="C3287" s="3" t="s">
        <v>2764</v>
      </c>
      <c r="D3287" s="9">
        <v>397.3</v>
      </c>
      <c r="E3287" s="3" t="s">
        <v>139</v>
      </c>
      <c r="F3287" s="3" t="s">
        <v>3193</v>
      </c>
      <c r="G3287" s="9">
        <v>297.43</v>
      </c>
      <c r="H3287" s="10">
        <v>45684.883310185192</v>
      </c>
      <c r="I3287" s="10">
        <v>45684.883310185192</v>
      </c>
      <c r="J3287" s="10">
        <v>45684.885462962957</v>
      </c>
      <c r="K3287" s="11">
        <v>2.1527777777777782E-3</v>
      </c>
      <c r="L3287" s="13"/>
    </row>
    <row r="3288" spans="1:12" x14ac:dyDescent="0.25">
      <c r="A3288" s="3" t="s">
        <v>3225</v>
      </c>
      <c r="B3288" s="3" t="s">
        <v>6548</v>
      </c>
      <c r="C3288" s="3" t="s">
        <v>2766</v>
      </c>
      <c r="D3288" s="9">
        <v>24.1</v>
      </c>
      <c r="E3288" s="3" t="s">
        <v>139</v>
      </c>
      <c r="F3288" s="3" t="s">
        <v>3194</v>
      </c>
      <c r="G3288" s="9">
        <v>459.96</v>
      </c>
      <c r="H3288" s="10">
        <v>45685.128530092603</v>
      </c>
      <c r="I3288" s="10">
        <v>45685.128530092603</v>
      </c>
      <c r="J3288" s="10">
        <v>45685.130497685182</v>
      </c>
      <c r="K3288" s="11">
        <v>1.967592592592592E-3</v>
      </c>
      <c r="L3288" s="13"/>
    </row>
    <row r="3289" spans="1:12" x14ac:dyDescent="0.25">
      <c r="A3289" s="3" t="s">
        <v>3225</v>
      </c>
      <c r="B3289" s="3" t="s">
        <v>6549</v>
      </c>
      <c r="C3289" s="3" t="s">
        <v>2768</v>
      </c>
      <c r="D3289" s="9">
        <v>101.7</v>
      </c>
      <c r="E3289" s="3" t="s">
        <v>139</v>
      </c>
      <c r="F3289" s="3" t="s">
        <v>3203</v>
      </c>
      <c r="G3289" s="9">
        <v>269.92</v>
      </c>
      <c r="H3289" s="10">
        <v>45685.130497685182</v>
      </c>
      <c r="I3289" s="10">
        <v>45685.130497685182</v>
      </c>
      <c r="J3289" s="10">
        <v>45685.131863425922</v>
      </c>
      <c r="K3289" s="11">
        <v>1.3657407407407409E-3</v>
      </c>
      <c r="L3289" s="13"/>
    </row>
    <row r="3290" spans="1:12" x14ac:dyDescent="0.25">
      <c r="A3290" s="3" t="s">
        <v>3225</v>
      </c>
      <c r="B3290" s="3" t="s">
        <v>6550</v>
      </c>
      <c r="C3290" s="3" t="s">
        <v>2771</v>
      </c>
      <c r="D3290" s="9">
        <v>19.899999999999999</v>
      </c>
      <c r="E3290" s="3" t="s">
        <v>139</v>
      </c>
      <c r="F3290" s="3" t="s">
        <v>3197</v>
      </c>
      <c r="G3290" s="9">
        <v>459.96</v>
      </c>
      <c r="H3290" s="10">
        <v>45685.131863425922</v>
      </c>
      <c r="I3290" s="10">
        <v>45685.131863425922</v>
      </c>
      <c r="J3290" s="10">
        <v>45685.133819444447</v>
      </c>
      <c r="K3290" s="11">
        <v>1.956018518518518E-3</v>
      </c>
      <c r="L3290" s="13"/>
    </row>
    <row r="3291" spans="1:12" x14ac:dyDescent="0.25">
      <c r="A3291" s="3" t="s">
        <v>3225</v>
      </c>
      <c r="B3291" s="3" t="s">
        <v>6551</v>
      </c>
      <c r="C3291" s="3" t="s">
        <v>2774</v>
      </c>
      <c r="D3291" s="9">
        <v>297</v>
      </c>
      <c r="E3291" s="3" t="s">
        <v>139</v>
      </c>
      <c r="F3291" s="3" t="s">
        <v>3206</v>
      </c>
      <c r="G3291" s="9">
        <v>378.4</v>
      </c>
      <c r="H3291" s="10">
        <v>45685.278483796297</v>
      </c>
      <c r="I3291" s="10">
        <v>45685.278483796297</v>
      </c>
      <c r="J3291" s="10">
        <v>45685.280752314808</v>
      </c>
      <c r="K3291" s="11">
        <v>2.2685185185185191E-3</v>
      </c>
      <c r="L3291" s="13"/>
    </row>
    <row r="3292" spans="1:12" x14ac:dyDescent="0.25">
      <c r="A3292" s="3" t="s">
        <v>3225</v>
      </c>
      <c r="B3292" s="3" t="s">
        <v>6552</v>
      </c>
      <c r="C3292" s="3" t="s">
        <v>2776</v>
      </c>
      <c r="D3292" s="9">
        <v>21</v>
      </c>
      <c r="E3292" s="3" t="s">
        <v>139</v>
      </c>
      <c r="F3292" s="3" t="s">
        <v>3203</v>
      </c>
      <c r="G3292" s="9">
        <v>269.92</v>
      </c>
      <c r="H3292" s="10">
        <v>45685.314733796287</v>
      </c>
      <c r="I3292" s="10">
        <v>45685.314733796287</v>
      </c>
      <c r="J3292" s="10">
        <v>45685.31591435185</v>
      </c>
      <c r="K3292" s="11">
        <v>1.180555555555556E-3</v>
      </c>
      <c r="L3292" s="13"/>
    </row>
    <row r="3293" spans="1:12" x14ac:dyDescent="0.25">
      <c r="A3293" s="3" t="s">
        <v>3225</v>
      </c>
      <c r="B3293" s="3" t="s">
        <v>6553</v>
      </c>
      <c r="C3293" s="3" t="s">
        <v>2779</v>
      </c>
      <c r="D3293" s="9">
        <v>27</v>
      </c>
      <c r="E3293" s="3" t="s">
        <v>139</v>
      </c>
      <c r="F3293" s="3" t="s">
        <v>3203</v>
      </c>
      <c r="G3293" s="9">
        <v>269.92</v>
      </c>
      <c r="H3293" s="10">
        <v>45685.31591435185</v>
      </c>
      <c r="I3293" s="10">
        <v>45685.31591435185</v>
      </c>
      <c r="J3293" s="10">
        <v>45685.317094907397</v>
      </c>
      <c r="K3293" s="11">
        <v>1.180555555555556E-3</v>
      </c>
      <c r="L3293" s="13"/>
    </row>
    <row r="3294" spans="1:12" x14ac:dyDescent="0.25">
      <c r="A3294" s="3" t="s">
        <v>3225</v>
      </c>
      <c r="B3294" s="3" t="s">
        <v>6554</v>
      </c>
      <c r="C3294" s="3" t="s">
        <v>2781</v>
      </c>
      <c r="D3294" s="9">
        <v>56.3</v>
      </c>
      <c r="E3294" s="3" t="s">
        <v>139</v>
      </c>
      <c r="F3294" s="3" t="s">
        <v>3198</v>
      </c>
      <c r="G3294" s="9">
        <v>350.87</v>
      </c>
      <c r="H3294" s="10">
        <v>45685.317094907397</v>
      </c>
      <c r="I3294" s="10">
        <v>45685.317094907397</v>
      </c>
      <c r="J3294" s="10">
        <v>45685.318692129629</v>
      </c>
      <c r="K3294" s="11">
        <v>1.5972222222222221E-3</v>
      </c>
      <c r="L3294" s="13"/>
    </row>
    <row r="3295" spans="1:12" x14ac:dyDescent="0.25">
      <c r="A3295" s="3" t="s">
        <v>3225</v>
      </c>
      <c r="B3295" s="3" t="s">
        <v>6555</v>
      </c>
      <c r="C3295" s="3" t="s">
        <v>2784</v>
      </c>
      <c r="D3295" s="9">
        <v>14</v>
      </c>
      <c r="E3295" s="3" t="s">
        <v>139</v>
      </c>
      <c r="F3295" s="3" t="s">
        <v>3205</v>
      </c>
      <c r="G3295" s="9">
        <v>299.11</v>
      </c>
      <c r="H3295" s="10">
        <v>45685.318692129629</v>
      </c>
      <c r="I3295" s="10">
        <v>45685.318692129629</v>
      </c>
      <c r="J3295" s="10">
        <v>45685.319965277777</v>
      </c>
      <c r="K3295" s="11">
        <v>1.273148148148148E-3</v>
      </c>
      <c r="L3295" s="13"/>
    </row>
    <row r="3296" spans="1:12" x14ac:dyDescent="0.25">
      <c r="A3296" s="3" t="s">
        <v>3225</v>
      </c>
      <c r="B3296" s="3" t="s">
        <v>6556</v>
      </c>
      <c r="C3296" s="3" t="s">
        <v>2787</v>
      </c>
      <c r="D3296" s="9">
        <v>101.2</v>
      </c>
      <c r="E3296" s="3" t="s">
        <v>139</v>
      </c>
      <c r="F3296" s="3" t="s">
        <v>3196</v>
      </c>
      <c r="G3296" s="9">
        <v>450.42</v>
      </c>
      <c r="H3296" s="10">
        <v>45685.319965277777</v>
      </c>
      <c r="I3296" s="10">
        <v>45685.319965277777</v>
      </c>
      <c r="J3296" s="10">
        <v>45685.322083333333</v>
      </c>
      <c r="K3296" s="11">
        <v>2.1180555555555562E-3</v>
      </c>
      <c r="L3296" s="13"/>
    </row>
    <row r="3297" spans="1:12" x14ac:dyDescent="0.25">
      <c r="A3297" s="3" t="s">
        <v>3225</v>
      </c>
      <c r="B3297" s="3" t="s">
        <v>6557</v>
      </c>
      <c r="C3297" s="3" t="s">
        <v>2791</v>
      </c>
      <c r="D3297" s="9">
        <v>14</v>
      </c>
      <c r="E3297" s="3" t="s">
        <v>139</v>
      </c>
      <c r="F3297" s="3" t="s">
        <v>3196</v>
      </c>
      <c r="G3297" s="9">
        <v>450.42</v>
      </c>
      <c r="H3297" s="10">
        <v>45685.322083333333</v>
      </c>
      <c r="I3297" s="10">
        <v>45685.322083333333</v>
      </c>
      <c r="J3297" s="10">
        <v>45685.323993055557</v>
      </c>
      <c r="K3297" s="11">
        <v>1.9097222222222219E-3</v>
      </c>
      <c r="L3297" s="13"/>
    </row>
    <row r="3298" spans="1:12" x14ac:dyDescent="0.25">
      <c r="A3298" s="3" t="s">
        <v>3225</v>
      </c>
      <c r="B3298" s="3" t="s">
        <v>6558</v>
      </c>
      <c r="C3298" s="3" t="s">
        <v>2824</v>
      </c>
      <c r="D3298" s="9">
        <v>73.900000000000006</v>
      </c>
      <c r="E3298" s="3" t="s">
        <v>139</v>
      </c>
      <c r="F3298" s="3" t="s">
        <v>3199</v>
      </c>
      <c r="G3298" s="9">
        <v>450.42</v>
      </c>
      <c r="H3298" s="10">
        <v>45685.387395833342</v>
      </c>
      <c r="I3298" s="10">
        <v>45685.387395833342</v>
      </c>
      <c r="J3298" s="10">
        <v>45685.389444444438</v>
      </c>
      <c r="K3298" s="11">
        <v>2.0486111111111109E-3</v>
      </c>
      <c r="L3298" s="13"/>
    </row>
    <row r="3299" spans="1:12" x14ac:dyDescent="0.25">
      <c r="A3299" s="3" t="s">
        <v>3225</v>
      </c>
      <c r="B3299" s="3" t="s">
        <v>6559</v>
      </c>
      <c r="C3299" s="3" t="s">
        <v>2826</v>
      </c>
      <c r="D3299" s="9">
        <v>148.9</v>
      </c>
      <c r="E3299" s="3" t="s">
        <v>139</v>
      </c>
      <c r="F3299" s="3" t="s">
        <v>3194</v>
      </c>
      <c r="G3299" s="9">
        <v>459.96</v>
      </c>
      <c r="H3299" s="10">
        <v>45685.389444444438</v>
      </c>
      <c r="I3299" s="10">
        <v>45685.389444444438</v>
      </c>
      <c r="J3299" s="10">
        <v>45685.391712962963</v>
      </c>
      <c r="K3299" s="11">
        <v>2.2685185185185191E-3</v>
      </c>
      <c r="L3299" s="13"/>
    </row>
    <row r="3300" spans="1:12" x14ac:dyDescent="0.25">
      <c r="A3300" s="3" t="s">
        <v>3225</v>
      </c>
      <c r="B3300" s="3" t="s">
        <v>6560</v>
      </c>
      <c r="C3300" s="3" t="s">
        <v>2795</v>
      </c>
      <c r="D3300" s="9">
        <v>54</v>
      </c>
      <c r="E3300" s="3" t="s">
        <v>142</v>
      </c>
      <c r="F3300" s="3" t="s">
        <v>3203</v>
      </c>
      <c r="G3300" s="9">
        <v>263.08999999999997</v>
      </c>
      <c r="H3300" s="10">
        <v>45685.392592592587</v>
      </c>
      <c r="I3300" s="10">
        <v>45685.392592592587</v>
      </c>
      <c r="J3300" s="10">
        <v>45685.393807870372</v>
      </c>
      <c r="K3300" s="11">
        <v>1.215277777777778E-3</v>
      </c>
      <c r="L3300" s="13"/>
    </row>
    <row r="3301" spans="1:12" x14ac:dyDescent="0.25">
      <c r="A3301" s="3" t="s">
        <v>3225</v>
      </c>
      <c r="B3301" s="3" t="s">
        <v>6561</v>
      </c>
      <c r="C3301" s="3" t="s">
        <v>2797</v>
      </c>
      <c r="D3301" s="9">
        <v>15.7</v>
      </c>
      <c r="E3301" s="3" t="s">
        <v>142</v>
      </c>
      <c r="F3301" s="3" t="s">
        <v>3199</v>
      </c>
      <c r="G3301" s="9">
        <v>443.59</v>
      </c>
      <c r="H3301" s="10">
        <v>45685.393807870372</v>
      </c>
      <c r="I3301" s="10">
        <v>45685.393807870372</v>
      </c>
      <c r="J3301" s="10">
        <v>45685.395694444444</v>
      </c>
      <c r="K3301" s="11">
        <v>1.8865740740740739E-3</v>
      </c>
      <c r="L3301" s="13"/>
    </row>
    <row r="3302" spans="1:12" x14ac:dyDescent="0.25">
      <c r="A3302" s="3" t="s">
        <v>3225</v>
      </c>
      <c r="B3302" s="3" t="s">
        <v>6562</v>
      </c>
      <c r="C3302" s="3" t="s">
        <v>2800</v>
      </c>
      <c r="D3302" s="9">
        <v>15.7</v>
      </c>
      <c r="E3302" s="3" t="s">
        <v>142</v>
      </c>
      <c r="F3302" s="3" t="s">
        <v>3203</v>
      </c>
      <c r="G3302" s="9">
        <v>263.08999999999997</v>
      </c>
      <c r="H3302" s="10">
        <v>45685.395694444444</v>
      </c>
      <c r="I3302" s="10">
        <v>45685.395694444444</v>
      </c>
      <c r="J3302" s="10">
        <v>45685.396828703713</v>
      </c>
      <c r="K3302" s="11">
        <v>1.1342592592592589E-3</v>
      </c>
      <c r="L3302" s="13"/>
    </row>
    <row r="3303" spans="1:12" x14ac:dyDescent="0.25">
      <c r="A3303" s="3" t="s">
        <v>3225</v>
      </c>
      <c r="B3303" s="3" t="s">
        <v>6563</v>
      </c>
      <c r="C3303" s="3" t="s">
        <v>2802</v>
      </c>
      <c r="D3303" s="9">
        <v>15.7</v>
      </c>
      <c r="E3303" s="3" t="s">
        <v>142</v>
      </c>
      <c r="F3303" s="3" t="s">
        <v>3194</v>
      </c>
      <c r="G3303" s="9">
        <v>453.13</v>
      </c>
      <c r="H3303" s="10">
        <v>45685.396828703713</v>
      </c>
      <c r="I3303" s="10">
        <v>45685.396828703713</v>
      </c>
      <c r="J3303" s="10">
        <v>45685.39875</v>
      </c>
      <c r="K3303" s="11">
        <v>1.9212962962962959E-3</v>
      </c>
      <c r="L3303" s="13"/>
    </row>
    <row r="3304" spans="1:12" x14ac:dyDescent="0.25">
      <c r="A3304" s="3" t="s">
        <v>3225</v>
      </c>
      <c r="B3304" s="3" t="s">
        <v>6564</v>
      </c>
      <c r="C3304" s="3" t="s">
        <v>2805</v>
      </c>
      <c r="D3304" s="9">
        <v>28</v>
      </c>
      <c r="E3304" s="3" t="s">
        <v>142</v>
      </c>
      <c r="F3304" s="3" t="s">
        <v>3205</v>
      </c>
      <c r="G3304" s="9">
        <v>292.27999999999997</v>
      </c>
      <c r="H3304" s="10">
        <v>45685.39875</v>
      </c>
      <c r="I3304" s="10">
        <v>45685.39875</v>
      </c>
      <c r="J3304" s="10">
        <v>45685.400034722217</v>
      </c>
      <c r="K3304" s="11">
        <v>1.284722222222222E-3</v>
      </c>
      <c r="L3304" s="13"/>
    </row>
    <row r="3305" spans="1:12" x14ac:dyDescent="0.25">
      <c r="A3305" s="3" t="s">
        <v>3225</v>
      </c>
      <c r="B3305" s="3" t="s">
        <v>6565</v>
      </c>
      <c r="C3305" s="3" t="s">
        <v>2807</v>
      </c>
      <c r="D3305" s="9">
        <v>19.899999999999999</v>
      </c>
      <c r="E3305" s="3" t="s">
        <v>142</v>
      </c>
      <c r="F3305" s="3" t="s">
        <v>3197</v>
      </c>
      <c r="G3305" s="9">
        <v>453.13</v>
      </c>
      <c r="H3305" s="10">
        <v>45685.400034722217</v>
      </c>
      <c r="I3305" s="10">
        <v>45685.400034722217</v>
      </c>
      <c r="J3305" s="10">
        <v>45685.401967592603</v>
      </c>
      <c r="K3305" s="11">
        <v>1.93287037037037E-3</v>
      </c>
      <c r="L3305" s="13"/>
    </row>
    <row r="3306" spans="1:12" x14ac:dyDescent="0.25">
      <c r="A3306" s="3" t="s">
        <v>3225</v>
      </c>
      <c r="B3306" s="3" t="s">
        <v>6566</v>
      </c>
      <c r="C3306" s="3" t="s">
        <v>2809</v>
      </c>
      <c r="D3306" s="9">
        <v>61.2</v>
      </c>
      <c r="E3306" s="3" t="s">
        <v>142</v>
      </c>
      <c r="F3306" s="3" t="s">
        <v>3196</v>
      </c>
      <c r="G3306" s="9">
        <v>443.59</v>
      </c>
      <c r="H3306" s="10">
        <v>45685.401967592603</v>
      </c>
      <c r="I3306" s="10">
        <v>45685.401967592603</v>
      </c>
      <c r="J3306" s="10">
        <v>45685.403958333343</v>
      </c>
      <c r="K3306" s="11">
        <v>1.9907407407407408E-3</v>
      </c>
      <c r="L3306" s="13"/>
    </row>
    <row r="3307" spans="1:12" x14ac:dyDescent="0.25">
      <c r="A3307" s="3" t="s">
        <v>3225</v>
      </c>
      <c r="B3307" s="3" t="s">
        <v>6567</v>
      </c>
      <c r="C3307" s="3" t="s">
        <v>2812</v>
      </c>
      <c r="D3307" s="9">
        <v>21</v>
      </c>
      <c r="E3307" s="3" t="s">
        <v>142</v>
      </c>
      <c r="F3307" s="3" t="s">
        <v>3203</v>
      </c>
      <c r="G3307" s="9">
        <v>263.08999999999997</v>
      </c>
      <c r="H3307" s="10">
        <v>45685.403958333343</v>
      </c>
      <c r="I3307" s="10">
        <v>45685.403958333343</v>
      </c>
      <c r="J3307" s="10">
        <v>45685.405104166668</v>
      </c>
      <c r="K3307" s="11">
        <v>1.1458333333333329E-3</v>
      </c>
      <c r="L3307" s="13"/>
    </row>
    <row r="3308" spans="1:12" x14ac:dyDescent="0.25">
      <c r="A3308" s="3" t="s">
        <v>3225</v>
      </c>
      <c r="B3308" s="3" t="s">
        <v>6568</v>
      </c>
      <c r="C3308" s="3" t="s">
        <v>2814</v>
      </c>
      <c r="D3308" s="9">
        <v>12</v>
      </c>
      <c r="E3308" s="3" t="s">
        <v>142</v>
      </c>
      <c r="F3308" s="3" t="s">
        <v>3196</v>
      </c>
      <c r="G3308" s="9">
        <v>443.59</v>
      </c>
      <c r="H3308" s="10">
        <v>45685.405104166668</v>
      </c>
      <c r="I3308" s="10">
        <v>45685.405104166668</v>
      </c>
      <c r="J3308" s="10">
        <v>45685.40697916667</v>
      </c>
      <c r="K3308" s="11">
        <v>1.8749999999999999E-3</v>
      </c>
      <c r="L3308" s="13"/>
    </row>
    <row r="3309" spans="1:12" x14ac:dyDescent="0.25">
      <c r="A3309" s="3" t="s">
        <v>3225</v>
      </c>
      <c r="B3309" s="3" t="s">
        <v>6569</v>
      </c>
      <c r="C3309" s="3" t="s">
        <v>2817</v>
      </c>
      <c r="D3309" s="9">
        <v>19.899999999999999</v>
      </c>
      <c r="E3309" s="3" t="s">
        <v>142</v>
      </c>
      <c r="F3309" s="3" t="s">
        <v>3203</v>
      </c>
      <c r="G3309" s="9">
        <v>263.08999999999997</v>
      </c>
      <c r="H3309" s="10">
        <v>45685.40697916667</v>
      </c>
      <c r="I3309" s="10">
        <v>45685.40697916667</v>
      </c>
      <c r="J3309" s="10">
        <v>45685.408125000002</v>
      </c>
      <c r="K3309" s="11">
        <v>1.1458333333333329E-3</v>
      </c>
      <c r="L3309" s="13"/>
    </row>
    <row r="3310" spans="1:12" x14ac:dyDescent="0.25">
      <c r="A3310" s="3" t="s">
        <v>3225</v>
      </c>
      <c r="B3310" s="3" t="s">
        <v>6570</v>
      </c>
      <c r="C3310" s="3" t="s">
        <v>2819</v>
      </c>
      <c r="D3310" s="9">
        <v>19.899999999999999</v>
      </c>
      <c r="E3310" s="3" t="s">
        <v>142</v>
      </c>
      <c r="F3310" s="3" t="s">
        <v>3197</v>
      </c>
      <c r="G3310" s="9">
        <v>453.13</v>
      </c>
      <c r="H3310" s="10">
        <v>45685.408125000002</v>
      </c>
      <c r="I3310" s="10">
        <v>45685.408125000002</v>
      </c>
      <c r="J3310" s="10">
        <v>45685.410057870373</v>
      </c>
      <c r="K3310" s="11">
        <v>1.93287037037037E-3</v>
      </c>
      <c r="L3310" s="13"/>
    </row>
    <row r="3311" spans="1:12" x14ac:dyDescent="0.25">
      <c r="A3311" s="3" t="s">
        <v>3225</v>
      </c>
      <c r="B3311" s="3" t="s">
        <v>6571</v>
      </c>
      <c r="C3311" s="3" t="s">
        <v>2822</v>
      </c>
      <c r="D3311" s="9">
        <v>63</v>
      </c>
      <c r="E3311" s="3" t="s">
        <v>142</v>
      </c>
      <c r="F3311" s="3" t="s">
        <v>3198</v>
      </c>
      <c r="G3311" s="9">
        <v>344.04</v>
      </c>
      <c r="H3311" s="10">
        <v>45685.410057870373</v>
      </c>
      <c r="I3311" s="10">
        <v>45685.410057870373</v>
      </c>
      <c r="J3311" s="10">
        <v>45685.411631944437</v>
      </c>
      <c r="K3311" s="11">
        <v>1.5740740740740741E-3</v>
      </c>
      <c r="L3311" s="13"/>
    </row>
    <row r="3312" spans="1:12" x14ac:dyDescent="0.25">
      <c r="A3312" s="3" t="s">
        <v>3225</v>
      </c>
      <c r="B3312" s="3" t="s">
        <v>6572</v>
      </c>
      <c r="C3312" s="3" t="s">
        <v>2829</v>
      </c>
      <c r="D3312" s="9">
        <v>105</v>
      </c>
      <c r="E3312" s="3" t="s">
        <v>139</v>
      </c>
      <c r="F3312" s="3" t="s">
        <v>3199</v>
      </c>
      <c r="G3312" s="9">
        <v>450.42</v>
      </c>
      <c r="H3312" s="10">
        <v>45685.447581018518</v>
      </c>
      <c r="I3312" s="10">
        <v>45685.447581018518</v>
      </c>
      <c r="J3312" s="10">
        <v>45685.449699074074</v>
      </c>
      <c r="K3312" s="11">
        <v>2.1180555555555562E-3</v>
      </c>
      <c r="L3312" s="13"/>
    </row>
    <row r="3313" spans="1:12" x14ac:dyDescent="0.25">
      <c r="A3313" s="3" t="s">
        <v>3225</v>
      </c>
      <c r="B3313" s="3" t="s">
        <v>6573</v>
      </c>
      <c r="C3313" s="3" t="s">
        <v>2831</v>
      </c>
      <c r="D3313" s="9">
        <v>21</v>
      </c>
      <c r="E3313" s="3" t="s">
        <v>139</v>
      </c>
      <c r="F3313" s="3" t="s">
        <v>3194</v>
      </c>
      <c r="G3313" s="9">
        <v>459.96</v>
      </c>
      <c r="H3313" s="10">
        <v>45685.449699074074</v>
      </c>
      <c r="I3313" s="10">
        <v>45685.449699074074</v>
      </c>
      <c r="J3313" s="10">
        <v>45685.451666666668</v>
      </c>
      <c r="K3313" s="11">
        <v>1.967592592592592E-3</v>
      </c>
      <c r="L3313" s="13"/>
    </row>
    <row r="3314" spans="1:12" x14ac:dyDescent="0.25">
      <c r="A3314" s="3" t="s">
        <v>3225</v>
      </c>
      <c r="B3314" s="3" t="s">
        <v>6574</v>
      </c>
      <c r="C3314" s="3" t="s">
        <v>2833</v>
      </c>
      <c r="D3314" s="9">
        <v>147</v>
      </c>
      <c r="E3314" s="3" t="s">
        <v>139</v>
      </c>
      <c r="F3314" s="3" t="s">
        <v>3195</v>
      </c>
      <c r="G3314" s="9">
        <v>405.43</v>
      </c>
      <c r="H3314" s="10">
        <v>45685.451666666668</v>
      </c>
      <c r="I3314" s="10">
        <v>45685.451666666668</v>
      </c>
      <c r="J3314" s="10">
        <v>45685.453692129631</v>
      </c>
      <c r="K3314" s="11">
        <v>2.0254629629629629E-3</v>
      </c>
      <c r="L3314" s="13"/>
    </row>
    <row r="3315" spans="1:12" x14ac:dyDescent="0.25">
      <c r="A3315" s="3" t="s">
        <v>3225</v>
      </c>
      <c r="B3315" s="3" t="s">
        <v>6575</v>
      </c>
      <c r="C3315" s="3" t="s">
        <v>2836</v>
      </c>
      <c r="D3315" s="9">
        <v>291.89999999999998</v>
      </c>
      <c r="E3315" s="3" t="s">
        <v>139</v>
      </c>
      <c r="F3315" s="3" t="s">
        <v>3203</v>
      </c>
      <c r="G3315" s="9">
        <v>269.92</v>
      </c>
      <c r="H3315" s="10">
        <v>45685.546712962961</v>
      </c>
      <c r="I3315" s="10">
        <v>45685.546712962961</v>
      </c>
      <c r="J3315" s="10">
        <v>45685.548518518517</v>
      </c>
      <c r="K3315" s="11">
        <v>1.805555555555555E-3</v>
      </c>
      <c r="L3315" s="13"/>
    </row>
    <row r="3316" spans="1:12" x14ac:dyDescent="0.25">
      <c r="A3316" s="3" t="s">
        <v>3225</v>
      </c>
      <c r="B3316" s="3" t="s">
        <v>6576</v>
      </c>
      <c r="C3316" s="3" t="s">
        <v>2839</v>
      </c>
      <c r="D3316" s="9">
        <v>389.8</v>
      </c>
      <c r="E3316" s="3" t="s">
        <v>139</v>
      </c>
      <c r="F3316" s="3" t="s">
        <v>3204</v>
      </c>
      <c r="G3316" s="9">
        <v>477.75</v>
      </c>
      <c r="H3316" s="10">
        <v>45685.603101851862</v>
      </c>
      <c r="I3316" s="10">
        <v>45685.603101851862</v>
      </c>
      <c r="J3316" s="10">
        <v>45685.605995370373</v>
      </c>
      <c r="K3316" s="11">
        <v>2.8935185185185179E-3</v>
      </c>
      <c r="L3316" s="13"/>
    </row>
    <row r="3317" spans="1:12" x14ac:dyDescent="0.25">
      <c r="A3317" s="3" t="s">
        <v>3225</v>
      </c>
      <c r="B3317" s="3" t="s">
        <v>6577</v>
      </c>
      <c r="C3317" s="3" t="s">
        <v>2842</v>
      </c>
      <c r="D3317" s="9">
        <v>39.799999999999997</v>
      </c>
      <c r="E3317" s="3" t="s">
        <v>142</v>
      </c>
      <c r="F3317" s="3" t="s">
        <v>3201</v>
      </c>
      <c r="G3317" s="9">
        <v>405.22</v>
      </c>
      <c r="H3317" s="10">
        <v>45685.620486111111</v>
      </c>
      <c r="I3317" s="10">
        <v>45685.620486111111</v>
      </c>
      <c r="J3317" s="10">
        <v>45685.62226851852</v>
      </c>
      <c r="K3317" s="11">
        <v>1.782407407407407E-3</v>
      </c>
      <c r="L3317" s="13"/>
    </row>
    <row r="3318" spans="1:12" x14ac:dyDescent="0.25">
      <c r="A3318" s="3" t="s">
        <v>3225</v>
      </c>
      <c r="B3318" s="3" t="s">
        <v>6578</v>
      </c>
      <c r="C3318" s="3" t="s">
        <v>2845</v>
      </c>
      <c r="D3318" s="9">
        <v>15.7</v>
      </c>
      <c r="E3318" s="3" t="s">
        <v>142</v>
      </c>
      <c r="F3318" s="3" t="s">
        <v>3197</v>
      </c>
      <c r="G3318" s="9">
        <v>453.13</v>
      </c>
      <c r="H3318" s="10">
        <v>45685.62226851852</v>
      </c>
      <c r="I3318" s="10">
        <v>45685.62226851852</v>
      </c>
      <c r="J3318" s="10">
        <v>45685.624189814807</v>
      </c>
      <c r="K3318" s="11">
        <v>1.9212962962962959E-3</v>
      </c>
      <c r="L3318" s="13"/>
    </row>
    <row r="3319" spans="1:12" x14ac:dyDescent="0.25">
      <c r="A3319" s="3" t="s">
        <v>3225</v>
      </c>
      <c r="B3319" s="3" t="s">
        <v>6579</v>
      </c>
      <c r="C3319" s="3" t="s">
        <v>2847</v>
      </c>
      <c r="D3319" s="9">
        <v>19.899999999999999</v>
      </c>
      <c r="E3319" s="3" t="s">
        <v>142</v>
      </c>
      <c r="F3319" s="3" t="s">
        <v>3197</v>
      </c>
      <c r="G3319" s="9">
        <v>453.13</v>
      </c>
      <c r="H3319" s="10">
        <v>45685.624189814807</v>
      </c>
      <c r="I3319" s="10">
        <v>45685.624189814807</v>
      </c>
      <c r="J3319" s="10">
        <v>45685.626122685193</v>
      </c>
      <c r="K3319" s="11">
        <v>1.93287037037037E-3</v>
      </c>
      <c r="L3319" s="13"/>
    </row>
    <row r="3320" spans="1:12" x14ac:dyDescent="0.25">
      <c r="A3320" s="3" t="s">
        <v>3225</v>
      </c>
      <c r="B3320" s="3" t="s">
        <v>6580</v>
      </c>
      <c r="C3320" s="3" t="s">
        <v>2849</v>
      </c>
      <c r="D3320" s="9">
        <v>49.6</v>
      </c>
      <c r="E3320" s="3" t="s">
        <v>142</v>
      </c>
      <c r="F3320" s="3" t="s">
        <v>3196</v>
      </c>
      <c r="G3320" s="9">
        <v>443.59</v>
      </c>
      <c r="H3320" s="10">
        <v>45685.626122685193</v>
      </c>
      <c r="I3320" s="10">
        <v>45685.626122685193</v>
      </c>
      <c r="J3320" s="10">
        <v>45685.62809027778</v>
      </c>
      <c r="K3320" s="11">
        <v>1.967592592592592E-3</v>
      </c>
      <c r="L3320" s="13"/>
    </row>
    <row r="3321" spans="1:12" x14ac:dyDescent="0.25">
      <c r="A3321" s="3" t="s">
        <v>3225</v>
      </c>
      <c r="B3321" s="3" t="s">
        <v>6581</v>
      </c>
      <c r="C3321" s="3" t="s">
        <v>2852</v>
      </c>
      <c r="D3321" s="9">
        <v>19.899999999999999</v>
      </c>
      <c r="E3321" s="3" t="s">
        <v>142</v>
      </c>
      <c r="F3321" s="3" t="s">
        <v>3206</v>
      </c>
      <c r="G3321" s="9">
        <v>371.57</v>
      </c>
      <c r="H3321" s="10">
        <v>45685.62809027778</v>
      </c>
      <c r="I3321" s="10">
        <v>45685.62809027778</v>
      </c>
      <c r="J3321" s="10">
        <v>45685.629675925928</v>
      </c>
      <c r="K3321" s="11">
        <v>1.5856481481481481E-3</v>
      </c>
      <c r="L3321" s="13"/>
    </row>
    <row r="3322" spans="1:12" x14ac:dyDescent="0.25">
      <c r="A3322" s="3" t="s">
        <v>3225</v>
      </c>
      <c r="B3322" s="3" t="s">
        <v>6582</v>
      </c>
      <c r="C3322" s="3" t="s">
        <v>2855</v>
      </c>
      <c r="D3322" s="9">
        <v>21</v>
      </c>
      <c r="E3322" s="3" t="s">
        <v>142</v>
      </c>
      <c r="F3322" s="3" t="s">
        <v>3203</v>
      </c>
      <c r="G3322" s="9">
        <v>263.08999999999997</v>
      </c>
      <c r="H3322" s="10">
        <v>45685.629675925928</v>
      </c>
      <c r="I3322" s="10">
        <v>45685.629675925928</v>
      </c>
      <c r="J3322" s="10">
        <v>45685.63082175926</v>
      </c>
      <c r="K3322" s="11">
        <v>1.1458333333333329E-3</v>
      </c>
      <c r="L3322" s="13"/>
    </row>
    <row r="3323" spans="1:12" x14ac:dyDescent="0.25">
      <c r="A3323" s="3" t="s">
        <v>3225</v>
      </c>
      <c r="B3323" s="3" t="s">
        <v>6583</v>
      </c>
      <c r="C3323" s="3" t="s">
        <v>2858</v>
      </c>
      <c r="D3323" s="9">
        <v>135</v>
      </c>
      <c r="E3323" s="3" t="s">
        <v>142</v>
      </c>
      <c r="F3323" s="3" t="s">
        <v>3203</v>
      </c>
      <c r="G3323" s="9">
        <v>263.08999999999997</v>
      </c>
      <c r="H3323" s="10">
        <v>45685.63082175926</v>
      </c>
      <c r="I3323" s="10">
        <v>45685.63082175926</v>
      </c>
      <c r="J3323" s="10">
        <v>45685.632233796299</v>
      </c>
      <c r="K3323" s="11">
        <v>1.4120370370370369E-3</v>
      </c>
      <c r="L3323" s="13"/>
    </row>
    <row r="3324" spans="1:12" x14ac:dyDescent="0.25">
      <c r="A3324" s="3" t="s">
        <v>3225</v>
      </c>
      <c r="B3324" s="3" t="s">
        <v>6584</v>
      </c>
      <c r="C3324" s="3" t="s">
        <v>2862</v>
      </c>
      <c r="D3324" s="9">
        <v>232.7</v>
      </c>
      <c r="E3324" s="3" t="s">
        <v>139</v>
      </c>
      <c r="F3324" s="3" t="s">
        <v>3200</v>
      </c>
      <c r="G3324" s="9">
        <v>405.03</v>
      </c>
      <c r="H3324" s="10">
        <v>45685.819166666668</v>
      </c>
      <c r="I3324" s="10">
        <v>45685.819166666668</v>
      </c>
      <c r="J3324" s="10">
        <v>45685.821388888893</v>
      </c>
      <c r="K3324" s="11">
        <v>2.2222222222222218E-3</v>
      </c>
      <c r="L3324" s="13"/>
    </row>
    <row r="3325" spans="1:12" x14ac:dyDescent="0.25">
      <c r="A3325" s="3" t="s">
        <v>3225</v>
      </c>
      <c r="B3325" s="3" t="s">
        <v>6585</v>
      </c>
      <c r="C3325" s="3" t="s">
        <v>2865</v>
      </c>
      <c r="D3325" s="9">
        <v>397.3</v>
      </c>
      <c r="E3325" s="3" t="s">
        <v>139</v>
      </c>
      <c r="F3325" s="3" t="s">
        <v>3202</v>
      </c>
      <c r="G3325" s="9">
        <v>324.35000000000002</v>
      </c>
      <c r="H3325" s="10">
        <v>45685.883344907408</v>
      </c>
      <c r="I3325" s="10">
        <v>45685.883344907408</v>
      </c>
      <c r="J3325" s="10">
        <v>45685.885613425933</v>
      </c>
      <c r="K3325" s="11">
        <v>2.2685185185185191E-3</v>
      </c>
      <c r="L3325" s="13"/>
    </row>
    <row r="3326" spans="1:12" x14ac:dyDescent="0.25">
      <c r="A3326" s="3" t="s">
        <v>3225</v>
      </c>
      <c r="B3326" s="3" t="s">
        <v>6586</v>
      </c>
      <c r="C3326" s="3" t="s">
        <v>2868</v>
      </c>
      <c r="D3326" s="9">
        <v>19.899999999999999</v>
      </c>
      <c r="E3326" s="3" t="s">
        <v>139</v>
      </c>
      <c r="F3326" s="3" t="s">
        <v>3196</v>
      </c>
      <c r="G3326" s="9">
        <v>450.42</v>
      </c>
      <c r="H3326" s="10">
        <v>45686.124421296299</v>
      </c>
      <c r="I3326" s="10">
        <v>45686.124421296299</v>
      </c>
      <c r="J3326" s="10">
        <v>45686.126342592594</v>
      </c>
      <c r="K3326" s="11">
        <v>1.9212962962962959E-3</v>
      </c>
      <c r="L3326" s="13"/>
    </row>
    <row r="3327" spans="1:12" x14ac:dyDescent="0.25">
      <c r="A3327" s="3" t="s">
        <v>3225</v>
      </c>
      <c r="B3327" s="3" t="s">
        <v>6587</v>
      </c>
      <c r="C3327" s="3" t="s">
        <v>2871</v>
      </c>
      <c r="D3327" s="9">
        <v>165.8</v>
      </c>
      <c r="E3327" s="3" t="s">
        <v>139</v>
      </c>
      <c r="F3327" s="3" t="s">
        <v>3203</v>
      </c>
      <c r="G3327" s="9">
        <v>269.92</v>
      </c>
      <c r="H3327" s="10">
        <v>45686.126342592594</v>
      </c>
      <c r="I3327" s="10">
        <v>45686.126342592594</v>
      </c>
      <c r="J3327" s="10">
        <v>45686.127847222233</v>
      </c>
      <c r="K3327" s="11">
        <v>1.5046296296296301E-3</v>
      </c>
      <c r="L3327" s="13"/>
    </row>
    <row r="3328" spans="1:12" x14ac:dyDescent="0.25">
      <c r="A3328" s="3" t="s">
        <v>3225</v>
      </c>
      <c r="B3328" s="3" t="s">
        <v>6588</v>
      </c>
      <c r="C3328" s="3" t="s">
        <v>2874</v>
      </c>
      <c r="D3328" s="9">
        <v>54.7</v>
      </c>
      <c r="E3328" s="3" t="s">
        <v>139</v>
      </c>
      <c r="F3328" s="3" t="s">
        <v>3197</v>
      </c>
      <c r="G3328" s="9">
        <v>459.96</v>
      </c>
      <c r="H3328" s="10">
        <v>45686.127847222233</v>
      </c>
      <c r="I3328" s="10">
        <v>45686.127847222233</v>
      </c>
      <c r="J3328" s="10">
        <v>45686.129895833343</v>
      </c>
      <c r="K3328" s="11">
        <v>2.0486111111111109E-3</v>
      </c>
      <c r="L3328" s="13"/>
    </row>
    <row r="3329" spans="1:12" x14ac:dyDescent="0.25">
      <c r="A3329" s="3" t="s">
        <v>3225</v>
      </c>
      <c r="B3329" s="3" t="s">
        <v>6589</v>
      </c>
      <c r="C3329" s="3" t="s">
        <v>2876</v>
      </c>
      <c r="D3329" s="9">
        <v>19.899999999999999</v>
      </c>
      <c r="E3329" s="3" t="s">
        <v>139</v>
      </c>
      <c r="F3329" s="3" t="s">
        <v>3196</v>
      </c>
      <c r="G3329" s="9">
        <v>450.42</v>
      </c>
      <c r="H3329" s="10">
        <v>45686.129895833343</v>
      </c>
      <c r="I3329" s="10">
        <v>45686.129895833343</v>
      </c>
      <c r="J3329" s="10">
        <v>45686.13181712963</v>
      </c>
      <c r="K3329" s="11">
        <v>1.9212962962962959E-3</v>
      </c>
      <c r="L3329" s="13"/>
    </row>
    <row r="3330" spans="1:12" x14ac:dyDescent="0.25">
      <c r="A3330" s="3" t="s">
        <v>3225</v>
      </c>
      <c r="B3330" s="3" t="s">
        <v>6590</v>
      </c>
      <c r="C3330" s="3" t="s">
        <v>2878</v>
      </c>
      <c r="D3330" s="9">
        <v>106.9</v>
      </c>
      <c r="E3330" s="3" t="s">
        <v>139</v>
      </c>
      <c r="F3330" s="3" t="s">
        <v>3193</v>
      </c>
      <c r="G3330" s="9">
        <v>297.43</v>
      </c>
      <c r="H3330" s="10">
        <v>45686.185879629629</v>
      </c>
      <c r="I3330" s="10">
        <v>45686.185879629629</v>
      </c>
      <c r="J3330" s="10">
        <v>45686.187372685177</v>
      </c>
      <c r="K3330" s="11">
        <v>1.4930555555555561E-3</v>
      </c>
      <c r="L3330" s="13"/>
    </row>
    <row r="3331" spans="1:12" x14ac:dyDescent="0.25">
      <c r="A3331" s="3" t="s">
        <v>3225</v>
      </c>
      <c r="B3331" s="3" t="s">
        <v>6591</v>
      </c>
      <c r="C3331" s="3" t="s">
        <v>2881</v>
      </c>
      <c r="D3331" s="9">
        <v>297</v>
      </c>
      <c r="E3331" s="3" t="s">
        <v>139</v>
      </c>
      <c r="F3331" s="3" t="s">
        <v>3206</v>
      </c>
      <c r="G3331" s="9">
        <v>378.4</v>
      </c>
      <c r="H3331" s="10">
        <v>45686.26834490741</v>
      </c>
      <c r="I3331" s="10">
        <v>45686.26834490741</v>
      </c>
      <c r="J3331" s="10">
        <v>45686.270613425928</v>
      </c>
      <c r="K3331" s="11">
        <v>2.2685185185185191E-3</v>
      </c>
      <c r="L3331" s="13"/>
    </row>
    <row r="3332" spans="1:12" x14ac:dyDescent="0.25">
      <c r="A3332" s="3" t="s">
        <v>3225</v>
      </c>
      <c r="B3332" s="3" t="s">
        <v>6592</v>
      </c>
      <c r="C3332" s="3" t="s">
        <v>2883</v>
      </c>
      <c r="D3332" s="9">
        <v>397.3</v>
      </c>
      <c r="E3332" s="3" t="s">
        <v>139</v>
      </c>
      <c r="F3332" s="3" t="s">
        <v>3194</v>
      </c>
      <c r="G3332" s="9">
        <v>459.96</v>
      </c>
      <c r="H3332" s="10">
        <v>45686.312268518523</v>
      </c>
      <c r="I3332" s="10">
        <v>45686.312268518523</v>
      </c>
      <c r="J3332" s="10">
        <v>45686.315104166657</v>
      </c>
      <c r="K3332" s="11">
        <v>2.8356481481481479E-3</v>
      </c>
      <c r="L3332" s="13"/>
    </row>
    <row r="3333" spans="1:12" x14ac:dyDescent="0.25">
      <c r="A3333" s="3" t="s">
        <v>3225</v>
      </c>
      <c r="B3333" s="3" t="s">
        <v>6593</v>
      </c>
      <c r="C3333" s="3" t="s">
        <v>2885</v>
      </c>
      <c r="D3333" s="9">
        <v>129.30000000000001</v>
      </c>
      <c r="E3333" s="3" t="s">
        <v>142</v>
      </c>
      <c r="F3333" s="3" t="s">
        <v>3196</v>
      </c>
      <c r="G3333" s="9">
        <v>443.59</v>
      </c>
      <c r="H3333" s="10">
        <v>45686.318229166667</v>
      </c>
      <c r="I3333" s="10">
        <v>45686.318229166667</v>
      </c>
      <c r="J3333" s="10">
        <v>45686.320381944453</v>
      </c>
      <c r="K3333" s="11">
        <v>2.1527777777777782E-3</v>
      </c>
      <c r="L3333" s="13"/>
    </row>
    <row r="3334" spans="1:12" x14ac:dyDescent="0.25">
      <c r="A3334" s="3" t="s">
        <v>3225</v>
      </c>
      <c r="B3334" s="3" t="s">
        <v>6594</v>
      </c>
      <c r="C3334" s="3" t="s">
        <v>2887</v>
      </c>
      <c r="D3334" s="9">
        <v>16.5</v>
      </c>
      <c r="E3334" s="3" t="s">
        <v>139</v>
      </c>
      <c r="F3334" s="3" t="s">
        <v>3194</v>
      </c>
      <c r="G3334" s="9">
        <v>459.96</v>
      </c>
      <c r="H3334" s="10">
        <v>45686.353298611109</v>
      </c>
      <c r="I3334" s="10">
        <v>45686.353298611109</v>
      </c>
      <c r="J3334" s="10">
        <v>45686.355254629627</v>
      </c>
      <c r="K3334" s="11">
        <v>1.956018518518518E-3</v>
      </c>
      <c r="L3334" s="13"/>
    </row>
    <row r="3335" spans="1:12" x14ac:dyDescent="0.25">
      <c r="A3335" s="3" t="s">
        <v>3225</v>
      </c>
      <c r="B3335" s="3" t="s">
        <v>6595</v>
      </c>
      <c r="C3335" s="3" t="s">
        <v>2890</v>
      </c>
      <c r="D3335" s="9">
        <v>63</v>
      </c>
      <c r="E3335" s="3" t="s">
        <v>139</v>
      </c>
      <c r="F3335" s="3" t="s">
        <v>3203</v>
      </c>
      <c r="G3335" s="9">
        <v>269.92</v>
      </c>
      <c r="H3335" s="10">
        <v>45686.355254629627</v>
      </c>
      <c r="I3335" s="10">
        <v>45686.355254629627</v>
      </c>
      <c r="J3335" s="10">
        <v>45686.356527777767</v>
      </c>
      <c r="K3335" s="11">
        <v>1.273148148148148E-3</v>
      </c>
      <c r="L3335" s="13"/>
    </row>
    <row r="3336" spans="1:12" x14ac:dyDescent="0.25">
      <c r="A3336" s="3" t="s">
        <v>3225</v>
      </c>
      <c r="B3336" s="3" t="s">
        <v>6596</v>
      </c>
      <c r="C3336" s="3" t="s">
        <v>2893</v>
      </c>
      <c r="D3336" s="9">
        <v>19.899999999999999</v>
      </c>
      <c r="E3336" s="3" t="s">
        <v>139</v>
      </c>
      <c r="F3336" s="3" t="s">
        <v>3197</v>
      </c>
      <c r="G3336" s="9">
        <v>459.96</v>
      </c>
      <c r="H3336" s="10">
        <v>45686.395138888889</v>
      </c>
      <c r="I3336" s="10">
        <v>45686.395138888889</v>
      </c>
      <c r="J3336" s="10">
        <v>45686.397106481483</v>
      </c>
      <c r="K3336" s="11">
        <v>1.967592592592592E-3</v>
      </c>
      <c r="L3336" s="13"/>
    </row>
    <row r="3337" spans="1:12" x14ac:dyDescent="0.25">
      <c r="A3337" s="3" t="s">
        <v>3225</v>
      </c>
      <c r="B3337" s="3" t="s">
        <v>6597</v>
      </c>
      <c r="C3337" s="3" t="s">
        <v>2895</v>
      </c>
      <c r="D3337" s="9">
        <v>14</v>
      </c>
      <c r="E3337" s="3" t="s">
        <v>139</v>
      </c>
      <c r="F3337" s="3" t="s">
        <v>3205</v>
      </c>
      <c r="G3337" s="9">
        <v>299.11</v>
      </c>
      <c r="H3337" s="10">
        <v>45686.397106481483</v>
      </c>
      <c r="I3337" s="10">
        <v>45686.397106481483</v>
      </c>
      <c r="J3337" s="10">
        <v>45686.398379629631</v>
      </c>
      <c r="K3337" s="11">
        <v>1.273148148148148E-3</v>
      </c>
      <c r="L3337" s="13"/>
    </row>
    <row r="3338" spans="1:12" x14ac:dyDescent="0.25">
      <c r="A3338" s="3" t="s">
        <v>3225</v>
      </c>
      <c r="B3338" s="3" t="s">
        <v>6598</v>
      </c>
      <c r="C3338" s="3" t="s">
        <v>2898</v>
      </c>
      <c r="D3338" s="9">
        <v>189</v>
      </c>
      <c r="E3338" s="3" t="s">
        <v>139</v>
      </c>
      <c r="F3338" s="3" t="s">
        <v>3203</v>
      </c>
      <c r="G3338" s="9">
        <v>269.92</v>
      </c>
      <c r="H3338" s="10">
        <v>45686.398379629631</v>
      </c>
      <c r="I3338" s="10">
        <v>45686.398379629631</v>
      </c>
      <c r="J3338" s="10">
        <v>45686.399942129632</v>
      </c>
      <c r="K3338" s="11">
        <v>1.5625000000000001E-3</v>
      </c>
      <c r="L3338" s="13"/>
    </row>
    <row r="3339" spans="1:12" x14ac:dyDescent="0.25">
      <c r="A3339" s="3" t="s">
        <v>3225</v>
      </c>
      <c r="B3339" s="3" t="s">
        <v>6599</v>
      </c>
      <c r="C3339" s="3" t="s">
        <v>2901</v>
      </c>
      <c r="D3339" s="9">
        <v>59.7</v>
      </c>
      <c r="E3339" s="3" t="s">
        <v>139</v>
      </c>
      <c r="F3339" s="3" t="s">
        <v>3206</v>
      </c>
      <c r="G3339" s="9">
        <v>378.4</v>
      </c>
      <c r="H3339" s="10">
        <v>45686.399942129632</v>
      </c>
      <c r="I3339" s="10">
        <v>45686.399942129632</v>
      </c>
      <c r="J3339" s="10">
        <v>45686.401655092603</v>
      </c>
      <c r="K3339" s="11">
        <v>1.712962962962963E-3</v>
      </c>
      <c r="L3339" s="13"/>
    </row>
    <row r="3340" spans="1:12" x14ac:dyDescent="0.25">
      <c r="A3340" s="3" t="s">
        <v>3225</v>
      </c>
      <c r="B3340" s="3" t="s">
        <v>6600</v>
      </c>
      <c r="C3340" s="3" t="s">
        <v>2904</v>
      </c>
      <c r="D3340" s="9">
        <v>15.7</v>
      </c>
      <c r="E3340" s="3" t="s">
        <v>139</v>
      </c>
      <c r="F3340" s="3" t="s">
        <v>3194</v>
      </c>
      <c r="G3340" s="9">
        <v>459.96</v>
      </c>
      <c r="H3340" s="10">
        <v>45686.401655092603</v>
      </c>
      <c r="I3340" s="10">
        <v>45686.401655092603</v>
      </c>
      <c r="J3340" s="10">
        <v>45686.403611111113</v>
      </c>
      <c r="K3340" s="11">
        <v>1.956018518518518E-3</v>
      </c>
      <c r="L3340" s="13"/>
    </row>
    <row r="3341" spans="1:12" x14ac:dyDescent="0.25">
      <c r="A3341" s="3" t="s">
        <v>3225</v>
      </c>
      <c r="B3341" s="3" t="s">
        <v>6601</v>
      </c>
      <c r="C3341" s="3" t="s">
        <v>2907</v>
      </c>
      <c r="D3341" s="9">
        <v>19.899999999999999</v>
      </c>
      <c r="E3341" s="3" t="s">
        <v>139</v>
      </c>
      <c r="F3341" s="3" t="s">
        <v>3197</v>
      </c>
      <c r="G3341" s="9">
        <v>459.96</v>
      </c>
      <c r="H3341" s="10">
        <v>45686.403611111113</v>
      </c>
      <c r="I3341" s="10">
        <v>45686.403611111113</v>
      </c>
      <c r="J3341" s="10">
        <v>45686.405578703707</v>
      </c>
      <c r="K3341" s="11">
        <v>1.967592592592592E-3</v>
      </c>
      <c r="L3341" s="13"/>
    </row>
    <row r="3342" spans="1:12" x14ac:dyDescent="0.25">
      <c r="A3342" s="3" t="s">
        <v>3225</v>
      </c>
      <c r="B3342" s="3" t="s">
        <v>6602</v>
      </c>
      <c r="C3342" s="3" t="s">
        <v>2910</v>
      </c>
      <c r="D3342" s="9">
        <v>23.2</v>
      </c>
      <c r="E3342" s="3" t="s">
        <v>139</v>
      </c>
      <c r="F3342" s="3" t="s">
        <v>3201</v>
      </c>
      <c r="G3342" s="9">
        <v>412.05</v>
      </c>
      <c r="H3342" s="10">
        <v>45686.405578703707</v>
      </c>
      <c r="I3342" s="10">
        <v>45686.405578703707</v>
      </c>
      <c r="J3342" s="10">
        <v>45686.407349537039</v>
      </c>
      <c r="K3342" s="11">
        <v>1.770833333333333E-3</v>
      </c>
      <c r="L3342" s="13"/>
    </row>
    <row r="3343" spans="1:12" x14ac:dyDescent="0.25">
      <c r="A3343" s="3" t="s">
        <v>3225</v>
      </c>
      <c r="B3343" s="3" t="s">
        <v>6603</v>
      </c>
      <c r="C3343" s="3" t="s">
        <v>2912</v>
      </c>
      <c r="D3343" s="9">
        <v>21</v>
      </c>
      <c r="E3343" s="3" t="s">
        <v>139</v>
      </c>
      <c r="F3343" s="3" t="s">
        <v>3194</v>
      </c>
      <c r="G3343" s="9">
        <v>459.96</v>
      </c>
      <c r="H3343" s="10">
        <v>45686.446053240739</v>
      </c>
      <c r="I3343" s="10">
        <v>45686.446053240739</v>
      </c>
      <c r="J3343" s="10">
        <v>45686.448020833333</v>
      </c>
      <c r="K3343" s="11">
        <v>1.967592592592592E-3</v>
      </c>
      <c r="L3343" s="13"/>
    </row>
    <row r="3344" spans="1:12" x14ac:dyDescent="0.25">
      <c r="A3344" s="3" t="s">
        <v>3225</v>
      </c>
      <c r="B3344" s="3" t="s">
        <v>6604</v>
      </c>
      <c r="C3344" s="3" t="s">
        <v>2914</v>
      </c>
      <c r="D3344" s="9">
        <v>220.3</v>
      </c>
      <c r="E3344" s="3" t="s">
        <v>139</v>
      </c>
      <c r="F3344" s="3" t="s">
        <v>3203</v>
      </c>
      <c r="G3344" s="9">
        <v>269.92</v>
      </c>
      <c r="H3344" s="10">
        <v>45686.448020833333</v>
      </c>
      <c r="I3344" s="10">
        <v>45686.448020833333</v>
      </c>
      <c r="J3344" s="10">
        <v>45686.449652777781</v>
      </c>
      <c r="K3344" s="11">
        <v>1.631944444444445E-3</v>
      </c>
      <c r="L3344" s="13"/>
    </row>
    <row r="3345" spans="1:12" x14ac:dyDescent="0.25">
      <c r="A3345" s="3" t="s">
        <v>3225</v>
      </c>
      <c r="B3345" s="3" t="s">
        <v>6605</v>
      </c>
      <c r="C3345" s="3" t="s">
        <v>2917</v>
      </c>
      <c r="D3345" s="9">
        <v>259.7</v>
      </c>
      <c r="E3345" s="3" t="s">
        <v>139</v>
      </c>
      <c r="F3345" s="3" t="s">
        <v>3203</v>
      </c>
      <c r="G3345" s="9">
        <v>269.92</v>
      </c>
      <c r="H3345" s="10">
        <v>45686.552557870367</v>
      </c>
      <c r="I3345" s="10">
        <v>45686.552557870367</v>
      </c>
      <c r="J3345" s="10">
        <v>45686.554282407407</v>
      </c>
      <c r="K3345" s="11">
        <v>1.724537037037037E-3</v>
      </c>
      <c r="L3345" s="13"/>
    </row>
    <row r="3346" spans="1:12" x14ac:dyDescent="0.25">
      <c r="A3346" s="3" t="s">
        <v>3225</v>
      </c>
      <c r="B3346" s="3" t="s">
        <v>6606</v>
      </c>
      <c r="C3346" s="3" t="s">
        <v>2920</v>
      </c>
      <c r="D3346" s="9">
        <v>398</v>
      </c>
      <c r="E3346" s="3" t="s">
        <v>139</v>
      </c>
      <c r="F3346" s="3" t="s">
        <v>3203</v>
      </c>
      <c r="G3346" s="9">
        <v>269.92</v>
      </c>
      <c r="H3346" s="10">
        <v>45686.612581018519</v>
      </c>
      <c r="I3346" s="10">
        <v>45686.612581018519</v>
      </c>
      <c r="J3346" s="10">
        <v>45686.614629629628</v>
      </c>
      <c r="K3346" s="11">
        <v>2.0486111111111109E-3</v>
      </c>
      <c r="L3346" s="13"/>
    </row>
    <row r="3347" spans="1:12" x14ac:dyDescent="0.25">
      <c r="A3347" s="3" t="s">
        <v>3225</v>
      </c>
      <c r="B3347" s="3" t="s">
        <v>6607</v>
      </c>
      <c r="C3347" s="3" t="s">
        <v>2923</v>
      </c>
      <c r="D3347" s="9">
        <v>47.2</v>
      </c>
      <c r="E3347" s="3" t="s">
        <v>139</v>
      </c>
      <c r="F3347" s="3" t="s">
        <v>3201</v>
      </c>
      <c r="G3347" s="9">
        <v>412.05</v>
      </c>
      <c r="H3347" s="10">
        <v>45686.638761574082</v>
      </c>
      <c r="I3347" s="10">
        <v>45686.638761574082</v>
      </c>
      <c r="J3347" s="10">
        <v>45686.6405787037</v>
      </c>
      <c r="K3347" s="11">
        <v>1.8171296296296299E-3</v>
      </c>
      <c r="L3347" s="13"/>
    </row>
    <row r="3348" spans="1:12" x14ac:dyDescent="0.25">
      <c r="A3348" s="3" t="s">
        <v>3225</v>
      </c>
      <c r="B3348" s="3" t="s">
        <v>6608</v>
      </c>
      <c r="C3348" s="3" t="s">
        <v>2925</v>
      </c>
      <c r="D3348" s="9">
        <v>81</v>
      </c>
      <c r="E3348" s="3" t="s">
        <v>139</v>
      </c>
      <c r="F3348" s="3" t="s">
        <v>3199</v>
      </c>
      <c r="G3348" s="9">
        <v>450.42</v>
      </c>
      <c r="H3348" s="10">
        <v>45686.6405787037</v>
      </c>
      <c r="I3348" s="10">
        <v>45686.6405787037</v>
      </c>
      <c r="J3348" s="10">
        <v>45686.642650462964</v>
      </c>
      <c r="K3348" s="11">
        <v>2.0717592592592589E-3</v>
      </c>
      <c r="L3348" s="13"/>
    </row>
    <row r="3349" spans="1:12" x14ac:dyDescent="0.25">
      <c r="A3349" s="3" t="s">
        <v>3225</v>
      </c>
      <c r="B3349" s="3" t="s">
        <v>6609</v>
      </c>
      <c r="C3349" s="3" t="s">
        <v>2928</v>
      </c>
      <c r="D3349" s="9">
        <v>14</v>
      </c>
      <c r="E3349" s="3" t="s">
        <v>139</v>
      </c>
      <c r="F3349" s="3" t="s">
        <v>3205</v>
      </c>
      <c r="G3349" s="9">
        <v>299.11</v>
      </c>
      <c r="H3349" s="10">
        <v>45686.642650462964</v>
      </c>
      <c r="I3349" s="10">
        <v>45686.642650462964</v>
      </c>
      <c r="J3349" s="10">
        <v>45686.643923611111</v>
      </c>
      <c r="K3349" s="11">
        <v>1.273148148148148E-3</v>
      </c>
      <c r="L3349" s="13"/>
    </row>
    <row r="3350" spans="1:12" x14ac:dyDescent="0.25">
      <c r="A3350" s="3" t="s">
        <v>3225</v>
      </c>
      <c r="B3350" s="3" t="s">
        <v>6610</v>
      </c>
      <c r="C3350" s="3" t="s">
        <v>2930</v>
      </c>
      <c r="D3350" s="9">
        <v>15.7</v>
      </c>
      <c r="E3350" s="3" t="s">
        <v>139</v>
      </c>
      <c r="F3350" s="3" t="s">
        <v>3195</v>
      </c>
      <c r="G3350" s="9">
        <v>405.43</v>
      </c>
      <c r="H3350" s="10">
        <v>45686.643923611111</v>
      </c>
      <c r="I3350" s="10">
        <v>45686.643923611111</v>
      </c>
      <c r="J3350" s="10">
        <v>45686.645648148151</v>
      </c>
      <c r="K3350" s="11">
        <v>1.724537037037037E-3</v>
      </c>
      <c r="L3350" s="13"/>
    </row>
    <row r="3351" spans="1:12" x14ac:dyDescent="0.25">
      <c r="A3351" s="3" t="s">
        <v>3225</v>
      </c>
      <c r="B3351" s="3" t="s">
        <v>6611</v>
      </c>
      <c r="C3351" s="3" t="s">
        <v>2933</v>
      </c>
      <c r="D3351" s="9">
        <v>19.899999999999999</v>
      </c>
      <c r="E3351" s="3" t="s">
        <v>139</v>
      </c>
      <c r="F3351" s="3" t="s">
        <v>3196</v>
      </c>
      <c r="G3351" s="9">
        <v>450.42</v>
      </c>
      <c r="H3351" s="10">
        <v>45686.645648148151</v>
      </c>
      <c r="I3351" s="10">
        <v>45686.645648148151</v>
      </c>
      <c r="J3351" s="10">
        <v>45686.647569444453</v>
      </c>
      <c r="K3351" s="11">
        <v>1.9212962962962959E-3</v>
      </c>
      <c r="L3351" s="13"/>
    </row>
    <row r="3352" spans="1:12" x14ac:dyDescent="0.25">
      <c r="A3352" s="3" t="s">
        <v>3225</v>
      </c>
      <c r="B3352" s="3" t="s">
        <v>6612</v>
      </c>
      <c r="C3352" s="3" t="s">
        <v>2936</v>
      </c>
      <c r="D3352" s="9">
        <v>78</v>
      </c>
      <c r="E3352" s="3" t="s">
        <v>139</v>
      </c>
      <c r="F3352" s="3" t="s">
        <v>3198</v>
      </c>
      <c r="G3352" s="9">
        <v>350.87</v>
      </c>
      <c r="H3352" s="10">
        <v>45686.647569444453</v>
      </c>
      <c r="I3352" s="10">
        <v>45686.647569444453</v>
      </c>
      <c r="J3352" s="10">
        <v>45686.649212962962</v>
      </c>
      <c r="K3352" s="11">
        <v>1.643518518518519E-3</v>
      </c>
      <c r="L3352" s="13"/>
    </row>
    <row r="3353" spans="1:12" x14ac:dyDescent="0.25">
      <c r="A3353" s="3" t="s">
        <v>3225</v>
      </c>
      <c r="B3353" s="3" t="s">
        <v>6613</v>
      </c>
      <c r="C3353" s="3" t="s">
        <v>2939</v>
      </c>
      <c r="D3353" s="9">
        <v>59.7</v>
      </c>
      <c r="E3353" s="3" t="s">
        <v>139</v>
      </c>
      <c r="F3353" s="3" t="s">
        <v>3197</v>
      </c>
      <c r="G3353" s="9">
        <v>459.96</v>
      </c>
      <c r="H3353" s="10">
        <v>45686.649212962962</v>
      </c>
      <c r="I3353" s="10">
        <v>45686.649212962962</v>
      </c>
      <c r="J3353" s="10">
        <v>45686.651273148149</v>
      </c>
      <c r="K3353" s="11">
        <v>2.0601851851851849E-3</v>
      </c>
      <c r="L3353" s="13"/>
    </row>
    <row r="3354" spans="1:12" x14ac:dyDescent="0.25">
      <c r="A3354" s="3" t="s">
        <v>3225</v>
      </c>
      <c r="B3354" s="3" t="s">
        <v>6614</v>
      </c>
      <c r="C3354" s="3" t="s">
        <v>2941</v>
      </c>
      <c r="D3354" s="9">
        <v>15.7</v>
      </c>
      <c r="E3354" s="3" t="s">
        <v>139</v>
      </c>
      <c r="F3354" s="3" t="s">
        <v>3198</v>
      </c>
      <c r="G3354" s="9">
        <v>350.87</v>
      </c>
      <c r="H3354" s="10">
        <v>45686.651273148149</v>
      </c>
      <c r="I3354" s="10">
        <v>45686.651273148149</v>
      </c>
      <c r="J3354" s="10">
        <v>45686.652766203697</v>
      </c>
      <c r="K3354" s="11">
        <v>1.4930555555555561E-3</v>
      </c>
      <c r="L3354" s="13"/>
    </row>
    <row r="3355" spans="1:12" x14ac:dyDescent="0.25">
      <c r="A3355" s="3" t="s">
        <v>3225</v>
      </c>
      <c r="B3355" s="3" t="s">
        <v>6615</v>
      </c>
      <c r="C3355" s="3" t="s">
        <v>2945</v>
      </c>
      <c r="D3355" s="9">
        <v>31.5</v>
      </c>
      <c r="E3355" s="3" t="s">
        <v>139</v>
      </c>
      <c r="F3355" s="3" t="s">
        <v>3199</v>
      </c>
      <c r="G3355" s="9">
        <v>450.42</v>
      </c>
      <c r="H3355" s="10">
        <v>45686.652766203697</v>
      </c>
      <c r="I3355" s="10">
        <v>45686.652766203697</v>
      </c>
      <c r="J3355" s="10">
        <v>45686.654722222222</v>
      </c>
      <c r="K3355" s="11">
        <v>1.956018518518518E-3</v>
      </c>
      <c r="L3355" s="13"/>
    </row>
    <row r="3356" spans="1:12" x14ac:dyDescent="0.25">
      <c r="A3356" s="3" t="s">
        <v>3225</v>
      </c>
      <c r="B3356" s="3" t="s">
        <v>6616</v>
      </c>
      <c r="C3356" s="3" t="s">
        <v>2948</v>
      </c>
      <c r="D3356" s="9">
        <v>302.10000000000002</v>
      </c>
      <c r="E3356" s="3" t="s">
        <v>139</v>
      </c>
      <c r="F3356" s="3" t="s">
        <v>3203</v>
      </c>
      <c r="G3356" s="9">
        <v>269.92</v>
      </c>
      <c r="H3356" s="10">
        <v>45686.736666666657</v>
      </c>
      <c r="I3356" s="10">
        <v>45686.736666666657</v>
      </c>
      <c r="J3356" s="10">
        <v>45686.738495370373</v>
      </c>
      <c r="K3356" s="11">
        <v>1.8287037037037039E-3</v>
      </c>
      <c r="L3356" s="13"/>
    </row>
    <row r="3357" spans="1:12" x14ac:dyDescent="0.25">
      <c r="A3357" s="3" t="s">
        <v>3225</v>
      </c>
      <c r="B3357" s="3" t="s">
        <v>6617</v>
      </c>
      <c r="C3357" s="3" t="s">
        <v>2951</v>
      </c>
      <c r="D3357" s="9">
        <v>15.7</v>
      </c>
      <c r="E3357" s="3" t="s">
        <v>142</v>
      </c>
      <c r="F3357" s="3" t="s">
        <v>3204</v>
      </c>
      <c r="G3357" s="9">
        <v>470.92</v>
      </c>
      <c r="H3357" s="10">
        <v>45686.753240740742</v>
      </c>
      <c r="I3357" s="10">
        <v>45686.753240740742</v>
      </c>
      <c r="J3357" s="10">
        <v>45686.755243055559</v>
      </c>
      <c r="K3357" s="11">
        <v>2.0023148148148148E-3</v>
      </c>
      <c r="L3357" s="13"/>
    </row>
    <row r="3358" spans="1:12" x14ac:dyDescent="0.25">
      <c r="A3358" s="3" t="s">
        <v>3225</v>
      </c>
      <c r="B3358" s="3" t="s">
        <v>6618</v>
      </c>
      <c r="C3358" s="3" t="s">
        <v>2952</v>
      </c>
      <c r="D3358" s="9">
        <v>14</v>
      </c>
      <c r="E3358" s="3" t="s">
        <v>142</v>
      </c>
      <c r="F3358" s="3" t="s">
        <v>3205</v>
      </c>
      <c r="G3358" s="9">
        <v>292.27999999999997</v>
      </c>
      <c r="H3358" s="10">
        <v>45686.755243055559</v>
      </c>
      <c r="I3358" s="10">
        <v>45686.755243055559</v>
      </c>
      <c r="J3358" s="10">
        <v>45686.756493055553</v>
      </c>
      <c r="K3358" s="11">
        <v>1.25E-3</v>
      </c>
      <c r="L3358" s="13"/>
    </row>
    <row r="3359" spans="1:12" x14ac:dyDescent="0.25">
      <c r="A3359" s="3" t="s">
        <v>3225</v>
      </c>
      <c r="B3359" s="3" t="s">
        <v>6619</v>
      </c>
      <c r="C3359" s="3" t="s">
        <v>2954</v>
      </c>
      <c r="D3359" s="9">
        <v>27</v>
      </c>
      <c r="E3359" s="3" t="s">
        <v>142</v>
      </c>
      <c r="F3359" s="3" t="s">
        <v>3199</v>
      </c>
      <c r="G3359" s="9">
        <v>443.59</v>
      </c>
      <c r="H3359" s="10">
        <v>45686.756493055553</v>
      </c>
      <c r="I3359" s="10">
        <v>45686.756493055553</v>
      </c>
      <c r="J3359" s="10">
        <v>45686.758402777778</v>
      </c>
      <c r="K3359" s="11">
        <v>1.9097222222222219E-3</v>
      </c>
      <c r="L3359" s="13"/>
    </row>
    <row r="3360" spans="1:12" x14ac:dyDescent="0.25">
      <c r="A3360" s="3" t="s">
        <v>3225</v>
      </c>
      <c r="B3360" s="3" t="s">
        <v>6620</v>
      </c>
      <c r="C3360" s="3" t="s">
        <v>2957</v>
      </c>
      <c r="D3360" s="9">
        <v>15.7</v>
      </c>
      <c r="E3360" s="3" t="s">
        <v>142</v>
      </c>
      <c r="F3360" s="3" t="s">
        <v>3194</v>
      </c>
      <c r="G3360" s="9">
        <v>453.13</v>
      </c>
      <c r="H3360" s="10">
        <v>45686.758402777778</v>
      </c>
      <c r="I3360" s="10">
        <v>45686.758402777778</v>
      </c>
      <c r="J3360" s="10">
        <v>45686.760324074072</v>
      </c>
      <c r="K3360" s="11">
        <v>1.9212962962962959E-3</v>
      </c>
      <c r="L3360" s="13"/>
    </row>
    <row r="3361" spans="1:12" x14ac:dyDescent="0.25">
      <c r="A3361" s="3" t="s">
        <v>3225</v>
      </c>
      <c r="B3361" s="3" t="s">
        <v>6621</v>
      </c>
      <c r="C3361" s="3" t="s">
        <v>2959</v>
      </c>
      <c r="D3361" s="9">
        <v>93.7</v>
      </c>
      <c r="E3361" s="3" t="s">
        <v>142</v>
      </c>
      <c r="F3361" s="3" t="s">
        <v>3198</v>
      </c>
      <c r="G3361" s="9">
        <v>344.04</v>
      </c>
      <c r="H3361" s="10">
        <v>45686.760324074072</v>
      </c>
      <c r="I3361" s="10">
        <v>45686.760324074072</v>
      </c>
      <c r="J3361" s="10">
        <v>45686.761967592603</v>
      </c>
      <c r="K3361" s="11">
        <v>1.643518518518519E-3</v>
      </c>
      <c r="L3361" s="13"/>
    </row>
    <row r="3362" spans="1:12" x14ac:dyDescent="0.25">
      <c r="A3362" s="3" t="s">
        <v>3225</v>
      </c>
      <c r="B3362" s="3" t="s">
        <v>6622</v>
      </c>
      <c r="C3362" s="3" t="s">
        <v>2961</v>
      </c>
      <c r="D3362" s="9">
        <v>54</v>
      </c>
      <c r="E3362" s="3" t="s">
        <v>142</v>
      </c>
      <c r="F3362" s="3" t="s">
        <v>3199</v>
      </c>
      <c r="G3362" s="9">
        <v>443.59</v>
      </c>
      <c r="H3362" s="10">
        <v>45686.761967592603</v>
      </c>
      <c r="I3362" s="10">
        <v>45686.761967592603</v>
      </c>
      <c r="J3362" s="10">
        <v>45686.76394675926</v>
      </c>
      <c r="K3362" s="11">
        <v>1.9791666666666668E-3</v>
      </c>
      <c r="L3362" s="13"/>
    </row>
    <row r="3363" spans="1:12" x14ac:dyDescent="0.25">
      <c r="A3363" s="3" t="s">
        <v>3225</v>
      </c>
      <c r="B3363" s="3" t="s">
        <v>6623</v>
      </c>
      <c r="C3363" s="3" t="s">
        <v>2963</v>
      </c>
      <c r="D3363" s="9">
        <v>42</v>
      </c>
      <c r="E3363" s="3" t="s">
        <v>142</v>
      </c>
      <c r="F3363" s="3" t="s">
        <v>3196</v>
      </c>
      <c r="G3363" s="9">
        <v>443.59</v>
      </c>
      <c r="H3363" s="10">
        <v>45686.76394675926</v>
      </c>
      <c r="I3363" s="10">
        <v>45686.76394675926</v>
      </c>
      <c r="J3363" s="10">
        <v>45686.7658912037</v>
      </c>
      <c r="K3363" s="11">
        <v>1.944444444444444E-3</v>
      </c>
      <c r="L3363" s="13"/>
    </row>
    <row r="3364" spans="1:12" x14ac:dyDescent="0.25">
      <c r="A3364" s="3" t="s">
        <v>3225</v>
      </c>
      <c r="B3364" s="3" t="s">
        <v>6624</v>
      </c>
      <c r="C3364" s="3" t="s">
        <v>2965</v>
      </c>
      <c r="D3364" s="9">
        <v>39.799999999999997</v>
      </c>
      <c r="E3364" s="3" t="s">
        <v>142</v>
      </c>
      <c r="F3364" s="3" t="s">
        <v>3206</v>
      </c>
      <c r="G3364" s="9">
        <v>371.57</v>
      </c>
      <c r="H3364" s="10">
        <v>45686.7658912037</v>
      </c>
      <c r="I3364" s="10">
        <v>45686.7658912037</v>
      </c>
      <c r="J3364" s="10">
        <v>45686.767534722218</v>
      </c>
      <c r="K3364" s="11">
        <v>1.643518518518519E-3</v>
      </c>
      <c r="L3364" s="13"/>
    </row>
    <row r="3365" spans="1:12" x14ac:dyDescent="0.25">
      <c r="A3365" s="3" t="s">
        <v>3225</v>
      </c>
      <c r="B3365" s="3" t="s">
        <v>6625</v>
      </c>
      <c r="C3365" s="3" t="s">
        <v>2967</v>
      </c>
      <c r="D3365" s="9">
        <v>39.799999999999997</v>
      </c>
      <c r="E3365" s="3" t="s">
        <v>142</v>
      </c>
      <c r="F3365" s="3" t="s">
        <v>3196</v>
      </c>
      <c r="G3365" s="9">
        <v>443.59</v>
      </c>
      <c r="H3365" s="10">
        <v>45686.767534722218</v>
      </c>
      <c r="I3365" s="10">
        <v>45686.767534722218</v>
      </c>
      <c r="J3365" s="10">
        <v>45686.769467592603</v>
      </c>
      <c r="K3365" s="11">
        <v>1.93287037037037E-3</v>
      </c>
      <c r="L3365" s="13"/>
    </row>
    <row r="3366" spans="1:12" x14ac:dyDescent="0.25">
      <c r="A3366" s="3" t="s">
        <v>3225</v>
      </c>
      <c r="B3366" s="3" t="s">
        <v>6626</v>
      </c>
      <c r="C3366" s="3" t="s">
        <v>2969</v>
      </c>
      <c r="D3366" s="9">
        <v>15.7</v>
      </c>
      <c r="E3366" s="3" t="s">
        <v>142</v>
      </c>
      <c r="F3366" s="3" t="s">
        <v>3195</v>
      </c>
      <c r="G3366" s="9">
        <v>398.6</v>
      </c>
      <c r="H3366" s="10">
        <v>45686.769467592603</v>
      </c>
      <c r="I3366" s="10">
        <v>45686.769467592603</v>
      </c>
      <c r="J3366" s="10">
        <v>45686.771168981482</v>
      </c>
      <c r="K3366" s="11">
        <v>1.701388888888889E-3</v>
      </c>
      <c r="L3366" s="13"/>
    </row>
    <row r="3367" spans="1:12" x14ac:dyDescent="0.25">
      <c r="A3367" s="3" t="s">
        <v>3225</v>
      </c>
      <c r="B3367" s="3" t="s">
        <v>6627</v>
      </c>
      <c r="C3367" s="3" t="s">
        <v>2972</v>
      </c>
      <c r="D3367" s="9">
        <v>380.8</v>
      </c>
      <c r="E3367" s="3" t="s">
        <v>139</v>
      </c>
      <c r="F3367" s="3" t="s">
        <v>3200</v>
      </c>
      <c r="G3367" s="9">
        <v>405.03</v>
      </c>
      <c r="H3367" s="10">
        <v>45686.874513888892</v>
      </c>
      <c r="I3367" s="10">
        <v>45686.874513888892</v>
      </c>
      <c r="J3367" s="10">
        <v>45686.877083333333</v>
      </c>
      <c r="K3367" s="11">
        <v>2.5694444444444449E-3</v>
      </c>
      <c r="L3367" s="13"/>
    </row>
    <row r="3368" spans="1:12" x14ac:dyDescent="0.25">
      <c r="A3368" s="3" t="s">
        <v>3225</v>
      </c>
      <c r="B3368" s="3" t="s">
        <v>6628</v>
      </c>
      <c r="C3368" s="3" t="s">
        <v>2975</v>
      </c>
      <c r="D3368" s="9">
        <v>21</v>
      </c>
      <c r="E3368" s="3" t="s">
        <v>139</v>
      </c>
      <c r="F3368" s="3" t="s">
        <v>3196</v>
      </c>
      <c r="G3368" s="9">
        <v>450.42</v>
      </c>
      <c r="H3368" s="10">
        <v>45687.123171296298</v>
      </c>
      <c r="I3368" s="10">
        <v>45687.123171296298</v>
      </c>
      <c r="J3368" s="10">
        <v>45687.125092592592</v>
      </c>
      <c r="K3368" s="11">
        <v>1.9212962962962959E-3</v>
      </c>
      <c r="L3368" s="13"/>
    </row>
    <row r="3369" spans="1:12" x14ac:dyDescent="0.25">
      <c r="A3369" s="3" t="s">
        <v>3225</v>
      </c>
      <c r="B3369" s="3" t="s">
        <v>6629</v>
      </c>
      <c r="C3369" s="3" t="s">
        <v>2977</v>
      </c>
      <c r="D3369" s="9">
        <v>51.4</v>
      </c>
      <c r="E3369" s="3" t="s">
        <v>139</v>
      </c>
      <c r="F3369" s="3" t="s">
        <v>3195</v>
      </c>
      <c r="G3369" s="9">
        <v>405.43</v>
      </c>
      <c r="H3369" s="10">
        <v>45687.125092592592</v>
      </c>
      <c r="I3369" s="10">
        <v>45687.125092592592</v>
      </c>
      <c r="J3369" s="10">
        <v>45687.126898148148</v>
      </c>
      <c r="K3369" s="11">
        <v>1.805555555555555E-3</v>
      </c>
      <c r="L3369" s="13"/>
    </row>
    <row r="3370" spans="1:12" x14ac:dyDescent="0.25">
      <c r="A3370" s="3" t="s">
        <v>3225</v>
      </c>
      <c r="B3370" s="3" t="s">
        <v>6630</v>
      </c>
      <c r="C3370" s="3" t="s">
        <v>2979</v>
      </c>
      <c r="D3370" s="9">
        <v>31.5</v>
      </c>
      <c r="E3370" s="3" t="s">
        <v>139</v>
      </c>
      <c r="F3370" s="3" t="s">
        <v>3203</v>
      </c>
      <c r="G3370" s="9">
        <v>269.92</v>
      </c>
      <c r="H3370" s="10">
        <v>45687.126898148148</v>
      </c>
      <c r="I3370" s="10">
        <v>45687.126898148148</v>
      </c>
      <c r="J3370" s="10">
        <v>45687.128101851849</v>
      </c>
      <c r="K3370" s="11">
        <v>1.203703703703704E-3</v>
      </c>
      <c r="L3370" s="13"/>
    </row>
    <row r="3371" spans="1:12" x14ac:dyDescent="0.25">
      <c r="A3371" s="3" t="s">
        <v>3225</v>
      </c>
      <c r="B3371" s="3" t="s">
        <v>6631</v>
      </c>
      <c r="C3371" s="3" t="s">
        <v>2982</v>
      </c>
      <c r="D3371" s="9">
        <v>12</v>
      </c>
      <c r="E3371" s="3" t="s">
        <v>139</v>
      </c>
      <c r="F3371" s="3" t="s">
        <v>3196</v>
      </c>
      <c r="G3371" s="9">
        <v>450.42</v>
      </c>
      <c r="H3371" s="10">
        <v>45687.128101851849</v>
      </c>
      <c r="I3371" s="10">
        <v>45687.128101851849</v>
      </c>
      <c r="J3371" s="10">
        <v>45687.13</v>
      </c>
      <c r="K3371" s="11">
        <v>1.8981481481481479E-3</v>
      </c>
      <c r="L3371" s="13"/>
    </row>
    <row r="3372" spans="1:12" x14ac:dyDescent="0.25">
      <c r="A3372" s="3" t="s">
        <v>3225</v>
      </c>
      <c r="B3372" s="3" t="s">
        <v>6632</v>
      </c>
      <c r="C3372" s="3" t="s">
        <v>2985</v>
      </c>
      <c r="D3372" s="9">
        <v>21</v>
      </c>
      <c r="E3372" s="3" t="s">
        <v>139</v>
      </c>
      <c r="F3372" s="3" t="s">
        <v>3202</v>
      </c>
      <c r="G3372" s="9">
        <v>324.35000000000002</v>
      </c>
      <c r="H3372" s="10">
        <v>45687.13</v>
      </c>
      <c r="I3372" s="10">
        <v>45687.13</v>
      </c>
      <c r="J3372" s="10">
        <v>45687.13140046296</v>
      </c>
      <c r="K3372" s="11">
        <v>1.4004629629629629E-3</v>
      </c>
      <c r="L3372" s="13"/>
    </row>
    <row r="3373" spans="1:12" x14ac:dyDescent="0.25">
      <c r="A3373" s="3" t="s">
        <v>3225</v>
      </c>
      <c r="B3373" s="3" t="s">
        <v>6633</v>
      </c>
      <c r="C3373" s="3" t="s">
        <v>2988</v>
      </c>
      <c r="D3373" s="9">
        <v>297</v>
      </c>
      <c r="E3373" s="3" t="s">
        <v>139</v>
      </c>
      <c r="F3373" s="3" t="s">
        <v>3193</v>
      </c>
      <c r="G3373" s="9">
        <v>297.43</v>
      </c>
      <c r="H3373" s="10">
        <v>45687.270358796297</v>
      </c>
      <c r="I3373" s="10">
        <v>45687.270358796297</v>
      </c>
      <c r="J3373" s="10">
        <v>45687.272280092591</v>
      </c>
      <c r="K3373" s="11">
        <v>1.9212962962962959E-3</v>
      </c>
      <c r="L3373" s="13"/>
    </row>
    <row r="3374" spans="1:12" x14ac:dyDescent="0.25">
      <c r="A3374" s="3" t="s">
        <v>3225</v>
      </c>
      <c r="B3374" s="3" t="s">
        <v>6634</v>
      </c>
      <c r="C3374" s="3" t="s">
        <v>2992</v>
      </c>
      <c r="D3374" s="9">
        <v>24.1</v>
      </c>
      <c r="E3374" s="3" t="s">
        <v>169</v>
      </c>
      <c r="F3374" s="3" t="s">
        <v>3196</v>
      </c>
      <c r="G3374" s="9">
        <v>416.23</v>
      </c>
      <c r="H3374" s="10">
        <v>45687.323888888888</v>
      </c>
      <c r="I3374" s="10">
        <v>45687.323888888888</v>
      </c>
      <c r="J3374" s="10">
        <v>45687.325682870367</v>
      </c>
      <c r="K3374" s="11">
        <v>1.793981481481481E-3</v>
      </c>
      <c r="L3374" s="13"/>
    </row>
    <row r="3375" spans="1:12" x14ac:dyDescent="0.25">
      <c r="A3375" s="3" t="s">
        <v>3225</v>
      </c>
      <c r="B3375" s="3" t="s">
        <v>6635</v>
      </c>
      <c r="C3375" s="3" t="s">
        <v>2994</v>
      </c>
      <c r="D3375" s="9">
        <v>216</v>
      </c>
      <c r="E3375" s="3" t="s">
        <v>169</v>
      </c>
      <c r="F3375" s="3" t="s">
        <v>3199</v>
      </c>
      <c r="G3375" s="9">
        <v>416.23</v>
      </c>
      <c r="H3375" s="10">
        <v>45687.325682870367</v>
      </c>
      <c r="I3375" s="10">
        <v>45687.325682870367</v>
      </c>
      <c r="J3375" s="10">
        <v>45687.327916666669</v>
      </c>
      <c r="K3375" s="11">
        <v>2.2337962962962958E-3</v>
      </c>
      <c r="L3375" s="13"/>
    </row>
    <row r="3376" spans="1:12" x14ac:dyDescent="0.25">
      <c r="A3376" s="3" t="s">
        <v>3225</v>
      </c>
      <c r="B3376" s="3" t="s">
        <v>6636</v>
      </c>
      <c r="C3376" s="3" t="s">
        <v>2996</v>
      </c>
      <c r="D3376" s="9">
        <v>19.899999999999999</v>
      </c>
      <c r="E3376" s="3" t="s">
        <v>169</v>
      </c>
      <c r="F3376" s="3" t="s">
        <v>3202</v>
      </c>
      <c r="G3376" s="9">
        <v>290.16000000000003</v>
      </c>
      <c r="H3376" s="10">
        <v>45687.327916666669</v>
      </c>
      <c r="I3376" s="10">
        <v>45687.327916666669</v>
      </c>
      <c r="J3376" s="10">
        <v>45687.32916666667</v>
      </c>
      <c r="K3376" s="11">
        <v>1.25E-3</v>
      </c>
      <c r="L3376" s="13"/>
    </row>
    <row r="3377" spans="1:12" x14ac:dyDescent="0.25">
      <c r="A3377" s="3" t="s">
        <v>3225</v>
      </c>
      <c r="B3377" s="3" t="s">
        <v>6637</v>
      </c>
      <c r="C3377" s="3" t="s">
        <v>2999</v>
      </c>
      <c r="D3377" s="9">
        <v>15.7</v>
      </c>
      <c r="E3377" s="3" t="s">
        <v>169</v>
      </c>
      <c r="F3377" s="3" t="s">
        <v>3201</v>
      </c>
      <c r="G3377" s="9">
        <v>377.86</v>
      </c>
      <c r="H3377" s="10">
        <v>45687.32916666667</v>
      </c>
      <c r="I3377" s="10">
        <v>45687.32916666667</v>
      </c>
      <c r="J3377" s="10">
        <v>45687.330775462957</v>
      </c>
      <c r="K3377" s="11">
        <v>1.6087962962962961E-3</v>
      </c>
      <c r="L3377" s="13"/>
    </row>
    <row r="3378" spans="1:12" x14ac:dyDescent="0.25">
      <c r="A3378" s="3" t="s">
        <v>3225</v>
      </c>
      <c r="B3378" s="3" t="s">
        <v>6638</v>
      </c>
      <c r="C3378" s="3" t="s">
        <v>3002</v>
      </c>
      <c r="D3378" s="9">
        <v>15.7</v>
      </c>
      <c r="E3378" s="3" t="s">
        <v>169</v>
      </c>
      <c r="F3378" s="3" t="s">
        <v>3195</v>
      </c>
      <c r="G3378" s="9">
        <v>371.24</v>
      </c>
      <c r="H3378" s="10">
        <v>45687.330775462957</v>
      </c>
      <c r="I3378" s="10">
        <v>45687.330775462957</v>
      </c>
      <c r="J3378" s="10">
        <v>45687.332361111112</v>
      </c>
      <c r="K3378" s="11">
        <v>1.5856481481481481E-3</v>
      </c>
      <c r="L3378" s="13"/>
    </row>
    <row r="3379" spans="1:12" x14ac:dyDescent="0.25">
      <c r="A3379" s="3" t="s">
        <v>3225</v>
      </c>
      <c r="B3379" s="3" t="s">
        <v>6639</v>
      </c>
      <c r="C3379" s="3" t="s">
        <v>3004</v>
      </c>
      <c r="D3379" s="9">
        <v>60.8</v>
      </c>
      <c r="E3379" s="3" t="s">
        <v>169</v>
      </c>
      <c r="F3379" s="3" t="s">
        <v>3202</v>
      </c>
      <c r="G3379" s="9">
        <v>290.16000000000003</v>
      </c>
      <c r="H3379" s="10">
        <v>45687.332361111112</v>
      </c>
      <c r="I3379" s="10">
        <v>45687.332361111112</v>
      </c>
      <c r="J3379" s="10">
        <v>45687.333715277768</v>
      </c>
      <c r="K3379" s="11">
        <v>1.3541666666666669E-3</v>
      </c>
      <c r="L3379" s="13"/>
    </row>
    <row r="3380" spans="1:12" x14ac:dyDescent="0.25">
      <c r="A3380" s="3" t="s">
        <v>3225</v>
      </c>
      <c r="B3380" s="3" t="s">
        <v>6640</v>
      </c>
      <c r="C3380" s="3" t="s">
        <v>3007</v>
      </c>
      <c r="D3380" s="9">
        <v>19.899999999999999</v>
      </c>
      <c r="E3380" s="3" t="s">
        <v>169</v>
      </c>
      <c r="F3380" s="3" t="s">
        <v>3204</v>
      </c>
      <c r="G3380" s="9">
        <v>443.56000000000012</v>
      </c>
      <c r="H3380" s="10">
        <v>45687.333715277768</v>
      </c>
      <c r="I3380" s="10">
        <v>45687.333715277768</v>
      </c>
      <c r="J3380" s="10">
        <v>45687.335601851853</v>
      </c>
      <c r="K3380" s="11">
        <v>1.8865740740740739E-3</v>
      </c>
      <c r="L3380" s="13"/>
    </row>
    <row r="3381" spans="1:12" x14ac:dyDescent="0.25">
      <c r="A3381" s="3" t="s">
        <v>3225</v>
      </c>
      <c r="B3381" s="3" t="s">
        <v>6641</v>
      </c>
      <c r="C3381" s="3" t="s">
        <v>3008</v>
      </c>
      <c r="D3381" s="9">
        <v>56</v>
      </c>
      <c r="E3381" s="3" t="s">
        <v>169</v>
      </c>
      <c r="F3381" s="3" t="s">
        <v>3205</v>
      </c>
      <c r="G3381" s="9">
        <v>264.92</v>
      </c>
      <c r="H3381" s="10">
        <v>45687.335601851853</v>
      </c>
      <c r="I3381" s="10">
        <v>45687.335601851853</v>
      </c>
      <c r="J3381" s="10">
        <v>45687.336840277778</v>
      </c>
      <c r="K3381" s="11">
        <v>1.238425925925926E-3</v>
      </c>
      <c r="L3381" s="13"/>
    </row>
    <row r="3382" spans="1:12" x14ac:dyDescent="0.25">
      <c r="A3382" s="3" t="s">
        <v>3225</v>
      </c>
      <c r="B3382" s="3" t="s">
        <v>6642</v>
      </c>
      <c r="C3382" s="3" t="s">
        <v>3010</v>
      </c>
      <c r="D3382" s="9">
        <v>31.5</v>
      </c>
      <c r="E3382" s="3" t="s">
        <v>169</v>
      </c>
      <c r="F3382" s="3" t="s">
        <v>3203</v>
      </c>
      <c r="G3382" s="9">
        <v>235.73</v>
      </c>
      <c r="H3382" s="10">
        <v>45687.336840277778</v>
      </c>
      <c r="I3382" s="10">
        <v>45687.336840277778</v>
      </c>
      <c r="J3382" s="10">
        <v>45687.337893518517</v>
      </c>
      <c r="K3382" s="11">
        <v>1.0532407407407411E-3</v>
      </c>
      <c r="L3382" s="13"/>
    </row>
    <row r="3383" spans="1:12" x14ac:dyDescent="0.25">
      <c r="A3383" s="3" t="s">
        <v>3225</v>
      </c>
      <c r="B3383" s="3" t="s">
        <v>6643</v>
      </c>
      <c r="C3383" s="3" t="s">
        <v>3012</v>
      </c>
      <c r="D3383" s="9">
        <v>39.799999999999997</v>
      </c>
      <c r="E3383" s="3" t="s">
        <v>169</v>
      </c>
      <c r="F3383" s="3" t="s">
        <v>3206</v>
      </c>
      <c r="G3383" s="9">
        <v>344.21</v>
      </c>
      <c r="H3383" s="10">
        <v>45687.337893518517</v>
      </c>
      <c r="I3383" s="10">
        <v>45687.337893518517</v>
      </c>
      <c r="J3383" s="10">
        <v>45687.339421296303</v>
      </c>
      <c r="K3383" s="11">
        <v>1.5277777777777781E-3</v>
      </c>
      <c r="L3383" s="13"/>
    </row>
    <row r="3384" spans="1:12" x14ac:dyDescent="0.25">
      <c r="A3384" s="3" t="s">
        <v>3225</v>
      </c>
      <c r="B3384" s="3" t="s">
        <v>6644</v>
      </c>
      <c r="C3384" s="3" t="s">
        <v>3014</v>
      </c>
      <c r="D3384" s="9">
        <v>380.8</v>
      </c>
      <c r="E3384" s="3" t="s">
        <v>139</v>
      </c>
      <c r="F3384" s="3" t="s">
        <v>3206</v>
      </c>
      <c r="G3384" s="9">
        <v>378.4</v>
      </c>
      <c r="H3384" s="10">
        <v>45687.340300925927</v>
      </c>
      <c r="I3384" s="10">
        <v>45687.340300925927</v>
      </c>
      <c r="J3384" s="10">
        <v>45687.34275462963</v>
      </c>
      <c r="K3384" s="11">
        <v>2.453703703703704E-3</v>
      </c>
      <c r="L3384" s="13"/>
    </row>
    <row r="3385" spans="1:12" x14ac:dyDescent="0.25">
      <c r="A3385" s="3" t="s">
        <v>3225</v>
      </c>
      <c r="B3385" s="3" t="s">
        <v>6645</v>
      </c>
      <c r="C3385" s="3" t="s">
        <v>4111</v>
      </c>
      <c r="D3385" s="9">
        <v>57.4</v>
      </c>
      <c r="E3385" s="3" t="s">
        <v>139</v>
      </c>
      <c r="F3385" s="3" t="s">
        <v>3194</v>
      </c>
      <c r="G3385" s="9">
        <v>459.96</v>
      </c>
      <c r="H3385" s="10">
        <v>45687.358275462961</v>
      </c>
      <c r="I3385" s="10">
        <v>45687.358275462961</v>
      </c>
      <c r="J3385" s="10">
        <v>45687.360324074078</v>
      </c>
      <c r="K3385" s="11">
        <v>2.0486111111111109E-3</v>
      </c>
      <c r="L3385" s="13"/>
    </row>
    <row r="3386" spans="1:12" x14ac:dyDescent="0.25">
      <c r="A3386" s="3" t="s">
        <v>3225</v>
      </c>
      <c r="B3386" s="3" t="s">
        <v>6646</v>
      </c>
      <c r="C3386" s="3" t="s">
        <v>3021</v>
      </c>
      <c r="D3386" s="9">
        <v>135</v>
      </c>
      <c r="E3386" s="3" t="s">
        <v>139</v>
      </c>
      <c r="F3386" s="3" t="s">
        <v>3199</v>
      </c>
      <c r="G3386" s="9">
        <v>450.42</v>
      </c>
      <c r="H3386" s="10">
        <v>45687.39434027778</v>
      </c>
      <c r="I3386" s="10">
        <v>45687.39434027778</v>
      </c>
      <c r="J3386" s="10">
        <v>45687.396527777782</v>
      </c>
      <c r="K3386" s="11">
        <v>2.1875000000000002E-3</v>
      </c>
      <c r="L3386" s="13"/>
    </row>
    <row r="3387" spans="1:12" x14ac:dyDescent="0.25">
      <c r="A3387" s="3" t="s">
        <v>3225</v>
      </c>
      <c r="B3387" s="3" t="s">
        <v>6647</v>
      </c>
      <c r="C3387" s="3" t="s">
        <v>3024</v>
      </c>
      <c r="D3387" s="9">
        <v>28</v>
      </c>
      <c r="E3387" s="3" t="s">
        <v>139</v>
      </c>
      <c r="F3387" s="3" t="s">
        <v>3197</v>
      </c>
      <c r="G3387" s="9">
        <v>459.96</v>
      </c>
      <c r="H3387" s="10">
        <v>45687.396527777782</v>
      </c>
      <c r="I3387" s="10">
        <v>45687.396527777782</v>
      </c>
      <c r="J3387" s="10">
        <v>45687.398506944453</v>
      </c>
      <c r="K3387" s="11">
        <v>1.9791666666666668E-3</v>
      </c>
      <c r="L3387" s="13"/>
    </row>
    <row r="3388" spans="1:12" x14ac:dyDescent="0.25">
      <c r="A3388" s="3" t="s">
        <v>3225</v>
      </c>
      <c r="B3388" s="3" t="s">
        <v>6648</v>
      </c>
      <c r="C3388" s="3" t="s">
        <v>3026</v>
      </c>
      <c r="D3388" s="9">
        <v>15.7</v>
      </c>
      <c r="E3388" s="3" t="s">
        <v>139</v>
      </c>
      <c r="F3388" s="3" t="s">
        <v>3204</v>
      </c>
      <c r="G3388" s="9">
        <v>477.75</v>
      </c>
      <c r="H3388" s="10">
        <v>45687.398506944453</v>
      </c>
      <c r="I3388" s="10">
        <v>45687.398506944453</v>
      </c>
      <c r="J3388" s="10">
        <v>45687.40053240741</v>
      </c>
      <c r="K3388" s="11">
        <v>2.0254629629629629E-3</v>
      </c>
      <c r="L3388" s="13"/>
    </row>
    <row r="3389" spans="1:12" x14ac:dyDescent="0.25">
      <c r="A3389" s="3" t="s">
        <v>3225</v>
      </c>
      <c r="B3389" s="3" t="s">
        <v>6649</v>
      </c>
      <c r="C3389" s="3" t="s">
        <v>3027</v>
      </c>
      <c r="D3389" s="9">
        <v>78.400000000000006</v>
      </c>
      <c r="E3389" s="3" t="s">
        <v>139</v>
      </c>
      <c r="F3389" s="3" t="s">
        <v>3194</v>
      </c>
      <c r="G3389" s="9">
        <v>459.96</v>
      </c>
      <c r="H3389" s="10">
        <v>45687.40053240741</v>
      </c>
      <c r="I3389" s="10">
        <v>45687.40053240741</v>
      </c>
      <c r="J3389" s="10">
        <v>45687.402627314812</v>
      </c>
      <c r="K3389" s="11">
        <v>2.0949074074074069E-3</v>
      </c>
      <c r="L3389" s="13"/>
    </row>
    <row r="3390" spans="1:12" x14ac:dyDescent="0.25">
      <c r="A3390" s="3" t="s">
        <v>3225</v>
      </c>
      <c r="B3390" s="3" t="s">
        <v>6650</v>
      </c>
      <c r="C3390" s="3" t="s">
        <v>3030</v>
      </c>
      <c r="D3390" s="9">
        <v>35.6</v>
      </c>
      <c r="E3390" s="3" t="s">
        <v>139</v>
      </c>
      <c r="F3390" s="3" t="s">
        <v>3196</v>
      </c>
      <c r="G3390" s="9">
        <v>450.42</v>
      </c>
      <c r="H3390" s="10">
        <v>45687.402627314812</v>
      </c>
      <c r="I3390" s="10">
        <v>45687.402627314812</v>
      </c>
      <c r="J3390" s="10">
        <v>45687.404594907413</v>
      </c>
      <c r="K3390" s="11">
        <v>1.967592592592592E-3</v>
      </c>
      <c r="L3390" s="13"/>
    </row>
    <row r="3391" spans="1:12" x14ac:dyDescent="0.25">
      <c r="A3391" s="3" t="s">
        <v>3225</v>
      </c>
      <c r="B3391" s="3" t="s">
        <v>6651</v>
      </c>
      <c r="C3391" s="3" t="s">
        <v>3036</v>
      </c>
      <c r="D3391" s="9">
        <v>291.7</v>
      </c>
      <c r="E3391" s="3" t="s">
        <v>139</v>
      </c>
      <c r="F3391" s="3" t="s">
        <v>3203</v>
      </c>
      <c r="G3391" s="9">
        <v>269.92</v>
      </c>
      <c r="H3391" s="10">
        <v>45687.547465277778</v>
      </c>
      <c r="I3391" s="10">
        <v>45687.547465277778</v>
      </c>
      <c r="J3391" s="10">
        <v>45687.549259259264</v>
      </c>
      <c r="K3391" s="11">
        <v>1.793981481481481E-3</v>
      </c>
      <c r="L3391" s="13"/>
    </row>
    <row r="3392" spans="1:12" x14ac:dyDescent="0.25">
      <c r="A3392" s="3" t="s">
        <v>3225</v>
      </c>
      <c r="B3392" s="3" t="s">
        <v>6652</v>
      </c>
      <c r="C3392" s="3" t="s">
        <v>3039</v>
      </c>
      <c r="D3392" s="9">
        <v>31.9</v>
      </c>
      <c r="E3392" s="3" t="s">
        <v>139</v>
      </c>
      <c r="F3392" s="3" t="s">
        <v>3196</v>
      </c>
      <c r="G3392" s="9">
        <v>450.42</v>
      </c>
      <c r="H3392" s="10">
        <v>45687.634201388893</v>
      </c>
      <c r="I3392" s="10">
        <v>45687.634201388893</v>
      </c>
      <c r="J3392" s="10">
        <v>45687.636145833327</v>
      </c>
      <c r="K3392" s="11">
        <v>1.944444444444444E-3</v>
      </c>
      <c r="L3392" s="13"/>
    </row>
    <row r="3393" spans="1:12" x14ac:dyDescent="0.25">
      <c r="A3393" s="3" t="s">
        <v>3225</v>
      </c>
      <c r="B3393" s="3" t="s">
        <v>6653</v>
      </c>
      <c r="C3393" s="3" t="s">
        <v>3041</v>
      </c>
      <c r="D3393" s="9">
        <v>31.5</v>
      </c>
      <c r="E3393" s="3" t="s">
        <v>139</v>
      </c>
      <c r="F3393" s="3" t="s">
        <v>3201</v>
      </c>
      <c r="G3393" s="9">
        <v>412.05</v>
      </c>
      <c r="H3393" s="10">
        <v>45687.636145833327</v>
      </c>
      <c r="I3393" s="10">
        <v>45687.636145833327</v>
      </c>
      <c r="J3393" s="10">
        <v>45687.637939814813</v>
      </c>
      <c r="K3393" s="11">
        <v>1.793981481481481E-3</v>
      </c>
      <c r="L3393" s="13"/>
    </row>
    <row r="3394" spans="1:12" x14ac:dyDescent="0.25">
      <c r="A3394" s="3" t="s">
        <v>3225</v>
      </c>
      <c r="B3394" s="3" t="s">
        <v>6654</v>
      </c>
      <c r="C3394" s="3" t="s">
        <v>3043</v>
      </c>
      <c r="D3394" s="9">
        <v>14</v>
      </c>
      <c r="E3394" s="3" t="s">
        <v>139</v>
      </c>
      <c r="F3394" s="3" t="s">
        <v>3197</v>
      </c>
      <c r="G3394" s="9">
        <v>459.96</v>
      </c>
      <c r="H3394" s="10">
        <v>45687.637939814813</v>
      </c>
      <c r="I3394" s="10">
        <v>45687.637939814813</v>
      </c>
      <c r="J3394" s="10">
        <v>45687.639884259261</v>
      </c>
      <c r="K3394" s="11">
        <v>1.944444444444444E-3</v>
      </c>
      <c r="L3394" s="13"/>
    </row>
    <row r="3395" spans="1:12" x14ac:dyDescent="0.25">
      <c r="A3395" s="3" t="s">
        <v>3225</v>
      </c>
      <c r="B3395" s="3" t="s">
        <v>6655</v>
      </c>
      <c r="C3395" s="3" t="s">
        <v>3045</v>
      </c>
      <c r="D3395" s="9">
        <v>15.7</v>
      </c>
      <c r="E3395" s="3" t="s">
        <v>139</v>
      </c>
      <c r="F3395" s="3" t="s">
        <v>3194</v>
      </c>
      <c r="G3395" s="9">
        <v>459.96</v>
      </c>
      <c r="H3395" s="10">
        <v>45687.639884259261</v>
      </c>
      <c r="I3395" s="10">
        <v>45687.639884259261</v>
      </c>
      <c r="J3395" s="10">
        <v>45687.641840277778</v>
      </c>
      <c r="K3395" s="11">
        <v>1.956018518518518E-3</v>
      </c>
      <c r="L3395" s="13"/>
    </row>
    <row r="3396" spans="1:12" x14ac:dyDescent="0.25">
      <c r="A3396" s="3" t="s">
        <v>3225</v>
      </c>
      <c r="B3396" s="3" t="s">
        <v>6656</v>
      </c>
      <c r="C3396" s="3" t="s">
        <v>3047</v>
      </c>
      <c r="D3396" s="9">
        <v>54</v>
      </c>
      <c r="E3396" s="3" t="s">
        <v>139</v>
      </c>
      <c r="F3396" s="3" t="s">
        <v>3194</v>
      </c>
      <c r="G3396" s="9">
        <v>459.96</v>
      </c>
      <c r="H3396" s="10">
        <v>45687.641840277778</v>
      </c>
      <c r="I3396" s="10">
        <v>45687.641840277778</v>
      </c>
      <c r="J3396" s="10">
        <v>45687.643888888888</v>
      </c>
      <c r="K3396" s="11">
        <v>2.0486111111111109E-3</v>
      </c>
      <c r="L3396" s="13"/>
    </row>
    <row r="3397" spans="1:12" x14ac:dyDescent="0.25">
      <c r="A3397" s="3" t="s">
        <v>3225</v>
      </c>
      <c r="B3397" s="3" t="s">
        <v>6657</v>
      </c>
      <c r="C3397" s="3" t="s">
        <v>3050</v>
      </c>
      <c r="D3397" s="9">
        <v>43.1</v>
      </c>
      <c r="E3397" s="3" t="s">
        <v>139</v>
      </c>
      <c r="F3397" s="3" t="s">
        <v>3195</v>
      </c>
      <c r="G3397" s="9">
        <v>405.43</v>
      </c>
      <c r="H3397" s="10">
        <v>45687.643888888888</v>
      </c>
      <c r="I3397" s="10">
        <v>45687.643888888888</v>
      </c>
      <c r="J3397" s="10">
        <v>45687.645671296297</v>
      </c>
      <c r="K3397" s="11">
        <v>1.782407407407407E-3</v>
      </c>
      <c r="L3397" s="13"/>
    </row>
    <row r="3398" spans="1:12" x14ac:dyDescent="0.25">
      <c r="A3398" s="3" t="s">
        <v>3225</v>
      </c>
      <c r="B3398" s="3" t="s">
        <v>6658</v>
      </c>
      <c r="C3398" s="3" t="s">
        <v>3052</v>
      </c>
      <c r="D3398" s="9">
        <v>54</v>
      </c>
      <c r="E3398" s="3" t="s">
        <v>139</v>
      </c>
      <c r="F3398" s="3" t="s">
        <v>3199</v>
      </c>
      <c r="G3398" s="9">
        <v>450.42</v>
      </c>
      <c r="H3398" s="10">
        <v>45687.645671296297</v>
      </c>
      <c r="I3398" s="10">
        <v>45687.645671296297</v>
      </c>
      <c r="J3398" s="10">
        <v>45687.647673611107</v>
      </c>
      <c r="K3398" s="11">
        <v>2.0023148148148148E-3</v>
      </c>
      <c r="L3398" s="13"/>
    </row>
    <row r="3399" spans="1:12" x14ac:dyDescent="0.25">
      <c r="A3399" s="3" t="s">
        <v>3225</v>
      </c>
      <c r="B3399" s="3" t="s">
        <v>6659</v>
      </c>
      <c r="C3399" s="3" t="s">
        <v>3055</v>
      </c>
      <c r="D3399" s="9">
        <v>15.7</v>
      </c>
      <c r="E3399" s="3" t="s">
        <v>164</v>
      </c>
      <c r="F3399" s="3" t="s">
        <v>3203</v>
      </c>
      <c r="G3399" s="9">
        <v>354.81</v>
      </c>
      <c r="H3399" s="10">
        <v>45687.652789351851</v>
      </c>
      <c r="I3399" s="10">
        <v>45687.652789351851</v>
      </c>
      <c r="J3399" s="10">
        <v>45687.654305555552</v>
      </c>
      <c r="K3399" s="11">
        <v>1.5162037037037041E-3</v>
      </c>
      <c r="L3399" s="13"/>
    </row>
    <row r="3400" spans="1:12" x14ac:dyDescent="0.25">
      <c r="A3400" s="3" t="s">
        <v>3225</v>
      </c>
      <c r="B3400" s="3" t="s">
        <v>6660</v>
      </c>
      <c r="C3400" s="3" t="s">
        <v>3058</v>
      </c>
      <c r="D3400" s="9">
        <v>47.2</v>
      </c>
      <c r="E3400" s="3" t="s">
        <v>164</v>
      </c>
      <c r="F3400" s="3" t="s">
        <v>3203</v>
      </c>
      <c r="G3400" s="9">
        <v>354.81</v>
      </c>
      <c r="H3400" s="10">
        <v>45687.729039351849</v>
      </c>
      <c r="I3400" s="10">
        <v>45687.729039351849</v>
      </c>
      <c r="J3400" s="10">
        <v>45687.730624999997</v>
      </c>
      <c r="K3400" s="11">
        <v>1.5856481481481481E-3</v>
      </c>
      <c r="L3400" s="13"/>
    </row>
    <row r="3401" spans="1:12" x14ac:dyDescent="0.25">
      <c r="A3401" s="3" t="s">
        <v>3225</v>
      </c>
      <c r="B3401" s="3" t="s">
        <v>6661</v>
      </c>
      <c r="C3401" s="3" t="s">
        <v>3060</v>
      </c>
      <c r="D3401" s="9">
        <v>135.1</v>
      </c>
      <c r="E3401" s="3" t="s">
        <v>139</v>
      </c>
      <c r="F3401" s="3" t="s">
        <v>3203</v>
      </c>
      <c r="G3401" s="9">
        <v>269.92</v>
      </c>
      <c r="H3401" s="10">
        <v>45687.828032407408</v>
      </c>
      <c r="I3401" s="10">
        <v>45687.828032407408</v>
      </c>
      <c r="J3401" s="10">
        <v>45687.829467592594</v>
      </c>
      <c r="K3401" s="11">
        <v>1.435185185185185E-3</v>
      </c>
      <c r="L3401" s="13"/>
    </row>
    <row r="3402" spans="1:12" x14ac:dyDescent="0.25">
      <c r="A3402" s="3" t="s">
        <v>3225</v>
      </c>
      <c r="B3402" s="3" t="s">
        <v>6662</v>
      </c>
      <c r="C3402" s="3" t="s">
        <v>3062</v>
      </c>
      <c r="D3402" s="9">
        <v>389.1</v>
      </c>
      <c r="E3402" s="3" t="s">
        <v>139</v>
      </c>
      <c r="F3402" s="3" t="s">
        <v>3199</v>
      </c>
      <c r="G3402" s="9">
        <v>450.42</v>
      </c>
      <c r="H3402" s="10">
        <v>45687.860081018523</v>
      </c>
      <c r="I3402" s="10">
        <v>45687.860081018523</v>
      </c>
      <c r="J3402" s="10">
        <v>45687.862847222219</v>
      </c>
      <c r="K3402" s="11">
        <v>2.7662037037037039E-3</v>
      </c>
      <c r="L3402" s="13"/>
    </row>
    <row r="3403" spans="1:12" x14ac:dyDescent="0.25">
      <c r="A3403" s="3" t="s">
        <v>3225</v>
      </c>
      <c r="B3403" s="3" t="s">
        <v>6663</v>
      </c>
      <c r="C3403" s="3" t="s">
        <v>3064</v>
      </c>
      <c r="D3403" s="9">
        <v>15.7</v>
      </c>
      <c r="E3403" s="3" t="s">
        <v>139</v>
      </c>
      <c r="F3403" s="3" t="s">
        <v>3203</v>
      </c>
      <c r="G3403" s="9">
        <v>269.92</v>
      </c>
      <c r="H3403" s="10">
        <v>45688.127662037034</v>
      </c>
      <c r="I3403" s="10">
        <v>45688.127662037034</v>
      </c>
      <c r="J3403" s="10">
        <v>45688.128819444442</v>
      </c>
      <c r="K3403" s="11">
        <v>1.1574074074074069E-3</v>
      </c>
      <c r="L3403" s="13"/>
    </row>
    <row r="3404" spans="1:12" x14ac:dyDescent="0.25">
      <c r="A3404" s="3" t="s">
        <v>3225</v>
      </c>
      <c r="B3404" s="3" t="s">
        <v>6664</v>
      </c>
      <c r="C3404" s="3" t="s">
        <v>3067</v>
      </c>
      <c r="D3404" s="9">
        <v>81.8</v>
      </c>
      <c r="E3404" s="3" t="s">
        <v>139</v>
      </c>
      <c r="F3404" s="3" t="s">
        <v>3200</v>
      </c>
      <c r="G3404" s="9">
        <v>405.03</v>
      </c>
      <c r="H3404" s="10">
        <v>45688.128819444442</v>
      </c>
      <c r="I3404" s="10">
        <v>45688.128819444442</v>
      </c>
      <c r="J3404" s="10">
        <v>45688.130694444437</v>
      </c>
      <c r="K3404" s="11">
        <v>1.8749999999999999E-3</v>
      </c>
      <c r="L3404" s="13"/>
    </row>
    <row r="3405" spans="1:12" x14ac:dyDescent="0.25">
      <c r="A3405" s="3" t="s">
        <v>3225</v>
      </c>
      <c r="B3405" s="3" t="s">
        <v>6665</v>
      </c>
      <c r="C3405" s="3" t="s">
        <v>3070</v>
      </c>
      <c r="D3405" s="9">
        <v>54.7</v>
      </c>
      <c r="E3405" s="3" t="s">
        <v>139</v>
      </c>
      <c r="F3405" s="3" t="s">
        <v>3198</v>
      </c>
      <c r="G3405" s="9">
        <v>350.87</v>
      </c>
      <c r="H3405" s="10">
        <v>45688.130694444437</v>
      </c>
      <c r="I3405" s="10">
        <v>45688.130694444437</v>
      </c>
      <c r="J3405" s="10">
        <v>45688.132291666669</v>
      </c>
      <c r="K3405" s="11">
        <v>1.5972222222222221E-3</v>
      </c>
      <c r="L3405" s="13"/>
    </row>
    <row r="3406" spans="1:12" x14ac:dyDescent="0.25">
      <c r="A3406" s="3" t="s">
        <v>3225</v>
      </c>
      <c r="B3406" s="3" t="s">
        <v>6666</v>
      </c>
      <c r="C3406" s="3" t="s">
        <v>3073</v>
      </c>
      <c r="D3406" s="9">
        <v>15.7</v>
      </c>
      <c r="E3406" s="3" t="s">
        <v>139</v>
      </c>
      <c r="F3406" s="3" t="s">
        <v>3203</v>
      </c>
      <c r="G3406" s="9">
        <v>269.92</v>
      </c>
      <c r="H3406" s="10">
        <v>45688.132291666669</v>
      </c>
      <c r="I3406" s="10">
        <v>45688.132291666669</v>
      </c>
      <c r="J3406" s="10">
        <v>45688.133449074077</v>
      </c>
      <c r="K3406" s="11">
        <v>1.1574074074074069E-3</v>
      </c>
      <c r="L3406" s="13"/>
    </row>
    <row r="3407" spans="1:12" x14ac:dyDescent="0.25">
      <c r="A3407" s="3" t="s">
        <v>3225</v>
      </c>
      <c r="B3407" s="3" t="s">
        <v>6667</v>
      </c>
      <c r="C3407" s="3" t="s">
        <v>3075</v>
      </c>
      <c r="D3407" s="9">
        <v>31.9</v>
      </c>
      <c r="E3407" s="3" t="s">
        <v>139</v>
      </c>
      <c r="F3407" s="3" t="s">
        <v>3196</v>
      </c>
      <c r="G3407" s="9">
        <v>450.42</v>
      </c>
      <c r="H3407" s="10">
        <v>45688.133449074077</v>
      </c>
      <c r="I3407" s="10">
        <v>45688.133449074077</v>
      </c>
      <c r="J3407" s="10">
        <v>45688.135405092587</v>
      </c>
      <c r="K3407" s="11">
        <v>1.956018518518518E-3</v>
      </c>
      <c r="L3407" s="13"/>
    </row>
    <row r="3408" spans="1:12" x14ac:dyDescent="0.25">
      <c r="A3408" s="3" t="s">
        <v>3225</v>
      </c>
      <c r="B3408" s="3" t="s">
        <v>6668</v>
      </c>
      <c r="C3408" s="3" t="s">
        <v>3078</v>
      </c>
      <c r="D3408" s="9">
        <v>297</v>
      </c>
      <c r="E3408" s="3" t="s">
        <v>139</v>
      </c>
      <c r="F3408" s="3" t="s">
        <v>3193</v>
      </c>
      <c r="G3408" s="9">
        <v>297.43</v>
      </c>
      <c r="H3408" s="10">
        <v>45688.256053240737</v>
      </c>
      <c r="I3408" s="10">
        <v>45688.256053240737</v>
      </c>
      <c r="J3408" s="10">
        <v>45688.257974537039</v>
      </c>
      <c r="K3408" s="11">
        <v>1.9212962962962959E-3</v>
      </c>
      <c r="L3408" s="13"/>
    </row>
    <row r="3409" spans="1:12" x14ac:dyDescent="0.25">
      <c r="A3409" s="3" t="s">
        <v>3225</v>
      </c>
      <c r="B3409" s="3" t="s">
        <v>6669</v>
      </c>
      <c r="C3409" s="3" t="s">
        <v>3081</v>
      </c>
      <c r="D3409" s="9">
        <v>74.599999999999994</v>
      </c>
      <c r="E3409" s="3" t="s">
        <v>139</v>
      </c>
      <c r="F3409" s="3" t="s">
        <v>3199</v>
      </c>
      <c r="G3409" s="9">
        <v>450.42</v>
      </c>
      <c r="H3409" s="10">
        <v>45688.2971875</v>
      </c>
      <c r="I3409" s="10">
        <v>45688.2971875</v>
      </c>
      <c r="J3409" s="10">
        <v>45688.29923611111</v>
      </c>
      <c r="K3409" s="11">
        <v>2.0486111111111109E-3</v>
      </c>
      <c r="L3409" s="13"/>
    </row>
    <row r="3410" spans="1:12" x14ac:dyDescent="0.25">
      <c r="A3410" s="3" t="s">
        <v>3225</v>
      </c>
      <c r="B3410" s="3" t="s">
        <v>6670</v>
      </c>
      <c r="C3410" s="3" t="s">
        <v>3084</v>
      </c>
      <c r="D3410" s="9">
        <v>37.5</v>
      </c>
      <c r="E3410" s="3" t="s">
        <v>142</v>
      </c>
      <c r="F3410" s="3" t="s">
        <v>3202</v>
      </c>
      <c r="G3410" s="9">
        <v>317.52</v>
      </c>
      <c r="H3410" s="10">
        <v>45688.313923611109</v>
      </c>
      <c r="I3410" s="10">
        <v>45688.313923611109</v>
      </c>
      <c r="J3410" s="10">
        <v>45688.315335648149</v>
      </c>
      <c r="K3410" s="11">
        <v>1.4120370370370369E-3</v>
      </c>
      <c r="L3410" s="13"/>
    </row>
    <row r="3411" spans="1:12" x14ac:dyDescent="0.25">
      <c r="A3411" s="3" t="s">
        <v>3225</v>
      </c>
      <c r="B3411" s="3" t="s">
        <v>6671</v>
      </c>
      <c r="C3411" s="3" t="s">
        <v>3087</v>
      </c>
      <c r="D3411" s="9">
        <v>108</v>
      </c>
      <c r="E3411" s="3" t="s">
        <v>142</v>
      </c>
      <c r="F3411" s="3" t="s">
        <v>3199</v>
      </c>
      <c r="G3411" s="9">
        <v>443.59</v>
      </c>
      <c r="H3411" s="10">
        <v>45688.315335648149</v>
      </c>
      <c r="I3411" s="10">
        <v>45688.315335648149</v>
      </c>
      <c r="J3411" s="10">
        <v>45688.317430555559</v>
      </c>
      <c r="K3411" s="11">
        <v>2.0949074074074069E-3</v>
      </c>
      <c r="L3411" s="13"/>
    </row>
    <row r="3412" spans="1:12" x14ac:dyDescent="0.25">
      <c r="A3412" s="3" t="s">
        <v>3225</v>
      </c>
      <c r="B3412" s="3" t="s">
        <v>6672</v>
      </c>
      <c r="C3412" s="3" t="s">
        <v>3089</v>
      </c>
      <c r="D3412" s="9">
        <v>58.5</v>
      </c>
      <c r="E3412" s="3" t="s">
        <v>142</v>
      </c>
      <c r="F3412" s="3" t="s">
        <v>3202</v>
      </c>
      <c r="G3412" s="9">
        <v>317.52</v>
      </c>
      <c r="H3412" s="10">
        <v>45688.317430555559</v>
      </c>
      <c r="I3412" s="10">
        <v>45688.317430555559</v>
      </c>
      <c r="J3412" s="10">
        <v>45688.318888888891</v>
      </c>
      <c r="K3412" s="11">
        <v>1.458333333333333E-3</v>
      </c>
      <c r="L3412" s="13"/>
    </row>
    <row r="3413" spans="1:12" x14ac:dyDescent="0.25">
      <c r="A3413" s="3" t="s">
        <v>3225</v>
      </c>
      <c r="B3413" s="3" t="s">
        <v>6673</v>
      </c>
      <c r="C3413" s="3" t="s">
        <v>3091</v>
      </c>
      <c r="D3413" s="9">
        <v>67.099999999999994</v>
      </c>
      <c r="E3413" s="3" t="s">
        <v>142</v>
      </c>
      <c r="F3413" s="3" t="s">
        <v>3196</v>
      </c>
      <c r="G3413" s="9">
        <v>443.59</v>
      </c>
      <c r="H3413" s="10">
        <v>45688.318888888891</v>
      </c>
      <c r="I3413" s="10">
        <v>45688.318888888891</v>
      </c>
      <c r="J3413" s="10">
        <v>45688.320891203701</v>
      </c>
      <c r="K3413" s="11">
        <v>2.0023148148148148E-3</v>
      </c>
      <c r="L3413" s="13"/>
    </row>
    <row r="3414" spans="1:12" x14ac:dyDescent="0.25">
      <c r="A3414" s="3" t="s">
        <v>3225</v>
      </c>
      <c r="B3414" s="3" t="s">
        <v>6674</v>
      </c>
      <c r="C3414" s="3" t="s">
        <v>3093</v>
      </c>
      <c r="D3414" s="9">
        <v>15.7</v>
      </c>
      <c r="E3414" s="3" t="s">
        <v>142</v>
      </c>
      <c r="F3414" s="3" t="s">
        <v>3194</v>
      </c>
      <c r="G3414" s="9">
        <v>453.13</v>
      </c>
      <c r="H3414" s="10">
        <v>45688.320891203701</v>
      </c>
      <c r="I3414" s="10">
        <v>45688.320891203701</v>
      </c>
      <c r="J3414" s="10">
        <v>45688.322812500002</v>
      </c>
      <c r="K3414" s="11">
        <v>1.9212962962962959E-3</v>
      </c>
      <c r="L3414" s="13"/>
    </row>
    <row r="3415" spans="1:12" x14ac:dyDescent="0.25">
      <c r="A3415" s="3" t="s">
        <v>3225</v>
      </c>
      <c r="B3415" s="3" t="s">
        <v>6675</v>
      </c>
      <c r="C3415" s="3" t="s">
        <v>3097</v>
      </c>
      <c r="D3415" s="9">
        <v>14</v>
      </c>
      <c r="E3415" s="3" t="s">
        <v>142</v>
      </c>
      <c r="F3415" s="3" t="s">
        <v>3197</v>
      </c>
      <c r="G3415" s="9">
        <v>453.13</v>
      </c>
      <c r="H3415" s="10">
        <v>45688.322812500002</v>
      </c>
      <c r="I3415" s="10">
        <v>45688.322812500002</v>
      </c>
      <c r="J3415" s="10">
        <v>45688.324733796297</v>
      </c>
      <c r="K3415" s="11">
        <v>1.9212962962962959E-3</v>
      </c>
      <c r="L3415" s="13"/>
    </row>
    <row r="3416" spans="1:12" x14ac:dyDescent="0.25">
      <c r="A3416" s="3" t="s">
        <v>3225</v>
      </c>
      <c r="B3416" s="3" t="s">
        <v>6676</v>
      </c>
      <c r="C3416" s="3" t="s">
        <v>3099</v>
      </c>
      <c r="D3416" s="9">
        <v>142.6</v>
      </c>
      <c r="E3416" s="3" t="s">
        <v>142</v>
      </c>
      <c r="F3416" s="3" t="s">
        <v>3200</v>
      </c>
      <c r="G3416" s="9">
        <v>398.2</v>
      </c>
      <c r="H3416" s="10">
        <v>45688.324733796297</v>
      </c>
      <c r="I3416" s="10">
        <v>45688.324733796297</v>
      </c>
      <c r="J3416" s="10">
        <v>45688.326724537037</v>
      </c>
      <c r="K3416" s="11">
        <v>1.9907407407407408E-3</v>
      </c>
      <c r="L3416" s="13"/>
    </row>
    <row r="3417" spans="1:12" x14ac:dyDescent="0.25">
      <c r="A3417" s="3" t="s">
        <v>3225</v>
      </c>
      <c r="B3417" s="3" t="s">
        <v>6677</v>
      </c>
      <c r="C3417" s="3" t="s">
        <v>3102</v>
      </c>
      <c r="D3417" s="9">
        <v>19.899999999999999</v>
      </c>
      <c r="E3417" s="3" t="s">
        <v>142</v>
      </c>
      <c r="F3417" s="3" t="s">
        <v>3196</v>
      </c>
      <c r="G3417" s="9">
        <v>443.59</v>
      </c>
      <c r="H3417" s="10">
        <v>45688.326724537037</v>
      </c>
      <c r="I3417" s="10">
        <v>45688.326724537037</v>
      </c>
      <c r="J3417" s="10">
        <v>45688.328622685192</v>
      </c>
      <c r="K3417" s="11">
        <v>1.8981481481481479E-3</v>
      </c>
      <c r="L3417" s="13"/>
    </row>
    <row r="3418" spans="1:12" x14ac:dyDescent="0.25">
      <c r="A3418" s="3" t="s">
        <v>3225</v>
      </c>
      <c r="B3418" s="3" t="s">
        <v>6678</v>
      </c>
      <c r="C3418" s="3" t="s">
        <v>3104</v>
      </c>
      <c r="D3418" s="9">
        <v>59.7</v>
      </c>
      <c r="E3418" s="3" t="s">
        <v>142</v>
      </c>
      <c r="F3418" s="3" t="s">
        <v>3197</v>
      </c>
      <c r="G3418" s="9">
        <v>453.13</v>
      </c>
      <c r="H3418" s="10">
        <v>45688.328622685192</v>
      </c>
      <c r="I3418" s="10">
        <v>45688.328622685192</v>
      </c>
      <c r="J3418" s="10">
        <v>45688.330648148149</v>
      </c>
      <c r="K3418" s="11">
        <v>2.0254629629629629E-3</v>
      </c>
      <c r="L3418" s="13"/>
    </row>
    <row r="3419" spans="1:12" x14ac:dyDescent="0.25">
      <c r="A3419" s="3" t="s">
        <v>3225</v>
      </c>
      <c r="B3419" s="3" t="s">
        <v>6679</v>
      </c>
      <c r="C3419" s="3" t="s">
        <v>3106</v>
      </c>
      <c r="D3419" s="9">
        <v>381.6</v>
      </c>
      <c r="E3419" s="3" t="s">
        <v>139</v>
      </c>
      <c r="F3419" s="3" t="s">
        <v>3199</v>
      </c>
      <c r="G3419" s="9">
        <v>450.42</v>
      </c>
      <c r="H3419" s="10">
        <v>45688.342719907407</v>
      </c>
      <c r="I3419" s="10">
        <v>45688.342719907407</v>
      </c>
      <c r="J3419" s="10">
        <v>45688.345486111109</v>
      </c>
      <c r="K3419" s="11">
        <v>2.7662037037037039E-3</v>
      </c>
      <c r="L3419" s="13"/>
    </row>
    <row r="3420" spans="1:12" x14ac:dyDescent="0.25">
      <c r="A3420" s="3" t="s">
        <v>3225</v>
      </c>
      <c r="B3420" s="3" t="s">
        <v>6680</v>
      </c>
      <c r="C3420" s="3" t="s">
        <v>3109</v>
      </c>
      <c r="D3420" s="9">
        <v>164.3</v>
      </c>
      <c r="E3420" s="3" t="s">
        <v>139</v>
      </c>
      <c r="F3420" s="3" t="s">
        <v>3199</v>
      </c>
      <c r="G3420" s="9">
        <v>450.42</v>
      </c>
      <c r="H3420" s="10">
        <v>45688.37804398148</v>
      </c>
      <c r="I3420" s="10">
        <v>45688.37804398148</v>
      </c>
      <c r="J3420" s="10">
        <v>45688.380300925928</v>
      </c>
      <c r="K3420" s="11">
        <v>2.2569444444444438E-3</v>
      </c>
      <c r="L3420" s="13"/>
    </row>
    <row r="3421" spans="1:12" x14ac:dyDescent="0.25">
      <c r="A3421" s="3" t="s">
        <v>3225</v>
      </c>
      <c r="B3421" s="3" t="s">
        <v>6681</v>
      </c>
      <c r="C3421" s="3" t="s">
        <v>3112</v>
      </c>
      <c r="D3421" s="9">
        <v>72.8</v>
      </c>
      <c r="E3421" s="3" t="s">
        <v>139</v>
      </c>
      <c r="F3421" s="3" t="s">
        <v>3205</v>
      </c>
      <c r="G3421" s="9">
        <v>299.11</v>
      </c>
      <c r="H3421" s="10">
        <v>45688.380300925928</v>
      </c>
      <c r="I3421" s="10">
        <v>45688.380300925928</v>
      </c>
      <c r="J3421" s="10">
        <v>45688.381712962961</v>
      </c>
      <c r="K3421" s="11">
        <v>1.4120370370370369E-3</v>
      </c>
      <c r="L3421" s="13"/>
    </row>
    <row r="3422" spans="1:12" x14ac:dyDescent="0.25">
      <c r="A3422" s="3" t="s">
        <v>3225</v>
      </c>
      <c r="B3422" s="3" t="s">
        <v>6682</v>
      </c>
      <c r="C3422" s="3" t="s">
        <v>3115</v>
      </c>
      <c r="D3422" s="9">
        <v>46.5</v>
      </c>
      <c r="E3422" s="3" t="s">
        <v>142</v>
      </c>
      <c r="F3422" s="3" t="s">
        <v>3194</v>
      </c>
      <c r="G3422" s="9">
        <v>453.13</v>
      </c>
      <c r="H3422" s="10">
        <v>45688.390636574077</v>
      </c>
      <c r="I3422" s="10">
        <v>45688.390636574077</v>
      </c>
      <c r="J3422" s="10">
        <v>45688.392627314817</v>
      </c>
      <c r="K3422" s="11">
        <v>1.9907407407407408E-3</v>
      </c>
      <c r="L3422" s="13"/>
    </row>
    <row r="3423" spans="1:12" x14ac:dyDescent="0.25">
      <c r="A3423" s="3" t="s">
        <v>3225</v>
      </c>
      <c r="B3423" s="3" t="s">
        <v>6683</v>
      </c>
      <c r="C3423" s="3" t="s">
        <v>3118</v>
      </c>
      <c r="D3423" s="9">
        <v>31.5</v>
      </c>
      <c r="E3423" s="3" t="s">
        <v>142</v>
      </c>
      <c r="F3423" s="3" t="s">
        <v>3201</v>
      </c>
      <c r="G3423" s="9">
        <v>405.22</v>
      </c>
      <c r="H3423" s="10">
        <v>45688.392627314817</v>
      </c>
      <c r="I3423" s="10">
        <v>45688.392627314817</v>
      </c>
      <c r="J3423" s="10">
        <v>45688.394386574073</v>
      </c>
      <c r="K3423" s="11">
        <v>1.759259259259259E-3</v>
      </c>
      <c r="L3423" s="13"/>
    </row>
    <row r="3424" spans="1:12" x14ac:dyDescent="0.25">
      <c r="A3424" s="3" t="s">
        <v>3225</v>
      </c>
      <c r="B3424" s="3" t="s">
        <v>6684</v>
      </c>
      <c r="C3424" s="3" t="s">
        <v>3120</v>
      </c>
      <c r="D3424" s="9">
        <v>33.9</v>
      </c>
      <c r="E3424" s="3" t="s">
        <v>142</v>
      </c>
      <c r="F3424" s="3" t="s">
        <v>3204</v>
      </c>
      <c r="G3424" s="9">
        <v>470.92</v>
      </c>
      <c r="H3424" s="10">
        <v>45688.394386574073</v>
      </c>
      <c r="I3424" s="10">
        <v>45688.394386574073</v>
      </c>
      <c r="J3424" s="10">
        <v>45688.396435185183</v>
      </c>
      <c r="K3424" s="11">
        <v>2.0486111111111109E-3</v>
      </c>
      <c r="L3424" s="13"/>
    </row>
    <row r="3425" spans="1:12" x14ac:dyDescent="0.25">
      <c r="A3425" s="3" t="s">
        <v>3225</v>
      </c>
      <c r="B3425" s="3" t="s">
        <v>6685</v>
      </c>
      <c r="C3425" s="3" t="s">
        <v>3121</v>
      </c>
      <c r="D3425" s="9">
        <v>15.7</v>
      </c>
      <c r="E3425" s="3" t="s">
        <v>142</v>
      </c>
      <c r="F3425" s="3" t="s">
        <v>3201</v>
      </c>
      <c r="G3425" s="9">
        <v>405.22</v>
      </c>
      <c r="H3425" s="10">
        <v>45688.396435185183</v>
      </c>
      <c r="I3425" s="10">
        <v>45688.396435185183</v>
      </c>
      <c r="J3425" s="10">
        <v>45688.398159722223</v>
      </c>
      <c r="K3425" s="11">
        <v>1.724537037037037E-3</v>
      </c>
      <c r="L3425" s="13"/>
    </row>
    <row r="3426" spans="1:12" x14ac:dyDescent="0.25">
      <c r="A3426" s="3" t="s">
        <v>3225</v>
      </c>
      <c r="B3426" s="3" t="s">
        <v>6686</v>
      </c>
      <c r="C3426" s="3" t="s">
        <v>3123</v>
      </c>
      <c r="D3426" s="9">
        <v>15.7</v>
      </c>
      <c r="E3426" s="3" t="s">
        <v>142</v>
      </c>
      <c r="F3426" s="3" t="s">
        <v>3198</v>
      </c>
      <c r="G3426" s="9">
        <v>344.04</v>
      </c>
      <c r="H3426" s="10">
        <v>45688.398159722223</v>
      </c>
      <c r="I3426" s="10">
        <v>45688.398159722223</v>
      </c>
      <c r="J3426" s="10">
        <v>45688.399629629632</v>
      </c>
      <c r="K3426" s="11">
        <v>1.469907407407407E-3</v>
      </c>
      <c r="L3426" s="13"/>
    </row>
    <row r="3427" spans="1:12" x14ac:dyDescent="0.25">
      <c r="A3427" s="3" t="s">
        <v>3225</v>
      </c>
      <c r="B3427" s="3" t="s">
        <v>6687</v>
      </c>
      <c r="C3427" s="3" t="s">
        <v>3126</v>
      </c>
      <c r="D3427" s="9">
        <v>31.5</v>
      </c>
      <c r="E3427" s="3" t="s">
        <v>142</v>
      </c>
      <c r="F3427" s="3" t="s">
        <v>3194</v>
      </c>
      <c r="G3427" s="9">
        <v>453.13</v>
      </c>
      <c r="H3427" s="10">
        <v>45688.399629629632</v>
      </c>
      <c r="I3427" s="10">
        <v>45688.399629629632</v>
      </c>
      <c r="J3427" s="10">
        <v>45688.401585648149</v>
      </c>
      <c r="K3427" s="11">
        <v>1.956018518518518E-3</v>
      </c>
      <c r="L3427" s="13"/>
    </row>
    <row r="3428" spans="1:12" x14ac:dyDescent="0.25">
      <c r="A3428" s="3" t="s">
        <v>3225</v>
      </c>
      <c r="B3428" s="3" t="s">
        <v>6688</v>
      </c>
      <c r="C3428" s="3" t="s">
        <v>3128</v>
      </c>
      <c r="D3428" s="9">
        <v>270.8</v>
      </c>
      <c r="E3428" s="3" t="s">
        <v>139</v>
      </c>
      <c r="F3428" s="3" t="s">
        <v>3199</v>
      </c>
      <c r="G3428" s="9">
        <v>450.42</v>
      </c>
      <c r="H3428" s="10">
        <v>45688.451284722221</v>
      </c>
      <c r="I3428" s="10">
        <v>45688.451284722221</v>
      </c>
      <c r="J3428" s="10">
        <v>45688.453784722216</v>
      </c>
      <c r="K3428" s="11">
        <v>2.5000000000000001E-3</v>
      </c>
      <c r="L3428" s="13"/>
    </row>
    <row r="3429" spans="1:12" x14ac:dyDescent="0.25">
      <c r="A3429" s="3" t="s">
        <v>3225</v>
      </c>
      <c r="B3429" s="3" t="s">
        <v>6689</v>
      </c>
      <c r="C3429" s="3" t="s">
        <v>3131</v>
      </c>
      <c r="D3429" s="9">
        <v>82.9</v>
      </c>
      <c r="E3429" s="3" t="s">
        <v>139</v>
      </c>
      <c r="F3429" s="3" t="s">
        <v>3205</v>
      </c>
      <c r="G3429" s="9">
        <v>299.11</v>
      </c>
      <c r="H3429" s="10">
        <v>45688.453784722216</v>
      </c>
      <c r="I3429" s="10">
        <v>45688.453784722216</v>
      </c>
      <c r="J3429" s="10">
        <v>45688.455231481479</v>
      </c>
      <c r="K3429" s="11">
        <v>1.446759259259259E-3</v>
      </c>
      <c r="L3429" s="13"/>
    </row>
    <row r="3430" spans="1:12" x14ac:dyDescent="0.25">
      <c r="A3430" s="3" t="s">
        <v>3225</v>
      </c>
      <c r="B3430" s="3" t="s">
        <v>6690</v>
      </c>
      <c r="C3430" s="3" t="s">
        <v>3133</v>
      </c>
      <c r="D3430" s="9">
        <v>91.7</v>
      </c>
      <c r="E3430" s="3" t="s">
        <v>139</v>
      </c>
      <c r="F3430" s="3" t="s">
        <v>3206</v>
      </c>
      <c r="G3430" s="9">
        <v>378.4</v>
      </c>
      <c r="H3430" s="10">
        <v>45688.455231481479</v>
      </c>
      <c r="I3430" s="10">
        <v>45688.455231481479</v>
      </c>
      <c r="J3430" s="10">
        <v>45688.457013888888</v>
      </c>
      <c r="K3430" s="11">
        <v>1.782407407407407E-3</v>
      </c>
      <c r="L3430" s="13"/>
    </row>
    <row r="3431" spans="1:12" x14ac:dyDescent="0.25">
      <c r="A3431" s="3" t="s">
        <v>3225</v>
      </c>
      <c r="B3431" s="3" t="s">
        <v>6691</v>
      </c>
      <c r="C3431" s="3" t="s">
        <v>3136</v>
      </c>
      <c r="D3431" s="9">
        <v>247.3</v>
      </c>
      <c r="E3431" s="3" t="s">
        <v>139</v>
      </c>
      <c r="F3431" s="3" t="s">
        <v>3206</v>
      </c>
      <c r="G3431" s="9">
        <v>378.4</v>
      </c>
      <c r="H3431" s="10">
        <v>45688.526261574072</v>
      </c>
      <c r="I3431" s="10">
        <v>45688.526261574072</v>
      </c>
      <c r="J3431" s="10">
        <v>45688.528414351851</v>
      </c>
      <c r="K3431" s="11">
        <v>2.1527777777777782E-3</v>
      </c>
      <c r="L3431" s="13"/>
    </row>
    <row r="3432" spans="1:12" x14ac:dyDescent="0.25">
      <c r="A3432" s="3" t="s">
        <v>3225</v>
      </c>
      <c r="B3432" s="3" t="s">
        <v>6692</v>
      </c>
      <c r="C3432" s="3" t="s">
        <v>3138</v>
      </c>
      <c r="D3432" s="9">
        <v>186.7</v>
      </c>
      <c r="E3432" s="3" t="s">
        <v>139</v>
      </c>
      <c r="F3432" s="3" t="s">
        <v>3203</v>
      </c>
      <c r="G3432" s="9">
        <v>269.92</v>
      </c>
      <c r="H3432" s="10">
        <v>45688.598692129628</v>
      </c>
      <c r="I3432" s="10">
        <v>45688.598692129628</v>
      </c>
      <c r="J3432" s="10">
        <v>45688.600254629629</v>
      </c>
      <c r="K3432" s="11">
        <v>1.5625000000000001E-3</v>
      </c>
      <c r="L3432" s="13"/>
    </row>
    <row r="3433" spans="1:12" x14ac:dyDescent="0.25">
      <c r="A3433" s="3" t="s">
        <v>3225</v>
      </c>
      <c r="B3433" s="3" t="s">
        <v>6693</v>
      </c>
      <c r="C3433" s="3" t="s">
        <v>3140</v>
      </c>
      <c r="D3433" s="9">
        <v>31.5</v>
      </c>
      <c r="E3433" s="3" t="s">
        <v>139</v>
      </c>
      <c r="F3433" s="3" t="s">
        <v>3196</v>
      </c>
      <c r="G3433" s="9">
        <v>450.42</v>
      </c>
      <c r="H3433" s="10">
        <v>45688.641041666669</v>
      </c>
      <c r="I3433" s="10">
        <v>45688.641041666669</v>
      </c>
      <c r="J3433" s="10">
        <v>45688.642997685187</v>
      </c>
      <c r="K3433" s="11">
        <v>1.956018518518518E-3</v>
      </c>
      <c r="L3433" s="13"/>
    </row>
    <row r="3434" spans="1:12" x14ac:dyDescent="0.25">
      <c r="A3434" s="3" t="s">
        <v>3225</v>
      </c>
      <c r="B3434" s="3" t="s">
        <v>6694</v>
      </c>
      <c r="C3434" s="3" t="s">
        <v>3143</v>
      </c>
      <c r="D3434" s="9">
        <v>14</v>
      </c>
      <c r="E3434" s="3" t="s">
        <v>139</v>
      </c>
      <c r="F3434" s="3" t="s">
        <v>3197</v>
      </c>
      <c r="G3434" s="9">
        <v>459.96</v>
      </c>
      <c r="H3434" s="10">
        <v>45688.642997685187</v>
      </c>
      <c r="I3434" s="10">
        <v>45688.642997685187</v>
      </c>
      <c r="J3434" s="10">
        <v>45688.644942129627</v>
      </c>
      <c r="K3434" s="11">
        <v>1.944444444444444E-3</v>
      </c>
      <c r="L3434" s="13"/>
    </row>
    <row r="3435" spans="1:12" x14ac:dyDescent="0.25">
      <c r="A3435" s="3" t="s">
        <v>3225</v>
      </c>
      <c r="B3435" s="3" t="s">
        <v>6695</v>
      </c>
      <c r="C3435" s="3" t="s">
        <v>3144</v>
      </c>
      <c r="D3435" s="9">
        <v>15.7</v>
      </c>
      <c r="E3435" s="3" t="s">
        <v>139</v>
      </c>
      <c r="F3435" s="3" t="s">
        <v>3194</v>
      </c>
      <c r="G3435" s="9">
        <v>459.96</v>
      </c>
      <c r="H3435" s="10">
        <v>45688.644942129627</v>
      </c>
      <c r="I3435" s="10">
        <v>45688.644942129627</v>
      </c>
      <c r="J3435" s="10">
        <v>45688.646898148138</v>
      </c>
      <c r="K3435" s="11">
        <v>1.956018518518518E-3</v>
      </c>
      <c r="L3435" s="13"/>
    </row>
    <row r="3436" spans="1:12" x14ac:dyDescent="0.25">
      <c r="A3436" s="3" t="s">
        <v>3225</v>
      </c>
      <c r="B3436" s="3" t="s">
        <v>6696</v>
      </c>
      <c r="C3436" s="3" t="s">
        <v>3146</v>
      </c>
      <c r="D3436" s="9">
        <v>15.7</v>
      </c>
      <c r="E3436" s="3" t="s">
        <v>139</v>
      </c>
      <c r="F3436" s="3" t="s">
        <v>3201</v>
      </c>
      <c r="G3436" s="9">
        <v>412.05</v>
      </c>
      <c r="H3436" s="10">
        <v>45688.646898148138</v>
      </c>
      <c r="I3436" s="10">
        <v>45688.646898148138</v>
      </c>
      <c r="J3436" s="10">
        <v>45688.648645833331</v>
      </c>
      <c r="K3436" s="11">
        <v>1.747685185185185E-3</v>
      </c>
      <c r="L3436" s="13"/>
    </row>
    <row r="3437" spans="1:12" x14ac:dyDescent="0.25">
      <c r="A3437" s="3" t="s">
        <v>3225</v>
      </c>
      <c r="B3437" s="3" t="s">
        <v>6697</v>
      </c>
      <c r="C3437" s="3" t="s">
        <v>3148</v>
      </c>
      <c r="D3437" s="9">
        <v>19.899999999999999</v>
      </c>
      <c r="E3437" s="3" t="s">
        <v>139</v>
      </c>
      <c r="F3437" s="3" t="s">
        <v>3206</v>
      </c>
      <c r="G3437" s="9">
        <v>378.4</v>
      </c>
      <c r="H3437" s="10">
        <v>45688.648645833331</v>
      </c>
      <c r="I3437" s="10">
        <v>45688.648645833331</v>
      </c>
      <c r="J3437" s="10">
        <v>45688.650266203702</v>
      </c>
      <c r="K3437" s="11">
        <v>1.6203703703703701E-3</v>
      </c>
      <c r="L3437" s="13"/>
    </row>
    <row r="3438" spans="1:12" x14ac:dyDescent="0.25">
      <c r="A3438" s="3" t="s">
        <v>3225</v>
      </c>
      <c r="B3438" s="3" t="s">
        <v>6698</v>
      </c>
      <c r="C3438" s="3" t="s">
        <v>3149</v>
      </c>
      <c r="D3438" s="9">
        <v>19.899999999999999</v>
      </c>
      <c r="E3438" s="3" t="s">
        <v>139</v>
      </c>
      <c r="F3438" s="3" t="s">
        <v>3195</v>
      </c>
      <c r="G3438" s="9">
        <v>405.43</v>
      </c>
      <c r="H3438" s="10">
        <v>45688.650266203702</v>
      </c>
      <c r="I3438" s="10">
        <v>45688.650266203702</v>
      </c>
      <c r="J3438" s="10">
        <v>45688.652002314811</v>
      </c>
      <c r="K3438" s="11">
        <v>1.736111111111111E-3</v>
      </c>
      <c r="L3438" s="13"/>
    </row>
    <row r="3439" spans="1:12" x14ac:dyDescent="0.25">
      <c r="A3439" s="3" t="s">
        <v>3225</v>
      </c>
      <c r="B3439" s="3" t="s">
        <v>6699</v>
      </c>
      <c r="C3439" s="3" t="s">
        <v>3150</v>
      </c>
      <c r="D3439" s="9">
        <v>80.7</v>
      </c>
      <c r="E3439" s="3" t="s">
        <v>139</v>
      </c>
      <c r="F3439" s="3" t="s">
        <v>3194</v>
      </c>
      <c r="G3439" s="9">
        <v>459.96</v>
      </c>
      <c r="H3439" s="10">
        <v>45688.652002314811</v>
      </c>
      <c r="I3439" s="10">
        <v>45688.652002314811</v>
      </c>
      <c r="J3439" s="10">
        <v>45688.654108796298</v>
      </c>
      <c r="K3439" s="11">
        <v>2.1064814814814809E-3</v>
      </c>
      <c r="L3439" s="13"/>
    </row>
    <row r="3440" spans="1:12" x14ac:dyDescent="0.25">
      <c r="A3440" s="3" t="s">
        <v>3225</v>
      </c>
      <c r="B3440" s="3" t="s">
        <v>6700</v>
      </c>
      <c r="C3440" s="3" t="s">
        <v>3153</v>
      </c>
      <c r="D3440" s="9">
        <v>60.8</v>
      </c>
      <c r="E3440" s="3" t="s">
        <v>142</v>
      </c>
      <c r="F3440" s="3" t="s">
        <v>3194</v>
      </c>
      <c r="G3440" s="9">
        <v>453.13</v>
      </c>
      <c r="H3440" s="10">
        <v>45688.658333333333</v>
      </c>
      <c r="I3440" s="10">
        <v>45688.658333333333</v>
      </c>
      <c r="J3440" s="10">
        <v>45688.660358796304</v>
      </c>
      <c r="K3440" s="11">
        <v>2.0254629629629629E-3</v>
      </c>
      <c r="L3440" s="13"/>
    </row>
    <row r="3441" spans="1:12" x14ac:dyDescent="0.25">
      <c r="A3441" s="3" t="s">
        <v>3225</v>
      </c>
      <c r="B3441" s="3" t="s">
        <v>6701</v>
      </c>
      <c r="C3441" s="3" t="s">
        <v>3155</v>
      </c>
      <c r="D3441" s="9">
        <v>19.899999999999999</v>
      </c>
      <c r="E3441" s="3" t="s">
        <v>142</v>
      </c>
      <c r="F3441" s="3" t="s">
        <v>3202</v>
      </c>
      <c r="G3441" s="9">
        <v>317.52</v>
      </c>
      <c r="H3441" s="10">
        <v>45688.660358796304</v>
      </c>
      <c r="I3441" s="10">
        <v>45688.660358796304</v>
      </c>
      <c r="J3441" s="10">
        <v>45688.661724537043</v>
      </c>
      <c r="K3441" s="11">
        <v>1.3657407407407409E-3</v>
      </c>
      <c r="L3441" s="13"/>
    </row>
    <row r="3442" spans="1:12" x14ac:dyDescent="0.25">
      <c r="A3442" s="3" t="s">
        <v>3225</v>
      </c>
      <c r="B3442" s="3" t="s">
        <v>6702</v>
      </c>
      <c r="C3442" s="3" t="s">
        <v>3157</v>
      </c>
      <c r="D3442" s="9">
        <v>12</v>
      </c>
      <c r="E3442" s="3" t="s">
        <v>142</v>
      </c>
      <c r="F3442" s="3" t="s">
        <v>3203</v>
      </c>
      <c r="G3442" s="9">
        <v>263.08999999999997</v>
      </c>
      <c r="H3442" s="10">
        <v>45688.661724537043</v>
      </c>
      <c r="I3442" s="10">
        <v>45688.661724537043</v>
      </c>
      <c r="J3442" s="10">
        <v>45688.662847222222</v>
      </c>
      <c r="K3442" s="11">
        <v>1.1226851851851849E-3</v>
      </c>
      <c r="L3442" s="13"/>
    </row>
    <row r="3443" spans="1:12" x14ac:dyDescent="0.25">
      <c r="A3443" s="3" t="s">
        <v>3225</v>
      </c>
      <c r="B3443" s="3" t="s">
        <v>6703</v>
      </c>
      <c r="C3443" s="3" t="s">
        <v>3158</v>
      </c>
      <c r="D3443" s="9">
        <v>19.899999999999999</v>
      </c>
      <c r="E3443" s="3" t="s">
        <v>142</v>
      </c>
      <c r="F3443" s="3" t="s">
        <v>3206</v>
      </c>
      <c r="G3443" s="9">
        <v>371.57</v>
      </c>
      <c r="H3443" s="10">
        <v>45688.662847222222</v>
      </c>
      <c r="I3443" s="10">
        <v>45688.662847222222</v>
      </c>
      <c r="J3443" s="10">
        <v>45688.664444444446</v>
      </c>
      <c r="K3443" s="11">
        <v>1.5972222222222221E-3</v>
      </c>
      <c r="L3443" s="13"/>
    </row>
    <row r="3444" spans="1:12" x14ac:dyDescent="0.25">
      <c r="A3444" s="3" t="s">
        <v>3225</v>
      </c>
      <c r="B3444" s="3" t="s">
        <v>6704</v>
      </c>
      <c r="C3444" s="3" t="s">
        <v>3159</v>
      </c>
      <c r="D3444" s="9">
        <v>121.8</v>
      </c>
      <c r="E3444" s="3" t="s">
        <v>142</v>
      </c>
      <c r="F3444" s="3" t="s">
        <v>3196</v>
      </c>
      <c r="G3444" s="9">
        <v>443.59</v>
      </c>
      <c r="H3444" s="10">
        <v>45688.664444444446</v>
      </c>
      <c r="I3444" s="10">
        <v>45688.664444444446</v>
      </c>
      <c r="J3444" s="10">
        <v>45688.666574074072</v>
      </c>
      <c r="K3444" s="11">
        <v>2.1296296296296302E-3</v>
      </c>
      <c r="L3444" s="13"/>
    </row>
    <row r="3445" spans="1:12" x14ac:dyDescent="0.25">
      <c r="A3445" s="3" t="s">
        <v>3225</v>
      </c>
      <c r="B3445" s="3" t="s">
        <v>6705</v>
      </c>
      <c r="C3445" s="3" t="s">
        <v>3161</v>
      </c>
      <c r="D3445" s="9">
        <v>46.5</v>
      </c>
      <c r="E3445" s="3" t="s">
        <v>142</v>
      </c>
      <c r="F3445" s="3" t="s">
        <v>3194</v>
      </c>
      <c r="G3445" s="9">
        <v>453.13</v>
      </c>
      <c r="H3445" s="10">
        <v>45688.666574074072</v>
      </c>
      <c r="I3445" s="10">
        <v>45688.666574074072</v>
      </c>
      <c r="J3445" s="10">
        <v>45688.668564814812</v>
      </c>
      <c r="K3445" s="11">
        <v>1.9907407407407408E-3</v>
      </c>
      <c r="L3445" s="13"/>
    </row>
    <row r="3446" spans="1:12" x14ac:dyDescent="0.25">
      <c r="A3446" s="3" t="s">
        <v>3225</v>
      </c>
      <c r="B3446" s="3" t="s">
        <v>6706</v>
      </c>
      <c r="C3446" s="3" t="s">
        <v>3164</v>
      </c>
      <c r="D3446" s="9">
        <v>15.7</v>
      </c>
      <c r="E3446" s="3" t="s">
        <v>142</v>
      </c>
      <c r="F3446" s="3" t="s">
        <v>3201</v>
      </c>
      <c r="G3446" s="9">
        <v>405.22</v>
      </c>
      <c r="H3446" s="10">
        <v>45688.668564814812</v>
      </c>
      <c r="I3446" s="10">
        <v>45688.668564814812</v>
      </c>
      <c r="J3446" s="10">
        <v>45688.670289351852</v>
      </c>
      <c r="K3446" s="11">
        <v>1.724537037037037E-3</v>
      </c>
      <c r="L3446" s="13"/>
    </row>
    <row r="3447" spans="1:12" x14ac:dyDescent="0.25">
      <c r="A3447" s="3" t="s">
        <v>3225</v>
      </c>
      <c r="B3447" s="3" t="s">
        <v>6707</v>
      </c>
      <c r="C3447" s="3" t="s">
        <v>3167</v>
      </c>
      <c r="D3447" s="9">
        <v>47.2</v>
      </c>
      <c r="E3447" s="3" t="s">
        <v>142</v>
      </c>
      <c r="F3447" s="3" t="s">
        <v>3194</v>
      </c>
      <c r="G3447" s="9">
        <v>453.13</v>
      </c>
      <c r="H3447" s="10">
        <v>45688.670289351852</v>
      </c>
      <c r="I3447" s="10">
        <v>45688.670289351852</v>
      </c>
      <c r="J3447" s="10">
        <v>45688.672291666669</v>
      </c>
      <c r="K3447" s="11">
        <v>2.0023148148148148E-3</v>
      </c>
      <c r="L3447" s="13"/>
    </row>
    <row r="3448" spans="1:12" x14ac:dyDescent="0.25">
      <c r="A3448" s="3" t="s">
        <v>3225</v>
      </c>
      <c r="B3448" s="3" t="s">
        <v>6708</v>
      </c>
      <c r="C3448" s="3" t="s">
        <v>3169</v>
      </c>
      <c r="D3448" s="9">
        <v>14</v>
      </c>
      <c r="E3448" s="3" t="s">
        <v>142</v>
      </c>
      <c r="F3448" s="3" t="s">
        <v>3204</v>
      </c>
      <c r="G3448" s="9">
        <v>470.92</v>
      </c>
      <c r="H3448" s="10">
        <v>45688.672291666669</v>
      </c>
      <c r="I3448" s="10">
        <v>45688.672291666669</v>
      </c>
      <c r="J3448" s="10">
        <v>45688.67428240741</v>
      </c>
      <c r="K3448" s="11">
        <v>1.9907407407407408E-3</v>
      </c>
      <c r="L3448" s="13"/>
    </row>
    <row r="3449" spans="1:12" x14ac:dyDescent="0.25">
      <c r="A3449" s="3" t="s">
        <v>3225</v>
      </c>
      <c r="B3449" s="3" t="s">
        <v>6709</v>
      </c>
      <c r="C3449" s="3" t="s">
        <v>3170</v>
      </c>
      <c r="D3449" s="9">
        <v>35.6</v>
      </c>
      <c r="E3449" s="3" t="s">
        <v>142</v>
      </c>
      <c r="F3449" s="3" t="s">
        <v>3198</v>
      </c>
      <c r="G3449" s="9">
        <v>344.04</v>
      </c>
      <c r="H3449" s="10">
        <v>45688.67428240741</v>
      </c>
      <c r="I3449" s="10">
        <v>45688.67428240741</v>
      </c>
      <c r="J3449" s="10">
        <v>45688.675798611112</v>
      </c>
      <c r="K3449" s="11">
        <v>1.5162037037037041E-3</v>
      </c>
      <c r="L3449" s="13"/>
    </row>
    <row r="3450" spans="1:12" x14ac:dyDescent="0.25">
      <c r="A3450" s="3" t="s">
        <v>3225</v>
      </c>
      <c r="B3450" s="3" t="s">
        <v>6710</v>
      </c>
      <c r="C3450" s="3" t="s">
        <v>3173</v>
      </c>
      <c r="D3450" s="9">
        <v>302.10000000000002</v>
      </c>
      <c r="E3450" s="3" t="s">
        <v>139</v>
      </c>
      <c r="F3450" s="3" t="s">
        <v>3193</v>
      </c>
      <c r="G3450" s="9">
        <v>297.43</v>
      </c>
      <c r="H3450" s="10">
        <v>45688.738217592603</v>
      </c>
      <c r="I3450" s="10">
        <v>45688.738217592603</v>
      </c>
      <c r="J3450" s="10">
        <v>45688.740162037036</v>
      </c>
      <c r="K3450" s="11">
        <v>1.944444444444444E-3</v>
      </c>
      <c r="L3450" s="13"/>
    </row>
    <row r="3451" spans="1:12" x14ac:dyDescent="0.25">
      <c r="A3451" s="3" t="s">
        <v>3225</v>
      </c>
      <c r="B3451" s="3" t="s">
        <v>6711</v>
      </c>
      <c r="C3451" s="3" t="s">
        <v>3176</v>
      </c>
      <c r="D3451" s="9">
        <v>193.1</v>
      </c>
      <c r="E3451" s="3" t="s">
        <v>142</v>
      </c>
      <c r="F3451" s="3" t="s">
        <v>3199</v>
      </c>
      <c r="G3451" s="9">
        <v>443.59</v>
      </c>
      <c r="H3451" s="10">
        <v>45688.746712962973</v>
      </c>
      <c r="I3451" s="10">
        <v>45688.746712962973</v>
      </c>
      <c r="J3451" s="10">
        <v>45688.74900462963</v>
      </c>
      <c r="K3451" s="11">
        <v>2.2916666666666671E-3</v>
      </c>
      <c r="L3451" s="13"/>
    </row>
    <row r="3452" spans="1:12" x14ac:dyDescent="0.25">
      <c r="A3452" s="3" t="s">
        <v>3225</v>
      </c>
      <c r="B3452" s="3" t="s">
        <v>6712</v>
      </c>
      <c r="C3452" s="3" t="s">
        <v>3179</v>
      </c>
      <c r="D3452" s="9">
        <v>162</v>
      </c>
      <c r="E3452" s="3" t="s">
        <v>139</v>
      </c>
      <c r="F3452" s="3" t="s">
        <v>3200</v>
      </c>
      <c r="G3452" s="9">
        <v>405.03</v>
      </c>
      <c r="H3452" s="10">
        <v>45688.851053240738</v>
      </c>
      <c r="I3452" s="10">
        <v>45688.851053240738</v>
      </c>
      <c r="J3452" s="10">
        <v>45688.853125000001</v>
      </c>
      <c r="K3452" s="11">
        <v>2.0717592592592589E-3</v>
      </c>
      <c r="L3452" s="13"/>
    </row>
    <row r="3453" spans="1:12" x14ac:dyDescent="0.25">
      <c r="A3453" s="3" t="s">
        <v>3225</v>
      </c>
      <c r="B3453" s="3" t="s">
        <v>6713</v>
      </c>
      <c r="C3453" s="3" t="s">
        <v>3182</v>
      </c>
      <c r="D3453" s="9">
        <v>23.2</v>
      </c>
      <c r="E3453" s="3" t="s">
        <v>139</v>
      </c>
      <c r="F3453" s="3" t="s">
        <v>3194</v>
      </c>
      <c r="G3453" s="9">
        <v>459.96</v>
      </c>
      <c r="H3453" s="10">
        <v>45688.853125000001</v>
      </c>
      <c r="I3453" s="10">
        <v>45688.853125000001</v>
      </c>
      <c r="J3453" s="10">
        <v>45688.855092592603</v>
      </c>
      <c r="K3453" s="11">
        <v>1.967592592592592E-3</v>
      </c>
      <c r="L3453" s="13"/>
    </row>
    <row r="3454" spans="1:12" x14ac:dyDescent="0.25">
      <c r="A3454" s="3" t="s">
        <v>3225</v>
      </c>
      <c r="B3454" s="3" t="s">
        <v>6714</v>
      </c>
      <c r="C3454" s="3" t="s">
        <v>3184</v>
      </c>
      <c r="D3454" s="9">
        <v>19.899999999999999</v>
      </c>
      <c r="E3454" s="3" t="s">
        <v>139</v>
      </c>
      <c r="F3454" s="3" t="s">
        <v>3206</v>
      </c>
      <c r="G3454" s="9">
        <v>378.4</v>
      </c>
      <c r="H3454" s="10">
        <v>45688.855092592603</v>
      </c>
      <c r="I3454" s="10">
        <v>45688.855092592603</v>
      </c>
      <c r="J3454" s="10">
        <v>45688.856712962966</v>
      </c>
      <c r="K3454" s="11">
        <v>1.6203703703703701E-3</v>
      </c>
      <c r="L3454" s="13"/>
    </row>
    <row r="3455" spans="1:12" x14ac:dyDescent="0.25">
      <c r="A3455" s="3" t="s">
        <v>3225</v>
      </c>
      <c r="B3455" s="3" t="s">
        <v>6715</v>
      </c>
      <c r="C3455" s="3" t="s">
        <v>3185</v>
      </c>
      <c r="D3455" s="9">
        <v>15.7</v>
      </c>
      <c r="E3455" s="3" t="s">
        <v>139</v>
      </c>
      <c r="F3455" s="3" t="s">
        <v>3196</v>
      </c>
      <c r="G3455" s="9">
        <v>450.42</v>
      </c>
      <c r="H3455" s="10">
        <v>45688.856712962966</v>
      </c>
      <c r="I3455" s="10">
        <v>45688.856712962966</v>
      </c>
      <c r="J3455" s="10">
        <v>45688.858622685177</v>
      </c>
      <c r="K3455" s="11">
        <v>1.9097222222222219E-3</v>
      </c>
      <c r="L3455" s="13"/>
    </row>
    <row r="3456" spans="1:12" x14ac:dyDescent="0.25">
      <c r="A3456" s="3" t="s">
        <v>3225</v>
      </c>
      <c r="B3456" s="3" t="s">
        <v>6716</v>
      </c>
      <c r="C3456" s="3" t="s">
        <v>3188</v>
      </c>
      <c r="D3456" s="9">
        <v>110.3</v>
      </c>
      <c r="E3456" s="3" t="s">
        <v>139</v>
      </c>
      <c r="F3456" s="3" t="s">
        <v>3196</v>
      </c>
      <c r="G3456" s="9">
        <v>450.42</v>
      </c>
      <c r="H3456" s="10">
        <v>45688.858622685177</v>
      </c>
      <c r="I3456" s="10">
        <v>45688.858622685177</v>
      </c>
      <c r="J3456" s="10">
        <v>45688.860752314817</v>
      </c>
      <c r="K3456" s="11">
        <v>2.1296296296296302E-3</v>
      </c>
      <c r="L3456" s="13"/>
    </row>
    <row r="3457" spans="1:12" x14ac:dyDescent="0.25">
      <c r="A3457" s="3" t="s">
        <v>3225</v>
      </c>
      <c r="B3457" s="3" t="s">
        <v>6717</v>
      </c>
      <c r="C3457" s="3" t="s">
        <v>3190</v>
      </c>
      <c r="D3457" s="9">
        <v>19.899999999999999</v>
      </c>
      <c r="E3457" s="3" t="s">
        <v>139</v>
      </c>
      <c r="F3457" s="3" t="s">
        <v>3195</v>
      </c>
      <c r="G3457" s="9">
        <v>405.43</v>
      </c>
      <c r="H3457" s="10">
        <v>45688.860752314817</v>
      </c>
      <c r="I3457" s="10">
        <v>45688.860752314817</v>
      </c>
      <c r="J3457" s="10">
        <v>45688.862488425933</v>
      </c>
      <c r="K3457" s="11">
        <v>1.736111111111111E-3</v>
      </c>
      <c r="L3457" s="13"/>
    </row>
    <row r="3458" spans="1:12" x14ac:dyDescent="0.25">
      <c r="A3458" s="3" t="s">
        <v>6718</v>
      </c>
      <c r="B3458" s="3" t="s">
        <v>6719</v>
      </c>
      <c r="C3458" s="3" t="s">
        <v>483</v>
      </c>
      <c r="D3458" s="9">
        <v>19.899999999999999</v>
      </c>
      <c r="E3458" s="3"/>
      <c r="F3458" s="3"/>
      <c r="G3458" s="9"/>
      <c r="H3458" s="10">
        <v>45659.122187499997</v>
      </c>
      <c r="I3458" s="10">
        <v>45659.122986111113</v>
      </c>
      <c r="J3458" s="10">
        <v>45659.124374999999</v>
      </c>
      <c r="K3458" s="11">
        <v>1.3888888888888889E-3</v>
      </c>
      <c r="L3458" s="13"/>
    </row>
    <row r="3459" spans="1:12" x14ac:dyDescent="0.25">
      <c r="A3459" s="3" t="s">
        <v>6718</v>
      </c>
      <c r="B3459" s="3" t="s">
        <v>6720</v>
      </c>
      <c r="C3459" s="3" t="s">
        <v>487</v>
      </c>
      <c r="D3459" s="9">
        <v>103.9</v>
      </c>
      <c r="E3459" s="3"/>
      <c r="F3459" s="3"/>
      <c r="G3459" s="9"/>
      <c r="H3459" s="10">
        <v>45659.123668981483</v>
      </c>
      <c r="I3459" s="10">
        <v>45659.124444444453</v>
      </c>
      <c r="J3459" s="10">
        <v>45659.125833333332</v>
      </c>
      <c r="K3459" s="11">
        <v>1.3888888888888889E-3</v>
      </c>
      <c r="L3459" s="13"/>
    </row>
    <row r="3460" spans="1:12" x14ac:dyDescent="0.25">
      <c r="A3460" s="3" t="s">
        <v>6718</v>
      </c>
      <c r="B3460" s="3" t="s">
        <v>6721</v>
      </c>
      <c r="C3460" s="3" t="s">
        <v>491</v>
      </c>
      <c r="D3460" s="9">
        <v>71.7</v>
      </c>
      <c r="E3460" s="3"/>
      <c r="F3460" s="3"/>
      <c r="G3460" s="9"/>
      <c r="H3460" s="10">
        <v>45659.125717592593</v>
      </c>
      <c r="I3460" s="10">
        <v>45659.126504629632</v>
      </c>
      <c r="J3460" s="10">
        <v>45659.127893518518</v>
      </c>
      <c r="K3460" s="11">
        <v>1.3888888888888889E-3</v>
      </c>
      <c r="L3460" s="13"/>
    </row>
    <row r="3461" spans="1:12" x14ac:dyDescent="0.25">
      <c r="A3461" s="3" t="s">
        <v>6718</v>
      </c>
      <c r="B3461" s="3" t="s">
        <v>6722</v>
      </c>
      <c r="C3461" s="3" t="s">
        <v>495</v>
      </c>
      <c r="D3461" s="9">
        <v>31.5</v>
      </c>
      <c r="E3461" s="3"/>
      <c r="F3461" s="3"/>
      <c r="G3461" s="9"/>
      <c r="H3461" s="10">
        <v>45659.12777777778</v>
      </c>
      <c r="I3461" s="10">
        <v>45659.128553240742</v>
      </c>
      <c r="J3461" s="10">
        <v>45659.129942129628</v>
      </c>
      <c r="K3461" s="11">
        <v>1.3888888888888889E-3</v>
      </c>
      <c r="L3461" s="13"/>
    </row>
    <row r="3462" spans="1:12" x14ac:dyDescent="0.25">
      <c r="A3462" s="3" t="s">
        <v>6718</v>
      </c>
      <c r="B3462" s="3" t="s">
        <v>6723</v>
      </c>
      <c r="C3462" s="3" t="s">
        <v>499</v>
      </c>
      <c r="D3462" s="9">
        <v>182.7</v>
      </c>
      <c r="E3462" s="3"/>
      <c r="F3462" s="3"/>
      <c r="G3462" s="9"/>
      <c r="H3462" s="10">
        <v>45659.277858796297</v>
      </c>
      <c r="I3462" s="10">
        <v>45659.278726851851</v>
      </c>
      <c r="J3462" s="10">
        <v>45659.28025462963</v>
      </c>
      <c r="K3462" s="11">
        <v>1.5277777777777781E-3</v>
      </c>
      <c r="L3462" s="13"/>
    </row>
    <row r="3463" spans="1:12" x14ac:dyDescent="0.25">
      <c r="A3463" s="3" t="s">
        <v>6718</v>
      </c>
      <c r="B3463" s="3" t="s">
        <v>6724</v>
      </c>
      <c r="C3463" s="3" t="s">
        <v>542</v>
      </c>
      <c r="D3463" s="9">
        <v>189</v>
      </c>
      <c r="E3463" s="3"/>
      <c r="F3463" s="3"/>
      <c r="G3463" s="9"/>
      <c r="H3463" s="10">
        <v>45659.316319444442</v>
      </c>
      <c r="I3463" s="10">
        <v>45659.317187499997</v>
      </c>
      <c r="J3463" s="10">
        <v>45659.318715277783</v>
      </c>
      <c r="K3463" s="11">
        <v>1.5277777777777781E-3</v>
      </c>
      <c r="L3463" s="13"/>
    </row>
    <row r="3464" spans="1:12" x14ac:dyDescent="0.25">
      <c r="A3464" s="3" t="s">
        <v>6718</v>
      </c>
      <c r="B3464" s="3" t="s">
        <v>6725</v>
      </c>
      <c r="C3464" s="3" t="s">
        <v>505</v>
      </c>
      <c r="D3464" s="9">
        <v>264.60000000000002</v>
      </c>
      <c r="E3464" s="3"/>
      <c r="F3464" s="3"/>
      <c r="G3464" s="9"/>
      <c r="H3464" s="10">
        <v>45659.322488425933</v>
      </c>
      <c r="I3464" s="10">
        <v>45659.32335648148</v>
      </c>
      <c r="J3464" s="10">
        <v>45659.324884259258</v>
      </c>
      <c r="K3464" s="11">
        <v>1.5277777777777781E-3</v>
      </c>
      <c r="L3464" s="13"/>
    </row>
    <row r="3465" spans="1:12" x14ac:dyDescent="0.25">
      <c r="A3465" s="3" t="s">
        <v>6718</v>
      </c>
      <c r="B3465" s="3" t="s">
        <v>6726</v>
      </c>
      <c r="C3465" s="3" t="s">
        <v>509</v>
      </c>
      <c r="D3465" s="9">
        <v>21</v>
      </c>
      <c r="E3465" s="3"/>
      <c r="F3465" s="3"/>
      <c r="G3465" s="9"/>
      <c r="H3465" s="10">
        <v>45659.324224537027</v>
      </c>
      <c r="I3465" s="10">
        <v>45659.325069444443</v>
      </c>
      <c r="J3465" s="10">
        <v>45659.326597222222</v>
      </c>
      <c r="K3465" s="11">
        <v>1.5277777777777781E-3</v>
      </c>
      <c r="L3465" s="13"/>
    </row>
    <row r="3466" spans="1:12" x14ac:dyDescent="0.25">
      <c r="A3466" s="3" t="s">
        <v>6718</v>
      </c>
      <c r="B3466" s="3" t="s">
        <v>6727</v>
      </c>
      <c r="C3466" s="3" t="s">
        <v>514</v>
      </c>
      <c r="D3466" s="9">
        <v>98.6</v>
      </c>
      <c r="E3466" s="3"/>
      <c r="F3466" s="3"/>
      <c r="G3466" s="9"/>
      <c r="H3466" s="10">
        <v>45659.328217592592</v>
      </c>
      <c r="I3466" s="10">
        <v>45659.329062500001</v>
      </c>
      <c r="J3466" s="10">
        <v>45659.330590277779</v>
      </c>
      <c r="K3466" s="11">
        <v>1.5277777777777781E-3</v>
      </c>
      <c r="L3466" s="13"/>
    </row>
    <row r="3467" spans="1:12" x14ac:dyDescent="0.25">
      <c r="A3467" s="3" t="s">
        <v>6718</v>
      </c>
      <c r="B3467" s="3" t="s">
        <v>6728</v>
      </c>
      <c r="C3467" s="3" t="s">
        <v>518</v>
      </c>
      <c r="D3467" s="9">
        <v>21</v>
      </c>
      <c r="E3467" s="3"/>
      <c r="F3467" s="3"/>
      <c r="G3467" s="9"/>
      <c r="H3467" s="10">
        <v>45659.329918981479</v>
      </c>
      <c r="I3467" s="10">
        <v>45659.331759259258</v>
      </c>
      <c r="J3467" s="10">
        <v>45659.333287037043</v>
      </c>
      <c r="K3467" s="11">
        <v>1.5277777777777781E-3</v>
      </c>
      <c r="L3467" s="13"/>
    </row>
    <row r="3468" spans="1:12" x14ac:dyDescent="0.25">
      <c r="A3468" s="3" t="s">
        <v>6718</v>
      </c>
      <c r="B3468" s="3" t="s">
        <v>6729</v>
      </c>
      <c r="C3468" s="3" t="s">
        <v>522</v>
      </c>
      <c r="D3468" s="9">
        <v>15.7</v>
      </c>
      <c r="E3468" s="3"/>
      <c r="F3468" s="3"/>
      <c r="G3468" s="9"/>
      <c r="H3468" s="10">
        <v>45659.331504629627</v>
      </c>
      <c r="I3468" s="10">
        <v>45659.332349537042</v>
      </c>
      <c r="J3468" s="10">
        <v>45659.333877314813</v>
      </c>
      <c r="K3468" s="11">
        <v>1.5277777777777781E-3</v>
      </c>
      <c r="L3468" s="13"/>
    </row>
    <row r="3469" spans="1:12" x14ac:dyDescent="0.25">
      <c r="A3469" s="3" t="s">
        <v>6718</v>
      </c>
      <c r="B3469" s="3" t="s">
        <v>6730</v>
      </c>
      <c r="C3469" s="3" t="s">
        <v>526</v>
      </c>
      <c r="D3469" s="9">
        <v>54</v>
      </c>
      <c r="E3469" s="3"/>
      <c r="F3469" s="3"/>
      <c r="G3469" s="9"/>
      <c r="H3469" s="10">
        <v>45659.333067129628</v>
      </c>
      <c r="I3469" s="10">
        <v>45659.335023148153</v>
      </c>
      <c r="J3469" s="10">
        <v>45659.336550925917</v>
      </c>
      <c r="K3469" s="11">
        <v>1.5277777777777781E-3</v>
      </c>
      <c r="L3469" s="13"/>
    </row>
    <row r="3470" spans="1:12" x14ac:dyDescent="0.25">
      <c r="A3470" s="3" t="s">
        <v>6718</v>
      </c>
      <c r="B3470" s="3" t="s">
        <v>6731</v>
      </c>
      <c r="C3470" s="3" t="s">
        <v>532</v>
      </c>
      <c r="D3470" s="9">
        <v>15.7</v>
      </c>
      <c r="E3470" s="3"/>
      <c r="F3470" s="3"/>
      <c r="G3470" s="9"/>
      <c r="H3470" s="10">
        <v>45659.336157407408</v>
      </c>
      <c r="I3470" s="10">
        <v>45659.338287037041</v>
      </c>
      <c r="J3470" s="10">
        <v>45659.339814814812</v>
      </c>
      <c r="K3470" s="11">
        <v>1.5277777777777781E-3</v>
      </c>
      <c r="L3470" s="13"/>
    </row>
    <row r="3471" spans="1:12" x14ac:dyDescent="0.25">
      <c r="A3471" s="3" t="s">
        <v>6718</v>
      </c>
      <c r="B3471" s="3" t="s">
        <v>6732</v>
      </c>
      <c r="C3471" s="3" t="s">
        <v>538</v>
      </c>
      <c r="D3471" s="9">
        <v>19.899999999999999</v>
      </c>
      <c r="E3471" s="3"/>
      <c r="F3471" s="3"/>
      <c r="G3471" s="9"/>
      <c r="H3471" s="10">
        <v>45659.339131944442</v>
      </c>
      <c r="I3471" s="10">
        <v>45659.341550925928</v>
      </c>
      <c r="J3471" s="10">
        <v>45659.343078703707</v>
      </c>
      <c r="K3471" s="11">
        <v>1.5277777777777781E-3</v>
      </c>
      <c r="L3471" s="13"/>
    </row>
    <row r="3472" spans="1:12" x14ac:dyDescent="0.25">
      <c r="A3472" s="3" t="s">
        <v>6718</v>
      </c>
      <c r="B3472" s="3" t="s">
        <v>6733</v>
      </c>
      <c r="C3472" s="3" t="s">
        <v>545</v>
      </c>
      <c r="D3472" s="9">
        <v>396.6</v>
      </c>
      <c r="E3472" s="3"/>
      <c r="F3472" s="3"/>
      <c r="G3472" s="9"/>
      <c r="H3472" s="10">
        <v>45659.345358796287</v>
      </c>
      <c r="I3472" s="10">
        <v>45659.346203703702</v>
      </c>
      <c r="J3472" s="10">
        <v>45659.347731481481</v>
      </c>
      <c r="K3472" s="11">
        <v>1.5277777777777781E-3</v>
      </c>
      <c r="L3472" s="13"/>
    </row>
    <row r="3473" spans="1:12" x14ac:dyDescent="0.25">
      <c r="A3473" s="3" t="s">
        <v>6718</v>
      </c>
      <c r="B3473" s="3" t="s">
        <v>6734</v>
      </c>
      <c r="C3473" s="3" t="s">
        <v>571</v>
      </c>
      <c r="D3473" s="9">
        <v>70.5</v>
      </c>
      <c r="E3473" s="3"/>
      <c r="F3473" s="3"/>
      <c r="G3473" s="9"/>
      <c r="H3473" s="10">
        <v>45659.384722222218</v>
      </c>
      <c r="I3473" s="10">
        <v>45659.385555555556</v>
      </c>
      <c r="J3473" s="10">
        <v>45659.387083333328</v>
      </c>
      <c r="K3473" s="11">
        <v>1.5277777777777781E-3</v>
      </c>
      <c r="L3473" s="13"/>
    </row>
    <row r="3474" spans="1:12" x14ac:dyDescent="0.25">
      <c r="A3474" s="3" t="s">
        <v>6718</v>
      </c>
      <c r="B3474" s="3" t="s">
        <v>6735</v>
      </c>
      <c r="C3474" s="3" t="s">
        <v>575</v>
      </c>
      <c r="D3474" s="9">
        <v>142.19999999999999</v>
      </c>
      <c r="E3474" s="3"/>
      <c r="F3474" s="3"/>
      <c r="G3474" s="9"/>
      <c r="H3474" s="10">
        <v>45659.38689814815</v>
      </c>
      <c r="I3474" s="10">
        <v>45659.387766203698</v>
      </c>
      <c r="J3474" s="10">
        <v>45659.389293981483</v>
      </c>
      <c r="K3474" s="11">
        <v>1.5277777777777781E-3</v>
      </c>
      <c r="L3474" s="13"/>
    </row>
    <row r="3475" spans="1:12" x14ac:dyDescent="0.25">
      <c r="A3475" s="3" t="s">
        <v>6718</v>
      </c>
      <c r="B3475" s="3" t="s">
        <v>6736</v>
      </c>
      <c r="C3475" s="3" t="s">
        <v>562</v>
      </c>
      <c r="D3475" s="9">
        <v>19.899999999999999</v>
      </c>
      <c r="E3475" s="3"/>
      <c r="F3475" s="3"/>
      <c r="G3475" s="9"/>
      <c r="H3475" s="10">
        <v>45659.401666666658</v>
      </c>
      <c r="I3475" s="10">
        <v>45659.406261574077</v>
      </c>
      <c r="J3475" s="10">
        <v>45659.407789351862</v>
      </c>
      <c r="K3475" s="11">
        <v>1.5277777777777781E-3</v>
      </c>
      <c r="L3475" s="13"/>
    </row>
    <row r="3476" spans="1:12" x14ac:dyDescent="0.25">
      <c r="A3476" s="3" t="s">
        <v>6718</v>
      </c>
      <c r="B3476" s="3" t="s">
        <v>6737</v>
      </c>
      <c r="C3476" s="3" t="s">
        <v>566</v>
      </c>
      <c r="D3476" s="9">
        <v>194.2</v>
      </c>
      <c r="E3476" s="3"/>
      <c r="F3476" s="3"/>
      <c r="G3476" s="9"/>
      <c r="H3476" s="10">
        <v>45659.403993055559</v>
      </c>
      <c r="I3476" s="10">
        <v>45659.407604166663</v>
      </c>
      <c r="J3476" s="10">
        <v>45659.408993055556</v>
      </c>
      <c r="K3476" s="11">
        <v>1.3888888888888889E-3</v>
      </c>
      <c r="L3476" s="13"/>
    </row>
    <row r="3477" spans="1:12" x14ac:dyDescent="0.25">
      <c r="A3477" s="3" t="s">
        <v>6718</v>
      </c>
      <c r="B3477" s="3" t="s">
        <v>6738</v>
      </c>
      <c r="C3477" s="3" t="s">
        <v>578</v>
      </c>
      <c r="D3477" s="9">
        <v>39.799999999999997</v>
      </c>
      <c r="E3477" s="3"/>
      <c r="F3477" s="3"/>
      <c r="G3477" s="9"/>
      <c r="H3477" s="10">
        <v>45659.44939814815</v>
      </c>
      <c r="I3477" s="10">
        <v>45659.450266203698</v>
      </c>
      <c r="J3477" s="10">
        <v>45659.451793981483</v>
      </c>
      <c r="K3477" s="11">
        <v>1.5277777777777781E-3</v>
      </c>
      <c r="L3477" s="13"/>
    </row>
    <row r="3478" spans="1:12" x14ac:dyDescent="0.25">
      <c r="A3478" s="3" t="s">
        <v>6718</v>
      </c>
      <c r="B3478" s="3" t="s">
        <v>6739</v>
      </c>
      <c r="C3478" s="3" t="s">
        <v>585</v>
      </c>
      <c r="D3478" s="9">
        <v>287.10000000000002</v>
      </c>
      <c r="E3478" s="3"/>
      <c r="F3478" s="3"/>
      <c r="G3478" s="9"/>
      <c r="H3478" s="10">
        <v>45659.617337962962</v>
      </c>
      <c r="I3478" s="10">
        <v>45659.618125000001</v>
      </c>
      <c r="J3478" s="10">
        <v>45659.619513888887</v>
      </c>
      <c r="K3478" s="11">
        <v>1.3888888888888889E-3</v>
      </c>
      <c r="L3478" s="13"/>
    </row>
    <row r="3479" spans="1:12" x14ac:dyDescent="0.25">
      <c r="A3479" s="3" t="s">
        <v>6718</v>
      </c>
      <c r="B3479" s="3" t="s">
        <v>6740</v>
      </c>
      <c r="C3479" s="3" t="s">
        <v>588</v>
      </c>
      <c r="D3479" s="9">
        <v>81</v>
      </c>
      <c r="E3479" s="3"/>
      <c r="F3479" s="3"/>
      <c r="G3479" s="9"/>
      <c r="H3479" s="10">
        <v>45659.644594907397</v>
      </c>
      <c r="I3479" s="10">
        <v>45659.645381944443</v>
      </c>
      <c r="J3479" s="10">
        <v>45659.646770833337</v>
      </c>
      <c r="K3479" s="11">
        <v>1.3888888888888889E-3</v>
      </c>
      <c r="L3479" s="13"/>
    </row>
    <row r="3480" spans="1:12" x14ac:dyDescent="0.25">
      <c r="A3480" s="3" t="s">
        <v>6718</v>
      </c>
      <c r="B3480" s="3" t="s">
        <v>6741</v>
      </c>
      <c r="C3480" s="3" t="s">
        <v>591</v>
      </c>
      <c r="D3480" s="9">
        <v>12</v>
      </c>
      <c r="E3480" s="3"/>
      <c r="F3480" s="3"/>
      <c r="G3480" s="9"/>
      <c r="H3480" s="10">
        <v>45659.646469907413</v>
      </c>
      <c r="I3480" s="10">
        <v>45659.647245370368</v>
      </c>
      <c r="J3480" s="10">
        <v>45659.648634259262</v>
      </c>
      <c r="K3480" s="11">
        <v>1.3888888888888889E-3</v>
      </c>
      <c r="L3480" s="13"/>
    </row>
    <row r="3481" spans="1:12" x14ac:dyDescent="0.25">
      <c r="A3481" s="3" t="s">
        <v>6718</v>
      </c>
      <c r="B3481" s="3" t="s">
        <v>6742</v>
      </c>
      <c r="C3481" s="3" t="s">
        <v>594</v>
      </c>
      <c r="D3481" s="9">
        <v>14</v>
      </c>
      <c r="E3481" s="3"/>
      <c r="F3481" s="3"/>
      <c r="G3481" s="9"/>
      <c r="H3481" s="10">
        <v>45659.647939814808</v>
      </c>
      <c r="I3481" s="10">
        <v>45659.648726851847</v>
      </c>
      <c r="J3481" s="10">
        <v>45659.65011574074</v>
      </c>
      <c r="K3481" s="11">
        <v>1.3888888888888889E-3</v>
      </c>
      <c r="L3481" s="13"/>
    </row>
    <row r="3482" spans="1:12" x14ac:dyDescent="0.25">
      <c r="A3482" s="3" t="s">
        <v>6718</v>
      </c>
      <c r="B3482" s="3" t="s">
        <v>6743</v>
      </c>
      <c r="C3482" s="3" t="s">
        <v>600</v>
      </c>
      <c r="D3482" s="9">
        <v>257.10000000000002</v>
      </c>
      <c r="E3482" s="3"/>
      <c r="F3482" s="3"/>
      <c r="G3482" s="9"/>
      <c r="H3482" s="10">
        <v>45659.652083333327</v>
      </c>
      <c r="I3482" s="10">
        <v>45659.652870370373</v>
      </c>
      <c r="J3482" s="10">
        <v>45659.65425925926</v>
      </c>
      <c r="K3482" s="11">
        <v>1.3888888888888889E-3</v>
      </c>
      <c r="L3482" s="13"/>
    </row>
    <row r="3483" spans="1:12" x14ac:dyDescent="0.25">
      <c r="A3483" s="3" t="s">
        <v>6718</v>
      </c>
      <c r="B3483" s="3" t="s">
        <v>6744</v>
      </c>
      <c r="C3483" s="3" t="s">
        <v>607</v>
      </c>
      <c r="D3483" s="9">
        <v>117.8</v>
      </c>
      <c r="E3483" s="3"/>
      <c r="F3483" s="3"/>
      <c r="G3483" s="9"/>
      <c r="H3483" s="10">
        <v>45659.657384259262</v>
      </c>
      <c r="I3483" s="10">
        <v>45659.659050925933</v>
      </c>
      <c r="J3483" s="10">
        <v>45659.660439814812</v>
      </c>
      <c r="K3483" s="11">
        <v>1.3888888888888889E-3</v>
      </c>
      <c r="L3483" s="13"/>
    </row>
    <row r="3484" spans="1:12" x14ac:dyDescent="0.25">
      <c r="A3484" s="3" t="s">
        <v>6718</v>
      </c>
      <c r="B3484" s="3" t="s">
        <v>6745</v>
      </c>
      <c r="C3484" s="3" t="s">
        <v>616</v>
      </c>
      <c r="D3484" s="9">
        <v>21</v>
      </c>
      <c r="E3484" s="3"/>
      <c r="F3484" s="3"/>
      <c r="G3484" s="9"/>
      <c r="H3484" s="10">
        <v>45659.76363425926</v>
      </c>
      <c r="I3484" s="10">
        <v>45659.764502314807</v>
      </c>
      <c r="J3484" s="10">
        <v>45659.766030092593</v>
      </c>
      <c r="K3484" s="11">
        <v>1.5277777777777781E-3</v>
      </c>
      <c r="L3484" s="13"/>
    </row>
    <row r="3485" spans="1:12" x14ac:dyDescent="0.25">
      <c r="A3485" s="3" t="s">
        <v>6718</v>
      </c>
      <c r="B3485" s="3" t="s">
        <v>6746</v>
      </c>
      <c r="C3485" s="3" t="s">
        <v>625</v>
      </c>
      <c r="D3485" s="9">
        <v>97.9</v>
      </c>
      <c r="E3485" s="3"/>
      <c r="F3485" s="3"/>
      <c r="G3485" s="9"/>
      <c r="H3485" s="10">
        <v>45659.770844907413</v>
      </c>
      <c r="I3485" s="10">
        <v>45659.77171296296</v>
      </c>
      <c r="J3485" s="10">
        <v>45659.773240740738</v>
      </c>
      <c r="K3485" s="11">
        <v>1.5277777777777781E-3</v>
      </c>
      <c r="L3485" s="13"/>
    </row>
    <row r="3486" spans="1:12" x14ac:dyDescent="0.25">
      <c r="A3486" s="3" t="s">
        <v>6718</v>
      </c>
      <c r="B3486" s="3" t="s">
        <v>6747</v>
      </c>
      <c r="C3486" s="3" t="s">
        <v>628</v>
      </c>
      <c r="D3486" s="9">
        <v>194.2</v>
      </c>
      <c r="E3486" s="3"/>
      <c r="F3486" s="3"/>
      <c r="G3486" s="9"/>
      <c r="H3486" s="10">
        <v>45659.773148148153</v>
      </c>
      <c r="I3486" s="10">
        <v>45659.773993055547</v>
      </c>
      <c r="J3486" s="10">
        <v>45659.775520833333</v>
      </c>
      <c r="K3486" s="11">
        <v>1.5277777777777781E-3</v>
      </c>
      <c r="L3486" s="13"/>
    </row>
    <row r="3487" spans="1:12" x14ac:dyDescent="0.25">
      <c r="A3487" s="3" t="s">
        <v>6718</v>
      </c>
      <c r="B3487" s="3" t="s">
        <v>6748</v>
      </c>
      <c r="C3487" s="3" t="s">
        <v>634</v>
      </c>
      <c r="D3487" s="9">
        <v>12</v>
      </c>
      <c r="E3487" s="3"/>
      <c r="F3487" s="3"/>
      <c r="G3487" s="9"/>
      <c r="H3487" s="10">
        <v>45659.778738425928</v>
      </c>
      <c r="I3487" s="10">
        <v>45659.780787037038</v>
      </c>
      <c r="J3487" s="10">
        <v>45659.782314814824</v>
      </c>
      <c r="K3487" s="11">
        <v>1.5277777777777781E-3</v>
      </c>
      <c r="L3487" s="13"/>
    </row>
    <row r="3488" spans="1:12" x14ac:dyDescent="0.25">
      <c r="A3488" s="3" t="s">
        <v>6718</v>
      </c>
      <c r="B3488" s="3" t="s">
        <v>6749</v>
      </c>
      <c r="C3488" s="3" t="s">
        <v>637</v>
      </c>
      <c r="D3488" s="9">
        <v>46.5</v>
      </c>
      <c r="E3488" s="3"/>
      <c r="F3488" s="3"/>
      <c r="G3488" s="9"/>
      <c r="H3488" s="10">
        <v>45659.859606481477</v>
      </c>
      <c r="I3488" s="10">
        <v>45659.860405092593</v>
      </c>
      <c r="J3488" s="10">
        <v>45659.861793981479</v>
      </c>
      <c r="K3488" s="11">
        <v>1.3888888888888889E-3</v>
      </c>
      <c r="L3488" s="13"/>
    </row>
    <row r="3489" spans="1:12" x14ac:dyDescent="0.25">
      <c r="A3489" s="3" t="s">
        <v>6718</v>
      </c>
      <c r="B3489" s="3" t="s">
        <v>6750</v>
      </c>
      <c r="C3489" s="3" t="s">
        <v>647</v>
      </c>
      <c r="D3489" s="9">
        <v>21</v>
      </c>
      <c r="E3489" s="3"/>
      <c r="F3489" s="3"/>
      <c r="G3489" s="9"/>
      <c r="H3489" s="10">
        <v>45659.867777777778</v>
      </c>
      <c r="I3489" s="10">
        <v>45659.868564814817</v>
      </c>
      <c r="J3489" s="10">
        <v>45659.869953703703</v>
      </c>
      <c r="K3489" s="11">
        <v>1.3888888888888889E-3</v>
      </c>
      <c r="L3489" s="13"/>
    </row>
    <row r="3490" spans="1:12" x14ac:dyDescent="0.25">
      <c r="A3490" s="3" t="s">
        <v>6718</v>
      </c>
      <c r="B3490" s="3" t="s">
        <v>6751</v>
      </c>
      <c r="C3490" s="3" t="s">
        <v>650</v>
      </c>
      <c r="D3490" s="9">
        <v>54</v>
      </c>
      <c r="E3490" s="3"/>
      <c r="F3490" s="3"/>
      <c r="G3490" s="9"/>
      <c r="H3490" s="10">
        <v>45659.869814814818</v>
      </c>
      <c r="I3490" s="10">
        <v>45659.870659722219</v>
      </c>
      <c r="J3490" s="10">
        <v>45659.872187499997</v>
      </c>
      <c r="K3490" s="11">
        <v>1.5277777777777781E-3</v>
      </c>
      <c r="L3490" s="13"/>
    </row>
    <row r="3491" spans="1:12" x14ac:dyDescent="0.25">
      <c r="A3491" s="3" t="s">
        <v>6718</v>
      </c>
      <c r="B3491" s="3" t="s">
        <v>6752</v>
      </c>
      <c r="C3491" s="3" t="s">
        <v>653</v>
      </c>
      <c r="D3491" s="9">
        <v>15.7</v>
      </c>
      <c r="E3491" s="3"/>
      <c r="F3491" s="3"/>
      <c r="G3491" s="9"/>
      <c r="H3491" s="10">
        <v>45659.871539351851</v>
      </c>
      <c r="I3491" s="10">
        <v>45659.872407407413</v>
      </c>
      <c r="J3491" s="10">
        <v>45659.873935185176</v>
      </c>
      <c r="K3491" s="11">
        <v>1.5277777777777781E-3</v>
      </c>
      <c r="L3491" s="13"/>
    </row>
    <row r="3492" spans="1:12" x14ac:dyDescent="0.25">
      <c r="A3492" s="3" t="s">
        <v>6718</v>
      </c>
      <c r="B3492" s="3" t="s">
        <v>6753</v>
      </c>
      <c r="C3492" s="3" t="s">
        <v>671</v>
      </c>
      <c r="D3492" s="9">
        <v>497</v>
      </c>
      <c r="E3492" s="3"/>
      <c r="F3492" s="3"/>
      <c r="G3492" s="9"/>
      <c r="H3492" s="10">
        <v>45660.202824074076</v>
      </c>
      <c r="I3492" s="10">
        <v>45660.203668981478</v>
      </c>
      <c r="J3492" s="10">
        <v>45660.205196759263</v>
      </c>
      <c r="K3492" s="11">
        <v>1.5277777777777781E-3</v>
      </c>
      <c r="L3492" s="13"/>
    </row>
    <row r="3493" spans="1:12" x14ac:dyDescent="0.25">
      <c r="A3493" s="3" t="s">
        <v>6718</v>
      </c>
      <c r="B3493" s="3" t="s">
        <v>6754</v>
      </c>
      <c r="C3493" s="3" t="s">
        <v>676</v>
      </c>
      <c r="D3493" s="9">
        <v>19.899999999999999</v>
      </c>
      <c r="E3493" s="3"/>
      <c r="F3493" s="3"/>
      <c r="G3493" s="9"/>
      <c r="H3493" s="10">
        <v>45660.254571759258</v>
      </c>
      <c r="I3493" s="10">
        <v>45660.255347222221</v>
      </c>
      <c r="J3493" s="10">
        <v>45660.256736111107</v>
      </c>
      <c r="K3493" s="11">
        <v>1.3888888888888889E-3</v>
      </c>
      <c r="L3493" s="13"/>
    </row>
    <row r="3494" spans="1:12" x14ac:dyDescent="0.25">
      <c r="A3494" s="3" t="s">
        <v>6718</v>
      </c>
      <c r="B3494" s="3" t="s">
        <v>6755</v>
      </c>
      <c r="C3494" s="3" t="s">
        <v>683</v>
      </c>
      <c r="D3494" s="9">
        <v>16.5</v>
      </c>
      <c r="E3494" s="3"/>
      <c r="F3494" s="3"/>
      <c r="G3494" s="9"/>
      <c r="H3494" s="10">
        <v>45660.258900462963</v>
      </c>
      <c r="I3494" s="10">
        <v>45660.259745370371</v>
      </c>
      <c r="J3494" s="10">
        <v>45660.261273148149</v>
      </c>
      <c r="K3494" s="11">
        <v>1.5277777777777781E-3</v>
      </c>
      <c r="L3494" s="13"/>
    </row>
    <row r="3495" spans="1:12" x14ac:dyDescent="0.25">
      <c r="A3495" s="3" t="s">
        <v>6718</v>
      </c>
      <c r="B3495" s="3" t="s">
        <v>6756</v>
      </c>
      <c r="C3495" s="3" t="s">
        <v>688</v>
      </c>
      <c r="D3495" s="9">
        <v>15.7</v>
      </c>
      <c r="E3495" s="3"/>
      <c r="F3495" s="3"/>
      <c r="G3495" s="9"/>
      <c r="H3495" s="10">
        <v>45660.262789351851</v>
      </c>
      <c r="I3495" s="10">
        <v>45660.26363425926</v>
      </c>
      <c r="J3495" s="10">
        <v>45660.265162037038</v>
      </c>
      <c r="K3495" s="11">
        <v>1.5277777777777781E-3</v>
      </c>
      <c r="L3495" s="13"/>
    </row>
    <row r="3496" spans="1:12" x14ac:dyDescent="0.25">
      <c r="A3496" s="3" t="s">
        <v>6718</v>
      </c>
      <c r="B3496" s="3" t="s">
        <v>6757</v>
      </c>
      <c r="C3496" s="3" t="s">
        <v>703</v>
      </c>
      <c r="D3496" s="9">
        <v>19.899999999999999</v>
      </c>
      <c r="E3496" s="3"/>
      <c r="F3496" s="3"/>
      <c r="G3496" s="9"/>
      <c r="H3496" s="10">
        <v>45660.319386574083</v>
      </c>
      <c r="I3496" s="10">
        <v>45660.320254629631</v>
      </c>
      <c r="J3496" s="10">
        <v>45660.321782407409</v>
      </c>
      <c r="K3496" s="11">
        <v>1.5277777777777781E-3</v>
      </c>
      <c r="L3496" s="13"/>
    </row>
    <row r="3497" spans="1:12" x14ac:dyDescent="0.25">
      <c r="A3497" s="3" t="s">
        <v>6718</v>
      </c>
      <c r="B3497" s="3" t="s">
        <v>6758</v>
      </c>
      <c r="C3497" s="3" t="s">
        <v>706</v>
      </c>
      <c r="D3497" s="9">
        <v>40.9</v>
      </c>
      <c r="E3497" s="3"/>
      <c r="F3497" s="3"/>
      <c r="G3497" s="9"/>
      <c r="H3497" s="10">
        <v>45660.321203703701</v>
      </c>
      <c r="I3497" s="10">
        <v>45660.32203703704</v>
      </c>
      <c r="J3497" s="10">
        <v>45660.323564814818</v>
      </c>
      <c r="K3497" s="11">
        <v>1.5277777777777781E-3</v>
      </c>
      <c r="L3497" s="13"/>
    </row>
    <row r="3498" spans="1:12" x14ac:dyDescent="0.25">
      <c r="A3498" s="3" t="s">
        <v>6718</v>
      </c>
      <c r="B3498" s="3" t="s">
        <v>6759</v>
      </c>
      <c r="C3498" s="3" t="s">
        <v>709</v>
      </c>
      <c r="D3498" s="9">
        <v>27</v>
      </c>
      <c r="E3498" s="3"/>
      <c r="F3498" s="3"/>
      <c r="G3498" s="9"/>
      <c r="H3498" s="10">
        <v>45660.322500000002</v>
      </c>
      <c r="I3498" s="10">
        <v>45660.323287037027</v>
      </c>
      <c r="J3498" s="10">
        <v>45660.324675925927</v>
      </c>
      <c r="K3498" s="11">
        <v>1.3888888888888889E-3</v>
      </c>
      <c r="L3498" s="13"/>
    </row>
    <row r="3499" spans="1:12" x14ac:dyDescent="0.25">
      <c r="A3499" s="3" t="s">
        <v>6718</v>
      </c>
      <c r="B3499" s="3" t="s">
        <v>6760</v>
      </c>
      <c r="C3499" s="3" t="s">
        <v>714</v>
      </c>
      <c r="D3499" s="9">
        <v>63</v>
      </c>
      <c r="E3499" s="3"/>
      <c r="F3499" s="3"/>
      <c r="G3499" s="9"/>
      <c r="H3499" s="10">
        <v>45660.326770833337</v>
      </c>
      <c r="I3499" s="10">
        <v>45660.327557870369</v>
      </c>
      <c r="J3499" s="10">
        <v>45660.328946759262</v>
      </c>
      <c r="K3499" s="11">
        <v>1.3888888888888889E-3</v>
      </c>
      <c r="L3499" s="13"/>
    </row>
    <row r="3500" spans="1:12" x14ac:dyDescent="0.25">
      <c r="A3500" s="3" t="s">
        <v>6718</v>
      </c>
      <c r="B3500" s="3" t="s">
        <v>6761</v>
      </c>
      <c r="C3500" s="3" t="s">
        <v>719</v>
      </c>
      <c r="D3500" s="9">
        <v>256.89999999999998</v>
      </c>
      <c r="E3500" s="3"/>
      <c r="F3500" s="3"/>
      <c r="G3500" s="9"/>
      <c r="H3500" s="10">
        <v>45660.331689814811</v>
      </c>
      <c r="I3500" s="10">
        <v>45660.332476851851</v>
      </c>
      <c r="J3500" s="10">
        <v>45660.333865740737</v>
      </c>
      <c r="K3500" s="11">
        <v>1.3888888888888889E-3</v>
      </c>
      <c r="L3500" s="13"/>
    </row>
    <row r="3501" spans="1:12" x14ac:dyDescent="0.25">
      <c r="A3501" s="3" t="s">
        <v>6718</v>
      </c>
      <c r="B3501" s="3" t="s">
        <v>6762</v>
      </c>
      <c r="C3501" s="3" t="s">
        <v>722</v>
      </c>
      <c r="D3501" s="9">
        <v>396.6</v>
      </c>
      <c r="E3501" s="3"/>
      <c r="F3501" s="3"/>
      <c r="G3501" s="9"/>
      <c r="H3501" s="10">
        <v>45660.343877314823</v>
      </c>
      <c r="I3501" s="10">
        <v>45660.363946759258</v>
      </c>
      <c r="J3501" s="10">
        <v>45660.365474537037</v>
      </c>
      <c r="K3501" s="11">
        <v>1.5277777777777781E-3</v>
      </c>
      <c r="L3501" s="13"/>
    </row>
    <row r="3502" spans="1:12" x14ac:dyDescent="0.25">
      <c r="A3502" s="3" t="s">
        <v>6718</v>
      </c>
      <c r="B3502" s="3" t="s">
        <v>6763</v>
      </c>
      <c r="C3502" s="3" t="s">
        <v>729</v>
      </c>
      <c r="D3502" s="9">
        <v>266.39999999999998</v>
      </c>
      <c r="E3502" s="3"/>
      <c r="F3502" s="3"/>
      <c r="G3502" s="9"/>
      <c r="H3502" s="10">
        <v>45660.452002314807</v>
      </c>
      <c r="I3502" s="10">
        <v>45660.452870370369</v>
      </c>
      <c r="J3502" s="10">
        <v>45660.454398148147</v>
      </c>
      <c r="K3502" s="11">
        <v>1.5277777777777781E-3</v>
      </c>
      <c r="L3502" s="13"/>
    </row>
    <row r="3503" spans="1:12" x14ac:dyDescent="0.25">
      <c r="A3503" s="3" t="s">
        <v>6718</v>
      </c>
      <c r="B3503" s="3" t="s">
        <v>6764</v>
      </c>
      <c r="C3503" s="3" t="s">
        <v>732</v>
      </c>
      <c r="D3503" s="9">
        <v>21</v>
      </c>
      <c r="E3503" s="3"/>
      <c r="F3503" s="3"/>
      <c r="G3503" s="9"/>
      <c r="H3503" s="10">
        <v>45660.454039351847</v>
      </c>
      <c r="I3503" s="10">
        <v>45660.454884259263</v>
      </c>
      <c r="J3503" s="10">
        <v>45660.456412037027</v>
      </c>
      <c r="K3503" s="11">
        <v>1.5277777777777781E-3</v>
      </c>
      <c r="L3503" s="13"/>
    </row>
    <row r="3504" spans="1:12" x14ac:dyDescent="0.25">
      <c r="A3504" s="3" t="s">
        <v>6718</v>
      </c>
      <c r="B3504" s="3" t="s">
        <v>6765</v>
      </c>
      <c r="C3504" s="3" t="s">
        <v>735</v>
      </c>
      <c r="D3504" s="9">
        <v>146.30000000000001</v>
      </c>
      <c r="E3504" s="3"/>
      <c r="F3504" s="3"/>
      <c r="G3504" s="9"/>
      <c r="H3504" s="10">
        <v>45660.456076388888</v>
      </c>
      <c r="I3504" s="10">
        <v>45660.456944444442</v>
      </c>
      <c r="J3504" s="10">
        <v>45660.458472222221</v>
      </c>
      <c r="K3504" s="11">
        <v>1.5277777777777781E-3</v>
      </c>
      <c r="L3504" s="13"/>
    </row>
    <row r="3505" spans="1:12" x14ac:dyDescent="0.25">
      <c r="A3505" s="3" t="s">
        <v>6718</v>
      </c>
      <c r="B3505" s="3" t="s">
        <v>6766</v>
      </c>
      <c r="C3505" s="3" t="s">
        <v>738</v>
      </c>
      <c r="D3505" s="9">
        <v>278</v>
      </c>
      <c r="E3505" s="3"/>
      <c r="F3505" s="3"/>
      <c r="G3505" s="9"/>
      <c r="H3505" s="10">
        <v>45660.551423611112</v>
      </c>
      <c r="I3505" s="10">
        <v>45660.552256944437</v>
      </c>
      <c r="J3505" s="10">
        <v>45660.553784722222</v>
      </c>
      <c r="K3505" s="11">
        <v>1.5277777777777781E-3</v>
      </c>
      <c r="L3505" s="13"/>
    </row>
    <row r="3506" spans="1:12" x14ac:dyDescent="0.25">
      <c r="A3506" s="3" t="s">
        <v>6718</v>
      </c>
      <c r="B3506" s="3" t="s">
        <v>6767</v>
      </c>
      <c r="C3506" s="3" t="s">
        <v>741</v>
      </c>
      <c r="D3506" s="9">
        <v>63</v>
      </c>
      <c r="E3506" s="3"/>
      <c r="F3506" s="3"/>
      <c r="G3506" s="9"/>
      <c r="H3506" s="10">
        <v>45660.604270833333</v>
      </c>
      <c r="I3506" s="10">
        <v>45660.605138888888</v>
      </c>
      <c r="J3506" s="10">
        <v>45660.606666666667</v>
      </c>
      <c r="K3506" s="11">
        <v>1.5277777777777781E-3</v>
      </c>
      <c r="L3506" s="13"/>
    </row>
    <row r="3507" spans="1:12" x14ac:dyDescent="0.25">
      <c r="A3507" s="3" t="s">
        <v>6718</v>
      </c>
      <c r="B3507" s="3" t="s">
        <v>6768</v>
      </c>
      <c r="C3507" s="3" t="s">
        <v>744</v>
      </c>
      <c r="D3507" s="9">
        <v>15.7</v>
      </c>
      <c r="E3507" s="3"/>
      <c r="F3507" s="3"/>
      <c r="G3507" s="9"/>
      <c r="H3507" s="10">
        <v>45660.648298611108</v>
      </c>
      <c r="I3507" s="10">
        <v>45660.64916666667</v>
      </c>
      <c r="J3507" s="10">
        <v>45660.650694444441</v>
      </c>
      <c r="K3507" s="11">
        <v>1.5277777777777781E-3</v>
      </c>
      <c r="L3507" s="13"/>
    </row>
    <row r="3508" spans="1:12" x14ac:dyDescent="0.25">
      <c r="A3508" s="3" t="s">
        <v>6718</v>
      </c>
      <c r="B3508" s="3" t="s">
        <v>6769</v>
      </c>
      <c r="C3508" s="3" t="s">
        <v>747</v>
      </c>
      <c r="D3508" s="9">
        <v>164.2</v>
      </c>
      <c r="E3508" s="3"/>
      <c r="F3508" s="3"/>
      <c r="G3508" s="9"/>
      <c r="H3508" s="10">
        <v>45660.650555555563</v>
      </c>
      <c r="I3508" s="10">
        <v>45660.651412037027</v>
      </c>
      <c r="J3508" s="10">
        <v>45660.652939814812</v>
      </c>
      <c r="K3508" s="11">
        <v>1.5277777777777781E-3</v>
      </c>
      <c r="L3508" s="13"/>
    </row>
    <row r="3509" spans="1:12" x14ac:dyDescent="0.25">
      <c r="A3509" s="3" t="s">
        <v>6718</v>
      </c>
      <c r="B3509" s="3" t="s">
        <v>6770</v>
      </c>
      <c r="C3509" s="3" t="s">
        <v>756</v>
      </c>
      <c r="D3509" s="9">
        <v>19.899999999999999</v>
      </c>
      <c r="E3509" s="3"/>
      <c r="F3509" s="3"/>
      <c r="G3509" s="9"/>
      <c r="H3509" s="10">
        <v>45660.657175925917</v>
      </c>
      <c r="I3509" s="10">
        <v>45660.658043981479</v>
      </c>
      <c r="J3509" s="10">
        <v>45660.659571759257</v>
      </c>
      <c r="K3509" s="11">
        <v>1.5277777777777781E-3</v>
      </c>
      <c r="L3509" s="13"/>
    </row>
    <row r="3510" spans="1:12" x14ac:dyDescent="0.25">
      <c r="A3510" s="3" t="s">
        <v>6718</v>
      </c>
      <c r="B3510" s="3" t="s">
        <v>6771</v>
      </c>
      <c r="C3510" s="3" t="s">
        <v>767</v>
      </c>
      <c r="D3510" s="9">
        <v>21</v>
      </c>
      <c r="E3510" s="3"/>
      <c r="F3510" s="3"/>
      <c r="G3510" s="9"/>
      <c r="H3510" s="10">
        <v>45660.665567129632</v>
      </c>
      <c r="I3510" s="10">
        <v>45660.666342592587</v>
      </c>
      <c r="J3510" s="10">
        <v>45660.667731481481</v>
      </c>
      <c r="K3510" s="11">
        <v>1.3888888888888889E-3</v>
      </c>
      <c r="L3510" s="13"/>
    </row>
    <row r="3511" spans="1:12" x14ac:dyDescent="0.25">
      <c r="A3511" s="3" t="s">
        <v>6718</v>
      </c>
      <c r="B3511" s="3" t="s">
        <v>6772</v>
      </c>
      <c r="C3511" s="3" t="s">
        <v>771</v>
      </c>
      <c r="D3511" s="9">
        <v>278.89999999999998</v>
      </c>
      <c r="E3511" s="3"/>
      <c r="F3511" s="3"/>
      <c r="G3511" s="9"/>
      <c r="H3511" s="10">
        <v>45660.726909722223</v>
      </c>
      <c r="I3511" s="10">
        <v>45660.727777777778</v>
      </c>
      <c r="J3511" s="10">
        <v>45660.729305555556</v>
      </c>
      <c r="K3511" s="11">
        <v>1.5277777777777781E-3</v>
      </c>
      <c r="L3511" s="13"/>
    </row>
    <row r="3512" spans="1:12" x14ac:dyDescent="0.25">
      <c r="A3512" s="3" t="s">
        <v>6718</v>
      </c>
      <c r="B3512" s="3" t="s">
        <v>6773</v>
      </c>
      <c r="C3512" s="3" t="s">
        <v>780</v>
      </c>
      <c r="D3512" s="9">
        <v>78</v>
      </c>
      <c r="E3512" s="3"/>
      <c r="F3512" s="3"/>
      <c r="G3512" s="9"/>
      <c r="H3512" s="10">
        <v>45660.857349537036</v>
      </c>
      <c r="I3512" s="10">
        <v>45660.858124999999</v>
      </c>
      <c r="J3512" s="10">
        <v>45660.859513888892</v>
      </c>
      <c r="K3512" s="11">
        <v>1.3888888888888889E-3</v>
      </c>
      <c r="L3512" s="13"/>
    </row>
    <row r="3513" spans="1:12" x14ac:dyDescent="0.25">
      <c r="A3513" s="3" t="s">
        <v>6718</v>
      </c>
      <c r="B3513" s="3" t="s">
        <v>6774</v>
      </c>
      <c r="C3513" s="3" t="s">
        <v>791</v>
      </c>
      <c r="D3513" s="9">
        <v>19.899999999999999</v>
      </c>
      <c r="E3513" s="3"/>
      <c r="F3513" s="3"/>
      <c r="G3513" s="9"/>
      <c r="H3513" s="10">
        <v>45660.895590277767</v>
      </c>
      <c r="I3513" s="10">
        <v>45660.90253472222</v>
      </c>
      <c r="J3513" s="10">
        <v>45660.903923611113</v>
      </c>
      <c r="K3513" s="11">
        <v>1.3888888888888889E-3</v>
      </c>
      <c r="L3513" s="13"/>
    </row>
    <row r="3514" spans="1:12" x14ac:dyDescent="0.25">
      <c r="A3514" s="3" t="s">
        <v>6718</v>
      </c>
      <c r="B3514" s="3" t="s">
        <v>6775</v>
      </c>
      <c r="C3514" s="3" t="s">
        <v>794</v>
      </c>
      <c r="D3514" s="9">
        <v>69.7</v>
      </c>
      <c r="E3514" s="3"/>
      <c r="F3514" s="3"/>
      <c r="G3514" s="9"/>
      <c r="H3514" s="10">
        <v>45660.897638888891</v>
      </c>
      <c r="I3514" s="10">
        <v>45660.902685185189</v>
      </c>
      <c r="J3514" s="10">
        <v>45660.90421296296</v>
      </c>
      <c r="K3514" s="11">
        <v>1.5277777777777781E-3</v>
      </c>
      <c r="L3514" s="13"/>
    </row>
    <row r="3515" spans="1:12" x14ac:dyDescent="0.25">
      <c r="A3515" s="3" t="s">
        <v>6718</v>
      </c>
      <c r="B3515" s="3" t="s">
        <v>6776</v>
      </c>
      <c r="C3515" s="3" t="s">
        <v>797</v>
      </c>
      <c r="D3515" s="9">
        <v>12</v>
      </c>
      <c r="E3515" s="3"/>
      <c r="F3515" s="3"/>
      <c r="G3515" s="9"/>
      <c r="H3515" s="10">
        <v>45660.899513888893</v>
      </c>
      <c r="I3515" s="10">
        <v>45660.905462962961</v>
      </c>
      <c r="J3515" s="10">
        <v>45660.906851851847</v>
      </c>
      <c r="K3515" s="11">
        <v>1.3888888888888889E-3</v>
      </c>
      <c r="L3515" s="13"/>
    </row>
    <row r="3516" spans="1:12" x14ac:dyDescent="0.25">
      <c r="A3516" s="3" t="s">
        <v>6718</v>
      </c>
      <c r="B3516" s="3" t="s">
        <v>6777</v>
      </c>
      <c r="C3516" s="3" t="s">
        <v>802</v>
      </c>
      <c r="D3516" s="9">
        <v>15.7</v>
      </c>
      <c r="E3516" s="3"/>
      <c r="F3516" s="3"/>
      <c r="G3516" s="9"/>
      <c r="H3516" s="10">
        <v>45660.90283564815</v>
      </c>
      <c r="I3516" s="10">
        <v>45660.908391203702</v>
      </c>
      <c r="J3516" s="10">
        <v>45660.909780092603</v>
      </c>
      <c r="K3516" s="11">
        <v>1.3888888888888889E-3</v>
      </c>
      <c r="L3516" s="13"/>
    </row>
    <row r="3517" spans="1:12" x14ac:dyDescent="0.25">
      <c r="A3517" s="3" t="s">
        <v>6718</v>
      </c>
      <c r="B3517" s="3" t="s">
        <v>6778</v>
      </c>
      <c r="C3517" s="3" t="s">
        <v>819</v>
      </c>
      <c r="D3517" s="9">
        <v>220.4</v>
      </c>
      <c r="E3517" s="3"/>
      <c r="F3517" s="3"/>
      <c r="G3517" s="9"/>
      <c r="H3517" s="10">
        <v>45661.247025462973</v>
      </c>
      <c r="I3517" s="10">
        <v>45661.247870370367</v>
      </c>
      <c r="J3517" s="10">
        <v>45661.249398148153</v>
      </c>
      <c r="K3517" s="11">
        <v>1.5277777777777781E-3</v>
      </c>
      <c r="L3517" s="13"/>
    </row>
    <row r="3518" spans="1:12" x14ac:dyDescent="0.25">
      <c r="A3518" s="3" t="s">
        <v>6718</v>
      </c>
      <c r="B3518" s="3" t="s">
        <v>6779</v>
      </c>
      <c r="C3518" s="3" t="s">
        <v>822</v>
      </c>
      <c r="D3518" s="9">
        <v>19.899999999999999</v>
      </c>
      <c r="E3518" s="3"/>
      <c r="F3518" s="3"/>
      <c r="G3518" s="9"/>
      <c r="H3518" s="10">
        <v>45661.248310185183</v>
      </c>
      <c r="I3518" s="10">
        <v>45661.249178240738</v>
      </c>
      <c r="J3518" s="10">
        <v>45661.250706018523</v>
      </c>
      <c r="K3518" s="11">
        <v>1.5277777777777781E-3</v>
      </c>
      <c r="L3518" s="13"/>
    </row>
    <row r="3519" spans="1:12" x14ac:dyDescent="0.25">
      <c r="A3519" s="3" t="s">
        <v>6718</v>
      </c>
      <c r="B3519" s="3" t="s">
        <v>6780</v>
      </c>
      <c r="C3519" s="3" t="s">
        <v>825</v>
      </c>
      <c r="D3519" s="9">
        <v>54.7</v>
      </c>
      <c r="E3519" s="3"/>
      <c r="F3519" s="3"/>
      <c r="G3519" s="9"/>
      <c r="H3519" s="10">
        <v>45661.250358796293</v>
      </c>
      <c r="I3519" s="10">
        <v>45661.251203703701</v>
      </c>
      <c r="J3519" s="10">
        <v>45661.25273148148</v>
      </c>
      <c r="K3519" s="11">
        <v>1.5277777777777781E-3</v>
      </c>
      <c r="L3519" s="13"/>
    </row>
    <row r="3520" spans="1:12" x14ac:dyDescent="0.25">
      <c r="A3520" s="3" t="s">
        <v>6718</v>
      </c>
      <c r="B3520" s="3" t="s">
        <v>6781</v>
      </c>
      <c r="C3520" s="3" t="s">
        <v>827</v>
      </c>
      <c r="D3520" s="9">
        <v>94.4</v>
      </c>
      <c r="E3520" s="3"/>
      <c r="F3520" s="3"/>
      <c r="G3520" s="9"/>
      <c r="H3520" s="10">
        <v>45662.744618055563</v>
      </c>
      <c r="I3520" s="10">
        <v>45662.745486111111</v>
      </c>
      <c r="J3520" s="10">
        <v>45662.747013888889</v>
      </c>
      <c r="K3520" s="11">
        <v>1.5277777777777781E-3</v>
      </c>
      <c r="L3520" s="13"/>
    </row>
    <row r="3521" spans="1:12" x14ac:dyDescent="0.25">
      <c r="A3521" s="3" t="s">
        <v>6718</v>
      </c>
      <c r="B3521" s="3" t="s">
        <v>6782</v>
      </c>
      <c r="C3521" s="3" t="s">
        <v>834</v>
      </c>
      <c r="D3521" s="9">
        <v>428.8</v>
      </c>
      <c r="E3521" s="3"/>
      <c r="F3521" s="3"/>
      <c r="G3521" s="9"/>
      <c r="H3521" s="10">
        <v>45662.85261574074</v>
      </c>
      <c r="I3521" s="10">
        <v>45662.853483796287</v>
      </c>
      <c r="J3521" s="10">
        <v>45662.855011574073</v>
      </c>
      <c r="K3521" s="11">
        <v>1.5277777777777781E-3</v>
      </c>
      <c r="L3521" s="13"/>
    </row>
    <row r="3522" spans="1:12" x14ac:dyDescent="0.25">
      <c r="A3522" s="3" t="s">
        <v>6718</v>
      </c>
      <c r="B3522" s="3" t="s">
        <v>6783</v>
      </c>
      <c r="C3522" s="3" t="s">
        <v>837</v>
      </c>
      <c r="D3522" s="9">
        <v>60.8</v>
      </c>
      <c r="E3522" s="3"/>
      <c r="F3522" s="3"/>
      <c r="G3522" s="9"/>
      <c r="H3522" s="10">
        <v>45662.854594907411</v>
      </c>
      <c r="I3522" s="10">
        <v>45662.855370370373</v>
      </c>
      <c r="J3522" s="10">
        <v>45662.856759259259</v>
      </c>
      <c r="K3522" s="11">
        <v>1.3888888888888889E-3</v>
      </c>
      <c r="L3522" s="13"/>
    </row>
    <row r="3523" spans="1:12" x14ac:dyDescent="0.25">
      <c r="A3523" s="3" t="s">
        <v>6718</v>
      </c>
      <c r="B3523" s="3" t="s">
        <v>6784</v>
      </c>
      <c r="C3523" s="3" t="s">
        <v>839</v>
      </c>
      <c r="D3523" s="9">
        <v>101.2</v>
      </c>
      <c r="E3523" s="3"/>
      <c r="F3523" s="3"/>
      <c r="G3523" s="9"/>
      <c r="H3523" s="10">
        <v>45662.856724537043</v>
      </c>
      <c r="I3523" s="10">
        <v>45662.857592592591</v>
      </c>
      <c r="J3523" s="10">
        <v>45662.859120370369</v>
      </c>
      <c r="K3523" s="11">
        <v>1.5277777777777781E-3</v>
      </c>
      <c r="L3523" s="13"/>
    </row>
    <row r="3524" spans="1:12" x14ac:dyDescent="0.25">
      <c r="A3524" s="3" t="s">
        <v>6718</v>
      </c>
      <c r="B3524" s="3" t="s">
        <v>6785</v>
      </c>
      <c r="C3524" s="3" t="s">
        <v>842</v>
      </c>
      <c r="D3524" s="9">
        <v>241.4</v>
      </c>
      <c r="E3524" s="3"/>
      <c r="F3524" s="3"/>
      <c r="G3524" s="9"/>
      <c r="H3524" s="10">
        <v>45663.745000000003</v>
      </c>
      <c r="I3524" s="10">
        <v>45663.745833333327</v>
      </c>
      <c r="J3524" s="10">
        <v>45663.747361111113</v>
      </c>
      <c r="K3524" s="11">
        <v>1.5277777777777781E-3</v>
      </c>
      <c r="L3524" s="13"/>
    </row>
    <row r="3525" spans="1:12" x14ac:dyDescent="0.25">
      <c r="A3525" s="3" t="s">
        <v>6718</v>
      </c>
      <c r="B3525" s="3" t="s">
        <v>6786</v>
      </c>
      <c r="C3525" s="3" t="s">
        <v>855</v>
      </c>
      <c r="D3525" s="9">
        <v>297</v>
      </c>
      <c r="E3525" s="3"/>
      <c r="F3525" s="3"/>
      <c r="G3525" s="9"/>
      <c r="H3525" s="10">
        <v>45664.281192129631</v>
      </c>
      <c r="I3525" s="10">
        <v>45664.282037037039</v>
      </c>
      <c r="J3525" s="10">
        <v>45664.283564814818</v>
      </c>
      <c r="K3525" s="11">
        <v>1.5277777777777781E-3</v>
      </c>
      <c r="L3525" s="13"/>
    </row>
    <row r="3526" spans="1:12" x14ac:dyDescent="0.25">
      <c r="A3526" s="3" t="s">
        <v>6718</v>
      </c>
      <c r="B3526" s="3" t="s">
        <v>6787</v>
      </c>
      <c r="C3526" s="3" t="s">
        <v>875</v>
      </c>
      <c r="D3526" s="9">
        <v>396.6</v>
      </c>
      <c r="E3526" s="3"/>
      <c r="F3526" s="3"/>
      <c r="G3526" s="9"/>
      <c r="H3526" s="10">
        <v>45664.318761574083</v>
      </c>
      <c r="I3526" s="10">
        <v>45664.319594907407</v>
      </c>
      <c r="J3526" s="10">
        <v>45664.321122685193</v>
      </c>
      <c r="K3526" s="11">
        <v>1.5277777777777781E-3</v>
      </c>
      <c r="L3526" s="13"/>
    </row>
    <row r="3527" spans="1:12" x14ac:dyDescent="0.25">
      <c r="A3527" s="3" t="s">
        <v>6718</v>
      </c>
      <c r="B3527" s="3" t="s">
        <v>6788</v>
      </c>
      <c r="C3527" s="3" t="s">
        <v>878</v>
      </c>
      <c r="D3527" s="9">
        <v>189.9</v>
      </c>
      <c r="E3527" s="3"/>
      <c r="F3527" s="3"/>
      <c r="G3527" s="9"/>
      <c r="H3527" s="10">
        <v>45664.321504629632</v>
      </c>
      <c r="I3527" s="10">
        <v>45664.322372685187</v>
      </c>
      <c r="J3527" s="10">
        <v>45664.323900462958</v>
      </c>
      <c r="K3527" s="11">
        <v>1.5277777777777781E-3</v>
      </c>
      <c r="L3527" s="13"/>
    </row>
    <row r="3528" spans="1:12" x14ac:dyDescent="0.25">
      <c r="A3528" s="3" t="s">
        <v>6718</v>
      </c>
      <c r="B3528" s="3" t="s">
        <v>6789</v>
      </c>
      <c r="C3528" s="3" t="s">
        <v>866</v>
      </c>
      <c r="D3528" s="9">
        <v>39</v>
      </c>
      <c r="E3528" s="3"/>
      <c r="F3528" s="3"/>
      <c r="G3528" s="9"/>
      <c r="H3528" s="10">
        <v>45664.33017361111</v>
      </c>
      <c r="I3528" s="10">
        <v>45664.334594907406</v>
      </c>
      <c r="J3528" s="10">
        <v>45664.336122685178</v>
      </c>
      <c r="K3528" s="11">
        <v>1.5277777777777781E-3</v>
      </c>
      <c r="L3528" s="13"/>
    </row>
    <row r="3529" spans="1:12" x14ac:dyDescent="0.25">
      <c r="A3529" s="3" t="s">
        <v>6718</v>
      </c>
      <c r="B3529" s="3" t="s">
        <v>6790</v>
      </c>
      <c r="C3529" s="3" t="s">
        <v>869</v>
      </c>
      <c r="D3529" s="9">
        <v>15.7</v>
      </c>
      <c r="E3529" s="3"/>
      <c r="F3529" s="3"/>
      <c r="G3529" s="9"/>
      <c r="H3529" s="10">
        <v>45664.331331018519</v>
      </c>
      <c r="I3529" s="10">
        <v>45664.336527777778</v>
      </c>
      <c r="J3529" s="10">
        <v>45664.338055555563</v>
      </c>
      <c r="K3529" s="11">
        <v>1.5277777777777781E-3</v>
      </c>
      <c r="L3529" s="13"/>
    </row>
    <row r="3530" spans="1:12" x14ac:dyDescent="0.25">
      <c r="A3530" s="3" t="s">
        <v>6718</v>
      </c>
      <c r="B3530" s="3" t="s">
        <v>6791</v>
      </c>
      <c r="C3530" s="3" t="s">
        <v>872</v>
      </c>
      <c r="D3530" s="9">
        <v>35.6</v>
      </c>
      <c r="E3530" s="3"/>
      <c r="F3530" s="3"/>
      <c r="G3530" s="9"/>
      <c r="H3530" s="10">
        <v>45664.333136574067</v>
      </c>
      <c r="I3530" s="10">
        <v>45664.337534722217</v>
      </c>
      <c r="J3530" s="10">
        <v>45664.338923611111</v>
      </c>
      <c r="K3530" s="11">
        <v>1.3888888888888889E-3</v>
      </c>
      <c r="L3530" s="13"/>
    </row>
    <row r="3531" spans="1:12" x14ac:dyDescent="0.25">
      <c r="A3531" s="3" t="s">
        <v>6718</v>
      </c>
      <c r="B3531" s="3" t="s">
        <v>6792</v>
      </c>
      <c r="C3531" s="3" t="s">
        <v>881</v>
      </c>
      <c r="D3531" s="9">
        <v>281.39999999999998</v>
      </c>
      <c r="E3531" s="3"/>
      <c r="F3531" s="3"/>
      <c r="G3531" s="9"/>
      <c r="H3531" s="10">
        <v>45664.35701388889</v>
      </c>
      <c r="I3531" s="10">
        <v>45664.361851851849</v>
      </c>
      <c r="J3531" s="10">
        <v>45664.363240740742</v>
      </c>
      <c r="K3531" s="11">
        <v>1.3888888888888889E-3</v>
      </c>
      <c r="L3531" s="13"/>
    </row>
    <row r="3532" spans="1:12" x14ac:dyDescent="0.25">
      <c r="A3532" s="3" t="s">
        <v>6718</v>
      </c>
      <c r="B3532" s="3" t="s">
        <v>6793</v>
      </c>
      <c r="C3532" s="3" t="s">
        <v>885</v>
      </c>
      <c r="D3532" s="9">
        <v>37.5</v>
      </c>
      <c r="E3532" s="3"/>
      <c r="F3532" s="3"/>
      <c r="G3532" s="9"/>
      <c r="H3532" s="10">
        <v>45664.374756944453</v>
      </c>
      <c r="I3532" s="10">
        <v>45664.392395833333</v>
      </c>
      <c r="J3532" s="10">
        <v>45664.393784722219</v>
      </c>
      <c r="K3532" s="11">
        <v>1.3888888888888889E-3</v>
      </c>
      <c r="L3532" s="13"/>
    </row>
    <row r="3533" spans="1:12" x14ac:dyDescent="0.25">
      <c r="A3533" s="3" t="s">
        <v>6718</v>
      </c>
      <c r="B3533" s="3" t="s">
        <v>6794</v>
      </c>
      <c r="C3533" s="3" t="s">
        <v>890</v>
      </c>
      <c r="D3533" s="9">
        <v>63</v>
      </c>
      <c r="E3533" s="3"/>
      <c r="F3533" s="3"/>
      <c r="G3533" s="9"/>
      <c r="H3533" s="10">
        <v>45664.377245370371</v>
      </c>
      <c r="I3533" s="10">
        <v>45664.395358796297</v>
      </c>
      <c r="J3533" s="10">
        <v>45664.396747685183</v>
      </c>
      <c r="K3533" s="11">
        <v>1.3888888888888889E-3</v>
      </c>
      <c r="L3533" s="13"/>
    </row>
    <row r="3534" spans="1:12" x14ac:dyDescent="0.25">
      <c r="A3534" s="3" t="s">
        <v>6718</v>
      </c>
      <c r="B3534" s="3" t="s">
        <v>6795</v>
      </c>
      <c r="C3534" s="3" t="s">
        <v>897</v>
      </c>
      <c r="D3534" s="9">
        <v>43.1</v>
      </c>
      <c r="E3534" s="3"/>
      <c r="F3534" s="3"/>
      <c r="G3534" s="9"/>
      <c r="H3534" s="10">
        <v>45664.381990740738</v>
      </c>
      <c r="I3534" s="10">
        <v>45664.402013888888</v>
      </c>
      <c r="J3534" s="10">
        <v>45664.403541666667</v>
      </c>
      <c r="K3534" s="11">
        <v>1.5277777777777781E-3</v>
      </c>
      <c r="L3534" s="13"/>
    </row>
    <row r="3535" spans="1:12" x14ac:dyDescent="0.25">
      <c r="A3535" s="3" t="s">
        <v>6718</v>
      </c>
      <c r="B3535" s="3" t="s">
        <v>6796</v>
      </c>
      <c r="C3535" s="3" t="s">
        <v>900</v>
      </c>
      <c r="D3535" s="9">
        <v>81</v>
      </c>
      <c r="E3535" s="3"/>
      <c r="F3535" s="3"/>
      <c r="G3535" s="9"/>
      <c r="H3535" s="10">
        <v>45664.384027777778</v>
      </c>
      <c r="I3535" s="10">
        <v>45664.402685185189</v>
      </c>
      <c r="J3535" s="10">
        <v>45664.404074074067</v>
      </c>
      <c r="K3535" s="11">
        <v>1.3888888888888889E-3</v>
      </c>
      <c r="L3535" s="13"/>
    </row>
    <row r="3536" spans="1:12" x14ac:dyDescent="0.25">
      <c r="A3536" s="3" t="s">
        <v>6718</v>
      </c>
      <c r="B3536" s="3" t="s">
        <v>6797</v>
      </c>
      <c r="C3536" s="3" t="s">
        <v>905</v>
      </c>
      <c r="D3536" s="9">
        <v>292.89999999999998</v>
      </c>
      <c r="E3536" s="3"/>
      <c r="F3536" s="3"/>
      <c r="G3536" s="9"/>
      <c r="H3536" s="10">
        <v>45664.452939814822</v>
      </c>
      <c r="I3536" s="10">
        <v>45664.45380787037</v>
      </c>
      <c r="J3536" s="10">
        <v>45664.455335648148</v>
      </c>
      <c r="K3536" s="11">
        <v>1.5277777777777781E-3</v>
      </c>
      <c r="L3536" s="13"/>
    </row>
    <row r="3537" spans="1:12" x14ac:dyDescent="0.25">
      <c r="A3537" s="3" t="s">
        <v>6718</v>
      </c>
      <c r="B3537" s="3" t="s">
        <v>6798</v>
      </c>
      <c r="C3537" s="3" t="s">
        <v>907</v>
      </c>
      <c r="D3537" s="9">
        <v>84</v>
      </c>
      <c r="E3537" s="3"/>
      <c r="F3537" s="3"/>
      <c r="G3537" s="9"/>
      <c r="H3537" s="10">
        <v>45664.455011574071</v>
      </c>
      <c r="I3537" s="10">
        <v>45664.45579861111</v>
      </c>
      <c r="J3537" s="10">
        <v>45664.457187499997</v>
      </c>
      <c r="K3537" s="11">
        <v>1.3888888888888889E-3</v>
      </c>
      <c r="L3537" s="13"/>
    </row>
    <row r="3538" spans="1:12" x14ac:dyDescent="0.25">
      <c r="A3538" s="3" t="s">
        <v>6718</v>
      </c>
      <c r="B3538" s="3" t="s">
        <v>6799</v>
      </c>
      <c r="C3538" s="3" t="s">
        <v>910</v>
      </c>
      <c r="D3538" s="9">
        <v>71.7</v>
      </c>
      <c r="E3538" s="3"/>
      <c r="F3538" s="3"/>
      <c r="G3538" s="9"/>
      <c r="H3538" s="10">
        <v>45664.457175925927</v>
      </c>
      <c r="I3538" s="10">
        <v>45664.458043981482</v>
      </c>
      <c r="J3538" s="10">
        <v>45664.45957175926</v>
      </c>
      <c r="K3538" s="11">
        <v>1.5277777777777781E-3</v>
      </c>
      <c r="L3538" s="13"/>
    </row>
    <row r="3539" spans="1:12" x14ac:dyDescent="0.25">
      <c r="A3539" s="3" t="s">
        <v>6718</v>
      </c>
      <c r="B3539" s="3" t="s">
        <v>6800</v>
      </c>
      <c r="C3539" s="3" t="s">
        <v>915</v>
      </c>
      <c r="D3539" s="9">
        <v>398</v>
      </c>
      <c r="E3539" s="3"/>
      <c r="F3539" s="3"/>
      <c r="G3539" s="9"/>
      <c r="H3539" s="10">
        <v>45664.60460648148</v>
      </c>
      <c r="I3539" s="10">
        <v>45664.605393518519</v>
      </c>
      <c r="J3539" s="10">
        <v>45664.606782407413</v>
      </c>
      <c r="K3539" s="11">
        <v>1.3888888888888889E-3</v>
      </c>
      <c r="L3539" s="13"/>
    </row>
    <row r="3540" spans="1:12" x14ac:dyDescent="0.25">
      <c r="A3540" s="3" t="s">
        <v>6718</v>
      </c>
      <c r="B3540" s="3" t="s">
        <v>6801</v>
      </c>
      <c r="C3540" s="3" t="s">
        <v>918</v>
      </c>
      <c r="D3540" s="9">
        <v>19.899999999999999</v>
      </c>
      <c r="E3540" s="3"/>
      <c r="F3540" s="3"/>
      <c r="G3540" s="9"/>
      <c r="H3540" s="10">
        <v>45664.645428240743</v>
      </c>
      <c r="I3540" s="10">
        <v>45664.646215277768</v>
      </c>
      <c r="J3540" s="10">
        <v>45664.647604166668</v>
      </c>
      <c r="K3540" s="11">
        <v>1.3888888888888889E-3</v>
      </c>
      <c r="L3540" s="13"/>
    </row>
    <row r="3541" spans="1:12" x14ac:dyDescent="0.25">
      <c r="A3541" s="3" t="s">
        <v>6718</v>
      </c>
      <c r="B3541" s="3" t="s">
        <v>6802</v>
      </c>
      <c r="C3541" s="3" t="s">
        <v>923</v>
      </c>
      <c r="D3541" s="9">
        <v>15.7</v>
      </c>
      <c r="E3541" s="3"/>
      <c r="F3541" s="3"/>
      <c r="G3541" s="9"/>
      <c r="H3541" s="10">
        <v>45664.648321759261</v>
      </c>
      <c r="I3541" s="10">
        <v>45664.649189814823</v>
      </c>
      <c r="J3541" s="10">
        <v>45664.650717592587</v>
      </c>
      <c r="K3541" s="11">
        <v>1.5277777777777781E-3</v>
      </c>
      <c r="L3541" s="13"/>
    </row>
    <row r="3542" spans="1:12" x14ac:dyDescent="0.25">
      <c r="A3542" s="3" t="s">
        <v>6718</v>
      </c>
      <c r="B3542" s="3" t="s">
        <v>6803</v>
      </c>
      <c r="C3542" s="3" t="s">
        <v>932</v>
      </c>
      <c r="D3542" s="9">
        <v>101.9</v>
      </c>
      <c r="E3542" s="3"/>
      <c r="F3542" s="3"/>
      <c r="G3542" s="9"/>
      <c r="H3542" s="10">
        <v>45664.654583333337</v>
      </c>
      <c r="I3542" s="10">
        <v>45664.655428240738</v>
      </c>
      <c r="J3542" s="10">
        <v>45664.656956018523</v>
      </c>
      <c r="K3542" s="11">
        <v>1.5277777777777781E-3</v>
      </c>
      <c r="L3542" s="13"/>
    </row>
    <row r="3543" spans="1:12" x14ac:dyDescent="0.25">
      <c r="A3543" s="3" t="s">
        <v>6718</v>
      </c>
      <c r="B3543" s="3" t="s">
        <v>6804</v>
      </c>
      <c r="C3543" s="3" t="s">
        <v>942</v>
      </c>
      <c r="D3543" s="9">
        <v>393.5</v>
      </c>
      <c r="E3543" s="3"/>
      <c r="F3543" s="3"/>
      <c r="G3543" s="9"/>
      <c r="H3543" s="10">
        <v>45664.66443287037</v>
      </c>
      <c r="I3543" s="10">
        <v>45664.665486111109</v>
      </c>
      <c r="J3543" s="10">
        <v>45664.666875000003</v>
      </c>
      <c r="K3543" s="11">
        <v>1.3888888888888889E-3</v>
      </c>
      <c r="L3543" s="13"/>
    </row>
    <row r="3544" spans="1:12" x14ac:dyDescent="0.25">
      <c r="A3544" s="3" t="s">
        <v>6718</v>
      </c>
      <c r="B3544" s="3" t="s">
        <v>6805</v>
      </c>
      <c r="C3544" s="3" t="s">
        <v>945</v>
      </c>
      <c r="D3544" s="9">
        <v>93.8</v>
      </c>
      <c r="E3544" s="3"/>
      <c r="F3544" s="3"/>
      <c r="G3544" s="9"/>
      <c r="H3544" s="10">
        <v>45664.67633101852</v>
      </c>
      <c r="I3544" s="10">
        <v>45664.67827546296</v>
      </c>
      <c r="J3544" s="10">
        <v>45664.679664351846</v>
      </c>
      <c r="K3544" s="11">
        <v>1.3888888888888889E-3</v>
      </c>
      <c r="L3544" s="13"/>
    </row>
    <row r="3545" spans="1:12" x14ac:dyDescent="0.25">
      <c r="A3545" s="3" t="s">
        <v>6718</v>
      </c>
      <c r="B3545" s="3" t="s">
        <v>6806</v>
      </c>
      <c r="C3545" s="3" t="s">
        <v>956</v>
      </c>
      <c r="D3545" s="9">
        <v>31.5</v>
      </c>
      <c r="E3545" s="3"/>
      <c r="F3545" s="3"/>
      <c r="G3545" s="9"/>
      <c r="H3545" s="10">
        <v>45664.749479166669</v>
      </c>
      <c r="I3545" s="10">
        <v>45664.750347222223</v>
      </c>
      <c r="J3545" s="10">
        <v>45664.751875000002</v>
      </c>
      <c r="K3545" s="11">
        <v>1.5277777777777781E-3</v>
      </c>
      <c r="L3545" s="13"/>
    </row>
    <row r="3546" spans="1:12" x14ac:dyDescent="0.25">
      <c r="A3546" s="3" t="s">
        <v>6718</v>
      </c>
      <c r="B3546" s="3" t="s">
        <v>6807</v>
      </c>
      <c r="C3546" s="3" t="s">
        <v>960</v>
      </c>
      <c r="D3546" s="9">
        <v>108</v>
      </c>
      <c r="E3546" s="3"/>
      <c r="F3546" s="3"/>
      <c r="G3546" s="9"/>
      <c r="H3546" s="10">
        <v>45664.752754629633</v>
      </c>
      <c r="I3546" s="10">
        <v>45664.753622685188</v>
      </c>
      <c r="J3546" s="10">
        <v>45664.755150462966</v>
      </c>
      <c r="K3546" s="11">
        <v>1.5277777777777781E-3</v>
      </c>
      <c r="L3546" s="13"/>
    </row>
    <row r="3547" spans="1:12" x14ac:dyDescent="0.25">
      <c r="A3547" s="3" t="s">
        <v>6718</v>
      </c>
      <c r="B3547" s="3" t="s">
        <v>6808</v>
      </c>
      <c r="C3547" s="3" t="s">
        <v>965</v>
      </c>
      <c r="D3547" s="9">
        <v>39</v>
      </c>
      <c r="E3547" s="3"/>
      <c r="F3547" s="3"/>
      <c r="G3547" s="9"/>
      <c r="H3547" s="10">
        <v>45664.756747685176</v>
      </c>
      <c r="I3547" s="10">
        <v>45664.757615740738</v>
      </c>
      <c r="J3547" s="10">
        <v>45664.759143518517</v>
      </c>
      <c r="K3547" s="11">
        <v>1.5277777777777781E-3</v>
      </c>
      <c r="L3547" s="13"/>
    </row>
    <row r="3548" spans="1:12" x14ac:dyDescent="0.25">
      <c r="A3548" s="3" t="s">
        <v>6718</v>
      </c>
      <c r="B3548" s="3" t="s">
        <v>6809</v>
      </c>
      <c r="C3548" s="3" t="s">
        <v>980</v>
      </c>
      <c r="D3548" s="9">
        <v>389.1</v>
      </c>
      <c r="E3548" s="3"/>
      <c r="F3548" s="3"/>
      <c r="G3548" s="9"/>
      <c r="H3548" s="10">
        <v>45664.886574074073</v>
      </c>
      <c r="I3548" s="10">
        <v>45664.887442129628</v>
      </c>
      <c r="J3548" s="10">
        <v>45664.888969907413</v>
      </c>
      <c r="K3548" s="11">
        <v>1.5277777777777781E-3</v>
      </c>
      <c r="L3548" s="13"/>
    </row>
    <row r="3549" spans="1:12" x14ac:dyDescent="0.25">
      <c r="A3549" s="3" t="s">
        <v>6718</v>
      </c>
      <c r="B3549" s="3" t="s">
        <v>6810</v>
      </c>
      <c r="C3549" s="3" t="s">
        <v>989</v>
      </c>
      <c r="D3549" s="9">
        <v>166.9</v>
      </c>
      <c r="E3549" s="3"/>
      <c r="F3549" s="3"/>
      <c r="G3549" s="9"/>
      <c r="H3549" s="10">
        <v>45665.134710648148</v>
      </c>
      <c r="I3549" s="10">
        <v>45665.135578703703</v>
      </c>
      <c r="J3549" s="10">
        <v>45665.137106481481</v>
      </c>
      <c r="K3549" s="11">
        <v>1.5277777777777781E-3</v>
      </c>
      <c r="L3549" s="13"/>
    </row>
    <row r="3550" spans="1:12" x14ac:dyDescent="0.25">
      <c r="A3550" s="3" t="s">
        <v>6718</v>
      </c>
      <c r="B3550" s="3" t="s">
        <v>6811</v>
      </c>
      <c r="C3550" s="3" t="s">
        <v>994</v>
      </c>
      <c r="D3550" s="9">
        <v>12</v>
      </c>
      <c r="E3550" s="3"/>
      <c r="F3550" s="3"/>
      <c r="G3550" s="9"/>
      <c r="H3550" s="10">
        <v>45665.137812499997</v>
      </c>
      <c r="I3550" s="10">
        <v>45665.13858796296</v>
      </c>
      <c r="J3550" s="10">
        <v>45665.139976851853</v>
      </c>
      <c r="K3550" s="11">
        <v>1.3888888888888889E-3</v>
      </c>
      <c r="L3550" s="13"/>
    </row>
    <row r="3551" spans="1:12" x14ac:dyDescent="0.25">
      <c r="A3551" s="3" t="s">
        <v>6718</v>
      </c>
      <c r="B3551" s="3" t="s">
        <v>6812</v>
      </c>
      <c r="C3551" s="3" t="s">
        <v>999</v>
      </c>
      <c r="D3551" s="9">
        <v>297</v>
      </c>
      <c r="E3551" s="3"/>
      <c r="F3551" s="3"/>
      <c r="G3551" s="9"/>
      <c r="H3551" s="10">
        <v>45665.260844907411</v>
      </c>
      <c r="I3551" s="10">
        <v>45665.261631944442</v>
      </c>
      <c r="J3551" s="10">
        <v>45665.263020833343</v>
      </c>
      <c r="K3551" s="11">
        <v>1.3888888888888889E-3</v>
      </c>
      <c r="L3551" s="13"/>
    </row>
    <row r="3552" spans="1:12" x14ac:dyDescent="0.25">
      <c r="A3552" s="3" t="s">
        <v>6718</v>
      </c>
      <c r="B3552" s="3" t="s">
        <v>6813</v>
      </c>
      <c r="C3552" s="3" t="s">
        <v>1040</v>
      </c>
      <c r="D3552" s="9">
        <v>156.69999999999999</v>
      </c>
      <c r="E3552" s="3"/>
      <c r="F3552" s="3"/>
      <c r="G3552" s="9"/>
      <c r="H3552" s="10">
        <v>45665.314131944448</v>
      </c>
      <c r="I3552" s="10">
        <v>45665.314895833333</v>
      </c>
      <c r="J3552" s="10">
        <v>45665.316284722219</v>
      </c>
      <c r="K3552" s="11">
        <v>1.3888888888888889E-3</v>
      </c>
      <c r="L3552" s="13"/>
    </row>
    <row r="3553" spans="1:12" x14ac:dyDescent="0.25">
      <c r="A3553" s="3" t="s">
        <v>6718</v>
      </c>
      <c r="B3553" s="3" t="s">
        <v>6814</v>
      </c>
      <c r="C3553" s="3" t="s">
        <v>1001</v>
      </c>
      <c r="D3553" s="9">
        <v>23.2</v>
      </c>
      <c r="E3553" s="3"/>
      <c r="F3553" s="3"/>
      <c r="G3553" s="9"/>
      <c r="H3553" s="10">
        <v>45665.331412037027</v>
      </c>
      <c r="I3553" s="10">
        <v>45665.332280092603</v>
      </c>
      <c r="J3553" s="10">
        <v>45665.333807870367</v>
      </c>
      <c r="K3553" s="11">
        <v>1.5277777777777781E-3</v>
      </c>
      <c r="L3553" s="13"/>
    </row>
    <row r="3554" spans="1:12" x14ac:dyDescent="0.25">
      <c r="A3554" s="3" t="s">
        <v>6718</v>
      </c>
      <c r="B3554" s="3" t="s">
        <v>6815</v>
      </c>
      <c r="C3554" s="3" t="s">
        <v>1008</v>
      </c>
      <c r="D3554" s="9">
        <v>60.8</v>
      </c>
      <c r="E3554" s="3"/>
      <c r="F3554" s="3"/>
      <c r="G3554" s="9"/>
      <c r="H3554" s="10">
        <v>45665.337326388893</v>
      </c>
      <c r="I3554" s="10">
        <v>45665.338194444441</v>
      </c>
      <c r="J3554" s="10">
        <v>45665.339722222219</v>
      </c>
      <c r="K3554" s="11">
        <v>1.5277777777777781E-3</v>
      </c>
      <c r="L3554" s="13"/>
    </row>
    <row r="3555" spans="1:12" x14ac:dyDescent="0.25">
      <c r="A3555" s="3" t="s">
        <v>6718</v>
      </c>
      <c r="B3555" s="3" t="s">
        <v>6816</v>
      </c>
      <c r="C3555" s="3" t="s">
        <v>1011</v>
      </c>
      <c r="D3555" s="9">
        <v>19.899999999999999</v>
      </c>
      <c r="E3555" s="3"/>
      <c r="F3555" s="3"/>
      <c r="G3555" s="9"/>
      <c r="H3555" s="10">
        <v>45665.339039351849</v>
      </c>
      <c r="I3555" s="10">
        <v>45665.339872685188</v>
      </c>
      <c r="J3555" s="10">
        <v>45665.341400462959</v>
      </c>
      <c r="K3555" s="11">
        <v>1.5277777777777781E-3</v>
      </c>
      <c r="L3555" s="13"/>
    </row>
    <row r="3556" spans="1:12" x14ac:dyDescent="0.25">
      <c r="A3556" s="3" t="s">
        <v>6718</v>
      </c>
      <c r="B3556" s="3" t="s">
        <v>6817</v>
      </c>
      <c r="C3556" s="3" t="s">
        <v>1014</v>
      </c>
      <c r="D3556" s="9">
        <v>12</v>
      </c>
      <c r="E3556" s="3"/>
      <c r="F3556" s="3"/>
      <c r="G3556" s="9"/>
      <c r="H3556" s="10">
        <v>45665.340277777781</v>
      </c>
      <c r="I3556" s="10">
        <v>45665.341145833343</v>
      </c>
      <c r="J3556" s="10">
        <v>45665.342673611107</v>
      </c>
      <c r="K3556" s="11">
        <v>1.5277777777777781E-3</v>
      </c>
      <c r="L3556" s="13"/>
    </row>
    <row r="3557" spans="1:12" x14ac:dyDescent="0.25">
      <c r="A3557" s="3" t="s">
        <v>6718</v>
      </c>
      <c r="B3557" s="3" t="s">
        <v>6818</v>
      </c>
      <c r="C3557" s="3" t="s">
        <v>1019</v>
      </c>
      <c r="D3557" s="9">
        <v>15.7</v>
      </c>
      <c r="E3557" s="3"/>
      <c r="F3557" s="3"/>
      <c r="G3557" s="9"/>
      <c r="H3557" s="10">
        <v>45665.343217592592</v>
      </c>
      <c r="I3557" s="10">
        <v>45665.344050925924</v>
      </c>
      <c r="J3557" s="10">
        <v>45665.345578703702</v>
      </c>
      <c r="K3557" s="11">
        <v>1.5277777777777781E-3</v>
      </c>
      <c r="L3557" s="13"/>
    </row>
    <row r="3558" spans="1:12" x14ac:dyDescent="0.25">
      <c r="A3558" s="3" t="s">
        <v>6718</v>
      </c>
      <c r="B3558" s="3" t="s">
        <v>6819</v>
      </c>
      <c r="C3558" s="3" t="s">
        <v>1022</v>
      </c>
      <c r="D3558" s="9">
        <v>108</v>
      </c>
      <c r="E3558" s="3"/>
      <c r="F3558" s="3"/>
      <c r="G3558" s="9"/>
      <c r="H3558" s="10">
        <v>45665.345347222217</v>
      </c>
      <c r="I3558" s="10">
        <v>45665.346203703702</v>
      </c>
      <c r="J3558" s="10">
        <v>45665.347731481481</v>
      </c>
      <c r="K3558" s="11">
        <v>1.5277777777777781E-3</v>
      </c>
      <c r="L3558" s="13"/>
    </row>
    <row r="3559" spans="1:12" x14ac:dyDescent="0.25">
      <c r="A3559" s="3" t="s">
        <v>6718</v>
      </c>
      <c r="B3559" s="3" t="s">
        <v>6820</v>
      </c>
      <c r="C3559" s="3" t="s">
        <v>1027</v>
      </c>
      <c r="D3559" s="9">
        <v>94.4</v>
      </c>
      <c r="E3559" s="3"/>
      <c r="F3559" s="3"/>
      <c r="G3559" s="9"/>
      <c r="H3559" s="10">
        <v>45665.348668981482</v>
      </c>
      <c r="I3559" s="10">
        <v>45665.34951388889</v>
      </c>
      <c r="J3559" s="10">
        <v>45665.351041666669</v>
      </c>
      <c r="K3559" s="11">
        <v>1.5277777777777781E-3</v>
      </c>
      <c r="L3559" s="13"/>
    </row>
    <row r="3560" spans="1:12" x14ac:dyDescent="0.25">
      <c r="A3560" s="3" t="s">
        <v>6718</v>
      </c>
      <c r="B3560" s="3" t="s">
        <v>6821</v>
      </c>
      <c r="C3560" s="3" t="s">
        <v>1032</v>
      </c>
      <c r="D3560" s="9">
        <v>15.7</v>
      </c>
      <c r="E3560" s="3"/>
      <c r="F3560" s="3"/>
      <c r="G3560" s="9"/>
      <c r="H3560" s="10">
        <v>45665.35229166667</v>
      </c>
      <c r="I3560" s="10">
        <v>45665.353136574071</v>
      </c>
      <c r="J3560" s="10">
        <v>45665.354664351849</v>
      </c>
      <c r="K3560" s="11">
        <v>1.5277777777777781E-3</v>
      </c>
      <c r="L3560" s="13"/>
    </row>
    <row r="3561" spans="1:12" x14ac:dyDescent="0.25">
      <c r="A3561" s="3" t="s">
        <v>6718</v>
      </c>
      <c r="B3561" s="3" t="s">
        <v>6822</v>
      </c>
      <c r="C3561" s="3" t="s">
        <v>1045</v>
      </c>
      <c r="D3561" s="9">
        <v>114.8</v>
      </c>
      <c r="E3561" s="3"/>
      <c r="F3561" s="3"/>
      <c r="G3561" s="9"/>
      <c r="H3561" s="10">
        <v>45665.384513888886</v>
      </c>
      <c r="I3561" s="10">
        <v>45665.385381944441</v>
      </c>
      <c r="J3561" s="10">
        <v>45665.38690972222</v>
      </c>
      <c r="K3561" s="11">
        <v>1.5277777777777781E-3</v>
      </c>
      <c r="L3561" s="13"/>
    </row>
    <row r="3562" spans="1:12" x14ac:dyDescent="0.25">
      <c r="A3562" s="3" t="s">
        <v>6718</v>
      </c>
      <c r="B3562" s="3" t="s">
        <v>6823</v>
      </c>
      <c r="C3562" s="3" t="s">
        <v>1047</v>
      </c>
      <c r="D3562" s="9">
        <v>120.4</v>
      </c>
      <c r="E3562" s="3"/>
      <c r="F3562" s="3"/>
      <c r="G3562" s="9"/>
      <c r="H3562" s="10">
        <v>45665.386712962973</v>
      </c>
      <c r="I3562" s="10">
        <v>45665.387499999997</v>
      </c>
      <c r="J3562" s="10">
        <v>45665.388888888891</v>
      </c>
      <c r="K3562" s="11">
        <v>1.3888888888888889E-3</v>
      </c>
      <c r="L3562" s="13"/>
    </row>
    <row r="3563" spans="1:12" x14ac:dyDescent="0.25">
      <c r="A3563" s="3" t="s">
        <v>6718</v>
      </c>
      <c r="B3563" s="3" t="s">
        <v>6824</v>
      </c>
      <c r="C3563" s="3" t="s">
        <v>1050</v>
      </c>
      <c r="D3563" s="9">
        <v>124.9</v>
      </c>
      <c r="E3563" s="3"/>
      <c r="F3563" s="3"/>
      <c r="G3563" s="9"/>
      <c r="H3563" s="10">
        <v>45665.439282407409</v>
      </c>
      <c r="I3563" s="10">
        <v>45665.440127314818</v>
      </c>
      <c r="J3563" s="10">
        <v>45665.441655092603</v>
      </c>
      <c r="K3563" s="11">
        <v>1.5277777777777781E-3</v>
      </c>
      <c r="L3563" s="13"/>
    </row>
    <row r="3564" spans="1:12" x14ac:dyDescent="0.25">
      <c r="A3564" s="3" t="s">
        <v>6718</v>
      </c>
      <c r="B3564" s="3" t="s">
        <v>6825</v>
      </c>
      <c r="C3564" s="3" t="s">
        <v>1053</v>
      </c>
      <c r="D3564" s="9">
        <v>21</v>
      </c>
      <c r="E3564" s="3"/>
      <c r="F3564" s="3"/>
      <c r="G3564" s="9"/>
      <c r="H3564" s="10">
        <v>45665.441203703696</v>
      </c>
      <c r="I3564" s="10">
        <v>45665.441979166673</v>
      </c>
      <c r="J3564" s="10">
        <v>45665.443368055552</v>
      </c>
      <c r="K3564" s="11">
        <v>1.3888888888888889E-3</v>
      </c>
      <c r="L3564" s="13"/>
    </row>
    <row r="3565" spans="1:12" x14ac:dyDescent="0.25">
      <c r="A3565" s="3" t="s">
        <v>6718</v>
      </c>
      <c r="B3565" s="3" t="s">
        <v>6826</v>
      </c>
      <c r="C3565" s="3" t="s">
        <v>1056</v>
      </c>
      <c r="D3565" s="9">
        <v>297.3</v>
      </c>
      <c r="E3565" s="3"/>
      <c r="F3565" s="3"/>
      <c r="G3565" s="9"/>
      <c r="H3565" s="10">
        <v>45665.443124999998</v>
      </c>
      <c r="I3565" s="10">
        <v>45665.443981481483</v>
      </c>
      <c r="J3565" s="10">
        <v>45665.445509259262</v>
      </c>
      <c r="K3565" s="11">
        <v>1.5277777777777781E-3</v>
      </c>
      <c r="L3565" s="13"/>
    </row>
    <row r="3566" spans="1:12" x14ac:dyDescent="0.25">
      <c r="A3566" s="3" t="s">
        <v>6718</v>
      </c>
      <c r="B3566" s="3" t="s">
        <v>6827</v>
      </c>
      <c r="C3566" s="3" t="s">
        <v>1059</v>
      </c>
      <c r="D3566" s="9">
        <v>296.8</v>
      </c>
      <c r="E3566" s="3"/>
      <c r="F3566" s="3"/>
      <c r="G3566" s="9"/>
      <c r="H3566" s="10">
        <v>45665.542500000003</v>
      </c>
      <c r="I3566" s="10">
        <v>45665.543287037042</v>
      </c>
      <c r="J3566" s="10">
        <v>45665.544675925928</v>
      </c>
      <c r="K3566" s="11">
        <v>1.3888888888888889E-3</v>
      </c>
      <c r="L3566" s="13"/>
    </row>
    <row r="3567" spans="1:12" x14ac:dyDescent="0.25">
      <c r="A3567" s="3" t="s">
        <v>6718</v>
      </c>
      <c r="B3567" s="3" t="s">
        <v>6828</v>
      </c>
      <c r="C3567" s="3" t="s">
        <v>1062</v>
      </c>
      <c r="D3567" s="9">
        <v>365.8</v>
      </c>
      <c r="E3567" s="3"/>
      <c r="F3567" s="3"/>
      <c r="G3567" s="9"/>
      <c r="H3567" s="10">
        <v>45665.612638888888</v>
      </c>
      <c r="I3567" s="10">
        <v>45665.613506944443</v>
      </c>
      <c r="J3567" s="10">
        <v>45665.615034722221</v>
      </c>
      <c r="K3567" s="11">
        <v>1.5277777777777781E-3</v>
      </c>
      <c r="L3567" s="13"/>
    </row>
    <row r="3568" spans="1:12" x14ac:dyDescent="0.25">
      <c r="A3568" s="3" t="s">
        <v>6718</v>
      </c>
      <c r="B3568" s="3" t="s">
        <v>6829</v>
      </c>
      <c r="C3568" s="3" t="s">
        <v>1069</v>
      </c>
      <c r="D3568" s="9">
        <v>27</v>
      </c>
      <c r="E3568" s="3"/>
      <c r="F3568" s="3"/>
      <c r="G3568" s="9"/>
      <c r="H3568" s="10">
        <v>45665.645624999997</v>
      </c>
      <c r="I3568" s="10">
        <v>45665.646469907413</v>
      </c>
      <c r="J3568" s="10">
        <v>45665.647997685177</v>
      </c>
      <c r="K3568" s="11">
        <v>1.5277777777777781E-3</v>
      </c>
      <c r="L3568" s="13"/>
    </row>
    <row r="3569" spans="1:12" x14ac:dyDescent="0.25">
      <c r="A3569" s="3" t="s">
        <v>6718</v>
      </c>
      <c r="B3569" s="3" t="s">
        <v>6830</v>
      </c>
      <c r="C3569" s="3" t="s">
        <v>1072</v>
      </c>
      <c r="D3569" s="9">
        <v>15.7</v>
      </c>
      <c r="E3569" s="3"/>
      <c r="F3569" s="3"/>
      <c r="G3569" s="9"/>
      <c r="H3569" s="10">
        <v>45665.647569444453</v>
      </c>
      <c r="I3569" s="10">
        <v>45665.649687500001</v>
      </c>
      <c r="J3569" s="10">
        <v>45665.65121527778</v>
      </c>
      <c r="K3569" s="11">
        <v>1.5277777777777781E-3</v>
      </c>
      <c r="L3569" s="13"/>
    </row>
    <row r="3570" spans="1:12" x14ac:dyDescent="0.25">
      <c r="A3570" s="3" t="s">
        <v>6718</v>
      </c>
      <c r="B3570" s="3" t="s">
        <v>6831</v>
      </c>
      <c r="C3570" s="3" t="s">
        <v>1077</v>
      </c>
      <c r="D3570" s="9">
        <v>94.4</v>
      </c>
      <c r="E3570" s="3"/>
      <c r="F3570" s="3"/>
      <c r="G3570" s="9"/>
      <c r="H3570" s="10">
        <v>45665.650671296287</v>
      </c>
      <c r="I3570" s="10">
        <v>45665.652905092589</v>
      </c>
      <c r="J3570" s="10">
        <v>45665.654432870368</v>
      </c>
      <c r="K3570" s="11">
        <v>1.5277777777777781E-3</v>
      </c>
      <c r="L3570" s="13"/>
    </row>
    <row r="3571" spans="1:12" x14ac:dyDescent="0.25">
      <c r="A3571" s="3" t="s">
        <v>6718</v>
      </c>
      <c r="B3571" s="3" t="s">
        <v>6832</v>
      </c>
      <c r="C3571" s="3" t="s">
        <v>1084</v>
      </c>
      <c r="D3571" s="9">
        <v>39</v>
      </c>
      <c r="E3571" s="3"/>
      <c r="F3571" s="3"/>
      <c r="G3571" s="9"/>
      <c r="H3571" s="10">
        <v>45665.655115740738</v>
      </c>
      <c r="I3571" s="10">
        <v>45665.659618055557</v>
      </c>
      <c r="J3571" s="10">
        <v>45665.661145833343</v>
      </c>
      <c r="K3571" s="11">
        <v>1.5277777777777781E-3</v>
      </c>
      <c r="L3571" s="13"/>
    </row>
    <row r="3572" spans="1:12" x14ac:dyDescent="0.25">
      <c r="A3572" s="3" t="s">
        <v>6718</v>
      </c>
      <c r="B3572" s="3" t="s">
        <v>6833</v>
      </c>
      <c r="C3572" s="3" t="s">
        <v>1091</v>
      </c>
      <c r="D3572" s="9">
        <v>362</v>
      </c>
      <c r="E3572" s="3"/>
      <c r="F3572" s="3"/>
      <c r="G3572" s="9"/>
      <c r="H3572" s="10">
        <v>45665.661504629628</v>
      </c>
      <c r="I3572" s="10">
        <v>45665.665625000001</v>
      </c>
      <c r="J3572" s="10">
        <v>45665.66715277778</v>
      </c>
      <c r="K3572" s="11">
        <v>1.5277777777777781E-3</v>
      </c>
      <c r="L3572" s="13"/>
    </row>
    <row r="3573" spans="1:12" x14ac:dyDescent="0.25">
      <c r="A3573" s="3" t="s">
        <v>6718</v>
      </c>
      <c r="B3573" s="3" t="s">
        <v>6834</v>
      </c>
      <c r="C3573" s="3" t="s">
        <v>1094</v>
      </c>
      <c r="D3573" s="9">
        <v>209.2</v>
      </c>
      <c r="E3573" s="3"/>
      <c r="F3573" s="3"/>
      <c r="G3573" s="9"/>
      <c r="H3573" s="10">
        <v>45665.731990740736</v>
      </c>
      <c r="I3573" s="10">
        <v>45665.732789351852</v>
      </c>
      <c r="J3573" s="10">
        <v>45665.734178240738</v>
      </c>
      <c r="K3573" s="11">
        <v>1.3888888888888889E-3</v>
      </c>
      <c r="L3573" s="13"/>
    </row>
    <row r="3574" spans="1:12" x14ac:dyDescent="0.25">
      <c r="A3574" s="3" t="s">
        <v>6718</v>
      </c>
      <c r="B3574" s="3" t="s">
        <v>6835</v>
      </c>
      <c r="C3574" s="3" t="s">
        <v>1096</v>
      </c>
      <c r="D3574" s="9">
        <v>15.7</v>
      </c>
      <c r="E3574" s="3"/>
      <c r="F3574" s="3"/>
      <c r="G3574" s="9"/>
      <c r="H3574" s="10">
        <v>45665.756527777783</v>
      </c>
      <c r="I3574" s="10">
        <v>45665.757314814808</v>
      </c>
      <c r="J3574" s="10">
        <v>45665.758703703701</v>
      </c>
      <c r="K3574" s="11">
        <v>1.3888888888888889E-3</v>
      </c>
      <c r="L3574" s="13"/>
    </row>
    <row r="3575" spans="1:12" x14ac:dyDescent="0.25">
      <c r="A3575" s="3" t="s">
        <v>6718</v>
      </c>
      <c r="B3575" s="3" t="s">
        <v>6836</v>
      </c>
      <c r="C3575" s="3" t="s">
        <v>1107</v>
      </c>
      <c r="D3575" s="9">
        <v>78.7</v>
      </c>
      <c r="E3575" s="3"/>
      <c r="F3575" s="3"/>
      <c r="G3575" s="9"/>
      <c r="H3575" s="10">
        <v>45665.84375</v>
      </c>
      <c r="I3575" s="10">
        <v>45665.844594907408</v>
      </c>
      <c r="J3575" s="10">
        <v>45665.846122685187</v>
      </c>
      <c r="K3575" s="11">
        <v>1.5277777777777781E-3</v>
      </c>
      <c r="L3575" s="13"/>
    </row>
    <row r="3576" spans="1:12" x14ac:dyDescent="0.25">
      <c r="A3576" s="3" t="s">
        <v>6718</v>
      </c>
      <c r="B3576" s="3" t="s">
        <v>6837</v>
      </c>
      <c r="C3576" s="3" t="s">
        <v>1130</v>
      </c>
      <c r="D3576" s="9">
        <v>21</v>
      </c>
      <c r="E3576" s="3"/>
      <c r="F3576" s="3"/>
      <c r="G3576" s="9"/>
      <c r="H3576" s="10">
        <v>45666.276550925933</v>
      </c>
      <c r="I3576" s="10">
        <v>45666.277418981481</v>
      </c>
      <c r="J3576" s="10">
        <v>45666.278946759259</v>
      </c>
      <c r="K3576" s="11">
        <v>1.5277777777777781E-3</v>
      </c>
      <c r="L3576" s="13"/>
    </row>
    <row r="3577" spans="1:12" x14ac:dyDescent="0.25">
      <c r="A3577" s="3" t="s">
        <v>6718</v>
      </c>
      <c r="B3577" s="3" t="s">
        <v>6838</v>
      </c>
      <c r="C3577" s="3" t="s">
        <v>1133</v>
      </c>
      <c r="D3577" s="9">
        <v>19.899999999999999</v>
      </c>
      <c r="E3577" s="3"/>
      <c r="F3577" s="3"/>
      <c r="G3577" s="9"/>
      <c r="H3577" s="10">
        <v>45666.278587962966</v>
      </c>
      <c r="I3577" s="10">
        <v>45666.279363425929</v>
      </c>
      <c r="J3577" s="10">
        <v>45666.280752314808</v>
      </c>
      <c r="K3577" s="11">
        <v>1.3888888888888889E-3</v>
      </c>
      <c r="L3577" s="13"/>
    </row>
    <row r="3578" spans="1:12" x14ac:dyDescent="0.25">
      <c r="A3578" s="3" t="s">
        <v>6718</v>
      </c>
      <c r="B3578" s="3" t="s">
        <v>6839</v>
      </c>
      <c r="C3578" s="3" t="s">
        <v>1138</v>
      </c>
      <c r="D3578" s="9">
        <v>12</v>
      </c>
      <c r="E3578" s="3"/>
      <c r="F3578" s="3"/>
      <c r="G3578" s="9"/>
      <c r="H3578" s="10">
        <v>45666.281157407408</v>
      </c>
      <c r="I3578" s="10">
        <v>45666.28229166667</v>
      </c>
      <c r="J3578" s="10">
        <v>45666.283680555563</v>
      </c>
      <c r="K3578" s="11">
        <v>1.3888888888888889E-3</v>
      </c>
      <c r="L3578" s="13"/>
    </row>
    <row r="3579" spans="1:12" x14ac:dyDescent="0.25">
      <c r="A3579" s="3" t="s">
        <v>6718</v>
      </c>
      <c r="B3579" s="3" t="s">
        <v>6840</v>
      </c>
      <c r="C3579" s="3" t="s">
        <v>1143</v>
      </c>
      <c r="D3579" s="9">
        <v>37.5</v>
      </c>
      <c r="E3579" s="3"/>
      <c r="F3579" s="3"/>
      <c r="G3579" s="9"/>
      <c r="H3579" s="10">
        <v>45666.284594907411</v>
      </c>
      <c r="I3579" s="10">
        <v>45666.285717592589</v>
      </c>
      <c r="J3579" s="10">
        <v>45666.287245370368</v>
      </c>
      <c r="K3579" s="11">
        <v>1.5277777777777781E-3</v>
      </c>
      <c r="L3579" s="13"/>
    </row>
    <row r="3580" spans="1:12" x14ac:dyDescent="0.25">
      <c r="A3580" s="3" t="s">
        <v>6718</v>
      </c>
      <c r="B3580" s="3" t="s">
        <v>6841</v>
      </c>
      <c r="C3580" s="3" t="s">
        <v>1148</v>
      </c>
      <c r="D3580" s="9">
        <v>185.9</v>
      </c>
      <c r="E3580" s="3"/>
      <c r="F3580" s="3"/>
      <c r="G3580" s="9"/>
      <c r="H3580" s="10">
        <v>45666.289548611108</v>
      </c>
      <c r="I3580" s="10">
        <v>45666.290324074071</v>
      </c>
      <c r="J3580" s="10">
        <v>45666.291712962957</v>
      </c>
      <c r="K3580" s="11">
        <v>1.3888888888888889E-3</v>
      </c>
      <c r="L3580" s="13"/>
    </row>
    <row r="3581" spans="1:12" x14ac:dyDescent="0.25">
      <c r="A3581" s="3" t="s">
        <v>6718</v>
      </c>
      <c r="B3581" s="3" t="s">
        <v>6842</v>
      </c>
      <c r="C3581" s="3" t="s">
        <v>1151</v>
      </c>
      <c r="D3581" s="9">
        <v>63</v>
      </c>
      <c r="E3581" s="3"/>
      <c r="F3581" s="3"/>
      <c r="G3581" s="9"/>
      <c r="H3581" s="10">
        <v>45666.318391203713</v>
      </c>
      <c r="I3581" s="10">
        <v>45666.31925925926</v>
      </c>
      <c r="J3581" s="10">
        <v>45666.320787037039</v>
      </c>
      <c r="K3581" s="11">
        <v>1.5277777777777781E-3</v>
      </c>
      <c r="L3581" s="13"/>
    </row>
    <row r="3582" spans="1:12" x14ac:dyDescent="0.25">
      <c r="A3582" s="3" t="s">
        <v>6718</v>
      </c>
      <c r="B3582" s="3" t="s">
        <v>6843</v>
      </c>
      <c r="C3582" s="3" t="s">
        <v>1164</v>
      </c>
      <c r="D3582" s="9">
        <v>93.7</v>
      </c>
      <c r="E3582" s="3"/>
      <c r="F3582" s="3"/>
      <c r="G3582" s="9"/>
      <c r="H3582" s="10">
        <v>45666.327893518523</v>
      </c>
      <c r="I3582" s="10">
        <v>45666.328761574077</v>
      </c>
      <c r="J3582" s="10">
        <v>45666.330289351848</v>
      </c>
      <c r="K3582" s="11">
        <v>1.5277777777777781E-3</v>
      </c>
      <c r="L3582" s="13"/>
    </row>
    <row r="3583" spans="1:12" x14ac:dyDescent="0.25">
      <c r="A3583" s="3" t="s">
        <v>6718</v>
      </c>
      <c r="B3583" s="3" t="s">
        <v>6844</v>
      </c>
      <c r="C3583" s="3" t="s">
        <v>1169</v>
      </c>
      <c r="D3583" s="9">
        <v>381.6</v>
      </c>
      <c r="E3583" s="3"/>
      <c r="F3583" s="3"/>
      <c r="G3583" s="9"/>
      <c r="H3583" s="10">
        <v>45666.339004629634</v>
      </c>
      <c r="I3583" s="10">
        <v>45666.354768518519</v>
      </c>
      <c r="J3583" s="10">
        <v>45666.356296296297</v>
      </c>
      <c r="K3583" s="11">
        <v>1.5277777777777781E-3</v>
      </c>
      <c r="L3583" s="13"/>
    </row>
    <row r="3584" spans="1:12" x14ac:dyDescent="0.25">
      <c r="A3584" s="3" t="s">
        <v>6718</v>
      </c>
      <c r="B3584" s="3" t="s">
        <v>6845</v>
      </c>
      <c r="C3584" s="3" t="s">
        <v>1172</v>
      </c>
      <c r="D3584" s="9">
        <v>118.2</v>
      </c>
      <c r="E3584" s="3"/>
      <c r="F3584" s="3"/>
      <c r="G3584" s="9"/>
      <c r="H3584" s="10">
        <v>45666.376736111109</v>
      </c>
      <c r="I3584" s="10">
        <v>45666.377604166657</v>
      </c>
      <c r="J3584" s="10">
        <v>45666.379131944443</v>
      </c>
      <c r="K3584" s="11">
        <v>1.5277777777777781E-3</v>
      </c>
      <c r="L3584" s="13"/>
    </row>
    <row r="3585" spans="1:12" x14ac:dyDescent="0.25">
      <c r="A3585" s="3" t="s">
        <v>6718</v>
      </c>
      <c r="B3585" s="3" t="s">
        <v>6846</v>
      </c>
      <c r="C3585" s="3" t="s">
        <v>1177</v>
      </c>
      <c r="D3585" s="9">
        <v>21</v>
      </c>
      <c r="E3585" s="3"/>
      <c r="F3585" s="3"/>
      <c r="G3585" s="9"/>
      <c r="H3585" s="10">
        <v>45666.464432870373</v>
      </c>
      <c r="I3585" s="10">
        <v>45666.465208333328</v>
      </c>
      <c r="J3585" s="10">
        <v>45666.466597222221</v>
      </c>
      <c r="K3585" s="11">
        <v>1.3888888888888889E-3</v>
      </c>
      <c r="L3585" s="13"/>
    </row>
    <row r="3586" spans="1:12" x14ac:dyDescent="0.25">
      <c r="A3586" s="3" t="s">
        <v>6718</v>
      </c>
      <c r="B3586" s="3" t="s">
        <v>6847</v>
      </c>
      <c r="C3586" s="3" t="s">
        <v>1180</v>
      </c>
      <c r="D3586" s="9">
        <v>414.7</v>
      </c>
      <c r="E3586" s="3"/>
      <c r="F3586" s="3"/>
      <c r="G3586" s="9"/>
      <c r="H3586" s="10">
        <v>45666.467083333337</v>
      </c>
      <c r="I3586" s="10">
        <v>45666.467951388891</v>
      </c>
      <c r="J3586" s="10">
        <v>45666.46947916667</v>
      </c>
      <c r="K3586" s="11">
        <v>1.5277777777777781E-3</v>
      </c>
      <c r="L3586" s="13"/>
    </row>
    <row r="3587" spans="1:12" x14ac:dyDescent="0.25">
      <c r="A3587" s="3" t="s">
        <v>6718</v>
      </c>
      <c r="B3587" s="3" t="s">
        <v>6848</v>
      </c>
      <c r="C3587" s="3" t="s">
        <v>1183</v>
      </c>
      <c r="D3587" s="9">
        <v>241.4</v>
      </c>
      <c r="E3587" s="3"/>
      <c r="F3587" s="3"/>
      <c r="G3587" s="9"/>
      <c r="H3587" s="10">
        <v>45666.616770833331</v>
      </c>
      <c r="I3587" s="10">
        <v>45666.617534722223</v>
      </c>
      <c r="J3587" s="10">
        <v>45666.618923611109</v>
      </c>
      <c r="K3587" s="11">
        <v>1.3888888888888889E-3</v>
      </c>
      <c r="L3587" s="13"/>
    </row>
    <row r="3588" spans="1:12" x14ac:dyDescent="0.25">
      <c r="A3588" s="3" t="s">
        <v>6718</v>
      </c>
      <c r="B3588" s="3" t="s">
        <v>6849</v>
      </c>
      <c r="C3588" s="3" t="s">
        <v>1188</v>
      </c>
      <c r="D3588" s="9">
        <v>91.2</v>
      </c>
      <c r="E3588" s="3"/>
      <c r="F3588" s="3"/>
      <c r="G3588" s="9"/>
      <c r="H3588" s="10">
        <v>45666.64334490741</v>
      </c>
      <c r="I3588" s="10">
        <v>45666.644212962958</v>
      </c>
      <c r="J3588" s="10">
        <v>45666.645740740743</v>
      </c>
      <c r="K3588" s="11">
        <v>1.5277777777777781E-3</v>
      </c>
      <c r="L3588" s="13"/>
    </row>
    <row r="3589" spans="1:12" x14ac:dyDescent="0.25">
      <c r="A3589" s="3" t="s">
        <v>6718</v>
      </c>
      <c r="B3589" s="3" t="s">
        <v>6850</v>
      </c>
      <c r="C3589" s="3" t="s">
        <v>1191</v>
      </c>
      <c r="D3589" s="9">
        <v>131.9</v>
      </c>
      <c r="E3589" s="3"/>
      <c r="F3589" s="3"/>
      <c r="G3589" s="9"/>
      <c r="H3589" s="10">
        <v>45666.644999999997</v>
      </c>
      <c r="I3589" s="10">
        <v>45666.646307870367</v>
      </c>
      <c r="J3589" s="10">
        <v>45666.647696759261</v>
      </c>
      <c r="K3589" s="11">
        <v>1.3888888888888889E-3</v>
      </c>
      <c r="L3589" s="13"/>
    </row>
    <row r="3590" spans="1:12" x14ac:dyDescent="0.25">
      <c r="A3590" s="3" t="s">
        <v>6718</v>
      </c>
      <c r="B3590" s="3" t="s">
        <v>6851</v>
      </c>
      <c r="C3590" s="3" t="s">
        <v>1197</v>
      </c>
      <c r="D3590" s="9">
        <v>314.8</v>
      </c>
      <c r="E3590" s="3"/>
      <c r="F3590" s="3"/>
      <c r="G3590" s="9"/>
      <c r="H3590" s="10">
        <v>45666.653946759259</v>
      </c>
      <c r="I3590" s="10">
        <v>45666.66337962963</v>
      </c>
      <c r="J3590" s="10">
        <v>45666.664907407408</v>
      </c>
      <c r="K3590" s="11">
        <v>1.5277777777777781E-3</v>
      </c>
      <c r="L3590" s="13"/>
    </row>
    <row r="3591" spans="1:12" x14ac:dyDescent="0.25">
      <c r="A3591" s="3" t="s">
        <v>6718</v>
      </c>
      <c r="B3591" s="3" t="s">
        <v>6852</v>
      </c>
      <c r="C3591" s="3" t="s">
        <v>1221</v>
      </c>
      <c r="D3591" s="9">
        <v>47.2</v>
      </c>
      <c r="E3591" s="3"/>
      <c r="F3591" s="3"/>
      <c r="G3591" s="9"/>
      <c r="H3591" s="10">
        <v>45666.74795138889</v>
      </c>
      <c r="I3591" s="10">
        <v>45666.748796296299</v>
      </c>
      <c r="J3591" s="10">
        <v>45666.750324074077</v>
      </c>
      <c r="K3591" s="11">
        <v>1.5277777777777781E-3</v>
      </c>
      <c r="L3591" s="13"/>
    </row>
    <row r="3592" spans="1:12" x14ac:dyDescent="0.25">
      <c r="A3592" s="3" t="s">
        <v>6718</v>
      </c>
      <c r="B3592" s="3" t="s">
        <v>6853</v>
      </c>
      <c r="C3592" s="3" t="s">
        <v>1206</v>
      </c>
      <c r="D3592" s="9">
        <v>116.9</v>
      </c>
      <c r="E3592" s="3"/>
      <c r="F3592" s="3"/>
      <c r="G3592" s="9"/>
      <c r="H3592" s="10">
        <v>45666.762430555558</v>
      </c>
      <c r="I3592" s="10">
        <v>45666.763298611113</v>
      </c>
      <c r="J3592" s="10">
        <v>45666.764826388891</v>
      </c>
      <c r="K3592" s="11">
        <v>1.5277777777777781E-3</v>
      </c>
      <c r="L3592" s="13"/>
    </row>
    <row r="3593" spans="1:12" x14ac:dyDescent="0.25">
      <c r="A3593" s="3" t="s">
        <v>6718</v>
      </c>
      <c r="B3593" s="3" t="s">
        <v>6854</v>
      </c>
      <c r="C3593" s="3" t="s">
        <v>1213</v>
      </c>
      <c r="D3593" s="9">
        <v>28</v>
      </c>
      <c r="E3593" s="3"/>
      <c r="F3593" s="3"/>
      <c r="G3593" s="9"/>
      <c r="H3593" s="10">
        <v>45666.76730324074</v>
      </c>
      <c r="I3593" s="10">
        <v>45666.768171296288</v>
      </c>
      <c r="J3593" s="10">
        <v>45666.769699074073</v>
      </c>
      <c r="K3593" s="11">
        <v>1.5277777777777781E-3</v>
      </c>
      <c r="L3593" s="13"/>
    </row>
    <row r="3594" spans="1:12" x14ac:dyDescent="0.25">
      <c r="A3594" s="3" t="s">
        <v>6718</v>
      </c>
      <c r="B3594" s="3" t="s">
        <v>6855</v>
      </c>
      <c r="C3594" s="3" t="s">
        <v>1216</v>
      </c>
      <c r="D3594" s="9">
        <v>19.899999999999999</v>
      </c>
      <c r="E3594" s="3"/>
      <c r="F3594" s="3"/>
      <c r="G3594" s="9"/>
      <c r="H3594" s="10">
        <v>45666.76903935185</v>
      </c>
      <c r="I3594" s="10">
        <v>45666.771435185183</v>
      </c>
      <c r="J3594" s="10">
        <v>45666.772962962961</v>
      </c>
      <c r="K3594" s="11">
        <v>1.5277777777777781E-3</v>
      </c>
      <c r="L3594" s="13"/>
    </row>
    <row r="3595" spans="1:12" x14ac:dyDescent="0.25">
      <c r="A3595" s="3" t="s">
        <v>6718</v>
      </c>
      <c r="B3595" s="3" t="s">
        <v>6856</v>
      </c>
      <c r="C3595" s="3" t="s">
        <v>1224</v>
      </c>
      <c r="D3595" s="9">
        <v>19.899999999999999</v>
      </c>
      <c r="E3595" s="3"/>
      <c r="F3595" s="3"/>
      <c r="G3595" s="9"/>
      <c r="H3595" s="10">
        <v>45666.773344907408</v>
      </c>
      <c r="I3595" s="10">
        <v>45666.774699074071</v>
      </c>
      <c r="J3595" s="10">
        <v>45666.776226851849</v>
      </c>
      <c r="K3595" s="11">
        <v>1.5277777777777781E-3</v>
      </c>
      <c r="L3595" s="13"/>
    </row>
    <row r="3596" spans="1:12" x14ac:dyDescent="0.25">
      <c r="A3596" s="3" t="s">
        <v>6718</v>
      </c>
      <c r="B3596" s="3" t="s">
        <v>6857</v>
      </c>
      <c r="C3596" s="3" t="s">
        <v>1229</v>
      </c>
      <c r="D3596" s="9">
        <v>74.599999999999994</v>
      </c>
      <c r="E3596" s="3"/>
      <c r="F3596" s="3"/>
      <c r="G3596" s="9"/>
      <c r="H3596" s="10">
        <v>45666.777060185188</v>
      </c>
      <c r="I3596" s="10">
        <v>45666.777962962973</v>
      </c>
      <c r="J3596" s="10">
        <v>45666.779490740737</v>
      </c>
      <c r="K3596" s="11">
        <v>1.5277777777777781E-3</v>
      </c>
      <c r="L3596" s="13"/>
    </row>
    <row r="3597" spans="1:12" x14ac:dyDescent="0.25">
      <c r="A3597" s="3" t="s">
        <v>6718</v>
      </c>
      <c r="B3597" s="3" t="s">
        <v>6858</v>
      </c>
      <c r="C3597" s="3" t="s">
        <v>1240</v>
      </c>
      <c r="D3597" s="9">
        <v>54</v>
      </c>
      <c r="E3597" s="3"/>
      <c r="F3597" s="3"/>
      <c r="G3597" s="9"/>
      <c r="H3597" s="10">
        <v>45666.785092592603</v>
      </c>
      <c r="I3597" s="10">
        <v>45666.787511574083</v>
      </c>
      <c r="J3597" s="10">
        <v>45666.788900462961</v>
      </c>
      <c r="K3597" s="11">
        <v>1.3888888888888889E-3</v>
      </c>
      <c r="L3597" s="13"/>
    </row>
    <row r="3598" spans="1:12" x14ac:dyDescent="0.25">
      <c r="A3598" s="3" t="s">
        <v>6718</v>
      </c>
      <c r="B3598" s="3" t="s">
        <v>6859</v>
      </c>
      <c r="C3598" s="3" t="s">
        <v>1249</v>
      </c>
      <c r="D3598" s="9">
        <v>27</v>
      </c>
      <c r="E3598" s="3"/>
      <c r="F3598" s="3"/>
      <c r="G3598" s="9"/>
      <c r="H3598" s="10">
        <v>45666.851620370369</v>
      </c>
      <c r="I3598" s="10">
        <v>45666.852476851847</v>
      </c>
      <c r="J3598" s="10">
        <v>45666.854004629633</v>
      </c>
      <c r="K3598" s="11">
        <v>1.5277777777777781E-3</v>
      </c>
      <c r="L3598" s="13"/>
    </row>
    <row r="3599" spans="1:12" x14ac:dyDescent="0.25">
      <c r="A3599" s="3" t="s">
        <v>6718</v>
      </c>
      <c r="B3599" s="3" t="s">
        <v>6860</v>
      </c>
      <c r="C3599" s="3" t="s">
        <v>1251</v>
      </c>
      <c r="D3599" s="9">
        <v>21</v>
      </c>
      <c r="E3599" s="3"/>
      <c r="F3599" s="3"/>
      <c r="G3599" s="9"/>
      <c r="H3599" s="10">
        <v>45666.852800925917</v>
      </c>
      <c r="I3599" s="10">
        <v>45666.853587962964</v>
      </c>
      <c r="J3599" s="10">
        <v>45666.85497685185</v>
      </c>
      <c r="K3599" s="11">
        <v>1.3888888888888889E-3</v>
      </c>
      <c r="L3599" s="13"/>
    </row>
    <row r="3600" spans="1:12" x14ac:dyDescent="0.25">
      <c r="A3600" s="3" t="s">
        <v>6718</v>
      </c>
      <c r="B3600" s="3" t="s">
        <v>6861</v>
      </c>
      <c r="C3600" s="3" t="s">
        <v>1256</v>
      </c>
      <c r="D3600" s="9">
        <v>62.2</v>
      </c>
      <c r="E3600" s="3"/>
      <c r="F3600" s="3"/>
      <c r="G3600" s="9"/>
      <c r="H3600" s="10">
        <v>45666.855937499997</v>
      </c>
      <c r="I3600" s="10">
        <v>45666.856736111113</v>
      </c>
      <c r="J3600" s="10">
        <v>45666.858124999999</v>
      </c>
      <c r="K3600" s="11">
        <v>1.3888888888888889E-3</v>
      </c>
      <c r="L3600" s="13"/>
    </row>
    <row r="3601" spans="1:12" x14ac:dyDescent="0.25">
      <c r="A3601" s="3" t="s">
        <v>6718</v>
      </c>
      <c r="B3601" s="3" t="s">
        <v>6862</v>
      </c>
      <c r="C3601" s="3" t="s">
        <v>1263</v>
      </c>
      <c r="D3601" s="9">
        <v>15.7</v>
      </c>
      <c r="E3601" s="3"/>
      <c r="F3601" s="3"/>
      <c r="G3601" s="9"/>
      <c r="H3601" s="10">
        <v>45666.861724537041</v>
      </c>
      <c r="I3601" s="10">
        <v>45666.862569444442</v>
      </c>
      <c r="J3601" s="10">
        <v>45666.86409722222</v>
      </c>
      <c r="K3601" s="11">
        <v>1.5277777777777781E-3</v>
      </c>
      <c r="L3601" s="13"/>
    </row>
    <row r="3602" spans="1:12" x14ac:dyDescent="0.25">
      <c r="A3602" s="3" t="s">
        <v>6718</v>
      </c>
      <c r="B3602" s="3" t="s">
        <v>6863</v>
      </c>
      <c r="C3602" s="3" t="s">
        <v>1280</v>
      </c>
      <c r="D3602" s="9">
        <v>19.899999999999999</v>
      </c>
      <c r="E3602" s="3"/>
      <c r="F3602" s="3"/>
      <c r="G3602" s="9"/>
      <c r="H3602" s="10">
        <v>45667.296238425923</v>
      </c>
      <c r="I3602" s="10">
        <v>45667.297106481477</v>
      </c>
      <c r="J3602" s="10">
        <v>45667.298634259263</v>
      </c>
      <c r="K3602" s="11">
        <v>1.5277777777777781E-3</v>
      </c>
      <c r="L3602" s="13"/>
    </row>
    <row r="3603" spans="1:12" x14ac:dyDescent="0.25">
      <c r="A3603" s="3" t="s">
        <v>6718</v>
      </c>
      <c r="B3603" s="3" t="s">
        <v>6864</v>
      </c>
      <c r="C3603" s="3" t="s">
        <v>1289</v>
      </c>
      <c r="D3603" s="9">
        <v>19.899999999999999</v>
      </c>
      <c r="E3603" s="3"/>
      <c r="F3603" s="3"/>
      <c r="G3603" s="9"/>
      <c r="H3603" s="10">
        <v>45667.302766203713</v>
      </c>
      <c r="I3603" s="10">
        <v>45667.303530092591</v>
      </c>
      <c r="J3603" s="10">
        <v>45667.304918981477</v>
      </c>
      <c r="K3603" s="11">
        <v>1.3888888888888889E-3</v>
      </c>
      <c r="L3603" s="13"/>
    </row>
    <row r="3604" spans="1:12" x14ac:dyDescent="0.25">
      <c r="A3604" s="3" t="s">
        <v>6718</v>
      </c>
      <c r="B3604" s="3" t="s">
        <v>6865</v>
      </c>
      <c r="C3604" s="3" t="s">
        <v>1294</v>
      </c>
      <c r="D3604" s="9">
        <v>35.6</v>
      </c>
      <c r="E3604" s="3"/>
      <c r="F3604" s="3"/>
      <c r="G3604" s="9"/>
      <c r="H3604" s="10">
        <v>45667.306608796287</v>
      </c>
      <c r="I3604" s="10">
        <v>45667.307476851849</v>
      </c>
      <c r="J3604" s="10">
        <v>45667.309004629627</v>
      </c>
      <c r="K3604" s="11">
        <v>1.5277777777777781E-3</v>
      </c>
      <c r="L3604" s="13"/>
    </row>
    <row r="3605" spans="1:12" x14ac:dyDescent="0.25">
      <c r="A3605" s="3" t="s">
        <v>6718</v>
      </c>
      <c r="B3605" s="3" t="s">
        <v>6866</v>
      </c>
      <c r="C3605" s="3" t="s">
        <v>1297</v>
      </c>
      <c r="D3605" s="9">
        <v>19.899999999999999</v>
      </c>
      <c r="E3605" s="3"/>
      <c r="F3605" s="3"/>
      <c r="G3605" s="9"/>
      <c r="H3605" s="10">
        <v>45667.308368055557</v>
      </c>
      <c r="I3605" s="10">
        <v>45667.310740740737</v>
      </c>
      <c r="J3605" s="10">
        <v>45667.312268518523</v>
      </c>
      <c r="K3605" s="11">
        <v>1.5277777777777781E-3</v>
      </c>
      <c r="L3605" s="13"/>
    </row>
    <row r="3606" spans="1:12" x14ac:dyDescent="0.25">
      <c r="A3606" s="3" t="s">
        <v>6718</v>
      </c>
      <c r="B3606" s="3" t="s">
        <v>6867</v>
      </c>
      <c r="C3606" s="3" t="s">
        <v>1302</v>
      </c>
      <c r="D3606" s="9">
        <v>193.1</v>
      </c>
      <c r="E3606" s="3"/>
      <c r="F3606" s="3"/>
      <c r="G3606" s="9"/>
      <c r="H3606" s="10">
        <v>45667.319814814808</v>
      </c>
      <c r="I3606" s="10">
        <v>45667.320659722223</v>
      </c>
      <c r="J3606" s="10">
        <v>45667.322187500002</v>
      </c>
      <c r="K3606" s="11">
        <v>1.5277777777777781E-3</v>
      </c>
      <c r="L3606" s="13"/>
    </row>
    <row r="3607" spans="1:12" x14ac:dyDescent="0.25">
      <c r="A3607" s="3" t="s">
        <v>6718</v>
      </c>
      <c r="B3607" s="3" t="s">
        <v>6868</v>
      </c>
      <c r="C3607" s="3" t="s">
        <v>1305</v>
      </c>
      <c r="D3607" s="9">
        <v>380.8</v>
      </c>
      <c r="E3607" s="3"/>
      <c r="F3607" s="3"/>
      <c r="G3607" s="9"/>
      <c r="H3607" s="10">
        <v>45667.34171296296</v>
      </c>
      <c r="I3607" s="10">
        <v>45667.342581018522</v>
      </c>
      <c r="J3607" s="10">
        <v>45667.344108796293</v>
      </c>
      <c r="K3607" s="11">
        <v>1.5277777777777781E-3</v>
      </c>
      <c r="L3607" s="13"/>
    </row>
    <row r="3608" spans="1:12" x14ac:dyDescent="0.25">
      <c r="A3608" s="3" t="s">
        <v>6718</v>
      </c>
      <c r="B3608" s="3" t="s">
        <v>6869</v>
      </c>
      <c r="C3608" s="3" t="s">
        <v>1337</v>
      </c>
      <c r="D3608" s="9">
        <v>75</v>
      </c>
      <c r="E3608" s="3"/>
      <c r="F3608" s="3"/>
      <c r="G3608" s="9"/>
      <c r="H3608" s="10">
        <v>45667.384884259263</v>
      </c>
      <c r="I3608" s="10">
        <v>45667.385740740741</v>
      </c>
      <c r="J3608" s="10">
        <v>45667.38726851852</v>
      </c>
      <c r="K3608" s="11">
        <v>1.5277777777777781E-3</v>
      </c>
      <c r="L3608" s="13"/>
    </row>
    <row r="3609" spans="1:12" x14ac:dyDescent="0.25">
      <c r="A3609" s="3" t="s">
        <v>6718</v>
      </c>
      <c r="B3609" s="3" t="s">
        <v>6870</v>
      </c>
      <c r="C3609" s="3" t="s">
        <v>1308</v>
      </c>
      <c r="D3609" s="9">
        <v>19.899999999999999</v>
      </c>
      <c r="E3609" s="3"/>
      <c r="F3609" s="3"/>
      <c r="G3609" s="9"/>
      <c r="H3609" s="10">
        <v>45667.391006944446</v>
      </c>
      <c r="I3609" s="10">
        <v>45667.392002314817</v>
      </c>
      <c r="J3609" s="10">
        <v>45667.393391203703</v>
      </c>
      <c r="K3609" s="11">
        <v>1.3888888888888889E-3</v>
      </c>
      <c r="L3609" s="13"/>
    </row>
    <row r="3610" spans="1:12" x14ac:dyDescent="0.25">
      <c r="A3610" s="3" t="s">
        <v>6718</v>
      </c>
      <c r="B3610" s="3" t="s">
        <v>6871</v>
      </c>
      <c r="C3610" s="3" t="s">
        <v>1310</v>
      </c>
      <c r="D3610" s="9">
        <v>141.69999999999999</v>
      </c>
      <c r="E3610" s="3"/>
      <c r="F3610" s="3"/>
      <c r="G3610" s="9"/>
      <c r="H3610" s="10">
        <v>45667.392546296287</v>
      </c>
      <c r="I3610" s="10">
        <v>45667.394016203703</v>
      </c>
      <c r="J3610" s="10">
        <v>45667.395543981482</v>
      </c>
      <c r="K3610" s="11">
        <v>1.5277777777777781E-3</v>
      </c>
      <c r="L3610" s="13"/>
    </row>
    <row r="3611" spans="1:12" x14ac:dyDescent="0.25">
      <c r="A3611" s="3" t="s">
        <v>6718</v>
      </c>
      <c r="B3611" s="3" t="s">
        <v>6872</v>
      </c>
      <c r="C3611" s="3" t="s">
        <v>1317</v>
      </c>
      <c r="D3611" s="9">
        <v>54</v>
      </c>
      <c r="E3611" s="3"/>
      <c r="F3611" s="3"/>
      <c r="G3611" s="9"/>
      <c r="H3611" s="10">
        <v>45667.396851851852</v>
      </c>
      <c r="I3611" s="10">
        <v>45667.399421296293</v>
      </c>
      <c r="J3611" s="10">
        <v>45667.400810185187</v>
      </c>
      <c r="K3611" s="11">
        <v>1.3888888888888889E-3</v>
      </c>
      <c r="L3611" s="13"/>
    </row>
    <row r="3612" spans="1:12" x14ac:dyDescent="0.25">
      <c r="A3612" s="3" t="s">
        <v>6718</v>
      </c>
      <c r="B3612" s="3" t="s">
        <v>6873</v>
      </c>
      <c r="C3612" s="3" t="s">
        <v>1320</v>
      </c>
      <c r="D3612" s="9">
        <v>15.7</v>
      </c>
      <c r="E3612" s="3"/>
      <c r="F3612" s="3"/>
      <c r="G3612" s="9"/>
      <c r="H3612" s="10">
        <v>45667.398738425924</v>
      </c>
      <c r="I3612" s="10">
        <v>45667.401990740742</v>
      </c>
      <c r="J3612" s="10">
        <v>45667.40351851852</v>
      </c>
      <c r="K3612" s="11">
        <v>1.5277777777777781E-3</v>
      </c>
      <c r="L3612" s="13"/>
    </row>
    <row r="3613" spans="1:12" x14ac:dyDescent="0.25">
      <c r="A3613" s="3" t="s">
        <v>6718</v>
      </c>
      <c r="B3613" s="3" t="s">
        <v>6874</v>
      </c>
      <c r="C3613" s="3" t="s">
        <v>1327</v>
      </c>
      <c r="D3613" s="9">
        <v>61.9</v>
      </c>
      <c r="E3613" s="3"/>
      <c r="F3613" s="3"/>
      <c r="G3613" s="9"/>
      <c r="H3613" s="10">
        <v>45667.403819444437</v>
      </c>
      <c r="I3613" s="10">
        <v>45667.406736111108</v>
      </c>
      <c r="J3613" s="10">
        <v>45667.408125000002</v>
      </c>
      <c r="K3613" s="11">
        <v>1.3888888888888889E-3</v>
      </c>
      <c r="L3613" s="13"/>
    </row>
    <row r="3614" spans="1:12" x14ac:dyDescent="0.25">
      <c r="A3614" s="3" t="s">
        <v>6718</v>
      </c>
      <c r="B3614" s="3" t="s">
        <v>6875</v>
      </c>
      <c r="C3614" s="3" t="s">
        <v>1332</v>
      </c>
      <c r="D3614" s="9">
        <v>59.7</v>
      </c>
      <c r="E3614" s="3"/>
      <c r="F3614" s="3"/>
      <c r="G3614" s="9"/>
      <c r="H3614" s="10">
        <v>45667.407500000001</v>
      </c>
      <c r="I3614" s="10">
        <v>45667.40996527778</v>
      </c>
      <c r="J3614" s="10">
        <v>45667.411493055559</v>
      </c>
      <c r="K3614" s="11">
        <v>1.5277777777777781E-3</v>
      </c>
      <c r="L3614" s="13"/>
    </row>
    <row r="3615" spans="1:12" x14ac:dyDescent="0.25">
      <c r="A3615" s="3" t="s">
        <v>6718</v>
      </c>
      <c r="B3615" s="3" t="s">
        <v>6876</v>
      </c>
      <c r="C3615" s="3" t="s">
        <v>1344</v>
      </c>
      <c r="D3615" s="9">
        <v>259.7</v>
      </c>
      <c r="E3615" s="3"/>
      <c r="F3615" s="3"/>
      <c r="G3615" s="9"/>
      <c r="H3615" s="10">
        <v>45667.440127314818</v>
      </c>
      <c r="I3615" s="10">
        <v>45667.442094907397</v>
      </c>
      <c r="J3615" s="10">
        <v>45667.443622685183</v>
      </c>
      <c r="K3615" s="11">
        <v>1.5277777777777781E-3</v>
      </c>
      <c r="L3615" s="13"/>
    </row>
    <row r="3616" spans="1:12" x14ac:dyDescent="0.25">
      <c r="A3616" s="3" t="s">
        <v>6718</v>
      </c>
      <c r="B3616" s="3" t="s">
        <v>6877</v>
      </c>
      <c r="C3616" s="3" t="s">
        <v>1346</v>
      </c>
      <c r="D3616" s="9">
        <v>95.3</v>
      </c>
      <c r="E3616" s="3"/>
      <c r="F3616" s="3"/>
      <c r="G3616" s="9"/>
      <c r="H3616" s="10">
        <v>45667.552627314813</v>
      </c>
      <c r="I3616" s="10">
        <v>45667.553460648152</v>
      </c>
      <c r="J3616" s="10">
        <v>45667.554988425924</v>
      </c>
      <c r="K3616" s="11">
        <v>1.5277777777777781E-3</v>
      </c>
      <c r="L3616" s="13"/>
    </row>
    <row r="3617" spans="1:12" x14ac:dyDescent="0.25">
      <c r="A3617" s="3" t="s">
        <v>6718</v>
      </c>
      <c r="B3617" s="3" t="s">
        <v>6878</v>
      </c>
      <c r="C3617" s="3" t="s">
        <v>1350</v>
      </c>
      <c r="D3617" s="9">
        <v>393.5</v>
      </c>
      <c r="E3617" s="3"/>
      <c r="F3617" s="3"/>
      <c r="G3617" s="9"/>
      <c r="H3617" s="10">
        <v>45667.629317129627</v>
      </c>
      <c r="I3617" s="10">
        <v>45667.630185185182</v>
      </c>
      <c r="J3617" s="10">
        <v>45667.631712962961</v>
      </c>
      <c r="K3617" s="11">
        <v>1.5277777777777781E-3</v>
      </c>
      <c r="L3617" s="13"/>
    </row>
    <row r="3618" spans="1:12" x14ac:dyDescent="0.25">
      <c r="A3618" s="3" t="s">
        <v>6718</v>
      </c>
      <c r="B3618" s="3" t="s">
        <v>6879</v>
      </c>
      <c r="C3618" s="3" t="s">
        <v>1353</v>
      </c>
      <c r="D3618" s="9">
        <v>302.10000000000002</v>
      </c>
      <c r="E3618" s="3"/>
      <c r="F3618" s="3"/>
      <c r="G3618" s="9"/>
      <c r="H3618" s="10">
        <v>45667.738680555558</v>
      </c>
      <c r="I3618" s="10">
        <v>45667.73951388889</v>
      </c>
      <c r="J3618" s="10">
        <v>45667.741041666668</v>
      </c>
      <c r="K3618" s="11">
        <v>1.5277777777777781E-3</v>
      </c>
      <c r="L3618" s="13"/>
    </row>
    <row r="3619" spans="1:12" x14ac:dyDescent="0.25">
      <c r="A3619" s="3" t="s">
        <v>6718</v>
      </c>
      <c r="B3619" s="3" t="s">
        <v>6880</v>
      </c>
      <c r="C3619" s="3" t="s">
        <v>1358</v>
      </c>
      <c r="D3619" s="9">
        <v>218.1</v>
      </c>
      <c r="E3619" s="3"/>
      <c r="F3619" s="3"/>
      <c r="G3619" s="9"/>
      <c r="H3619" s="10">
        <v>45667.762766203698</v>
      </c>
      <c r="I3619" s="10">
        <v>45667.763541666667</v>
      </c>
      <c r="J3619" s="10">
        <v>45667.764930555553</v>
      </c>
      <c r="K3619" s="11">
        <v>1.3888888888888889E-3</v>
      </c>
      <c r="L3619" s="13"/>
    </row>
    <row r="3620" spans="1:12" x14ac:dyDescent="0.25">
      <c r="A3620" s="3" t="s">
        <v>6718</v>
      </c>
      <c r="B3620" s="3" t="s">
        <v>6881</v>
      </c>
      <c r="C3620" s="3" t="s">
        <v>1361</v>
      </c>
      <c r="D3620" s="9">
        <v>15.7</v>
      </c>
      <c r="E3620" s="3"/>
      <c r="F3620" s="3"/>
      <c r="G3620" s="9"/>
      <c r="H3620" s="10">
        <v>45667.764467592591</v>
      </c>
      <c r="I3620" s="10">
        <v>45667.7653125</v>
      </c>
      <c r="J3620" s="10">
        <v>45667.766840277778</v>
      </c>
      <c r="K3620" s="11">
        <v>1.5277777777777781E-3</v>
      </c>
      <c r="L3620" s="13"/>
    </row>
    <row r="3621" spans="1:12" x14ac:dyDescent="0.25">
      <c r="A3621" s="3" t="s">
        <v>6718</v>
      </c>
      <c r="B3621" s="3" t="s">
        <v>6882</v>
      </c>
      <c r="C3621" s="3" t="s">
        <v>1364</v>
      </c>
      <c r="D3621" s="9">
        <v>16.5</v>
      </c>
      <c r="E3621" s="3"/>
      <c r="F3621" s="3"/>
      <c r="G3621" s="9"/>
      <c r="H3621" s="10">
        <v>45667.766469907408</v>
      </c>
      <c r="I3621" s="10">
        <v>45667.767245370371</v>
      </c>
      <c r="J3621" s="10">
        <v>45667.768634259257</v>
      </c>
      <c r="K3621" s="11">
        <v>1.3888888888888889E-3</v>
      </c>
      <c r="L3621" s="13"/>
    </row>
    <row r="3622" spans="1:12" x14ac:dyDescent="0.25">
      <c r="A3622" s="3" t="s">
        <v>6718</v>
      </c>
      <c r="B3622" s="3" t="s">
        <v>6883</v>
      </c>
      <c r="C3622" s="3" t="s">
        <v>1375</v>
      </c>
      <c r="D3622" s="9">
        <v>15.7</v>
      </c>
      <c r="E3622" s="3"/>
      <c r="F3622" s="3"/>
      <c r="G3622" s="9"/>
      <c r="H3622" s="10">
        <v>45667.774317129632</v>
      </c>
      <c r="I3622" s="10">
        <v>45667.778692129628</v>
      </c>
      <c r="J3622" s="10">
        <v>45667.780219907407</v>
      </c>
      <c r="K3622" s="11">
        <v>1.5277777777777781E-3</v>
      </c>
      <c r="L3622" s="13"/>
    </row>
    <row r="3623" spans="1:12" x14ac:dyDescent="0.25">
      <c r="A3623" s="3" t="s">
        <v>6718</v>
      </c>
      <c r="B3623" s="3" t="s">
        <v>6884</v>
      </c>
      <c r="C3623" s="3" t="s">
        <v>1380</v>
      </c>
      <c r="D3623" s="9">
        <v>27</v>
      </c>
      <c r="E3623" s="3"/>
      <c r="F3623" s="3"/>
      <c r="G3623" s="9"/>
      <c r="H3623" s="10">
        <v>45667.777314814812</v>
      </c>
      <c r="I3623" s="10">
        <v>45667.781921296293</v>
      </c>
      <c r="J3623" s="10">
        <v>45667.783449074072</v>
      </c>
      <c r="K3623" s="11">
        <v>1.5277777777777781E-3</v>
      </c>
      <c r="L3623" s="13"/>
    </row>
    <row r="3624" spans="1:12" x14ac:dyDescent="0.25">
      <c r="A3624" s="3" t="s">
        <v>6718</v>
      </c>
      <c r="B3624" s="3" t="s">
        <v>6885</v>
      </c>
      <c r="C3624" s="3" t="s">
        <v>1385</v>
      </c>
      <c r="D3624" s="9">
        <v>85.5</v>
      </c>
      <c r="E3624" s="3"/>
      <c r="F3624" s="3"/>
      <c r="G3624" s="9"/>
      <c r="H3624" s="10">
        <v>45667.858425925922</v>
      </c>
      <c r="I3624" s="10">
        <v>45667.859293981477</v>
      </c>
      <c r="J3624" s="10">
        <v>45667.860821759263</v>
      </c>
      <c r="K3624" s="11">
        <v>1.5277777777777781E-3</v>
      </c>
      <c r="L3624" s="13"/>
    </row>
    <row r="3625" spans="1:12" x14ac:dyDescent="0.25">
      <c r="A3625" s="3" t="s">
        <v>6718</v>
      </c>
      <c r="B3625" s="3" t="s">
        <v>6886</v>
      </c>
      <c r="C3625" s="3" t="s">
        <v>1387</v>
      </c>
      <c r="D3625" s="9">
        <v>14</v>
      </c>
      <c r="E3625" s="3"/>
      <c r="F3625" s="3"/>
      <c r="G3625" s="9"/>
      <c r="H3625" s="10">
        <v>45667.860335648147</v>
      </c>
      <c r="I3625" s="10">
        <v>45667.861180555563</v>
      </c>
      <c r="J3625" s="10">
        <v>45667.862708333327</v>
      </c>
      <c r="K3625" s="11">
        <v>1.5277777777777781E-3</v>
      </c>
      <c r="L3625" s="13"/>
    </row>
    <row r="3626" spans="1:12" x14ac:dyDescent="0.25">
      <c r="A3626" s="3" t="s">
        <v>6718</v>
      </c>
      <c r="B3626" s="3" t="s">
        <v>6887</v>
      </c>
      <c r="C3626" s="3" t="s">
        <v>1389</v>
      </c>
      <c r="D3626" s="9">
        <v>19.899999999999999</v>
      </c>
      <c r="E3626" s="3"/>
      <c r="F3626" s="3"/>
      <c r="G3626" s="9"/>
      <c r="H3626" s="10">
        <v>45667.861851851849</v>
      </c>
      <c r="I3626" s="10">
        <v>45667.862719907411</v>
      </c>
      <c r="J3626" s="10">
        <v>45667.864247685182</v>
      </c>
      <c r="K3626" s="11">
        <v>1.5277777777777781E-3</v>
      </c>
      <c r="L3626" s="13"/>
    </row>
    <row r="3627" spans="1:12" x14ac:dyDescent="0.25">
      <c r="A3627" s="3" t="s">
        <v>6718</v>
      </c>
      <c r="B3627" s="3" t="s">
        <v>6888</v>
      </c>
      <c r="C3627" s="3" t="s">
        <v>1392</v>
      </c>
      <c r="D3627" s="9">
        <v>21</v>
      </c>
      <c r="E3627" s="3"/>
      <c r="F3627" s="3"/>
      <c r="G3627" s="9"/>
      <c r="H3627" s="10">
        <v>45667.863587962973</v>
      </c>
      <c r="I3627" s="10">
        <v>45667.864421296297</v>
      </c>
      <c r="J3627" s="10">
        <v>45667.865949074083</v>
      </c>
      <c r="K3627" s="11">
        <v>1.5277777777777781E-3</v>
      </c>
      <c r="L3627" s="13"/>
    </row>
    <row r="3628" spans="1:12" x14ac:dyDescent="0.25">
      <c r="A3628" s="3" t="s">
        <v>6718</v>
      </c>
      <c r="B3628" s="3" t="s">
        <v>6889</v>
      </c>
      <c r="C3628" s="3" t="s">
        <v>1399</v>
      </c>
      <c r="D3628" s="9">
        <v>27</v>
      </c>
      <c r="E3628" s="3"/>
      <c r="F3628" s="3"/>
      <c r="G3628" s="9"/>
      <c r="H3628" s="10">
        <v>45667.868449074071</v>
      </c>
      <c r="I3628" s="10">
        <v>45667.869293981479</v>
      </c>
      <c r="J3628" s="10">
        <v>45667.870821759258</v>
      </c>
      <c r="K3628" s="11">
        <v>1.5277777777777781E-3</v>
      </c>
      <c r="L3628" s="13"/>
    </row>
    <row r="3629" spans="1:12" x14ac:dyDescent="0.25">
      <c r="A3629" s="3" t="s">
        <v>6718</v>
      </c>
      <c r="B3629" s="3" t="s">
        <v>6890</v>
      </c>
      <c r="C3629" s="3" t="s">
        <v>1402</v>
      </c>
      <c r="D3629" s="9">
        <v>63</v>
      </c>
      <c r="E3629" s="3"/>
      <c r="F3629" s="3"/>
      <c r="G3629" s="9"/>
      <c r="H3629" s="10">
        <v>45667.870520833327</v>
      </c>
      <c r="I3629" s="10">
        <v>45667.871365740742</v>
      </c>
      <c r="J3629" s="10">
        <v>45667.872893518521</v>
      </c>
      <c r="K3629" s="11">
        <v>1.5277777777777781E-3</v>
      </c>
      <c r="L3629" s="13"/>
    </row>
    <row r="3630" spans="1:12" x14ac:dyDescent="0.25">
      <c r="A3630" s="3" t="s">
        <v>6718</v>
      </c>
      <c r="B3630" s="3" t="s">
        <v>6891</v>
      </c>
      <c r="C3630" s="3" t="s">
        <v>1409</v>
      </c>
      <c r="D3630" s="9">
        <v>302.89999999999998</v>
      </c>
      <c r="E3630" s="3"/>
      <c r="F3630" s="3"/>
      <c r="G3630" s="9"/>
      <c r="H3630" s="10">
        <v>45668.223923611113</v>
      </c>
      <c r="I3630" s="10">
        <v>45668.224768518521</v>
      </c>
      <c r="J3630" s="10">
        <v>45668.2262962963</v>
      </c>
      <c r="K3630" s="11">
        <v>1.5277777777777781E-3</v>
      </c>
      <c r="L3630" s="13"/>
    </row>
    <row r="3631" spans="1:12" x14ac:dyDescent="0.25">
      <c r="A3631" s="3" t="s">
        <v>6718</v>
      </c>
      <c r="B3631" s="3" t="s">
        <v>6892</v>
      </c>
      <c r="C3631" s="3" t="s">
        <v>1414</v>
      </c>
      <c r="D3631" s="9">
        <v>110.2</v>
      </c>
      <c r="E3631" s="3"/>
      <c r="F3631" s="3"/>
      <c r="G3631" s="9"/>
      <c r="H3631" s="10">
        <v>45668.24523148148</v>
      </c>
      <c r="I3631" s="10">
        <v>45668.246018518519</v>
      </c>
      <c r="J3631" s="10">
        <v>45668.247407407413</v>
      </c>
      <c r="K3631" s="11">
        <v>1.3888888888888889E-3</v>
      </c>
      <c r="L3631" s="13"/>
    </row>
    <row r="3632" spans="1:12" x14ac:dyDescent="0.25">
      <c r="A3632" s="3" t="s">
        <v>6718</v>
      </c>
      <c r="B3632" s="3" t="s">
        <v>6893</v>
      </c>
      <c r="C3632" s="3" t="s">
        <v>1417</v>
      </c>
      <c r="D3632" s="9">
        <v>210.6</v>
      </c>
      <c r="E3632" s="3"/>
      <c r="F3632" s="3"/>
      <c r="G3632" s="9"/>
      <c r="H3632" s="10">
        <v>45668.247060185182</v>
      </c>
      <c r="I3632" s="10">
        <v>45668.247916666667</v>
      </c>
      <c r="J3632" s="10">
        <v>45668.249444444453</v>
      </c>
      <c r="K3632" s="11">
        <v>1.5277777777777781E-3</v>
      </c>
      <c r="L3632" s="13"/>
    </row>
    <row r="3633" spans="1:12" x14ac:dyDescent="0.25">
      <c r="A3633" s="3" t="s">
        <v>6718</v>
      </c>
      <c r="B3633" s="3" t="s">
        <v>6894</v>
      </c>
      <c r="C3633" s="3" t="s">
        <v>1424</v>
      </c>
      <c r="D3633" s="9">
        <v>349.3</v>
      </c>
      <c r="E3633" s="3"/>
      <c r="F3633" s="3"/>
      <c r="G3633" s="9"/>
      <c r="H3633" s="10">
        <v>45669.754131944443</v>
      </c>
      <c r="I3633" s="10">
        <v>45669.754965277767</v>
      </c>
      <c r="J3633" s="10">
        <v>45669.756493055553</v>
      </c>
      <c r="K3633" s="11">
        <v>1.5277777777777781E-3</v>
      </c>
      <c r="L3633" s="13"/>
    </row>
    <row r="3634" spans="1:12" x14ac:dyDescent="0.25">
      <c r="A3634" s="3" t="s">
        <v>6718</v>
      </c>
      <c r="B3634" s="3" t="s">
        <v>6895</v>
      </c>
      <c r="C3634" s="3" t="s">
        <v>1427</v>
      </c>
      <c r="D3634" s="9">
        <v>31.5</v>
      </c>
      <c r="E3634" s="3"/>
      <c r="F3634" s="3"/>
      <c r="G3634" s="9"/>
      <c r="H3634" s="10">
        <v>45669.755891203713</v>
      </c>
      <c r="I3634" s="10">
        <v>45669.756736111107</v>
      </c>
      <c r="J3634" s="10">
        <v>45669.758263888893</v>
      </c>
      <c r="K3634" s="11">
        <v>1.5277777777777781E-3</v>
      </c>
      <c r="L3634" s="13"/>
    </row>
    <row r="3635" spans="1:12" x14ac:dyDescent="0.25">
      <c r="A3635" s="3" t="s">
        <v>6718</v>
      </c>
      <c r="B3635" s="3" t="s">
        <v>6896</v>
      </c>
      <c r="C3635" s="3" t="s">
        <v>1430</v>
      </c>
      <c r="D3635" s="9">
        <v>106.9</v>
      </c>
      <c r="E3635" s="3"/>
      <c r="F3635" s="3"/>
      <c r="G3635" s="9"/>
      <c r="H3635" s="10">
        <v>45669.844953703701</v>
      </c>
      <c r="I3635" s="10">
        <v>45669.84574074074</v>
      </c>
      <c r="J3635" s="10">
        <v>45669.847129629627</v>
      </c>
      <c r="K3635" s="11">
        <v>1.3888888888888889E-3</v>
      </c>
      <c r="L3635" s="13"/>
    </row>
    <row r="3636" spans="1:12" x14ac:dyDescent="0.25">
      <c r="A3636" s="3" t="s">
        <v>6718</v>
      </c>
      <c r="B3636" s="3" t="s">
        <v>6897</v>
      </c>
      <c r="C3636" s="3" t="s">
        <v>1433</v>
      </c>
      <c r="D3636" s="9">
        <v>101.2</v>
      </c>
      <c r="E3636" s="3"/>
      <c r="F3636" s="3"/>
      <c r="G3636" s="9"/>
      <c r="H3636" s="10">
        <v>45669.847175925926</v>
      </c>
      <c r="I3636" s="10">
        <v>45669.848009259258</v>
      </c>
      <c r="J3636" s="10">
        <v>45669.849537037036</v>
      </c>
      <c r="K3636" s="11">
        <v>1.5277777777777781E-3</v>
      </c>
      <c r="L3636" s="13"/>
    </row>
    <row r="3637" spans="1:12" x14ac:dyDescent="0.25">
      <c r="A3637" s="3" t="s">
        <v>6718</v>
      </c>
      <c r="B3637" s="3" t="s">
        <v>6898</v>
      </c>
      <c r="C3637" s="3" t="s">
        <v>1438</v>
      </c>
      <c r="D3637" s="9">
        <v>15.7</v>
      </c>
      <c r="E3637" s="3"/>
      <c r="F3637" s="3"/>
      <c r="G3637" s="9"/>
      <c r="H3637" s="10">
        <v>45670.114942129629</v>
      </c>
      <c r="I3637" s="10">
        <v>45670.115729166668</v>
      </c>
      <c r="J3637" s="10">
        <v>45670.117118055547</v>
      </c>
      <c r="K3637" s="11">
        <v>1.3888888888888889E-3</v>
      </c>
      <c r="L3637" s="13"/>
    </row>
    <row r="3638" spans="1:12" x14ac:dyDescent="0.25">
      <c r="A3638" s="3" t="s">
        <v>6718</v>
      </c>
      <c r="B3638" s="3" t="s">
        <v>6899</v>
      </c>
      <c r="C3638" s="3" t="s">
        <v>1441</v>
      </c>
      <c r="D3638" s="9">
        <v>301.2</v>
      </c>
      <c r="E3638" s="3"/>
      <c r="F3638" s="3"/>
      <c r="G3638" s="9"/>
      <c r="H3638" s="10">
        <v>45670.197557870371</v>
      </c>
      <c r="I3638" s="10">
        <v>45670.198425925933</v>
      </c>
      <c r="J3638" s="10">
        <v>45670.199953703697</v>
      </c>
      <c r="K3638" s="11">
        <v>1.5277777777777781E-3</v>
      </c>
      <c r="L3638" s="13"/>
    </row>
    <row r="3639" spans="1:12" x14ac:dyDescent="0.25">
      <c r="A3639" s="3" t="s">
        <v>6718</v>
      </c>
      <c r="B3639" s="3" t="s">
        <v>6900</v>
      </c>
      <c r="C3639" s="3" t="s">
        <v>1444</v>
      </c>
      <c r="D3639" s="9">
        <v>298</v>
      </c>
      <c r="E3639" s="3"/>
      <c r="F3639" s="3"/>
      <c r="G3639" s="9"/>
      <c r="H3639" s="10">
        <v>45670.264363425929</v>
      </c>
      <c r="I3639" s="10">
        <v>45670.265138888892</v>
      </c>
      <c r="J3639" s="10">
        <v>45670.266527777778</v>
      </c>
      <c r="K3639" s="11">
        <v>1.3888888888888889E-3</v>
      </c>
      <c r="L3639" s="13"/>
    </row>
    <row r="3640" spans="1:12" x14ac:dyDescent="0.25">
      <c r="A3640" s="3" t="s">
        <v>6718</v>
      </c>
      <c r="B3640" s="3" t="s">
        <v>6901</v>
      </c>
      <c r="C3640" s="3" t="s">
        <v>1447</v>
      </c>
      <c r="D3640" s="9">
        <v>205.5</v>
      </c>
      <c r="E3640" s="3"/>
      <c r="F3640" s="3"/>
      <c r="G3640" s="9"/>
      <c r="H3640" s="10">
        <v>45670.302719907413</v>
      </c>
      <c r="I3640" s="10">
        <v>45670.303495370368</v>
      </c>
      <c r="J3640" s="10">
        <v>45670.304884259262</v>
      </c>
      <c r="K3640" s="11">
        <v>1.3888888888888889E-3</v>
      </c>
      <c r="L3640" s="13"/>
    </row>
    <row r="3641" spans="1:12" x14ac:dyDescent="0.25">
      <c r="A3641" s="3" t="s">
        <v>6718</v>
      </c>
      <c r="B3641" s="3" t="s">
        <v>6902</v>
      </c>
      <c r="C3641" s="3" t="s">
        <v>1450</v>
      </c>
      <c r="D3641" s="9">
        <v>397.3</v>
      </c>
      <c r="E3641" s="3"/>
      <c r="F3641" s="3"/>
      <c r="G3641" s="9"/>
      <c r="H3641" s="10">
        <v>45670.313831018517</v>
      </c>
      <c r="I3641" s="10">
        <v>45670.31459490741</v>
      </c>
      <c r="J3641" s="10">
        <v>45670.315983796303</v>
      </c>
      <c r="K3641" s="11">
        <v>1.3888888888888889E-3</v>
      </c>
      <c r="L3641" s="13"/>
    </row>
    <row r="3642" spans="1:12" x14ac:dyDescent="0.25">
      <c r="A3642" s="3" t="s">
        <v>6718</v>
      </c>
      <c r="B3642" s="3" t="s">
        <v>6903</v>
      </c>
      <c r="C3642" s="3" t="s">
        <v>1455</v>
      </c>
      <c r="D3642" s="9">
        <v>70.5</v>
      </c>
      <c r="E3642" s="3"/>
      <c r="F3642" s="3"/>
      <c r="G3642" s="9"/>
      <c r="H3642" s="10">
        <v>45670.332037037027</v>
      </c>
      <c r="I3642" s="10">
        <v>45670.332881944443</v>
      </c>
      <c r="J3642" s="10">
        <v>45670.334409722222</v>
      </c>
      <c r="K3642" s="11">
        <v>1.5277777777777781E-3</v>
      </c>
      <c r="L3642" s="13"/>
    </row>
    <row r="3643" spans="1:12" x14ac:dyDescent="0.25">
      <c r="A3643" s="3" t="s">
        <v>6718</v>
      </c>
      <c r="B3643" s="3" t="s">
        <v>6904</v>
      </c>
      <c r="C3643" s="3" t="s">
        <v>1462</v>
      </c>
      <c r="D3643" s="9">
        <v>31.5</v>
      </c>
      <c r="E3643" s="3"/>
      <c r="F3643" s="3"/>
      <c r="G3643" s="9"/>
      <c r="H3643" s="10">
        <v>45670.336967592593</v>
      </c>
      <c r="I3643" s="10">
        <v>45670.340856481482</v>
      </c>
      <c r="J3643" s="10">
        <v>45670.34238425926</v>
      </c>
      <c r="K3643" s="11">
        <v>1.5277777777777781E-3</v>
      </c>
      <c r="L3643" s="13"/>
    </row>
    <row r="3644" spans="1:12" x14ac:dyDescent="0.25">
      <c r="A3644" s="3" t="s">
        <v>6718</v>
      </c>
      <c r="B3644" s="3" t="s">
        <v>6905</v>
      </c>
      <c r="C3644" s="3" t="s">
        <v>1465</v>
      </c>
      <c r="D3644" s="9">
        <v>19.899999999999999</v>
      </c>
      <c r="E3644" s="3"/>
      <c r="F3644" s="3"/>
      <c r="G3644" s="9"/>
      <c r="H3644" s="10">
        <v>45670.338703703703</v>
      </c>
      <c r="I3644" s="10">
        <v>45670.34097222222</v>
      </c>
      <c r="J3644" s="10">
        <v>45670.342499999999</v>
      </c>
      <c r="K3644" s="11">
        <v>1.5277777777777781E-3</v>
      </c>
      <c r="L3644" s="13"/>
    </row>
    <row r="3645" spans="1:12" x14ac:dyDescent="0.25">
      <c r="A3645" s="3" t="s">
        <v>6718</v>
      </c>
      <c r="B3645" s="3" t="s">
        <v>6906</v>
      </c>
      <c r="C3645" s="3" t="s">
        <v>1470</v>
      </c>
      <c r="D3645" s="9">
        <v>16.5</v>
      </c>
      <c r="E3645" s="3"/>
      <c r="F3645" s="3"/>
      <c r="G3645" s="9"/>
      <c r="H3645" s="10">
        <v>45670.342361111107</v>
      </c>
      <c r="I3645" s="10">
        <v>45670.343206018522</v>
      </c>
      <c r="J3645" s="10">
        <v>45670.344733796293</v>
      </c>
      <c r="K3645" s="11">
        <v>1.5277777777777781E-3</v>
      </c>
      <c r="L3645" s="13"/>
    </row>
    <row r="3646" spans="1:12" x14ac:dyDescent="0.25">
      <c r="A3646" s="3" t="s">
        <v>6718</v>
      </c>
      <c r="B3646" s="3" t="s">
        <v>6907</v>
      </c>
      <c r="C3646" s="3" t="s">
        <v>1479</v>
      </c>
      <c r="D3646" s="9">
        <v>23.2</v>
      </c>
      <c r="E3646" s="3"/>
      <c r="F3646" s="3"/>
      <c r="G3646" s="9"/>
      <c r="H3646" s="10">
        <v>45670.34920138889</v>
      </c>
      <c r="I3646" s="10">
        <v>45670.350069444437</v>
      </c>
      <c r="J3646" s="10">
        <v>45670.351597222223</v>
      </c>
      <c r="K3646" s="11">
        <v>1.5277777777777781E-3</v>
      </c>
      <c r="L3646" s="13"/>
    </row>
    <row r="3647" spans="1:12" x14ac:dyDescent="0.25">
      <c r="A3647" s="3" t="s">
        <v>6718</v>
      </c>
      <c r="B3647" s="3" t="s">
        <v>6908</v>
      </c>
      <c r="C3647" s="3" t="s">
        <v>1485</v>
      </c>
      <c r="D3647" s="9">
        <v>279</v>
      </c>
      <c r="E3647" s="3"/>
      <c r="F3647" s="3"/>
      <c r="G3647" s="9"/>
      <c r="H3647" s="10">
        <v>45670.387881944444</v>
      </c>
      <c r="I3647" s="10">
        <v>45670.388715277782</v>
      </c>
      <c r="J3647" s="10">
        <v>45670.390243055554</v>
      </c>
      <c r="K3647" s="11">
        <v>1.5277777777777781E-3</v>
      </c>
      <c r="L3647" s="13"/>
    </row>
    <row r="3648" spans="1:12" x14ac:dyDescent="0.25">
      <c r="A3648" s="3" t="s">
        <v>6718</v>
      </c>
      <c r="B3648" s="3" t="s">
        <v>6909</v>
      </c>
      <c r="C3648" s="3" t="s">
        <v>1498</v>
      </c>
      <c r="D3648" s="9">
        <v>19.899999999999999</v>
      </c>
      <c r="E3648" s="3"/>
      <c r="F3648" s="3"/>
      <c r="G3648" s="9"/>
      <c r="H3648" s="10">
        <v>45670.402361111112</v>
      </c>
      <c r="I3648" s="10">
        <v>45670.407361111109</v>
      </c>
      <c r="J3648" s="10">
        <v>45670.408888888887</v>
      </c>
      <c r="K3648" s="11">
        <v>1.5277777777777781E-3</v>
      </c>
      <c r="L3648" s="13"/>
    </row>
    <row r="3649" spans="1:12" x14ac:dyDescent="0.25">
      <c r="A3649" s="3" t="s">
        <v>6718</v>
      </c>
      <c r="B3649" s="3" t="s">
        <v>6910</v>
      </c>
      <c r="C3649" s="3" t="s">
        <v>1501</v>
      </c>
      <c r="D3649" s="9">
        <v>12</v>
      </c>
      <c r="E3649" s="3"/>
      <c r="F3649" s="3"/>
      <c r="G3649" s="9"/>
      <c r="H3649" s="10">
        <v>45670.403611111113</v>
      </c>
      <c r="I3649" s="10">
        <v>45670.40766203704</v>
      </c>
      <c r="J3649" s="10">
        <v>45670.409050925933</v>
      </c>
      <c r="K3649" s="11">
        <v>1.3888888888888889E-3</v>
      </c>
      <c r="L3649" s="13"/>
    </row>
    <row r="3650" spans="1:12" x14ac:dyDescent="0.25">
      <c r="A3650" s="3" t="s">
        <v>6718</v>
      </c>
      <c r="B3650" s="3" t="s">
        <v>6911</v>
      </c>
      <c r="C3650" s="3" t="s">
        <v>1512</v>
      </c>
      <c r="D3650" s="9">
        <v>267.5</v>
      </c>
      <c r="E3650" s="3"/>
      <c r="F3650" s="3"/>
      <c r="G3650" s="9"/>
      <c r="H3650" s="10">
        <v>45670.433368055557</v>
      </c>
      <c r="I3650" s="10">
        <v>45670.439131944448</v>
      </c>
      <c r="J3650" s="10">
        <v>45670.440520833326</v>
      </c>
      <c r="K3650" s="11">
        <v>1.3888888888888889E-3</v>
      </c>
      <c r="L3650" s="13"/>
    </row>
    <row r="3651" spans="1:12" x14ac:dyDescent="0.25">
      <c r="A3651" s="3" t="s">
        <v>6718</v>
      </c>
      <c r="B3651" s="3" t="s">
        <v>6912</v>
      </c>
      <c r="C3651" s="3" t="s">
        <v>1515</v>
      </c>
      <c r="D3651" s="9">
        <v>40.9</v>
      </c>
      <c r="E3651" s="3"/>
      <c r="F3651" s="3"/>
      <c r="G3651" s="9"/>
      <c r="H3651" s="10">
        <v>45670.435150462959</v>
      </c>
      <c r="I3651" s="10">
        <v>45670.439247685194</v>
      </c>
      <c r="J3651" s="10">
        <v>45670.440775462957</v>
      </c>
      <c r="K3651" s="11">
        <v>1.5277777777777781E-3</v>
      </c>
      <c r="L3651" s="13"/>
    </row>
    <row r="3652" spans="1:12" x14ac:dyDescent="0.25">
      <c r="A3652" s="3" t="s">
        <v>6718</v>
      </c>
      <c r="B3652" s="3" t="s">
        <v>6913</v>
      </c>
      <c r="C3652" s="3" t="s">
        <v>1518</v>
      </c>
      <c r="D3652" s="9">
        <v>99.5</v>
      </c>
      <c r="E3652" s="3"/>
      <c r="F3652" s="3"/>
      <c r="G3652" s="9"/>
      <c r="H3652" s="10">
        <v>45670.436631944453</v>
      </c>
      <c r="I3652" s="10">
        <v>45670.441087962958</v>
      </c>
      <c r="J3652" s="10">
        <v>45670.442476851851</v>
      </c>
      <c r="K3652" s="11">
        <v>1.3888888888888889E-3</v>
      </c>
      <c r="L3652" s="13"/>
    </row>
    <row r="3653" spans="1:12" x14ac:dyDescent="0.25">
      <c r="A3653" s="3" t="s">
        <v>6718</v>
      </c>
      <c r="B3653" s="3" t="s">
        <v>6914</v>
      </c>
      <c r="C3653" s="3" t="s">
        <v>1522</v>
      </c>
      <c r="D3653" s="9">
        <v>388.3</v>
      </c>
      <c r="E3653" s="3"/>
      <c r="F3653" s="3"/>
      <c r="G3653" s="9"/>
      <c r="H3653" s="10">
        <v>45670.613425925927</v>
      </c>
      <c r="I3653" s="10">
        <v>45670.614259259259</v>
      </c>
      <c r="J3653" s="10">
        <v>45670.615787037037</v>
      </c>
      <c r="K3653" s="11">
        <v>1.5277777777777781E-3</v>
      </c>
      <c r="L3653" s="13"/>
    </row>
    <row r="3654" spans="1:12" x14ac:dyDescent="0.25">
      <c r="A3654" s="3" t="s">
        <v>6718</v>
      </c>
      <c r="B3654" s="3" t="s">
        <v>6915</v>
      </c>
      <c r="C3654" s="3" t="s">
        <v>1524</v>
      </c>
      <c r="D3654" s="9">
        <v>31.5</v>
      </c>
      <c r="E3654" s="3"/>
      <c r="F3654" s="3"/>
      <c r="G3654" s="9"/>
      <c r="H3654" s="10">
        <v>45670.635740740741</v>
      </c>
      <c r="I3654" s="10">
        <v>45670.63658564815</v>
      </c>
      <c r="J3654" s="10">
        <v>45670.638113425928</v>
      </c>
      <c r="K3654" s="11">
        <v>1.5277777777777781E-3</v>
      </c>
      <c r="L3654" s="13"/>
    </row>
    <row r="3655" spans="1:12" x14ac:dyDescent="0.25">
      <c r="A3655" s="3" t="s">
        <v>6718</v>
      </c>
      <c r="B3655" s="3" t="s">
        <v>6916</v>
      </c>
      <c r="C3655" s="3" t="s">
        <v>1527</v>
      </c>
      <c r="D3655" s="9">
        <v>81</v>
      </c>
      <c r="E3655" s="3"/>
      <c r="F3655" s="3"/>
      <c r="G3655" s="9"/>
      <c r="H3655" s="10">
        <v>45670.637928240743</v>
      </c>
      <c r="I3655" s="10">
        <v>45670.638773148137</v>
      </c>
      <c r="J3655" s="10">
        <v>45670.640300925923</v>
      </c>
      <c r="K3655" s="11">
        <v>1.5277777777777781E-3</v>
      </c>
      <c r="L3655" s="13"/>
    </row>
    <row r="3656" spans="1:12" x14ac:dyDescent="0.25">
      <c r="A3656" s="3" t="s">
        <v>6718</v>
      </c>
      <c r="B3656" s="3" t="s">
        <v>6917</v>
      </c>
      <c r="C3656" s="3" t="s">
        <v>1538</v>
      </c>
      <c r="D3656" s="9">
        <v>21</v>
      </c>
      <c r="E3656" s="3"/>
      <c r="F3656" s="3"/>
      <c r="G3656" s="9"/>
      <c r="H3656" s="10">
        <v>45670.647048611107</v>
      </c>
      <c r="I3656" s="10">
        <v>45670.649062500001</v>
      </c>
      <c r="J3656" s="10">
        <v>45670.650590277779</v>
      </c>
      <c r="K3656" s="11">
        <v>1.5277777777777781E-3</v>
      </c>
      <c r="L3656" s="13"/>
    </row>
    <row r="3657" spans="1:12" x14ac:dyDescent="0.25">
      <c r="A3657" s="3" t="s">
        <v>6718</v>
      </c>
      <c r="B3657" s="3" t="s">
        <v>6918</v>
      </c>
      <c r="C3657" s="3" t="s">
        <v>1541</v>
      </c>
      <c r="D3657" s="9">
        <v>58.9</v>
      </c>
      <c r="E3657" s="3"/>
      <c r="F3657" s="3"/>
      <c r="G3657" s="9"/>
      <c r="H3657" s="10">
        <v>45670.649097222216</v>
      </c>
      <c r="I3657" s="10">
        <v>45670.650879629633</v>
      </c>
      <c r="J3657" s="10">
        <v>45670.652407407397</v>
      </c>
      <c r="K3657" s="11">
        <v>1.5277777777777781E-3</v>
      </c>
      <c r="L3657" s="13"/>
    </row>
    <row r="3658" spans="1:12" x14ac:dyDescent="0.25">
      <c r="A3658" s="3" t="s">
        <v>6718</v>
      </c>
      <c r="B3658" s="3" t="s">
        <v>6919</v>
      </c>
      <c r="C3658" s="3" t="s">
        <v>1550</v>
      </c>
      <c r="D3658" s="9">
        <v>393.5</v>
      </c>
      <c r="E3658" s="3"/>
      <c r="F3658" s="3"/>
      <c r="G3658" s="9"/>
      <c r="H3658" s="10">
        <v>45670.657638888893</v>
      </c>
      <c r="I3658" s="10">
        <v>45670.658807870372</v>
      </c>
      <c r="J3658" s="10">
        <v>45670.66033564815</v>
      </c>
      <c r="K3658" s="11">
        <v>1.5277777777777781E-3</v>
      </c>
      <c r="L3658" s="13"/>
    </row>
    <row r="3659" spans="1:12" x14ac:dyDescent="0.25">
      <c r="A3659" s="3" t="s">
        <v>6718</v>
      </c>
      <c r="B3659" s="3" t="s">
        <v>6920</v>
      </c>
      <c r="C3659" s="3" t="s">
        <v>1555</v>
      </c>
      <c r="D3659" s="9">
        <v>229.7</v>
      </c>
      <c r="E3659" s="3"/>
      <c r="F3659" s="3"/>
      <c r="G3659" s="9"/>
      <c r="H3659" s="10">
        <v>45670.682245370372</v>
      </c>
      <c r="I3659" s="10">
        <v>45670.684502314813</v>
      </c>
      <c r="J3659" s="10">
        <v>45670.686030092591</v>
      </c>
      <c r="K3659" s="11">
        <v>1.5277777777777781E-3</v>
      </c>
      <c r="L3659" s="13"/>
    </row>
    <row r="3660" spans="1:12" x14ac:dyDescent="0.25">
      <c r="A3660" s="3" t="s">
        <v>6718</v>
      </c>
      <c r="B3660" s="3" t="s">
        <v>6921</v>
      </c>
      <c r="C3660" s="3" t="s">
        <v>1558</v>
      </c>
      <c r="D3660" s="9">
        <v>185.9</v>
      </c>
      <c r="E3660" s="3"/>
      <c r="F3660" s="3"/>
      <c r="G3660" s="9"/>
      <c r="H3660" s="10">
        <v>45670.735486111109</v>
      </c>
      <c r="I3660" s="10">
        <v>45670.736354166656</v>
      </c>
      <c r="J3660" s="10">
        <v>45670.737881944442</v>
      </c>
      <c r="K3660" s="11">
        <v>1.5277777777777781E-3</v>
      </c>
      <c r="L3660" s="13"/>
    </row>
    <row r="3661" spans="1:12" x14ac:dyDescent="0.25">
      <c r="A3661" s="3" t="s">
        <v>6718</v>
      </c>
      <c r="B3661" s="3" t="s">
        <v>6922</v>
      </c>
      <c r="C3661" s="3" t="s">
        <v>1561</v>
      </c>
      <c r="D3661" s="9">
        <v>389.1</v>
      </c>
      <c r="E3661" s="3"/>
      <c r="F3661" s="3"/>
      <c r="G3661" s="9"/>
      <c r="H3661" s="10">
        <v>45670.889201388891</v>
      </c>
      <c r="I3661" s="10">
        <v>45670.890069444453</v>
      </c>
      <c r="J3661" s="10">
        <v>45670.891597222217</v>
      </c>
      <c r="K3661" s="11">
        <v>1.5277777777777781E-3</v>
      </c>
      <c r="L3661" s="13"/>
    </row>
    <row r="3662" spans="1:12" x14ac:dyDescent="0.25">
      <c r="A3662" s="3" t="s">
        <v>6718</v>
      </c>
      <c r="B3662" s="3" t="s">
        <v>6923</v>
      </c>
      <c r="C3662" s="3" t="s">
        <v>1566</v>
      </c>
      <c r="D3662" s="9">
        <v>12</v>
      </c>
      <c r="E3662" s="3"/>
      <c r="F3662" s="3"/>
      <c r="G3662" s="9"/>
      <c r="H3662" s="10">
        <v>45671.115416666667</v>
      </c>
      <c r="I3662" s="10">
        <v>45671.116284722222</v>
      </c>
      <c r="J3662" s="10">
        <v>45671.117812500001</v>
      </c>
      <c r="K3662" s="11">
        <v>1.5277777777777781E-3</v>
      </c>
      <c r="L3662" s="13"/>
    </row>
    <row r="3663" spans="1:12" x14ac:dyDescent="0.25">
      <c r="A3663" s="3" t="s">
        <v>6718</v>
      </c>
      <c r="B3663" s="3" t="s">
        <v>6924</v>
      </c>
      <c r="C3663" s="3" t="s">
        <v>1573</v>
      </c>
      <c r="D3663" s="9">
        <v>297</v>
      </c>
      <c r="E3663" s="3"/>
      <c r="F3663" s="3"/>
      <c r="G3663" s="9"/>
      <c r="H3663" s="10">
        <v>45671.280729166669</v>
      </c>
      <c r="I3663" s="10">
        <v>45671.281574074077</v>
      </c>
      <c r="J3663" s="10">
        <v>45671.283101851863</v>
      </c>
      <c r="K3663" s="11">
        <v>1.5277777777777781E-3</v>
      </c>
      <c r="L3663" s="13"/>
    </row>
    <row r="3664" spans="1:12" x14ac:dyDescent="0.25">
      <c r="A3664" s="3" t="s">
        <v>6718</v>
      </c>
      <c r="B3664" s="3" t="s">
        <v>6925</v>
      </c>
      <c r="C3664" s="3" t="s">
        <v>1580</v>
      </c>
      <c r="D3664" s="9">
        <v>54</v>
      </c>
      <c r="E3664" s="3"/>
      <c r="F3664" s="3"/>
      <c r="G3664" s="9"/>
      <c r="H3664" s="10">
        <v>45671.296400462961</v>
      </c>
      <c r="I3664" s="10">
        <v>45671.2971875</v>
      </c>
      <c r="J3664" s="10">
        <v>45671.298576388886</v>
      </c>
      <c r="K3664" s="11">
        <v>1.3888888888888889E-3</v>
      </c>
      <c r="L3664" s="13"/>
    </row>
    <row r="3665" spans="1:12" x14ac:dyDescent="0.25">
      <c r="A3665" s="3" t="s">
        <v>6718</v>
      </c>
      <c r="B3665" s="3" t="s">
        <v>6926</v>
      </c>
      <c r="C3665" s="3" t="s">
        <v>1583</v>
      </c>
      <c r="D3665" s="9">
        <v>23.2</v>
      </c>
      <c r="E3665" s="3"/>
      <c r="F3665" s="3"/>
      <c r="G3665" s="9"/>
      <c r="H3665" s="10">
        <v>45671.298113425917</v>
      </c>
      <c r="I3665" s="10">
        <v>45671.299976851849</v>
      </c>
      <c r="J3665" s="10">
        <v>45671.301504629628</v>
      </c>
      <c r="K3665" s="11">
        <v>1.5277777777777781E-3</v>
      </c>
      <c r="L3665" s="13"/>
    </row>
    <row r="3666" spans="1:12" x14ac:dyDescent="0.25">
      <c r="A3666" s="3" t="s">
        <v>6718</v>
      </c>
      <c r="B3666" s="3" t="s">
        <v>6927</v>
      </c>
      <c r="C3666" s="3" t="s">
        <v>1592</v>
      </c>
      <c r="D3666" s="9">
        <v>213.8</v>
      </c>
      <c r="E3666" s="3"/>
      <c r="F3666" s="3"/>
      <c r="G3666" s="9"/>
      <c r="H3666" s="10">
        <v>45671.31490740741</v>
      </c>
      <c r="I3666" s="10">
        <v>45671.328275462962</v>
      </c>
      <c r="J3666" s="10">
        <v>45671.329664351862</v>
      </c>
      <c r="K3666" s="11">
        <v>1.3888888888888889E-3</v>
      </c>
      <c r="L3666" s="13"/>
    </row>
    <row r="3667" spans="1:12" x14ac:dyDescent="0.25">
      <c r="A3667" s="3" t="s">
        <v>6718</v>
      </c>
      <c r="B3667" s="3" t="s">
        <v>6928</v>
      </c>
      <c r="C3667" s="3" t="s">
        <v>1595</v>
      </c>
      <c r="D3667" s="9">
        <v>389.8</v>
      </c>
      <c r="E3667" s="3"/>
      <c r="F3667" s="3"/>
      <c r="G3667" s="9"/>
      <c r="H3667" s="10">
        <v>45671.34474537037</v>
      </c>
      <c r="I3667" s="10">
        <v>45671.345590277779</v>
      </c>
      <c r="J3667" s="10">
        <v>45671.347118055557</v>
      </c>
      <c r="K3667" s="11">
        <v>1.5277777777777781E-3</v>
      </c>
      <c r="L3667" s="13"/>
    </row>
    <row r="3668" spans="1:12" x14ac:dyDescent="0.25">
      <c r="A3668" s="3" t="s">
        <v>6718</v>
      </c>
      <c r="B3668" s="3" t="s">
        <v>6929</v>
      </c>
      <c r="C3668" s="3" t="s">
        <v>1628</v>
      </c>
      <c r="D3668" s="9">
        <v>56.3</v>
      </c>
      <c r="E3668" s="3"/>
      <c r="F3668" s="3"/>
      <c r="G3668" s="9"/>
      <c r="H3668" s="10">
        <v>45671.391238425917</v>
      </c>
      <c r="I3668" s="10">
        <v>45671.392025462963</v>
      </c>
      <c r="J3668" s="10">
        <v>45671.393414351849</v>
      </c>
      <c r="K3668" s="11">
        <v>1.3888888888888889E-3</v>
      </c>
      <c r="L3668" s="13"/>
    </row>
    <row r="3669" spans="1:12" x14ac:dyDescent="0.25">
      <c r="A3669" s="3" t="s">
        <v>6718</v>
      </c>
      <c r="B3669" s="3" t="s">
        <v>6930</v>
      </c>
      <c r="C3669" s="3" t="s">
        <v>1600</v>
      </c>
      <c r="D3669" s="9">
        <v>19.899999999999999</v>
      </c>
      <c r="E3669" s="3"/>
      <c r="F3669" s="3"/>
      <c r="G3669" s="9"/>
      <c r="H3669" s="10">
        <v>45671.401180555556</v>
      </c>
      <c r="I3669" s="10">
        <v>45671.417395833327</v>
      </c>
      <c r="J3669" s="10">
        <v>45671.418923611112</v>
      </c>
      <c r="K3669" s="11">
        <v>1.5277777777777781E-3</v>
      </c>
      <c r="L3669" s="13"/>
    </row>
    <row r="3670" spans="1:12" x14ac:dyDescent="0.25">
      <c r="A3670" s="3" t="s">
        <v>6718</v>
      </c>
      <c r="B3670" s="3" t="s">
        <v>6931</v>
      </c>
      <c r="C3670" s="3" t="s">
        <v>1607</v>
      </c>
      <c r="D3670" s="9">
        <v>42</v>
      </c>
      <c r="E3670" s="3"/>
      <c r="F3670" s="3"/>
      <c r="G3670" s="9"/>
      <c r="H3670" s="10">
        <v>45671.407060185193</v>
      </c>
      <c r="I3670" s="10">
        <v>45671.424664351849</v>
      </c>
      <c r="J3670" s="10">
        <v>45671.426053240742</v>
      </c>
      <c r="K3670" s="11">
        <v>1.3888888888888889E-3</v>
      </c>
      <c r="L3670" s="13"/>
    </row>
    <row r="3671" spans="1:12" x14ac:dyDescent="0.25">
      <c r="A3671" s="3" t="s">
        <v>6718</v>
      </c>
      <c r="B3671" s="3" t="s">
        <v>6932</v>
      </c>
      <c r="C3671" s="3" t="s">
        <v>1612</v>
      </c>
      <c r="D3671" s="9">
        <v>19.899999999999999</v>
      </c>
      <c r="E3671" s="3"/>
      <c r="F3671" s="3"/>
      <c r="G3671" s="9"/>
      <c r="H3671" s="10">
        <v>45671.410462962973</v>
      </c>
      <c r="I3671" s="10">
        <v>45671.425451388888</v>
      </c>
      <c r="J3671" s="10">
        <v>45671.426979166667</v>
      </c>
      <c r="K3671" s="11">
        <v>1.5277777777777781E-3</v>
      </c>
      <c r="L3671" s="13"/>
    </row>
    <row r="3672" spans="1:12" x14ac:dyDescent="0.25">
      <c r="A3672" s="3" t="s">
        <v>6718</v>
      </c>
      <c r="B3672" s="3" t="s">
        <v>6933</v>
      </c>
      <c r="C3672" s="3" t="s">
        <v>1623</v>
      </c>
      <c r="D3672" s="9">
        <v>233.1</v>
      </c>
      <c r="E3672" s="3"/>
      <c r="F3672" s="3"/>
      <c r="G3672" s="9"/>
      <c r="H3672" s="10">
        <v>45671.41883101852</v>
      </c>
      <c r="I3672" s="10">
        <v>45671.429525462961</v>
      </c>
      <c r="J3672" s="10">
        <v>45671.43105324074</v>
      </c>
      <c r="K3672" s="11">
        <v>1.5277777777777781E-3</v>
      </c>
      <c r="L3672" s="13"/>
    </row>
    <row r="3673" spans="1:12" x14ac:dyDescent="0.25">
      <c r="A3673" s="3" t="s">
        <v>6718</v>
      </c>
      <c r="B3673" s="3" t="s">
        <v>6934</v>
      </c>
      <c r="C3673" s="3" t="s">
        <v>1639</v>
      </c>
      <c r="D3673" s="9">
        <v>297.8</v>
      </c>
      <c r="E3673" s="3"/>
      <c r="F3673" s="3"/>
      <c r="G3673" s="9"/>
      <c r="H3673" s="10">
        <v>45671.545844907407</v>
      </c>
      <c r="I3673" s="10">
        <v>45671.546712962961</v>
      </c>
      <c r="J3673" s="10">
        <v>45671.54824074074</v>
      </c>
      <c r="K3673" s="11">
        <v>1.5277777777777781E-3</v>
      </c>
      <c r="L3673" s="13"/>
    </row>
    <row r="3674" spans="1:12" x14ac:dyDescent="0.25">
      <c r="A3674" s="3" t="s">
        <v>6718</v>
      </c>
      <c r="B3674" s="3" t="s">
        <v>6935</v>
      </c>
      <c r="C3674" s="3" t="s">
        <v>1642</v>
      </c>
      <c r="D3674" s="9">
        <v>225.6</v>
      </c>
      <c r="E3674" s="3"/>
      <c r="F3674" s="3"/>
      <c r="G3674" s="9"/>
      <c r="H3674" s="10">
        <v>45671.609027777777</v>
      </c>
      <c r="I3674" s="10">
        <v>45671.609895833331</v>
      </c>
      <c r="J3674" s="10">
        <v>45671.61142361111</v>
      </c>
      <c r="K3674" s="11">
        <v>1.5277777777777781E-3</v>
      </c>
      <c r="L3674" s="13"/>
    </row>
    <row r="3675" spans="1:12" x14ac:dyDescent="0.25">
      <c r="A3675" s="3" t="s">
        <v>6718</v>
      </c>
      <c r="B3675" s="3" t="s">
        <v>6936</v>
      </c>
      <c r="C3675" s="3" t="s">
        <v>1653</v>
      </c>
      <c r="D3675" s="9">
        <v>15.7</v>
      </c>
      <c r="E3675" s="3"/>
      <c r="F3675" s="3"/>
      <c r="G3675" s="9"/>
      <c r="H3675" s="10">
        <v>45671.649733796286</v>
      </c>
      <c r="I3675" s="10">
        <v>45671.652187500003</v>
      </c>
      <c r="J3675" s="10">
        <v>45671.653715277767</v>
      </c>
      <c r="K3675" s="11">
        <v>1.5277777777777781E-3</v>
      </c>
      <c r="L3675" s="13"/>
    </row>
    <row r="3676" spans="1:12" x14ac:dyDescent="0.25">
      <c r="A3676" s="3" t="s">
        <v>6718</v>
      </c>
      <c r="B3676" s="3" t="s">
        <v>6937</v>
      </c>
      <c r="C3676" s="3" t="s">
        <v>1656</v>
      </c>
      <c r="D3676" s="9">
        <v>163.4</v>
      </c>
      <c r="E3676" s="3"/>
      <c r="F3676" s="3"/>
      <c r="G3676" s="9"/>
      <c r="H3676" s="10">
        <v>45671.651319444441</v>
      </c>
      <c r="I3676" s="10">
        <v>45671.652997685182</v>
      </c>
      <c r="J3676" s="10">
        <v>45671.654386574082</v>
      </c>
      <c r="K3676" s="11">
        <v>1.3888888888888889E-3</v>
      </c>
      <c r="L3676" s="13"/>
    </row>
    <row r="3677" spans="1:12" x14ac:dyDescent="0.25">
      <c r="A3677" s="3" t="s">
        <v>6718</v>
      </c>
      <c r="B3677" s="3" t="s">
        <v>6938</v>
      </c>
      <c r="C3677" s="3" t="s">
        <v>1667</v>
      </c>
      <c r="D3677" s="9">
        <v>39</v>
      </c>
      <c r="E3677" s="3"/>
      <c r="F3677" s="3"/>
      <c r="G3677" s="9"/>
      <c r="H3677" s="10">
        <v>45671.660462962973</v>
      </c>
      <c r="I3677" s="10">
        <v>45671.665034722217</v>
      </c>
      <c r="J3677" s="10">
        <v>45671.666562500002</v>
      </c>
      <c r="K3677" s="11">
        <v>1.5277777777777781E-3</v>
      </c>
      <c r="L3677" s="13"/>
    </row>
    <row r="3678" spans="1:12" x14ac:dyDescent="0.25">
      <c r="A3678" s="3" t="s">
        <v>6718</v>
      </c>
      <c r="B3678" s="3" t="s">
        <v>6939</v>
      </c>
      <c r="C3678" s="3" t="s">
        <v>1670</v>
      </c>
      <c r="D3678" s="9">
        <v>173.1</v>
      </c>
      <c r="E3678" s="3"/>
      <c r="F3678" s="3"/>
      <c r="G3678" s="9"/>
      <c r="H3678" s="10">
        <v>45671.663425925923</v>
      </c>
      <c r="I3678" s="10">
        <v>45671.665393518517</v>
      </c>
      <c r="J3678" s="10">
        <v>45671.66678240741</v>
      </c>
      <c r="K3678" s="11">
        <v>1.3888888888888889E-3</v>
      </c>
      <c r="L3678" s="13"/>
    </row>
    <row r="3679" spans="1:12" x14ac:dyDescent="0.25">
      <c r="A3679" s="3" t="s">
        <v>6718</v>
      </c>
      <c r="B3679" s="3" t="s">
        <v>6940</v>
      </c>
      <c r="C3679" s="3" t="s">
        <v>1673</v>
      </c>
      <c r="D3679" s="9">
        <v>40.9</v>
      </c>
      <c r="E3679" s="3"/>
      <c r="F3679" s="3"/>
      <c r="G3679" s="9"/>
      <c r="H3679" s="10">
        <v>45671.666319444441</v>
      </c>
      <c r="I3679" s="10">
        <v>45671.668298611112</v>
      </c>
      <c r="J3679" s="10">
        <v>45671.66982638889</v>
      </c>
      <c r="K3679" s="11">
        <v>1.5277777777777781E-3</v>
      </c>
      <c r="L3679" s="13"/>
    </row>
    <row r="3680" spans="1:12" x14ac:dyDescent="0.25">
      <c r="A3680" s="3" t="s">
        <v>6718</v>
      </c>
      <c r="B3680" s="3" t="s">
        <v>6941</v>
      </c>
      <c r="C3680" s="3" t="s">
        <v>1678</v>
      </c>
      <c r="D3680" s="9">
        <v>108</v>
      </c>
      <c r="E3680" s="3"/>
      <c r="F3680" s="3"/>
      <c r="G3680" s="9"/>
      <c r="H3680" s="10">
        <v>45671.756412037037</v>
      </c>
      <c r="I3680" s="10">
        <v>45671.757187499999</v>
      </c>
      <c r="J3680" s="10">
        <v>45671.758576388893</v>
      </c>
      <c r="K3680" s="11">
        <v>1.3888888888888889E-3</v>
      </c>
      <c r="L3680" s="13"/>
    </row>
    <row r="3681" spans="1:12" x14ac:dyDescent="0.25">
      <c r="A3681" s="3" t="s">
        <v>6718</v>
      </c>
      <c r="B3681" s="3" t="s">
        <v>6942</v>
      </c>
      <c r="C3681" s="3" t="s">
        <v>1685</v>
      </c>
      <c r="D3681" s="9">
        <v>19.899999999999999</v>
      </c>
      <c r="E3681" s="3"/>
      <c r="F3681" s="3"/>
      <c r="G3681" s="9"/>
      <c r="H3681" s="10">
        <v>45671.761053240742</v>
      </c>
      <c r="I3681" s="10">
        <v>45671.763287037043</v>
      </c>
      <c r="J3681" s="10">
        <v>45671.764814814807</v>
      </c>
      <c r="K3681" s="11">
        <v>1.5277777777777781E-3</v>
      </c>
      <c r="L3681" s="13"/>
    </row>
    <row r="3682" spans="1:12" x14ac:dyDescent="0.25">
      <c r="A3682" s="3" t="s">
        <v>6718</v>
      </c>
      <c r="B3682" s="3" t="s">
        <v>6943</v>
      </c>
      <c r="C3682" s="3" t="s">
        <v>1688</v>
      </c>
      <c r="D3682" s="9">
        <v>15.7</v>
      </c>
      <c r="E3682" s="3"/>
      <c r="F3682" s="3"/>
      <c r="G3682" s="9"/>
      <c r="H3682" s="10">
        <v>45671.762974537043</v>
      </c>
      <c r="I3682" s="10">
        <v>45671.765335648153</v>
      </c>
      <c r="J3682" s="10">
        <v>45671.766863425917</v>
      </c>
      <c r="K3682" s="11">
        <v>1.5277777777777781E-3</v>
      </c>
      <c r="L3682" s="13"/>
    </row>
    <row r="3683" spans="1:12" x14ac:dyDescent="0.25">
      <c r="A3683" s="3" t="s">
        <v>6718</v>
      </c>
      <c r="B3683" s="3" t="s">
        <v>6944</v>
      </c>
      <c r="C3683" s="3" t="s">
        <v>1691</v>
      </c>
      <c r="D3683" s="9">
        <v>54.7</v>
      </c>
      <c r="E3683" s="3"/>
      <c r="F3683" s="3"/>
      <c r="G3683" s="9"/>
      <c r="H3683" s="10">
        <v>45671.764780092592</v>
      </c>
      <c r="I3683" s="10">
        <v>45671.766504629632</v>
      </c>
      <c r="J3683" s="10">
        <v>45671.76803240741</v>
      </c>
      <c r="K3683" s="11">
        <v>1.5277777777777781E-3</v>
      </c>
      <c r="L3683" s="13"/>
    </row>
    <row r="3684" spans="1:12" x14ac:dyDescent="0.25">
      <c r="A3684" s="3" t="s">
        <v>6718</v>
      </c>
      <c r="B3684" s="3" t="s">
        <v>6945</v>
      </c>
      <c r="C3684" s="3" t="s">
        <v>1694</v>
      </c>
      <c r="D3684" s="9">
        <v>111.4</v>
      </c>
      <c r="E3684" s="3"/>
      <c r="F3684" s="3"/>
      <c r="G3684" s="9"/>
      <c r="H3684" s="10">
        <v>45671.766759259262</v>
      </c>
      <c r="I3684" s="10">
        <v>45671.768541666657</v>
      </c>
      <c r="J3684" s="10">
        <v>45671.770069444443</v>
      </c>
      <c r="K3684" s="11">
        <v>1.5277777777777781E-3</v>
      </c>
      <c r="L3684" s="13"/>
    </row>
    <row r="3685" spans="1:12" x14ac:dyDescent="0.25">
      <c r="A3685" s="3" t="s">
        <v>6718</v>
      </c>
      <c r="B3685" s="3" t="s">
        <v>6946</v>
      </c>
      <c r="C3685" s="3" t="s">
        <v>1697</v>
      </c>
      <c r="D3685" s="9">
        <v>19.899999999999999</v>
      </c>
      <c r="E3685" s="3"/>
      <c r="F3685" s="3"/>
      <c r="G3685" s="9"/>
      <c r="H3685" s="10">
        <v>45671.768263888887</v>
      </c>
      <c r="I3685" s="10">
        <v>45671.769733796304</v>
      </c>
      <c r="J3685" s="10">
        <v>45671.771261574067</v>
      </c>
      <c r="K3685" s="11">
        <v>1.5277777777777781E-3</v>
      </c>
      <c r="L3685" s="13"/>
    </row>
    <row r="3686" spans="1:12" x14ac:dyDescent="0.25">
      <c r="A3686" s="3" t="s">
        <v>6718</v>
      </c>
      <c r="B3686" s="3" t="s">
        <v>6947</v>
      </c>
      <c r="C3686" s="3" t="s">
        <v>1704</v>
      </c>
      <c r="D3686" s="9">
        <v>15.7</v>
      </c>
      <c r="E3686" s="3"/>
      <c r="F3686" s="3"/>
      <c r="G3686" s="9"/>
      <c r="H3686" s="10">
        <v>45671.831331018519</v>
      </c>
      <c r="I3686" s="10">
        <v>45671.832094907397</v>
      </c>
      <c r="J3686" s="10">
        <v>45671.833483796298</v>
      </c>
      <c r="K3686" s="11">
        <v>1.3888888888888889E-3</v>
      </c>
      <c r="L3686" s="13"/>
    </row>
    <row r="3687" spans="1:12" x14ac:dyDescent="0.25">
      <c r="A3687" s="3" t="s">
        <v>6718</v>
      </c>
      <c r="B3687" s="3" t="s">
        <v>6948</v>
      </c>
      <c r="C3687" s="3" t="s">
        <v>1711</v>
      </c>
      <c r="D3687" s="9">
        <v>12</v>
      </c>
      <c r="E3687" s="3"/>
      <c r="F3687" s="3"/>
      <c r="G3687" s="9"/>
      <c r="H3687" s="10">
        <v>45672.116851851853</v>
      </c>
      <c r="I3687" s="10">
        <v>45672.117615740739</v>
      </c>
      <c r="J3687" s="10">
        <v>45672.119004629632</v>
      </c>
      <c r="K3687" s="11">
        <v>1.3888888888888889E-3</v>
      </c>
      <c r="L3687" s="13"/>
    </row>
    <row r="3688" spans="1:12" x14ac:dyDescent="0.25">
      <c r="A3688" s="3" t="s">
        <v>6718</v>
      </c>
      <c r="B3688" s="3" t="s">
        <v>6949</v>
      </c>
      <c r="C3688" s="3" t="s">
        <v>1716</v>
      </c>
      <c r="D3688" s="9">
        <v>521.9</v>
      </c>
      <c r="E3688" s="3"/>
      <c r="F3688" s="3"/>
      <c r="G3688" s="9"/>
      <c r="H3688" s="10">
        <v>45672.204884259263</v>
      </c>
      <c r="I3688" s="10">
        <v>45672.205729166657</v>
      </c>
      <c r="J3688" s="10">
        <v>45672.207256944443</v>
      </c>
      <c r="K3688" s="11">
        <v>1.5277777777777781E-3</v>
      </c>
      <c r="L3688" s="13"/>
    </row>
    <row r="3689" spans="1:12" x14ac:dyDescent="0.25">
      <c r="A3689" s="3" t="s">
        <v>6718</v>
      </c>
      <c r="B3689" s="3" t="s">
        <v>6950</v>
      </c>
      <c r="C3689" s="3" t="s">
        <v>1723</v>
      </c>
      <c r="D3689" s="9">
        <v>23.2</v>
      </c>
      <c r="E3689" s="3"/>
      <c r="F3689" s="3"/>
      <c r="G3689" s="9"/>
      <c r="H3689" s="10">
        <v>45672.319421296299</v>
      </c>
      <c r="I3689" s="10">
        <v>45672.3202662037</v>
      </c>
      <c r="J3689" s="10">
        <v>45672.321793981479</v>
      </c>
      <c r="K3689" s="11">
        <v>1.5277777777777781E-3</v>
      </c>
      <c r="L3689" s="13"/>
    </row>
    <row r="3690" spans="1:12" x14ac:dyDescent="0.25">
      <c r="A3690" s="3" t="s">
        <v>6718</v>
      </c>
      <c r="B3690" s="3" t="s">
        <v>6951</v>
      </c>
      <c r="C3690" s="3" t="s">
        <v>1726</v>
      </c>
      <c r="D3690" s="9">
        <v>37.5</v>
      </c>
      <c r="E3690" s="3"/>
      <c r="F3690" s="3"/>
      <c r="G3690" s="9"/>
      <c r="H3690" s="10">
        <v>45672.321203703701</v>
      </c>
      <c r="I3690" s="10">
        <v>45672.322604166657</v>
      </c>
      <c r="J3690" s="10">
        <v>45672.323993055557</v>
      </c>
      <c r="K3690" s="11">
        <v>1.3888888888888889E-3</v>
      </c>
      <c r="L3690" s="13"/>
    </row>
    <row r="3691" spans="1:12" x14ac:dyDescent="0.25">
      <c r="A3691" s="3" t="s">
        <v>6718</v>
      </c>
      <c r="B3691" s="3" t="s">
        <v>6952</v>
      </c>
      <c r="C3691" s="3" t="s">
        <v>1731</v>
      </c>
      <c r="D3691" s="9">
        <v>21</v>
      </c>
      <c r="E3691" s="3"/>
      <c r="F3691" s="3"/>
      <c r="G3691" s="9"/>
      <c r="H3691" s="10">
        <v>45672.324548611112</v>
      </c>
      <c r="I3691" s="10">
        <v>45672.325567129628</v>
      </c>
      <c r="J3691" s="10">
        <v>45672.326956018522</v>
      </c>
      <c r="K3691" s="11">
        <v>1.3888888888888889E-3</v>
      </c>
      <c r="L3691" s="13"/>
    </row>
    <row r="3692" spans="1:12" x14ac:dyDescent="0.25">
      <c r="A3692" s="3" t="s">
        <v>6718</v>
      </c>
      <c r="B3692" s="3" t="s">
        <v>6953</v>
      </c>
      <c r="C3692" s="3" t="s">
        <v>1734</v>
      </c>
      <c r="D3692" s="9">
        <v>28</v>
      </c>
      <c r="E3692" s="3"/>
      <c r="F3692" s="3"/>
      <c r="G3692" s="9"/>
      <c r="H3692" s="10">
        <v>45672.325960648152</v>
      </c>
      <c r="I3692" s="10">
        <v>45672.328483796293</v>
      </c>
      <c r="J3692" s="10">
        <v>45672.330011574071</v>
      </c>
      <c r="K3692" s="11">
        <v>1.5277777777777781E-3</v>
      </c>
      <c r="L3692" s="13"/>
    </row>
    <row r="3693" spans="1:12" x14ac:dyDescent="0.25">
      <c r="A3693" s="3" t="s">
        <v>6718</v>
      </c>
      <c r="B3693" s="3" t="s">
        <v>6954</v>
      </c>
      <c r="C3693" s="3" t="s">
        <v>1741</v>
      </c>
      <c r="D3693" s="9">
        <v>108</v>
      </c>
      <c r="E3693" s="3"/>
      <c r="F3693" s="3"/>
      <c r="G3693" s="9"/>
      <c r="H3693" s="10">
        <v>45672.331666666672</v>
      </c>
      <c r="I3693" s="10">
        <v>45672.333252314813</v>
      </c>
      <c r="J3693" s="10">
        <v>45672.334641203714</v>
      </c>
      <c r="K3693" s="11">
        <v>1.3888888888888889E-3</v>
      </c>
      <c r="L3693" s="13"/>
    </row>
    <row r="3694" spans="1:12" x14ac:dyDescent="0.25">
      <c r="A3694" s="3" t="s">
        <v>6718</v>
      </c>
      <c r="B3694" s="3" t="s">
        <v>6955</v>
      </c>
      <c r="C3694" s="3" t="s">
        <v>1744</v>
      </c>
      <c r="D3694" s="9">
        <v>257</v>
      </c>
      <c r="E3694" s="3"/>
      <c r="F3694" s="3"/>
      <c r="G3694" s="9"/>
      <c r="H3694" s="10">
        <v>45672.334826388891</v>
      </c>
      <c r="I3694" s="10">
        <v>45672.336215277777</v>
      </c>
      <c r="J3694" s="10">
        <v>45672.337604166663</v>
      </c>
      <c r="K3694" s="11">
        <v>1.3888888888888889E-3</v>
      </c>
      <c r="L3694" s="13"/>
    </row>
    <row r="3695" spans="1:12" x14ac:dyDescent="0.25">
      <c r="A3695" s="3" t="s">
        <v>6718</v>
      </c>
      <c r="B3695" s="3" t="s">
        <v>6956</v>
      </c>
      <c r="C3695" s="3" t="s">
        <v>1747</v>
      </c>
      <c r="D3695" s="9">
        <v>374.1</v>
      </c>
      <c r="E3695" s="3"/>
      <c r="F3695" s="3"/>
      <c r="G3695" s="9"/>
      <c r="H3695" s="10">
        <v>45672.34710648148</v>
      </c>
      <c r="I3695" s="10">
        <v>45672.361157407409</v>
      </c>
      <c r="J3695" s="10">
        <v>45672.362546296303</v>
      </c>
      <c r="K3695" s="11">
        <v>1.3888888888888889E-3</v>
      </c>
      <c r="L3695" s="13"/>
    </row>
    <row r="3696" spans="1:12" x14ac:dyDescent="0.25">
      <c r="A3696" s="3" t="s">
        <v>6718</v>
      </c>
      <c r="B3696" s="3" t="s">
        <v>6957</v>
      </c>
      <c r="C3696" s="3" t="s">
        <v>1754</v>
      </c>
      <c r="D3696" s="9">
        <v>19.899999999999999</v>
      </c>
      <c r="E3696" s="3"/>
      <c r="F3696" s="3"/>
      <c r="G3696" s="9"/>
      <c r="H3696" s="10">
        <v>45672.390520833331</v>
      </c>
      <c r="I3696" s="10">
        <v>45672.391388888893</v>
      </c>
      <c r="J3696" s="10">
        <v>45672.392916666657</v>
      </c>
      <c r="K3696" s="11">
        <v>1.5277777777777781E-3</v>
      </c>
      <c r="L3696" s="13"/>
    </row>
    <row r="3697" spans="1:12" x14ac:dyDescent="0.25">
      <c r="A3697" s="3" t="s">
        <v>6718</v>
      </c>
      <c r="B3697" s="3" t="s">
        <v>6958</v>
      </c>
      <c r="C3697" s="3" t="s">
        <v>1761</v>
      </c>
      <c r="D3697" s="9">
        <v>63</v>
      </c>
      <c r="E3697" s="3"/>
      <c r="F3697" s="3"/>
      <c r="G3697" s="9"/>
      <c r="H3697" s="10">
        <v>45672.395567129628</v>
      </c>
      <c r="I3697" s="10">
        <v>45672.397939814808</v>
      </c>
      <c r="J3697" s="10">
        <v>45672.399467592593</v>
      </c>
      <c r="K3697" s="11">
        <v>1.5277777777777781E-3</v>
      </c>
      <c r="L3697" s="13"/>
    </row>
    <row r="3698" spans="1:12" x14ac:dyDescent="0.25">
      <c r="A3698" s="3" t="s">
        <v>6718</v>
      </c>
      <c r="B3698" s="3" t="s">
        <v>6959</v>
      </c>
      <c r="C3698" s="3" t="s">
        <v>1764</v>
      </c>
      <c r="D3698" s="9">
        <v>54</v>
      </c>
      <c r="E3698" s="3"/>
      <c r="F3698" s="3"/>
      <c r="G3698" s="9"/>
      <c r="H3698" s="10">
        <v>45672.397685185177</v>
      </c>
      <c r="I3698" s="10">
        <v>45672.399108796293</v>
      </c>
      <c r="J3698" s="10">
        <v>45672.400636574072</v>
      </c>
      <c r="K3698" s="11">
        <v>1.5277777777777781E-3</v>
      </c>
      <c r="L3698" s="13"/>
    </row>
    <row r="3699" spans="1:12" x14ac:dyDescent="0.25">
      <c r="A3699" s="3" t="s">
        <v>6718</v>
      </c>
      <c r="B3699" s="3" t="s">
        <v>6960</v>
      </c>
      <c r="C3699" s="3" t="s">
        <v>1769</v>
      </c>
      <c r="D3699" s="9">
        <v>281.39999999999998</v>
      </c>
      <c r="E3699" s="3"/>
      <c r="F3699" s="3"/>
      <c r="G3699" s="9"/>
      <c r="H3699" s="10">
        <v>45672.402037037027</v>
      </c>
      <c r="I3699" s="10">
        <v>45672.402870370373</v>
      </c>
      <c r="J3699" s="10">
        <v>45672.404398148137</v>
      </c>
      <c r="K3699" s="11">
        <v>1.5277777777777781E-3</v>
      </c>
      <c r="L3699" s="13"/>
    </row>
    <row r="3700" spans="1:12" x14ac:dyDescent="0.25">
      <c r="A3700" s="3" t="s">
        <v>6718</v>
      </c>
      <c r="B3700" s="3" t="s">
        <v>6961</v>
      </c>
      <c r="C3700" s="3" t="s">
        <v>1776</v>
      </c>
      <c r="D3700" s="9">
        <v>252.6</v>
      </c>
      <c r="E3700" s="3"/>
      <c r="F3700" s="3"/>
      <c r="G3700" s="9"/>
      <c r="H3700" s="10">
        <v>45672.427534722221</v>
      </c>
      <c r="I3700" s="10">
        <v>45672.428333333337</v>
      </c>
      <c r="J3700" s="10">
        <v>45672.429722222223</v>
      </c>
      <c r="K3700" s="11">
        <v>1.3888888888888889E-3</v>
      </c>
      <c r="L3700" s="13"/>
    </row>
    <row r="3701" spans="1:12" x14ac:dyDescent="0.25">
      <c r="A3701" s="3" t="s">
        <v>6718</v>
      </c>
      <c r="B3701" s="3" t="s">
        <v>6962</v>
      </c>
      <c r="C3701" s="3" t="s">
        <v>1779</v>
      </c>
      <c r="D3701" s="9">
        <v>120.9</v>
      </c>
      <c r="E3701" s="3"/>
      <c r="F3701" s="3"/>
      <c r="G3701" s="9"/>
      <c r="H3701" s="10">
        <v>45672.549363425933</v>
      </c>
      <c r="I3701" s="10">
        <v>45672.550219907411</v>
      </c>
      <c r="J3701" s="10">
        <v>45672.551747685182</v>
      </c>
      <c r="K3701" s="11">
        <v>1.5277777777777781E-3</v>
      </c>
      <c r="L3701" s="13"/>
    </row>
    <row r="3702" spans="1:12" x14ac:dyDescent="0.25">
      <c r="A3702" s="3" t="s">
        <v>6718</v>
      </c>
      <c r="B3702" s="3" t="s">
        <v>6963</v>
      </c>
      <c r="C3702" s="3" t="s">
        <v>1788</v>
      </c>
      <c r="D3702" s="9">
        <v>15.7</v>
      </c>
      <c r="E3702" s="3"/>
      <c r="F3702" s="3"/>
      <c r="G3702" s="9"/>
      <c r="H3702" s="10">
        <v>45672.655289351853</v>
      </c>
      <c r="I3702" s="10">
        <v>45672.656076388892</v>
      </c>
      <c r="J3702" s="10">
        <v>45672.657465277778</v>
      </c>
      <c r="K3702" s="11">
        <v>1.3888888888888889E-3</v>
      </c>
      <c r="L3702" s="13"/>
    </row>
    <row r="3703" spans="1:12" x14ac:dyDescent="0.25">
      <c r="A3703" s="3" t="s">
        <v>6718</v>
      </c>
      <c r="B3703" s="3" t="s">
        <v>6964</v>
      </c>
      <c r="C3703" s="3" t="s">
        <v>1791</v>
      </c>
      <c r="D3703" s="9">
        <v>93.7</v>
      </c>
      <c r="E3703" s="3"/>
      <c r="F3703" s="3"/>
      <c r="G3703" s="9"/>
      <c r="H3703" s="10">
        <v>45672.657430555562</v>
      </c>
      <c r="I3703" s="10">
        <v>45672.658275462964</v>
      </c>
      <c r="J3703" s="10">
        <v>45672.659803240742</v>
      </c>
      <c r="K3703" s="11">
        <v>1.5277777777777781E-3</v>
      </c>
      <c r="L3703" s="13"/>
    </row>
    <row r="3704" spans="1:12" x14ac:dyDescent="0.25">
      <c r="A3704" s="3" t="s">
        <v>6718</v>
      </c>
      <c r="B3704" s="3" t="s">
        <v>6965</v>
      </c>
      <c r="C3704" s="3" t="s">
        <v>1800</v>
      </c>
      <c r="D3704" s="9">
        <v>23.2</v>
      </c>
      <c r="E3704" s="3"/>
      <c r="F3704" s="3"/>
      <c r="G3704" s="9"/>
      <c r="H3704" s="10">
        <v>45672.663530092592</v>
      </c>
      <c r="I3704" s="10">
        <v>45672.664398148147</v>
      </c>
      <c r="J3704" s="10">
        <v>45672.665925925918</v>
      </c>
      <c r="K3704" s="11">
        <v>1.5277777777777781E-3</v>
      </c>
      <c r="L3704" s="13"/>
    </row>
    <row r="3705" spans="1:12" x14ac:dyDescent="0.25">
      <c r="A3705" s="3" t="s">
        <v>6718</v>
      </c>
      <c r="B3705" s="3" t="s">
        <v>6966</v>
      </c>
      <c r="C3705" s="3" t="s">
        <v>1805</v>
      </c>
      <c r="D3705" s="9">
        <v>110.2</v>
      </c>
      <c r="E3705" s="3"/>
      <c r="F3705" s="3"/>
      <c r="G3705" s="9"/>
      <c r="H3705" s="10">
        <v>45672.667847222219</v>
      </c>
      <c r="I3705" s="10">
        <v>45672.668715277781</v>
      </c>
      <c r="J3705" s="10">
        <v>45672.670243055552</v>
      </c>
      <c r="K3705" s="11">
        <v>1.5277777777777781E-3</v>
      </c>
      <c r="L3705" s="13"/>
    </row>
    <row r="3706" spans="1:12" x14ac:dyDescent="0.25">
      <c r="A3706" s="3" t="s">
        <v>6718</v>
      </c>
      <c r="B3706" s="3" t="s">
        <v>6967</v>
      </c>
      <c r="C3706" s="3" t="s">
        <v>1808</v>
      </c>
      <c r="D3706" s="9">
        <v>325.39999999999998</v>
      </c>
      <c r="E3706" s="3"/>
      <c r="F3706" s="3"/>
      <c r="G3706" s="9"/>
      <c r="H3706" s="10">
        <v>45672.728703703702</v>
      </c>
      <c r="I3706" s="10">
        <v>45672.729571759257</v>
      </c>
      <c r="J3706" s="10">
        <v>45672.731099537043</v>
      </c>
      <c r="K3706" s="11">
        <v>1.5277777777777781E-3</v>
      </c>
      <c r="L3706" s="13"/>
    </row>
    <row r="3707" spans="1:12" x14ac:dyDescent="0.25">
      <c r="A3707" s="3" t="s">
        <v>6718</v>
      </c>
      <c r="B3707" s="3" t="s">
        <v>6968</v>
      </c>
      <c r="C3707" s="3" t="s">
        <v>1819</v>
      </c>
      <c r="D3707" s="9">
        <v>27</v>
      </c>
      <c r="E3707" s="3"/>
      <c r="F3707" s="3"/>
      <c r="G3707" s="9"/>
      <c r="H3707" s="10">
        <v>45672.763425925928</v>
      </c>
      <c r="I3707" s="10">
        <v>45672.764884259261</v>
      </c>
      <c r="J3707" s="10">
        <v>45672.766273148147</v>
      </c>
      <c r="K3707" s="11">
        <v>1.3888888888888889E-3</v>
      </c>
      <c r="L3707" s="13"/>
    </row>
    <row r="3708" spans="1:12" x14ac:dyDescent="0.25">
      <c r="A3708" s="3" t="s">
        <v>6718</v>
      </c>
      <c r="B3708" s="3" t="s">
        <v>6969</v>
      </c>
      <c r="C3708" s="3" t="s">
        <v>1822</v>
      </c>
      <c r="D3708" s="9">
        <v>23.2</v>
      </c>
      <c r="E3708" s="3"/>
      <c r="F3708" s="3"/>
      <c r="G3708" s="9"/>
      <c r="H3708" s="10">
        <v>45672.765393518523</v>
      </c>
      <c r="I3708" s="10">
        <v>45672.767025462963</v>
      </c>
      <c r="J3708" s="10">
        <v>45672.768553240741</v>
      </c>
      <c r="K3708" s="11">
        <v>1.5277777777777781E-3</v>
      </c>
      <c r="L3708" s="13"/>
    </row>
    <row r="3709" spans="1:12" x14ac:dyDescent="0.25">
      <c r="A3709" s="3" t="s">
        <v>6718</v>
      </c>
      <c r="B3709" s="3" t="s">
        <v>6970</v>
      </c>
      <c r="C3709" s="3" t="s">
        <v>1825</v>
      </c>
      <c r="D3709" s="9">
        <v>28</v>
      </c>
      <c r="E3709" s="3"/>
      <c r="F3709" s="3"/>
      <c r="G3709" s="9"/>
      <c r="H3709" s="10">
        <v>45672.766585648147</v>
      </c>
      <c r="I3709" s="10">
        <v>45672.767858796287</v>
      </c>
      <c r="J3709" s="10">
        <v>45672.769247685188</v>
      </c>
      <c r="K3709" s="11">
        <v>1.3888888888888889E-3</v>
      </c>
      <c r="L3709" s="13"/>
    </row>
    <row r="3710" spans="1:12" x14ac:dyDescent="0.25">
      <c r="A3710" s="3" t="s">
        <v>6718</v>
      </c>
      <c r="B3710" s="3" t="s">
        <v>6971</v>
      </c>
      <c r="C3710" s="3" t="s">
        <v>1830</v>
      </c>
      <c r="D3710" s="9">
        <v>59.7</v>
      </c>
      <c r="E3710" s="3"/>
      <c r="F3710" s="3"/>
      <c r="G3710" s="9"/>
      <c r="H3710" s="10">
        <v>45672.769907407397</v>
      </c>
      <c r="I3710" s="10">
        <v>45672.770821759259</v>
      </c>
      <c r="J3710" s="10">
        <v>45672.772210648152</v>
      </c>
      <c r="K3710" s="11">
        <v>1.3888888888888889E-3</v>
      </c>
      <c r="L3710" s="13"/>
    </row>
    <row r="3711" spans="1:12" x14ac:dyDescent="0.25">
      <c r="A3711" s="3" t="s">
        <v>6718</v>
      </c>
      <c r="B3711" s="3" t="s">
        <v>6972</v>
      </c>
      <c r="C3711" s="3" t="s">
        <v>1835</v>
      </c>
      <c r="D3711" s="9">
        <v>37.5</v>
      </c>
      <c r="E3711" s="3"/>
      <c r="F3711" s="3"/>
      <c r="G3711" s="9"/>
      <c r="H3711" s="10">
        <v>45672.773182870369</v>
      </c>
      <c r="I3711" s="10">
        <v>45672.775081018517</v>
      </c>
      <c r="J3711" s="10">
        <v>45672.776608796303</v>
      </c>
      <c r="K3711" s="11">
        <v>1.5277777777777781E-3</v>
      </c>
      <c r="L3711" s="13"/>
    </row>
    <row r="3712" spans="1:12" x14ac:dyDescent="0.25">
      <c r="A3712" s="3" t="s">
        <v>6718</v>
      </c>
      <c r="B3712" s="3" t="s">
        <v>6973</v>
      </c>
      <c r="C3712" s="3" t="s">
        <v>1838</v>
      </c>
      <c r="D3712" s="9">
        <v>144.80000000000001</v>
      </c>
      <c r="E3712" s="3"/>
      <c r="F3712" s="3"/>
      <c r="G3712" s="9"/>
      <c r="H3712" s="10">
        <v>45673.121620370373</v>
      </c>
      <c r="I3712" s="10">
        <v>45673.122488425928</v>
      </c>
      <c r="J3712" s="10">
        <v>45673.124016203707</v>
      </c>
      <c r="K3712" s="11">
        <v>1.5277777777777781E-3</v>
      </c>
      <c r="L3712" s="13"/>
    </row>
    <row r="3713" spans="1:12" x14ac:dyDescent="0.25">
      <c r="A3713" s="3" t="s">
        <v>6718</v>
      </c>
      <c r="B3713" s="3" t="s">
        <v>6974</v>
      </c>
      <c r="C3713" s="3" t="s">
        <v>1842</v>
      </c>
      <c r="D3713" s="9">
        <v>15.7</v>
      </c>
      <c r="E3713" s="3"/>
      <c r="F3713" s="3"/>
      <c r="G3713" s="9"/>
      <c r="H3713" s="10">
        <v>45673.1253125</v>
      </c>
      <c r="I3713" s="10">
        <v>45673.126180555562</v>
      </c>
      <c r="J3713" s="10">
        <v>45673.127708333333</v>
      </c>
      <c r="K3713" s="11">
        <v>1.5277777777777781E-3</v>
      </c>
      <c r="L3713" s="13"/>
    </row>
    <row r="3714" spans="1:12" x14ac:dyDescent="0.25">
      <c r="A3714" s="3" t="s">
        <v>6718</v>
      </c>
      <c r="B3714" s="3" t="s">
        <v>6975</v>
      </c>
      <c r="C3714" s="3" t="s">
        <v>1845</v>
      </c>
      <c r="D3714" s="9">
        <v>297</v>
      </c>
      <c r="E3714" s="3"/>
      <c r="F3714" s="3"/>
      <c r="G3714" s="9"/>
      <c r="H3714" s="10">
        <v>45673.274606481478</v>
      </c>
      <c r="I3714" s="10">
        <v>45673.275451388887</v>
      </c>
      <c r="J3714" s="10">
        <v>45673.276979166672</v>
      </c>
      <c r="K3714" s="11">
        <v>1.5277777777777781E-3</v>
      </c>
      <c r="L3714" s="13"/>
    </row>
    <row r="3715" spans="1:12" x14ac:dyDescent="0.25">
      <c r="A3715" s="3" t="s">
        <v>6718</v>
      </c>
      <c r="B3715" s="3" t="s">
        <v>6976</v>
      </c>
      <c r="C3715" s="3" t="s">
        <v>1872</v>
      </c>
      <c r="D3715" s="9">
        <v>126</v>
      </c>
      <c r="E3715" s="3"/>
      <c r="F3715" s="3"/>
      <c r="G3715" s="9"/>
      <c r="H3715" s="10">
        <v>45673.309699074067</v>
      </c>
      <c r="I3715" s="10">
        <v>45673.310543981483</v>
      </c>
      <c r="J3715" s="10">
        <v>45673.312071759261</v>
      </c>
      <c r="K3715" s="11">
        <v>1.5277777777777781E-3</v>
      </c>
      <c r="L3715" s="13"/>
    </row>
    <row r="3716" spans="1:12" x14ac:dyDescent="0.25">
      <c r="A3716" s="3" t="s">
        <v>6718</v>
      </c>
      <c r="B3716" s="3" t="s">
        <v>6977</v>
      </c>
      <c r="C3716" s="3" t="s">
        <v>1848</v>
      </c>
      <c r="D3716" s="9">
        <v>47.2</v>
      </c>
      <c r="E3716" s="3"/>
      <c r="F3716" s="3"/>
      <c r="G3716" s="9"/>
      <c r="H3716" s="10">
        <v>45673.321111111109</v>
      </c>
      <c r="I3716" s="10">
        <v>45673.321956018517</v>
      </c>
      <c r="J3716" s="10">
        <v>45673.323483796303</v>
      </c>
      <c r="K3716" s="11">
        <v>1.5277777777777781E-3</v>
      </c>
      <c r="L3716" s="13"/>
    </row>
    <row r="3717" spans="1:12" x14ac:dyDescent="0.25">
      <c r="A3717" s="3" t="s">
        <v>6718</v>
      </c>
      <c r="B3717" s="3" t="s">
        <v>6978</v>
      </c>
      <c r="C3717" s="3" t="s">
        <v>1865</v>
      </c>
      <c r="D3717" s="9">
        <v>21</v>
      </c>
      <c r="E3717" s="3"/>
      <c r="F3717" s="3"/>
      <c r="G3717" s="9"/>
      <c r="H3717" s="10">
        <v>45673.334837962961</v>
      </c>
      <c r="I3717" s="10">
        <v>45673.336319444446</v>
      </c>
      <c r="J3717" s="10">
        <v>45673.337708333333</v>
      </c>
      <c r="K3717" s="11">
        <v>1.3888888888888889E-3</v>
      </c>
      <c r="L3717" s="13"/>
    </row>
    <row r="3718" spans="1:12" x14ac:dyDescent="0.25">
      <c r="A3718" s="3" t="s">
        <v>6718</v>
      </c>
      <c r="B3718" s="3" t="s">
        <v>6979</v>
      </c>
      <c r="C3718" s="3" t="s">
        <v>1875</v>
      </c>
      <c r="D3718" s="9">
        <v>396.6</v>
      </c>
      <c r="E3718" s="3"/>
      <c r="F3718" s="3"/>
      <c r="G3718" s="9"/>
      <c r="H3718" s="10">
        <v>45673.341539351852</v>
      </c>
      <c r="I3718" s="10">
        <v>45673.342407407406</v>
      </c>
      <c r="J3718" s="10">
        <v>45673.343935185178</v>
      </c>
      <c r="K3718" s="11">
        <v>1.5277777777777781E-3</v>
      </c>
      <c r="L3718" s="13"/>
    </row>
    <row r="3719" spans="1:12" x14ac:dyDescent="0.25">
      <c r="A3719" s="3" t="s">
        <v>6718</v>
      </c>
      <c r="B3719" s="3" t="s">
        <v>6980</v>
      </c>
      <c r="C3719" s="3" t="s">
        <v>1898</v>
      </c>
      <c r="D3719" s="9">
        <v>208.6</v>
      </c>
      <c r="E3719" s="3"/>
      <c r="F3719" s="3"/>
      <c r="G3719" s="9"/>
      <c r="H3719" s="10">
        <v>45673.388194444437</v>
      </c>
      <c r="I3719" s="10">
        <v>45673.389027777783</v>
      </c>
      <c r="J3719" s="10">
        <v>45673.390555555547</v>
      </c>
      <c r="K3719" s="11">
        <v>1.5277777777777781E-3</v>
      </c>
      <c r="L3719" s="13"/>
    </row>
    <row r="3720" spans="1:12" x14ac:dyDescent="0.25">
      <c r="A3720" s="3" t="s">
        <v>6718</v>
      </c>
      <c r="B3720" s="3" t="s">
        <v>6981</v>
      </c>
      <c r="C3720" s="3" t="s">
        <v>1901</v>
      </c>
      <c r="D3720" s="9">
        <v>180.8</v>
      </c>
      <c r="E3720" s="3"/>
      <c r="F3720" s="3"/>
      <c r="G3720" s="9"/>
      <c r="H3720" s="10">
        <v>45673.390497685177</v>
      </c>
      <c r="I3720" s="10">
        <v>45673.391273148147</v>
      </c>
      <c r="J3720" s="10">
        <v>45673.39266203704</v>
      </c>
      <c r="K3720" s="11">
        <v>1.3888888888888889E-3</v>
      </c>
      <c r="L3720" s="13"/>
    </row>
    <row r="3721" spans="1:12" x14ac:dyDescent="0.25">
      <c r="A3721" s="3" t="s">
        <v>6718</v>
      </c>
      <c r="B3721" s="3" t="s">
        <v>6982</v>
      </c>
      <c r="C3721" s="3" t="s">
        <v>1904</v>
      </c>
      <c r="D3721" s="9">
        <v>21</v>
      </c>
      <c r="E3721" s="3"/>
      <c r="F3721" s="3"/>
      <c r="G3721" s="9"/>
      <c r="H3721" s="10">
        <v>45673.452314814807</v>
      </c>
      <c r="I3721" s="10">
        <v>45673.453182870369</v>
      </c>
      <c r="J3721" s="10">
        <v>45673.454710648148</v>
      </c>
      <c r="K3721" s="11">
        <v>1.5277777777777781E-3</v>
      </c>
      <c r="L3721" s="13"/>
    </row>
    <row r="3722" spans="1:12" x14ac:dyDescent="0.25">
      <c r="A3722" s="3" t="s">
        <v>6718</v>
      </c>
      <c r="B3722" s="3" t="s">
        <v>6983</v>
      </c>
      <c r="C3722" s="3" t="s">
        <v>1907</v>
      </c>
      <c r="D3722" s="9">
        <v>338.3</v>
      </c>
      <c r="E3722" s="3"/>
      <c r="F3722" s="3"/>
      <c r="G3722" s="9"/>
      <c r="H3722" s="10">
        <v>45673.454780092587</v>
      </c>
      <c r="I3722" s="10">
        <v>45673.455648148149</v>
      </c>
      <c r="J3722" s="10">
        <v>45673.457175925927</v>
      </c>
      <c r="K3722" s="11">
        <v>1.5277777777777781E-3</v>
      </c>
      <c r="L3722" s="13"/>
    </row>
    <row r="3723" spans="1:12" x14ac:dyDescent="0.25">
      <c r="A3723" s="3" t="s">
        <v>6718</v>
      </c>
      <c r="B3723" s="3" t="s">
        <v>6984</v>
      </c>
      <c r="C3723" s="3" t="s">
        <v>1910</v>
      </c>
      <c r="D3723" s="9">
        <v>173</v>
      </c>
      <c r="E3723" s="3"/>
      <c r="F3723" s="3"/>
      <c r="G3723" s="9"/>
      <c r="H3723" s="10">
        <v>45673.541388888887</v>
      </c>
      <c r="I3723" s="10">
        <v>45673.542256944442</v>
      </c>
      <c r="J3723" s="10">
        <v>45673.54378472222</v>
      </c>
      <c r="K3723" s="11">
        <v>1.5277777777777781E-3</v>
      </c>
      <c r="L3723" s="13"/>
    </row>
    <row r="3724" spans="1:12" x14ac:dyDescent="0.25">
      <c r="A3724" s="3" t="s">
        <v>6718</v>
      </c>
      <c r="B3724" s="3" t="s">
        <v>6985</v>
      </c>
      <c r="C3724" s="3" t="s">
        <v>1913</v>
      </c>
      <c r="D3724" s="9">
        <v>233.9</v>
      </c>
      <c r="E3724" s="3"/>
      <c r="F3724" s="3"/>
      <c r="G3724" s="9"/>
      <c r="H3724" s="10">
        <v>45673.614259259259</v>
      </c>
      <c r="I3724" s="10">
        <v>45673.615127314813</v>
      </c>
      <c r="J3724" s="10">
        <v>45673.616655092592</v>
      </c>
      <c r="K3724" s="11">
        <v>1.5277777777777781E-3</v>
      </c>
      <c r="L3724" s="13"/>
    </row>
    <row r="3725" spans="1:12" x14ac:dyDescent="0.25">
      <c r="A3725" s="3" t="s">
        <v>6718</v>
      </c>
      <c r="B3725" s="3" t="s">
        <v>6986</v>
      </c>
      <c r="C3725" s="3" t="s">
        <v>1918</v>
      </c>
      <c r="D3725" s="9">
        <v>171.7</v>
      </c>
      <c r="E3725" s="3"/>
      <c r="F3725" s="3"/>
      <c r="G3725" s="9"/>
      <c r="H3725" s="10">
        <v>45673.632384259261</v>
      </c>
      <c r="I3725" s="10">
        <v>45673.633171296293</v>
      </c>
      <c r="J3725" s="10">
        <v>45673.634560185194</v>
      </c>
      <c r="K3725" s="11">
        <v>1.3888888888888889E-3</v>
      </c>
      <c r="L3725" s="13"/>
    </row>
    <row r="3726" spans="1:12" x14ac:dyDescent="0.25">
      <c r="A3726" s="3" t="s">
        <v>6718</v>
      </c>
      <c r="B3726" s="3" t="s">
        <v>6987</v>
      </c>
      <c r="C3726" s="3" t="s">
        <v>1927</v>
      </c>
      <c r="D3726" s="9">
        <v>19.899999999999999</v>
      </c>
      <c r="E3726" s="3"/>
      <c r="F3726" s="3"/>
      <c r="G3726" s="9"/>
      <c r="H3726" s="10">
        <v>45673.639374999999</v>
      </c>
      <c r="I3726" s="10">
        <v>45673.640219907407</v>
      </c>
      <c r="J3726" s="10">
        <v>45673.641747685193</v>
      </c>
      <c r="K3726" s="11">
        <v>1.5277777777777781E-3</v>
      </c>
      <c r="L3726" s="13"/>
    </row>
    <row r="3727" spans="1:12" x14ac:dyDescent="0.25">
      <c r="A3727" s="3" t="s">
        <v>6718</v>
      </c>
      <c r="B3727" s="3" t="s">
        <v>6988</v>
      </c>
      <c r="C3727" s="3" t="s">
        <v>1930</v>
      </c>
      <c r="D3727" s="9">
        <v>54</v>
      </c>
      <c r="E3727" s="3"/>
      <c r="F3727" s="3"/>
      <c r="G3727" s="9"/>
      <c r="H3727" s="10">
        <v>45673.640752314823</v>
      </c>
      <c r="I3727" s="10">
        <v>45673.641539351847</v>
      </c>
      <c r="J3727" s="10">
        <v>45673.642928240741</v>
      </c>
      <c r="K3727" s="11">
        <v>1.3888888888888889E-3</v>
      </c>
      <c r="L3727" s="13"/>
    </row>
    <row r="3728" spans="1:12" x14ac:dyDescent="0.25">
      <c r="A3728" s="3" t="s">
        <v>6718</v>
      </c>
      <c r="B3728" s="3" t="s">
        <v>6989</v>
      </c>
      <c r="C3728" s="3" t="s">
        <v>1933</v>
      </c>
      <c r="D3728" s="9">
        <v>63</v>
      </c>
      <c r="E3728" s="3"/>
      <c r="F3728" s="3"/>
      <c r="G3728" s="9"/>
      <c r="H3728" s="10">
        <v>45673.651435185187</v>
      </c>
      <c r="I3728" s="10">
        <v>45673.652222222219</v>
      </c>
      <c r="J3728" s="10">
        <v>45673.653611111113</v>
      </c>
      <c r="K3728" s="11">
        <v>1.3888888888888889E-3</v>
      </c>
      <c r="L3728" s="13"/>
    </row>
    <row r="3729" spans="1:12" x14ac:dyDescent="0.25">
      <c r="A3729" s="3" t="s">
        <v>6718</v>
      </c>
      <c r="B3729" s="3" t="s">
        <v>6990</v>
      </c>
      <c r="C3729" s="3" t="s">
        <v>1944</v>
      </c>
      <c r="D3729" s="9">
        <v>373.3</v>
      </c>
      <c r="E3729" s="3"/>
      <c r="F3729" s="3"/>
      <c r="G3729" s="9"/>
      <c r="H3729" s="10">
        <v>45673.746828703697</v>
      </c>
      <c r="I3729" s="10">
        <v>45673.747604166667</v>
      </c>
      <c r="J3729" s="10">
        <v>45673.748993055553</v>
      </c>
      <c r="K3729" s="11">
        <v>1.3888888888888889E-3</v>
      </c>
      <c r="L3729" s="13"/>
    </row>
    <row r="3730" spans="1:12" x14ac:dyDescent="0.25">
      <c r="A3730" s="3" t="s">
        <v>6718</v>
      </c>
      <c r="B3730" s="3" t="s">
        <v>6991</v>
      </c>
      <c r="C3730" s="3" t="s">
        <v>1949</v>
      </c>
      <c r="D3730" s="9">
        <v>19.899999999999999</v>
      </c>
      <c r="E3730" s="3"/>
      <c r="F3730" s="3"/>
      <c r="G3730" s="9"/>
      <c r="H3730" s="10">
        <v>45673.750127314823</v>
      </c>
      <c r="I3730" s="10">
        <v>45673.750891203701</v>
      </c>
      <c r="J3730" s="10">
        <v>45673.752280092587</v>
      </c>
      <c r="K3730" s="11">
        <v>1.3888888888888889E-3</v>
      </c>
      <c r="L3730" s="13"/>
    </row>
    <row r="3731" spans="1:12" x14ac:dyDescent="0.25">
      <c r="A3731" s="3" t="s">
        <v>6718</v>
      </c>
      <c r="B3731" s="3" t="s">
        <v>6992</v>
      </c>
      <c r="C3731" s="3" t="s">
        <v>1954</v>
      </c>
      <c r="D3731" s="9">
        <v>108.7</v>
      </c>
      <c r="E3731" s="3"/>
      <c r="F3731" s="3"/>
      <c r="G3731" s="9"/>
      <c r="H3731" s="10">
        <v>45673.852002314823</v>
      </c>
      <c r="I3731" s="10">
        <v>45673.852870370371</v>
      </c>
      <c r="J3731" s="10">
        <v>45673.854398148149</v>
      </c>
      <c r="K3731" s="11">
        <v>1.5277777777777781E-3</v>
      </c>
      <c r="L3731" s="13"/>
    </row>
    <row r="3732" spans="1:12" x14ac:dyDescent="0.25">
      <c r="A3732" s="3" t="s">
        <v>6718</v>
      </c>
      <c r="B3732" s="3" t="s">
        <v>6993</v>
      </c>
      <c r="C3732" s="3" t="s">
        <v>1965</v>
      </c>
      <c r="D3732" s="9">
        <v>19.899999999999999</v>
      </c>
      <c r="E3732" s="3"/>
      <c r="F3732" s="3"/>
      <c r="G3732" s="9"/>
      <c r="H3732" s="10">
        <v>45673.859930555547</v>
      </c>
      <c r="I3732" s="10">
        <v>45673.860717592594</v>
      </c>
      <c r="J3732" s="10">
        <v>45673.86210648148</v>
      </c>
      <c r="K3732" s="11">
        <v>1.3888888888888889E-3</v>
      </c>
      <c r="L3732" s="13"/>
    </row>
    <row r="3733" spans="1:12" x14ac:dyDescent="0.25">
      <c r="A3733" s="3" t="s">
        <v>6718</v>
      </c>
      <c r="B3733" s="3" t="s">
        <v>6994</v>
      </c>
      <c r="C3733" s="3" t="s">
        <v>1972</v>
      </c>
      <c r="D3733" s="9">
        <v>12</v>
      </c>
      <c r="E3733" s="3"/>
      <c r="F3733" s="3"/>
      <c r="G3733" s="9"/>
      <c r="H3733" s="10">
        <v>45674.13040509259</v>
      </c>
      <c r="I3733" s="10">
        <v>45674.131180555552</v>
      </c>
      <c r="J3733" s="10">
        <v>45674.132569444453</v>
      </c>
      <c r="K3733" s="11">
        <v>1.3888888888888889E-3</v>
      </c>
      <c r="L3733" s="13"/>
    </row>
    <row r="3734" spans="1:12" x14ac:dyDescent="0.25">
      <c r="A3734" s="3" t="s">
        <v>6718</v>
      </c>
      <c r="B3734" s="3" t="s">
        <v>6995</v>
      </c>
      <c r="C3734" s="3" t="s">
        <v>1979</v>
      </c>
      <c r="D3734" s="9">
        <v>297</v>
      </c>
      <c r="E3734" s="3"/>
      <c r="F3734" s="3"/>
      <c r="G3734" s="9"/>
      <c r="H3734" s="10">
        <v>45674.279780092591</v>
      </c>
      <c r="I3734" s="10">
        <v>45674.280555555553</v>
      </c>
      <c r="J3734" s="10">
        <v>45674.281944444447</v>
      </c>
      <c r="K3734" s="11">
        <v>1.3888888888888889E-3</v>
      </c>
      <c r="L3734" s="13"/>
    </row>
    <row r="3735" spans="1:12" x14ac:dyDescent="0.25">
      <c r="A3735" s="3" t="s">
        <v>6718</v>
      </c>
      <c r="B3735" s="3" t="s">
        <v>6996</v>
      </c>
      <c r="C3735" s="3" t="s">
        <v>1983</v>
      </c>
      <c r="D3735" s="9">
        <v>147.69999999999999</v>
      </c>
      <c r="E3735" s="3"/>
      <c r="F3735" s="3"/>
      <c r="G3735" s="9"/>
      <c r="H3735" s="10">
        <v>45674.311620370368</v>
      </c>
      <c r="I3735" s="10">
        <v>45674.312488425923</v>
      </c>
      <c r="J3735" s="10">
        <v>45674.314016203702</v>
      </c>
      <c r="K3735" s="11">
        <v>1.5277777777777781E-3</v>
      </c>
      <c r="L3735" s="13"/>
    </row>
    <row r="3736" spans="1:12" x14ac:dyDescent="0.25">
      <c r="A3736" s="3" t="s">
        <v>6718</v>
      </c>
      <c r="B3736" s="3" t="s">
        <v>6997</v>
      </c>
      <c r="C3736" s="3" t="s">
        <v>1990</v>
      </c>
      <c r="D3736" s="9">
        <v>15.7</v>
      </c>
      <c r="E3736" s="3"/>
      <c r="F3736" s="3"/>
      <c r="G3736" s="9"/>
      <c r="H3736" s="10">
        <v>45674.316238425927</v>
      </c>
      <c r="I3736" s="10">
        <v>45674.317106481481</v>
      </c>
      <c r="J3736" s="10">
        <v>45674.31863425926</v>
      </c>
      <c r="K3736" s="11">
        <v>1.5277777777777781E-3</v>
      </c>
      <c r="L3736" s="13"/>
    </row>
    <row r="3737" spans="1:12" x14ac:dyDescent="0.25">
      <c r="A3737" s="3" t="s">
        <v>6718</v>
      </c>
      <c r="B3737" s="3" t="s">
        <v>6998</v>
      </c>
      <c r="C3737" s="3" t="s">
        <v>1993</v>
      </c>
      <c r="D3737" s="9">
        <v>73.900000000000006</v>
      </c>
      <c r="E3737" s="3"/>
      <c r="F3737" s="3"/>
      <c r="G3737" s="9"/>
      <c r="H3737" s="10">
        <v>45674.318287037036</v>
      </c>
      <c r="I3737" s="10">
        <v>45674.319120370368</v>
      </c>
      <c r="J3737" s="10">
        <v>45674.320648148147</v>
      </c>
      <c r="K3737" s="11">
        <v>1.5277777777777781E-3</v>
      </c>
      <c r="L3737" s="13"/>
    </row>
    <row r="3738" spans="1:12" x14ac:dyDescent="0.25">
      <c r="A3738" s="3" t="s">
        <v>6718</v>
      </c>
      <c r="B3738" s="3" t="s">
        <v>6999</v>
      </c>
      <c r="C3738" s="3" t="s">
        <v>1996</v>
      </c>
      <c r="D3738" s="9">
        <v>15.7</v>
      </c>
      <c r="E3738" s="3"/>
      <c r="F3738" s="3"/>
      <c r="G3738" s="9"/>
      <c r="H3738" s="10">
        <v>45674.320231481477</v>
      </c>
      <c r="I3738" s="10">
        <v>45674.321099537039</v>
      </c>
      <c r="J3738" s="10">
        <v>45674.322627314818</v>
      </c>
      <c r="K3738" s="11">
        <v>1.5277777777777781E-3</v>
      </c>
      <c r="L3738" s="13"/>
    </row>
    <row r="3739" spans="1:12" x14ac:dyDescent="0.25">
      <c r="A3739" s="3" t="s">
        <v>6718</v>
      </c>
      <c r="B3739" s="3" t="s">
        <v>7000</v>
      </c>
      <c r="C3739" s="3" t="s">
        <v>2003</v>
      </c>
      <c r="D3739" s="9">
        <v>339.8</v>
      </c>
      <c r="E3739" s="3"/>
      <c r="F3739" s="3"/>
      <c r="G3739" s="9"/>
      <c r="H3739" s="10">
        <v>45674.327164351853</v>
      </c>
      <c r="I3739" s="10">
        <v>45674.327997685177</v>
      </c>
      <c r="J3739" s="10">
        <v>45674.329525462963</v>
      </c>
      <c r="K3739" s="11">
        <v>1.5277777777777781E-3</v>
      </c>
      <c r="L3739" s="13"/>
    </row>
    <row r="3740" spans="1:12" x14ac:dyDescent="0.25">
      <c r="A3740" s="3" t="s">
        <v>6718</v>
      </c>
      <c r="B3740" s="3" t="s">
        <v>7001</v>
      </c>
      <c r="C3740" s="3" t="s">
        <v>2033</v>
      </c>
      <c r="D3740" s="9">
        <v>173.3</v>
      </c>
      <c r="E3740" s="3"/>
      <c r="F3740" s="3"/>
      <c r="G3740" s="9"/>
      <c r="H3740" s="10">
        <v>45674.377442129633</v>
      </c>
      <c r="I3740" s="10">
        <v>45674.378310185188</v>
      </c>
      <c r="J3740" s="10">
        <v>45674.379837962973</v>
      </c>
      <c r="K3740" s="11">
        <v>1.5277777777777781E-3</v>
      </c>
      <c r="L3740" s="13"/>
    </row>
    <row r="3741" spans="1:12" x14ac:dyDescent="0.25">
      <c r="A3741" s="3" t="s">
        <v>6718</v>
      </c>
      <c r="B3741" s="3" t="s">
        <v>7002</v>
      </c>
      <c r="C3741" s="3" t="s">
        <v>2008</v>
      </c>
      <c r="D3741" s="9">
        <v>15.7</v>
      </c>
      <c r="E3741" s="3"/>
      <c r="F3741" s="3"/>
      <c r="G3741" s="9"/>
      <c r="H3741" s="10">
        <v>45674.38144675926</v>
      </c>
      <c r="I3741" s="10">
        <v>45674.382314814808</v>
      </c>
      <c r="J3741" s="10">
        <v>45674.383842592593</v>
      </c>
      <c r="K3741" s="11">
        <v>1.5277777777777781E-3</v>
      </c>
      <c r="L3741" s="13"/>
    </row>
    <row r="3742" spans="1:12" x14ac:dyDescent="0.25">
      <c r="A3742" s="3" t="s">
        <v>6718</v>
      </c>
      <c r="B3742" s="3" t="s">
        <v>7003</v>
      </c>
      <c r="C3742" s="3" t="s">
        <v>2011</v>
      </c>
      <c r="D3742" s="9">
        <v>240.6</v>
      </c>
      <c r="E3742" s="3"/>
      <c r="F3742" s="3"/>
      <c r="G3742" s="9"/>
      <c r="H3742" s="10">
        <v>45674.383553240739</v>
      </c>
      <c r="I3742" s="10">
        <v>45674.384421296287</v>
      </c>
      <c r="J3742" s="10">
        <v>45674.385949074072</v>
      </c>
      <c r="K3742" s="11">
        <v>1.5277777777777781E-3</v>
      </c>
      <c r="L3742" s="13"/>
    </row>
    <row r="3743" spans="1:12" x14ac:dyDescent="0.25">
      <c r="A3743" s="3" t="s">
        <v>6718</v>
      </c>
      <c r="B3743" s="3" t="s">
        <v>7004</v>
      </c>
      <c r="C3743" s="3" t="s">
        <v>2013</v>
      </c>
      <c r="D3743" s="9">
        <v>19.899999999999999</v>
      </c>
      <c r="E3743" s="3"/>
      <c r="F3743" s="3"/>
      <c r="G3743" s="9"/>
      <c r="H3743" s="10">
        <v>45674.385034722232</v>
      </c>
      <c r="I3743" s="10">
        <v>45674.38590277778</v>
      </c>
      <c r="J3743" s="10">
        <v>45674.387430555558</v>
      </c>
      <c r="K3743" s="11">
        <v>1.5277777777777781E-3</v>
      </c>
      <c r="L3743" s="13"/>
    </row>
    <row r="3744" spans="1:12" x14ac:dyDescent="0.25">
      <c r="A3744" s="3" t="s">
        <v>6718</v>
      </c>
      <c r="B3744" s="3" t="s">
        <v>7005</v>
      </c>
      <c r="C3744" s="3" t="s">
        <v>2018</v>
      </c>
      <c r="D3744" s="9">
        <v>47.2</v>
      </c>
      <c r="E3744" s="3"/>
      <c r="F3744" s="3"/>
      <c r="G3744" s="9"/>
      <c r="H3744" s="10">
        <v>45674.389027777783</v>
      </c>
      <c r="I3744" s="10">
        <v>45674.38989583333</v>
      </c>
      <c r="J3744" s="10">
        <v>45674.391423611109</v>
      </c>
      <c r="K3744" s="11">
        <v>1.5277777777777781E-3</v>
      </c>
      <c r="L3744" s="13"/>
    </row>
    <row r="3745" spans="1:12" x14ac:dyDescent="0.25">
      <c r="A3745" s="3" t="s">
        <v>6718</v>
      </c>
      <c r="B3745" s="3" t="s">
        <v>7006</v>
      </c>
      <c r="C3745" s="3" t="s">
        <v>2023</v>
      </c>
      <c r="D3745" s="9">
        <v>15.7</v>
      </c>
      <c r="E3745" s="3"/>
      <c r="F3745" s="3"/>
      <c r="G3745" s="9"/>
      <c r="H3745" s="10">
        <v>45674.391967592594</v>
      </c>
      <c r="I3745" s="10">
        <v>45674.392835648148</v>
      </c>
      <c r="J3745" s="10">
        <v>45674.394363425927</v>
      </c>
      <c r="K3745" s="11">
        <v>1.5277777777777781E-3</v>
      </c>
      <c r="L3745" s="13"/>
    </row>
    <row r="3746" spans="1:12" x14ac:dyDescent="0.25">
      <c r="A3746" s="3" t="s">
        <v>6718</v>
      </c>
      <c r="B3746" s="3" t="s">
        <v>7007</v>
      </c>
      <c r="C3746" s="3" t="s">
        <v>2036</v>
      </c>
      <c r="D3746" s="9">
        <v>21</v>
      </c>
      <c r="E3746" s="3"/>
      <c r="F3746" s="3"/>
      <c r="G3746" s="9"/>
      <c r="H3746" s="10">
        <v>45674.435474537036</v>
      </c>
      <c r="I3746" s="10">
        <v>45674.436261574083</v>
      </c>
      <c r="J3746" s="10">
        <v>45674.437650462962</v>
      </c>
      <c r="K3746" s="11">
        <v>1.3888888888888889E-3</v>
      </c>
      <c r="L3746" s="13"/>
    </row>
    <row r="3747" spans="1:12" x14ac:dyDescent="0.25">
      <c r="A3747" s="3" t="s">
        <v>6718</v>
      </c>
      <c r="B3747" s="3" t="s">
        <v>7008</v>
      </c>
      <c r="C3747" s="3" t="s">
        <v>2040</v>
      </c>
      <c r="D3747" s="9">
        <v>238.4</v>
      </c>
      <c r="E3747" s="3"/>
      <c r="F3747" s="3"/>
      <c r="G3747" s="9"/>
      <c r="H3747" s="10">
        <v>45674.543749999997</v>
      </c>
      <c r="I3747" s="10">
        <v>45674.544618055559</v>
      </c>
      <c r="J3747" s="10">
        <v>45674.54614583333</v>
      </c>
      <c r="K3747" s="11">
        <v>1.5277777777777781E-3</v>
      </c>
      <c r="L3747" s="13"/>
    </row>
    <row r="3748" spans="1:12" x14ac:dyDescent="0.25">
      <c r="A3748" s="3" t="s">
        <v>6718</v>
      </c>
      <c r="B3748" s="3" t="s">
        <v>7009</v>
      </c>
      <c r="C3748" s="3" t="s">
        <v>2043</v>
      </c>
      <c r="D3748" s="9">
        <v>220.4</v>
      </c>
      <c r="E3748" s="3"/>
      <c r="F3748" s="3"/>
      <c r="G3748" s="9"/>
      <c r="H3748" s="10">
        <v>45674.657824074071</v>
      </c>
      <c r="I3748" s="10">
        <v>45674.65865740741</v>
      </c>
      <c r="J3748" s="10">
        <v>45674.660185185188</v>
      </c>
      <c r="K3748" s="11">
        <v>1.5277777777777781E-3</v>
      </c>
      <c r="L3748" s="13"/>
    </row>
    <row r="3749" spans="1:12" x14ac:dyDescent="0.25">
      <c r="A3749" s="3" t="s">
        <v>6718</v>
      </c>
      <c r="B3749" s="3" t="s">
        <v>7010</v>
      </c>
      <c r="C3749" s="3" t="s">
        <v>2045</v>
      </c>
      <c r="D3749" s="9">
        <v>302.10000000000002</v>
      </c>
      <c r="E3749" s="3"/>
      <c r="F3749" s="3"/>
      <c r="G3749" s="9"/>
      <c r="H3749" s="10">
        <v>45674.739166666674</v>
      </c>
      <c r="I3749" s="10">
        <v>45674.740034722221</v>
      </c>
      <c r="J3749" s="10">
        <v>45674.741562499999</v>
      </c>
      <c r="K3749" s="11">
        <v>1.5277777777777781E-3</v>
      </c>
      <c r="L3749" s="13"/>
    </row>
    <row r="3750" spans="1:12" x14ac:dyDescent="0.25">
      <c r="A3750" s="3" t="s">
        <v>6718</v>
      </c>
      <c r="B3750" s="3" t="s">
        <v>7011</v>
      </c>
      <c r="C3750" s="3" t="s">
        <v>2047</v>
      </c>
      <c r="D3750" s="9">
        <v>110.2</v>
      </c>
      <c r="E3750" s="3"/>
      <c r="F3750" s="3"/>
      <c r="G3750" s="9"/>
      <c r="H3750" s="10">
        <v>45674.758379629631</v>
      </c>
      <c r="I3750" s="10">
        <v>45674.759247685193</v>
      </c>
      <c r="J3750" s="10">
        <v>45674.760775462957</v>
      </c>
      <c r="K3750" s="11">
        <v>1.5277777777777781E-3</v>
      </c>
      <c r="L3750" s="13"/>
    </row>
    <row r="3751" spans="1:12" x14ac:dyDescent="0.25">
      <c r="A3751" s="3" t="s">
        <v>6718</v>
      </c>
      <c r="B3751" s="3" t="s">
        <v>7012</v>
      </c>
      <c r="C3751" s="3" t="s">
        <v>2049</v>
      </c>
      <c r="D3751" s="9">
        <v>15.7</v>
      </c>
      <c r="E3751" s="3"/>
      <c r="F3751" s="3"/>
      <c r="G3751" s="9"/>
      <c r="H3751" s="10">
        <v>45674.855300925927</v>
      </c>
      <c r="I3751" s="10">
        <v>45674.856134259258</v>
      </c>
      <c r="J3751" s="10">
        <v>45674.857662037037</v>
      </c>
      <c r="K3751" s="11">
        <v>1.5277777777777781E-3</v>
      </c>
      <c r="L3751" s="13"/>
    </row>
    <row r="3752" spans="1:12" x14ac:dyDescent="0.25">
      <c r="A3752" s="3" t="s">
        <v>6718</v>
      </c>
      <c r="B3752" s="3" t="s">
        <v>7013</v>
      </c>
      <c r="C3752" s="3" t="s">
        <v>2052</v>
      </c>
      <c r="D3752" s="9">
        <v>36.4</v>
      </c>
      <c r="E3752" s="3"/>
      <c r="F3752" s="3"/>
      <c r="G3752" s="9"/>
      <c r="H3752" s="10">
        <v>45674.857071759259</v>
      </c>
      <c r="I3752" s="10">
        <v>45674.857847222222</v>
      </c>
      <c r="J3752" s="10">
        <v>45674.859236111108</v>
      </c>
      <c r="K3752" s="11">
        <v>1.3888888888888889E-3</v>
      </c>
      <c r="L3752" s="13"/>
    </row>
    <row r="3753" spans="1:12" x14ac:dyDescent="0.25">
      <c r="A3753" s="3" t="s">
        <v>6718</v>
      </c>
      <c r="B3753" s="3" t="s">
        <v>7014</v>
      </c>
      <c r="C3753" s="3" t="s">
        <v>2055</v>
      </c>
      <c r="D3753" s="9">
        <v>19.899999999999999</v>
      </c>
      <c r="E3753" s="3"/>
      <c r="F3753" s="3"/>
      <c r="G3753" s="9"/>
      <c r="H3753" s="10">
        <v>45674.859039351853</v>
      </c>
      <c r="I3753" s="10">
        <v>45674.859872685192</v>
      </c>
      <c r="J3753" s="10">
        <v>45674.861400462964</v>
      </c>
      <c r="K3753" s="11">
        <v>1.5277777777777781E-3</v>
      </c>
      <c r="L3753" s="13"/>
    </row>
    <row r="3754" spans="1:12" x14ac:dyDescent="0.25">
      <c r="A3754" s="3" t="s">
        <v>6718</v>
      </c>
      <c r="B3754" s="3" t="s">
        <v>7015</v>
      </c>
      <c r="C3754" s="3" t="s">
        <v>2058</v>
      </c>
      <c r="D3754" s="9">
        <v>54</v>
      </c>
      <c r="E3754" s="3"/>
      <c r="F3754" s="3"/>
      <c r="G3754" s="9"/>
      <c r="H3754" s="10">
        <v>45674.860405092593</v>
      </c>
      <c r="I3754" s="10">
        <v>45674.861180555563</v>
      </c>
      <c r="J3754" s="10">
        <v>45674.862569444442</v>
      </c>
      <c r="K3754" s="11">
        <v>1.3888888888888889E-3</v>
      </c>
      <c r="L3754" s="13"/>
    </row>
    <row r="3755" spans="1:12" x14ac:dyDescent="0.25">
      <c r="A3755" s="3" t="s">
        <v>6718</v>
      </c>
      <c r="B3755" s="3" t="s">
        <v>7016</v>
      </c>
      <c r="C3755" s="3" t="s">
        <v>2061</v>
      </c>
      <c r="D3755" s="9">
        <v>23.2</v>
      </c>
      <c r="E3755" s="3"/>
      <c r="F3755" s="3"/>
      <c r="G3755" s="9"/>
      <c r="H3755" s="10">
        <v>45674.862337962957</v>
      </c>
      <c r="I3755" s="10">
        <v>45674.863171296303</v>
      </c>
      <c r="J3755" s="10">
        <v>45674.864699074067</v>
      </c>
      <c r="K3755" s="11">
        <v>1.5277777777777781E-3</v>
      </c>
      <c r="L3755" s="13"/>
    </row>
    <row r="3756" spans="1:12" x14ac:dyDescent="0.25">
      <c r="A3756" s="3" t="s">
        <v>6718</v>
      </c>
      <c r="B3756" s="3" t="s">
        <v>7017</v>
      </c>
      <c r="C3756" s="3" t="s">
        <v>2069</v>
      </c>
      <c r="D3756" s="9">
        <v>179.2</v>
      </c>
      <c r="E3756" s="3"/>
      <c r="F3756" s="3"/>
      <c r="G3756" s="9"/>
      <c r="H3756" s="10">
        <v>45675.031076388892</v>
      </c>
      <c r="I3756" s="10">
        <v>45675.031840277778</v>
      </c>
      <c r="J3756" s="10">
        <v>45675.033229166656</v>
      </c>
      <c r="K3756" s="11">
        <v>1.3888888888888889E-3</v>
      </c>
      <c r="L3756" s="13"/>
    </row>
    <row r="3757" spans="1:12" x14ac:dyDescent="0.25">
      <c r="A3757" s="3" t="s">
        <v>6718</v>
      </c>
      <c r="B3757" s="3" t="s">
        <v>7018</v>
      </c>
      <c r="C3757" s="3" t="s">
        <v>2079</v>
      </c>
      <c r="D3757" s="9">
        <v>93.8</v>
      </c>
      <c r="E3757" s="3"/>
      <c r="F3757" s="3"/>
      <c r="G3757" s="9"/>
      <c r="H3757" s="10">
        <v>45675.25267361111</v>
      </c>
      <c r="I3757" s="10">
        <v>45675.253460648149</v>
      </c>
      <c r="J3757" s="10">
        <v>45675.254849537043</v>
      </c>
      <c r="K3757" s="11">
        <v>1.3888888888888889E-3</v>
      </c>
      <c r="L3757" s="13"/>
    </row>
    <row r="3758" spans="1:12" x14ac:dyDescent="0.25">
      <c r="A3758" s="3" t="s">
        <v>6718</v>
      </c>
      <c r="B3758" s="3" t="s">
        <v>7019</v>
      </c>
      <c r="C3758" s="3" t="s">
        <v>2086</v>
      </c>
      <c r="D3758" s="9">
        <v>31.5</v>
      </c>
      <c r="E3758" s="3"/>
      <c r="F3758" s="3"/>
      <c r="G3758" s="9"/>
      <c r="H3758" s="10">
        <v>45675.290578703702</v>
      </c>
      <c r="I3758" s="10">
        <v>45675.291446759264</v>
      </c>
      <c r="J3758" s="10">
        <v>45675.292974537027</v>
      </c>
      <c r="K3758" s="11">
        <v>1.5277777777777781E-3</v>
      </c>
      <c r="L3758" s="13"/>
    </row>
    <row r="3759" spans="1:12" x14ac:dyDescent="0.25">
      <c r="A3759" s="3" t="s">
        <v>6718</v>
      </c>
      <c r="B3759" s="3" t="s">
        <v>7020</v>
      </c>
      <c r="C3759" s="3" t="s">
        <v>2089</v>
      </c>
      <c r="D3759" s="9">
        <v>15.7</v>
      </c>
      <c r="E3759" s="3"/>
      <c r="F3759" s="3"/>
      <c r="G3759" s="9"/>
      <c r="H3759" s="10">
        <v>45675.292534722219</v>
      </c>
      <c r="I3759" s="10">
        <v>45675.293368055558</v>
      </c>
      <c r="J3759" s="10">
        <v>45675.294895833344</v>
      </c>
      <c r="K3759" s="11">
        <v>1.5277777777777781E-3</v>
      </c>
      <c r="L3759" s="13"/>
    </row>
    <row r="3760" spans="1:12" x14ac:dyDescent="0.25">
      <c r="A3760" s="3" t="s">
        <v>6718</v>
      </c>
      <c r="B3760" s="3" t="s">
        <v>7021</v>
      </c>
      <c r="C3760" s="3" t="s">
        <v>2092</v>
      </c>
      <c r="D3760" s="9">
        <v>19.899999999999999</v>
      </c>
      <c r="E3760" s="3"/>
      <c r="F3760" s="3"/>
      <c r="G3760" s="9"/>
      <c r="H3760" s="10">
        <v>45675.294490740736</v>
      </c>
      <c r="I3760" s="10">
        <v>45675.295358796298</v>
      </c>
      <c r="J3760" s="10">
        <v>45675.296886574077</v>
      </c>
      <c r="K3760" s="11">
        <v>1.5277777777777781E-3</v>
      </c>
      <c r="L3760" s="13"/>
    </row>
    <row r="3761" spans="1:12" x14ac:dyDescent="0.25">
      <c r="A3761" s="3" t="s">
        <v>6718</v>
      </c>
      <c r="B3761" s="3" t="s">
        <v>7022</v>
      </c>
      <c r="C3761" s="3" t="s">
        <v>2103</v>
      </c>
      <c r="D3761" s="9">
        <v>521.70000000000005</v>
      </c>
      <c r="E3761" s="3"/>
      <c r="F3761" s="3"/>
      <c r="G3761" s="9"/>
      <c r="H3761" s="10">
        <v>45676.744479166657</v>
      </c>
      <c r="I3761" s="10">
        <v>45676.745266203703</v>
      </c>
      <c r="J3761" s="10">
        <v>45676.746655092589</v>
      </c>
      <c r="K3761" s="11">
        <v>1.3888888888888889E-3</v>
      </c>
      <c r="L3761" s="13"/>
    </row>
    <row r="3762" spans="1:12" x14ac:dyDescent="0.25">
      <c r="A3762" s="3" t="s">
        <v>6718</v>
      </c>
      <c r="B3762" s="3" t="s">
        <v>7023</v>
      </c>
      <c r="C3762" s="3" t="s">
        <v>2105</v>
      </c>
      <c r="D3762" s="9">
        <v>70.5</v>
      </c>
      <c r="E3762" s="3"/>
      <c r="F3762" s="3"/>
      <c r="G3762" s="9"/>
      <c r="H3762" s="10">
        <v>45676.746180555558</v>
      </c>
      <c r="I3762" s="10">
        <v>45676.747048611112</v>
      </c>
      <c r="J3762" s="10">
        <v>45676.748576388891</v>
      </c>
      <c r="K3762" s="11">
        <v>1.5277777777777781E-3</v>
      </c>
      <c r="L3762" s="13"/>
    </row>
    <row r="3763" spans="1:12" x14ac:dyDescent="0.25">
      <c r="A3763" s="3" t="s">
        <v>6718</v>
      </c>
      <c r="B3763" s="3" t="s">
        <v>7024</v>
      </c>
      <c r="C3763" s="3" t="s">
        <v>2107</v>
      </c>
      <c r="D3763" s="9">
        <v>132.69999999999999</v>
      </c>
      <c r="E3763" s="3"/>
      <c r="F3763" s="3"/>
      <c r="G3763" s="9"/>
      <c r="H3763" s="10">
        <v>45676.852268518523</v>
      </c>
      <c r="I3763" s="10">
        <v>45676.853055555563</v>
      </c>
      <c r="J3763" s="10">
        <v>45676.854444444441</v>
      </c>
      <c r="K3763" s="11">
        <v>1.3888888888888889E-3</v>
      </c>
      <c r="L3763" s="13"/>
    </row>
    <row r="3764" spans="1:12" x14ac:dyDescent="0.25">
      <c r="A3764" s="3" t="s">
        <v>6718</v>
      </c>
      <c r="B3764" s="3" t="s">
        <v>7025</v>
      </c>
      <c r="C3764" s="3" t="s">
        <v>2113</v>
      </c>
      <c r="D3764" s="9">
        <v>165.8</v>
      </c>
      <c r="E3764" s="3"/>
      <c r="F3764" s="3"/>
      <c r="G3764" s="9"/>
      <c r="H3764" s="10">
        <v>45677.117013888892</v>
      </c>
      <c r="I3764" s="10">
        <v>45677.117881944447</v>
      </c>
      <c r="J3764" s="10">
        <v>45677.119409722232</v>
      </c>
      <c r="K3764" s="11">
        <v>1.5277777777777781E-3</v>
      </c>
      <c r="L3764" s="13"/>
    </row>
    <row r="3765" spans="1:12" x14ac:dyDescent="0.25">
      <c r="A3765" s="3" t="s">
        <v>6718</v>
      </c>
      <c r="B3765" s="3" t="s">
        <v>7026</v>
      </c>
      <c r="C3765" s="3" t="s">
        <v>2118</v>
      </c>
      <c r="D3765" s="9">
        <v>47.2</v>
      </c>
      <c r="E3765" s="3"/>
      <c r="F3765" s="3"/>
      <c r="G3765" s="9"/>
      <c r="H3765" s="10">
        <v>45677.120995370373</v>
      </c>
      <c r="I3765" s="10">
        <v>45677.121863425928</v>
      </c>
      <c r="J3765" s="10">
        <v>45677.123391203713</v>
      </c>
      <c r="K3765" s="11">
        <v>1.5277777777777781E-3</v>
      </c>
      <c r="L3765" s="13"/>
    </row>
    <row r="3766" spans="1:12" x14ac:dyDescent="0.25">
      <c r="A3766" s="3" t="s">
        <v>6718</v>
      </c>
      <c r="B3766" s="3" t="s">
        <v>7027</v>
      </c>
      <c r="C3766" s="3" t="s">
        <v>2121</v>
      </c>
      <c r="D3766" s="9">
        <v>329.7</v>
      </c>
      <c r="E3766" s="3"/>
      <c r="F3766" s="3"/>
      <c r="G3766" s="9"/>
      <c r="H3766" s="10">
        <v>45677.199675925927</v>
      </c>
      <c r="I3766" s="10">
        <v>45677.200543981482</v>
      </c>
      <c r="J3766" s="10">
        <v>45677.20207175926</v>
      </c>
      <c r="K3766" s="11">
        <v>1.5277777777777781E-3</v>
      </c>
      <c r="L3766" s="13"/>
    </row>
    <row r="3767" spans="1:12" x14ac:dyDescent="0.25">
      <c r="A3767" s="3" t="s">
        <v>6718</v>
      </c>
      <c r="B3767" s="3" t="s">
        <v>7028</v>
      </c>
      <c r="C3767" s="3" t="s">
        <v>2124</v>
      </c>
      <c r="D3767" s="9">
        <v>102.8</v>
      </c>
      <c r="E3767" s="3"/>
      <c r="F3767" s="3"/>
      <c r="G3767" s="9"/>
      <c r="H3767" s="10">
        <v>45677.331793981481</v>
      </c>
      <c r="I3767" s="10">
        <v>45677.332569444443</v>
      </c>
      <c r="J3767" s="10">
        <v>45677.333958333344</v>
      </c>
      <c r="K3767" s="11">
        <v>1.3888888888888889E-3</v>
      </c>
      <c r="L3767" s="13"/>
    </row>
    <row r="3768" spans="1:12" x14ac:dyDescent="0.25">
      <c r="A3768" s="3" t="s">
        <v>6718</v>
      </c>
      <c r="B3768" s="3" t="s">
        <v>7029</v>
      </c>
      <c r="C3768" s="3" t="s">
        <v>2127</v>
      </c>
      <c r="D3768" s="9">
        <v>19.899999999999999</v>
      </c>
      <c r="E3768" s="3"/>
      <c r="F3768" s="3"/>
      <c r="G3768" s="9"/>
      <c r="H3768" s="10">
        <v>45677.333611111113</v>
      </c>
      <c r="I3768" s="10">
        <v>45677.334467592591</v>
      </c>
      <c r="J3768" s="10">
        <v>45677.335995370369</v>
      </c>
      <c r="K3768" s="11">
        <v>1.5277777777777781E-3</v>
      </c>
      <c r="L3768" s="13"/>
    </row>
    <row r="3769" spans="1:12" x14ac:dyDescent="0.25">
      <c r="A3769" s="3" t="s">
        <v>6718</v>
      </c>
      <c r="B3769" s="3" t="s">
        <v>7030</v>
      </c>
      <c r="C3769" s="3" t="s">
        <v>2133</v>
      </c>
      <c r="D3769" s="9">
        <v>31.5</v>
      </c>
      <c r="E3769" s="3"/>
      <c r="F3769" s="3"/>
      <c r="G3769" s="9"/>
      <c r="H3769" s="10">
        <v>45677.33834490741</v>
      </c>
      <c r="I3769" s="10">
        <v>45677.339942129627</v>
      </c>
      <c r="J3769" s="10">
        <v>45677.341331018521</v>
      </c>
      <c r="K3769" s="11">
        <v>1.3888888888888889E-3</v>
      </c>
      <c r="L3769" s="13"/>
    </row>
    <row r="3770" spans="1:12" x14ac:dyDescent="0.25">
      <c r="A3770" s="3" t="s">
        <v>6718</v>
      </c>
      <c r="B3770" s="3" t="s">
        <v>7031</v>
      </c>
      <c r="C3770" s="3" t="s">
        <v>2136</v>
      </c>
      <c r="D3770" s="9">
        <v>31.5</v>
      </c>
      <c r="E3770" s="3"/>
      <c r="F3770" s="3"/>
      <c r="G3770" s="9"/>
      <c r="H3770" s="10">
        <v>45677.340150462973</v>
      </c>
      <c r="I3770" s="10">
        <v>45677.342430555553</v>
      </c>
      <c r="J3770" s="10">
        <v>45677.343958333331</v>
      </c>
      <c r="K3770" s="11">
        <v>1.5277777777777781E-3</v>
      </c>
      <c r="L3770" s="13"/>
    </row>
    <row r="3771" spans="1:12" x14ac:dyDescent="0.25">
      <c r="A3771" s="3" t="s">
        <v>6718</v>
      </c>
      <c r="B3771" s="3" t="s">
        <v>7032</v>
      </c>
      <c r="C3771" s="3" t="s">
        <v>2145</v>
      </c>
      <c r="D3771" s="9">
        <v>31.5</v>
      </c>
      <c r="E3771" s="3"/>
      <c r="F3771" s="3"/>
      <c r="G3771" s="9"/>
      <c r="H3771" s="10">
        <v>45677.345393518517</v>
      </c>
      <c r="I3771" s="10">
        <v>45677.347187500003</v>
      </c>
      <c r="J3771" s="10">
        <v>45677.348576388889</v>
      </c>
      <c r="K3771" s="11">
        <v>1.3888888888888889E-3</v>
      </c>
      <c r="L3771" s="13"/>
    </row>
    <row r="3772" spans="1:12" x14ac:dyDescent="0.25">
      <c r="A3772" s="3" t="s">
        <v>6718</v>
      </c>
      <c r="B3772" s="3" t="s">
        <v>7033</v>
      </c>
      <c r="C3772" s="3" t="s">
        <v>2149</v>
      </c>
      <c r="D3772" s="9">
        <v>15.7</v>
      </c>
      <c r="E3772" s="3"/>
      <c r="F3772" s="3"/>
      <c r="G3772" s="9"/>
      <c r="H3772" s="10">
        <v>45677.346863425933</v>
      </c>
      <c r="I3772" s="10">
        <v>45677.350127314807</v>
      </c>
      <c r="J3772" s="10">
        <v>45677.3515162037</v>
      </c>
      <c r="K3772" s="11">
        <v>1.3888888888888889E-3</v>
      </c>
      <c r="L3772" s="13"/>
    </row>
    <row r="3773" spans="1:12" x14ac:dyDescent="0.25">
      <c r="A3773" s="3" t="s">
        <v>6718</v>
      </c>
      <c r="B3773" s="3" t="s">
        <v>7034</v>
      </c>
      <c r="C3773" s="3" t="s">
        <v>2186</v>
      </c>
      <c r="D3773" s="9">
        <v>145.6</v>
      </c>
      <c r="E3773" s="3"/>
      <c r="F3773" s="3"/>
      <c r="G3773" s="9"/>
      <c r="H3773" s="10">
        <v>45677.385555555556</v>
      </c>
      <c r="I3773" s="10">
        <v>45677.386423611111</v>
      </c>
      <c r="J3773" s="10">
        <v>45677.38795138889</v>
      </c>
      <c r="K3773" s="11">
        <v>1.5277777777777781E-3</v>
      </c>
      <c r="L3773" s="13"/>
    </row>
    <row r="3774" spans="1:12" x14ac:dyDescent="0.25">
      <c r="A3774" s="3" t="s">
        <v>6718</v>
      </c>
      <c r="B3774" s="3" t="s">
        <v>7035</v>
      </c>
      <c r="C3774" s="3" t="s">
        <v>2160</v>
      </c>
      <c r="D3774" s="9">
        <v>46.5</v>
      </c>
      <c r="E3774" s="3"/>
      <c r="F3774" s="3"/>
      <c r="G3774" s="9"/>
      <c r="H3774" s="10">
        <v>45677.390370370369</v>
      </c>
      <c r="I3774" s="10">
        <v>45677.391238425917</v>
      </c>
      <c r="J3774" s="10">
        <v>45677.392766203702</v>
      </c>
      <c r="K3774" s="11">
        <v>1.5277777777777781E-3</v>
      </c>
      <c r="L3774" s="13"/>
    </row>
    <row r="3775" spans="1:12" x14ac:dyDescent="0.25">
      <c r="A3775" s="3" t="s">
        <v>6718</v>
      </c>
      <c r="B3775" s="3" t="s">
        <v>7036</v>
      </c>
      <c r="C3775" s="3" t="s">
        <v>2164</v>
      </c>
      <c r="D3775" s="9">
        <v>135</v>
      </c>
      <c r="E3775" s="3"/>
      <c r="F3775" s="3"/>
      <c r="G3775" s="9"/>
      <c r="H3775" s="10">
        <v>45677.394699074073</v>
      </c>
      <c r="I3775" s="10">
        <v>45677.395567129628</v>
      </c>
      <c r="J3775" s="10">
        <v>45677.397094907406</v>
      </c>
      <c r="K3775" s="11">
        <v>1.5277777777777781E-3</v>
      </c>
      <c r="L3775" s="13"/>
    </row>
    <row r="3776" spans="1:12" x14ac:dyDescent="0.25">
      <c r="A3776" s="3" t="s">
        <v>6718</v>
      </c>
      <c r="B3776" s="3" t="s">
        <v>7037</v>
      </c>
      <c r="C3776" s="3" t="s">
        <v>2173</v>
      </c>
      <c r="D3776" s="9">
        <v>19.899999999999999</v>
      </c>
      <c r="E3776" s="3"/>
      <c r="F3776" s="3"/>
      <c r="G3776" s="9"/>
      <c r="H3776" s="10">
        <v>45677.40184027778</v>
      </c>
      <c r="I3776" s="10">
        <v>45677.402627314812</v>
      </c>
      <c r="J3776" s="10">
        <v>45677.404016203713</v>
      </c>
      <c r="K3776" s="11">
        <v>1.3888888888888889E-3</v>
      </c>
      <c r="L3776" s="13"/>
    </row>
    <row r="3777" spans="1:12" x14ac:dyDescent="0.25">
      <c r="A3777" s="3" t="s">
        <v>6718</v>
      </c>
      <c r="B3777" s="3" t="s">
        <v>7038</v>
      </c>
      <c r="C3777" s="3" t="s">
        <v>2181</v>
      </c>
      <c r="D3777" s="9">
        <v>19.899999999999999</v>
      </c>
      <c r="E3777" s="3"/>
      <c r="F3777" s="3"/>
      <c r="G3777" s="9"/>
      <c r="H3777" s="10">
        <v>45677.407581018517</v>
      </c>
      <c r="I3777" s="10">
        <v>45677.408414351848</v>
      </c>
      <c r="J3777" s="10">
        <v>45677.409942129627</v>
      </c>
      <c r="K3777" s="11">
        <v>1.5277777777777781E-3</v>
      </c>
      <c r="L3777" s="13"/>
    </row>
    <row r="3778" spans="1:12" x14ac:dyDescent="0.25">
      <c r="A3778" s="3" t="s">
        <v>6718</v>
      </c>
      <c r="B3778" s="3" t="s">
        <v>7039</v>
      </c>
      <c r="C3778" s="3" t="s">
        <v>2189</v>
      </c>
      <c r="D3778" s="9">
        <v>144.80000000000001</v>
      </c>
      <c r="E3778" s="3"/>
      <c r="F3778" s="3"/>
      <c r="G3778" s="9"/>
      <c r="H3778" s="10">
        <v>45677.451898148152</v>
      </c>
      <c r="I3778" s="10">
        <v>45677.452731481477</v>
      </c>
      <c r="J3778" s="10">
        <v>45677.454259259262</v>
      </c>
      <c r="K3778" s="11">
        <v>1.5277777777777781E-3</v>
      </c>
      <c r="L3778" s="13"/>
    </row>
    <row r="3779" spans="1:12" x14ac:dyDescent="0.25">
      <c r="A3779" s="3" t="s">
        <v>6718</v>
      </c>
      <c r="B3779" s="3" t="s">
        <v>7040</v>
      </c>
      <c r="C3779" s="3" t="s">
        <v>2194</v>
      </c>
      <c r="D3779" s="9">
        <v>153.9</v>
      </c>
      <c r="E3779" s="3"/>
      <c r="F3779" s="3"/>
      <c r="G3779" s="9"/>
      <c r="H3779" s="10">
        <v>45677.45511574074</v>
      </c>
      <c r="I3779" s="10">
        <v>45677.455949074072</v>
      </c>
      <c r="J3779" s="10">
        <v>45677.457476851851</v>
      </c>
      <c r="K3779" s="11">
        <v>1.5277777777777781E-3</v>
      </c>
      <c r="L3779" s="13"/>
    </row>
    <row r="3780" spans="1:12" x14ac:dyDescent="0.25">
      <c r="A3780" s="3" t="s">
        <v>6718</v>
      </c>
      <c r="B3780" s="3" t="s">
        <v>7041</v>
      </c>
      <c r="C3780" s="3" t="s">
        <v>2197</v>
      </c>
      <c r="D3780" s="9">
        <v>105</v>
      </c>
      <c r="E3780" s="3"/>
      <c r="F3780" s="3"/>
      <c r="G3780" s="9"/>
      <c r="H3780" s="10">
        <v>45677.539201388892</v>
      </c>
      <c r="I3780" s="10">
        <v>45677.540069444447</v>
      </c>
      <c r="J3780" s="10">
        <v>45677.541597222233</v>
      </c>
      <c r="K3780" s="11">
        <v>1.5277777777777781E-3</v>
      </c>
      <c r="L3780" s="13"/>
    </row>
    <row r="3781" spans="1:12" x14ac:dyDescent="0.25">
      <c r="A3781" s="3" t="s">
        <v>6718</v>
      </c>
      <c r="B3781" s="3" t="s">
        <v>7042</v>
      </c>
      <c r="C3781" s="3" t="s">
        <v>2199</v>
      </c>
      <c r="D3781" s="9">
        <v>389.1</v>
      </c>
      <c r="E3781" s="3"/>
      <c r="F3781" s="3"/>
      <c r="G3781" s="9"/>
      <c r="H3781" s="10">
        <v>45677.610949074071</v>
      </c>
      <c r="I3781" s="10">
        <v>45677.611817129633</v>
      </c>
      <c r="J3781" s="10">
        <v>45677.613344907397</v>
      </c>
      <c r="K3781" s="11">
        <v>1.5277777777777781E-3</v>
      </c>
      <c r="L3781" s="13"/>
    </row>
    <row r="3782" spans="1:12" x14ac:dyDescent="0.25">
      <c r="A3782" s="3" t="s">
        <v>6718</v>
      </c>
      <c r="B3782" s="3" t="s">
        <v>7043</v>
      </c>
      <c r="C3782" s="3" t="s">
        <v>2203</v>
      </c>
      <c r="D3782" s="9">
        <v>19.899999999999999</v>
      </c>
      <c r="E3782" s="3"/>
      <c r="F3782" s="3"/>
      <c r="G3782" s="9"/>
      <c r="H3782" s="10">
        <v>45677.651770833327</v>
      </c>
      <c r="I3782" s="10">
        <v>45677.652615740742</v>
      </c>
      <c r="J3782" s="10">
        <v>45677.654143518521</v>
      </c>
      <c r="K3782" s="11">
        <v>1.5277777777777781E-3</v>
      </c>
      <c r="L3782" s="13"/>
    </row>
    <row r="3783" spans="1:12" x14ac:dyDescent="0.25">
      <c r="A3783" s="3" t="s">
        <v>6718</v>
      </c>
      <c r="B3783" s="3" t="s">
        <v>7044</v>
      </c>
      <c r="C3783" s="3" t="s">
        <v>2206</v>
      </c>
      <c r="D3783" s="9">
        <v>19.899999999999999</v>
      </c>
      <c r="E3783" s="3"/>
      <c r="F3783" s="3"/>
      <c r="G3783" s="9"/>
      <c r="H3783" s="10">
        <v>45677.653692129628</v>
      </c>
      <c r="I3783" s="10">
        <v>45677.654537037037</v>
      </c>
      <c r="J3783" s="10">
        <v>45677.656064814822</v>
      </c>
      <c r="K3783" s="11">
        <v>1.5277777777777781E-3</v>
      </c>
      <c r="L3783" s="13"/>
    </row>
    <row r="3784" spans="1:12" x14ac:dyDescent="0.25">
      <c r="A3784" s="3" t="s">
        <v>6718</v>
      </c>
      <c r="B3784" s="3" t="s">
        <v>7045</v>
      </c>
      <c r="C3784" s="3" t="s">
        <v>2209</v>
      </c>
      <c r="D3784" s="9">
        <v>19.899999999999999</v>
      </c>
      <c r="E3784" s="3"/>
      <c r="F3784" s="3"/>
      <c r="G3784" s="9"/>
      <c r="H3784" s="10">
        <v>45677.654976851853</v>
      </c>
      <c r="I3784" s="10">
        <v>45677.655844907407</v>
      </c>
      <c r="J3784" s="10">
        <v>45677.657372685193</v>
      </c>
      <c r="K3784" s="11">
        <v>1.5277777777777781E-3</v>
      </c>
      <c r="L3784" s="13"/>
    </row>
    <row r="3785" spans="1:12" x14ac:dyDescent="0.25">
      <c r="A3785" s="3" t="s">
        <v>6718</v>
      </c>
      <c r="B3785" s="3" t="s">
        <v>7046</v>
      </c>
      <c r="C3785" s="3" t="s">
        <v>2215</v>
      </c>
      <c r="D3785" s="9">
        <v>15.7</v>
      </c>
      <c r="E3785" s="3"/>
      <c r="F3785" s="3"/>
      <c r="G3785" s="9"/>
      <c r="H3785" s="10">
        <v>45677.660509259258</v>
      </c>
      <c r="I3785" s="10">
        <v>45677.66134259259</v>
      </c>
      <c r="J3785" s="10">
        <v>45677.662870370368</v>
      </c>
      <c r="K3785" s="11">
        <v>1.5277777777777781E-3</v>
      </c>
      <c r="L3785" s="13"/>
    </row>
    <row r="3786" spans="1:12" x14ac:dyDescent="0.25">
      <c r="A3786" s="3" t="s">
        <v>6718</v>
      </c>
      <c r="B3786" s="3" t="s">
        <v>7047</v>
      </c>
      <c r="C3786" s="3" t="s">
        <v>2222</v>
      </c>
      <c r="D3786" s="9">
        <v>152.30000000000001</v>
      </c>
      <c r="E3786" s="3"/>
      <c r="F3786" s="3"/>
      <c r="G3786" s="9"/>
      <c r="H3786" s="10">
        <v>45677.66814814815</v>
      </c>
      <c r="I3786" s="10">
        <v>45677.668993055559</v>
      </c>
      <c r="J3786" s="10">
        <v>45677.670520833337</v>
      </c>
      <c r="K3786" s="11">
        <v>1.5277777777777781E-3</v>
      </c>
      <c r="L3786" s="13"/>
    </row>
    <row r="3787" spans="1:12" x14ac:dyDescent="0.25">
      <c r="A3787" s="3" t="s">
        <v>6718</v>
      </c>
      <c r="B3787" s="3" t="s">
        <v>7048</v>
      </c>
      <c r="C3787" s="3" t="s">
        <v>2227</v>
      </c>
      <c r="D3787" s="9">
        <v>325.39999999999998</v>
      </c>
      <c r="E3787" s="3"/>
      <c r="F3787" s="3"/>
      <c r="G3787" s="9"/>
      <c r="H3787" s="10">
        <v>45677.718217592592</v>
      </c>
      <c r="I3787" s="10">
        <v>45677.719085648147</v>
      </c>
      <c r="J3787" s="10">
        <v>45677.720613425918</v>
      </c>
      <c r="K3787" s="11">
        <v>1.5277777777777781E-3</v>
      </c>
      <c r="L3787" s="13"/>
    </row>
    <row r="3788" spans="1:12" x14ac:dyDescent="0.25">
      <c r="A3788" s="3" t="s">
        <v>6718</v>
      </c>
      <c r="B3788" s="3" t="s">
        <v>7049</v>
      </c>
      <c r="C3788" s="3" t="s">
        <v>2230</v>
      </c>
      <c r="D3788" s="9">
        <v>398</v>
      </c>
      <c r="E3788" s="3"/>
      <c r="F3788" s="3"/>
      <c r="G3788" s="9"/>
      <c r="H3788" s="10">
        <v>45677.887615740743</v>
      </c>
      <c r="I3788" s="10">
        <v>45677.888483796298</v>
      </c>
      <c r="J3788" s="10">
        <v>45677.890011574083</v>
      </c>
      <c r="K3788" s="11">
        <v>1.5277777777777781E-3</v>
      </c>
      <c r="L3788" s="13"/>
    </row>
    <row r="3789" spans="1:12" x14ac:dyDescent="0.25">
      <c r="A3789" s="3" t="s">
        <v>6718</v>
      </c>
      <c r="B3789" s="3" t="s">
        <v>7050</v>
      </c>
      <c r="C3789" s="3" t="s">
        <v>2236</v>
      </c>
      <c r="D3789" s="9">
        <v>35.6</v>
      </c>
      <c r="E3789" s="3"/>
      <c r="F3789" s="3"/>
      <c r="G3789" s="9"/>
      <c r="H3789" s="10">
        <v>45678.134652777779</v>
      </c>
      <c r="I3789" s="10">
        <v>45678.135497685187</v>
      </c>
      <c r="J3789" s="10">
        <v>45678.137025462973</v>
      </c>
      <c r="K3789" s="11">
        <v>1.5277777777777781E-3</v>
      </c>
      <c r="L3789" s="13"/>
    </row>
    <row r="3790" spans="1:12" x14ac:dyDescent="0.25">
      <c r="A3790" s="3" t="s">
        <v>6718</v>
      </c>
      <c r="B3790" s="3" t="s">
        <v>7051</v>
      </c>
      <c r="C3790" s="3" t="s">
        <v>2243</v>
      </c>
      <c r="D3790" s="9">
        <v>233.1</v>
      </c>
      <c r="E3790" s="3"/>
      <c r="F3790" s="3"/>
      <c r="G3790" s="9"/>
      <c r="H3790" s="10">
        <v>45678.28434027778</v>
      </c>
      <c r="I3790" s="10">
        <v>45678.285185185188</v>
      </c>
      <c r="J3790" s="10">
        <v>45678.286712962959</v>
      </c>
      <c r="K3790" s="11">
        <v>1.5277777777777781E-3</v>
      </c>
      <c r="L3790" s="13"/>
    </row>
    <row r="3791" spans="1:12" x14ac:dyDescent="0.25">
      <c r="A3791" s="3" t="s">
        <v>6718</v>
      </c>
      <c r="B3791" s="3" t="s">
        <v>7052</v>
      </c>
      <c r="C3791" s="3" t="s">
        <v>2246</v>
      </c>
      <c r="D3791" s="9">
        <v>19.899999999999999</v>
      </c>
      <c r="E3791" s="3"/>
      <c r="F3791" s="3"/>
      <c r="G3791" s="9"/>
      <c r="H3791" s="10">
        <v>45678.319907407407</v>
      </c>
      <c r="I3791" s="10">
        <v>45678.320775462962</v>
      </c>
      <c r="J3791" s="10">
        <v>45678.32230324074</v>
      </c>
      <c r="K3791" s="11">
        <v>1.5277777777777781E-3</v>
      </c>
      <c r="L3791" s="13"/>
    </row>
    <row r="3792" spans="1:12" x14ac:dyDescent="0.25">
      <c r="A3792" s="3" t="s">
        <v>6718</v>
      </c>
      <c r="B3792" s="3" t="s">
        <v>7053</v>
      </c>
      <c r="C3792" s="3" t="s">
        <v>2251</v>
      </c>
      <c r="D3792" s="9">
        <v>15.7</v>
      </c>
      <c r="E3792" s="3"/>
      <c r="F3792" s="3"/>
      <c r="G3792" s="9"/>
      <c r="H3792" s="10">
        <v>45678.323113425933</v>
      </c>
      <c r="I3792" s="10">
        <v>45678.323981481481</v>
      </c>
      <c r="J3792" s="10">
        <v>45678.325509259259</v>
      </c>
      <c r="K3792" s="11">
        <v>1.5277777777777781E-3</v>
      </c>
      <c r="L3792" s="13"/>
    </row>
    <row r="3793" spans="1:12" x14ac:dyDescent="0.25">
      <c r="A3793" s="3" t="s">
        <v>6718</v>
      </c>
      <c r="B3793" s="3" t="s">
        <v>7054</v>
      </c>
      <c r="C3793" s="3" t="s">
        <v>2254</v>
      </c>
      <c r="D3793" s="9">
        <v>116.9</v>
      </c>
      <c r="E3793" s="3"/>
      <c r="F3793" s="3"/>
      <c r="G3793" s="9"/>
      <c r="H3793" s="10">
        <v>45678.325300925928</v>
      </c>
      <c r="I3793" s="10">
        <v>45678.326168981483</v>
      </c>
      <c r="J3793" s="10">
        <v>45678.327696759261</v>
      </c>
      <c r="K3793" s="11">
        <v>1.5277777777777781E-3</v>
      </c>
      <c r="L3793" s="13"/>
    </row>
    <row r="3794" spans="1:12" x14ac:dyDescent="0.25">
      <c r="A3794" s="3" t="s">
        <v>6718</v>
      </c>
      <c r="B3794" s="3" t="s">
        <v>7055</v>
      </c>
      <c r="C3794" s="3" t="s">
        <v>2259</v>
      </c>
      <c r="D3794" s="9">
        <v>15.7</v>
      </c>
      <c r="E3794" s="3"/>
      <c r="F3794" s="3"/>
      <c r="G3794" s="9"/>
      <c r="H3794" s="10">
        <v>45678.329050925917</v>
      </c>
      <c r="I3794" s="10">
        <v>45678.329918981479</v>
      </c>
      <c r="J3794" s="10">
        <v>45678.331446759257</v>
      </c>
      <c r="K3794" s="11">
        <v>1.5277777777777781E-3</v>
      </c>
      <c r="L3794" s="13"/>
    </row>
    <row r="3795" spans="1:12" x14ac:dyDescent="0.25">
      <c r="A3795" s="3" t="s">
        <v>6718</v>
      </c>
      <c r="B3795" s="3" t="s">
        <v>7056</v>
      </c>
      <c r="C3795" s="3" t="s">
        <v>2264</v>
      </c>
      <c r="D3795" s="9">
        <v>117.1</v>
      </c>
      <c r="E3795" s="3"/>
      <c r="F3795" s="3"/>
      <c r="G3795" s="9"/>
      <c r="H3795" s="10">
        <v>45678.332974537043</v>
      </c>
      <c r="I3795" s="10">
        <v>45678.33384259259</v>
      </c>
      <c r="J3795" s="10">
        <v>45678.335370370369</v>
      </c>
      <c r="K3795" s="11">
        <v>1.5277777777777781E-3</v>
      </c>
      <c r="L3795" s="13"/>
    </row>
    <row r="3796" spans="1:12" x14ac:dyDescent="0.25">
      <c r="A3796" s="3" t="s">
        <v>6718</v>
      </c>
      <c r="B3796" s="3" t="s">
        <v>7057</v>
      </c>
      <c r="C3796" s="3" t="s">
        <v>2268</v>
      </c>
      <c r="D3796" s="9">
        <v>339.1</v>
      </c>
      <c r="E3796" s="3"/>
      <c r="F3796" s="3"/>
      <c r="G3796" s="9"/>
      <c r="H3796" s="10">
        <v>45678.336400462962</v>
      </c>
      <c r="I3796" s="10">
        <v>45678.337268518517</v>
      </c>
      <c r="J3796" s="10">
        <v>45678.338796296302</v>
      </c>
      <c r="K3796" s="11">
        <v>1.5277777777777781E-3</v>
      </c>
      <c r="L3796" s="13"/>
    </row>
    <row r="3797" spans="1:12" x14ac:dyDescent="0.25">
      <c r="A3797" s="3" t="s">
        <v>6718</v>
      </c>
      <c r="B3797" s="3" t="s">
        <v>7058</v>
      </c>
      <c r="C3797" s="3" t="s">
        <v>2289</v>
      </c>
      <c r="D3797" s="9">
        <v>77.3</v>
      </c>
      <c r="E3797" s="3"/>
      <c r="F3797" s="3"/>
      <c r="G3797" s="9"/>
      <c r="H3797" s="10">
        <v>45678.385104166657</v>
      </c>
      <c r="I3797" s="10">
        <v>45678.385972222219</v>
      </c>
      <c r="J3797" s="10">
        <v>45678.387499999997</v>
      </c>
      <c r="K3797" s="11">
        <v>1.5277777777777781E-3</v>
      </c>
      <c r="L3797" s="13"/>
    </row>
    <row r="3798" spans="1:12" x14ac:dyDescent="0.25">
      <c r="A3798" s="3" t="s">
        <v>6718</v>
      </c>
      <c r="B3798" s="3" t="s">
        <v>7059</v>
      </c>
      <c r="C3798" s="3" t="s">
        <v>2292</v>
      </c>
      <c r="D3798" s="9">
        <v>37.5</v>
      </c>
      <c r="E3798" s="3"/>
      <c r="F3798" s="3"/>
      <c r="G3798" s="9"/>
      <c r="H3798" s="10">
        <v>45678.386284722219</v>
      </c>
      <c r="I3798" s="10">
        <v>45678.387152777781</v>
      </c>
      <c r="J3798" s="10">
        <v>45678.388680555552</v>
      </c>
      <c r="K3798" s="11">
        <v>1.5277777777777781E-3</v>
      </c>
      <c r="L3798" s="13"/>
    </row>
    <row r="3799" spans="1:12" x14ac:dyDescent="0.25">
      <c r="A3799" s="3" t="s">
        <v>6718</v>
      </c>
      <c r="B3799" s="3" t="s">
        <v>7060</v>
      </c>
      <c r="C3799" s="3" t="s">
        <v>2277</v>
      </c>
      <c r="D3799" s="9">
        <v>90.4</v>
      </c>
      <c r="E3799" s="3"/>
      <c r="F3799" s="3"/>
      <c r="G3799" s="9"/>
      <c r="H3799" s="10">
        <v>45678.393020833333</v>
      </c>
      <c r="I3799" s="10">
        <v>45678.393784722219</v>
      </c>
      <c r="J3799" s="10">
        <v>45678.395173611112</v>
      </c>
      <c r="K3799" s="11">
        <v>1.3888888888888889E-3</v>
      </c>
      <c r="L3799" s="13"/>
    </row>
    <row r="3800" spans="1:12" x14ac:dyDescent="0.25">
      <c r="A3800" s="3" t="s">
        <v>6718</v>
      </c>
      <c r="B3800" s="3" t="s">
        <v>7061</v>
      </c>
      <c r="C3800" s="3" t="s">
        <v>2280</v>
      </c>
      <c r="D3800" s="9">
        <v>108</v>
      </c>
      <c r="E3800" s="3"/>
      <c r="F3800" s="3"/>
      <c r="G3800" s="9"/>
      <c r="H3800" s="10">
        <v>45678.394953703697</v>
      </c>
      <c r="I3800" s="10">
        <v>45678.395821759259</v>
      </c>
      <c r="J3800" s="10">
        <v>45678.397349537037</v>
      </c>
      <c r="K3800" s="11">
        <v>1.5277777777777781E-3</v>
      </c>
      <c r="L3800" s="13"/>
    </row>
    <row r="3801" spans="1:12" x14ac:dyDescent="0.25">
      <c r="A3801" s="3" t="s">
        <v>6718</v>
      </c>
      <c r="B3801" s="3" t="s">
        <v>7062</v>
      </c>
      <c r="C3801" s="3" t="s">
        <v>2296</v>
      </c>
      <c r="D3801" s="9">
        <v>40.9</v>
      </c>
      <c r="E3801" s="3"/>
      <c r="F3801" s="3"/>
      <c r="G3801" s="9"/>
      <c r="H3801" s="10">
        <v>45678.434270833342</v>
      </c>
      <c r="I3801" s="10">
        <v>45678.43513888889</v>
      </c>
      <c r="J3801" s="10">
        <v>45678.436666666668</v>
      </c>
      <c r="K3801" s="11">
        <v>1.5277777777777781E-3</v>
      </c>
      <c r="L3801" s="13"/>
    </row>
    <row r="3802" spans="1:12" x14ac:dyDescent="0.25">
      <c r="A3802" s="3" t="s">
        <v>6718</v>
      </c>
      <c r="B3802" s="3" t="s">
        <v>7063</v>
      </c>
      <c r="C3802" s="3" t="s">
        <v>2301</v>
      </c>
      <c r="D3802" s="9">
        <v>398</v>
      </c>
      <c r="E3802" s="3"/>
      <c r="F3802" s="3"/>
      <c r="G3802" s="9"/>
      <c r="H3802" s="10">
        <v>45678.614201388889</v>
      </c>
      <c r="I3802" s="10">
        <v>45678.614988425928</v>
      </c>
      <c r="J3802" s="10">
        <v>45678.616377314807</v>
      </c>
      <c r="K3802" s="11">
        <v>1.3888888888888889E-3</v>
      </c>
      <c r="L3802" s="13"/>
    </row>
    <row r="3803" spans="1:12" x14ac:dyDescent="0.25">
      <c r="A3803" s="3" t="s">
        <v>6718</v>
      </c>
      <c r="B3803" s="3" t="s">
        <v>7064</v>
      </c>
      <c r="C3803" s="3" t="s">
        <v>2308</v>
      </c>
      <c r="D3803" s="9">
        <v>15.7</v>
      </c>
      <c r="E3803" s="3"/>
      <c r="F3803" s="3"/>
      <c r="G3803" s="9"/>
      <c r="H3803" s="10">
        <v>45678.631168981483</v>
      </c>
      <c r="I3803" s="10">
        <v>45678.632002314807</v>
      </c>
      <c r="J3803" s="10">
        <v>45678.633530092593</v>
      </c>
      <c r="K3803" s="11">
        <v>1.5277777777777781E-3</v>
      </c>
      <c r="L3803" s="13"/>
    </row>
    <row r="3804" spans="1:12" x14ac:dyDescent="0.25">
      <c r="A3804" s="3" t="s">
        <v>6718</v>
      </c>
      <c r="B3804" s="3" t="s">
        <v>7065</v>
      </c>
      <c r="C3804" s="3" t="s">
        <v>2311</v>
      </c>
      <c r="D3804" s="9">
        <v>173.3</v>
      </c>
      <c r="E3804" s="3"/>
      <c r="F3804" s="3"/>
      <c r="G3804" s="9"/>
      <c r="H3804" s="10">
        <v>45678.632662037038</v>
      </c>
      <c r="I3804" s="10">
        <v>45678.633437500001</v>
      </c>
      <c r="J3804" s="10">
        <v>45678.634826388887</v>
      </c>
      <c r="K3804" s="11">
        <v>1.3888888888888889E-3</v>
      </c>
      <c r="L3804" s="13"/>
    </row>
    <row r="3805" spans="1:12" x14ac:dyDescent="0.25">
      <c r="A3805" s="3" t="s">
        <v>6718</v>
      </c>
      <c r="B3805" s="3" t="s">
        <v>7066</v>
      </c>
      <c r="C3805" s="3" t="s">
        <v>2317</v>
      </c>
      <c r="D3805" s="9">
        <v>209.9</v>
      </c>
      <c r="E3805" s="3"/>
      <c r="F3805" s="3"/>
      <c r="G3805" s="9"/>
      <c r="H3805" s="10">
        <v>45678.638518518521</v>
      </c>
      <c r="I3805" s="10">
        <v>45678.639363425929</v>
      </c>
      <c r="J3805" s="10">
        <v>45678.6408912037</v>
      </c>
      <c r="K3805" s="11">
        <v>1.5277777777777781E-3</v>
      </c>
      <c r="L3805" s="13"/>
    </row>
    <row r="3806" spans="1:12" x14ac:dyDescent="0.25">
      <c r="A3806" s="3" t="s">
        <v>6718</v>
      </c>
      <c r="B3806" s="3" t="s">
        <v>7067</v>
      </c>
      <c r="C3806" s="3" t="s">
        <v>2322</v>
      </c>
      <c r="D3806" s="9">
        <v>125.9</v>
      </c>
      <c r="E3806" s="3"/>
      <c r="F3806" s="3"/>
      <c r="G3806" s="9"/>
      <c r="H3806" s="10">
        <v>45678.64329861111</v>
      </c>
      <c r="I3806" s="10">
        <v>45678.644155092603</v>
      </c>
      <c r="J3806" s="10">
        <v>45678.645682870367</v>
      </c>
      <c r="K3806" s="11">
        <v>1.5277777777777781E-3</v>
      </c>
      <c r="L3806" s="13"/>
    </row>
    <row r="3807" spans="1:12" x14ac:dyDescent="0.25">
      <c r="A3807" s="3" t="s">
        <v>6718</v>
      </c>
      <c r="B3807" s="3" t="s">
        <v>7068</v>
      </c>
      <c r="C3807" s="3" t="s">
        <v>2325</v>
      </c>
      <c r="D3807" s="9">
        <v>187.4</v>
      </c>
      <c r="E3807" s="3"/>
      <c r="F3807" s="3"/>
      <c r="G3807" s="9"/>
      <c r="H3807" s="10">
        <v>45678.87777777778</v>
      </c>
      <c r="I3807" s="10">
        <v>45678.878645833327</v>
      </c>
      <c r="J3807" s="10">
        <v>45678.880173611113</v>
      </c>
      <c r="K3807" s="11">
        <v>1.5277777777777781E-3</v>
      </c>
      <c r="L3807" s="13"/>
    </row>
    <row r="3808" spans="1:12" x14ac:dyDescent="0.25">
      <c r="A3808" s="3" t="s">
        <v>6718</v>
      </c>
      <c r="B3808" s="3" t="s">
        <v>7069</v>
      </c>
      <c r="C3808" s="3" t="s">
        <v>2328</v>
      </c>
      <c r="D3808" s="9">
        <v>74.599999999999994</v>
      </c>
      <c r="E3808" s="3"/>
      <c r="F3808" s="3"/>
      <c r="G3808" s="9"/>
      <c r="H3808" s="10">
        <v>45679.115833333337</v>
      </c>
      <c r="I3808" s="10">
        <v>45679.116631944453</v>
      </c>
      <c r="J3808" s="10">
        <v>45679.118020833332</v>
      </c>
      <c r="K3808" s="11">
        <v>1.3888888888888889E-3</v>
      </c>
      <c r="L3808" s="13"/>
    </row>
    <row r="3809" spans="1:12" x14ac:dyDescent="0.25">
      <c r="A3809" s="3" t="s">
        <v>6718</v>
      </c>
      <c r="B3809" s="3" t="s">
        <v>7070</v>
      </c>
      <c r="C3809" s="3" t="s">
        <v>2333</v>
      </c>
      <c r="D3809" s="9">
        <v>47.2</v>
      </c>
      <c r="E3809" s="3"/>
      <c r="F3809" s="3"/>
      <c r="G3809" s="9"/>
      <c r="H3809" s="10">
        <v>45679.11928240741</v>
      </c>
      <c r="I3809" s="10">
        <v>45679.120069444441</v>
      </c>
      <c r="J3809" s="10">
        <v>45679.121458333328</v>
      </c>
      <c r="K3809" s="11">
        <v>1.3888888888888889E-3</v>
      </c>
      <c r="L3809" s="13"/>
    </row>
    <row r="3810" spans="1:12" x14ac:dyDescent="0.25">
      <c r="A3810" s="3" t="s">
        <v>6718</v>
      </c>
      <c r="B3810" s="3" t="s">
        <v>7071</v>
      </c>
      <c r="C3810" s="3" t="s">
        <v>2336</v>
      </c>
      <c r="D3810" s="9">
        <v>31.9</v>
      </c>
      <c r="E3810" s="3"/>
      <c r="F3810" s="3"/>
      <c r="G3810" s="9"/>
      <c r="H3810" s="10">
        <v>45679.12127314815</v>
      </c>
      <c r="I3810" s="10">
        <v>45679.122048611112</v>
      </c>
      <c r="J3810" s="10">
        <v>45679.123437499999</v>
      </c>
      <c r="K3810" s="11">
        <v>1.3888888888888889E-3</v>
      </c>
      <c r="L3810" s="13"/>
    </row>
    <row r="3811" spans="1:12" x14ac:dyDescent="0.25">
      <c r="A3811" s="3" t="s">
        <v>6718</v>
      </c>
      <c r="B3811" s="3" t="s">
        <v>7072</v>
      </c>
      <c r="C3811" s="3" t="s">
        <v>2339</v>
      </c>
      <c r="D3811" s="9">
        <v>366.6</v>
      </c>
      <c r="E3811" s="3"/>
      <c r="F3811" s="3"/>
      <c r="G3811" s="9"/>
      <c r="H3811" s="10">
        <v>45679.201736111107</v>
      </c>
      <c r="I3811" s="10">
        <v>45679.202604166669</v>
      </c>
      <c r="J3811" s="10">
        <v>45679.204131944447</v>
      </c>
      <c r="K3811" s="11">
        <v>1.5277777777777781E-3</v>
      </c>
      <c r="L3811" s="13"/>
    </row>
    <row r="3812" spans="1:12" x14ac:dyDescent="0.25">
      <c r="A3812" s="3" t="s">
        <v>6718</v>
      </c>
      <c r="B3812" s="3" t="s">
        <v>7073</v>
      </c>
      <c r="C3812" s="3" t="s">
        <v>2341</v>
      </c>
      <c r="D3812" s="9">
        <v>291.7</v>
      </c>
      <c r="E3812" s="3"/>
      <c r="F3812" s="3"/>
      <c r="G3812" s="9"/>
      <c r="H3812" s="10">
        <v>45679.275243055563</v>
      </c>
      <c r="I3812" s="10">
        <v>45679.27611111111</v>
      </c>
      <c r="J3812" s="10">
        <v>45679.277638888889</v>
      </c>
      <c r="K3812" s="11">
        <v>1.5277777777777781E-3</v>
      </c>
      <c r="L3812" s="13"/>
    </row>
    <row r="3813" spans="1:12" x14ac:dyDescent="0.25">
      <c r="A3813" s="3" t="s">
        <v>6718</v>
      </c>
      <c r="B3813" s="3" t="s">
        <v>7074</v>
      </c>
      <c r="C3813" s="3" t="s">
        <v>2344</v>
      </c>
      <c r="D3813" s="9">
        <v>81</v>
      </c>
      <c r="E3813" s="3"/>
      <c r="F3813" s="3"/>
      <c r="G3813" s="9"/>
      <c r="H3813" s="10">
        <v>45679.303831018522</v>
      </c>
      <c r="I3813" s="10">
        <v>45679.304699074077</v>
      </c>
      <c r="J3813" s="10">
        <v>45679.306226851862</v>
      </c>
      <c r="K3813" s="11">
        <v>1.5277777777777781E-3</v>
      </c>
      <c r="L3813" s="13"/>
    </row>
    <row r="3814" spans="1:12" x14ac:dyDescent="0.25">
      <c r="A3814" s="3" t="s">
        <v>6718</v>
      </c>
      <c r="B3814" s="3" t="s">
        <v>7075</v>
      </c>
      <c r="C3814" s="3" t="s">
        <v>2347</v>
      </c>
      <c r="D3814" s="9">
        <v>19.899999999999999</v>
      </c>
      <c r="E3814" s="3"/>
      <c r="F3814" s="3"/>
      <c r="G3814" s="9"/>
      <c r="H3814" s="10">
        <v>45679.305787037039</v>
      </c>
      <c r="I3814" s="10">
        <v>45679.306562500002</v>
      </c>
      <c r="J3814" s="10">
        <v>45679.307951388888</v>
      </c>
      <c r="K3814" s="11">
        <v>1.3888888888888889E-3</v>
      </c>
      <c r="L3814" s="13"/>
    </row>
    <row r="3815" spans="1:12" x14ac:dyDescent="0.25">
      <c r="A3815" s="3" t="s">
        <v>6718</v>
      </c>
      <c r="B3815" s="3" t="s">
        <v>7076</v>
      </c>
      <c r="C3815" s="3" t="s">
        <v>2349</v>
      </c>
      <c r="D3815" s="9">
        <v>15.7</v>
      </c>
      <c r="E3815" s="3"/>
      <c r="F3815" s="3"/>
      <c r="G3815" s="9"/>
      <c r="H3815" s="10">
        <v>45679.30740740741</v>
      </c>
      <c r="I3815" s="10">
        <v>45679.308275462958</v>
      </c>
      <c r="J3815" s="10">
        <v>45679.309803240743</v>
      </c>
      <c r="K3815" s="11">
        <v>1.5277777777777781E-3</v>
      </c>
      <c r="L3815" s="13"/>
    </row>
    <row r="3816" spans="1:12" x14ac:dyDescent="0.25">
      <c r="A3816" s="3" t="s">
        <v>6718</v>
      </c>
      <c r="B3816" s="3" t="s">
        <v>7077</v>
      </c>
      <c r="C3816" s="3" t="s">
        <v>2352</v>
      </c>
      <c r="D3816" s="9">
        <v>19.899999999999999</v>
      </c>
      <c r="E3816" s="3"/>
      <c r="F3816" s="3"/>
      <c r="G3816" s="9"/>
      <c r="H3816" s="10">
        <v>45679.309328703697</v>
      </c>
      <c r="I3816" s="10">
        <v>45679.310104166667</v>
      </c>
      <c r="J3816" s="10">
        <v>45679.311493055553</v>
      </c>
      <c r="K3816" s="11">
        <v>1.3888888888888889E-3</v>
      </c>
      <c r="L3816" s="13"/>
    </row>
    <row r="3817" spans="1:12" x14ac:dyDescent="0.25">
      <c r="A3817" s="3" t="s">
        <v>6718</v>
      </c>
      <c r="B3817" s="3" t="s">
        <v>7078</v>
      </c>
      <c r="C3817" s="3" t="s">
        <v>2358</v>
      </c>
      <c r="D3817" s="9">
        <v>15.7</v>
      </c>
      <c r="E3817" s="3"/>
      <c r="F3817" s="3"/>
      <c r="G3817" s="9"/>
      <c r="H3817" s="10">
        <v>45679.315057870372</v>
      </c>
      <c r="I3817" s="10">
        <v>45679.315891203703</v>
      </c>
      <c r="J3817" s="10">
        <v>45679.317418981482</v>
      </c>
      <c r="K3817" s="11">
        <v>1.5277777777777781E-3</v>
      </c>
      <c r="L3817" s="13"/>
    </row>
    <row r="3818" spans="1:12" x14ac:dyDescent="0.25">
      <c r="A3818" s="3" t="s">
        <v>6718</v>
      </c>
      <c r="B3818" s="3" t="s">
        <v>7079</v>
      </c>
      <c r="C3818" s="3" t="s">
        <v>2366</v>
      </c>
      <c r="D3818" s="9">
        <v>15.7</v>
      </c>
      <c r="E3818" s="3"/>
      <c r="F3818" s="3"/>
      <c r="G3818" s="9"/>
      <c r="H3818" s="10">
        <v>45679.320763888893</v>
      </c>
      <c r="I3818" s="10">
        <v>45679.321631944447</v>
      </c>
      <c r="J3818" s="10">
        <v>45679.323159722233</v>
      </c>
      <c r="K3818" s="11">
        <v>1.5277777777777781E-3</v>
      </c>
      <c r="L3818" s="13"/>
    </row>
    <row r="3819" spans="1:12" x14ac:dyDescent="0.25">
      <c r="A3819" s="3" t="s">
        <v>6718</v>
      </c>
      <c r="B3819" s="3" t="s">
        <v>7080</v>
      </c>
      <c r="C3819" s="3" t="s">
        <v>2371</v>
      </c>
      <c r="D3819" s="9">
        <v>114.8</v>
      </c>
      <c r="E3819" s="3"/>
      <c r="F3819" s="3"/>
      <c r="G3819" s="9"/>
      <c r="H3819" s="10">
        <v>45679.359606481477</v>
      </c>
      <c r="I3819" s="10">
        <v>45679.360474537039</v>
      </c>
      <c r="J3819" s="10">
        <v>45679.362002314818</v>
      </c>
      <c r="K3819" s="11">
        <v>1.5277777777777781E-3</v>
      </c>
      <c r="L3819" s="13"/>
    </row>
    <row r="3820" spans="1:12" x14ac:dyDescent="0.25">
      <c r="A3820" s="3" t="s">
        <v>6718</v>
      </c>
      <c r="B3820" s="3" t="s">
        <v>7081</v>
      </c>
      <c r="C3820" s="3" t="s">
        <v>2378</v>
      </c>
      <c r="D3820" s="9">
        <v>179.2</v>
      </c>
      <c r="E3820" s="3"/>
      <c r="F3820" s="3"/>
      <c r="G3820" s="9"/>
      <c r="H3820" s="10">
        <v>45679.404456018521</v>
      </c>
      <c r="I3820" s="10">
        <v>45679.405324074083</v>
      </c>
      <c r="J3820" s="10">
        <v>45679.406851851847</v>
      </c>
      <c r="K3820" s="11">
        <v>1.5277777777777781E-3</v>
      </c>
      <c r="L3820" s="13"/>
    </row>
    <row r="3821" spans="1:12" x14ac:dyDescent="0.25">
      <c r="A3821" s="3" t="s">
        <v>6718</v>
      </c>
      <c r="B3821" s="3" t="s">
        <v>7082</v>
      </c>
      <c r="C3821" s="3" t="s">
        <v>2392</v>
      </c>
      <c r="D3821" s="9">
        <v>56</v>
      </c>
      <c r="E3821" s="3"/>
      <c r="F3821" s="3"/>
      <c r="G3821" s="9"/>
      <c r="H3821" s="10">
        <v>45679.417083333326</v>
      </c>
      <c r="I3821" s="10">
        <v>45679.417951388888</v>
      </c>
      <c r="J3821" s="10">
        <v>45679.419479166667</v>
      </c>
      <c r="K3821" s="11">
        <v>1.5277777777777781E-3</v>
      </c>
      <c r="L3821" s="13"/>
    </row>
    <row r="3822" spans="1:12" x14ac:dyDescent="0.25">
      <c r="A3822" s="3" t="s">
        <v>6718</v>
      </c>
      <c r="B3822" s="3" t="s">
        <v>7083</v>
      </c>
      <c r="C3822" s="3" t="s">
        <v>2395</v>
      </c>
      <c r="D3822" s="9">
        <v>53.8</v>
      </c>
      <c r="E3822" s="3"/>
      <c r="F3822" s="3"/>
      <c r="G3822" s="9"/>
      <c r="H3822" s="10">
        <v>45679.418900462973</v>
      </c>
      <c r="I3822" s="10">
        <v>45679.419675925928</v>
      </c>
      <c r="J3822" s="10">
        <v>45679.421064814807</v>
      </c>
      <c r="K3822" s="11">
        <v>1.3888888888888889E-3</v>
      </c>
      <c r="L3822" s="13"/>
    </row>
    <row r="3823" spans="1:12" x14ac:dyDescent="0.25">
      <c r="A3823" s="3" t="s">
        <v>6718</v>
      </c>
      <c r="B3823" s="3" t="s">
        <v>7084</v>
      </c>
      <c r="C3823" s="3" t="s">
        <v>2398</v>
      </c>
      <c r="D3823" s="9">
        <v>446.2</v>
      </c>
      <c r="E3823" s="3"/>
      <c r="F3823" s="3"/>
      <c r="G3823" s="9"/>
      <c r="H3823" s="10">
        <v>45679.444131944438</v>
      </c>
      <c r="I3823" s="10">
        <v>45679.444976851853</v>
      </c>
      <c r="J3823" s="10">
        <v>45679.446504629632</v>
      </c>
      <c r="K3823" s="11">
        <v>1.5277777777777781E-3</v>
      </c>
      <c r="L3823" s="13"/>
    </row>
    <row r="3824" spans="1:12" x14ac:dyDescent="0.25">
      <c r="A3824" s="3" t="s">
        <v>6718</v>
      </c>
      <c r="B3824" s="3" t="s">
        <v>7085</v>
      </c>
      <c r="C3824" s="3" t="s">
        <v>2401</v>
      </c>
      <c r="D3824" s="9">
        <v>33.9</v>
      </c>
      <c r="E3824" s="3"/>
      <c r="F3824" s="3"/>
      <c r="G3824" s="9"/>
      <c r="H3824" s="10">
        <v>45679.548217592594</v>
      </c>
      <c r="I3824" s="10">
        <v>45679.549085648148</v>
      </c>
      <c r="J3824" s="10">
        <v>45679.550613425927</v>
      </c>
      <c r="K3824" s="11">
        <v>1.5277777777777781E-3</v>
      </c>
      <c r="L3824" s="13"/>
    </row>
    <row r="3825" spans="1:12" x14ac:dyDescent="0.25">
      <c r="A3825" s="3" t="s">
        <v>6718</v>
      </c>
      <c r="B3825" s="3" t="s">
        <v>7086</v>
      </c>
      <c r="C3825" s="3" t="s">
        <v>2404</v>
      </c>
      <c r="D3825" s="9">
        <v>63</v>
      </c>
      <c r="E3825" s="3"/>
      <c r="F3825" s="3"/>
      <c r="G3825" s="9"/>
      <c r="H3825" s="10">
        <v>45679.640393518523</v>
      </c>
      <c r="I3825" s="10">
        <v>45679.641192129631</v>
      </c>
      <c r="J3825" s="10">
        <v>45679.642581018517</v>
      </c>
      <c r="K3825" s="11">
        <v>1.3888888888888889E-3</v>
      </c>
      <c r="L3825" s="13"/>
    </row>
    <row r="3826" spans="1:12" x14ac:dyDescent="0.25">
      <c r="A3826" s="3" t="s">
        <v>6718</v>
      </c>
      <c r="B3826" s="3" t="s">
        <v>7087</v>
      </c>
      <c r="C3826" s="3" t="s">
        <v>2410</v>
      </c>
      <c r="D3826" s="9">
        <v>54.7</v>
      </c>
      <c r="E3826" s="3"/>
      <c r="F3826" s="3"/>
      <c r="G3826" s="9"/>
      <c r="H3826" s="10">
        <v>45679.748877314807</v>
      </c>
      <c r="I3826" s="10">
        <v>45679.749745370369</v>
      </c>
      <c r="J3826" s="10">
        <v>45679.751273148147</v>
      </c>
      <c r="K3826" s="11">
        <v>1.5277777777777781E-3</v>
      </c>
      <c r="L3826" s="13"/>
    </row>
    <row r="3827" spans="1:12" x14ac:dyDescent="0.25">
      <c r="A3827" s="3" t="s">
        <v>6718</v>
      </c>
      <c r="B3827" s="3" t="s">
        <v>7088</v>
      </c>
      <c r="C3827" s="3" t="s">
        <v>2417</v>
      </c>
      <c r="D3827" s="9">
        <v>19.899999999999999</v>
      </c>
      <c r="E3827" s="3"/>
      <c r="F3827" s="3"/>
      <c r="G3827" s="9"/>
      <c r="H3827" s="10">
        <v>45679.754050925927</v>
      </c>
      <c r="I3827" s="10">
        <v>45679.754837962973</v>
      </c>
      <c r="J3827" s="10">
        <v>45679.756226851852</v>
      </c>
      <c r="K3827" s="11">
        <v>1.3888888888888889E-3</v>
      </c>
      <c r="L3827" s="13"/>
    </row>
    <row r="3828" spans="1:12" x14ac:dyDescent="0.25">
      <c r="A3828" s="3" t="s">
        <v>6718</v>
      </c>
      <c r="B3828" s="3" t="s">
        <v>7089</v>
      </c>
      <c r="C3828" s="3" t="s">
        <v>2421</v>
      </c>
      <c r="D3828" s="9">
        <v>295.39999999999998</v>
      </c>
      <c r="E3828" s="3"/>
      <c r="F3828" s="3"/>
      <c r="G3828" s="9"/>
      <c r="H3828" s="10">
        <v>45679.758206018523</v>
      </c>
      <c r="I3828" s="10">
        <v>45679.759074074071</v>
      </c>
      <c r="J3828" s="10">
        <v>45679.760601851849</v>
      </c>
      <c r="K3828" s="11">
        <v>1.5277777777777781E-3</v>
      </c>
      <c r="L3828" s="13"/>
    </row>
    <row r="3829" spans="1:12" x14ac:dyDescent="0.25">
      <c r="A3829" s="3" t="s">
        <v>6718</v>
      </c>
      <c r="B3829" s="3" t="s">
        <v>7090</v>
      </c>
      <c r="C3829" s="3" t="s">
        <v>2425</v>
      </c>
      <c r="D3829" s="9">
        <v>19.899999999999999</v>
      </c>
      <c r="E3829" s="3"/>
      <c r="F3829" s="3"/>
      <c r="G3829" s="9"/>
      <c r="H3829" s="10">
        <v>45679.76121527778</v>
      </c>
      <c r="I3829" s="10">
        <v>45679.762083333328</v>
      </c>
      <c r="J3829" s="10">
        <v>45679.763611111113</v>
      </c>
      <c r="K3829" s="11">
        <v>1.5277777777777781E-3</v>
      </c>
      <c r="L3829" s="13"/>
    </row>
    <row r="3830" spans="1:12" x14ac:dyDescent="0.25">
      <c r="A3830" s="3" t="s">
        <v>6718</v>
      </c>
      <c r="B3830" s="3" t="s">
        <v>7091</v>
      </c>
      <c r="C3830" s="3" t="s">
        <v>2431</v>
      </c>
      <c r="D3830" s="9">
        <v>93</v>
      </c>
      <c r="E3830" s="3"/>
      <c r="F3830" s="3"/>
      <c r="G3830" s="9"/>
      <c r="H3830" s="10">
        <v>45679.852118055547</v>
      </c>
      <c r="I3830" s="10">
        <v>45679.852986111109</v>
      </c>
      <c r="J3830" s="10">
        <v>45679.854513888888</v>
      </c>
      <c r="K3830" s="11">
        <v>1.5277777777777781E-3</v>
      </c>
      <c r="L3830" s="13"/>
    </row>
    <row r="3831" spans="1:12" x14ac:dyDescent="0.25">
      <c r="A3831" s="3" t="s">
        <v>6718</v>
      </c>
      <c r="B3831" s="3" t="s">
        <v>7092</v>
      </c>
      <c r="C3831" s="3" t="s">
        <v>2434</v>
      </c>
      <c r="D3831" s="9">
        <v>19.899999999999999</v>
      </c>
      <c r="E3831" s="3"/>
      <c r="F3831" s="3"/>
      <c r="G3831" s="9"/>
      <c r="H3831" s="10">
        <v>45679.853738425933</v>
      </c>
      <c r="I3831" s="10">
        <v>45679.854525462957</v>
      </c>
      <c r="J3831" s="10">
        <v>45679.855914351851</v>
      </c>
      <c r="K3831" s="11">
        <v>1.3888888888888889E-3</v>
      </c>
      <c r="L3831" s="13"/>
    </row>
    <row r="3832" spans="1:12" x14ac:dyDescent="0.25">
      <c r="A3832" s="3" t="s">
        <v>6718</v>
      </c>
      <c r="B3832" s="3" t="s">
        <v>7093</v>
      </c>
      <c r="C3832" s="3" t="s">
        <v>2442</v>
      </c>
      <c r="D3832" s="9">
        <v>31.5</v>
      </c>
      <c r="E3832" s="3"/>
      <c r="F3832" s="3"/>
      <c r="G3832" s="9"/>
      <c r="H3832" s="10">
        <v>45679.860868055563</v>
      </c>
      <c r="I3832" s="10">
        <v>45679.86173611111</v>
      </c>
      <c r="J3832" s="10">
        <v>45679.863263888888</v>
      </c>
      <c r="K3832" s="11">
        <v>1.5277777777777781E-3</v>
      </c>
      <c r="L3832" s="13"/>
    </row>
    <row r="3833" spans="1:12" x14ac:dyDescent="0.25">
      <c r="A3833" s="3" t="s">
        <v>6718</v>
      </c>
      <c r="B3833" s="3" t="s">
        <v>7094</v>
      </c>
      <c r="C3833" s="3" t="s">
        <v>2449</v>
      </c>
      <c r="D3833" s="9">
        <v>123.8</v>
      </c>
      <c r="E3833" s="3"/>
      <c r="F3833" s="3"/>
      <c r="G3833" s="9"/>
      <c r="H3833" s="10">
        <v>45680.124849537038</v>
      </c>
      <c r="I3833" s="10">
        <v>45680.125717592593</v>
      </c>
      <c r="J3833" s="10">
        <v>45680.127245370371</v>
      </c>
      <c r="K3833" s="11">
        <v>1.5277777777777781E-3</v>
      </c>
      <c r="L3833" s="13"/>
    </row>
    <row r="3834" spans="1:12" x14ac:dyDescent="0.25">
      <c r="A3834" s="3" t="s">
        <v>6718</v>
      </c>
      <c r="B3834" s="3" t="s">
        <v>7095</v>
      </c>
      <c r="C3834" s="3" t="s">
        <v>2451</v>
      </c>
      <c r="D3834" s="9">
        <v>107.9</v>
      </c>
      <c r="E3834" s="3"/>
      <c r="F3834" s="3"/>
      <c r="G3834" s="9"/>
      <c r="H3834" s="10">
        <v>45680.127013888887</v>
      </c>
      <c r="I3834" s="10">
        <v>45680.127812500003</v>
      </c>
      <c r="J3834" s="10">
        <v>45680.129201388889</v>
      </c>
      <c r="K3834" s="11">
        <v>1.3888888888888889E-3</v>
      </c>
      <c r="L3834" s="13"/>
    </row>
    <row r="3835" spans="1:12" x14ac:dyDescent="0.25">
      <c r="A3835" s="3" t="s">
        <v>6718</v>
      </c>
      <c r="B3835" s="3" t="s">
        <v>7096</v>
      </c>
      <c r="C3835" s="3" t="s">
        <v>2454</v>
      </c>
      <c r="D3835" s="9">
        <v>15.7</v>
      </c>
      <c r="E3835" s="3"/>
      <c r="F3835" s="3"/>
      <c r="G3835" s="9"/>
      <c r="H3835" s="10">
        <v>45680.128935185188</v>
      </c>
      <c r="I3835" s="10">
        <v>45680.129803240743</v>
      </c>
      <c r="J3835" s="10">
        <v>45680.131331018521</v>
      </c>
      <c r="K3835" s="11">
        <v>1.5277777777777781E-3</v>
      </c>
      <c r="L3835" s="13"/>
    </row>
    <row r="3836" spans="1:12" x14ac:dyDescent="0.25">
      <c r="A3836" s="3" t="s">
        <v>6718</v>
      </c>
      <c r="B3836" s="3" t="s">
        <v>7097</v>
      </c>
      <c r="C3836" s="3" t="s">
        <v>2457</v>
      </c>
      <c r="D3836" s="9">
        <v>63</v>
      </c>
      <c r="E3836" s="3"/>
      <c r="F3836" s="3"/>
      <c r="G3836" s="9"/>
      <c r="H3836" s="10">
        <v>45680.130208333343</v>
      </c>
      <c r="I3836" s="10">
        <v>45680.130995370368</v>
      </c>
      <c r="J3836" s="10">
        <v>45680.132384259261</v>
      </c>
      <c r="K3836" s="11">
        <v>1.3888888888888889E-3</v>
      </c>
      <c r="L3836" s="13"/>
    </row>
    <row r="3837" spans="1:12" x14ac:dyDescent="0.25">
      <c r="A3837" s="3" t="s">
        <v>6718</v>
      </c>
      <c r="B3837" s="3" t="s">
        <v>7098</v>
      </c>
      <c r="C3837" s="3" t="s">
        <v>2460</v>
      </c>
      <c r="D3837" s="9">
        <v>144.4</v>
      </c>
      <c r="E3837" s="3"/>
      <c r="F3837" s="3"/>
      <c r="G3837" s="9"/>
      <c r="H3837" s="10">
        <v>45680.272175925929</v>
      </c>
      <c r="I3837" s="10">
        <v>45680.273032407407</v>
      </c>
      <c r="J3837" s="10">
        <v>45680.274560185193</v>
      </c>
      <c r="K3837" s="11">
        <v>1.5277777777777781E-3</v>
      </c>
      <c r="L3837" s="13"/>
    </row>
    <row r="3838" spans="1:12" x14ac:dyDescent="0.25">
      <c r="A3838" s="3" t="s">
        <v>6718</v>
      </c>
      <c r="B3838" s="3" t="s">
        <v>7099</v>
      </c>
      <c r="C3838" s="3" t="s">
        <v>2463</v>
      </c>
      <c r="D3838" s="9">
        <v>12</v>
      </c>
      <c r="E3838" s="3"/>
      <c r="F3838" s="3"/>
      <c r="G3838" s="9"/>
      <c r="H3838" s="10">
        <v>45680.298171296286</v>
      </c>
      <c r="I3838" s="10">
        <v>45680.299016203702</v>
      </c>
      <c r="J3838" s="10">
        <v>45680.300543981481</v>
      </c>
      <c r="K3838" s="11">
        <v>1.5277777777777781E-3</v>
      </c>
      <c r="L3838" s="13"/>
    </row>
    <row r="3839" spans="1:12" x14ac:dyDescent="0.25">
      <c r="A3839" s="3" t="s">
        <v>6718</v>
      </c>
      <c r="B3839" s="3" t="s">
        <v>7100</v>
      </c>
      <c r="C3839" s="3" t="s">
        <v>2468</v>
      </c>
      <c r="D3839" s="9">
        <v>63</v>
      </c>
      <c r="E3839" s="3"/>
      <c r="F3839" s="3"/>
      <c r="G3839" s="9"/>
      <c r="H3839" s="10">
        <v>45680.301446759258</v>
      </c>
      <c r="I3839" s="10">
        <v>45680.302291666667</v>
      </c>
      <c r="J3839" s="10">
        <v>45680.303819444453</v>
      </c>
      <c r="K3839" s="11">
        <v>1.5277777777777781E-3</v>
      </c>
      <c r="L3839" s="13"/>
    </row>
    <row r="3840" spans="1:12" x14ac:dyDescent="0.25">
      <c r="A3840" s="3" t="s">
        <v>6718</v>
      </c>
      <c r="B3840" s="3" t="s">
        <v>7101</v>
      </c>
      <c r="C3840" s="3" t="s">
        <v>2480</v>
      </c>
      <c r="D3840" s="9">
        <v>177.8</v>
      </c>
      <c r="E3840" s="3"/>
      <c r="F3840" s="3"/>
      <c r="G3840" s="9"/>
      <c r="H3840" s="10">
        <v>45680.373449074083</v>
      </c>
      <c r="I3840" s="10">
        <v>45680.374282407407</v>
      </c>
      <c r="J3840" s="10">
        <v>45680.375810185193</v>
      </c>
      <c r="K3840" s="11">
        <v>1.5277777777777781E-3</v>
      </c>
      <c r="L3840" s="13"/>
    </row>
    <row r="3841" spans="1:12" x14ac:dyDescent="0.25">
      <c r="A3841" s="3" t="s">
        <v>6718</v>
      </c>
      <c r="B3841" s="3" t="s">
        <v>7102</v>
      </c>
      <c r="C3841" s="3" t="s">
        <v>2482</v>
      </c>
      <c r="D3841" s="9">
        <v>218.7</v>
      </c>
      <c r="E3841" s="3"/>
      <c r="F3841" s="3"/>
      <c r="G3841" s="9"/>
      <c r="H3841" s="10">
        <v>45680.375648148147</v>
      </c>
      <c r="I3841" s="10">
        <v>45680.376516203702</v>
      </c>
      <c r="J3841" s="10">
        <v>45680.37804398148</v>
      </c>
      <c r="K3841" s="11">
        <v>1.5277777777777781E-3</v>
      </c>
      <c r="L3841" s="13"/>
    </row>
    <row r="3842" spans="1:12" x14ac:dyDescent="0.25">
      <c r="A3842" s="3" t="s">
        <v>6718</v>
      </c>
      <c r="B3842" s="3" t="s">
        <v>7103</v>
      </c>
      <c r="C3842" s="3" t="s">
        <v>2485</v>
      </c>
      <c r="D3842" s="9">
        <v>28</v>
      </c>
      <c r="E3842" s="3"/>
      <c r="F3842" s="3"/>
      <c r="G3842" s="9"/>
      <c r="H3842" s="10">
        <v>45680.399675925917</v>
      </c>
      <c r="I3842" s="10">
        <v>45680.400543981479</v>
      </c>
      <c r="J3842" s="10">
        <v>45680.402071759258</v>
      </c>
      <c r="K3842" s="11">
        <v>1.5277777777777781E-3</v>
      </c>
      <c r="L3842" s="13"/>
    </row>
    <row r="3843" spans="1:12" x14ac:dyDescent="0.25">
      <c r="A3843" s="3" t="s">
        <v>6718</v>
      </c>
      <c r="B3843" s="3" t="s">
        <v>7104</v>
      </c>
      <c r="C3843" s="3" t="s">
        <v>2488</v>
      </c>
      <c r="D3843" s="9">
        <v>15.7</v>
      </c>
      <c r="E3843" s="3"/>
      <c r="F3843" s="3"/>
      <c r="G3843" s="9"/>
      <c r="H3843" s="10">
        <v>45680.401400462957</v>
      </c>
      <c r="I3843" s="10">
        <v>45680.402233796303</v>
      </c>
      <c r="J3843" s="10">
        <v>45680.403761574067</v>
      </c>
      <c r="K3843" s="11">
        <v>1.5277777777777781E-3</v>
      </c>
      <c r="L3843" s="13"/>
    </row>
    <row r="3844" spans="1:12" x14ac:dyDescent="0.25">
      <c r="A3844" s="3" t="s">
        <v>6718</v>
      </c>
      <c r="B3844" s="3" t="s">
        <v>7105</v>
      </c>
      <c r="C3844" s="3" t="s">
        <v>2503</v>
      </c>
      <c r="D3844" s="9">
        <v>15.7</v>
      </c>
      <c r="E3844" s="3"/>
      <c r="F3844" s="3"/>
      <c r="G3844" s="9"/>
      <c r="H3844" s="10">
        <v>45680.413032407407</v>
      </c>
      <c r="I3844" s="10">
        <v>45680.4137962963</v>
      </c>
      <c r="J3844" s="10">
        <v>45680.415185185193</v>
      </c>
      <c r="K3844" s="11">
        <v>1.3888888888888889E-3</v>
      </c>
      <c r="L3844" s="13"/>
    </row>
    <row r="3845" spans="1:12" x14ac:dyDescent="0.25">
      <c r="A3845" s="3" t="s">
        <v>6718</v>
      </c>
      <c r="B3845" s="3" t="s">
        <v>7106</v>
      </c>
      <c r="C3845" s="3" t="s">
        <v>2506</v>
      </c>
      <c r="D3845" s="9">
        <v>155.9</v>
      </c>
      <c r="E3845" s="3"/>
      <c r="F3845" s="3"/>
      <c r="G3845" s="9"/>
      <c r="H3845" s="10">
        <v>45680.415277777778</v>
      </c>
      <c r="I3845" s="10">
        <v>45680.416145833333</v>
      </c>
      <c r="J3845" s="10">
        <v>45680.417673611111</v>
      </c>
      <c r="K3845" s="11">
        <v>1.5277777777777781E-3</v>
      </c>
      <c r="L3845" s="13"/>
    </row>
    <row r="3846" spans="1:12" x14ac:dyDescent="0.25">
      <c r="A3846" s="3" t="s">
        <v>6718</v>
      </c>
      <c r="B3846" s="3" t="s">
        <v>7107</v>
      </c>
      <c r="C3846" s="3" t="s">
        <v>6456</v>
      </c>
      <c r="D3846" s="9">
        <v>407.8</v>
      </c>
      <c r="E3846" s="3"/>
      <c r="F3846" s="3"/>
      <c r="G3846" s="9"/>
      <c r="H3846" s="10">
        <v>45680.451493055552</v>
      </c>
      <c r="I3846" s="10">
        <v>45680.452337962961</v>
      </c>
      <c r="J3846" s="10">
        <v>45680.453865740739</v>
      </c>
      <c r="K3846" s="11">
        <v>1.5277777777777781E-3</v>
      </c>
      <c r="L3846" s="13"/>
    </row>
    <row r="3847" spans="1:12" x14ac:dyDescent="0.25">
      <c r="A3847" s="3" t="s">
        <v>6718</v>
      </c>
      <c r="B3847" s="3" t="s">
        <v>7108</v>
      </c>
      <c r="C3847" s="3" t="s">
        <v>2519</v>
      </c>
      <c r="D3847" s="9">
        <v>396.6</v>
      </c>
      <c r="E3847" s="3"/>
      <c r="F3847" s="3"/>
      <c r="G3847" s="9"/>
      <c r="H3847" s="10">
        <v>45680.613252314812</v>
      </c>
      <c r="I3847" s="10">
        <v>45680.61409722222</v>
      </c>
      <c r="J3847" s="10">
        <v>45680.615624999999</v>
      </c>
      <c r="K3847" s="11">
        <v>1.5277777777777781E-3</v>
      </c>
      <c r="L3847" s="13"/>
    </row>
    <row r="3848" spans="1:12" x14ac:dyDescent="0.25">
      <c r="A3848" s="3" t="s">
        <v>6718</v>
      </c>
      <c r="B3848" s="3" t="s">
        <v>7109</v>
      </c>
      <c r="C3848" s="3" t="s">
        <v>2522</v>
      </c>
      <c r="D3848" s="9">
        <v>35.6</v>
      </c>
      <c r="E3848" s="3"/>
      <c r="F3848" s="3"/>
      <c r="G3848" s="9"/>
      <c r="H3848" s="10">
        <v>45680.628842592603</v>
      </c>
      <c r="I3848" s="10">
        <v>45680.629675925928</v>
      </c>
      <c r="J3848" s="10">
        <v>45680.631203703713</v>
      </c>
      <c r="K3848" s="11">
        <v>1.5277777777777781E-3</v>
      </c>
      <c r="L3848" s="13"/>
    </row>
    <row r="3849" spans="1:12" x14ac:dyDescent="0.25">
      <c r="A3849" s="3" t="s">
        <v>6718</v>
      </c>
      <c r="B3849" s="3" t="s">
        <v>7110</v>
      </c>
      <c r="C3849" s="3" t="s">
        <v>2525</v>
      </c>
      <c r="D3849" s="9">
        <v>31.9</v>
      </c>
      <c r="E3849" s="3"/>
      <c r="F3849" s="3"/>
      <c r="G3849" s="9"/>
      <c r="H3849" s="10">
        <v>45680.630798611113</v>
      </c>
      <c r="I3849" s="10">
        <v>45680.631666666668</v>
      </c>
      <c r="J3849" s="10">
        <v>45680.633194444446</v>
      </c>
      <c r="K3849" s="11">
        <v>1.5277777777777781E-3</v>
      </c>
      <c r="L3849" s="13"/>
    </row>
    <row r="3850" spans="1:12" x14ac:dyDescent="0.25">
      <c r="A3850" s="3" t="s">
        <v>6718</v>
      </c>
      <c r="B3850" s="3" t="s">
        <v>7111</v>
      </c>
      <c r="C3850" s="3" t="s">
        <v>2534</v>
      </c>
      <c r="D3850" s="9">
        <v>15.7</v>
      </c>
      <c r="E3850" s="3"/>
      <c r="F3850" s="3"/>
      <c r="G3850" s="9"/>
      <c r="H3850" s="10">
        <v>45680.638229166667</v>
      </c>
      <c r="I3850" s="10">
        <v>45680.639074074083</v>
      </c>
      <c r="J3850" s="10">
        <v>45680.640601851846</v>
      </c>
      <c r="K3850" s="11">
        <v>1.5277777777777781E-3</v>
      </c>
      <c r="L3850" s="13"/>
    </row>
    <row r="3851" spans="1:12" x14ac:dyDescent="0.25">
      <c r="A3851" s="3" t="s">
        <v>6718</v>
      </c>
      <c r="B3851" s="3" t="s">
        <v>7112</v>
      </c>
      <c r="C3851" s="3" t="s">
        <v>2543</v>
      </c>
      <c r="D3851" s="9">
        <v>21</v>
      </c>
      <c r="E3851" s="3"/>
      <c r="F3851" s="3"/>
      <c r="G3851" s="9"/>
      <c r="H3851" s="10">
        <v>45680.730497685188</v>
      </c>
      <c r="I3851" s="10">
        <v>45680.73133101852</v>
      </c>
      <c r="J3851" s="10">
        <v>45680.732858796298</v>
      </c>
      <c r="K3851" s="11">
        <v>1.5277777777777781E-3</v>
      </c>
      <c r="L3851" s="13"/>
    </row>
    <row r="3852" spans="1:12" x14ac:dyDescent="0.25">
      <c r="A3852" s="3" t="s">
        <v>6718</v>
      </c>
      <c r="B3852" s="3" t="s">
        <v>7113</v>
      </c>
      <c r="C3852" s="3" t="s">
        <v>2550</v>
      </c>
      <c r="D3852" s="9">
        <v>27</v>
      </c>
      <c r="E3852" s="3"/>
      <c r="F3852" s="3"/>
      <c r="G3852" s="9"/>
      <c r="H3852" s="10">
        <v>45680.735567129632</v>
      </c>
      <c r="I3852" s="10">
        <v>45680.736354166656</v>
      </c>
      <c r="J3852" s="10">
        <v>45680.737743055557</v>
      </c>
      <c r="K3852" s="11">
        <v>1.3888888888888889E-3</v>
      </c>
      <c r="L3852" s="13"/>
    </row>
    <row r="3853" spans="1:12" x14ac:dyDescent="0.25">
      <c r="A3853" s="3" t="s">
        <v>6718</v>
      </c>
      <c r="B3853" s="3" t="s">
        <v>7114</v>
      </c>
      <c r="C3853" s="3" t="s">
        <v>2562</v>
      </c>
      <c r="D3853" s="9">
        <v>14</v>
      </c>
      <c r="E3853" s="3"/>
      <c r="F3853" s="3"/>
      <c r="G3853" s="9"/>
      <c r="H3853" s="10">
        <v>45680.745648148149</v>
      </c>
      <c r="I3853" s="10">
        <v>45680.746516203697</v>
      </c>
      <c r="J3853" s="10">
        <v>45680.748043981483</v>
      </c>
      <c r="K3853" s="11">
        <v>1.5277777777777781E-3</v>
      </c>
      <c r="L3853" s="13"/>
    </row>
    <row r="3854" spans="1:12" x14ac:dyDescent="0.25">
      <c r="A3854" s="3" t="s">
        <v>6718</v>
      </c>
      <c r="B3854" s="3" t="s">
        <v>7115</v>
      </c>
      <c r="C3854" s="3" t="s">
        <v>2565</v>
      </c>
      <c r="D3854" s="9">
        <v>117.7</v>
      </c>
      <c r="E3854" s="3"/>
      <c r="F3854" s="3"/>
      <c r="G3854" s="9"/>
      <c r="H3854" s="10">
        <v>45680.747164351851</v>
      </c>
      <c r="I3854" s="10">
        <v>45680.747997685183</v>
      </c>
      <c r="J3854" s="10">
        <v>45680.749525462961</v>
      </c>
      <c r="K3854" s="11">
        <v>1.5277777777777781E-3</v>
      </c>
      <c r="L3854" s="13"/>
    </row>
    <row r="3855" spans="1:12" x14ac:dyDescent="0.25">
      <c r="A3855" s="3" t="s">
        <v>6718</v>
      </c>
      <c r="B3855" s="3" t="s">
        <v>7116</v>
      </c>
      <c r="C3855" s="3" t="s">
        <v>2570</v>
      </c>
      <c r="D3855" s="9">
        <v>54.7</v>
      </c>
      <c r="E3855" s="3"/>
      <c r="F3855" s="3"/>
      <c r="G3855" s="9"/>
      <c r="H3855" s="10">
        <v>45680.751122685193</v>
      </c>
      <c r="I3855" s="10">
        <v>45680.751967592587</v>
      </c>
      <c r="J3855" s="10">
        <v>45680.753495370373</v>
      </c>
      <c r="K3855" s="11">
        <v>1.5277777777777781E-3</v>
      </c>
      <c r="L3855" s="13"/>
    </row>
    <row r="3856" spans="1:12" x14ac:dyDescent="0.25">
      <c r="A3856" s="3" t="s">
        <v>6718</v>
      </c>
      <c r="B3856" s="3" t="s">
        <v>7117</v>
      </c>
      <c r="C3856" s="3" t="s">
        <v>2577</v>
      </c>
      <c r="D3856" s="9">
        <v>164.7</v>
      </c>
      <c r="E3856" s="3"/>
      <c r="F3856" s="3"/>
      <c r="G3856" s="9"/>
      <c r="H3856" s="10">
        <v>45681.126712962963</v>
      </c>
      <c r="I3856" s="10">
        <v>45681.127581018518</v>
      </c>
      <c r="J3856" s="10">
        <v>45681.129108796304</v>
      </c>
      <c r="K3856" s="11">
        <v>1.5277777777777781E-3</v>
      </c>
      <c r="L3856" s="13"/>
    </row>
    <row r="3857" spans="1:12" x14ac:dyDescent="0.25">
      <c r="A3857" s="3" t="s">
        <v>6718</v>
      </c>
      <c r="B3857" s="3" t="s">
        <v>7118</v>
      </c>
      <c r="C3857" s="3" t="s">
        <v>2585</v>
      </c>
      <c r="D3857" s="9">
        <v>118.2</v>
      </c>
      <c r="E3857" s="3"/>
      <c r="F3857" s="3"/>
      <c r="G3857" s="9"/>
      <c r="H3857" s="10">
        <v>45681.197175925918</v>
      </c>
      <c r="I3857" s="10">
        <v>45681.19804398148</v>
      </c>
      <c r="J3857" s="10">
        <v>45681.199571759258</v>
      </c>
      <c r="K3857" s="11">
        <v>1.5277777777777781E-3</v>
      </c>
      <c r="L3857" s="13"/>
    </row>
    <row r="3858" spans="1:12" x14ac:dyDescent="0.25">
      <c r="A3858" s="3" t="s">
        <v>6718</v>
      </c>
      <c r="B3858" s="3" t="s">
        <v>7119</v>
      </c>
      <c r="C3858" s="3" t="s">
        <v>2587</v>
      </c>
      <c r="D3858" s="9">
        <v>297</v>
      </c>
      <c r="E3858" s="3"/>
      <c r="F3858" s="3"/>
      <c r="G3858" s="9"/>
      <c r="H3858" s="10">
        <v>45681.267592592587</v>
      </c>
      <c r="I3858" s="10">
        <v>45681.268460648149</v>
      </c>
      <c r="J3858" s="10">
        <v>45681.269988425927</v>
      </c>
      <c r="K3858" s="11">
        <v>1.5277777777777781E-3</v>
      </c>
      <c r="L3858" s="13"/>
    </row>
    <row r="3859" spans="1:12" x14ac:dyDescent="0.25">
      <c r="A3859" s="3" t="s">
        <v>6718</v>
      </c>
      <c r="B3859" s="3" t="s">
        <v>7120</v>
      </c>
      <c r="C3859" s="3" t="s">
        <v>2590</v>
      </c>
      <c r="D3859" s="9">
        <v>240.4</v>
      </c>
      <c r="E3859" s="3"/>
      <c r="F3859" s="3"/>
      <c r="G3859" s="9"/>
      <c r="H3859" s="10">
        <v>45681.299201388887</v>
      </c>
      <c r="I3859" s="10">
        <v>45681.300069444442</v>
      </c>
      <c r="J3859" s="10">
        <v>45681.30159722222</v>
      </c>
      <c r="K3859" s="11">
        <v>1.5277777777777781E-3</v>
      </c>
      <c r="L3859" s="13"/>
    </row>
    <row r="3860" spans="1:12" x14ac:dyDescent="0.25">
      <c r="A3860" s="3" t="s">
        <v>6718</v>
      </c>
      <c r="B3860" s="3" t="s">
        <v>7121</v>
      </c>
      <c r="C3860" s="3" t="s">
        <v>2593</v>
      </c>
      <c r="D3860" s="9">
        <v>42</v>
      </c>
      <c r="E3860" s="3"/>
      <c r="F3860" s="3"/>
      <c r="G3860" s="9"/>
      <c r="H3860" s="10">
        <v>45681.322002314817</v>
      </c>
      <c r="I3860" s="10">
        <v>45681.322835648149</v>
      </c>
      <c r="J3860" s="10">
        <v>45681.324363425927</v>
      </c>
      <c r="K3860" s="11">
        <v>1.5277777777777781E-3</v>
      </c>
      <c r="L3860" s="13"/>
    </row>
    <row r="3861" spans="1:12" x14ac:dyDescent="0.25">
      <c r="A3861" s="3" t="s">
        <v>6718</v>
      </c>
      <c r="B3861" s="3" t="s">
        <v>7122</v>
      </c>
      <c r="C3861" s="3" t="s">
        <v>2596</v>
      </c>
      <c r="D3861" s="9">
        <v>15.7</v>
      </c>
      <c r="E3861" s="3"/>
      <c r="F3861" s="3"/>
      <c r="G3861" s="9"/>
      <c r="H3861" s="10">
        <v>45681.323958333327</v>
      </c>
      <c r="I3861" s="10">
        <v>45681.324745370373</v>
      </c>
      <c r="J3861" s="10">
        <v>45681.32613425926</v>
      </c>
      <c r="K3861" s="11">
        <v>1.3888888888888889E-3</v>
      </c>
      <c r="L3861" s="13"/>
    </row>
    <row r="3862" spans="1:12" x14ac:dyDescent="0.25">
      <c r="A3862" s="3" t="s">
        <v>6718</v>
      </c>
      <c r="B3862" s="3" t="s">
        <v>7123</v>
      </c>
      <c r="C3862" s="3" t="s">
        <v>2607</v>
      </c>
      <c r="D3862" s="9">
        <v>15.7</v>
      </c>
      <c r="E3862" s="3"/>
      <c r="F3862" s="3"/>
      <c r="G3862" s="9"/>
      <c r="H3862" s="10">
        <v>45681.328842592593</v>
      </c>
      <c r="I3862" s="10">
        <v>45681.329629629632</v>
      </c>
      <c r="J3862" s="10">
        <v>45681.331018518518</v>
      </c>
      <c r="K3862" s="11">
        <v>1.3888888888888889E-3</v>
      </c>
      <c r="L3862" s="13"/>
    </row>
    <row r="3863" spans="1:12" x14ac:dyDescent="0.25">
      <c r="A3863" s="3" t="s">
        <v>6718</v>
      </c>
      <c r="B3863" s="3" t="s">
        <v>7124</v>
      </c>
      <c r="C3863" s="3" t="s">
        <v>2612</v>
      </c>
      <c r="D3863" s="9">
        <v>39.799999999999997</v>
      </c>
      <c r="E3863" s="3"/>
      <c r="F3863" s="3"/>
      <c r="G3863" s="9"/>
      <c r="H3863" s="10">
        <v>45681.330509259264</v>
      </c>
      <c r="I3863" s="10">
        <v>45681.331342592603</v>
      </c>
      <c r="J3863" s="10">
        <v>45681.332870370366</v>
      </c>
      <c r="K3863" s="11">
        <v>1.5277777777777781E-3</v>
      </c>
      <c r="L3863" s="13"/>
    </row>
    <row r="3864" spans="1:12" x14ac:dyDescent="0.25">
      <c r="A3864" s="3" t="s">
        <v>6718</v>
      </c>
      <c r="B3864" s="3" t="s">
        <v>7125</v>
      </c>
      <c r="C3864" s="3" t="s">
        <v>2616</v>
      </c>
      <c r="D3864" s="9">
        <v>36.4</v>
      </c>
      <c r="E3864" s="3"/>
      <c r="F3864" s="3"/>
      <c r="G3864" s="9"/>
      <c r="H3864" s="10">
        <v>45681.374189814807</v>
      </c>
      <c r="I3864" s="10">
        <v>45681.3749537037</v>
      </c>
      <c r="J3864" s="10">
        <v>45681.376342592594</v>
      </c>
      <c r="K3864" s="11">
        <v>1.3888888888888889E-3</v>
      </c>
      <c r="L3864" s="13"/>
    </row>
    <row r="3865" spans="1:12" x14ac:dyDescent="0.25">
      <c r="A3865" s="3" t="s">
        <v>6718</v>
      </c>
      <c r="B3865" s="3" t="s">
        <v>7126</v>
      </c>
      <c r="C3865" s="3" t="s">
        <v>2618</v>
      </c>
      <c r="D3865" s="9">
        <v>111.4</v>
      </c>
      <c r="E3865" s="3"/>
      <c r="F3865" s="3"/>
      <c r="G3865" s="9"/>
      <c r="H3865" s="10">
        <v>45681.376319444447</v>
      </c>
      <c r="I3865" s="10">
        <v>45681.377164351848</v>
      </c>
      <c r="J3865" s="10">
        <v>45681.378692129627</v>
      </c>
      <c r="K3865" s="11">
        <v>1.5277777777777781E-3</v>
      </c>
      <c r="L3865" s="13"/>
    </row>
    <row r="3866" spans="1:12" x14ac:dyDescent="0.25">
      <c r="A3866" s="3" t="s">
        <v>6718</v>
      </c>
      <c r="B3866" s="3" t="s">
        <v>7127</v>
      </c>
      <c r="C3866" s="3" t="s">
        <v>2624</v>
      </c>
      <c r="D3866" s="9">
        <v>178.4</v>
      </c>
      <c r="E3866" s="3"/>
      <c r="F3866" s="3"/>
      <c r="G3866" s="9"/>
      <c r="H3866" s="10">
        <v>45681.396018518521</v>
      </c>
      <c r="I3866" s="10">
        <v>45681.396886574083</v>
      </c>
      <c r="J3866" s="10">
        <v>45681.398414351846</v>
      </c>
      <c r="K3866" s="11">
        <v>1.5277777777777781E-3</v>
      </c>
      <c r="L3866" s="13"/>
    </row>
    <row r="3867" spans="1:12" x14ac:dyDescent="0.25">
      <c r="A3867" s="3" t="s">
        <v>6718</v>
      </c>
      <c r="B3867" s="3" t="s">
        <v>7128</v>
      </c>
      <c r="C3867" s="3" t="s">
        <v>2630</v>
      </c>
      <c r="D3867" s="9">
        <v>15.7</v>
      </c>
      <c r="E3867" s="3"/>
      <c r="F3867" s="3"/>
      <c r="G3867" s="9"/>
      <c r="H3867" s="10">
        <v>45681.399039351847</v>
      </c>
      <c r="I3867" s="10">
        <v>45681.399872685193</v>
      </c>
      <c r="J3867" s="10">
        <v>45681.401400462957</v>
      </c>
      <c r="K3867" s="11">
        <v>1.5277777777777781E-3</v>
      </c>
      <c r="L3867" s="13"/>
    </row>
    <row r="3868" spans="1:12" x14ac:dyDescent="0.25">
      <c r="A3868" s="3" t="s">
        <v>6718</v>
      </c>
      <c r="B3868" s="3" t="s">
        <v>7129</v>
      </c>
      <c r="C3868" s="3" t="s">
        <v>2637</v>
      </c>
      <c r="D3868" s="9">
        <v>177.5</v>
      </c>
      <c r="E3868" s="3"/>
      <c r="F3868" s="3"/>
      <c r="G3868" s="9"/>
      <c r="H3868" s="10">
        <v>45681.551481481481</v>
      </c>
      <c r="I3868" s="10">
        <v>45681.552349537043</v>
      </c>
      <c r="J3868" s="10">
        <v>45681.553877314807</v>
      </c>
      <c r="K3868" s="11">
        <v>1.5277777777777781E-3</v>
      </c>
      <c r="L3868" s="13"/>
    </row>
    <row r="3869" spans="1:12" x14ac:dyDescent="0.25">
      <c r="A3869" s="3" t="s">
        <v>6718</v>
      </c>
      <c r="B3869" s="3" t="s">
        <v>7130</v>
      </c>
      <c r="C3869" s="3" t="s">
        <v>2640</v>
      </c>
      <c r="D3869" s="9">
        <v>296.10000000000002</v>
      </c>
      <c r="E3869" s="3"/>
      <c r="F3869" s="3"/>
      <c r="G3869" s="9"/>
      <c r="H3869" s="10">
        <v>45681.613634259258</v>
      </c>
      <c r="I3869" s="10">
        <v>45681.614479166667</v>
      </c>
      <c r="J3869" s="10">
        <v>45681.616006944438</v>
      </c>
      <c r="K3869" s="11">
        <v>1.5277777777777781E-3</v>
      </c>
      <c r="L3869" s="13"/>
    </row>
    <row r="3870" spans="1:12" x14ac:dyDescent="0.25">
      <c r="A3870" s="3" t="s">
        <v>6718</v>
      </c>
      <c r="B3870" s="3" t="s">
        <v>7131</v>
      </c>
      <c r="C3870" s="3" t="s">
        <v>2643</v>
      </c>
      <c r="D3870" s="9">
        <v>42</v>
      </c>
      <c r="E3870" s="3"/>
      <c r="F3870" s="3"/>
      <c r="G3870" s="9"/>
      <c r="H3870" s="10">
        <v>45681.637870370367</v>
      </c>
      <c r="I3870" s="10">
        <v>45681.638715277782</v>
      </c>
      <c r="J3870" s="10">
        <v>45681.640243055554</v>
      </c>
      <c r="K3870" s="11">
        <v>1.5277777777777781E-3</v>
      </c>
      <c r="L3870" s="13"/>
    </row>
    <row r="3871" spans="1:12" x14ac:dyDescent="0.25">
      <c r="A3871" s="3" t="s">
        <v>6718</v>
      </c>
      <c r="B3871" s="3" t="s">
        <v>7132</v>
      </c>
      <c r="C3871" s="3" t="s">
        <v>2646</v>
      </c>
      <c r="D3871" s="9">
        <v>54</v>
      </c>
      <c r="E3871" s="3"/>
      <c r="F3871" s="3"/>
      <c r="G3871" s="9"/>
      <c r="H3871" s="10">
        <v>45681.639120370368</v>
      </c>
      <c r="I3871" s="10">
        <v>45681.639907407407</v>
      </c>
      <c r="J3871" s="10">
        <v>45681.641296296293</v>
      </c>
      <c r="K3871" s="11">
        <v>1.3888888888888889E-3</v>
      </c>
      <c r="L3871" s="13"/>
    </row>
    <row r="3872" spans="1:12" x14ac:dyDescent="0.25">
      <c r="A3872" s="3" t="s">
        <v>6718</v>
      </c>
      <c r="B3872" s="3" t="s">
        <v>7133</v>
      </c>
      <c r="C3872" s="3" t="s">
        <v>2651</v>
      </c>
      <c r="D3872" s="9">
        <v>101.9</v>
      </c>
      <c r="E3872" s="3"/>
      <c r="F3872" s="3"/>
      <c r="G3872" s="9"/>
      <c r="H3872" s="10">
        <v>45681.643194444441</v>
      </c>
      <c r="I3872" s="10">
        <v>45681.64398148148</v>
      </c>
      <c r="J3872" s="10">
        <v>45681.645370370366</v>
      </c>
      <c r="K3872" s="11">
        <v>1.3888888888888889E-3</v>
      </c>
      <c r="L3872" s="13"/>
    </row>
    <row r="3873" spans="1:12" x14ac:dyDescent="0.25">
      <c r="A3873" s="3" t="s">
        <v>6718</v>
      </c>
      <c r="B3873" s="3" t="s">
        <v>7134</v>
      </c>
      <c r="C3873" s="3" t="s">
        <v>2664</v>
      </c>
      <c r="D3873" s="9">
        <v>134.69999999999999</v>
      </c>
      <c r="E3873" s="3"/>
      <c r="F3873" s="3"/>
      <c r="G3873" s="9"/>
      <c r="H3873" s="10">
        <v>45681.736932870372</v>
      </c>
      <c r="I3873" s="10">
        <v>45681.73777777778</v>
      </c>
      <c r="J3873" s="10">
        <v>45681.739305555559</v>
      </c>
      <c r="K3873" s="11">
        <v>1.5277777777777781E-3</v>
      </c>
      <c r="L3873" s="13"/>
    </row>
    <row r="3874" spans="1:12" x14ac:dyDescent="0.25">
      <c r="A3874" s="3" t="s">
        <v>6718</v>
      </c>
      <c r="B3874" s="3" t="s">
        <v>7135</v>
      </c>
      <c r="C3874" s="3" t="s">
        <v>2662</v>
      </c>
      <c r="D3874" s="9">
        <v>232.4</v>
      </c>
      <c r="E3874" s="3"/>
      <c r="F3874" s="3"/>
      <c r="G3874" s="9"/>
      <c r="H3874" s="10">
        <v>45681.740266203713</v>
      </c>
      <c r="I3874" s="10">
        <v>45681.741111111107</v>
      </c>
      <c r="J3874" s="10">
        <v>45681.742638888893</v>
      </c>
      <c r="K3874" s="11">
        <v>1.5277777777777781E-3</v>
      </c>
      <c r="L3874" s="13"/>
    </row>
    <row r="3875" spans="1:12" x14ac:dyDescent="0.25">
      <c r="A3875" s="3" t="s">
        <v>6718</v>
      </c>
      <c r="B3875" s="3" t="s">
        <v>7136</v>
      </c>
      <c r="C3875" s="3" t="s">
        <v>2667</v>
      </c>
      <c r="D3875" s="9">
        <v>389.1</v>
      </c>
      <c r="E3875" s="3"/>
      <c r="F3875" s="3"/>
      <c r="G3875" s="9"/>
      <c r="H3875" s="10">
        <v>45682.08489583333</v>
      </c>
      <c r="I3875" s="10">
        <v>45682.085763888892</v>
      </c>
      <c r="J3875" s="10">
        <v>45682.087291666663</v>
      </c>
      <c r="K3875" s="11">
        <v>1.5277777777777781E-3</v>
      </c>
      <c r="L3875" s="13"/>
    </row>
    <row r="3876" spans="1:12" x14ac:dyDescent="0.25">
      <c r="A3876" s="3" t="s">
        <v>6718</v>
      </c>
      <c r="B3876" s="3" t="s">
        <v>7137</v>
      </c>
      <c r="C3876" s="3" t="s">
        <v>2670</v>
      </c>
      <c r="D3876" s="9">
        <v>37.5</v>
      </c>
      <c r="E3876" s="3"/>
      <c r="F3876" s="3"/>
      <c r="G3876" s="9"/>
      <c r="H3876" s="10">
        <v>45682.086527777778</v>
      </c>
      <c r="I3876" s="10">
        <v>45682.087314814817</v>
      </c>
      <c r="J3876" s="10">
        <v>45682.088703703703</v>
      </c>
      <c r="K3876" s="11">
        <v>1.3888888888888889E-3</v>
      </c>
      <c r="L3876" s="13"/>
    </row>
    <row r="3877" spans="1:12" x14ac:dyDescent="0.25">
      <c r="A3877" s="3" t="s">
        <v>6718</v>
      </c>
      <c r="B3877" s="3" t="s">
        <v>7138</v>
      </c>
      <c r="C3877" s="3" t="s">
        <v>2672</v>
      </c>
      <c r="D3877" s="9">
        <v>155.9</v>
      </c>
      <c r="E3877" s="3"/>
      <c r="F3877" s="3"/>
      <c r="G3877" s="9"/>
      <c r="H3877" s="10">
        <v>45682.088738425933</v>
      </c>
      <c r="I3877" s="10">
        <v>45682.089606481481</v>
      </c>
      <c r="J3877" s="10">
        <v>45682.091134259259</v>
      </c>
      <c r="K3877" s="11">
        <v>1.5277777777777781E-3</v>
      </c>
      <c r="L3877" s="13"/>
    </row>
    <row r="3878" spans="1:12" x14ac:dyDescent="0.25">
      <c r="A3878" s="3" t="s">
        <v>6718</v>
      </c>
      <c r="B3878" s="3" t="s">
        <v>7139</v>
      </c>
      <c r="C3878" s="3" t="s">
        <v>2677</v>
      </c>
      <c r="D3878" s="9">
        <v>459.5</v>
      </c>
      <c r="E3878" s="3"/>
      <c r="F3878" s="3"/>
      <c r="G3878" s="9"/>
      <c r="H3878" s="10">
        <v>45683.757222222222</v>
      </c>
      <c r="I3878" s="10">
        <v>45683.758055555547</v>
      </c>
      <c r="J3878" s="10">
        <v>45683.759583333333</v>
      </c>
      <c r="K3878" s="11">
        <v>1.5277777777777781E-3</v>
      </c>
      <c r="L3878" s="13"/>
    </row>
    <row r="3879" spans="1:12" x14ac:dyDescent="0.25">
      <c r="A3879" s="3" t="s">
        <v>6718</v>
      </c>
      <c r="B3879" s="3" t="s">
        <v>7140</v>
      </c>
      <c r="C3879" s="3" t="s">
        <v>2684</v>
      </c>
      <c r="D3879" s="9">
        <v>19.899999999999999</v>
      </c>
      <c r="E3879" s="3"/>
      <c r="F3879" s="3"/>
      <c r="G3879" s="9"/>
      <c r="H3879" s="10">
        <v>45684.123136574082</v>
      </c>
      <c r="I3879" s="10">
        <v>45684.12400462963</v>
      </c>
      <c r="J3879" s="10">
        <v>45684.125532407408</v>
      </c>
      <c r="K3879" s="11">
        <v>1.5277777777777781E-3</v>
      </c>
      <c r="L3879" s="13"/>
    </row>
    <row r="3880" spans="1:12" x14ac:dyDescent="0.25">
      <c r="A3880" s="3" t="s">
        <v>6718</v>
      </c>
      <c r="B3880" s="3" t="s">
        <v>7141</v>
      </c>
      <c r="C3880" s="3" t="s">
        <v>2689</v>
      </c>
      <c r="D3880" s="9">
        <v>24.1</v>
      </c>
      <c r="E3880" s="3"/>
      <c r="F3880" s="3"/>
      <c r="G3880" s="9"/>
      <c r="H3880" s="10">
        <v>45684.126770833333</v>
      </c>
      <c r="I3880" s="10">
        <v>45684.127638888887</v>
      </c>
      <c r="J3880" s="10">
        <v>45684.129166666673</v>
      </c>
      <c r="K3880" s="11">
        <v>1.5277777777777781E-3</v>
      </c>
      <c r="L3880" s="13"/>
    </row>
    <row r="3881" spans="1:12" x14ac:dyDescent="0.25">
      <c r="A3881" s="3" t="s">
        <v>6718</v>
      </c>
      <c r="B3881" s="3" t="s">
        <v>7142</v>
      </c>
      <c r="C3881" s="3" t="s">
        <v>2692</v>
      </c>
      <c r="D3881" s="9">
        <v>298.2</v>
      </c>
      <c r="E3881" s="3"/>
      <c r="F3881" s="3"/>
      <c r="G3881" s="9"/>
      <c r="H3881" s="10">
        <v>45684.19871527778</v>
      </c>
      <c r="I3881" s="10">
        <v>45684.199560185189</v>
      </c>
      <c r="J3881" s="10">
        <v>45684.20108796296</v>
      </c>
      <c r="K3881" s="11">
        <v>1.5277777777777781E-3</v>
      </c>
      <c r="L3881" s="13"/>
    </row>
    <row r="3882" spans="1:12" x14ac:dyDescent="0.25">
      <c r="A3882" s="3" t="s">
        <v>6718</v>
      </c>
      <c r="B3882" s="3" t="s">
        <v>7143</v>
      </c>
      <c r="C3882" s="3" t="s">
        <v>2694</v>
      </c>
      <c r="D3882" s="9">
        <v>284.8</v>
      </c>
      <c r="E3882" s="3"/>
      <c r="F3882" s="3"/>
      <c r="G3882" s="9"/>
      <c r="H3882" s="10">
        <v>45684.284490740742</v>
      </c>
      <c r="I3882" s="10">
        <v>45684.285277777781</v>
      </c>
      <c r="J3882" s="10">
        <v>45684.286666666667</v>
      </c>
      <c r="K3882" s="11">
        <v>1.3888888888888889E-3</v>
      </c>
      <c r="L3882" s="13"/>
    </row>
    <row r="3883" spans="1:12" x14ac:dyDescent="0.25">
      <c r="A3883" s="3" t="s">
        <v>6718</v>
      </c>
      <c r="B3883" s="3" t="s">
        <v>7144</v>
      </c>
      <c r="C3883" s="3" t="s">
        <v>2696</v>
      </c>
      <c r="D3883" s="9">
        <v>27</v>
      </c>
      <c r="E3883" s="3"/>
      <c r="F3883" s="3"/>
      <c r="G3883" s="9"/>
      <c r="H3883" s="10">
        <v>45684.315706018519</v>
      </c>
      <c r="I3883" s="10">
        <v>45684.316493055558</v>
      </c>
      <c r="J3883" s="10">
        <v>45684.317881944437</v>
      </c>
      <c r="K3883" s="11">
        <v>1.3888888888888889E-3</v>
      </c>
      <c r="L3883" s="13"/>
    </row>
    <row r="3884" spans="1:12" x14ac:dyDescent="0.25">
      <c r="A3884" s="3" t="s">
        <v>6718</v>
      </c>
      <c r="B3884" s="3" t="s">
        <v>7145</v>
      </c>
      <c r="C3884" s="3" t="s">
        <v>2703</v>
      </c>
      <c r="D3884" s="9">
        <v>106.9</v>
      </c>
      <c r="E3884" s="3"/>
      <c r="F3884" s="3"/>
      <c r="G3884" s="9"/>
      <c r="H3884" s="10">
        <v>45684.319780092592</v>
      </c>
      <c r="I3884" s="10">
        <v>45684.320648148147</v>
      </c>
      <c r="J3884" s="10">
        <v>45684.322175925918</v>
      </c>
      <c r="K3884" s="11">
        <v>1.5277777777777781E-3</v>
      </c>
      <c r="L3884" s="13"/>
    </row>
    <row r="3885" spans="1:12" x14ac:dyDescent="0.25">
      <c r="A3885" s="3" t="s">
        <v>6718</v>
      </c>
      <c r="B3885" s="3" t="s">
        <v>7146</v>
      </c>
      <c r="C3885" s="3" t="s">
        <v>2706</v>
      </c>
      <c r="D3885" s="9">
        <v>39.799999999999997</v>
      </c>
      <c r="E3885" s="3"/>
      <c r="F3885" s="3"/>
      <c r="G3885" s="9"/>
      <c r="H3885" s="10">
        <v>45684.321412037039</v>
      </c>
      <c r="I3885" s="10">
        <v>45684.322268518517</v>
      </c>
      <c r="J3885" s="10">
        <v>45684.323796296303</v>
      </c>
      <c r="K3885" s="11">
        <v>1.5277777777777781E-3</v>
      </c>
      <c r="L3885" s="13"/>
    </row>
    <row r="3886" spans="1:12" x14ac:dyDescent="0.25">
      <c r="A3886" s="3" t="s">
        <v>6718</v>
      </c>
      <c r="B3886" s="3" t="s">
        <v>7147</v>
      </c>
      <c r="C3886" s="3" t="s">
        <v>2713</v>
      </c>
      <c r="D3886" s="9">
        <v>40.9</v>
      </c>
      <c r="E3886" s="3"/>
      <c r="F3886" s="3"/>
      <c r="G3886" s="9"/>
      <c r="H3886" s="10">
        <v>45684.37699074074</v>
      </c>
      <c r="I3886" s="10">
        <v>45684.37777777778</v>
      </c>
      <c r="J3886" s="10">
        <v>45684.379166666673</v>
      </c>
      <c r="K3886" s="11">
        <v>1.3888888888888889E-3</v>
      </c>
      <c r="L3886" s="13"/>
    </row>
    <row r="3887" spans="1:12" x14ac:dyDescent="0.25">
      <c r="A3887" s="3" t="s">
        <v>6718</v>
      </c>
      <c r="B3887" s="3" t="s">
        <v>7148</v>
      </c>
      <c r="C3887" s="3" t="s">
        <v>2715</v>
      </c>
      <c r="D3887" s="9">
        <v>33.9</v>
      </c>
      <c r="E3887" s="3"/>
      <c r="F3887" s="3"/>
      <c r="G3887" s="9"/>
      <c r="H3887" s="10">
        <v>45684.378912037027</v>
      </c>
      <c r="I3887" s="10">
        <v>45684.379745370366</v>
      </c>
      <c r="J3887" s="10">
        <v>45684.381273148138</v>
      </c>
      <c r="K3887" s="11">
        <v>1.5277777777777781E-3</v>
      </c>
      <c r="L3887" s="13"/>
    </row>
    <row r="3888" spans="1:12" x14ac:dyDescent="0.25">
      <c r="A3888" s="3" t="s">
        <v>6718</v>
      </c>
      <c r="B3888" s="3" t="s">
        <v>7149</v>
      </c>
      <c r="C3888" s="3" t="s">
        <v>2722</v>
      </c>
      <c r="D3888" s="9">
        <v>179.2</v>
      </c>
      <c r="E3888" s="3"/>
      <c r="F3888" s="3"/>
      <c r="G3888" s="9"/>
      <c r="H3888" s="10">
        <v>45684.384259259263</v>
      </c>
      <c r="I3888" s="10">
        <v>45684.385092592587</v>
      </c>
      <c r="J3888" s="10">
        <v>45684.386620370373</v>
      </c>
      <c r="K3888" s="11">
        <v>1.5277777777777781E-3</v>
      </c>
      <c r="L3888" s="13"/>
    </row>
    <row r="3889" spans="1:12" x14ac:dyDescent="0.25">
      <c r="A3889" s="3" t="s">
        <v>6718</v>
      </c>
      <c r="B3889" s="3" t="s">
        <v>7150</v>
      </c>
      <c r="C3889" s="3" t="s">
        <v>2737</v>
      </c>
      <c r="D3889" s="9">
        <v>394.6</v>
      </c>
      <c r="E3889" s="3"/>
      <c r="F3889" s="3"/>
      <c r="G3889" s="9"/>
      <c r="H3889" s="10">
        <v>45684.449942129628</v>
      </c>
      <c r="I3889" s="10">
        <v>45684.450810185182</v>
      </c>
      <c r="J3889" s="10">
        <v>45684.452337962961</v>
      </c>
      <c r="K3889" s="11">
        <v>1.5277777777777781E-3</v>
      </c>
      <c r="L3889" s="13"/>
    </row>
    <row r="3890" spans="1:12" x14ac:dyDescent="0.25">
      <c r="A3890" s="3" t="s">
        <v>6718</v>
      </c>
      <c r="B3890" s="3" t="s">
        <v>7151</v>
      </c>
      <c r="C3890" s="3" t="s">
        <v>2739</v>
      </c>
      <c r="D3890" s="9">
        <v>40.9</v>
      </c>
      <c r="E3890" s="3"/>
      <c r="F3890" s="3"/>
      <c r="G3890" s="9"/>
      <c r="H3890" s="10">
        <v>45684.452025462961</v>
      </c>
      <c r="I3890" s="10">
        <v>45684.452881944453</v>
      </c>
      <c r="J3890" s="10">
        <v>45684.454409722217</v>
      </c>
      <c r="K3890" s="11">
        <v>1.5277777777777781E-3</v>
      </c>
      <c r="L3890" s="13"/>
    </row>
    <row r="3891" spans="1:12" x14ac:dyDescent="0.25">
      <c r="A3891" s="3" t="s">
        <v>6718</v>
      </c>
      <c r="B3891" s="3" t="s">
        <v>7152</v>
      </c>
      <c r="C3891" s="3" t="s">
        <v>2742</v>
      </c>
      <c r="D3891" s="9">
        <v>212.1</v>
      </c>
      <c r="E3891" s="3"/>
      <c r="F3891" s="3"/>
      <c r="G3891" s="9"/>
      <c r="H3891" s="10">
        <v>45684.538240740738</v>
      </c>
      <c r="I3891" s="10">
        <v>45684.5391087963</v>
      </c>
      <c r="J3891" s="10">
        <v>45684.540636574071</v>
      </c>
      <c r="K3891" s="11">
        <v>1.5277777777777781E-3</v>
      </c>
      <c r="L3891" s="13"/>
    </row>
    <row r="3892" spans="1:12" x14ac:dyDescent="0.25">
      <c r="A3892" s="3" t="s">
        <v>6718</v>
      </c>
      <c r="B3892" s="3" t="s">
        <v>7153</v>
      </c>
      <c r="C3892" s="3" t="s">
        <v>2745</v>
      </c>
      <c r="D3892" s="9">
        <v>381.6</v>
      </c>
      <c r="E3892" s="3"/>
      <c r="F3892" s="3"/>
      <c r="G3892" s="9"/>
      <c r="H3892" s="10">
        <v>45684.609502314823</v>
      </c>
      <c r="I3892" s="10">
        <v>45684.610289351847</v>
      </c>
      <c r="J3892" s="10">
        <v>45684.611678240741</v>
      </c>
      <c r="K3892" s="11">
        <v>1.3888888888888889E-3</v>
      </c>
      <c r="L3892" s="13"/>
    </row>
    <row r="3893" spans="1:12" x14ac:dyDescent="0.25">
      <c r="A3893" s="3" t="s">
        <v>6718</v>
      </c>
      <c r="B3893" s="3" t="s">
        <v>7154</v>
      </c>
      <c r="C3893" s="3" t="s">
        <v>2747</v>
      </c>
      <c r="D3893" s="9">
        <v>15.7</v>
      </c>
      <c r="E3893" s="3"/>
      <c r="F3893" s="3"/>
      <c r="G3893" s="9"/>
      <c r="H3893" s="10">
        <v>45684.650173611109</v>
      </c>
      <c r="I3893" s="10">
        <v>45684.650960648149</v>
      </c>
      <c r="J3893" s="10">
        <v>45684.652349537027</v>
      </c>
      <c r="K3893" s="11">
        <v>1.3888888888888889E-3</v>
      </c>
      <c r="L3893" s="13"/>
    </row>
    <row r="3894" spans="1:12" x14ac:dyDescent="0.25">
      <c r="A3894" s="3" t="s">
        <v>6718</v>
      </c>
      <c r="B3894" s="3" t="s">
        <v>7155</v>
      </c>
      <c r="C3894" s="3" t="s">
        <v>2754</v>
      </c>
      <c r="D3894" s="9">
        <v>232.4</v>
      </c>
      <c r="E3894" s="3"/>
      <c r="F3894" s="3"/>
      <c r="G3894" s="9"/>
      <c r="H3894" s="10">
        <v>45684.739733796298</v>
      </c>
      <c r="I3894" s="10">
        <v>45684.740601851852</v>
      </c>
      <c r="J3894" s="10">
        <v>45684.742129629631</v>
      </c>
      <c r="K3894" s="11">
        <v>1.5277777777777781E-3</v>
      </c>
      <c r="L3894" s="13"/>
    </row>
    <row r="3895" spans="1:12" x14ac:dyDescent="0.25">
      <c r="A3895" s="3" t="s">
        <v>6718</v>
      </c>
      <c r="B3895" s="3" t="s">
        <v>7156</v>
      </c>
      <c r="C3895" s="3" t="s">
        <v>2757</v>
      </c>
      <c r="D3895" s="9">
        <v>310.60000000000002</v>
      </c>
      <c r="E3895" s="3"/>
      <c r="F3895" s="3"/>
      <c r="G3895" s="9"/>
      <c r="H3895" s="10">
        <v>45684.750439814823</v>
      </c>
      <c r="I3895" s="10">
        <v>45684.751307870371</v>
      </c>
      <c r="J3895" s="10">
        <v>45684.752835648149</v>
      </c>
      <c r="K3895" s="11">
        <v>1.5277777777777781E-3</v>
      </c>
      <c r="L3895" s="13"/>
    </row>
    <row r="3896" spans="1:12" x14ac:dyDescent="0.25">
      <c r="A3896" s="3" t="s">
        <v>6718</v>
      </c>
      <c r="B3896" s="3" t="s">
        <v>7157</v>
      </c>
      <c r="C3896" s="3" t="s">
        <v>2759</v>
      </c>
      <c r="D3896" s="9">
        <v>84</v>
      </c>
      <c r="E3896" s="3"/>
      <c r="F3896" s="3"/>
      <c r="G3896" s="9"/>
      <c r="H3896" s="10">
        <v>45684.752523148149</v>
      </c>
      <c r="I3896" s="10">
        <v>45684.753391203703</v>
      </c>
      <c r="J3896" s="10">
        <v>45684.754918981482</v>
      </c>
      <c r="K3896" s="11">
        <v>1.5277777777777781E-3</v>
      </c>
      <c r="L3896" s="13"/>
    </row>
    <row r="3897" spans="1:12" x14ac:dyDescent="0.25">
      <c r="A3897" s="3" t="s">
        <v>6718</v>
      </c>
      <c r="B3897" s="3" t="s">
        <v>7158</v>
      </c>
      <c r="C3897" s="3" t="s">
        <v>2761</v>
      </c>
      <c r="D3897" s="9">
        <v>51.4</v>
      </c>
      <c r="E3897" s="3"/>
      <c r="F3897" s="3"/>
      <c r="G3897" s="9"/>
      <c r="H3897" s="10">
        <v>45684.753854166673</v>
      </c>
      <c r="I3897" s="10">
        <v>45684.75472222222</v>
      </c>
      <c r="J3897" s="10">
        <v>45684.756249999999</v>
      </c>
      <c r="K3897" s="11">
        <v>1.5277777777777781E-3</v>
      </c>
      <c r="L3897" s="13"/>
    </row>
    <row r="3898" spans="1:12" x14ac:dyDescent="0.25">
      <c r="A3898" s="3" t="s">
        <v>6718</v>
      </c>
      <c r="B3898" s="3" t="s">
        <v>7159</v>
      </c>
      <c r="C3898" s="3" t="s">
        <v>2768</v>
      </c>
      <c r="D3898" s="9">
        <v>101.7</v>
      </c>
      <c r="E3898" s="3"/>
      <c r="F3898" s="3"/>
      <c r="G3898" s="9"/>
      <c r="H3898" s="10">
        <v>45685.131863425922</v>
      </c>
      <c r="I3898" s="10">
        <v>45685.132650462961</v>
      </c>
      <c r="J3898" s="10">
        <v>45685.134039351848</v>
      </c>
      <c r="K3898" s="11">
        <v>1.3888888888888889E-3</v>
      </c>
      <c r="L3898" s="13"/>
    </row>
    <row r="3899" spans="1:12" x14ac:dyDescent="0.25">
      <c r="A3899" s="3" t="s">
        <v>6718</v>
      </c>
      <c r="B3899" s="3" t="s">
        <v>7160</v>
      </c>
      <c r="C3899" s="3" t="s">
        <v>2771</v>
      </c>
      <c r="D3899" s="9">
        <v>19.899999999999999</v>
      </c>
      <c r="E3899" s="3"/>
      <c r="F3899" s="3"/>
      <c r="G3899" s="9"/>
      <c r="H3899" s="10">
        <v>45685.133819444447</v>
      </c>
      <c r="I3899" s="10">
        <v>45685.134664351863</v>
      </c>
      <c r="J3899" s="10">
        <v>45685.136192129627</v>
      </c>
      <c r="K3899" s="11">
        <v>1.5277777777777781E-3</v>
      </c>
      <c r="L3899" s="13"/>
    </row>
    <row r="3900" spans="1:12" x14ac:dyDescent="0.25">
      <c r="A3900" s="3" t="s">
        <v>6718</v>
      </c>
      <c r="B3900" s="3" t="s">
        <v>7161</v>
      </c>
      <c r="C3900" s="3" t="s">
        <v>2774</v>
      </c>
      <c r="D3900" s="9">
        <v>297</v>
      </c>
      <c r="E3900" s="3"/>
      <c r="F3900" s="3"/>
      <c r="G3900" s="9"/>
      <c r="H3900" s="10">
        <v>45685.280752314808</v>
      </c>
      <c r="I3900" s="10">
        <v>45685.281585648147</v>
      </c>
      <c r="J3900" s="10">
        <v>45685.283113425918</v>
      </c>
      <c r="K3900" s="11">
        <v>1.5277777777777781E-3</v>
      </c>
      <c r="L3900" s="13"/>
    </row>
    <row r="3901" spans="1:12" x14ac:dyDescent="0.25">
      <c r="A3901" s="3" t="s">
        <v>6718</v>
      </c>
      <c r="B3901" s="3" t="s">
        <v>7162</v>
      </c>
      <c r="C3901" s="3" t="s">
        <v>2776</v>
      </c>
      <c r="D3901" s="9">
        <v>21</v>
      </c>
      <c r="E3901" s="3"/>
      <c r="F3901" s="3"/>
      <c r="G3901" s="9"/>
      <c r="H3901" s="10">
        <v>45685.31591435185</v>
      </c>
      <c r="I3901" s="10">
        <v>45685.316759259258</v>
      </c>
      <c r="J3901" s="10">
        <v>45685.318287037036</v>
      </c>
      <c r="K3901" s="11">
        <v>1.5277777777777781E-3</v>
      </c>
      <c r="L3901" s="13"/>
    </row>
    <row r="3902" spans="1:12" x14ac:dyDescent="0.25">
      <c r="A3902" s="3" t="s">
        <v>6718</v>
      </c>
      <c r="B3902" s="3" t="s">
        <v>7163</v>
      </c>
      <c r="C3902" s="3" t="s">
        <v>2781</v>
      </c>
      <c r="D3902" s="9">
        <v>56.3</v>
      </c>
      <c r="E3902" s="3"/>
      <c r="F3902" s="3"/>
      <c r="G3902" s="9"/>
      <c r="H3902" s="10">
        <v>45685.318692129629</v>
      </c>
      <c r="I3902" s="10">
        <v>45685.319525462961</v>
      </c>
      <c r="J3902" s="10">
        <v>45685.321053240739</v>
      </c>
      <c r="K3902" s="11">
        <v>1.5277777777777781E-3</v>
      </c>
      <c r="L3902" s="13"/>
    </row>
    <row r="3903" spans="1:12" x14ac:dyDescent="0.25">
      <c r="A3903" s="3" t="s">
        <v>6718</v>
      </c>
      <c r="B3903" s="3" t="s">
        <v>7164</v>
      </c>
      <c r="C3903" s="3" t="s">
        <v>2784</v>
      </c>
      <c r="D3903" s="9">
        <v>14</v>
      </c>
      <c r="E3903" s="3"/>
      <c r="F3903" s="3"/>
      <c r="G3903" s="9"/>
      <c r="H3903" s="10">
        <v>45685.319965277777</v>
      </c>
      <c r="I3903" s="10">
        <v>45685.320821759262</v>
      </c>
      <c r="J3903" s="10">
        <v>45685.32234953704</v>
      </c>
      <c r="K3903" s="11">
        <v>1.5277777777777781E-3</v>
      </c>
      <c r="L3903" s="13"/>
    </row>
    <row r="3904" spans="1:12" x14ac:dyDescent="0.25">
      <c r="A3904" s="3" t="s">
        <v>6718</v>
      </c>
      <c r="B3904" s="3" t="s">
        <v>7165</v>
      </c>
      <c r="C3904" s="3" t="s">
        <v>2787</v>
      </c>
      <c r="D3904" s="9">
        <v>101.2</v>
      </c>
      <c r="E3904" s="3"/>
      <c r="F3904" s="3"/>
      <c r="G3904" s="9"/>
      <c r="H3904" s="10">
        <v>45685.322083333333</v>
      </c>
      <c r="I3904" s="10">
        <v>45685.322951388887</v>
      </c>
      <c r="J3904" s="10">
        <v>45685.324479166673</v>
      </c>
      <c r="K3904" s="11">
        <v>1.5277777777777781E-3</v>
      </c>
      <c r="L3904" s="13"/>
    </row>
    <row r="3905" spans="1:12" x14ac:dyDescent="0.25">
      <c r="A3905" s="3" t="s">
        <v>6718</v>
      </c>
      <c r="B3905" s="3" t="s">
        <v>7166</v>
      </c>
      <c r="C3905" s="3" t="s">
        <v>2824</v>
      </c>
      <c r="D3905" s="9">
        <v>73.900000000000006</v>
      </c>
      <c r="E3905" s="3"/>
      <c r="F3905" s="3"/>
      <c r="G3905" s="9"/>
      <c r="H3905" s="10">
        <v>45685.389444444438</v>
      </c>
      <c r="I3905" s="10">
        <v>45685.390289351853</v>
      </c>
      <c r="J3905" s="10">
        <v>45685.391817129632</v>
      </c>
      <c r="K3905" s="11">
        <v>1.5277777777777781E-3</v>
      </c>
      <c r="L3905" s="13"/>
    </row>
    <row r="3906" spans="1:12" x14ac:dyDescent="0.25">
      <c r="A3906" s="3" t="s">
        <v>6718</v>
      </c>
      <c r="B3906" s="3" t="s">
        <v>7167</v>
      </c>
      <c r="C3906" s="3" t="s">
        <v>2826</v>
      </c>
      <c r="D3906" s="9">
        <v>148.9</v>
      </c>
      <c r="E3906" s="3"/>
      <c r="F3906" s="3"/>
      <c r="G3906" s="9"/>
      <c r="H3906" s="10">
        <v>45685.391712962963</v>
      </c>
      <c r="I3906" s="10">
        <v>45685.392581018517</v>
      </c>
      <c r="J3906" s="10">
        <v>45685.394108796303</v>
      </c>
      <c r="K3906" s="11">
        <v>1.5277777777777781E-3</v>
      </c>
      <c r="L3906" s="13"/>
    </row>
    <row r="3907" spans="1:12" x14ac:dyDescent="0.25">
      <c r="A3907" s="3" t="s">
        <v>6718</v>
      </c>
      <c r="B3907" s="3" t="s">
        <v>7168</v>
      </c>
      <c r="C3907" s="3" t="s">
        <v>2795</v>
      </c>
      <c r="D3907" s="9">
        <v>54</v>
      </c>
      <c r="E3907" s="3"/>
      <c r="F3907" s="3"/>
      <c r="G3907" s="9"/>
      <c r="H3907" s="10">
        <v>45685.393807870372</v>
      </c>
      <c r="I3907" s="10">
        <v>45685.394641203697</v>
      </c>
      <c r="J3907" s="10">
        <v>45685.396168981482</v>
      </c>
      <c r="K3907" s="11">
        <v>1.5277777777777781E-3</v>
      </c>
      <c r="L3907" s="13"/>
    </row>
    <row r="3908" spans="1:12" x14ac:dyDescent="0.25">
      <c r="A3908" s="3" t="s">
        <v>6718</v>
      </c>
      <c r="B3908" s="3" t="s">
        <v>7169</v>
      </c>
      <c r="C3908" s="3" t="s">
        <v>2802</v>
      </c>
      <c r="D3908" s="9">
        <v>15.7</v>
      </c>
      <c r="E3908" s="3"/>
      <c r="F3908" s="3"/>
      <c r="G3908" s="9"/>
      <c r="H3908" s="10">
        <v>45685.39875</v>
      </c>
      <c r="I3908" s="10">
        <v>45685.399583333332</v>
      </c>
      <c r="J3908" s="10">
        <v>45685.40111111111</v>
      </c>
      <c r="K3908" s="11">
        <v>1.5277777777777781E-3</v>
      </c>
      <c r="L3908" s="13"/>
    </row>
    <row r="3909" spans="1:12" x14ac:dyDescent="0.25">
      <c r="A3909" s="3" t="s">
        <v>6718</v>
      </c>
      <c r="B3909" s="3" t="s">
        <v>7170</v>
      </c>
      <c r="C3909" s="3" t="s">
        <v>2809</v>
      </c>
      <c r="D3909" s="9">
        <v>61.2</v>
      </c>
      <c r="E3909" s="3"/>
      <c r="F3909" s="3"/>
      <c r="G3909" s="9"/>
      <c r="H3909" s="10">
        <v>45685.403958333343</v>
      </c>
      <c r="I3909" s="10">
        <v>45685.404733796298</v>
      </c>
      <c r="J3909" s="10">
        <v>45685.406122685177</v>
      </c>
      <c r="K3909" s="11">
        <v>1.3888888888888889E-3</v>
      </c>
      <c r="L3909" s="13"/>
    </row>
    <row r="3910" spans="1:12" x14ac:dyDescent="0.25">
      <c r="A3910" s="3" t="s">
        <v>6718</v>
      </c>
      <c r="B3910" s="3" t="s">
        <v>7171</v>
      </c>
      <c r="C3910" s="3" t="s">
        <v>2833</v>
      </c>
      <c r="D3910" s="9">
        <v>147</v>
      </c>
      <c r="E3910" s="3"/>
      <c r="F3910" s="3"/>
      <c r="G3910" s="9"/>
      <c r="H3910" s="10">
        <v>45685.453692129631</v>
      </c>
      <c r="I3910" s="10">
        <v>45685.454560185193</v>
      </c>
      <c r="J3910" s="10">
        <v>45685.456087962957</v>
      </c>
      <c r="K3910" s="11">
        <v>1.5277777777777781E-3</v>
      </c>
      <c r="L3910" s="13"/>
    </row>
    <row r="3911" spans="1:12" x14ac:dyDescent="0.25">
      <c r="A3911" s="3" t="s">
        <v>6718</v>
      </c>
      <c r="B3911" s="3" t="s">
        <v>7172</v>
      </c>
      <c r="C3911" s="3" t="s">
        <v>2836</v>
      </c>
      <c r="D3911" s="9">
        <v>291.89999999999998</v>
      </c>
      <c r="E3911" s="3"/>
      <c r="F3911" s="3"/>
      <c r="G3911" s="9"/>
      <c r="H3911" s="10">
        <v>45685.548518518517</v>
      </c>
      <c r="I3911" s="10">
        <v>45685.549386574072</v>
      </c>
      <c r="J3911" s="10">
        <v>45685.55091435185</v>
      </c>
      <c r="K3911" s="11">
        <v>1.5277777777777781E-3</v>
      </c>
      <c r="L3911" s="13"/>
    </row>
    <row r="3912" spans="1:12" x14ac:dyDescent="0.25">
      <c r="A3912" s="3" t="s">
        <v>6718</v>
      </c>
      <c r="B3912" s="3" t="s">
        <v>7173</v>
      </c>
      <c r="C3912" s="3" t="s">
        <v>2839</v>
      </c>
      <c r="D3912" s="9">
        <v>389.8</v>
      </c>
      <c r="E3912" s="3"/>
      <c r="F3912" s="3"/>
      <c r="G3912" s="9"/>
      <c r="H3912" s="10">
        <v>45685.605995370373</v>
      </c>
      <c r="I3912" s="10">
        <v>45685.606851851851</v>
      </c>
      <c r="J3912" s="10">
        <v>45685.60837962963</v>
      </c>
      <c r="K3912" s="11">
        <v>1.5277777777777781E-3</v>
      </c>
      <c r="L3912" s="13"/>
    </row>
    <row r="3913" spans="1:12" x14ac:dyDescent="0.25">
      <c r="A3913" s="3" t="s">
        <v>6718</v>
      </c>
      <c r="B3913" s="3" t="s">
        <v>7174</v>
      </c>
      <c r="C3913" s="3" t="s">
        <v>2842</v>
      </c>
      <c r="D3913" s="9">
        <v>39.799999999999997</v>
      </c>
      <c r="E3913" s="3"/>
      <c r="F3913" s="3"/>
      <c r="G3913" s="9"/>
      <c r="H3913" s="10">
        <v>45685.62226851852</v>
      </c>
      <c r="I3913" s="10">
        <v>45685.623113425929</v>
      </c>
      <c r="J3913" s="10">
        <v>45685.624641203707</v>
      </c>
      <c r="K3913" s="11">
        <v>1.5277777777777781E-3</v>
      </c>
      <c r="L3913" s="13"/>
    </row>
    <row r="3914" spans="1:12" x14ac:dyDescent="0.25">
      <c r="A3914" s="3" t="s">
        <v>6718</v>
      </c>
      <c r="B3914" s="3" t="s">
        <v>7175</v>
      </c>
      <c r="C3914" s="3" t="s">
        <v>2845</v>
      </c>
      <c r="D3914" s="9">
        <v>15.7</v>
      </c>
      <c r="E3914" s="3"/>
      <c r="F3914" s="3"/>
      <c r="G3914" s="9"/>
      <c r="H3914" s="10">
        <v>45685.624189814807</v>
      </c>
      <c r="I3914" s="10">
        <v>45685.625057870369</v>
      </c>
      <c r="J3914" s="10">
        <v>45685.626585648148</v>
      </c>
      <c r="K3914" s="11">
        <v>1.5277777777777781E-3</v>
      </c>
      <c r="L3914" s="13"/>
    </row>
    <row r="3915" spans="1:12" x14ac:dyDescent="0.25">
      <c r="A3915" s="3" t="s">
        <v>6718</v>
      </c>
      <c r="B3915" s="3" t="s">
        <v>7176</v>
      </c>
      <c r="C3915" s="3" t="s">
        <v>2852</v>
      </c>
      <c r="D3915" s="9">
        <v>19.899999999999999</v>
      </c>
      <c r="E3915" s="3"/>
      <c r="F3915" s="3"/>
      <c r="G3915" s="9"/>
      <c r="H3915" s="10">
        <v>45685.629675925928</v>
      </c>
      <c r="I3915" s="10">
        <v>45685.630474537043</v>
      </c>
      <c r="J3915" s="10">
        <v>45685.631863425922</v>
      </c>
      <c r="K3915" s="11">
        <v>1.3888888888888889E-3</v>
      </c>
      <c r="L3915" s="13"/>
    </row>
    <row r="3916" spans="1:12" x14ac:dyDescent="0.25">
      <c r="A3916" s="3" t="s">
        <v>6718</v>
      </c>
      <c r="B3916" s="3" t="s">
        <v>7177</v>
      </c>
      <c r="C3916" s="3" t="s">
        <v>2855</v>
      </c>
      <c r="D3916" s="9">
        <v>21</v>
      </c>
      <c r="E3916" s="3"/>
      <c r="F3916" s="3"/>
      <c r="G3916" s="9"/>
      <c r="H3916" s="10">
        <v>45685.63082175926</v>
      </c>
      <c r="I3916" s="10">
        <v>45685.631666666668</v>
      </c>
      <c r="J3916" s="10">
        <v>45685.633194444446</v>
      </c>
      <c r="K3916" s="11">
        <v>1.5277777777777781E-3</v>
      </c>
      <c r="L3916" s="13"/>
    </row>
    <row r="3917" spans="1:12" x14ac:dyDescent="0.25">
      <c r="A3917" s="3" t="s">
        <v>6718</v>
      </c>
      <c r="B3917" s="3" t="s">
        <v>7178</v>
      </c>
      <c r="C3917" s="3" t="s">
        <v>2862</v>
      </c>
      <c r="D3917" s="9">
        <v>232.7</v>
      </c>
      <c r="E3917" s="3"/>
      <c r="F3917" s="3"/>
      <c r="G3917" s="9"/>
      <c r="H3917" s="10">
        <v>45685.821388888893</v>
      </c>
      <c r="I3917" s="10">
        <v>45685.822233796287</v>
      </c>
      <c r="J3917" s="10">
        <v>45685.823761574073</v>
      </c>
      <c r="K3917" s="11">
        <v>1.5277777777777781E-3</v>
      </c>
      <c r="L3917" s="13"/>
    </row>
    <row r="3918" spans="1:12" x14ac:dyDescent="0.25">
      <c r="A3918" s="3" t="s">
        <v>6718</v>
      </c>
      <c r="B3918" s="3" t="s">
        <v>7179</v>
      </c>
      <c r="C3918" s="3" t="s">
        <v>2865</v>
      </c>
      <c r="D3918" s="9">
        <v>397.3</v>
      </c>
      <c r="E3918" s="3"/>
      <c r="F3918" s="3"/>
      <c r="G3918" s="9"/>
      <c r="H3918" s="10">
        <v>45685.885613425933</v>
      </c>
      <c r="I3918" s="10">
        <v>45685.886458333327</v>
      </c>
      <c r="J3918" s="10">
        <v>45685.887986111113</v>
      </c>
      <c r="K3918" s="11">
        <v>1.5277777777777781E-3</v>
      </c>
      <c r="L3918" s="13"/>
    </row>
    <row r="3919" spans="1:12" x14ac:dyDescent="0.25">
      <c r="A3919" s="3" t="s">
        <v>6718</v>
      </c>
      <c r="B3919" s="3" t="s">
        <v>7180</v>
      </c>
      <c r="C3919" s="3" t="s">
        <v>2868</v>
      </c>
      <c r="D3919" s="9">
        <v>19.899999999999999</v>
      </c>
      <c r="E3919" s="3"/>
      <c r="F3919" s="3"/>
      <c r="G3919" s="9"/>
      <c r="H3919" s="10">
        <v>45686.126342592594</v>
      </c>
      <c r="I3919" s="10">
        <v>45686.127210648148</v>
      </c>
      <c r="J3919" s="10">
        <v>45686.128738425927</v>
      </c>
      <c r="K3919" s="11">
        <v>1.5277777777777781E-3</v>
      </c>
      <c r="L3919" s="13"/>
    </row>
    <row r="3920" spans="1:12" x14ac:dyDescent="0.25">
      <c r="A3920" s="3" t="s">
        <v>6718</v>
      </c>
      <c r="B3920" s="3" t="s">
        <v>7181</v>
      </c>
      <c r="C3920" s="3" t="s">
        <v>2871</v>
      </c>
      <c r="D3920" s="9">
        <v>165.8</v>
      </c>
      <c r="E3920" s="3"/>
      <c r="F3920" s="3"/>
      <c r="G3920" s="9"/>
      <c r="H3920" s="10">
        <v>45686.127847222233</v>
      </c>
      <c r="I3920" s="10">
        <v>45686.12871527778</v>
      </c>
      <c r="J3920" s="10">
        <v>45686.130243055559</v>
      </c>
      <c r="K3920" s="11">
        <v>1.5277777777777781E-3</v>
      </c>
      <c r="L3920" s="13"/>
    </row>
    <row r="3921" spans="1:12" x14ac:dyDescent="0.25">
      <c r="A3921" s="3" t="s">
        <v>6718</v>
      </c>
      <c r="B3921" s="3" t="s">
        <v>7182</v>
      </c>
      <c r="C3921" s="3" t="s">
        <v>2878</v>
      </c>
      <c r="D3921" s="9">
        <v>106.9</v>
      </c>
      <c r="E3921" s="3"/>
      <c r="F3921" s="3"/>
      <c r="G3921" s="9"/>
      <c r="H3921" s="10">
        <v>45686.187372685177</v>
      </c>
      <c r="I3921" s="10">
        <v>45686.188206018523</v>
      </c>
      <c r="J3921" s="10">
        <v>45686.189733796287</v>
      </c>
      <c r="K3921" s="11">
        <v>1.5277777777777781E-3</v>
      </c>
      <c r="L3921" s="13"/>
    </row>
    <row r="3922" spans="1:12" x14ac:dyDescent="0.25">
      <c r="A3922" s="3" t="s">
        <v>6718</v>
      </c>
      <c r="B3922" s="3" t="s">
        <v>7183</v>
      </c>
      <c r="C3922" s="3" t="s">
        <v>2881</v>
      </c>
      <c r="D3922" s="9">
        <v>297</v>
      </c>
      <c r="E3922" s="3"/>
      <c r="F3922" s="3"/>
      <c r="G3922" s="9"/>
      <c r="H3922" s="10">
        <v>45686.270613425928</v>
      </c>
      <c r="I3922" s="10">
        <v>45686.271481481483</v>
      </c>
      <c r="J3922" s="10">
        <v>45686.273009259261</v>
      </c>
      <c r="K3922" s="11">
        <v>1.5277777777777781E-3</v>
      </c>
      <c r="L3922" s="13"/>
    </row>
    <row r="3923" spans="1:12" x14ac:dyDescent="0.25">
      <c r="A3923" s="3" t="s">
        <v>6718</v>
      </c>
      <c r="B3923" s="3" t="s">
        <v>7184</v>
      </c>
      <c r="C3923" s="3" t="s">
        <v>2883</v>
      </c>
      <c r="D3923" s="9">
        <v>397.3</v>
      </c>
      <c r="E3923" s="3"/>
      <c r="F3923" s="3"/>
      <c r="G3923" s="9"/>
      <c r="H3923" s="10">
        <v>45686.315104166657</v>
      </c>
      <c r="I3923" s="10">
        <v>45686.315949074073</v>
      </c>
      <c r="J3923" s="10">
        <v>45686.317476851851</v>
      </c>
      <c r="K3923" s="11">
        <v>1.5277777777777781E-3</v>
      </c>
      <c r="L3923" s="13"/>
    </row>
    <row r="3924" spans="1:12" x14ac:dyDescent="0.25">
      <c r="A3924" s="3" t="s">
        <v>6718</v>
      </c>
      <c r="B3924" s="3" t="s">
        <v>7185</v>
      </c>
      <c r="C3924" s="3" t="s">
        <v>2885</v>
      </c>
      <c r="D3924" s="9">
        <v>129.30000000000001</v>
      </c>
      <c r="E3924" s="3"/>
      <c r="F3924" s="3"/>
      <c r="G3924" s="9"/>
      <c r="H3924" s="10">
        <v>45686.320381944453</v>
      </c>
      <c r="I3924" s="10">
        <v>45686.321226851847</v>
      </c>
      <c r="J3924" s="10">
        <v>45686.322754629633</v>
      </c>
      <c r="K3924" s="11">
        <v>1.5277777777777781E-3</v>
      </c>
      <c r="L3924" s="13"/>
    </row>
    <row r="3925" spans="1:12" x14ac:dyDescent="0.25">
      <c r="A3925" s="3" t="s">
        <v>6718</v>
      </c>
      <c r="B3925" s="3" t="s">
        <v>7186</v>
      </c>
      <c r="C3925" s="3" t="s">
        <v>2887</v>
      </c>
      <c r="D3925" s="9">
        <v>16.5</v>
      </c>
      <c r="E3925" s="3"/>
      <c r="F3925" s="3"/>
      <c r="G3925" s="9"/>
      <c r="H3925" s="10">
        <v>45686.355254629627</v>
      </c>
      <c r="I3925" s="10">
        <v>45686.356122685182</v>
      </c>
      <c r="J3925" s="10">
        <v>45686.35765046296</v>
      </c>
      <c r="K3925" s="11">
        <v>1.5277777777777781E-3</v>
      </c>
      <c r="L3925" s="13"/>
    </row>
    <row r="3926" spans="1:12" x14ac:dyDescent="0.25">
      <c r="A3926" s="3" t="s">
        <v>6718</v>
      </c>
      <c r="B3926" s="3" t="s">
        <v>7187</v>
      </c>
      <c r="C3926" s="3" t="s">
        <v>2890</v>
      </c>
      <c r="D3926" s="9">
        <v>63</v>
      </c>
      <c r="E3926" s="3"/>
      <c r="F3926" s="3"/>
      <c r="G3926" s="9"/>
      <c r="H3926" s="10">
        <v>45686.356527777767</v>
      </c>
      <c r="I3926" s="10">
        <v>45686.357361111113</v>
      </c>
      <c r="J3926" s="10">
        <v>45686.358888888892</v>
      </c>
      <c r="K3926" s="11">
        <v>1.5277777777777781E-3</v>
      </c>
      <c r="L3926" s="13"/>
    </row>
    <row r="3927" spans="1:12" x14ac:dyDescent="0.25">
      <c r="A3927" s="3" t="s">
        <v>6718</v>
      </c>
      <c r="B3927" s="3" t="s">
        <v>7188</v>
      </c>
      <c r="C3927" s="3" t="s">
        <v>2901</v>
      </c>
      <c r="D3927" s="9">
        <v>59.7</v>
      </c>
      <c r="E3927" s="3"/>
      <c r="F3927" s="3"/>
      <c r="G3927" s="9"/>
      <c r="H3927" s="10">
        <v>45686.401655092603</v>
      </c>
      <c r="I3927" s="10">
        <v>45686.402511574073</v>
      </c>
      <c r="J3927" s="10">
        <v>45686.404039351852</v>
      </c>
      <c r="K3927" s="11">
        <v>1.5277777777777781E-3</v>
      </c>
      <c r="L3927" s="13"/>
    </row>
    <row r="3928" spans="1:12" x14ac:dyDescent="0.25">
      <c r="A3928" s="3" t="s">
        <v>6718</v>
      </c>
      <c r="B3928" s="3" t="s">
        <v>7189</v>
      </c>
      <c r="C3928" s="3" t="s">
        <v>2907</v>
      </c>
      <c r="D3928" s="9">
        <v>19.899999999999999</v>
      </c>
      <c r="E3928" s="3"/>
      <c r="F3928" s="3"/>
      <c r="G3928" s="9"/>
      <c r="H3928" s="10">
        <v>45686.405578703707</v>
      </c>
      <c r="I3928" s="10">
        <v>45686.406423611108</v>
      </c>
      <c r="J3928" s="10">
        <v>45686.407951388886</v>
      </c>
      <c r="K3928" s="11">
        <v>1.5277777777777781E-3</v>
      </c>
      <c r="L3928" s="13"/>
    </row>
    <row r="3929" spans="1:12" x14ac:dyDescent="0.25">
      <c r="A3929" s="3" t="s">
        <v>6718</v>
      </c>
      <c r="B3929" s="3" t="s">
        <v>7190</v>
      </c>
      <c r="C3929" s="3" t="s">
        <v>2914</v>
      </c>
      <c r="D3929" s="9">
        <v>220.3</v>
      </c>
      <c r="E3929" s="3"/>
      <c r="F3929" s="3"/>
      <c r="G3929" s="9"/>
      <c r="H3929" s="10">
        <v>45686.449652777781</v>
      </c>
      <c r="I3929" s="10">
        <v>45686.450520833343</v>
      </c>
      <c r="J3929" s="10">
        <v>45686.452048611107</v>
      </c>
      <c r="K3929" s="11">
        <v>1.5277777777777781E-3</v>
      </c>
      <c r="L3929" s="13"/>
    </row>
    <row r="3930" spans="1:12" x14ac:dyDescent="0.25">
      <c r="A3930" s="3" t="s">
        <v>6718</v>
      </c>
      <c r="B3930" s="3" t="s">
        <v>7191</v>
      </c>
      <c r="C3930" s="3" t="s">
        <v>2917</v>
      </c>
      <c r="D3930" s="9">
        <v>259.7</v>
      </c>
      <c r="E3930" s="3"/>
      <c r="F3930" s="3"/>
      <c r="G3930" s="9"/>
      <c r="H3930" s="10">
        <v>45686.554282407407</v>
      </c>
      <c r="I3930" s="10">
        <v>45686.555127314823</v>
      </c>
      <c r="J3930" s="10">
        <v>45686.556655092587</v>
      </c>
      <c r="K3930" s="11">
        <v>1.5277777777777781E-3</v>
      </c>
      <c r="L3930" s="13"/>
    </row>
    <row r="3931" spans="1:12" x14ac:dyDescent="0.25">
      <c r="A3931" s="3" t="s">
        <v>6718</v>
      </c>
      <c r="B3931" s="3" t="s">
        <v>7192</v>
      </c>
      <c r="C3931" s="3" t="s">
        <v>2920</v>
      </c>
      <c r="D3931" s="9">
        <v>398</v>
      </c>
      <c r="E3931" s="3"/>
      <c r="F3931" s="3"/>
      <c r="G3931" s="9"/>
      <c r="H3931" s="10">
        <v>45686.614629629628</v>
      </c>
      <c r="I3931" s="10">
        <v>45686.615474537037</v>
      </c>
      <c r="J3931" s="10">
        <v>45686.617002314822</v>
      </c>
      <c r="K3931" s="11">
        <v>1.5277777777777781E-3</v>
      </c>
      <c r="L3931" s="13"/>
    </row>
    <row r="3932" spans="1:12" x14ac:dyDescent="0.25">
      <c r="A3932" s="3" t="s">
        <v>6718</v>
      </c>
      <c r="B3932" s="3" t="s">
        <v>7193</v>
      </c>
      <c r="C3932" s="3" t="s">
        <v>2925</v>
      </c>
      <c r="D3932" s="9">
        <v>81</v>
      </c>
      <c r="E3932" s="3"/>
      <c r="F3932" s="3"/>
      <c r="G3932" s="9"/>
      <c r="H3932" s="10">
        <v>45686.642650462964</v>
      </c>
      <c r="I3932" s="10">
        <v>45686.643414351849</v>
      </c>
      <c r="J3932" s="10">
        <v>45686.644803240742</v>
      </c>
      <c r="K3932" s="11">
        <v>1.3888888888888889E-3</v>
      </c>
      <c r="L3932" s="13"/>
    </row>
    <row r="3933" spans="1:12" x14ac:dyDescent="0.25">
      <c r="A3933" s="3" t="s">
        <v>6718</v>
      </c>
      <c r="B3933" s="3" t="s">
        <v>7194</v>
      </c>
      <c r="C3933" s="3" t="s">
        <v>2930</v>
      </c>
      <c r="D3933" s="9">
        <v>15.7</v>
      </c>
      <c r="E3933" s="3"/>
      <c r="F3933" s="3"/>
      <c r="G3933" s="9"/>
      <c r="H3933" s="10">
        <v>45686.645648148151</v>
      </c>
      <c r="I3933" s="10">
        <v>45686.646423611113</v>
      </c>
      <c r="J3933" s="10">
        <v>45686.647812499999</v>
      </c>
      <c r="K3933" s="11">
        <v>1.3888888888888889E-3</v>
      </c>
      <c r="L3933" s="13"/>
    </row>
    <row r="3934" spans="1:12" x14ac:dyDescent="0.25">
      <c r="A3934" s="3" t="s">
        <v>6718</v>
      </c>
      <c r="B3934" s="3" t="s">
        <v>7195</v>
      </c>
      <c r="C3934" s="3" t="s">
        <v>2933</v>
      </c>
      <c r="D3934" s="9">
        <v>19.899999999999999</v>
      </c>
      <c r="E3934" s="3"/>
      <c r="F3934" s="3"/>
      <c r="G3934" s="9"/>
      <c r="H3934" s="10">
        <v>45686.647569444453</v>
      </c>
      <c r="I3934" s="10">
        <v>45686.648425925923</v>
      </c>
      <c r="J3934" s="10">
        <v>45686.649953703702</v>
      </c>
      <c r="K3934" s="11">
        <v>1.5277777777777781E-3</v>
      </c>
      <c r="L3934" s="13"/>
    </row>
    <row r="3935" spans="1:12" x14ac:dyDescent="0.25">
      <c r="A3935" s="3" t="s">
        <v>6718</v>
      </c>
      <c r="B3935" s="3" t="s">
        <v>7196</v>
      </c>
      <c r="C3935" s="3" t="s">
        <v>2936</v>
      </c>
      <c r="D3935" s="9">
        <v>78</v>
      </c>
      <c r="E3935" s="3"/>
      <c r="F3935" s="3"/>
      <c r="G3935" s="9"/>
      <c r="H3935" s="10">
        <v>45686.649212962962</v>
      </c>
      <c r="I3935" s="10">
        <v>45686.650057870371</v>
      </c>
      <c r="J3935" s="10">
        <v>45686.651585648149</v>
      </c>
      <c r="K3935" s="11">
        <v>1.5277777777777781E-3</v>
      </c>
      <c r="L3935" s="13"/>
    </row>
    <row r="3936" spans="1:12" x14ac:dyDescent="0.25">
      <c r="A3936" s="3" t="s">
        <v>6718</v>
      </c>
      <c r="B3936" s="3" t="s">
        <v>7197</v>
      </c>
      <c r="C3936" s="3" t="s">
        <v>2948</v>
      </c>
      <c r="D3936" s="9">
        <v>302.10000000000002</v>
      </c>
      <c r="E3936" s="3"/>
      <c r="F3936" s="3"/>
      <c r="G3936" s="9"/>
      <c r="H3936" s="10">
        <v>45686.738495370373</v>
      </c>
      <c r="I3936" s="10">
        <v>45686.739328703698</v>
      </c>
      <c r="J3936" s="10">
        <v>45686.740856481483</v>
      </c>
      <c r="K3936" s="11">
        <v>1.5277777777777781E-3</v>
      </c>
      <c r="L3936" s="13"/>
    </row>
    <row r="3937" spans="1:12" x14ac:dyDescent="0.25">
      <c r="A3937" s="3" t="s">
        <v>6718</v>
      </c>
      <c r="B3937" s="3" t="s">
        <v>7198</v>
      </c>
      <c r="C3937" s="3" t="s">
        <v>2951</v>
      </c>
      <c r="D3937" s="9">
        <v>15.7</v>
      </c>
      <c r="E3937" s="3"/>
      <c r="F3937" s="3"/>
      <c r="G3937" s="9"/>
      <c r="H3937" s="10">
        <v>45686.755243055559</v>
      </c>
      <c r="I3937" s="10">
        <v>45686.756076388891</v>
      </c>
      <c r="J3937" s="10">
        <v>45686.757604166669</v>
      </c>
      <c r="K3937" s="11">
        <v>1.5277777777777781E-3</v>
      </c>
      <c r="L3937" s="13"/>
    </row>
    <row r="3938" spans="1:12" x14ac:dyDescent="0.25">
      <c r="A3938" s="3" t="s">
        <v>6718</v>
      </c>
      <c r="B3938" s="3" t="s">
        <v>7199</v>
      </c>
      <c r="C3938" s="3" t="s">
        <v>2954</v>
      </c>
      <c r="D3938" s="9">
        <v>27</v>
      </c>
      <c r="E3938" s="3"/>
      <c r="F3938" s="3"/>
      <c r="G3938" s="9"/>
      <c r="H3938" s="10">
        <v>45686.758402777778</v>
      </c>
      <c r="I3938" s="10">
        <v>45686.759247685193</v>
      </c>
      <c r="J3938" s="10">
        <v>45686.760775462957</v>
      </c>
      <c r="K3938" s="11">
        <v>1.5277777777777781E-3</v>
      </c>
      <c r="L3938" s="13"/>
    </row>
    <row r="3939" spans="1:12" x14ac:dyDescent="0.25">
      <c r="A3939" s="3" t="s">
        <v>6718</v>
      </c>
      <c r="B3939" s="3" t="s">
        <v>7200</v>
      </c>
      <c r="C3939" s="3" t="s">
        <v>2963</v>
      </c>
      <c r="D3939" s="9">
        <v>42</v>
      </c>
      <c r="E3939" s="3"/>
      <c r="F3939" s="3"/>
      <c r="G3939" s="9"/>
      <c r="H3939" s="10">
        <v>45686.7658912037</v>
      </c>
      <c r="I3939" s="10">
        <v>45686.766724537039</v>
      </c>
      <c r="J3939" s="10">
        <v>45686.768252314818</v>
      </c>
      <c r="K3939" s="11">
        <v>1.5277777777777781E-3</v>
      </c>
      <c r="L3939" s="13"/>
    </row>
    <row r="3940" spans="1:12" x14ac:dyDescent="0.25">
      <c r="A3940" s="3" t="s">
        <v>6718</v>
      </c>
      <c r="B3940" s="3" t="s">
        <v>7201</v>
      </c>
      <c r="C3940" s="3" t="s">
        <v>2972</v>
      </c>
      <c r="D3940" s="9">
        <v>380.8</v>
      </c>
      <c r="E3940" s="3"/>
      <c r="F3940" s="3"/>
      <c r="G3940" s="9"/>
      <c r="H3940" s="10">
        <v>45686.877083333333</v>
      </c>
      <c r="I3940" s="10">
        <v>45686.877939814818</v>
      </c>
      <c r="J3940" s="10">
        <v>45686.879467592589</v>
      </c>
      <c r="K3940" s="11">
        <v>1.5277777777777781E-3</v>
      </c>
      <c r="L3940" s="13"/>
    </row>
    <row r="3941" spans="1:12" x14ac:dyDescent="0.25">
      <c r="A3941" s="3" t="s">
        <v>6718</v>
      </c>
      <c r="B3941" s="3" t="s">
        <v>7202</v>
      </c>
      <c r="C3941" s="3" t="s">
        <v>2979</v>
      </c>
      <c r="D3941" s="9">
        <v>31.5</v>
      </c>
      <c r="E3941" s="3"/>
      <c r="F3941" s="3"/>
      <c r="G3941" s="9"/>
      <c r="H3941" s="10">
        <v>45687.128101851849</v>
      </c>
      <c r="I3941" s="10">
        <v>45687.128946759258</v>
      </c>
      <c r="J3941" s="10">
        <v>45687.130474537043</v>
      </c>
      <c r="K3941" s="11">
        <v>1.5277777777777781E-3</v>
      </c>
      <c r="L3941" s="13"/>
    </row>
    <row r="3942" spans="1:12" x14ac:dyDescent="0.25">
      <c r="A3942" s="3" t="s">
        <v>6718</v>
      </c>
      <c r="B3942" s="3" t="s">
        <v>7203</v>
      </c>
      <c r="C3942" s="3" t="s">
        <v>2982</v>
      </c>
      <c r="D3942" s="9">
        <v>12</v>
      </c>
      <c r="E3942" s="3"/>
      <c r="F3942" s="3"/>
      <c r="G3942" s="9"/>
      <c r="H3942" s="10">
        <v>45687.13</v>
      </c>
      <c r="I3942" s="10">
        <v>45687.130868055552</v>
      </c>
      <c r="J3942" s="10">
        <v>45687.132395833331</v>
      </c>
      <c r="K3942" s="11">
        <v>1.5277777777777781E-3</v>
      </c>
      <c r="L3942" s="13"/>
    </row>
    <row r="3943" spans="1:12" x14ac:dyDescent="0.25">
      <c r="A3943" s="3" t="s">
        <v>6718</v>
      </c>
      <c r="B3943" s="3" t="s">
        <v>7204</v>
      </c>
      <c r="C3943" s="3" t="s">
        <v>2985</v>
      </c>
      <c r="D3943" s="9">
        <v>21</v>
      </c>
      <c r="E3943" s="3"/>
      <c r="F3943" s="3"/>
      <c r="G3943" s="9"/>
      <c r="H3943" s="10">
        <v>45687.13140046296</v>
      </c>
      <c r="I3943" s="10">
        <v>45687.132245370369</v>
      </c>
      <c r="J3943" s="10">
        <v>45687.133773148147</v>
      </c>
      <c r="K3943" s="11">
        <v>1.5277777777777781E-3</v>
      </c>
      <c r="L3943" s="13"/>
    </row>
    <row r="3944" spans="1:12" x14ac:dyDescent="0.25">
      <c r="A3944" s="3" t="s">
        <v>6718</v>
      </c>
      <c r="B3944" s="3" t="s">
        <v>7205</v>
      </c>
      <c r="C3944" s="3" t="s">
        <v>2988</v>
      </c>
      <c r="D3944" s="9">
        <v>297</v>
      </c>
      <c r="E3944" s="3"/>
      <c r="F3944" s="3"/>
      <c r="G3944" s="9"/>
      <c r="H3944" s="10">
        <v>45687.272280092591</v>
      </c>
      <c r="I3944" s="10">
        <v>45687.273148148153</v>
      </c>
      <c r="J3944" s="10">
        <v>45687.274675925917</v>
      </c>
      <c r="K3944" s="11">
        <v>1.5277777777777781E-3</v>
      </c>
      <c r="L3944" s="13"/>
    </row>
    <row r="3945" spans="1:12" x14ac:dyDescent="0.25">
      <c r="A3945" s="3" t="s">
        <v>6718</v>
      </c>
      <c r="B3945" s="3" t="s">
        <v>7206</v>
      </c>
      <c r="C3945" s="3" t="s">
        <v>2999</v>
      </c>
      <c r="D3945" s="9">
        <v>15.7</v>
      </c>
      <c r="E3945" s="3"/>
      <c r="F3945" s="3"/>
      <c r="G3945" s="9"/>
      <c r="H3945" s="10">
        <v>45687.330775462957</v>
      </c>
      <c r="I3945" s="10">
        <v>45687.331620370373</v>
      </c>
      <c r="J3945" s="10">
        <v>45687.333148148151</v>
      </c>
      <c r="K3945" s="11">
        <v>1.5277777777777781E-3</v>
      </c>
      <c r="L3945" s="13"/>
    </row>
    <row r="3946" spans="1:12" x14ac:dyDescent="0.25">
      <c r="A3946" s="3" t="s">
        <v>6718</v>
      </c>
      <c r="B3946" s="3" t="s">
        <v>7207</v>
      </c>
      <c r="C3946" s="3" t="s">
        <v>3012</v>
      </c>
      <c r="D3946" s="9">
        <v>39.799999999999997</v>
      </c>
      <c r="E3946" s="3"/>
      <c r="F3946" s="3"/>
      <c r="G3946" s="9"/>
      <c r="H3946" s="10">
        <v>45687.339421296303</v>
      </c>
      <c r="I3946" s="10">
        <v>45687.340208333328</v>
      </c>
      <c r="J3946" s="10">
        <v>45687.341597222221</v>
      </c>
      <c r="K3946" s="11">
        <v>1.3888888888888889E-3</v>
      </c>
      <c r="L3946" s="13"/>
    </row>
    <row r="3947" spans="1:12" x14ac:dyDescent="0.25">
      <c r="A3947" s="3" t="s">
        <v>6718</v>
      </c>
      <c r="B3947" s="3" t="s">
        <v>7208</v>
      </c>
      <c r="C3947" s="3" t="s">
        <v>3021</v>
      </c>
      <c r="D3947" s="9">
        <v>135</v>
      </c>
      <c r="E3947" s="3"/>
      <c r="F3947" s="3"/>
      <c r="G3947" s="9"/>
      <c r="H3947" s="10">
        <v>45687.396527777782</v>
      </c>
      <c r="I3947" s="10">
        <v>45687.397291666668</v>
      </c>
      <c r="J3947" s="10">
        <v>45687.398680555547</v>
      </c>
      <c r="K3947" s="11">
        <v>1.3888888888888889E-3</v>
      </c>
      <c r="L3947" s="13"/>
    </row>
    <row r="3948" spans="1:12" x14ac:dyDescent="0.25">
      <c r="A3948" s="3" t="s">
        <v>6718</v>
      </c>
      <c r="B3948" s="3" t="s">
        <v>7209</v>
      </c>
      <c r="C3948" s="3" t="s">
        <v>3024</v>
      </c>
      <c r="D3948" s="9">
        <v>28</v>
      </c>
      <c r="E3948" s="3"/>
      <c r="F3948" s="3"/>
      <c r="G3948" s="9"/>
      <c r="H3948" s="10">
        <v>45687.398506944453</v>
      </c>
      <c r="I3948" s="10">
        <v>45687.399351851847</v>
      </c>
      <c r="J3948" s="10">
        <v>45687.400879629633</v>
      </c>
      <c r="K3948" s="11">
        <v>1.5277777777777781E-3</v>
      </c>
      <c r="L3948" s="13"/>
    </row>
    <row r="3949" spans="1:12" x14ac:dyDescent="0.25">
      <c r="A3949" s="3" t="s">
        <v>6718</v>
      </c>
      <c r="B3949" s="3" t="s">
        <v>7210</v>
      </c>
      <c r="C3949" s="3" t="s">
        <v>3027</v>
      </c>
      <c r="D3949" s="9">
        <v>78.400000000000006</v>
      </c>
      <c r="E3949" s="3"/>
      <c r="F3949" s="3"/>
      <c r="G3949" s="9"/>
      <c r="H3949" s="10">
        <v>45687.402627314812</v>
      </c>
      <c r="I3949" s="10">
        <v>45687.40347222222</v>
      </c>
      <c r="J3949" s="10">
        <v>45687.404999999999</v>
      </c>
      <c r="K3949" s="11">
        <v>1.5277777777777781E-3</v>
      </c>
      <c r="L3949" s="13"/>
    </row>
    <row r="3950" spans="1:12" x14ac:dyDescent="0.25">
      <c r="A3950" s="3" t="s">
        <v>6718</v>
      </c>
      <c r="B3950" s="3" t="s">
        <v>7211</v>
      </c>
      <c r="C3950" s="3" t="s">
        <v>3030</v>
      </c>
      <c r="D3950" s="9">
        <v>35.6</v>
      </c>
      <c r="E3950" s="3"/>
      <c r="F3950" s="3"/>
      <c r="G3950" s="9"/>
      <c r="H3950" s="10">
        <v>45687.404594907413</v>
      </c>
      <c r="I3950" s="10">
        <v>45687.405462962961</v>
      </c>
      <c r="J3950" s="10">
        <v>45687.406990740739</v>
      </c>
      <c r="K3950" s="11">
        <v>1.5277777777777781E-3</v>
      </c>
      <c r="L3950" s="13"/>
    </row>
    <row r="3951" spans="1:12" x14ac:dyDescent="0.25">
      <c r="A3951" s="3" t="s">
        <v>6718</v>
      </c>
      <c r="B3951" s="3" t="s">
        <v>7212</v>
      </c>
      <c r="C3951" s="3" t="s">
        <v>3036</v>
      </c>
      <c r="D3951" s="9">
        <v>291.7</v>
      </c>
      <c r="E3951" s="3"/>
      <c r="F3951" s="3"/>
      <c r="G3951" s="9"/>
      <c r="H3951" s="10">
        <v>45687.549259259264</v>
      </c>
      <c r="I3951" s="10">
        <v>45687.550034722219</v>
      </c>
      <c r="J3951" s="10">
        <v>45687.551423611112</v>
      </c>
      <c r="K3951" s="11">
        <v>1.3888888888888889E-3</v>
      </c>
      <c r="L3951" s="13"/>
    </row>
    <row r="3952" spans="1:12" x14ac:dyDescent="0.25">
      <c r="A3952" s="3" t="s">
        <v>6718</v>
      </c>
      <c r="B3952" s="3" t="s">
        <v>7213</v>
      </c>
      <c r="C3952" s="3" t="s">
        <v>3041</v>
      </c>
      <c r="D3952" s="9">
        <v>31.5</v>
      </c>
      <c r="E3952" s="3"/>
      <c r="F3952" s="3"/>
      <c r="G3952" s="9"/>
      <c r="H3952" s="10">
        <v>45687.637939814813</v>
      </c>
      <c r="I3952" s="10">
        <v>45687.638807870368</v>
      </c>
      <c r="J3952" s="10">
        <v>45687.640335648153</v>
      </c>
      <c r="K3952" s="11">
        <v>1.5277777777777781E-3</v>
      </c>
      <c r="L3952" s="13"/>
    </row>
    <row r="3953" spans="1:12" x14ac:dyDescent="0.25">
      <c r="A3953" s="3" t="s">
        <v>6718</v>
      </c>
      <c r="B3953" s="3" t="s">
        <v>7214</v>
      </c>
      <c r="C3953" s="3" t="s">
        <v>3052</v>
      </c>
      <c r="D3953" s="9">
        <v>54</v>
      </c>
      <c r="E3953" s="3"/>
      <c r="F3953" s="3"/>
      <c r="G3953" s="9"/>
      <c r="H3953" s="10">
        <v>45687.647673611107</v>
      </c>
      <c r="I3953" s="10">
        <v>45687.648541666669</v>
      </c>
      <c r="J3953" s="10">
        <v>45687.650069444448</v>
      </c>
      <c r="K3953" s="11">
        <v>1.5277777777777781E-3</v>
      </c>
      <c r="L3953" s="13"/>
    </row>
    <row r="3954" spans="1:12" x14ac:dyDescent="0.25">
      <c r="A3954" s="3" t="s">
        <v>6718</v>
      </c>
      <c r="B3954" s="3" t="s">
        <v>7215</v>
      </c>
      <c r="C3954" s="3" t="s">
        <v>3055</v>
      </c>
      <c r="D3954" s="9">
        <v>15.7</v>
      </c>
      <c r="E3954" s="3"/>
      <c r="F3954" s="3"/>
      <c r="G3954" s="9"/>
      <c r="H3954" s="10">
        <v>45687.654305555552</v>
      </c>
      <c r="I3954" s="10">
        <v>45687.655150462961</v>
      </c>
      <c r="J3954" s="10">
        <v>45687.656678240739</v>
      </c>
      <c r="K3954" s="11">
        <v>1.5277777777777781E-3</v>
      </c>
      <c r="L3954" s="13"/>
    </row>
    <row r="3955" spans="1:12" x14ac:dyDescent="0.25">
      <c r="A3955" s="3" t="s">
        <v>6718</v>
      </c>
      <c r="B3955" s="3" t="s">
        <v>7216</v>
      </c>
      <c r="C3955" s="3" t="s">
        <v>3058</v>
      </c>
      <c r="D3955" s="9">
        <v>47.2</v>
      </c>
      <c r="E3955" s="3"/>
      <c r="F3955" s="3"/>
      <c r="G3955" s="9"/>
      <c r="H3955" s="10">
        <v>45687.730624999997</v>
      </c>
      <c r="I3955" s="10">
        <v>45687.731400462973</v>
      </c>
      <c r="J3955" s="10">
        <v>45687.732789351852</v>
      </c>
      <c r="K3955" s="11">
        <v>1.3888888888888889E-3</v>
      </c>
      <c r="L3955" s="13"/>
    </row>
    <row r="3956" spans="1:12" x14ac:dyDescent="0.25">
      <c r="A3956" s="3" t="s">
        <v>6718</v>
      </c>
      <c r="B3956" s="3" t="s">
        <v>7217</v>
      </c>
      <c r="C3956" s="3" t="s">
        <v>3062</v>
      </c>
      <c r="D3956" s="9">
        <v>389.1</v>
      </c>
      <c r="E3956" s="3"/>
      <c r="F3956" s="3"/>
      <c r="G3956" s="9"/>
      <c r="H3956" s="10">
        <v>45687.862847222219</v>
      </c>
      <c r="I3956" s="10">
        <v>45687.863715277781</v>
      </c>
      <c r="J3956" s="10">
        <v>45687.865243055552</v>
      </c>
      <c r="K3956" s="11">
        <v>1.5277777777777781E-3</v>
      </c>
      <c r="L3956" s="13"/>
    </row>
    <row r="3957" spans="1:12" x14ac:dyDescent="0.25">
      <c r="A3957" s="3" t="s">
        <v>6718</v>
      </c>
      <c r="B3957" s="3" t="s">
        <v>7218</v>
      </c>
      <c r="C3957" s="3" t="s">
        <v>3064</v>
      </c>
      <c r="D3957" s="9">
        <v>15.7</v>
      </c>
      <c r="E3957" s="3"/>
      <c r="F3957" s="3"/>
      <c r="G3957" s="9"/>
      <c r="H3957" s="10">
        <v>45688.128819444442</v>
      </c>
      <c r="I3957" s="10">
        <v>45688.129687499997</v>
      </c>
      <c r="J3957" s="10">
        <v>45688.131215277783</v>
      </c>
      <c r="K3957" s="11">
        <v>1.5277777777777781E-3</v>
      </c>
      <c r="L3957" s="13"/>
    </row>
    <row r="3958" spans="1:12" x14ac:dyDescent="0.25">
      <c r="A3958" s="3" t="s">
        <v>6718</v>
      </c>
      <c r="B3958" s="3" t="s">
        <v>7219</v>
      </c>
      <c r="C3958" s="3" t="s">
        <v>3067</v>
      </c>
      <c r="D3958" s="9">
        <v>81.8</v>
      </c>
      <c r="E3958" s="3"/>
      <c r="F3958" s="3"/>
      <c r="G3958" s="9"/>
      <c r="H3958" s="10">
        <v>45688.130694444437</v>
      </c>
      <c r="I3958" s="10">
        <v>45688.131493055553</v>
      </c>
      <c r="J3958" s="10">
        <v>45688.132881944453</v>
      </c>
      <c r="K3958" s="11">
        <v>1.3888888888888889E-3</v>
      </c>
      <c r="L3958" s="13"/>
    </row>
    <row r="3959" spans="1:12" x14ac:dyDescent="0.25">
      <c r="A3959" s="3" t="s">
        <v>6718</v>
      </c>
      <c r="B3959" s="3" t="s">
        <v>7220</v>
      </c>
      <c r="C3959" s="3" t="s">
        <v>3070</v>
      </c>
      <c r="D3959" s="9">
        <v>54.7</v>
      </c>
      <c r="E3959" s="3"/>
      <c r="F3959" s="3"/>
      <c r="G3959" s="9"/>
      <c r="H3959" s="10">
        <v>45688.132291666669</v>
      </c>
      <c r="I3959" s="10">
        <v>45688.133159722223</v>
      </c>
      <c r="J3959" s="10">
        <v>45688.134687500002</v>
      </c>
      <c r="K3959" s="11">
        <v>1.5277777777777781E-3</v>
      </c>
      <c r="L3959" s="13"/>
    </row>
    <row r="3960" spans="1:12" x14ac:dyDescent="0.25">
      <c r="A3960" s="3" t="s">
        <v>6718</v>
      </c>
      <c r="B3960" s="3" t="s">
        <v>7221</v>
      </c>
      <c r="C3960" s="3" t="s">
        <v>3075</v>
      </c>
      <c r="D3960" s="9">
        <v>31.9</v>
      </c>
      <c r="E3960" s="3"/>
      <c r="F3960" s="3"/>
      <c r="G3960" s="9"/>
      <c r="H3960" s="10">
        <v>45688.135405092587</v>
      </c>
      <c r="I3960" s="10">
        <v>45688.136192129627</v>
      </c>
      <c r="J3960" s="10">
        <v>45688.13758101852</v>
      </c>
      <c r="K3960" s="11">
        <v>1.3888888888888889E-3</v>
      </c>
      <c r="L3960" s="13"/>
    </row>
    <row r="3961" spans="1:12" x14ac:dyDescent="0.25">
      <c r="A3961" s="3" t="s">
        <v>6718</v>
      </c>
      <c r="B3961" s="3" t="s">
        <v>7222</v>
      </c>
      <c r="C3961" s="3" t="s">
        <v>3078</v>
      </c>
      <c r="D3961" s="9">
        <v>297</v>
      </c>
      <c r="E3961" s="3"/>
      <c r="F3961" s="3"/>
      <c r="G3961" s="9"/>
      <c r="H3961" s="10">
        <v>45688.257974537039</v>
      </c>
      <c r="I3961" s="10">
        <v>45688.258750000001</v>
      </c>
      <c r="J3961" s="10">
        <v>45688.260138888887</v>
      </c>
      <c r="K3961" s="11">
        <v>1.3888888888888889E-3</v>
      </c>
      <c r="L3961" s="13"/>
    </row>
    <row r="3962" spans="1:12" x14ac:dyDescent="0.25">
      <c r="A3962" s="3" t="s">
        <v>6718</v>
      </c>
      <c r="B3962" s="3" t="s">
        <v>7223</v>
      </c>
      <c r="C3962" s="3" t="s">
        <v>3081</v>
      </c>
      <c r="D3962" s="9">
        <v>74.599999999999994</v>
      </c>
      <c r="E3962" s="3"/>
      <c r="F3962" s="3"/>
      <c r="G3962" s="9"/>
      <c r="H3962" s="10">
        <v>45688.29923611111</v>
      </c>
      <c r="I3962" s="10">
        <v>45688.300104166658</v>
      </c>
      <c r="J3962" s="10">
        <v>45688.301631944443</v>
      </c>
      <c r="K3962" s="11">
        <v>1.5277777777777781E-3</v>
      </c>
      <c r="L3962" s="13"/>
    </row>
    <row r="3963" spans="1:12" x14ac:dyDescent="0.25">
      <c r="A3963" s="3" t="s">
        <v>6718</v>
      </c>
      <c r="B3963" s="3" t="s">
        <v>7224</v>
      </c>
      <c r="C3963" s="3" t="s">
        <v>3084</v>
      </c>
      <c r="D3963" s="9">
        <v>37.5</v>
      </c>
      <c r="E3963" s="3"/>
      <c r="F3963" s="3"/>
      <c r="G3963" s="9"/>
      <c r="H3963" s="10">
        <v>45688.315335648149</v>
      </c>
      <c r="I3963" s="10">
        <v>45688.316180555557</v>
      </c>
      <c r="J3963" s="10">
        <v>45688.317708333343</v>
      </c>
      <c r="K3963" s="11">
        <v>1.5277777777777781E-3</v>
      </c>
      <c r="L3963" s="13"/>
    </row>
    <row r="3964" spans="1:12" x14ac:dyDescent="0.25">
      <c r="A3964" s="3" t="s">
        <v>6718</v>
      </c>
      <c r="B3964" s="3" t="s">
        <v>7225</v>
      </c>
      <c r="C3964" s="3" t="s">
        <v>3093</v>
      </c>
      <c r="D3964" s="9">
        <v>15.7</v>
      </c>
      <c r="E3964" s="3"/>
      <c r="F3964" s="3"/>
      <c r="G3964" s="9"/>
      <c r="H3964" s="10">
        <v>45688.322812500002</v>
      </c>
      <c r="I3964" s="10">
        <v>45688.323611111111</v>
      </c>
      <c r="J3964" s="10">
        <v>45688.324999999997</v>
      </c>
      <c r="K3964" s="11">
        <v>1.3888888888888889E-3</v>
      </c>
      <c r="L3964" s="13"/>
    </row>
    <row r="3965" spans="1:12" x14ac:dyDescent="0.25">
      <c r="A3965" s="3" t="s">
        <v>6718</v>
      </c>
      <c r="B3965" s="3" t="s">
        <v>7226</v>
      </c>
      <c r="C3965" s="3" t="s">
        <v>3106</v>
      </c>
      <c r="D3965" s="9">
        <v>381.6</v>
      </c>
      <c r="E3965" s="3"/>
      <c r="F3965" s="3"/>
      <c r="G3965" s="9"/>
      <c r="H3965" s="10">
        <v>45688.345486111109</v>
      </c>
      <c r="I3965" s="10">
        <v>45688.346331018518</v>
      </c>
      <c r="J3965" s="10">
        <v>45688.347858796304</v>
      </c>
      <c r="K3965" s="11">
        <v>1.5277777777777781E-3</v>
      </c>
      <c r="L3965" s="13"/>
    </row>
    <row r="3966" spans="1:12" x14ac:dyDescent="0.25">
      <c r="A3966" s="3" t="s">
        <v>6718</v>
      </c>
      <c r="B3966" s="3" t="s">
        <v>7227</v>
      </c>
      <c r="C3966" s="3" t="s">
        <v>3109</v>
      </c>
      <c r="D3966" s="9">
        <v>164.3</v>
      </c>
      <c r="E3966" s="3"/>
      <c r="F3966" s="3"/>
      <c r="G3966" s="9"/>
      <c r="H3966" s="10">
        <v>45688.380300925928</v>
      </c>
      <c r="I3966" s="10">
        <v>45688.381168981483</v>
      </c>
      <c r="J3966" s="10">
        <v>45688.382696759261</v>
      </c>
      <c r="K3966" s="11">
        <v>1.5277777777777781E-3</v>
      </c>
      <c r="L3966" s="13"/>
    </row>
    <row r="3967" spans="1:12" x14ac:dyDescent="0.25">
      <c r="A3967" s="3" t="s">
        <v>6718</v>
      </c>
      <c r="B3967" s="3" t="s">
        <v>7228</v>
      </c>
      <c r="C3967" s="3" t="s">
        <v>3112</v>
      </c>
      <c r="D3967" s="9">
        <v>72.8</v>
      </c>
      <c r="E3967" s="3"/>
      <c r="F3967" s="3"/>
      <c r="G3967" s="9"/>
      <c r="H3967" s="10">
        <v>45688.381712962961</v>
      </c>
      <c r="I3967" s="10">
        <v>45688.382511574076</v>
      </c>
      <c r="J3967" s="10">
        <v>45688.383900462963</v>
      </c>
      <c r="K3967" s="11">
        <v>1.3888888888888889E-3</v>
      </c>
      <c r="L3967" s="13"/>
    </row>
    <row r="3968" spans="1:12" x14ac:dyDescent="0.25">
      <c r="A3968" s="3" t="s">
        <v>6718</v>
      </c>
      <c r="B3968" s="3" t="s">
        <v>7229</v>
      </c>
      <c r="C3968" s="3" t="s">
        <v>3115</v>
      </c>
      <c r="D3968" s="9">
        <v>46.5</v>
      </c>
      <c r="E3968" s="3"/>
      <c r="F3968" s="3"/>
      <c r="G3968" s="9"/>
      <c r="H3968" s="10">
        <v>45688.392627314817</v>
      </c>
      <c r="I3968" s="10">
        <v>45688.393495370372</v>
      </c>
      <c r="J3968" s="10">
        <v>45688.39502314815</v>
      </c>
      <c r="K3968" s="11">
        <v>1.5277777777777781E-3</v>
      </c>
      <c r="L3968" s="13"/>
    </row>
    <row r="3969" spans="1:12" x14ac:dyDescent="0.25">
      <c r="A3969" s="3" t="s">
        <v>6718</v>
      </c>
      <c r="B3969" s="3" t="s">
        <v>7230</v>
      </c>
      <c r="C3969" s="3" t="s">
        <v>3128</v>
      </c>
      <c r="D3969" s="9">
        <v>270.8</v>
      </c>
      <c r="E3969" s="3"/>
      <c r="F3969" s="3"/>
      <c r="G3969" s="9"/>
      <c r="H3969" s="10">
        <v>45688.453784722216</v>
      </c>
      <c r="I3969" s="10">
        <v>45688.454652777778</v>
      </c>
      <c r="J3969" s="10">
        <v>45688.456180555557</v>
      </c>
      <c r="K3969" s="11">
        <v>1.5277777777777781E-3</v>
      </c>
      <c r="L3969" s="13"/>
    </row>
    <row r="3970" spans="1:12" x14ac:dyDescent="0.25">
      <c r="A3970" s="3" t="s">
        <v>6718</v>
      </c>
      <c r="B3970" s="3" t="s">
        <v>7231</v>
      </c>
      <c r="C3970" s="3" t="s">
        <v>3133</v>
      </c>
      <c r="D3970" s="9">
        <v>91.7</v>
      </c>
      <c r="E3970" s="3"/>
      <c r="F3970" s="3"/>
      <c r="G3970" s="9"/>
      <c r="H3970" s="10">
        <v>45688.457013888888</v>
      </c>
      <c r="I3970" s="10">
        <v>45688.457800925928</v>
      </c>
      <c r="J3970" s="10">
        <v>45688.459189814806</v>
      </c>
      <c r="K3970" s="11">
        <v>1.3888888888888889E-3</v>
      </c>
      <c r="L3970" s="13"/>
    </row>
    <row r="3971" spans="1:12" x14ac:dyDescent="0.25">
      <c r="A3971" s="3" t="s">
        <v>6718</v>
      </c>
      <c r="B3971" s="3" t="s">
        <v>7232</v>
      </c>
      <c r="C3971" s="3" t="s">
        <v>3138</v>
      </c>
      <c r="D3971" s="9">
        <v>186.7</v>
      </c>
      <c r="E3971" s="3"/>
      <c r="F3971" s="3"/>
      <c r="G3971" s="9"/>
      <c r="H3971" s="10">
        <v>45688.600254629629</v>
      </c>
      <c r="I3971" s="10">
        <v>45688.601041666669</v>
      </c>
      <c r="J3971" s="10">
        <v>45688.602430555547</v>
      </c>
      <c r="K3971" s="11">
        <v>1.3888888888888889E-3</v>
      </c>
      <c r="L3971" s="13"/>
    </row>
    <row r="3972" spans="1:12" x14ac:dyDescent="0.25">
      <c r="A3972" s="3" t="s">
        <v>6718</v>
      </c>
      <c r="B3972" s="3" t="s">
        <v>7233</v>
      </c>
      <c r="C3972" s="3" t="s">
        <v>3140</v>
      </c>
      <c r="D3972" s="9">
        <v>31.5</v>
      </c>
      <c r="E3972" s="3"/>
      <c r="F3972" s="3"/>
      <c r="G3972" s="9"/>
      <c r="H3972" s="10">
        <v>45688.642997685187</v>
      </c>
      <c r="I3972" s="10">
        <v>45688.643865740742</v>
      </c>
      <c r="J3972" s="10">
        <v>45688.64539351852</v>
      </c>
      <c r="K3972" s="11">
        <v>1.5277777777777781E-3</v>
      </c>
      <c r="L3972" s="13"/>
    </row>
    <row r="3973" spans="1:12" x14ac:dyDescent="0.25">
      <c r="A3973" s="3" t="s">
        <v>6718</v>
      </c>
      <c r="B3973" s="3" t="s">
        <v>7234</v>
      </c>
      <c r="C3973" s="3" t="s">
        <v>3143</v>
      </c>
      <c r="D3973" s="9">
        <v>14</v>
      </c>
      <c r="E3973" s="3"/>
      <c r="F3973" s="3"/>
      <c r="G3973" s="9"/>
      <c r="H3973" s="10">
        <v>45688.644942129627</v>
      </c>
      <c r="I3973" s="10">
        <v>45688.645729166667</v>
      </c>
      <c r="J3973" s="10">
        <v>45688.647118055553</v>
      </c>
      <c r="K3973" s="11">
        <v>1.3888888888888889E-3</v>
      </c>
      <c r="L3973" s="13"/>
    </row>
    <row r="3974" spans="1:12" x14ac:dyDescent="0.25">
      <c r="A3974" s="3" t="s">
        <v>6718</v>
      </c>
      <c r="B3974" s="3" t="s">
        <v>7235</v>
      </c>
      <c r="C3974" s="3" t="s">
        <v>3144</v>
      </c>
      <c r="D3974" s="9">
        <v>15.7</v>
      </c>
      <c r="E3974" s="3"/>
      <c r="F3974" s="3"/>
      <c r="G3974" s="9"/>
      <c r="H3974" s="10">
        <v>45688.646898148138</v>
      </c>
      <c r="I3974" s="10">
        <v>45688.647766203707</v>
      </c>
      <c r="J3974" s="10">
        <v>45688.649293981478</v>
      </c>
      <c r="K3974" s="11">
        <v>1.5277777777777781E-3</v>
      </c>
      <c r="L3974" s="13"/>
    </row>
    <row r="3975" spans="1:12" x14ac:dyDescent="0.25">
      <c r="A3975" s="3" t="s">
        <v>6718</v>
      </c>
      <c r="B3975" s="3" t="s">
        <v>7236</v>
      </c>
      <c r="C3975" s="3" t="s">
        <v>3148</v>
      </c>
      <c r="D3975" s="9">
        <v>19.899999999999999</v>
      </c>
      <c r="E3975" s="3"/>
      <c r="F3975" s="3"/>
      <c r="G3975" s="9"/>
      <c r="H3975" s="10">
        <v>45688.650266203702</v>
      </c>
      <c r="I3975" s="10">
        <v>45688.651122685187</v>
      </c>
      <c r="J3975" s="10">
        <v>45688.652650462973</v>
      </c>
      <c r="K3975" s="11">
        <v>1.5277777777777781E-3</v>
      </c>
      <c r="L3975" s="13"/>
    </row>
    <row r="3976" spans="1:12" x14ac:dyDescent="0.25">
      <c r="A3976" s="3" t="s">
        <v>6718</v>
      </c>
      <c r="B3976" s="3" t="s">
        <v>7237</v>
      </c>
      <c r="C3976" s="3" t="s">
        <v>3149</v>
      </c>
      <c r="D3976" s="9">
        <v>19.899999999999999</v>
      </c>
      <c r="E3976" s="3"/>
      <c r="F3976" s="3"/>
      <c r="G3976" s="9"/>
      <c r="H3976" s="10">
        <v>45688.652002314811</v>
      </c>
      <c r="I3976" s="10">
        <v>45688.65284722222</v>
      </c>
      <c r="J3976" s="10">
        <v>45688.654374999998</v>
      </c>
      <c r="K3976" s="11">
        <v>1.5277777777777781E-3</v>
      </c>
      <c r="L3976" s="13"/>
    </row>
    <row r="3977" spans="1:12" x14ac:dyDescent="0.25">
      <c r="A3977" s="3" t="s">
        <v>6718</v>
      </c>
      <c r="B3977" s="3" t="s">
        <v>7238</v>
      </c>
      <c r="C3977" s="3" t="s">
        <v>3157</v>
      </c>
      <c r="D3977" s="9">
        <v>12</v>
      </c>
      <c r="E3977" s="3"/>
      <c r="F3977" s="3"/>
      <c r="G3977" s="9"/>
      <c r="H3977" s="10">
        <v>45688.662847222222</v>
      </c>
      <c r="I3977" s="10">
        <v>45688.665949074071</v>
      </c>
      <c r="J3977" s="10">
        <v>45688.66747685185</v>
      </c>
      <c r="K3977" s="11">
        <v>1.5277777777777781E-3</v>
      </c>
      <c r="L3977" s="13"/>
    </row>
    <row r="3978" spans="1:12" x14ac:dyDescent="0.25">
      <c r="A3978" s="3" t="s">
        <v>6718</v>
      </c>
      <c r="B3978" s="3" t="s">
        <v>7239</v>
      </c>
      <c r="C3978" s="3" t="s">
        <v>3161</v>
      </c>
      <c r="D3978" s="9">
        <v>46.5</v>
      </c>
      <c r="E3978" s="3"/>
      <c r="F3978" s="3"/>
      <c r="G3978" s="9"/>
      <c r="H3978" s="10">
        <v>45688.668564814812</v>
      </c>
      <c r="I3978" s="10">
        <v>45688.672175925924</v>
      </c>
      <c r="J3978" s="10">
        <v>45688.673703703702</v>
      </c>
      <c r="K3978" s="11">
        <v>1.5277777777777781E-3</v>
      </c>
      <c r="L3978" s="13"/>
    </row>
    <row r="3979" spans="1:12" x14ac:dyDescent="0.25">
      <c r="A3979" s="3" t="s">
        <v>6718</v>
      </c>
      <c r="B3979" s="3" t="s">
        <v>7240</v>
      </c>
      <c r="C3979" s="3" t="s">
        <v>3173</v>
      </c>
      <c r="D3979" s="9">
        <v>302.10000000000002</v>
      </c>
      <c r="E3979" s="3"/>
      <c r="F3979" s="3"/>
      <c r="G3979" s="9"/>
      <c r="H3979" s="10">
        <v>45688.740162037036</v>
      </c>
      <c r="I3979" s="10">
        <v>45688.741030092591</v>
      </c>
      <c r="J3979" s="10">
        <v>45688.74255787037</v>
      </c>
      <c r="K3979" s="11">
        <v>1.5277777777777781E-3</v>
      </c>
      <c r="L3979" s="13"/>
    </row>
    <row r="3980" spans="1:12" x14ac:dyDescent="0.25">
      <c r="A3980" s="3" t="s">
        <v>6718</v>
      </c>
      <c r="B3980" s="3" t="s">
        <v>7241</v>
      </c>
      <c r="C3980" s="3" t="s">
        <v>3176</v>
      </c>
      <c r="D3980" s="9">
        <v>193.1</v>
      </c>
      <c r="E3980" s="3"/>
      <c r="F3980" s="3"/>
      <c r="G3980" s="9"/>
      <c r="H3980" s="10">
        <v>45688.74900462963</v>
      </c>
      <c r="I3980" s="10">
        <v>45688.749872685177</v>
      </c>
      <c r="J3980" s="10">
        <v>45688.751400462963</v>
      </c>
      <c r="K3980" s="11">
        <v>1.5277777777777781E-3</v>
      </c>
      <c r="L3980" s="13"/>
    </row>
    <row r="3981" spans="1:12" x14ac:dyDescent="0.25">
      <c r="A3981" s="3" t="s">
        <v>6718</v>
      </c>
      <c r="B3981" s="3" t="s">
        <v>7242</v>
      </c>
      <c r="C3981" s="3" t="s">
        <v>3179</v>
      </c>
      <c r="D3981" s="9">
        <v>162</v>
      </c>
      <c r="E3981" s="3"/>
      <c r="F3981" s="3"/>
      <c r="G3981" s="9"/>
      <c r="H3981" s="10">
        <v>45688.853125000001</v>
      </c>
      <c r="I3981" s="10">
        <v>45688.853958333333</v>
      </c>
      <c r="J3981" s="10">
        <v>45688.855486111112</v>
      </c>
      <c r="K3981" s="11">
        <v>1.5277777777777781E-3</v>
      </c>
      <c r="L3981" s="13"/>
    </row>
    <row r="3982" spans="1:12" x14ac:dyDescent="0.25">
      <c r="A3982" s="3" t="s">
        <v>6718</v>
      </c>
      <c r="B3982" s="3" t="s">
        <v>7243</v>
      </c>
      <c r="C3982" s="3" t="s">
        <v>3185</v>
      </c>
      <c r="D3982" s="9">
        <v>15.7</v>
      </c>
      <c r="E3982" s="3"/>
      <c r="F3982" s="3"/>
      <c r="G3982" s="9"/>
      <c r="H3982" s="10">
        <v>45688.858622685177</v>
      </c>
      <c r="I3982" s="10">
        <v>45688.859490740739</v>
      </c>
      <c r="J3982" s="10">
        <v>45688.861018518517</v>
      </c>
      <c r="K3982" s="11">
        <v>1.5277777777777781E-3</v>
      </c>
      <c r="L3982" s="13"/>
    </row>
  </sheetData>
  <autoFilter ref="A1:L3982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27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4" width="8.140625" customWidth="1"/>
    <col min="5" max="10" width="19" customWidth="1"/>
    <col min="11" max="14" width="8.140625" customWidth="1"/>
  </cols>
  <sheetData>
    <row r="1" spans="1:14" ht="45" customHeight="1" x14ac:dyDescent="0.25">
      <c r="A1" s="1" t="s">
        <v>7244</v>
      </c>
      <c r="B1" s="1" t="s">
        <v>474</v>
      </c>
      <c r="C1" s="1" t="s">
        <v>127</v>
      </c>
      <c r="D1" s="1" t="s">
        <v>7245</v>
      </c>
      <c r="E1" s="1" t="s">
        <v>7246</v>
      </c>
      <c r="F1" s="1" t="s">
        <v>7247</v>
      </c>
      <c r="G1" s="1" t="s">
        <v>7248</v>
      </c>
      <c r="H1" s="1" t="s">
        <v>7249</v>
      </c>
      <c r="I1" s="1" t="s">
        <v>7250</v>
      </c>
      <c r="J1" s="1" t="s">
        <v>7251</v>
      </c>
      <c r="K1" s="1" t="s">
        <v>7252</v>
      </c>
      <c r="L1" s="1" t="s">
        <v>7253</v>
      </c>
      <c r="M1" s="1" t="s">
        <v>7254</v>
      </c>
      <c r="N1" s="1" t="s">
        <v>7255</v>
      </c>
    </row>
    <row r="2" spans="1:14" x14ac:dyDescent="0.25">
      <c r="A2" s="3" t="s">
        <v>489</v>
      </c>
      <c r="B2" s="3" t="s">
        <v>488</v>
      </c>
      <c r="C2" s="3" t="s">
        <v>3193</v>
      </c>
      <c r="D2" s="3">
        <v>1</v>
      </c>
      <c r="E2" s="10">
        <v>45659.123668981483</v>
      </c>
      <c r="F2" s="10">
        <v>45659.125833333332</v>
      </c>
      <c r="G2" s="10">
        <v>45659.126701388886</v>
      </c>
      <c r="H2" s="10">
        <v>45659.144733796304</v>
      </c>
      <c r="I2" s="10">
        <v>45659.144733796304</v>
      </c>
      <c r="J2" s="10">
        <v>45659.145405092589</v>
      </c>
      <c r="K2" s="11">
        <f t="shared" ref="K2:K65" si="0">IF(AND(ISNUMBER(E2),ISNUMBER(F2)),(F2-E2),"")</f>
        <v>2.1643518484779634E-3</v>
      </c>
      <c r="L2" s="11">
        <f t="shared" ref="L2:L65" si="1">IF(AND(ISNUMBER(F2),ISNUMBER(G2)),(G2-F2),"")</f>
        <v>8.6805555474711582E-4</v>
      </c>
      <c r="M2" s="11">
        <f t="shared" ref="M2:M65" si="2">IF(AND(ISNUMBER(H2),ISNUMBER(I2)),(I2-H2),"")</f>
        <v>0</v>
      </c>
      <c r="N2" s="11">
        <f t="shared" ref="N2:N65" si="3">IF(AND(ISNUMBER(E2),ISNUMBER(J2)),(J2-E2),"")</f>
        <v>2.173611110629281E-2</v>
      </c>
    </row>
    <row r="3" spans="1:14" x14ac:dyDescent="0.25">
      <c r="A3" s="3" t="s">
        <v>501</v>
      </c>
      <c r="B3" s="3" t="s">
        <v>500</v>
      </c>
      <c r="C3" s="3" t="s">
        <v>3193</v>
      </c>
      <c r="D3" s="3">
        <v>1</v>
      </c>
      <c r="E3" s="10">
        <v>45659.277858796297</v>
      </c>
      <c r="F3" s="10">
        <v>45659.28025462963</v>
      </c>
      <c r="G3" s="10">
        <v>45659.281099537038</v>
      </c>
      <c r="H3" s="10">
        <v>45659.3128125</v>
      </c>
      <c r="I3" s="10">
        <v>45659.3128125</v>
      </c>
      <c r="J3" s="10">
        <v>45659.313668981478</v>
      </c>
      <c r="K3" s="11">
        <f t="shared" si="0"/>
        <v>2.3958333331393078E-3</v>
      </c>
      <c r="L3" s="11">
        <f t="shared" si="1"/>
        <v>8.4490740846376866E-4</v>
      </c>
      <c r="M3" s="11">
        <f t="shared" si="2"/>
        <v>0</v>
      </c>
      <c r="N3" s="11">
        <f t="shared" si="3"/>
        <v>3.5810185181617271E-2</v>
      </c>
    </row>
    <row r="4" spans="1:14" x14ac:dyDescent="0.25">
      <c r="A4" s="3" t="s">
        <v>543</v>
      </c>
      <c r="B4" s="3" t="s">
        <v>500</v>
      </c>
      <c r="C4" s="3" t="s">
        <v>3194</v>
      </c>
      <c r="D4" s="3">
        <v>1</v>
      </c>
      <c r="E4" s="10">
        <v>45659.316319444442</v>
      </c>
      <c r="F4" s="10">
        <v>45659.318715277783</v>
      </c>
      <c r="G4" s="10">
        <v>45659.319548611107</v>
      </c>
      <c r="H4" s="10">
        <v>45659.352349537039</v>
      </c>
      <c r="I4" s="10">
        <v>45659.352349537039</v>
      </c>
      <c r="J4" s="10">
        <v>45659.353333333333</v>
      </c>
      <c r="K4" s="11">
        <f t="shared" si="0"/>
        <v>2.3958333404152654E-3</v>
      </c>
      <c r="L4" s="11">
        <f t="shared" si="1"/>
        <v>8.3333332440815866E-4</v>
      </c>
      <c r="M4" s="11">
        <f t="shared" si="2"/>
        <v>0</v>
      </c>
      <c r="N4" s="11">
        <f t="shared" si="3"/>
        <v>3.701388889021473E-2</v>
      </c>
    </row>
    <row r="5" spans="1:14" x14ac:dyDescent="0.25">
      <c r="A5" s="3" t="s">
        <v>507</v>
      </c>
      <c r="B5" s="3" t="s">
        <v>506</v>
      </c>
      <c r="C5" s="3" t="s">
        <v>3195</v>
      </c>
      <c r="D5" s="3">
        <v>1</v>
      </c>
      <c r="E5" s="10">
        <v>45659.322488425933</v>
      </c>
      <c r="F5" s="10">
        <v>45659.324884259258</v>
      </c>
      <c r="G5" s="10">
        <v>45659.325868055559</v>
      </c>
      <c r="H5" s="10">
        <v>45659.371805555558</v>
      </c>
      <c r="I5" s="10">
        <v>45659.371805555558</v>
      </c>
      <c r="J5" s="10">
        <v>45659.373020833344</v>
      </c>
      <c r="K5" s="11">
        <f t="shared" si="0"/>
        <v>2.3958333258633502E-3</v>
      </c>
      <c r="L5" s="11">
        <f t="shared" si="1"/>
        <v>9.8379630071576685E-4</v>
      </c>
      <c r="M5" s="11">
        <f t="shared" si="2"/>
        <v>0</v>
      </c>
      <c r="N5" s="11">
        <f t="shared" si="3"/>
        <v>5.0532407411083113E-2</v>
      </c>
    </row>
    <row r="6" spans="1:14" x14ac:dyDescent="0.25">
      <c r="A6" s="3" t="s">
        <v>546</v>
      </c>
      <c r="B6" s="3" t="s">
        <v>500</v>
      </c>
      <c r="C6" s="3" t="s">
        <v>3193</v>
      </c>
      <c r="D6" s="3">
        <v>1</v>
      </c>
      <c r="E6" s="10">
        <v>45659.345358796287</v>
      </c>
      <c r="F6" s="10">
        <v>45659.347731481481</v>
      </c>
      <c r="G6" s="10">
        <v>45659.349444444437</v>
      </c>
      <c r="H6" s="10">
        <v>45659.418298611112</v>
      </c>
      <c r="I6" s="10">
        <v>45659.418298611112</v>
      </c>
      <c r="J6" s="10">
        <v>45659.419641203713</v>
      </c>
      <c r="K6" s="11">
        <f t="shared" si="0"/>
        <v>2.3726851941319183E-3</v>
      </c>
      <c r="L6" s="11">
        <f t="shared" si="1"/>
        <v>1.7129629559349269E-3</v>
      </c>
      <c r="M6" s="11">
        <f t="shared" si="2"/>
        <v>0</v>
      </c>
      <c r="N6" s="11">
        <f t="shared" si="3"/>
        <v>7.4282407425926067E-2</v>
      </c>
    </row>
    <row r="7" spans="1:14" x14ac:dyDescent="0.25">
      <c r="A7" s="3" t="s">
        <v>576</v>
      </c>
      <c r="B7" s="3" t="s">
        <v>500</v>
      </c>
      <c r="C7" s="3" t="s">
        <v>3196</v>
      </c>
      <c r="D7" s="3">
        <v>1</v>
      </c>
      <c r="E7" s="10">
        <v>45659.38689814815</v>
      </c>
      <c r="F7" s="10">
        <v>45659.389293981483</v>
      </c>
      <c r="G7" s="10">
        <v>45659.390127314808</v>
      </c>
      <c r="H7" s="10">
        <v>45659.414814814823</v>
      </c>
      <c r="I7" s="10">
        <v>45659.414814814823</v>
      </c>
      <c r="J7" s="10">
        <v>45659.415520833332</v>
      </c>
      <c r="K7" s="11">
        <f t="shared" si="0"/>
        <v>2.3958333331393078E-3</v>
      </c>
      <c r="L7" s="11">
        <f t="shared" si="1"/>
        <v>8.3333332440815866E-4</v>
      </c>
      <c r="M7" s="11">
        <f t="shared" si="2"/>
        <v>0</v>
      </c>
      <c r="N7" s="11">
        <f t="shared" si="3"/>
        <v>2.8622685182199348E-2</v>
      </c>
    </row>
    <row r="8" spans="1:14" x14ac:dyDescent="0.25">
      <c r="A8" s="3" t="s">
        <v>516</v>
      </c>
      <c r="B8" s="3" t="s">
        <v>515</v>
      </c>
      <c r="C8" s="3" t="s">
        <v>3197</v>
      </c>
      <c r="D8" s="3">
        <v>2</v>
      </c>
      <c r="E8" s="10">
        <v>45659.328217592592</v>
      </c>
      <c r="F8" s="10">
        <v>45659.397314814807</v>
      </c>
      <c r="G8" s="10">
        <v>45659.414317129631</v>
      </c>
      <c r="H8" s="10">
        <v>45659.437615740739</v>
      </c>
      <c r="I8" s="10">
        <v>45659.437615740739</v>
      </c>
      <c r="J8" s="10">
        <v>45659.438483796293</v>
      </c>
      <c r="K8" s="11">
        <f t="shared" si="0"/>
        <v>6.9097222214622889E-2</v>
      </c>
      <c r="L8" s="11">
        <f t="shared" si="1"/>
        <v>1.7002314823912457E-2</v>
      </c>
      <c r="M8" s="11">
        <f t="shared" si="2"/>
        <v>0</v>
      </c>
      <c r="N8" s="11">
        <f t="shared" si="3"/>
        <v>0.11026620370103046</v>
      </c>
    </row>
    <row r="9" spans="1:14" x14ac:dyDescent="0.25">
      <c r="A9" s="3" t="s">
        <v>528</v>
      </c>
      <c r="B9" s="3" t="s">
        <v>527</v>
      </c>
      <c r="C9" s="3" t="s">
        <v>3198</v>
      </c>
      <c r="D9" s="3">
        <v>2</v>
      </c>
      <c r="E9" s="10">
        <v>45659.333067129628</v>
      </c>
      <c r="F9" s="10">
        <v>45659.401678240742</v>
      </c>
      <c r="G9" s="10">
        <v>45659.416493055563</v>
      </c>
      <c r="H9" s="10">
        <v>45659.435243055559</v>
      </c>
      <c r="I9" s="10">
        <v>45659.435243055559</v>
      </c>
      <c r="J9" s="10">
        <v>45659.436030092591</v>
      </c>
      <c r="K9" s="11">
        <f t="shared" si="0"/>
        <v>6.8611111113568768E-2</v>
      </c>
      <c r="L9" s="11">
        <f t="shared" si="1"/>
        <v>1.4814814821875188E-2</v>
      </c>
      <c r="M9" s="11">
        <f t="shared" si="2"/>
        <v>0</v>
      </c>
      <c r="N9" s="11">
        <f t="shared" si="3"/>
        <v>0.10296296296291985</v>
      </c>
    </row>
    <row r="10" spans="1:14" x14ac:dyDescent="0.25">
      <c r="A10" s="3" t="s">
        <v>567</v>
      </c>
      <c r="B10" s="3" t="s">
        <v>506</v>
      </c>
      <c r="C10" s="3" t="s">
        <v>3196</v>
      </c>
      <c r="D10" s="3">
        <v>1</v>
      </c>
      <c r="E10" s="10">
        <v>45659.403993055559</v>
      </c>
      <c r="F10" s="10">
        <v>45659.408993055556</v>
      </c>
      <c r="G10" s="10">
        <v>45659.420034722221</v>
      </c>
      <c r="H10" s="10">
        <v>45659.453738425917</v>
      </c>
      <c r="I10" s="10">
        <v>45659.453738425917</v>
      </c>
      <c r="J10" s="10">
        <v>45659.454571759263</v>
      </c>
      <c r="K10" s="11">
        <f t="shared" si="0"/>
        <v>4.9999999973806553E-3</v>
      </c>
      <c r="L10" s="11">
        <f t="shared" si="1"/>
        <v>1.1041666664823424E-2</v>
      </c>
      <c r="M10" s="11">
        <f t="shared" si="2"/>
        <v>0</v>
      </c>
      <c r="N10" s="11">
        <f t="shared" si="3"/>
        <v>5.0578703703649808E-2</v>
      </c>
    </row>
    <row r="11" spans="1:14" x14ac:dyDescent="0.25">
      <c r="A11" s="3" t="s">
        <v>579</v>
      </c>
      <c r="B11" s="3" t="s">
        <v>500</v>
      </c>
      <c r="C11" s="3" t="s">
        <v>3193</v>
      </c>
      <c r="D11" s="3">
        <v>2</v>
      </c>
      <c r="E11" s="10">
        <v>45659.44939814815</v>
      </c>
      <c r="F11" s="10">
        <v>45659.457048611112</v>
      </c>
      <c r="G11" s="10">
        <v>45659.457916666674</v>
      </c>
      <c r="H11" s="10">
        <v>45659.521666666667</v>
      </c>
      <c r="I11" s="10">
        <v>45659.521666666667</v>
      </c>
      <c r="J11" s="10">
        <v>45659.522939814808</v>
      </c>
      <c r="K11" s="11">
        <f t="shared" si="0"/>
        <v>7.6504629614646547E-3</v>
      </c>
      <c r="L11" s="11">
        <f t="shared" si="1"/>
        <v>8.6805556202307343E-4</v>
      </c>
      <c r="M11" s="11">
        <f t="shared" si="2"/>
        <v>0</v>
      </c>
      <c r="N11" s="11">
        <f t="shared" si="3"/>
        <v>7.3541666657547466E-2</v>
      </c>
    </row>
    <row r="12" spans="1:14" x14ac:dyDescent="0.25">
      <c r="A12" s="3" t="s">
        <v>586</v>
      </c>
      <c r="B12" s="3" t="s">
        <v>500</v>
      </c>
      <c r="C12" s="3" t="s">
        <v>3193</v>
      </c>
      <c r="D12" s="3">
        <v>1</v>
      </c>
      <c r="E12" s="10">
        <v>45659.617337962962</v>
      </c>
      <c r="F12" s="10">
        <v>45659.619513888887</v>
      </c>
      <c r="G12" s="10">
        <v>45659.620381944442</v>
      </c>
      <c r="H12" s="10">
        <v>45659.670231481483</v>
      </c>
      <c r="I12" s="10">
        <v>45659.670231481483</v>
      </c>
      <c r="J12" s="10">
        <v>45659.671319444453</v>
      </c>
      <c r="K12" s="11">
        <f t="shared" si="0"/>
        <v>2.1759259252576157E-3</v>
      </c>
      <c r="L12" s="11">
        <f t="shared" si="1"/>
        <v>8.6805555474711582E-4</v>
      </c>
      <c r="M12" s="11">
        <f t="shared" si="2"/>
        <v>0</v>
      </c>
      <c r="N12" s="11">
        <f t="shared" si="3"/>
        <v>5.3981481491064187E-2</v>
      </c>
    </row>
    <row r="13" spans="1:14" x14ac:dyDescent="0.25">
      <c r="A13" s="3" t="s">
        <v>493</v>
      </c>
      <c r="B13" s="3" t="s">
        <v>492</v>
      </c>
      <c r="C13" s="3" t="s">
        <v>3199</v>
      </c>
      <c r="D13" s="3">
        <v>4</v>
      </c>
      <c r="E13" s="10">
        <v>45659.125717592593</v>
      </c>
      <c r="F13" s="10">
        <v>45659.640532407408</v>
      </c>
      <c r="G13" s="10">
        <v>45659.641388888893</v>
      </c>
      <c r="H13" s="10">
        <v>45659.704479166663</v>
      </c>
      <c r="I13" s="10">
        <v>45659.704606481479</v>
      </c>
      <c r="J13" s="10">
        <v>45659.705833333333</v>
      </c>
      <c r="K13" s="11">
        <f t="shared" si="0"/>
        <v>0.51481481481459923</v>
      </c>
      <c r="L13" s="11">
        <f t="shared" si="1"/>
        <v>8.5648148524342105E-4</v>
      </c>
      <c r="M13" s="11">
        <f t="shared" si="2"/>
        <v>1.273148154723458E-4</v>
      </c>
      <c r="N13" s="11">
        <f t="shared" si="3"/>
        <v>0.58011574074043892</v>
      </c>
    </row>
    <row r="14" spans="1:14" x14ac:dyDescent="0.25">
      <c r="A14" s="3" t="s">
        <v>520</v>
      </c>
      <c r="B14" s="3" t="s">
        <v>519</v>
      </c>
      <c r="C14" s="3" t="s">
        <v>3200</v>
      </c>
      <c r="D14" s="3">
        <v>5</v>
      </c>
      <c r="E14" s="10">
        <v>45659.329918981479</v>
      </c>
      <c r="F14" s="10">
        <v>45659.653182870366</v>
      </c>
      <c r="G14" s="10">
        <v>45659.662002314813</v>
      </c>
      <c r="H14" s="10">
        <v>45659.681932870371</v>
      </c>
      <c r="I14" s="10">
        <v>45659.681932870371</v>
      </c>
      <c r="J14" s="10">
        <v>45659.682708333326</v>
      </c>
      <c r="K14" s="11">
        <f t="shared" si="0"/>
        <v>0.32326388888759539</v>
      </c>
      <c r="L14" s="11">
        <f t="shared" si="1"/>
        <v>8.819444446999114E-3</v>
      </c>
      <c r="M14" s="11">
        <f t="shared" si="2"/>
        <v>0</v>
      </c>
      <c r="N14" s="11">
        <f t="shared" si="3"/>
        <v>0.35278935184760485</v>
      </c>
    </row>
    <row r="15" spans="1:14" x14ac:dyDescent="0.25">
      <c r="A15" s="3" t="s">
        <v>601</v>
      </c>
      <c r="B15" s="3" t="s">
        <v>506</v>
      </c>
      <c r="C15" s="3" t="s">
        <v>3196</v>
      </c>
      <c r="D15" s="3">
        <v>1</v>
      </c>
      <c r="E15" s="10">
        <v>45659.652083333327</v>
      </c>
      <c r="F15" s="10">
        <v>45659.65425925926</v>
      </c>
      <c r="G15" s="10">
        <v>45659.671967592592</v>
      </c>
      <c r="H15" s="10">
        <v>45659.716608796298</v>
      </c>
      <c r="I15" s="10">
        <v>45659.716608796298</v>
      </c>
      <c r="J15" s="10">
        <v>45659.717581018522</v>
      </c>
      <c r="K15" s="11">
        <f t="shared" si="0"/>
        <v>2.1759259325335734E-3</v>
      </c>
      <c r="L15" s="11">
        <f t="shared" si="1"/>
        <v>1.7708333332848269E-2</v>
      </c>
      <c r="M15" s="11">
        <f t="shared" si="2"/>
        <v>0</v>
      </c>
      <c r="N15" s="11">
        <f t="shared" si="3"/>
        <v>6.5497685194713995E-2</v>
      </c>
    </row>
    <row r="16" spans="1:14" x14ac:dyDescent="0.25">
      <c r="A16" s="3" t="s">
        <v>608</v>
      </c>
      <c r="B16" s="3" t="s">
        <v>515</v>
      </c>
      <c r="C16" s="3" t="s">
        <v>3196</v>
      </c>
      <c r="D16" s="3">
        <v>1</v>
      </c>
      <c r="E16" s="10">
        <v>45659.657384259262</v>
      </c>
      <c r="F16" s="10">
        <v>45659.660439814812</v>
      </c>
      <c r="G16" s="10">
        <v>45659.683506944442</v>
      </c>
      <c r="H16" s="10">
        <v>45659.703946759262</v>
      </c>
      <c r="I16" s="10">
        <v>45659.703946759262</v>
      </c>
      <c r="J16" s="10">
        <v>45659.704606481479</v>
      </c>
      <c r="K16" s="11">
        <f t="shared" si="0"/>
        <v>3.0555555495084263E-3</v>
      </c>
      <c r="L16" s="11">
        <f t="shared" si="1"/>
        <v>2.3067129630362615E-2</v>
      </c>
      <c r="M16" s="11">
        <f t="shared" si="2"/>
        <v>0</v>
      </c>
      <c r="N16" s="11">
        <f t="shared" si="3"/>
        <v>4.722222221607808E-2</v>
      </c>
    </row>
    <row r="17" spans="1:14" x14ac:dyDescent="0.25">
      <c r="A17" s="3" t="s">
        <v>589</v>
      </c>
      <c r="B17" s="3" t="s">
        <v>527</v>
      </c>
      <c r="C17" s="3" t="s">
        <v>3197</v>
      </c>
      <c r="D17" s="3">
        <v>2</v>
      </c>
      <c r="E17" s="10">
        <v>45659.644594907397</v>
      </c>
      <c r="F17" s="10">
        <v>45659.771319444437</v>
      </c>
      <c r="G17" s="10">
        <v>45659.772152777783</v>
      </c>
      <c r="H17" s="10">
        <v>45659.809652777767</v>
      </c>
      <c r="I17" s="10">
        <v>45659.809652777767</v>
      </c>
      <c r="J17" s="10">
        <v>45659.810694444437</v>
      </c>
      <c r="K17" s="11">
        <f t="shared" si="0"/>
        <v>0.12672453703999054</v>
      </c>
      <c r="L17" s="11">
        <f t="shared" si="1"/>
        <v>8.333333462360315E-4</v>
      </c>
      <c r="M17" s="11">
        <f t="shared" si="2"/>
        <v>0</v>
      </c>
      <c r="N17" s="11">
        <f t="shared" si="3"/>
        <v>0.16609953704028158</v>
      </c>
    </row>
    <row r="18" spans="1:14" x14ac:dyDescent="0.25">
      <c r="A18" s="3" t="s">
        <v>592</v>
      </c>
      <c r="B18" s="3" t="s">
        <v>506</v>
      </c>
      <c r="C18" s="3" t="s">
        <v>3199</v>
      </c>
      <c r="D18" s="3">
        <v>2</v>
      </c>
      <c r="E18" s="10">
        <v>45659.646469907413</v>
      </c>
      <c r="F18" s="10">
        <v>45659.775520833333</v>
      </c>
      <c r="G18" s="10">
        <v>45659.776388888888</v>
      </c>
      <c r="H18" s="10">
        <v>45659.81009259259</v>
      </c>
      <c r="I18" s="10">
        <v>45659.810694444437</v>
      </c>
      <c r="J18" s="10">
        <v>45659.811539351853</v>
      </c>
      <c r="K18" s="11">
        <f t="shared" si="0"/>
        <v>0.12905092591972789</v>
      </c>
      <c r="L18" s="11">
        <f t="shared" si="1"/>
        <v>8.6805555474711582E-4</v>
      </c>
      <c r="M18" s="11">
        <f t="shared" si="2"/>
        <v>6.0185184702277184E-4</v>
      </c>
      <c r="N18" s="11">
        <f t="shared" si="3"/>
        <v>0.16506944443972316</v>
      </c>
    </row>
    <row r="19" spans="1:14" x14ac:dyDescent="0.25">
      <c r="A19" s="3" t="s">
        <v>510</v>
      </c>
      <c r="B19" s="3" t="s">
        <v>488</v>
      </c>
      <c r="C19" s="3" t="s">
        <v>3201</v>
      </c>
      <c r="D19" s="3">
        <v>4</v>
      </c>
      <c r="E19" s="10">
        <v>45659.324224537027</v>
      </c>
      <c r="F19" s="10">
        <v>45659.780763888892</v>
      </c>
      <c r="G19" s="10">
        <v>45659.784050925933</v>
      </c>
      <c r="H19" s="10">
        <v>45659.801898148151</v>
      </c>
      <c r="I19" s="10">
        <v>45659.801898148151</v>
      </c>
      <c r="J19" s="10">
        <v>45659.802673611113</v>
      </c>
      <c r="K19" s="11">
        <f t="shared" si="0"/>
        <v>0.45653935186419403</v>
      </c>
      <c r="L19" s="11">
        <f t="shared" si="1"/>
        <v>3.2870370414457284E-3</v>
      </c>
      <c r="M19" s="11">
        <f t="shared" si="2"/>
        <v>0</v>
      </c>
      <c r="N19" s="11">
        <f t="shared" si="3"/>
        <v>0.47844907408580184</v>
      </c>
    </row>
    <row r="20" spans="1:14" x14ac:dyDescent="0.25">
      <c r="A20" s="3" t="s">
        <v>534</v>
      </c>
      <c r="B20" s="3" t="s">
        <v>533</v>
      </c>
      <c r="C20" s="3" t="s">
        <v>3202</v>
      </c>
      <c r="D20" s="3">
        <v>5</v>
      </c>
      <c r="E20" s="10">
        <v>45659.336157407408</v>
      </c>
      <c r="F20" s="10">
        <v>45659.869930555556</v>
      </c>
      <c r="G20" s="10">
        <v>45659.870798611111</v>
      </c>
      <c r="H20" s="10">
        <v>45659.898125</v>
      </c>
      <c r="I20" s="10">
        <v>45659.898125</v>
      </c>
      <c r="J20" s="10">
        <v>45659.898969907408</v>
      </c>
      <c r="K20" s="11">
        <f t="shared" si="0"/>
        <v>0.53377314814861165</v>
      </c>
      <c r="L20" s="11">
        <f t="shared" si="1"/>
        <v>8.6805555474711582E-4</v>
      </c>
      <c r="M20" s="11">
        <f t="shared" si="2"/>
        <v>0</v>
      </c>
      <c r="N20" s="11">
        <f t="shared" si="3"/>
        <v>0.56281250000029104</v>
      </c>
    </row>
    <row r="21" spans="1:14" x14ac:dyDescent="0.25">
      <c r="A21" s="3" t="s">
        <v>626</v>
      </c>
      <c r="B21" s="3" t="s">
        <v>515</v>
      </c>
      <c r="C21" s="3" t="s">
        <v>3196</v>
      </c>
      <c r="D21" s="3">
        <v>2</v>
      </c>
      <c r="E21" s="10">
        <v>45659.770844907413</v>
      </c>
      <c r="F21" s="10">
        <v>45659.87736111111</v>
      </c>
      <c r="G21" s="10">
        <v>45659.879062499997</v>
      </c>
      <c r="H21" s="10">
        <v>45659.899502314824</v>
      </c>
      <c r="I21" s="10">
        <v>45659.900023148148</v>
      </c>
      <c r="J21" s="10">
        <v>45659.900671296287</v>
      </c>
      <c r="K21" s="11">
        <f t="shared" si="0"/>
        <v>0.106516203697538</v>
      </c>
      <c r="L21" s="11">
        <f t="shared" si="1"/>
        <v>1.7013888864312321E-3</v>
      </c>
      <c r="M21" s="11">
        <f t="shared" si="2"/>
        <v>5.2083332411712036E-4</v>
      </c>
      <c r="N21" s="11">
        <f t="shared" si="3"/>
        <v>0.1298263888747897</v>
      </c>
    </row>
    <row r="22" spans="1:14" x14ac:dyDescent="0.25">
      <c r="A22" s="3" t="s">
        <v>617</v>
      </c>
      <c r="B22" s="3" t="s">
        <v>519</v>
      </c>
      <c r="C22" s="3" t="s">
        <v>3193</v>
      </c>
      <c r="D22" s="3">
        <v>3</v>
      </c>
      <c r="E22" s="10">
        <v>45659.76363425926</v>
      </c>
      <c r="F22" s="10">
        <v>45659.879965277767</v>
      </c>
      <c r="G22" s="10">
        <v>45659.881701388891</v>
      </c>
      <c r="H22" s="10">
        <v>45659.899351851847</v>
      </c>
      <c r="I22" s="10">
        <v>45659.899351851847</v>
      </c>
      <c r="J22" s="10">
        <v>45659.900023148148</v>
      </c>
      <c r="K22" s="11">
        <f t="shared" si="0"/>
        <v>0.11633101850748062</v>
      </c>
      <c r="L22" s="11">
        <f t="shared" si="1"/>
        <v>1.7361111240461469E-3</v>
      </c>
      <c r="M22" s="11">
        <f t="shared" si="2"/>
        <v>0</v>
      </c>
      <c r="N22" s="11">
        <f t="shared" si="3"/>
        <v>0.13638888888817746</v>
      </c>
    </row>
    <row r="23" spans="1:14" x14ac:dyDescent="0.25">
      <c r="A23" s="3" t="s">
        <v>635</v>
      </c>
      <c r="B23" s="3" t="s">
        <v>506</v>
      </c>
      <c r="C23" s="3" t="s">
        <v>3199</v>
      </c>
      <c r="D23" s="3">
        <v>3</v>
      </c>
      <c r="E23" s="10">
        <v>45659.778738425928</v>
      </c>
      <c r="F23" s="10">
        <v>45660.125925925917</v>
      </c>
      <c r="G23" s="10">
        <v>45660.126759259263</v>
      </c>
      <c r="H23" s="10">
        <v>45660.150104166663</v>
      </c>
      <c r="I23" s="10">
        <v>45660.150104166663</v>
      </c>
      <c r="J23" s="10">
        <v>45660.15079861111</v>
      </c>
      <c r="K23" s="11">
        <f t="shared" si="0"/>
        <v>0.34718749998864951</v>
      </c>
      <c r="L23" s="11">
        <f t="shared" si="1"/>
        <v>8.333333462360315E-4</v>
      </c>
      <c r="M23" s="11">
        <f t="shared" si="2"/>
        <v>0</v>
      </c>
      <c r="N23" s="11">
        <f t="shared" si="3"/>
        <v>0.37206018518190831</v>
      </c>
    </row>
    <row r="24" spans="1:14" x14ac:dyDescent="0.25">
      <c r="A24" s="3" t="s">
        <v>672</v>
      </c>
      <c r="B24" s="3" t="s">
        <v>519</v>
      </c>
      <c r="C24" s="3" t="s">
        <v>3193</v>
      </c>
      <c r="D24" s="3">
        <v>1</v>
      </c>
      <c r="E24" s="10">
        <v>45660.202824074076</v>
      </c>
      <c r="F24" s="10">
        <v>45660.205196759263</v>
      </c>
      <c r="G24" s="10">
        <v>45660.206064814818</v>
      </c>
      <c r="H24" s="10">
        <v>45660.292349537027</v>
      </c>
      <c r="I24" s="10">
        <v>45660.292349537027</v>
      </c>
      <c r="J24" s="10">
        <v>45660.293923611112</v>
      </c>
      <c r="K24" s="11">
        <f t="shared" si="0"/>
        <v>2.3726851868559606E-3</v>
      </c>
      <c r="L24" s="11">
        <f t="shared" si="1"/>
        <v>8.6805555474711582E-4</v>
      </c>
      <c r="M24" s="11">
        <f t="shared" si="2"/>
        <v>0</v>
      </c>
      <c r="N24" s="11">
        <f t="shared" si="3"/>
        <v>9.1099537035916001E-2</v>
      </c>
    </row>
    <row r="25" spans="1:14" x14ac:dyDescent="0.25">
      <c r="A25" s="3" t="s">
        <v>485</v>
      </c>
      <c r="B25" s="3" t="s">
        <v>484</v>
      </c>
      <c r="C25" s="3" t="s">
        <v>3203</v>
      </c>
      <c r="D25" s="3">
        <v>6</v>
      </c>
      <c r="E25" s="10">
        <v>45659.122187499997</v>
      </c>
      <c r="F25" s="10">
        <v>45660.261053240742</v>
      </c>
      <c r="G25" s="10">
        <v>45660.262696759259</v>
      </c>
      <c r="H25" s="10">
        <v>45660.280532407407</v>
      </c>
      <c r="I25" s="10">
        <v>45660.280532407407</v>
      </c>
      <c r="J25" s="10">
        <v>45660.281238425923</v>
      </c>
      <c r="K25" s="11">
        <f t="shared" si="0"/>
        <v>1.1388657407442224</v>
      </c>
      <c r="L25" s="11">
        <f t="shared" si="1"/>
        <v>1.6435185170848854E-3</v>
      </c>
      <c r="M25" s="11">
        <f t="shared" si="2"/>
        <v>0</v>
      </c>
      <c r="N25" s="11">
        <f t="shared" si="3"/>
        <v>1.1590509259258397</v>
      </c>
    </row>
    <row r="26" spans="1:14" x14ac:dyDescent="0.25">
      <c r="A26" s="3" t="s">
        <v>497</v>
      </c>
      <c r="B26" s="3" t="s">
        <v>496</v>
      </c>
      <c r="C26" s="3" t="s">
        <v>3204</v>
      </c>
      <c r="D26" s="3">
        <v>5</v>
      </c>
      <c r="E26" s="10">
        <v>45659.12777777778</v>
      </c>
      <c r="F26" s="10">
        <v>45660.270891203712</v>
      </c>
      <c r="G26" s="10">
        <v>45660.277326388888</v>
      </c>
      <c r="H26" s="10">
        <v>45660.312858796293</v>
      </c>
      <c r="I26" s="10">
        <v>45660.312858796293</v>
      </c>
      <c r="J26" s="10">
        <v>45660.313831018517</v>
      </c>
      <c r="K26" s="11">
        <f t="shared" si="0"/>
        <v>1.1431134259328246</v>
      </c>
      <c r="L26" s="11">
        <f t="shared" si="1"/>
        <v>6.4351851760875434E-3</v>
      </c>
      <c r="M26" s="11">
        <f t="shared" si="2"/>
        <v>0</v>
      </c>
      <c r="N26" s="11">
        <f t="shared" si="3"/>
        <v>1.1860532407372375</v>
      </c>
    </row>
    <row r="27" spans="1:14" x14ac:dyDescent="0.25">
      <c r="A27" s="3" t="s">
        <v>677</v>
      </c>
      <c r="B27" s="3" t="s">
        <v>492</v>
      </c>
      <c r="C27" s="3" t="s">
        <v>3199</v>
      </c>
      <c r="D27" s="3">
        <v>3</v>
      </c>
      <c r="E27" s="10">
        <v>45660.254571759258</v>
      </c>
      <c r="F27" s="10">
        <v>45660.273148148153</v>
      </c>
      <c r="G27" s="10">
        <v>45660.282268518517</v>
      </c>
      <c r="H27" s="10">
        <v>45660.307326388887</v>
      </c>
      <c r="I27" s="10">
        <v>45660.307326388887</v>
      </c>
      <c r="J27" s="10">
        <v>45660.308055555557</v>
      </c>
      <c r="K27" s="11">
        <f t="shared" si="0"/>
        <v>1.8576388894871343E-2</v>
      </c>
      <c r="L27" s="11">
        <f t="shared" si="1"/>
        <v>9.1203703632345423E-3</v>
      </c>
      <c r="M27" s="11">
        <f t="shared" si="2"/>
        <v>0</v>
      </c>
      <c r="N27" s="11">
        <f t="shared" si="3"/>
        <v>5.3483796298678499E-2</v>
      </c>
    </row>
    <row r="28" spans="1:14" x14ac:dyDescent="0.25">
      <c r="A28" s="3" t="s">
        <v>651</v>
      </c>
      <c r="B28" s="3" t="s">
        <v>527</v>
      </c>
      <c r="C28" s="3" t="s">
        <v>3197</v>
      </c>
      <c r="D28" s="3">
        <v>3</v>
      </c>
      <c r="E28" s="10">
        <v>45659.869814814818</v>
      </c>
      <c r="F28" s="10">
        <v>45660.275636574072</v>
      </c>
      <c r="G28" s="10">
        <v>45660.298784722218</v>
      </c>
      <c r="H28" s="10">
        <v>45660.31753472222</v>
      </c>
      <c r="I28" s="10">
        <v>45660.31753472222</v>
      </c>
      <c r="J28" s="10">
        <v>45660.318333333344</v>
      </c>
      <c r="K28" s="11">
        <f t="shared" si="0"/>
        <v>0.40582175925374031</v>
      </c>
      <c r="L28" s="11">
        <f t="shared" si="1"/>
        <v>2.3148148145992309E-2</v>
      </c>
      <c r="M28" s="11">
        <f t="shared" si="2"/>
        <v>0</v>
      </c>
      <c r="N28" s="11">
        <f t="shared" si="3"/>
        <v>0.44851851852581603</v>
      </c>
    </row>
    <row r="29" spans="1:14" x14ac:dyDescent="0.25">
      <c r="A29" s="3" t="s">
        <v>648</v>
      </c>
      <c r="B29" s="3" t="s">
        <v>488</v>
      </c>
      <c r="C29" s="3" t="s">
        <v>3201</v>
      </c>
      <c r="D29" s="3">
        <v>4</v>
      </c>
      <c r="E29" s="10">
        <v>45659.867777777778</v>
      </c>
      <c r="F29" s="10">
        <v>45660.297083333331</v>
      </c>
      <c r="G29" s="10">
        <v>45660.309062499997</v>
      </c>
      <c r="H29" s="10">
        <v>45660.371377314812</v>
      </c>
      <c r="I29" s="10">
        <v>45660.371377314812</v>
      </c>
      <c r="J29" s="10">
        <v>45660.372743055559</v>
      </c>
      <c r="K29" s="11">
        <f t="shared" si="0"/>
        <v>0.42930555555358296</v>
      </c>
      <c r="L29" s="11">
        <f t="shared" si="1"/>
        <v>1.1979166665696539E-2</v>
      </c>
      <c r="M29" s="11">
        <f t="shared" si="2"/>
        <v>0</v>
      </c>
      <c r="N29" s="11">
        <f t="shared" si="3"/>
        <v>0.50496527778159361</v>
      </c>
    </row>
    <row r="30" spans="1:14" x14ac:dyDescent="0.25">
      <c r="A30" s="3" t="s">
        <v>564</v>
      </c>
      <c r="B30" s="3" t="s">
        <v>563</v>
      </c>
      <c r="C30" s="3" t="s">
        <v>3194</v>
      </c>
      <c r="D30" s="3">
        <v>3</v>
      </c>
      <c r="E30" s="10">
        <v>45659.401666666658</v>
      </c>
      <c r="F30" s="10">
        <v>45660.328599537039</v>
      </c>
      <c r="G30" s="10">
        <v>45660.330300925933</v>
      </c>
      <c r="H30" s="10">
        <v>45660.362268518518</v>
      </c>
      <c r="I30" s="10">
        <v>45660.362268518518</v>
      </c>
      <c r="J30" s="10">
        <v>45660.363240740742</v>
      </c>
      <c r="K30" s="11">
        <f t="shared" si="0"/>
        <v>0.92693287038127892</v>
      </c>
      <c r="L30" s="11">
        <f t="shared" si="1"/>
        <v>1.7013888937071897E-3</v>
      </c>
      <c r="M30" s="11">
        <f t="shared" si="2"/>
        <v>0</v>
      </c>
      <c r="N30" s="11">
        <f t="shared" si="3"/>
        <v>0.96157407408463769</v>
      </c>
    </row>
    <row r="31" spans="1:14" x14ac:dyDescent="0.25">
      <c r="A31" s="3" t="s">
        <v>720</v>
      </c>
      <c r="B31" s="3" t="s">
        <v>500</v>
      </c>
      <c r="C31" s="3" t="s">
        <v>3199</v>
      </c>
      <c r="D31" s="3">
        <v>1</v>
      </c>
      <c r="E31" s="10">
        <v>45660.331689814811</v>
      </c>
      <c r="F31" s="10">
        <v>45660.333865740737</v>
      </c>
      <c r="G31" s="10">
        <v>45660.335509259261</v>
      </c>
      <c r="H31" s="10">
        <v>45660.380104166667</v>
      </c>
      <c r="I31" s="10">
        <v>45660.380104166667</v>
      </c>
      <c r="J31" s="10">
        <v>45660.381099537037</v>
      </c>
      <c r="K31" s="11">
        <f t="shared" si="0"/>
        <v>2.1759259252576157E-3</v>
      </c>
      <c r="L31" s="11">
        <f t="shared" si="1"/>
        <v>1.643518524360843E-3</v>
      </c>
      <c r="M31" s="11">
        <f t="shared" si="2"/>
        <v>0</v>
      </c>
      <c r="N31" s="11">
        <f t="shared" si="3"/>
        <v>4.9409722225391306E-2</v>
      </c>
    </row>
    <row r="32" spans="1:14" x14ac:dyDescent="0.25">
      <c r="A32" s="3" t="s">
        <v>723</v>
      </c>
      <c r="B32" s="3" t="s">
        <v>500</v>
      </c>
      <c r="C32" s="3" t="s">
        <v>3204</v>
      </c>
      <c r="D32" s="3">
        <v>1</v>
      </c>
      <c r="E32" s="10">
        <v>45660.343877314823</v>
      </c>
      <c r="F32" s="10">
        <v>45660.365474537037</v>
      </c>
      <c r="G32" s="10">
        <v>45660.367175925923</v>
      </c>
      <c r="H32" s="10">
        <v>45660.436030092591</v>
      </c>
      <c r="I32" s="10">
        <v>45660.436030092591</v>
      </c>
      <c r="J32" s="10">
        <v>45660.437442129631</v>
      </c>
      <c r="K32" s="11">
        <f t="shared" si="0"/>
        <v>2.1597222214040812E-2</v>
      </c>
      <c r="L32" s="11">
        <f t="shared" si="1"/>
        <v>1.7013888864312321E-3</v>
      </c>
      <c r="M32" s="11">
        <f t="shared" si="2"/>
        <v>0</v>
      </c>
      <c r="N32" s="11">
        <f t="shared" si="3"/>
        <v>9.356481480790535E-2</v>
      </c>
    </row>
    <row r="33" spans="1:14" x14ac:dyDescent="0.25">
      <c r="A33" s="3" t="s">
        <v>573</v>
      </c>
      <c r="B33" s="3" t="s">
        <v>572</v>
      </c>
      <c r="C33" s="3" t="s">
        <v>3195</v>
      </c>
      <c r="D33" s="3">
        <v>3</v>
      </c>
      <c r="E33" s="10">
        <v>45659.384722222218</v>
      </c>
      <c r="F33" s="10">
        <v>45660.38003472222</v>
      </c>
      <c r="G33" s="10">
        <v>45660.38177083333</v>
      </c>
      <c r="H33" s="10">
        <v>45660.420266203713</v>
      </c>
      <c r="I33" s="10">
        <v>45660.421168981477</v>
      </c>
      <c r="J33" s="10">
        <v>45660.422280092593</v>
      </c>
      <c r="K33" s="11">
        <f t="shared" si="0"/>
        <v>0.99531250000291038</v>
      </c>
      <c r="L33" s="11">
        <f t="shared" si="1"/>
        <v>1.7361111094942316E-3</v>
      </c>
      <c r="M33" s="11">
        <f t="shared" si="2"/>
        <v>9.0277776325820014E-4</v>
      </c>
      <c r="N33" s="11">
        <f t="shared" si="3"/>
        <v>1.0375578703751671</v>
      </c>
    </row>
    <row r="34" spans="1:14" x14ac:dyDescent="0.25">
      <c r="A34" s="3" t="s">
        <v>715</v>
      </c>
      <c r="B34" s="3" t="s">
        <v>533</v>
      </c>
      <c r="C34" s="3" t="s">
        <v>3197</v>
      </c>
      <c r="D34" s="3">
        <v>2</v>
      </c>
      <c r="E34" s="10">
        <v>45660.326770833337</v>
      </c>
      <c r="F34" s="10">
        <v>45660.381921296299</v>
      </c>
      <c r="G34" s="10">
        <v>45660.38354166667</v>
      </c>
      <c r="H34" s="10">
        <v>45660.420127314806</v>
      </c>
      <c r="I34" s="10">
        <v>45660.420127314806</v>
      </c>
      <c r="J34" s="10">
        <v>45660.421168981477</v>
      </c>
      <c r="K34" s="11">
        <f t="shared" si="0"/>
        <v>5.5150462962046731E-2</v>
      </c>
      <c r="L34" s="11">
        <f t="shared" si="1"/>
        <v>1.6203703708015382E-3</v>
      </c>
      <c r="M34" s="11">
        <f t="shared" si="2"/>
        <v>0</v>
      </c>
      <c r="N34" s="11">
        <f t="shared" si="3"/>
        <v>9.4398148139589466E-2</v>
      </c>
    </row>
    <row r="35" spans="1:14" x14ac:dyDescent="0.25">
      <c r="A35" s="3" t="s">
        <v>730</v>
      </c>
      <c r="B35" s="3" t="s">
        <v>500</v>
      </c>
      <c r="C35" s="3" t="s">
        <v>3199</v>
      </c>
      <c r="D35" s="3">
        <v>1</v>
      </c>
      <c r="E35" s="10">
        <v>45660.452002314807</v>
      </c>
      <c r="F35" s="10">
        <v>45660.454398148147</v>
      </c>
      <c r="G35" s="10">
        <v>45660.455243055563</v>
      </c>
      <c r="H35" s="10">
        <v>45660.501493055563</v>
      </c>
      <c r="I35" s="10">
        <v>45660.501493055563</v>
      </c>
      <c r="J35" s="10">
        <v>45660.502511574072</v>
      </c>
      <c r="K35" s="11">
        <f t="shared" si="0"/>
        <v>2.3958333404152654E-3</v>
      </c>
      <c r="L35" s="11">
        <f t="shared" si="1"/>
        <v>8.4490741573972628E-4</v>
      </c>
      <c r="M35" s="11">
        <f t="shared" si="2"/>
        <v>0</v>
      </c>
      <c r="N35" s="11">
        <f t="shared" si="3"/>
        <v>5.0509259264799766E-2</v>
      </c>
    </row>
    <row r="36" spans="1:14" x14ac:dyDescent="0.25">
      <c r="A36" s="3" t="s">
        <v>736</v>
      </c>
      <c r="B36" s="3" t="s">
        <v>500</v>
      </c>
      <c r="C36" s="3" t="s">
        <v>3195</v>
      </c>
      <c r="D36" s="3">
        <v>1</v>
      </c>
      <c r="E36" s="10">
        <v>45660.456076388888</v>
      </c>
      <c r="F36" s="10">
        <v>45660.458472222221</v>
      </c>
      <c r="G36" s="10">
        <v>45660.459340277783</v>
      </c>
      <c r="H36" s="10">
        <v>45660.484733796293</v>
      </c>
      <c r="I36" s="10">
        <v>45660.484733796293</v>
      </c>
      <c r="J36" s="10">
        <v>45660.485671296286</v>
      </c>
      <c r="K36" s="11">
        <f t="shared" si="0"/>
        <v>2.3958333331393078E-3</v>
      </c>
      <c r="L36" s="11">
        <f t="shared" si="1"/>
        <v>8.6805556202307343E-4</v>
      </c>
      <c r="M36" s="11">
        <f t="shared" si="2"/>
        <v>0</v>
      </c>
      <c r="N36" s="11">
        <f t="shared" si="3"/>
        <v>2.9594907398859505E-2</v>
      </c>
    </row>
    <row r="37" spans="1:14" x14ac:dyDescent="0.25">
      <c r="A37" s="3" t="s">
        <v>739</v>
      </c>
      <c r="B37" s="3" t="s">
        <v>500</v>
      </c>
      <c r="C37" s="3" t="s">
        <v>3199</v>
      </c>
      <c r="D37" s="3">
        <v>1</v>
      </c>
      <c r="E37" s="10">
        <v>45660.551423611112</v>
      </c>
      <c r="F37" s="10">
        <v>45660.553784722222</v>
      </c>
      <c r="G37" s="10">
        <v>45660.554652777777</v>
      </c>
      <c r="H37" s="10">
        <v>45660.60292824074</v>
      </c>
      <c r="I37" s="10">
        <v>45660.60292824074</v>
      </c>
      <c r="J37" s="10">
        <v>45660.603958333333</v>
      </c>
      <c r="K37" s="11">
        <f t="shared" si="0"/>
        <v>2.3611111100763083E-3</v>
      </c>
      <c r="L37" s="11">
        <f t="shared" si="1"/>
        <v>8.6805555474711582E-4</v>
      </c>
      <c r="M37" s="11">
        <f t="shared" si="2"/>
        <v>0</v>
      </c>
      <c r="N37" s="11">
        <f t="shared" si="3"/>
        <v>5.2534722221025731E-2</v>
      </c>
    </row>
    <row r="38" spans="1:14" x14ac:dyDescent="0.25">
      <c r="A38" s="3" t="s">
        <v>748</v>
      </c>
      <c r="B38" s="3" t="s">
        <v>506</v>
      </c>
      <c r="C38" s="3" t="s">
        <v>3199</v>
      </c>
      <c r="D38" s="3">
        <v>1</v>
      </c>
      <c r="E38" s="10">
        <v>45660.650555555563</v>
      </c>
      <c r="F38" s="10">
        <v>45660.652939814812</v>
      </c>
      <c r="G38" s="10">
        <v>45660.653773148151</v>
      </c>
      <c r="H38" s="10">
        <v>45660.682268518518</v>
      </c>
      <c r="I38" s="10">
        <v>45660.682268518518</v>
      </c>
      <c r="J38" s="10">
        <v>45660.68304398148</v>
      </c>
      <c r="K38" s="11">
        <f t="shared" si="0"/>
        <v>2.3842592490836978E-3</v>
      </c>
      <c r="L38" s="11">
        <f t="shared" si="1"/>
        <v>8.3333333896007389E-4</v>
      </c>
      <c r="M38" s="11">
        <f t="shared" si="2"/>
        <v>0</v>
      </c>
      <c r="N38" s="11">
        <f t="shared" si="3"/>
        <v>3.2488425917108543E-2</v>
      </c>
    </row>
    <row r="39" spans="1:14" x14ac:dyDescent="0.25">
      <c r="A39" s="3" t="s">
        <v>540</v>
      </c>
      <c r="B39" s="3" t="s">
        <v>539</v>
      </c>
      <c r="C39" s="3" t="s">
        <v>3205</v>
      </c>
      <c r="D39" s="3">
        <v>4</v>
      </c>
      <c r="E39" s="10">
        <v>45659.339131944442</v>
      </c>
      <c r="F39" s="10">
        <v>45660.667731481481</v>
      </c>
      <c r="G39" s="10">
        <v>45660.668599537043</v>
      </c>
      <c r="H39" s="10">
        <v>45660.689328703702</v>
      </c>
      <c r="I39" s="10">
        <v>45660.689328703702</v>
      </c>
      <c r="J39" s="10">
        <v>45660.690150462957</v>
      </c>
      <c r="K39" s="11">
        <f t="shared" si="0"/>
        <v>1.3285995370388264</v>
      </c>
      <c r="L39" s="11">
        <f t="shared" si="1"/>
        <v>8.6805556202307343E-4</v>
      </c>
      <c r="M39" s="11">
        <f t="shared" si="2"/>
        <v>0</v>
      </c>
      <c r="N39" s="11">
        <f t="shared" si="3"/>
        <v>1.3510185185150476</v>
      </c>
    </row>
    <row r="40" spans="1:14" x14ac:dyDescent="0.25">
      <c r="A40" s="3" t="s">
        <v>742</v>
      </c>
      <c r="B40" s="3" t="s">
        <v>500</v>
      </c>
      <c r="C40" s="3" t="s">
        <v>3195</v>
      </c>
      <c r="D40" s="3">
        <v>2</v>
      </c>
      <c r="E40" s="10">
        <v>45660.604270833333</v>
      </c>
      <c r="F40" s="10">
        <v>45660.672071759262</v>
      </c>
      <c r="G40" s="10">
        <v>45660.673715277779</v>
      </c>
      <c r="H40" s="10">
        <v>45660.695567129631</v>
      </c>
      <c r="I40" s="10">
        <v>45660.695567129631</v>
      </c>
      <c r="J40" s="10">
        <v>45660.696458333332</v>
      </c>
      <c r="K40" s="11">
        <f t="shared" si="0"/>
        <v>6.7800925928167999E-2</v>
      </c>
      <c r="L40" s="11">
        <f t="shared" si="1"/>
        <v>1.6435185170848854E-3</v>
      </c>
      <c r="M40" s="11">
        <f t="shared" si="2"/>
        <v>0</v>
      </c>
      <c r="N40" s="11">
        <f t="shared" si="3"/>
        <v>9.2187499998544808E-2</v>
      </c>
    </row>
    <row r="41" spans="1:14" x14ac:dyDescent="0.25">
      <c r="A41" s="3" t="s">
        <v>772</v>
      </c>
      <c r="B41" s="3" t="s">
        <v>500</v>
      </c>
      <c r="C41" s="3" t="s">
        <v>3199</v>
      </c>
      <c r="D41" s="3">
        <v>1</v>
      </c>
      <c r="E41" s="10">
        <v>45660.726909722223</v>
      </c>
      <c r="F41" s="10">
        <v>45660.729305555556</v>
      </c>
      <c r="G41" s="10">
        <v>45660.730150462958</v>
      </c>
      <c r="H41" s="10">
        <v>45660.778564814813</v>
      </c>
      <c r="I41" s="10">
        <v>45660.778564814813</v>
      </c>
      <c r="J41" s="10">
        <v>45660.779606481483</v>
      </c>
      <c r="K41" s="11">
        <f t="shared" si="0"/>
        <v>2.3958333331393078E-3</v>
      </c>
      <c r="L41" s="11">
        <f t="shared" si="1"/>
        <v>8.4490740118781105E-4</v>
      </c>
      <c r="M41" s="11">
        <f t="shared" si="2"/>
        <v>0</v>
      </c>
      <c r="N41" s="11">
        <f t="shared" si="3"/>
        <v>5.2696759259561077E-2</v>
      </c>
    </row>
    <row r="42" spans="1:14" x14ac:dyDescent="0.25">
      <c r="A42" s="3" t="s">
        <v>689</v>
      </c>
      <c r="B42" s="3" t="s">
        <v>515</v>
      </c>
      <c r="C42" s="3" t="s">
        <v>3196</v>
      </c>
      <c r="D42" s="3">
        <v>4</v>
      </c>
      <c r="E42" s="10">
        <v>45660.262789351851</v>
      </c>
      <c r="F42" s="10">
        <v>45660.855752314812</v>
      </c>
      <c r="G42" s="10">
        <v>45660.856620370367</v>
      </c>
      <c r="H42" s="10">
        <v>45660.875763888893</v>
      </c>
      <c r="I42" s="10">
        <v>45660.875763888893</v>
      </c>
      <c r="J42" s="10">
        <v>45660.876400462963</v>
      </c>
      <c r="K42" s="11">
        <f t="shared" si="0"/>
        <v>0.59296296296088258</v>
      </c>
      <c r="L42" s="11">
        <f t="shared" si="1"/>
        <v>8.6805555474711582E-4</v>
      </c>
      <c r="M42" s="11">
        <f t="shared" si="2"/>
        <v>0</v>
      </c>
      <c r="N42" s="11">
        <f t="shared" si="3"/>
        <v>0.61361111111182254</v>
      </c>
    </row>
    <row r="43" spans="1:14" x14ac:dyDescent="0.25">
      <c r="A43" s="3" t="s">
        <v>710</v>
      </c>
      <c r="B43" s="3" t="s">
        <v>527</v>
      </c>
      <c r="C43" s="3" t="s">
        <v>3193</v>
      </c>
      <c r="D43" s="3">
        <v>3</v>
      </c>
      <c r="E43" s="10">
        <v>45660.322500000002</v>
      </c>
      <c r="F43" s="10">
        <v>45660.859340277777</v>
      </c>
      <c r="G43" s="10">
        <v>45660.860208333332</v>
      </c>
      <c r="H43" s="10">
        <v>45660.893020833333</v>
      </c>
      <c r="I43" s="10">
        <v>45660.893020833333</v>
      </c>
      <c r="J43" s="10">
        <v>45660.893888888888</v>
      </c>
      <c r="K43" s="11">
        <f t="shared" si="0"/>
        <v>0.53684027777489973</v>
      </c>
      <c r="L43" s="11">
        <f t="shared" si="1"/>
        <v>8.6805555474711582E-4</v>
      </c>
      <c r="M43" s="11">
        <f t="shared" si="2"/>
        <v>0</v>
      </c>
      <c r="N43" s="11">
        <f t="shared" si="3"/>
        <v>0.57138888888584916</v>
      </c>
    </row>
    <row r="44" spans="1:14" x14ac:dyDescent="0.25">
      <c r="A44" s="3" t="s">
        <v>745</v>
      </c>
      <c r="B44" s="3" t="s">
        <v>533</v>
      </c>
      <c r="C44" s="3" t="s">
        <v>3197</v>
      </c>
      <c r="D44" s="3">
        <v>3</v>
      </c>
      <c r="E44" s="10">
        <v>45660.648298611108</v>
      </c>
      <c r="F44" s="10">
        <v>45660.864085648151</v>
      </c>
      <c r="G44" s="10">
        <v>45660.870925925927</v>
      </c>
      <c r="H44" s="10">
        <v>45660.900983796288</v>
      </c>
      <c r="I44" s="10">
        <v>45660.900983796288</v>
      </c>
      <c r="J44" s="10">
        <v>45660.901932870373</v>
      </c>
      <c r="K44" s="11">
        <f t="shared" si="0"/>
        <v>0.21578703704290092</v>
      </c>
      <c r="L44" s="11">
        <f t="shared" si="1"/>
        <v>6.8402777760638855E-3</v>
      </c>
      <c r="M44" s="11">
        <f t="shared" si="2"/>
        <v>0</v>
      </c>
      <c r="N44" s="11">
        <f t="shared" si="3"/>
        <v>0.25363425926479977</v>
      </c>
    </row>
    <row r="45" spans="1:14" x14ac:dyDescent="0.25">
      <c r="A45" s="3" t="s">
        <v>781</v>
      </c>
      <c r="B45" s="3" t="s">
        <v>506</v>
      </c>
      <c r="C45" s="3" t="s">
        <v>3199</v>
      </c>
      <c r="D45" s="3">
        <v>2</v>
      </c>
      <c r="E45" s="10">
        <v>45660.857349537036</v>
      </c>
      <c r="F45" s="10">
        <v>45660.864988425928</v>
      </c>
      <c r="G45" s="10">
        <v>45660.877500000002</v>
      </c>
      <c r="H45" s="10">
        <v>45660.909907407397</v>
      </c>
      <c r="I45" s="10">
        <v>45660.909907407397</v>
      </c>
      <c r="J45" s="10">
        <v>45660.910729166673</v>
      </c>
      <c r="K45" s="11">
        <f t="shared" si="0"/>
        <v>7.6388888919609599E-3</v>
      </c>
      <c r="L45" s="11">
        <f t="shared" si="1"/>
        <v>1.2511574073869269E-2</v>
      </c>
      <c r="M45" s="11">
        <f t="shared" si="2"/>
        <v>0</v>
      </c>
      <c r="N45" s="11">
        <f t="shared" si="3"/>
        <v>5.3379629636765458E-2</v>
      </c>
    </row>
    <row r="46" spans="1:14" x14ac:dyDescent="0.25">
      <c r="A46" s="3" t="s">
        <v>524</v>
      </c>
      <c r="B46" s="3" t="s">
        <v>523</v>
      </c>
      <c r="C46" s="3" t="s">
        <v>3206</v>
      </c>
      <c r="D46" s="3">
        <v>6</v>
      </c>
      <c r="E46" s="10">
        <v>45659.331504629627</v>
      </c>
      <c r="F46" s="10">
        <v>45660.868831018517</v>
      </c>
      <c r="G46" s="10">
        <v>45660.894756944443</v>
      </c>
      <c r="H46" s="10">
        <v>45660.914722222216</v>
      </c>
      <c r="I46" s="10">
        <v>45660.914722222216</v>
      </c>
      <c r="J46" s="10">
        <v>45660.915590277778</v>
      </c>
      <c r="K46" s="11">
        <f t="shared" si="0"/>
        <v>1.5373263888905058</v>
      </c>
      <c r="L46" s="11">
        <f t="shared" si="1"/>
        <v>2.5925925925548654E-2</v>
      </c>
      <c r="M46" s="11">
        <f t="shared" si="2"/>
        <v>0</v>
      </c>
      <c r="N46" s="11">
        <f t="shared" si="3"/>
        <v>1.5840856481518131</v>
      </c>
    </row>
    <row r="47" spans="1:14" x14ac:dyDescent="0.25">
      <c r="A47" s="3" t="s">
        <v>684</v>
      </c>
      <c r="B47" s="3" t="s">
        <v>519</v>
      </c>
      <c r="C47" s="3" t="s">
        <v>3202</v>
      </c>
      <c r="D47" s="3">
        <v>5</v>
      </c>
      <c r="E47" s="10">
        <v>45660.258900462963</v>
      </c>
      <c r="F47" s="10">
        <v>45660.918425925927</v>
      </c>
      <c r="G47" s="10">
        <v>45660.919293981482</v>
      </c>
      <c r="H47" s="10">
        <v>45660.938437500001</v>
      </c>
      <c r="I47" s="10">
        <v>45660.938437500001</v>
      </c>
      <c r="J47" s="10">
        <v>45660.93917824074</v>
      </c>
      <c r="K47" s="11">
        <f t="shared" si="0"/>
        <v>0.65952546296466608</v>
      </c>
      <c r="L47" s="11">
        <f t="shared" si="1"/>
        <v>8.6805555474711582E-4</v>
      </c>
      <c r="M47" s="11">
        <f t="shared" si="2"/>
        <v>0</v>
      </c>
      <c r="N47" s="11">
        <f t="shared" si="3"/>
        <v>0.68027777777751908</v>
      </c>
    </row>
    <row r="48" spans="1:14" x14ac:dyDescent="0.25">
      <c r="A48" s="3" t="s">
        <v>704</v>
      </c>
      <c r="B48" s="3" t="s">
        <v>484</v>
      </c>
      <c r="C48" s="3" t="s">
        <v>3203</v>
      </c>
      <c r="D48" s="3">
        <v>3</v>
      </c>
      <c r="E48" s="10">
        <v>45660.319386574083</v>
      </c>
      <c r="F48" s="10">
        <v>45660.919363425928</v>
      </c>
      <c r="G48" s="10">
        <v>45660.920208333337</v>
      </c>
      <c r="H48" s="10">
        <v>45660.946250000001</v>
      </c>
      <c r="I48" s="10">
        <v>45660.946250000001</v>
      </c>
      <c r="J48" s="10">
        <v>45660.947060185194</v>
      </c>
      <c r="K48" s="11">
        <f t="shared" si="0"/>
        <v>0.5999768518449855</v>
      </c>
      <c r="L48" s="11">
        <f t="shared" si="1"/>
        <v>8.4490740846376866E-4</v>
      </c>
      <c r="M48" s="11">
        <f t="shared" si="2"/>
        <v>0</v>
      </c>
      <c r="N48" s="11">
        <f t="shared" si="3"/>
        <v>0.62767361111036735</v>
      </c>
    </row>
    <row r="49" spans="1:14" x14ac:dyDescent="0.25">
      <c r="A49" s="3" t="s">
        <v>820</v>
      </c>
      <c r="B49" s="3" t="s">
        <v>533</v>
      </c>
      <c r="C49" s="3" t="s">
        <v>3203</v>
      </c>
      <c r="D49" s="3">
        <v>1</v>
      </c>
      <c r="E49" s="10">
        <v>45661.247025462973</v>
      </c>
      <c r="F49" s="10">
        <v>45661.249398148153</v>
      </c>
      <c r="G49" s="10">
        <v>45661.250243055547</v>
      </c>
      <c r="H49" s="10">
        <v>45661.288495370369</v>
      </c>
      <c r="I49" s="10">
        <v>45661.288495370369</v>
      </c>
      <c r="J49" s="10">
        <v>45661.289467592593</v>
      </c>
      <c r="K49" s="11">
        <f t="shared" si="0"/>
        <v>2.372685179580003E-3</v>
      </c>
      <c r="L49" s="11">
        <f t="shared" si="1"/>
        <v>8.4490739391185343E-4</v>
      </c>
      <c r="M49" s="11">
        <f t="shared" si="2"/>
        <v>0</v>
      </c>
      <c r="N49" s="11">
        <f t="shared" si="3"/>
        <v>4.2442129619303159E-2</v>
      </c>
    </row>
    <row r="50" spans="1:14" x14ac:dyDescent="0.25">
      <c r="A50" s="3" t="s">
        <v>795</v>
      </c>
      <c r="B50" s="3" t="s">
        <v>506</v>
      </c>
      <c r="C50" s="3" t="s">
        <v>3197</v>
      </c>
      <c r="D50" s="3">
        <v>4</v>
      </c>
      <c r="E50" s="10">
        <v>45660.897638888891</v>
      </c>
      <c r="F50" s="10">
        <v>45662.751192129632</v>
      </c>
      <c r="G50" s="10">
        <v>45662.752060185187</v>
      </c>
      <c r="H50" s="10">
        <v>45662.821030092593</v>
      </c>
      <c r="I50" s="10">
        <v>45662.821030092593</v>
      </c>
      <c r="J50" s="10">
        <v>45662.822500000002</v>
      </c>
      <c r="K50" s="11">
        <f t="shared" si="0"/>
        <v>1.8535532407404389</v>
      </c>
      <c r="L50" s="11">
        <f t="shared" si="1"/>
        <v>8.6805555474711582E-4</v>
      </c>
      <c r="M50" s="11">
        <f t="shared" si="2"/>
        <v>0</v>
      </c>
      <c r="N50" s="11">
        <f t="shared" si="3"/>
        <v>1.9248611111106584</v>
      </c>
    </row>
    <row r="51" spans="1:14" x14ac:dyDescent="0.25">
      <c r="A51" s="3" t="s">
        <v>823</v>
      </c>
      <c r="B51" s="3" t="s">
        <v>519</v>
      </c>
      <c r="C51" s="3" t="s">
        <v>3193</v>
      </c>
      <c r="D51" s="3">
        <v>2</v>
      </c>
      <c r="E51" s="10">
        <v>45661.248310185183</v>
      </c>
      <c r="F51" s="10">
        <v>45662.752662037034</v>
      </c>
      <c r="G51" s="10">
        <v>45662.753495370373</v>
      </c>
      <c r="H51" s="10">
        <v>45662.774016203701</v>
      </c>
      <c r="I51" s="10">
        <v>45662.774016203701</v>
      </c>
      <c r="J51" s="10">
        <v>45662.774722222217</v>
      </c>
      <c r="K51" s="11">
        <f t="shared" si="0"/>
        <v>1.5043518518505152</v>
      </c>
      <c r="L51" s="11">
        <f t="shared" si="1"/>
        <v>8.3333333896007389E-4</v>
      </c>
      <c r="M51" s="11">
        <f t="shared" si="2"/>
        <v>0</v>
      </c>
      <c r="N51" s="11">
        <f t="shared" si="3"/>
        <v>1.5264120370338787</v>
      </c>
    </row>
    <row r="52" spans="1:14" x14ac:dyDescent="0.25">
      <c r="A52" s="3" t="s">
        <v>835</v>
      </c>
      <c r="B52" s="3" t="s">
        <v>506</v>
      </c>
      <c r="C52" s="3" t="s">
        <v>3193</v>
      </c>
      <c r="D52" s="3">
        <v>1</v>
      </c>
      <c r="E52" s="10">
        <v>45662.85261574074</v>
      </c>
      <c r="F52" s="10">
        <v>45662.855011574073</v>
      </c>
      <c r="G52" s="10">
        <v>45662.855844907397</v>
      </c>
      <c r="H52" s="10">
        <v>45662.930289351847</v>
      </c>
      <c r="I52" s="10">
        <v>45662.930289351847</v>
      </c>
      <c r="J52" s="10">
        <v>45662.931701388887</v>
      </c>
      <c r="K52" s="11">
        <f t="shared" si="0"/>
        <v>2.3958333331393078E-3</v>
      </c>
      <c r="L52" s="11">
        <f t="shared" si="1"/>
        <v>8.3333332440815866E-4</v>
      </c>
      <c r="M52" s="11">
        <f t="shared" si="2"/>
        <v>0</v>
      </c>
      <c r="N52" s="11">
        <f t="shared" si="3"/>
        <v>7.9085648147156462E-2</v>
      </c>
    </row>
    <row r="53" spans="1:14" x14ac:dyDescent="0.25">
      <c r="A53" s="3" t="s">
        <v>840</v>
      </c>
      <c r="B53" s="3" t="s">
        <v>506</v>
      </c>
      <c r="C53" s="3" t="s">
        <v>3197</v>
      </c>
      <c r="D53" s="3">
        <v>1</v>
      </c>
      <c r="E53" s="10">
        <v>45662.856724537043</v>
      </c>
      <c r="F53" s="10">
        <v>45662.859120370369</v>
      </c>
      <c r="G53" s="10">
        <v>45662.859988425917</v>
      </c>
      <c r="H53" s="10">
        <v>45662.877557870372</v>
      </c>
      <c r="I53" s="10">
        <v>45662.877557870372</v>
      </c>
      <c r="J53" s="10">
        <v>45662.878333333327</v>
      </c>
      <c r="K53" s="11">
        <f t="shared" si="0"/>
        <v>2.3958333258633502E-3</v>
      </c>
      <c r="L53" s="11">
        <f t="shared" si="1"/>
        <v>8.6805554747115821E-4</v>
      </c>
      <c r="M53" s="11">
        <f t="shared" si="2"/>
        <v>0</v>
      </c>
      <c r="N53" s="11">
        <f t="shared" si="3"/>
        <v>2.1608796283544507E-2</v>
      </c>
    </row>
    <row r="54" spans="1:14" x14ac:dyDescent="0.25">
      <c r="A54" s="3" t="s">
        <v>843</v>
      </c>
      <c r="B54" s="3" t="s">
        <v>506</v>
      </c>
      <c r="C54" s="3" t="s">
        <v>3193</v>
      </c>
      <c r="D54" s="3">
        <v>1</v>
      </c>
      <c r="E54" s="10">
        <v>45663.745000000003</v>
      </c>
      <c r="F54" s="10">
        <v>45663.747361111113</v>
      </c>
      <c r="G54" s="10">
        <v>45663.748229166667</v>
      </c>
      <c r="H54" s="10">
        <v>45663.790138888893</v>
      </c>
      <c r="I54" s="10">
        <v>45663.790138888893</v>
      </c>
      <c r="J54" s="10">
        <v>45663.791122685187</v>
      </c>
      <c r="K54" s="11">
        <f t="shared" si="0"/>
        <v>2.3611111100763083E-3</v>
      </c>
      <c r="L54" s="11">
        <f t="shared" si="1"/>
        <v>8.6805555474711582E-4</v>
      </c>
      <c r="M54" s="11">
        <f t="shared" si="2"/>
        <v>0</v>
      </c>
      <c r="N54" s="11">
        <f t="shared" si="3"/>
        <v>4.6122685183945578E-2</v>
      </c>
    </row>
    <row r="55" spans="1:14" x14ac:dyDescent="0.25">
      <c r="A55" s="3" t="s">
        <v>707</v>
      </c>
      <c r="B55" s="3" t="s">
        <v>488</v>
      </c>
      <c r="C55" s="3" t="s">
        <v>3201</v>
      </c>
      <c r="D55" s="3">
        <v>4</v>
      </c>
      <c r="E55" s="10">
        <v>45660.321203703701</v>
      </c>
      <c r="F55" s="10">
        <v>45664.13721064815</v>
      </c>
      <c r="G55" s="10">
        <v>45664.138043981482</v>
      </c>
      <c r="H55" s="10">
        <v>45664.184490740743</v>
      </c>
      <c r="I55" s="10">
        <v>45664.184490740743</v>
      </c>
      <c r="J55" s="10">
        <v>45664.185648148137</v>
      </c>
      <c r="K55" s="11">
        <f t="shared" si="0"/>
        <v>3.8160069444493274</v>
      </c>
      <c r="L55" s="11">
        <f t="shared" si="1"/>
        <v>8.3333333168411627E-4</v>
      </c>
      <c r="M55" s="11">
        <f t="shared" si="2"/>
        <v>0</v>
      </c>
      <c r="N55" s="11">
        <f t="shared" si="3"/>
        <v>3.8644444444362307</v>
      </c>
    </row>
    <row r="56" spans="1:14" x14ac:dyDescent="0.25">
      <c r="A56" s="3" t="s">
        <v>828</v>
      </c>
      <c r="B56" s="3" t="s">
        <v>533</v>
      </c>
      <c r="C56" s="3" t="s">
        <v>3203</v>
      </c>
      <c r="D56" s="3">
        <v>2</v>
      </c>
      <c r="E56" s="10">
        <v>45662.744618055563</v>
      </c>
      <c r="F56" s="10">
        <v>45664.138078703712</v>
      </c>
      <c r="G56" s="10">
        <v>45664.13894675926</v>
      </c>
      <c r="H56" s="10">
        <v>45664.162824074083</v>
      </c>
      <c r="I56" s="10">
        <v>45664.162824074083</v>
      </c>
      <c r="J56" s="10">
        <v>45664.163611111107</v>
      </c>
      <c r="K56" s="11">
        <f t="shared" si="0"/>
        <v>1.3934606481489027</v>
      </c>
      <c r="L56" s="11">
        <f t="shared" si="1"/>
        <v>8.6805554747115821E-4</v>
      </c>
      <c r="M56" s="11">
        <f t="shared" si="2"/>
        <v>0</v>
      </c>
      <c r="N56" s="11">
        <f t="shared" si="3"/>
        <v>1.4189930555439787</v>
      </c>
    </row>
    <row r="57" spans="1:14" x14ac:dyDescent="0.25">
      <c r="A57" s="3" t="s">
        <v>856</v>
      </c>
      <c r="B57" s="3" t="s">
        <v>500</v>
      </c>
      <c r="C57" s="3" t="s">
        <v>3203</v>
      </c>
      <c r="D57" s="3">
        <v>1</v>
      </c>
      <c r="E57" s="10">
        <v>45664.281192129631</v>
      </c>
      <c r="F57" s="10">
        <v>45664.283564814818</v>
      </c>
      <c r="G57" s="10">
        <v>45664.284432870372</v>
      </c>
      <c r="H57" s="10">
        <v>45664.335995370369</v>
      </c>
      <c r="I57" s="10">
        <v>45664.335995370369</v>
      </c>
      <c r="J57" s="10">
        <v>45664.337141203701</v>
      </c>
      <c r="K57" s="11">
        <f t="shared" si="0"/>
        <v>2.3726851868559606E-3</v>
      </c>
      <c r="L57" s="11">
        <f t="shared" si="1"/>
        <v>8.6805555474711582E-4</v>
      </c>
      <c r="M57" s="11">
        <f t="shared" si="2"/>
        <v>0</v>
      </c>
      <c r="N57" s="11">
        <f t="shared" si="3"/>
        <v>5.5949074070667848E-2</v>
      </c>
    </row>
    <row r="58" spans="1:14" x14ac:dyDescent="0.25">
      <c r="A58" s="3" t="s">
        <v>876</v>
      </c>
      <c r="B58" s="3" t="s">
        <v>500</v>
      </c>
      <c r="C58" s="3" t="s">
        <v>3197</v>
      </c>
      <c r="D58" s="3">
        <v>1</v>
      </c>
      <c r="E58" s="10">
        <v>45664.318761574083</v>
      </c>
      <c r="F58" s="10">
        <v>45664.321122685193</v>
      </c>
      <c r="G58" s="10">
        <v>45664.321967592587</v>
      </c>
      <c r="H58" s="10">
        <v>45664.390821759262</v>
      </c>
      <c r="I58" s="10">
        <v>45664.390821759262</v>
      </c>
      <c r="J58" s="10">
        <v>45664.392280092587</v>
      </c>
      <c r="K58" s="11">
        <f t="shared" si="0"/>
        <v>2.3611111100763083E-3</v>
      </c>
      <c r="L58" s="11">
        <f t="shared" si="1"/>
        <v>8.4490739391185343E-4</v>
      </c>
      <c r="M58" s="11">
        <f t="shared" si="2"/>
        <v>0</v>
      </c>
      <c r="N58" s="11">
        <f t="shared" si="3"/>
        <v>7.3518518503988162E-2</v>
      </c>
    </row>
    <row r="59" spans="1:14" x14ac:dyDescent="0.25">
      <c r="A59" s="3" t="s">
        <v>879</v>
      </c>
      <c r="B59" s="3" t="s">
        <v>500</v>
      </c>
      <c r="C59" s="3" t="s">
        <v>3206</v>
      </c>
      <c r="D59" s="3">
        <v>1</v>
      </c>
      <c r="E59" s="10">
        <v>45664.321504629632</v>
      </c>
      <c r="F59" s="10">
        <v>45664.323900462958</v>
      </c>
      <c r="G59" s="10">
        <v>45664.337824074071</v>
      </c>
      <c r="H59" s="10">
        <v>45664.370787037027</v>
      </c>
      <c r="I59" s="10">
        <v>45664.370787037027</v>
      </c>
      <c r="J59" s="10">
        <v>45664.371817129628</v>
      </c>
      <c r="K59" s="11">
        <f t="shared" si="0"/>
        <v>2.3958333258633502E-3</v>
      </c>
      <c r="L59" s="11">
        <f t="shared" si="1"/>
        <v>1.3923611113568768E-2</v>
      </c>
      <c r="M59" s="11">
        <f t="shared" si="2"/>
        <v>0</v>
      </c>
      <c r="N59" s="11">
        <f t="shared" si="3"/>
        <v>5.0312499995925464E-2</v>
      </c>
    </row>
    <row r="60" spans="1:14" x14ac:dyDescent="0.25">
      <c r="A60" s="3" t="s">
        <v>798</v>
      </c>
      <c r="B60" s="3" t="s">
        <v>519</v>
      </c>
      <c r="C60" s="3" t="s">
        <v>3199</v>
      </c>
      <c r="D60" s="3">
        <v>5</v>
      </c>
      <c r="E60" s="10">
        <v>45660.899513888893</v>
      </c>
      <c r="F60" s="10">
        <v>45664.328182870369</v>
      </c>
      <c r="G60" s="10">
        <v>45664.340567129628</v>
      </c>
      <c r="H60" s="10">
        <v>45664.360312500001</v>
      </c>
      <c r="I60" s="10">
        <v>45664.360312500001</v>
      </c>
      <c r="J60" s="10">
        <v>45664.360960648148</v>
      </c>
      <c r="K60" s="11">
        <f t="shared" si="0"/>
        <v>3.4286689814762212</v>
      </c>
      <c r="L60" s="11">
        <f t="shared" si="1"/>
        <v>1.2384259258396924E-2</v>
      </c>
      <c r="M60" s="11">
        <f t="shared" si="2"/>
        <v>0</v>
      </c>
      <c r="N60" s="11">
        <f t="shared" si="3"/>
        <v>3.4614467592546134</v>
      </c>
    </row>
    <row r="61" spans="1:14" x14ac:dyDescent="0.25">
      <c r="A61" s="3" t="s">
        <v>803</v>
      </c>
      <c r="B61" s="3" t="s">
        <v>515</v>
      </c>
      <c r="C61" s="3" t="s">
        <v>3205</v>
      </c>
      <c r="D61" s="3">
        <v>4</v>
      </c>
      <c r="E61" s="10">
        <v>45660.90283564815</v>
      </c>
      <c r="F61" s="10">
        <v>45664.334791666668</v>
      </c>
      <c r="G61" s="10">
        <v>45664.366840277777</v>
      </c>
      <c r="H61" s="10">
        <v>45664.404004629629</v>
      </c>
      <c r="I61" s="10">
        <v>45664.404004629629</v>
      </c>
      <c r="J61" s="10">
        <v>45664.405046296299</v>
      </c>
      <c r="K61" s="11">
        <f t="shared" si="0"/>
        <v>3.431956018517667</v>
      </c>
      <c r="L61" s="11">
        <f t="shared" si="1"/>
        <v>3.2048611108621117E-2</v>
      </c>
      <c r="M61" s="11">
        <f t="shared" si="2"/>
        <v>0</v>
      </c>
      <c r="N61" s="11">
        <f t="shared" si="3"/>
        <v>3.5022106481483206</v>
      </c>
    </row>
    <row r="62" spans="1:14" x14ac:dyDescent="0.25">
      <c r="A62" s="3" t="s">
        <v>870</v>
      </c>
      <c r="B62" s="3" t="s">
        <v>500</v>
      </c>
      <c r="C62" s="3" t="s">
        <v>3203</v>
      </c>
      <c r="D62" s="3">
        <v>2</v>
      </c>
      <c r="E62" s="10">
        <v>45664.331331018519</v>
      </c>
      <c r="F62" s="10">
        <v>45664.363240740742</v>
      </c>
      <c r="G62" s="10">
        <v>45664.372523148151</v>
      </c>
      <c r="H62" s="10">
        <v>45664.421377314808</v>
      </c>
      <c r="I62" s="10">
        <v>45664.421377314808</v>
      </c>
      <c r="J62" s="10">
        <v>45664.422488425917</v>
      </c>
      <c r="K62" s="11">
        <f t="shared" si="0"/>
        <v>3.1909722223645076E-2</v>
      </c>
      <c r="L62" s="11">
        <f t="shared" si="1"/>
        <v>9.2824074090458453E-3</v>
      </c>
      <c r="M62" s="11">
        <f t="shared" si="2"/>
        <v>0</v>
      </c>
      <c r="N62" s="11">
        <f t="shared" si="3"/>
        <v>9.115740739798639E-2</v>
      </c>
    </row>
    <row r="63" spans="1:14" x14ac:dyDescent="0.25">
      <c r="A63" s="3" t="s">
        <v>733</v>
      </c>
      <c r="B63" s="3" t="s">
        <v>572</v>
      </c>
      <c r="C63" s="3" t="s">
        <v>3204</v>
      </c>
      <c r="D63" s="3">
        <v>4</v>
      </c>
      <c r="E63" s="10">
        <v>45660.454039351847</v>
      </c>
      <c r="F63" s="10">
        <v>45664.365104166667</v>
      </c>
      <c r="G63" s="10">
        <v>45664.405659722222</v>
      </c>
      <c r="H63" s="10">
        <v>45664.437025462961</v>
      </c>
      <c r="I63" s="10">
        <v>45664.437025462961</v>
      </c>
      <c r="J63" s="10">
        <v>45664.437951388893</v>
      </c>
      <c r="K63" s="11">
        <f t="shared" si="0"/>
        <v>3.9110648148198379</v>
      </c>
      <c r="L63" s="11">
        <f t="shared" si="1"/>
        <v>4.0555555555329192E-2</v>
      </c>
      <c r="M63" s="11">
        <f t="shared" si="2"/>
        <v>0</v>
      </c>
      <c r="N63" s="11">
        <f t="shared" si="3"/>
        <v>3.9839120370452292</v>
      </c>
    </row>
    <row r="64" spans="1:14" x14ac:dyDescent="0.25">
      <c r="A64" s="3" t="s">
        <v>891</v>
      </c>
      <c r="B64" s="3" t="s">
        <v>500</v>
      </c>
      <c r="C64" s="3" t="s">
        <v>3203</v>
      </c>
      <c r="D64" s="3">
        <v>2</v>
      </c>
      <c r="E64" s="10">
        <v>45664.377245370371</v>
      </c>
      <c r="F64" s="10">
        <v>45664.455335648148</v>
      </c>
      <c r="G64" s="10">
        <v>45664.456180555557</v>
      </c>
      <c r="H64" s="10">
        <v>45664.507025462961</v>
      </c>
      <c r="I64" s="10">
        <v>45664.507025462961</v>
      </c>
      <c r="J64" s="10">
        <v>45664.508171296293</v>
      </c>
      <c r="K64" s="11">
        <f t="shared" si="0"/>
        <v>7.8090277776937E-2</v>
      </c>
      <c r="L64" s="11">
        <f t="shared" si="1"/>
        <v>8.4490740846376866E-4</v>
      </c>
      <c r="M64" s="11">
        <f t="shared" si="2"/>
        <v>0</v>
      </c>
      <c r="N64" s="11">
        <f t="shared" si="3"/>
        <v>0.13092592592147412</v>
      </c>
    </row>
    <row r="65" spans="1:14" x14ac:dyDescent="0.25">
      <c r="A65" s="3" t="s">
        <v>911</v>
      </c>
      <c r="B65" s="3" t="s">
        <v>500</v>
      </c>
      <c r="C65" s="3" t="s">
        <v>3204</v>
      </c>
      <c r="D65" s="3">
        <v>2</v>
      </c>
      <c r="E65" s="10">
        <v>45664.457175925927</v>
      </c>
      <c r="F65" s="10">
        <v>45664.554456018523</v>
      </c>
      <c r="G65" s="10">
        <v>45664.555324074077</v>
      </c>
      <c r="H65" s="10">
        <v>45664.601203703707</v>
      </c>
      <c r="I65" s="10">
        <v>45664.601203703707</v>
      </c>
      <c r="J65" s="10">
        <v>45664.602314814823</v>
      </c>
      <c r="K65" s="11">
        <f t="shared" si="0"/>
        <v>9.7280092595610768E-2</v>
      </c>
      <c r="L65" s="11">
        <f t="shared" si="1"/>
        <v>8.6805555474711582E-4</v>
      </c>
      <c r="M65" s="11">
        <f t="shared" si="2"/>
        <v>0</v>
      </c>
      <c r="N65" s="11">
        <f t="shared" si="3"/>
        <v>0.14513888889632653</v>
      </c>
    </row>
    <row r="66" spans="1:14" x14ac:dyDescent="0.25">
      <c r="A66" s="3" t="s">
        <v>916</v>
      </c>
      <c r="B66" s="3" t="s">
        <v>500</v>
      </c>
      <c r="C66" s="3" t="s">
        <v>3203</v>
      </c>
      <c r="D66" s="3">
        <v>1</v>
      </c>
      <c r="E66" s="10">
        <v>45664.60460648148</v>
      </c>
      <c r="F66" s="10">
        <v>45664.606782407413</v>
      </c>
      <c r="G66" s="10">
        <v>45664.607627314806</v>
      </c>
      <c r="H66" s="10">
        <v>45664.676724537043</v>
      </c>
      <c r="I66" s="10">
        <v>45664.676724537043</v>
      </c>
      <c r="J66" s="10">
        <v>45664.678113425929</v>
      </c>
      <c r="K66" s="11">
        <f t="shared" ref="K66:K129" si="4">IF(AND(ISNUMBER(E66),ISNUMBER(F66)),(F66-E66),"")</f>
        <v>2.1759259325335734E-3</v>
      </c>
      <c r="L66" s="11">
        <f t="shared" ref="L66:L129" si="5">IF(AND(ISNUMBER(F66),ISNUMBER(G66)),(G66-F66),"")</f>
        <v>8.4490739391185343E-4</v>
      </c>
      <c r="M66" s="11">
        <f t="shared" ref="M66:M129" si="6">IF(AND(ISNUMBER(H66),ISNUMBER(I66)),(I66-H66),"")</f>
        <v>0</v>
      </c>
      <c r="N66" s="11">
        <f t="shared" ref="N66:N129" si="7">IF(AND(ISNUMBER(E66),ISNUMBER(J66)),(J66-E66),"")</f>
        <v>7.3506944449036382E-2</v>
      </c>
    </row>
    <row r="67" spans="1:14" x14ac:dyDescent="0.25">
      <c r="A67" s="3" t="s">
        <v>901</v>
      </c>
      <c r="B67" s="3" t="s">
        <v>527</v>
      </c>
      <c r="C67" s="3" t="s">
        <v>3196</v>
      </c>
      <c r="D67" s="3">
        <v>2</v>
      </c>
      <c r="E67" s="10">
        <v>45664.384027777778</v>
      </c>
      <c r="F67" s="10">
        <v>45664.65388888889</v>
      </c>
      <c r="G67" s="10">
        <v>45664.658761574072</v>
      </c>
      <c r="H67" s="10">
        <v>45664.682199074072</v>
      </c>
      <c r="I67" s="10">
        <v>45664.682199074072</v>
      </c>
      <c r="J67" s="10">
        <v>45664.682893518519</v>
      </c>
      <c r="K67" s="11">
        <f t="shared" si="4"/>
        <v>0.26986111111182254</v>
      </c>
      <c r="L67" s="11">
        <f t="shared" si="5"/>
        <v>4.8726851819083095E-3</v>
      </c>
      <c r="M67" s="11">
        <f t="shared" si="6"/>
        <v>0</v>
      </c>
      <c r="N67" s="11">
        <f t="shared" si="7"/>
        <v>0.29886574074043892</v>
      </c>
    </row>
    <row r="68" spans="1:14" x14ac:dyDescent="0.25">
      <c r="A68" s="3" t="s">
        <v>898</v>
      </c>
      <c r="B68" s="3" t="s">
        <v>515</v>
      </c>
      <c r="C68" s="3" t="s">
        <v>3205</v>
      </c>
      <c r="D68" s="3">
        <v>2</v>
      </c>
      <c r="E68" s="10">
        <v>45664.381990740738</v>
      </c>
      <c r="F68" s="10">
        <v>45664.656956018523</v>
      </c>
      <c r="G68" s="10">
        <v>45664.668530092589</v>
      </c>
      <c r="H68" s="10">
        <v>45664.686226851853</v>
      </c>
      <c r="I68" s="10">
        <v>45664.686226851853</v>
      </c>
      <c r="J68" s="10">
        <v>45664.687013888892</v>
      </c>
      <c r="K68" s="11">
        <f t="shared" si="4"/>
        <v>0.27496527778566815</v>
      </c>
      <c r="L68" s="11">
        <f t="shared" si="5"/>
        <v>1.1574074065720197E-2</v>
      </c>
      <c r="M68" s="11">
        <f t="shared" si="6"/>
        <v>0</v>
      </c>
      <c r="N68" s="11">
        <f t="shared" si="7"/>
        <v>0.30502314815385034</v>
      </c>
    </row>
    <row r="69" spans="1:14" x14ac:dyDescent="0.25">
      <c r="A69" s="3" t="s">
        <v>867</v>
      </c>
      <c r="B69" s="3" t="s">
        <v>506</v>
      </c>
      <c r="C69" s="3" t="s">
        <v>3193</v>
      </c>
      <c r="D69" s="3">
        <v>5</v>
      </c>
      <c r="E69" s="10">
        <v>45664.33017361111</v>
      </c>
      <c r="F69" s="10">
        <v>45664.661192129628</v>
      </c>
      <c r="G69" s="10">
        <v>45664.683819444443</v>
      </c>
      <c r="H69" s="10">
        <v>45664.704641203702</v>
      </c>
      <c r="I69" s="10">
        <v>45664.704641203702</v>
      </c>
      <c r="J69" s="10">
        <v>45664.705347222232</v>
      </c>
      <c r="K69" s="11">
        <f t="shared" si="4"/>
        <v>0.33101851851824904</v>
      </c>
      <c r="L69" s="11">
        <f t="shared" si="5"/>
        <v>2.2627314814599231E-2</v>
      </c>
      <c r="M69" s="11">
        <f t="shared" si="6"/>
        <v>0</v>
      </c>
      <c r="N69" s="11">
        <f t="shared" si="7"/>
        <v>0.37517361112259096</v>
      </c>
    </row>
    <row r="70" spans="1:14" x14ac:dyDescent="0.25">
      <c r="A70" s="3" t="s">
        <v>943</v>
      </c>
      <c r="B70" s="3" t="s">
        <v>500</v>
      </c>
      <c r="C70" s="3" t="s">
        <v>3197</v>
      </c>
      <c r="D70" s="3">
        <v>1</v>
      </c>
      <c r="E70" s="10">
        <v>45664.66443287037</v>
      </c>
      <c r="F70" s="10">
        <v>45664.666875000003</v>
      </c>
      <c r="G70" s="10">
        <v>45664.683935185189</v>
      </c>
      <c r="H70" s="10">
        <v>45664.752245370371</v>
      </c>
      <c r="I70" s="10">
        <v>45664.752245370371</v>
      </c>
      <c r="J70" s="10">
        <v>45664.753703703696</v>
      </c>
      <c r="K70" s="11">
        <f t="shared" si="4"/>
        <v>2.4421296329819597E-3</v>
      </c>
      <c r="L70" s="11">
        <f t="shared" si="5"/>
        <v>1.7060185185982846E-2</v>
      </c>
      <c r="M70" s="11">
        <f t="shared" si="6"/>
        <v>0</v>
      </c>
      <c r="N70" s="11">
        <f t="shared" si="7"/>
        <v>8.9270833326736465E-2</v>
      </c>
    </row>
    <row r="71" spans="1:14" x14ac:dyDescent="0.25">
      <c r="A71" s="3" t="s">
        <v>908</v>
      </c>
      <c r="B71" s="3" t="s">
        <v>572</v>
      </c>
      <c r="C71" s="3" t="s">
        <v>3199</v>
      </c>
      <c r="D71" s="3">
        <v>2</v>
      </c>
      <c r="E71" s="10">
        <v>45664.455011574071</v>
      </c>
      <c r="F71" s="10">
        <v>45664.682141203702</v>
      </c>
      <c r="G71" s="10">
        <v>45664.687962962962</v>
      </c>
      <c r="H71" s="10">
        <v>45664.705405092587</v>
      </c>
      <c r="I71" s="10">
        <v>45664.705405092587</v>
      </c>
      <c r="J71" s="10">
        <v>45664.706030092602</v>
      </c>
      <c r="K71" s="11">
        <f t="shared" si="4"/>
        <v>0.22712962963123573</v>
      </c>
      <c r="L71" s="11">
        <f t="shared" si="5"/>
        <v>5.8217592595610768E-3</v>
      </c>
      <c r="M71" s="11">
        <f t="shared" si="6"/>
        <v>0</v>
      </c>
      <c r="N71" s="11">
        <f t="shared" si="7"/>
        <v>0.25101851853105472</v>
      </c>
    </row>
    <row r="72" spans="1:14" x14ac:dyDescent="0.25">
      <c r="A72" s="3" t="s">
        <v>792</v>
      </c>
      <c r="B72" s="3" t="s">
        <v>539</v>
      </c>
      <c r="C72" s="3" t="s">
        <v>3195</v>
      </c>
      <c r="D72" s="3">
        <v>5</v>
      </c>
      <c r="E72" s="10">
        <v>45660.895590277767</v>
      </c>
      <c r="F72" s="10">
        <v>45664.754826388889</v>
      </c>
      <c r="G72" s="10">
        <v>45664.755682870367</v>
      </c>
      <c r="H72" s="10">
        <v>45664.779861111107</v>
      </c>
      <c r="I72" s="10">
        <v>45664.779861111107</v>
      </c>
      <c r="J72" s="10">
        <v>45664.780775462961</v>
      </c>
      <c r="K72" s="11">
        <f t="shared" si="4"/>
        <v>3.8592361111222999</v>
      </c>
      <c r="L72" s="11">
        <f t="shared" si="5"/>
        <v>8.5648147796746343E-4</v>
      </c>
      <c r="M72" s="11">
        <f t="shared" si="6"/>
        <v>0</v>
      </c>
      <c r="N72" s="11">
        <f t="shared" si="7"/>
        <v>3.8851851851941319</v>
      </c>
    </row>
    <row r="73" spans="1:14" x14ac:dyDescent="0.25">
      <c r="A73" s="3" t="s">
        <v>961</v>
      </c>
      <c r="B73" s="3" t="s">
        <v>527</v>
      </c>
      <c r="C73" s="3" t="s">
        <v>3193</v>
      </c>
      <c r="D73" s="3">
        <v>1</v>
      </c>
      <c r="E73" s="10">
        <v>45664.752754629633</v>
      </c>
      <c r="F73" s="10">
        <v>45664.755150462966</v>
      </c>
      <c r="G73" s="10">
        <v>45664.756412037037</v>
      </c>
      <c r="H73" s="10">
        <v>45664.77516203704</v>
      </c>
      <c r="I73" s="10">
        <v>45664.77516203704</v>
      </c>
      <c r="J73" s="10">
        <v>45664.775833333333</v>
      </c>
      <c r="K73" s="11">
        <f t="shared" si="4"/>
        <v>2.3958333331393078E-3</v>
      </c>
      <c r="L73" s="11">
        <f t="shared" si="5"/>
        <v>1.261574070667848E-3</v>
      </c>
      <c r="M73" s="11">
        <f t="shared" si="6"/>
        <v>0</v>
      </c>
      <c r="N73" s="11">
        <f t="shared" si="7"/>
        <v>2.307870369986631E-2</v>
      </c>
    </row>
    <row r="74" spans="1:14" x14ac:dyDescent="0.25">
      <c r="A74" s="3" t="s">
        <v>946</v>
      </c>
      <c r="B74" s="3" t="s">
        <v>500</v>
      </c>
      <c r="C74" s="3" t="s">
        <v>3206</v>
      </c>
      <c r="D74" s="3">
        <v>2</v>
      </c>
      <c r="E74" s="10">
        <v>45664.67633101852</v>
      </c>
      <c r="F74" s="10">
        <v>45664.773981481478</v>
      </c>
      <c r="G74" s="10">
        <v>45664.775717592587</v>
      </c>
      <c r="H74" s="10">
        <v>45664.828796296293</v>
      </c>
      <c r="I74" s="10">
        <v>45664.828796296293</v>
      </c>
      <c r="J74" s="10">
        <v>45664.830104166656</v>
      </c>
      <c r="K74" s="11">
        <f t="shared" si="4"/>
        <v>9.7650462957972195E-2</v>
      </c>
      <c r="L74" s="11">
        <f t="shared" si="5"/>
        <v>1.7361111094942316E-3</v>
      </c>
      <c r="M74" s="11">
        <f t="shared" si="6"/>
        <v>0</v>
      </c>
      <c r="N74" s="11">
        <f t="shared" si="7"/>
        <v>0.15377314813667908</v>
      </c>
    </row>
    <row r="75" spans="1:14" x14ac:dyDescent="0.25">
      <c r="A75" s="3" t="s">
        <v>981</v>
      </c>
      <c r="B75" s="3" t="s">
        <v>500</v>
      </c>
      <c r="C75" s="3" t="s">
        <v>3193</v>
      </c>
      <c r="D75" s="3">
        <v>1</v>
      </c>
      <c r="E75" s="10">
        <v>45664.886574074073</v>
      </c>
      <c r="F75" s="10">
        <v>45664.888969907413</v>
      </c>
      <c r="G75" s="10">
        <v>45664.889837962961</v>
      </c>
      <c r="H75" s="10">
        <v>45664.957384259258</v>
      </c>
      <c r="I75" s="10">
        <v>45664.957384259258</v>
      </c>
      <c r="J75" s="10">
        <v>45664.958703703713</v>
      </c>
      <c r="K75" s="11">
        <f t="shared" si="4"/>
        <v>2.3958333404152654E-3</v>
      </c>
      <c r="L75" s="11">
        <f t="shared" si="5"/>
        <v>8.6805554747115821E-4</v>
      </c>
      <c r="M75" s="11">
        <f t="shared" si="6"/>
        <v>0</v>
      </c>
      <c r="N75" s="11">
        <f t="shared" si="7"/>
        <v>7.2129629639675841E-2</v>
      </c>
    </row>
    <row r="76" spans="1:14" x14ac:dyDescent="0.25">
      <c r="A76" s="3" t="s">
        <v>966</v>
      </c>
      <c r="B76" s="3" t="s">
        <v>506</v>
      </c>
      <c r="C76" s="3" t="s">
        <v>3199</v>
      </c>
      <c r="D76" s="3">
        <v>3</v>
      </c>
      <c r="E76" s="10">
        <v>45664.756747685176</v>
      </c>
      <c r="F76" s="10">
        <v>45665.134930555563</v>
      </c>
      <c r="G76" s="10">
        <v>45665.135763888888</v>
      </c>
      <c r="H76" s="10">
        <v>45665.153622685182</v>
      </c>
      <c r="I76" s="10">
        <v>45665.153622685182</v>
      </c>
      <c r="J76" s="10">
        <v>45665.154247685183</v>
      </c>
      <c r="K76" s="11">
        <f t="shared" si="4"/>
        <v>0.37818287038680864</v>
      </c>
      <c r="L76" s="11">
        <f t="shared" si="5"/>
        <v>8.3333332440815866E-4</v>
      </c>
      <c r="M76" s="11">
        <f t="shared" si="6"/>
        <v>0</v>
      </c>
      <c r="N76" s="11">
        <f t="shared" si="7"/>
        <v>0.39750000000640284</v>
      </c>
    </row>
    <row r="77" spans="1:14" x14ac:dyDescent="0.25">
      <c r="A77" s="3" t="s">
        <v>919</v>
      </c>
      <c r="B77" s="3" t="s">
        <v>523</v>
      </c>
      <c r="C77" s="3" t="s">
        <v>3204</v>
      </c>
      <c r="D77" s="3">
        <v>5</v>
      </c>
      <c r="E77" s="10">
        <v>45664.645428240743</v>
      </c>
      <c r="F77" s="10">
        <v>45665.137013888889</v>
      </c>
      <c r="G77" s="10">
        <v>45665.138842592591</v>
      </c>
      <c r="H77" s="10">
        <v>45665.158692129633</v>
      </c>
      <c r="I77" s="10">
        <v>45665.158692129633</v>
      </c>
      <c r="J77" s="10">
        <v>45665.159467592603</v>
      </c>
      <c r="K77" s="11">
        <f t="shared" si="4"/>
        <v>0.49158564814570127</v>
      </c>
      <c r="L77" s="11">
        <f t="shared" si="5"/>
        <v>1.8287037019035779E-3</v>
      </c>
      <c r="M77" s="11">
        <f t="shared" si="6"/>
        <v>0</v>
      </c>
      <c r="N77" s="11">
        <f t="shared" si="7"/>
        <v>0.51403935185953742</v>
      </c>
    </row>
    <row r="78" spans="1:14" x14ac:dyDescent="0.25">
      <c r="A78" s="3" t="s">
        <v>990</v>
      </c>
      <c r="B78" s="3" t="s">
        <v>488</v>
      </c>
      <c r="C78" s="3" t="s">
        <v>3193</v>
      </c>
      <c r="D78" s="3">
        <v>1</v>
      </c>
      <c r="E78" s="10">
        <v>45665.134710648148</v>
      </c>
      <c r="F78" s="10">
        <v>45665.137106481481</v>
      </c>
      <c r="G78" s="10">
        <v>45665.142141203702</v>
      </c>
      <c r="H78" s="10">
        <v>45665.171122685177</v>
      </c>
      <c r="I78" s="10">
        <v>45665.171122685177</v>
      </c>
      <c r="J78" s="10">
        <v>45665.171932870369</v>
      </c>
      <c r="K78" s="11">
        <f t="shared" si="4"/>
        <v>2.3958333331393078E-3</v>
      </c>
      <c r="L78" s="11">
        <f t="shared" si="5"/>
        <v>5.0347222204436548E-3</v>
      </c>
      <c r="M78" s="11">
        <f t="shared" si="6"/>
        <v>0</v>
      </c>
      <c r="N78" s="11">
        <f t="shared" si="7"/>
        <v>3.722222222131677E-2</v>
      </c>
    </row>
    <row r="79" spans="1:14" x14ac:dyDescent="0.25">
      <c r="A79" s="3" t="s">
        <v>873</v>
      </c>
      <c r="B79" s="3" t="s">
        <v>484</v>
      </c>
      <c r="C79" s="3" t="s">
        <v>3201</v>
      </c>
      <c r="D79" s="3">
        <v>5</v>
      </c>
      <c r="E79" s="10">
        <v>45664.333136574067</v>
      </c>
      <c r="F79" s="10">
        <v>45665.140451388892</v>
      </c>
      <c r="G79" s="10">
        <v>45665.155300925922</v>
      </c>
      <c r="H79" s="10">
        <v>45665.179907407408</v>
      </c>
      <c r="I79" s="10">
        <v>45665.179907407408</v>
      </c>
      <c r="J79" s="10">
        <v>45665.180775462963</v>
      </c>
      <c r="K79" s="11">
        <f t="shared" si="4"/>
        <v>0.80731481482507661</v>
      </c>
      <c r="L79" s="11">
        <f t="shared" si="5"/>
        <v>1.4849537030386273E-2</v>
      </c>
      <c r="M79" s="11">
        <f t="shared" si="6"/>
        <v>0</v>
      </c>
      <c r="N79" s="11">
        <f t="shared" si="7"/>
        <v>0.84763888889574446</v>
      </c>
    </row>
    <row r="80" spans="1:14" x14ac:dyDescent="0.25">
      <c r="A80" s="3" t="s">
        <v>886</v>
      </c>
      <c r="B80" s="3" t="s">
        <v>519</v>
      </c>
      <c r="C80" s="3" t="s">
        <v>3202</v>
      </c>
      <c r="D80" s="3">
        <v>4</v>
      </c>
      <c r="E80" s="10">
        <v>45664.374756944453</v>
      </c>
      <c r="F80" s="10">
        <v>45665.173888888887</v>
      </c>
      <c r="G80" s="10">
        <v>45665.174733796302</v>
      </c>
      <c r="H80" s="10">
        <v>45665.277638888889</v>
      </c>
      <c r="I80" s="10">
        <v>45665.277638888889</v>
      </c>
      <c r="J80" s="10">
        <v>45665.279490740737</v>
      </c>
      <c r="K80" s="11">
        <f t="shared" si="4"/>
        <v>0.79913194443361135</v>
      </c>
      <c r="L80" s="11">
        <f t="shared" si="5"/>
        <v>8.4490741573972628E-4</v>
      </c>
      <c r="M80" s="11">
        <f t="shared" si="6"/>
        <v>0</v>
      </c>
      <c r="N80" s="11">
        <f t="shared" si="7"/>
        <v>0.90473379628383555</v>
      </c>
    </row>
    <row r="81" spans="1:14" x14ac:dyDescent="0.25">
      <c r="A81" s="3" t="s">
        <v>995</v>
      </c>
      <c r="B81" s="3" t="s">
        <v>500</v>
      </c>
      <c r="C81" s="3" t="s">
        <v>3193</v>
      </c>
      <c r="D81" s="3">
        <v>2</v>
      </c>
      <c r="E81" s="10">
        <v>45665.137812499997</v>
      </c>
      <c r="F81" s="10">
        <v>45665.263020833343</v>
      </c>
      <c r="G81" s="10">
        <v>45665.263888888891</v>
      </c>
      <c r="H81" s="10">
        <v>45665.315451388888</v>
      </c>
      <c r="I81" s="10">
        <v>45665.315451388888</v>
      </c>
      <c r="J81" s="10">
        <v>45665.316574074073</v>
      </c>
      <c r="K81" s="11">
        <f t="shared" si="4"/>
        <v>0.12520833334565395</v>
      </c>
      <c r="L81" s="11">
        <f t="shared" si="5"/>
        <v>8.6805554747115821E-4</v>
      </c>
      <c r="M81" s="11">
        <f t="shared" si="6"/>
        <v>0</v>
      </c>
      <c r="N81" s="11">
        <f t="shared" si="7"/>
        <v>0.17876157407590654</v>
      </c>
    </row>
    <row r="82" spans="1:14" x14ac:dyDescent="0.25">
      <c r="A82" s="3" t="s">
        <v>1041</v>
      </c>
      <c r="B82" s="3" t="s">
        <v>500</v>
      </c>
      <c r="C82" s="3" t="s">
        <v>3202</v>
      </c>
      <c r="D82" s="3">
        <v>1</v>
      </c>
      <c r="E82" s="10">
        <v>45665.314131944448</v>
      </c>
      <c r="F82" s="10">
        <v>45665.316284722219</v>
      </c>
      <c r="G82" s="10">
        <v>45665.317129629628</v>
      </c>
      <c r="H82" s="10">
        <v>45665.344340277778</v>
      </c>
      <c r="I82" s="10">
        <v>45665.344340277778</v>
      </c>
      <c r="J82" s="10">
        <v>45665.345196759263</v>
      </c>
      <c r="K82" s="11">
        <f t="shared" si="4"/>
        <v>2.152777771698311E-3</v>
      </c>
      <c r="L82" s="11">
        <f t="shared" si="5"/>
        <v>8.4490740846376866E-4</v>
      </c>
      <c r="M82" s="11">
        <f t="shared" si="6"/>
        <v>0</v>
      </c>
      <c r="N82" s="11">
        <f t="shared" si="7"/>
        <v>3.1064814815181307E-2</v>
      </c>
    </row>
    <row r="83" spans="1:14" x14ac:dyDescent="0.25">
      <c r="A83" s="3" t="s">
        <v>924</v>
      </c>
      <c r="B83" s="3" t="s">
        <v>515</v>
      </c>
      <c r="C83" s="3" t="s">
        <v>3203</v>
      </c>
      <c r="D83" s="3">
        <v>5</v>
      </c>
      <c r="E83" s="10">
        <v>45664.648321759261</v>
      </c>
      <c r="F83" s="10">
        <v>45665.345416666663</v>
      </c>
      <c r="G83" s="10">
        <v>45665.346284722233</v>
      </c>
      <c r="H83" s="10">
        <v>45665.36886574074</v>
      </c>
      <c r="I83" s="10">
        <v>45665.36886574074</v>
      </c>
      <c r="J83" s="10">
        <v>45665.369629629633</v>
      </c>
      <c r="K83" s="11">
        <f t="shared" si="4"/>
        <v>0.69709490740206093</v>
      </c>
      <c r="L83" s="11">
        <f t="shared" si="5"/>
        <v>8.6805556929903105E-4</v>
      </c>
      <c r="M83" s="11">
        <f t="shared" si="6"/>
        <v>0</v>
      </c>
      <c r="N83" s="11">
        <f t="shared" si="7"/>
        <v>0.72130787037167465</v>
      </c>
    </row>
    <row r="84" spans="1:14" x14ac:dyDescent="0.25">
      <c r="A84" s="3" t="s">
        <v>1023</v>
      </c>
      <c r="B84" s="3" t="s">
        <v>527</v>
      </c>
      <c r="C84" s="3" t="s">
        <v>3197</v>
      </c>
      <c r="D84" s="3">
        <v>1</v>
      </c>
      <c r="E84" s="10">
        <v>45665.345347222217</v>
      </c>
      <c r="F84" s="10">
        <v>45665.347731481481</v>
      </c>
      <c r="G84" s="10">
        <v>45665.348599537043</v>
      </c>
      <c r="H84" s="10">
        <v>45665.367349537039</v>
      </c>
      <c r="I84" s="10">
        <v>45665.367349537039</v>
      </c>
      <c r="J84" s="10">
        <v>45665.368136574078</v>
      </c>
      <c r="K84" s="11">
        <f t="shared" si="4"/>
        <v>2.384259263635613E-3</v>
      </c>
      <c r="L84" s="11">
        <f t="shared" si="5"/>
        <v>8.6805556202307343E-4</v>
      </c>
      <c r="M84" s="11">
        <f t="shared" si="6"/>
        <v>0</v>
      </c>
      <c r="N84" s="11">
        <f t="shared" si="7"/>
        <v>2.2789351860410534E-2</v>
      </c>
    </row>
    <row r="85" spans="1:14" x14ac:dyDescent="0.25">
      <c r="A85" s="3" t="s">
        <v>1002</v>
      </c>
      <c r="B85" s="3" t="s">
        <v>506</v>
      </c>
      <c r="C85" s="3" t="s">
        <v>3199</v>
      </c>
      <c r="D85" s="3">
        <v>3</v>
      </c>
      <c r="E85" s="10">
        <v>45665.331412037027</v>
      </c>
      <c r="F85" s="10">
        <v>45665.355787037042</v>
      </c>
      <c r="G85" s="10">
        <v>45665.365798611107</v>
      </c>
      <c r="H85" s="10">
        <v>45665.387407407397</v>
      </c>
      <c r="I85" s="10">
        <v>45665.387407407397</v>
      </c>
      <c r="J85" s="10">
        <v>45665.388090277767</v>
      </c>
      <c r="K85" s="11">
        <f t="shared" si="4"/>
        <v>2.437500001542503E-2</v>
      </c>
      <c r="L85" s="11">
        <f t="shared" si="5"/>
        <v>1.0011574064265005E-2</v>
      </c>
      <c r="M85" s="11">
        <f t="shared" si="6"/>
        <v>0</v>
      </c>
      <c r="N85" s="11">
        <f t="shared" si="7"/>
        <v>5.6678240740438923E-2</v>
      </c>
    </row>
    <row r="86" spans="1:14" x14ac:dyDescent="0.25">
      <c r="A86" s="3" t="s">
        <v>1015</v>
      </c>
      <c r="B86" s="3" t="s">
        <v>492</v>
      </c>
      <c r="C86" s="3" t="s">
        <v>3193</v>
      </c>
      <c r="D86" s="3">
        <v>2</v>
      </c>
      <c r="E86" s="10">
        <v>45665.340277777781</v>
      </c>
      <c r="F86" s="10">
        <v>45665.364120370366</v>
      </c>
      <c r="G86" s="10">
        <v>45665.369085648148</v>
      </c>
      <c r="H86" s="10">
        <v>45665.438842592594</v>
      </c>
      <c r="I86" s="10">
        <v>45665.438842592594</v>
      </c>
      <c r="J86" s="10">
        <v>45665.440208333333</v>
      </c>
      <c r="K86" s="11">
        <f t="shared" si="4"/>
        <v>2.3842592585424427E-2</v>
      </c>
      <c r="L86" s="11">
        <f t="shared" si="5"/>
        <v>4.9652777815936133E-3</v>
      </c>
      <c r="M86" s="11">
        <f t="shared" si="6"/>
        <v>0</v>
      </c>
      <c r="N86" s="11">
        <f t="shared" si="7"/>
        <v>9.9930555552418809E-2</v>
      </c>
    </row>
    <row r="87" spans="1:14" x14ac:dyDescent="0.25">
      <c r="A87" s="3" t="s">
        <v>1028</v>
      </c>
      <c r="B87" s="3" t="s">
        <v>500</v>
      </c>
      <c r="C87" s="3" t="s">
        <v>3203</v>
      </c>
      <c r="D87" s="3">
        <v>2</v>
      </c>
      <c r="E87" s="10">
        <v>45665.348668981482</v>
      </c>
      <c r="F87" s="10">
        <v>45665.38690972222</v>
      </c>
      <c r="G87" s="10">
        <v>45665.389108796298</v>
      </c>
      <c r="H87" s="10">
        <v>45665.409039351849</v>
      </c>
      <c r="I87" s="10">
        <v>45665.409039351849</v>
      </c>
      <c r="J87" s="10">
        <v>45665.409768518519</v>
      </c>
      <c r="K87" s="11">
        <f t="shared" si="4"/>
        <v>3.8240740737819578E-2</v>
      </c>
      <c r="L87" s="11">
        <f t="shared" si="5"/>
        <v>2.1990740788169205E-3</v>
      </c>
      <c r="M87" s="11">
        <f t="shared" si="6"/>
        <v>0</v>
      </c>
      <c r="N87" s="11">
        <f t="shared" si="7"/>
        <v>6.1099537037080154E-2</v>
      </c>
    </row>
    <row r="88" spans="1:14" x14ac:dyDescent="0.25">
      <c r="A88" s="3" t="s">
        <v>1048</v>
      </c>
      <c r="B88" s="3" t="s">
        <v>572</v>
      </c>
      <c r="C88" s="3" t="s">
        <v>3197</v>
      </c>
      <c r="D88" s="3">
        <v>1</v>
      </c>
      <c r="E88" s="10">
        <v>45665.386712962973</v>
      </c>
      <c r="F88" s="10">
        <v>45665.388888888891</v>
      </c>
      <c r="G88" s="10">
        <v>45665.390520833331</v>
      </c>
      <c r="H88" s="10">
        <v>45665.411423611113</v>
      </c>
      <c r="I88" s="10">
        <v>45665.411423611113</v>
      </c>
      <c r="J88" s="10">
        <v>45665.412256944437</v>
      </c>
      <c r="K88" s="11">
        <f t="shared" si="4"/>
        <v>2.1759259179816581E-3</v>
      </c>
      <c r="L88" s="11">
        <f t="shared" si="5"/>
        <v>1.631944440305233E-3</v>
      </c>
      <c r="M88" s="11">
        <f t="shared" si="6"/>
        <v>0</v>
      </c>
      <c r="N88" s="11">
        <f t="shared" si="7"/>
        <v>2.5543981464579701E-2</v>
      </c>
    </row>
    <row r="89" spans="1:14" x14ac:dyDescent="0.25">
      <c r="A89" s="3" t="s">
        <v>1051</v>
      </c>
      <c r="B89" s="3" t="s">
        <v>500</v>
      </c>
      <c r="C89" s="3" t="s">
        <v>3203</v>
      </c>
      <c r="D89" s="3">
        <v>1</v>
      </c>
      <c r="E89" s="10">
        <v>45665.439282407409</v>
      </c>
      <c r="F89" s="10">
        <v>45665.441655092603</v>
      </c>
      <c r="G89" s="10">
        <v>45665.442523148151</v>
      </c>
      <c r="H89" s="10">
        <v>45665.464201388888</v>
      </c>
      <c r="I89" s="10">
        <v>45665.464201388888</v>
      </c>
      <c r="J89" s="10">
        <v>45665.464953703697</v>
      </c>
      <c r="K89" s="11">
        <f t="shared" si="4"/>
        <v>2.3726851941319183E-3</v>
      </c>
      <c r="L89" s="11">
        <f t="shared" si="5"/>
        <v>8.6805554747115821E-4</v>
      </c>
      <c r="M89" s="11">
        <f t="shared" si="6"/>
        <v>0</v>
      </c>
      <c r="N89" s="11">
        <f t="shared" si="7"/>
        <v>2.5671296287328005E-2</v>
      </c>
    </row>
    <row r="90" spans="1:14" x14ac:dyDescent="0.25">
      <c r="A90" s="3" t="s">
        <v>1057</v>
      </c>
      <c r="B90" s="3" t="s">
        <v>500</v>
      </c>
      <c r="C90" s="3" t="s">
        <v>3193</v>
      </c>
      <c r="D90" s="3">
        <v>1</v>
      </c>
      <c r="E90" s="10">
        <v>45665.443124999998</v>
      </c>
      <c r="F90" s="10">
        <v>45665.445509259262</v>
      </c>
      <c r="G90" s="10">
        <v>45665.446296296293</v>
      </c>
      <c r="H90" s="10">
        <v>45665.49790509259</v>
      </c>
      <c r="I90" s="10">
        <v>45665.49790509259</v>
      </c>
      <c r="J90" s="10">
        <v>45665.499016203707</v>
      </c>
      <c r="K90" s="11">
        <f t="shared" si="4"/>
        <v>2.384259263635613E-3</v>
      </c>
      <c r="L90" s="11">
        <f t="shared" si="5"/>
        <v>7.8703703184146434E-4</v>
      </c>
      <c r="M90" s="11">
        <f t="shared" si="6"/>
        <v>0</v>
      </c>
      <c r="N90" s="11">
        <f t="shared" si="7"/>
        <v>5.5891203708597459E-2</v>
      </c>
    </row>
    <row r="91" spans="1:14" x14ac:dyDescent="0.25">
      <c r="A91" s="3" t="s">
        <v>1060</v>
      </c>
      <c r="B91" s="3" t="s">
        <v>500</v>
      </c>
      <c r="C91" s="3" t="s">
        <v>3203</v>
      </c>
      <c r="D91" s="3">
        <v>1</v>
      </c>
      <c r="E91" s="10">
        <v>45665.542500000003</v>
      </c>
      <c r="F91" s="10">
        <v>45665.544675925928</v>
      </c>
      <c r="G91" s="10">
        <v>45665.545543981483</v>
      </c>
      <c r="H91" s="10">
        <v>45665.597071759257</v>
      </c>
      <c r="I91" s="10">
        <v>45665.597071759257</v>
      </c>
      <c r="J91" s="10">
        <v>45665.598229166673</v>
      </c>
      <c r="K91" s="11">
        <f t="shared" si="4"/>
        <v>2.1759259252576157E-3</v>
      </c>
      <c r="L91" s="11">
        <f t="shared" si="5"/>
        <v>8.6805555474711582E-4</v>
      </c>
      <c r="M91" s="11">
        <f t="shared" si="6"/>
        <v>0</v>
      </c>
      <c r="N91" s="11">
        <f t="shared" si="7"/>
        <v>5.5729166670062114E-2</v>
      </c>
    </row>
    <row r="92" spans="1:14" x14ac:dyDescent="0.25">
      <c r="A92" s="3" t="s">
        <v>1063</v>
      </c>
      <c r="B92" s="3" t="s">
        <v>500</v>
      </c>
      <c r="C92" s="3" t="s">
        <v>3203</v>
      </c>
      <c r="D92" s="3">
        <v>1</v>
      </c>
      <c r="E92" s="10">
        <v>45665.612638888888</v>
      </c>
      <c r="F92" s="10">
        <v>45665.615034722221</v>
      </c>
      <c r="G92" s="10">
        <v>45665.61582175926</v>
      </c>
      <c r="H92" s="10">
        <v>45665.679340277777</v>
      </c>
      <c r="I92" s="10">
        <v>45665.679340277777</v>
      </c>
      <c r="J92" s="10">
        <v>45665.680648148147</v>
      </c>
      <c r="K92" s="11">
        <f t="shared" si="4"/>
        <v>2.3958333331393078E-3</v>
      </c>
      <c r="L92" s="11">
        <f t="shared" si="5"/>
        <v>7.8703703911742195E-4</v>
      </c>
      <c r="M92" s="11">
        <f t="shared" si="6"/>
        <v>0</v>
      </c>
      <c r="N92" s="11">
        <f t="shared" si="7"/>
        <v>6.8009259259270038E-2</v>
      </c>
    </row>
    <row r="93" spans="1:14" x14ac:dyDescent="0.25">
      <c r="A93" s="3" t="s">
        <v>757</v>
      </c>
      <c r="B93" s="3" t="s">
        <v>563</v>
      </c>
      <c r="C93" s="3" t="s">
        <v>3194</v>
      </c>
      <c r="D93" s="3">
        <v>6</v>
      </c>
      <c r="E93" s="10">
        <v>45660.657175925917</v>
      </c>
      <c r="F93" s="10">
        <v>45665.646631944437</v>
      </c>
      <c r="G93" s="10">
        <v>45665.648368055547</v>
      </c>
      <c r="H93" s="10">
        <v>45665.672546296293</v>
      </c>
      <c r="I93" s="10">
        <v>45665.672546296293</v>
      </c>
      <c r="J93" s="10">
        <v>45665.673414351862</v>
      </c>
      <c r="K93" s="11">
        <f t="shared" si="4"/>
        <v>4.9894560185202863</v>
      </c>
      <c r="L93" s="11">
        <f t="shared" si="5"/>
        <v>1.7361111094942316E-3</v>
      </c>
      <c r="M93" s="11">
        <f t="shared" si="6"/>
        <v>0</v>
      </c>
      <c r="N93" s="11">
        <f t="shared" si="7"/>
        <v>5.0162384259456303</v>
      </c>
    </row>
    <row r="94" spans="1:14" x14ac:dyDescent="0.25">
      <c r="A94" s="3" t="s">
        <v>1092</v>
      </c>
      <c r="B94" s="3" t="s">
        <v>500</v>
      </c>
      <c r="C94" s="3" t="s">
        <v>3205</v>
      </c>
      <c r="D94" s="3">
        <v>1</v>
      </c>
      <c r="E94" s="10">
        <v>45665.661504629628</v>
      </c>
      <c r="F94" s="10">
        <v>45665.66715277778</v>
      </c>
      <c r="G94" s="10">
        <v>45665.668854166674</v>
      </c>
      <c r="H94" s="10">
        <v>45665.73170138889</v>
      </c>
      <c r="I94" s="10">
        <v>45665.73170138889</v>
      </c>
      <c r="J94" s="10">
        <v>45665.733090277783</v>
      </c>
      <c r="K94" s="11">
        <f t="shared" si="4"/>
        <v>5.6481481515220366E-3</v>
      </c>
      <c r="L94" s="11">
        <f t="shared" si="5"/>
        <v>1.7013888937071897E-3</v>
      </c>
      <c r="M94" s="11">
        <f t="shared" si="6"/>
        <v>0</v>
      </c>
      <c r="N94" s="11">
        <f t="shared" si="7"/>
        <v>7.1585648154723458E-2</v>
      </c>
    </row>
    <row r="95" spans="1:14" x14ac:dyDescent="0.25">
      <c r="A95" s="3" t="s">
        <v>1078</v>
      </c>
      <c r="B95" s="3" t="s">
        <v>500</v>
      </c>
      <c r="C95" s="3" t="s">
        <v>3203</v>
      </c>
      <c r="D95" s="3">
        <v>2</v>
      </c>
      <c r="E95" s="10">
        <v>45665.650671296287</v>
      </c>
      <c r="F95" s="10">
        <v>45665.734178240738</v>
      </c>
      <c r="G95" s="10">
        <v>45665.735011574077</v>
      </c>
      <c r="H95" s="10">
        <v>45665.771319444437</v>
      </c>
      <c r="I95" s="10">
        <v>45665.771319444437</v>
      </c>
      <c r="J95" s="10">
        <v>45665.772268518522</v>
      </c>
      <c r="K95" s="11">
        <f t="shared" si="4"/>
        <v>8.350694445107365E-2</v>
      </c>
      <c r="L95" s="11">
        <f t="shared" si="5"/>
        <v>8.3333333896007389E-4</v>
      </c>
      <c r="M95" s="11">
        <f t="shared" si="6"/>
        <v>0</v>
      </c>
      <c r="N95" s="11">
        <f t="shared" si="7"/>
        <v>0.12159722223441349</v>
      </c>
    </row>
    <row r="96" spans="1:14" x14ac:dyDescent="0.25">
      <c r="A96" s="3" t="s">
        <v>1097</v>
      </c>
      <c r="B96" s="3" t="s">
        <v>500</v>
      </c>
      <c r="C96" s="3" t="s">
        <v>3205</v>
      </c>
      <c r="D96" s="3">
        <v>2</v>
      </c>
      <c r="E96" s="10">
        <v>45665.756527777783</v>
      </c>
      <c r="F96" s="10">
        <v>45665.856273148151</v>
      </c>
      <c r="G96" s="10">
        <v>45665.857141203713</v>
      </c>
      <c r="H96" s="10">
        <v>45665.877141203702</v>
      </c>
      <c r="I96" s="10">
        <v>45665.877141203702</v>
      </c>
      <c r="J96" s="10">
        <v>45665.877962962957</v>
      </c>
      <c r="K96" s="11">
        <f t="shared" si="4"/>
        <v>9.9745370367600117E-2</v>
      </c>
      <c r="L96" s="11">
        <f t="shared" si="5"/>
        <v>8.6805556202307343E-4</v>
      </c>
      <c r="M96" s="11">
        <f t="shared" si="6"/>
        <v>0</v>
      </c>
      <c r="N96" s="11">
        <f t="shared" si="7"/>
        <v>0.12143518517405028</v>
      </c>
    </row>
    <row r="97" spans="1:14" x14ac:dyDescent="0.25">
      <c r="A97" s="3" t="s">
        <v>1070</v>
      </c>
      <c r="B97" s="3" t="s">
        <v>527</v>
      </c>
      <c r="C97" s="3" t="s">
        <v>3193</v>
      </c>
      <c r="D97" s="3">
        <v>4</v>
      </c>
      <c r="E97" s="10">
        <v>45665.645624999997</v>
      </c>
      <c r="F97" s="10">
        <v>45666.129837962973</v>
      </c>
      <c r="G97" s="10">
        <v>45666.130624999998</v>
      </c>
      <c r="H97" s="10">
        <v>45666.149733796286</v>
      </c>
      <c r="I97" s="10">
        <v>45666.149733796286</v>
      </c>
      <c r="J97" s="10">
        <v>45666.150416666656</v>
      </c>
      <c r="K97" s="11">
        <f t="shared" si="4"/>
        <v>0.48421296297601657</v>
      </c>
      <c r="L97" s="11">
        <f t="shared" si="5"/>
        <v>7.8703702456550673E-4</v>
      </c>
      <c r="M97" s="11">
        <f t="shared" si="6"/>
        <v>0</v>
      </c>
      <c r="N97" s="11">
        <f t="shared" si="7"/>
        <v>0.50479166665900266</v>
      </c>
    </row>
    <row r="98" spans="1:14" x14ac:dyDescent="0.25">
      <c r="A98" s="3" t="s">
        <v>1009</v>
      </c>
      <c r="B98" s="3" t="s">
        <v>488</v>
      </c>
      <c r="C98" s="3" t="s">
        <v>3204</v>
      </c>
      <c r="D98" s="3">
        <v>4</v>
      </c>
      <c r="E98" s="10">
        <v>45665.337326388893</v>
      </c>
      <c r="F98" s="10">
        <v>45666.13380787037</v>
      </c>
      <c r="G98" s="10">
        <v>45666.134675925918</v>
      </c>
      <c r="H98" s="10">
        <v>45666.168877314813</v>
      </c>
      <c r="I98" s="10">
        <v>45666.168877314813</v>
      </c>
      <c r="J98" s="10">
        <v>45666.16983796296</v>
      </c>
      <c r="K98" s="11">
        <f t="shared" si="4"/>
        <v>0.79648148147680331</v>
      </c>
      <c r="L98" s="11">
        <f t="shared" si="5"/>
        <v>8.6805554747115821E-4</v>
      </c>
      <c r="M98" s="11">
        <f t="shared" si="6"/>
        <v>0</v>
      </c>
      <c r="N98" s="11">
        <f t="shared" si="7"/>
        <v>0.83251157406630227</v>
      </c>
    </row>
    <row r="99" spans="1:14" x14ac:dyDescent="0.25">
      <c r="A99" s="3" t="s">
        <v>1108</v>
      </c>
      <c r="B99" s="3" t="s">
        <v>533</v>
      </c>
      <c r="C99" s="3" t="s">
        <v>3203</v>
      </c>
      <c r="D99" s="3">
        <v>2</v>
      </c>
      <c r="E99" s="10">
        <v>45665.84375</v>
      </c>
      <c r="F99" s="10">
        <v>45666.276620370372</v>
      </c>
      <c r="G99" s="10">
        <v>45666.277465277781</v>
      </c>
      <c r="H99" s="10">
        <v>45666.302060185182</v>
      </c>
      <c r="I99" s="10">
        <v>45666.302060185182</v>
      </c>
      <c r="J99" s="10">
        <v>45666.302847222221</v>
      </c>
      <c r="K99" s="11">
        <f t="shared" si="4"/>
        <v>0.43287037037225673</v>
      </c>
      <c r="L99" s="11">
        <f t="shared" si="5"/>
        <v>8.4490740846376866E-4</v>
      </c>
      <c r="M99" s="11">
        <f t="shared" si="6"/>
        <v>0</v>
      </c>
      <c r="N99" s="11">
        <f t="shared" si="7"/>
        <v>0.45909722222131677</v>
      </c>
    </row>
    <row r="100" spans="1:14" x14ac:dyDescent="0.25">
      <c r="A100" s="3" t="s">
        <v>1073</v>
      </c>
      <c r="B100" s="3" t="s">
        <v>515</v>
      </c>
      <c r="C100" s="3" t="s">
        <v>3197</v>
      </c>
      <c r="D100" s="3">
        <v>4</v>
      </c>
      <c r="E100" s="10">
        <v>45665.647569444453</v>
      </c>
      <c r="F100" s="10">
        <v>45666.279189814813</v>
      </c>
      <c r="G100" s="10">
        <v>45666.280682870369</v>
      </c>
      <c r="H100" s="10">
        <v>45666.311203703714</v>
      </c>
      <c r="I100" s="10">
        <v>45666.311203703714</v>
      </c>
      <c r="J100" s="10">
        <v>45666.312164351853</v>
      </c>
      <c r="K100" s="11">
        <f t="shared" si="4"/>
        <v>0.63162037036090624</v>
      </c>
      <c r="L100" s="11">
        <f t="shared" si="5"/>
        <v>1.4930555553291924E-3</v>
      </c>
      <c r="M100" s="11">
        <f t="shared" si="6"/>
        <v>0</v>
      </c>
      <c r="N100" s="11">
        <f t="shared" si="7"/>
        <v>0.66459490740089677</v>
      </c>
    </row>
    <row r="101" spans="1:14" x14ac:dyDescent="0.25">
      <c r="A101" s="3" t="s">
        <v>1149</v>
      </c>
      <c r="B101" s="3" t="s">
        <v>500</v>
      </c>
      <c r="C101" s="3" t="s">
        <v>3196</v>
      </c>
      <c r="D101" s="3">
        <v>1</v>
      </c>
      <c r="E101" s="10">
        <v>45666.289548611108</v>
      </c>
      <c r="F101" s="10">
        <v>45666.291712962957</v>
      </c>
      <c r="G101" s="10">
        <v>45666.293773148151</v>
      </c>
      <c r="H101" s="10">
        <v>45666.326041666667</v>
      </c>
      <c r="I101" s="10">
        <v>45666.326041666667</v>
      </c>
      <c r="J101" s="10">
        <v>45666.326851851853</v>
      </c>
      <c r="K101" s="11">
        <f t="shared" si="4"/>
        <v>2.1643518484779634E-3</v>
      </c>
      <c r="L101" s="11">
        <f t="shared" si="5"/>
        <v>2.0601851938408799E-3</v>
      </c>
      <c r="M101" s="11">
        <f t="shared" si="6"/>
        <v>0</v>
      </c>
      <c r="N101" s="11">
        <f t="shared" si="7"/>
        <v>3.7303240744222421E-2</v>
      </c>
    </row>
    <row r="102" spans="1:14" x14ac:dyDescent="0.25">
      <c r="A102" s="3" t="s">
        <v>596</v>
      </c>
      <c r="B102" s="3" t="s">
        <v>595</v>
      </c>
      <c r="C102" s="3" t="s">
        <v>3198</v>
      </c>
      <c r="D102" s="3">
        <v>7</v>
      </c>
      <c r="E102" s="10">
        <v>45659.647939814808</v>
      </c>
      <c r="F102" s="10">
        <v>45666.323449074072</v>
      </c>
      <c r="G102" s="10">
        <v>45666.32508101852</v>
      </c>
      <c r="H102" s="10">
        <v>45666.39607638889</v>
      </c>
      <c r="I102" s="10">
        <v>45666.39607638889</v>
      </c>
      <c r="J102" s="10">
        <v>45666.397569444453</v>
      </c>
      <c r="K102" s="11">
        <f t="shared" si="4"/>
        <v>6.6755092592647998</v>
      </c>
      <c r="L102" s="11">
        <f t="shared" si="5"/>
        <v>1.6319444475811906E-3</v>
      </c>
      <c r="M102" s="11">
        <f t="shared" si="6"/>
        <v>0</v>
      </c>
      <c r="N102" s="11">
        <f t="shared" si="7"/>
        <v>6.7496296296449145</v>
      </c>
    </row>
    <row r="103" spans="1:14" x14ac:dyDescent="0.25">
      <c r="A103" s="3" t="s">
        <v>1085</v>
      </c>
      <c r="B103" s="3" t="s">
        <v>506</v>
      </c>
      <c r="C103" s="3" t="s">
        <v>3202</v>
      </c>
      <c r="D103" s="3">
        <v>4</v>
      </c>
      <c r="E103" s="10">
        <v>45665.655115740738</v>
      </c>
      <c r="F103" s="10">
        <v>45666.327210648153</v>
      </c>
      <c r="G103" s="10">
        <v>45666.331979166673</v>
      </c>
      <c r="H103" s="10">
        <v>45666.355150462958</v>
      </c>
      <c r="I103" s="10">
        <v>45666.355150462958</v>
      </c>
      <c r="J103" s="10">
        <v>45666.355937499997</v>
      </c>
      <c r="K103" s="11">
        <f t="shared" si="4"/>
        <v>0.67209490741515765</v>
      </c>
      <c r="L103" s="11">
        <f t="shared" si="5"/>
        <v>4.7685185199952684E-3</v>
      </c>
      <c r="M103" s="11">
        <f t="shared" si="6"/>
        <v>0</v>
      </c>
      <c r="N103" s="11">
        <f t="shared" si="7"/>
        <v>0.70082175925927004</v>
      </c>
    </row>
    <row r="104" spans="1:14" x14ac:dyDescent="0.25">
      <c r="A104" s="3" t="s">
        <v>1012</v>
      </c>
      <c r="B104" s="3" t="s">
        <v>539</v>
      </c>
      <c r="C104" s="3" t="s">
        <v>3195</v>
      </c>
      <c r="D104" s="3">
        <v>5</v>
      </c>
      <c r="E104" s="10">
        <v>45665.339039351849</v>
      </c>
      <c r="F104" s="10">
        <v>45666.330567129633</v>
      </c>
      <c r="G104" s="10">
        <v>45666.332303240742</v>
      </c>
      <c r="H104" s="10">
        <v>45666.353032407409</v>
      </c>
      <c r="I104" s="10">
        <v>45666.353032407409</v>
      </c>
      <c r="J104" s="10">
        <v>45666.353900462957</v>
      </c>
      <c r="K104" s="11">
        <f t="shared" si="4"/>
        <v>0.99152777778363088</v>
      </c>
      <c r="L104" s="11">
        <f t="shared" si="5"/>
        <v>1.7361111094942316E-3</v>
      </c>
      <c r="M104" s="11">
        <f t="shared" si="6"/>
        <v>0</v>
      </c>
      <c r="N104" s="11">
        <f t="shared" si="7"/>
        <v>1.0148611111071659</v>
      </c>
    </row>
    <row r="105" spans="1:14" x14ac:dyDescent="0.25">
      <c r="A105" s="3" t="s">
        <v>1170</v>
      </c>
      <c r="B105" s="3" t="s">
        <v>500</v>
      </c>
      <c r="C105" s="3" t="s">
        <v>3197</v>
      </c>
      <c r="D105" s="3">
        <v>1</v>
      </c>
      <c r="E105" s="10">
        <v>45666.339004629634</v>
      </c>
      <c r="F105" s="10">
        <v>45666.356296296297</v>
      </c>
      <c r="G105" s="10">
        <v>45666.357141203713</v>
      </c>
      <c r="H105" s="10">
        <v>45666.423379629632</v>
      </c>
      <c r="I105" s="10">
        <v>45666.423379629632</v>
      </c>
      <c r="J105" s="10">
        <v>45666.424814814818</v>
      </c>
      <c r="K105" s="11">
        <f t="shared" si="4"/>
        <v>1.7291666663368233E-2</v>
      </c>
      <c r="L105" s="11">
        <f t="shared" si="5"/>
        <v>8.4490741573972628E-4</v>
      </c>
      <c r="M105" s="11">
        <f t="shared" si="6"/>
        <v>0</v>
      </c>
      <c r="N105" s="11">
        <f t="shared" si="7"/>
        <v>8.5810185184527654E-2</v>
      </c>
    </row>
    <row r="106" spans="1:14" x14ac:dyDescent="0.25">
      <c r="A106" s="3" t="s">
        <v>1173</v>
      </c>
      <c r="B106" s="3" t="s">
        <v>500</v>
      </c>
      <c r="C106" s="3" t="s">
        <v>3195</v>
      </c>
      <c r="D106" s="3">
        <v>1</v>
      </c>
      <c r="E106" s="10">
        <v>45666.376736111109</v>
      </c>
      <c r="F106" s="10">
        <v>45666.379131944443</v>
      </c>
      <c r="G106" s="10">
        <v>45666.384837962964</v>
      </c>
      <c r="H106" s="10">
        <v>45666.405358796299</v>
      </c>
      <c r="I106" s="10">
        <v>45666.405358796299</v>
      </c>
      <c r="J106" s="10">
        <v>45666.406226851846</v>
      </c>
      <c r="K106" s="11">
        <f t="shared" si="4"/>
        <v>2.3958333331393078E-3</v>
      </c>
      <c r="L106" s="11">
        <f t="shared" si="5"/>
        <v>5.7060185208683833E-3</v>
      </c>
      <c r="M106" s="11">
        <f t="shared" si="6"/>
        <v>0</v>
      </c>
      <c r="N106" s="11">
        <f t="shared" si="7"/>
        <v>2.9490740736946464E-2</v>
      </c>
    </row>
    <row r="107" spans="1:14" x14ac:dyDescent="0.25">
      <c r="A107" s="3" t="s">
        <v>1054</v>
      </c>
      <c r="B107" s="3" t="s">
        <v>572</v>
      </c>
      <c r="C107" s="3" t="s">
        <v>3199</v>
      </c>
      <c r="D107" s="3">
        <v>2</v>
      </c>
      <c r="E107" s="10">
        <v>45665.441203703696</v>
      </c>
      <c r="F107" s="10">
        <v>45666.383101851847</v>
      </c>
      <c r="G107" s="10">
        <v>45666.39775462963</v>
      </c>
      <c r="H107" s="10">
        <v>45666.443726851852</v>
      </c>
      <c r="I107" s="10">
        <v>45666.443726851852</v>
      </c>
      <c r="J107" s="10">
        <v>45666.444733796299</v>
      </c>
      <c r="K107" s="11">
        <f t="shared" si="4"/>
        <v>0.94189814815035788</v>
      </c>
      <c r="L107" s="11">
        <f t="shared" si="5"/>
        <v>1.4652777783339843E-2</v>
      </c>
      <c r="M107" s="11">
        <f t="shared" si="6"/>
        <v>0</v>
      </c>
      <c r="N107" s="11">
        <f t="shared" si="7"/>
        <v>1.0035300926028867</v>
      </c>
    </row>
    <row r="108" spans="1:14" x14ac:dyDescent="0.25">
      <c r="A108" s="3" t="s">
        <v>1181</v>
      </c>
      <c r="B108" s="3" t="s">
        <v>500</v>
      </c>
      <c r="C108" s="3" t="s">
        <v>3195</v>
      </c>
      <c r="D108" s="3">
        <v>1</v>
      </c>
      <c r="E108" s="10">
        <v>45666.467083333337</v>
      </c>
      <c r="F108" s="10">
        <v>45666.46947916667</v>
      </c>
      <c r="G108" s="10">
        <v>45666.470324074071</v>
      </c>
      <c r="H108" s="10">
        <v>45666.542314814818</v>
      </c>
      <c r="I108" s="10">
        <v>45666.542314814818</v>
      </c>
      <c r="J108" s="10">
        <v>45666.543865740743</v>
      </c>
      <c r="K108" s="11">
        <f t="shared" si="4"/>
        <v>2.3958333331393078E-3</v>
      </c>
      <c r="L108" s="11">
        <f t="shared" si="5"/>
        <v>8.4490740118781105E-4</v>
      </c>
      <c r="M108" s="11">
        <f t="shared" si="6"/>
        <v>0</v>
      </c>
      <c r="N108" s="11">
        <f t="shared" si="7"/>
        <v>7.6782407406426501E-2</v>
      </c>
    </row>
    <row r="109" spans="1:14" x14ac:dyDescent="0.25">
      <c r="A109" s="3" t="s">
        <v>1184</v>
      </c>
      <c r="B109" s="3" t="s">
        <v>500</v>
      </c>
      <c r="C109" s="3" t="s">
        <v>3195</v>
      </c>
      <c r="D109" s="3">
        <v>1</v>
      </c>
      <c r="E109" s="10">
        <v>45666.616770833331</v>
      </c>
      <c r="F109" s="10">
        <v>45666.618923611109</v>
      </c>
      <c r="G109" s="10">
        <v>45666.619791666657</v>
      </c>
      <c r="H109" s="10">
        <v>45666.66170138889</v>
      </c>
      <c r="I109" s="10">
        <v>45666.66170138889</v>
      </c>
      <c r="J109" s="10">
        <v>45666.662858796299</v>
      </c>
      <c r="K109" s="11">
        <f t="shared" si="4"/>
        <v>2.1527777789742686E-3</v>
      </c>
      <c r="L109" s="11">
        <f t="shared" si="5"/>
        <v>8.6805554747115821E-4</v>
      </c>
      <c r="M109" s="11">
        <f t="shared" si="6"/>
        <v>0</v>
      </c>
      <c r="N109" s="11">
        <f t="shared" si="7"/>
        <v>4.6087962968158536E-2</v>
      </c>
    </row>
    <row r="110" spans="1:14" x14ac:dyDescent="0.25">
      <c r="A110" s="3" t="s">
        <v>1144</v>
      </c>
      <c r="B110" s="3" t="s">
        <v>519</v>
      </c>
      <c r="C110" s="3" t="s">
        <v>3194</v>
      </c>
      <c r="D110" s="3">
        <v>3</v>
      </c>
      <c r="E110" s="10">
        <v>45666.284594907411</v>
      </c>
      <c r="F110" s="10">
        <v>45666.644768518519</v>
      </c>
      <c r="G110" s="10">
        <v>45666.645613425928</v>
      </c>
      <c r="H110" s="10">
        <v>45666.665925925918</v>
      </c>
      <c r="I110" s="10">
        <v>45666.665925925918</v>
      </c>
      <c r="J110" s="10">
        <v>45666.66673611111</v>
      </c>
      <c r="K110" s="11">
        <f t="shared" si="4"/>
        <v>0.36017361110862112</v>
      </c>
      <c r="L110" s="11">
        <f t="shared" si="5"/>
        <v>8.4490740846376866E-4</v>
      </c>
      <c r="M110" s="11">
        <f t="shared" si="6"/>
        <v>0</v>
      </c>
      <c r="N110" s="11">
        <f t="shared" si="7"/>
        <v>0.38214120369957527</v>
      </c>
    </row>
    <row r="111" spans="1:14" x14ac:dyDescent="0.25">
      <c r="A111" s="3" t="s">
        <v>1165</v>
      </c>
      <c r="B111" s="3" t="s">
        <v>506</v>
      </c>
      <c r="C111" s="3" t="s">
        <v>3202</v>
      </c>
      <c r="D111" s="3">
        <v>2</v>
      </c>
      <c r="E111" s="10">
        <v>45666.327893518523</v>
      </c>
      <c r="F111" s="10">
        <v>45666.647696759261</v>
      </c>
      <c r="G111" s="10">
        <v>45666.653657407413</v>
      </c>
      <c r="H111" s="10">
        <v>45666.676562499997</v>
      </c>
      <c r="I111" s="10">
        <v>45666.676562499997</v>
      </c>
      <c r="J111" s="10">
        <v>45666.677349537043</v>
      </c>
      <c r="K111" s="11">
        <f t="shared" si="4"/>
        <v>0.31980324073811062</v>
      </c>
      <c r="L111" s="11">
        <f t="shared" si="5"/>
        <v>5.9606481518130749E-3</v>
      </c>
      <c r="M111" s="11">
        <f t="shared" si="6"/>
        <v>0</v>
      </c>
      <c r="N111" s="11">
        <f t="shared" si="7"/>
        <v>0.34945601852086838</v>
      </c>
    </row>
    <row r="112" spans="1:14" x14ac:dyDescent="0.25">
      <c r="A112" s="3" t="s">
        <v>1152</v>
      </c>
      <c r="B112" s="3" t="s">
        <v>533</v>
      </c>
      <c r="C112" s="3" t="s">
        <v>3203</v>
      </c>
      <c r="D112" s="3">
        <v>2</v>
      </c>
      <c r="E112" s="10">
        <v>45666.318391203713</v>
      </c>
      <c r="F112" s="10">
        <v>45666.65053240741</v>
      </c>
      <c r="G112" s="10">
        <v>45666.666608796288</v>
      </c>
      <c r="H112" s="10">
        <v>45666.696666666663</v>
      </c>
      <c r="I112" s="10">
        <v>45666.696666666663</v>
      </c>
      <c r="J112" s="10">
        <v>45666.697534722232</v>
      </c>
      <c r="K112" s="11">
        <f t="shared" si="4"/>
        <v>0.33214120369666489</v>
      </c>
      <c r="L112" s="11">
        <f t="shared" si="5"/>
        <v>1.6076388877991121E-2</v>
      </c>
      <c r="M112" s="11">
        <f t="shared" si="6"/>
        <v>0</v>
      </c>
      <c r="N112" s="11">
        <f t="shared" si="7"/>
        <v>0.37914351851941319</v>
      </c>
    </row>
    <row r="113" spans="1:14" x14ac:dyDescent="0.25">
      <c r="A113" s="3" t="s">
        <v>1198</v>
      </c>
      <c r="B113" s="3" t="s">
        <v>500</v>
      </c>
      <c r="C113" s="3" t="s">
        <v>3198</v>
      </c>
      <c r="D113" s="3">
        <v>1</v>
      </c>
      <c r="E113" s="10">
        <v>45666.653946759259</v>
      </c>
      <c r="F113" s="10">
        <v>45666.664907407408</v>
      </c>
      <c r="G113" s="10">
        <v>45666.667615740742</v>
      </c>
      <c r="H113" s="10">
        <v>45666.722268518519</v>
      </c>
      <c r="I113" s="10">
        <v>45666.722268518519</v>
      </c>
      <c r="J113" s="10">
        <v>45666.723541666674</v>
      </c>
      <c r="K113" s="11">
        <f t="shared" si="4"/>
        <v>1.096064814919373E-2</v>
      </c>
      <c r="L113" s="11">
        <f t="shared" si="5"/>
        <v>2.7083333334303461E-3</v>
      </c>
      <c r="M113" s="11">
        <f t="shared" si="6"/>
        <v>0</v>
      </c>
      <c r="N113" s="11">
        <f t="shared" si="7"/>
        <v>6.9594907414284535E-2</v>
      </c>
    </row>
    <row r="114" spans="1:14" x14ac:dyDescent="0.25">
      <c r="A114" s="3" t="s">
        <v>1207</v>
      </c>
      <c r="B114" s="3" t="s">
        <v>506</v>
      </c>
      <c r="C114" s="3" t="s">
        <v>3203</v>
      </c>
      <c r="D114" s="3">
        <v>1</v>
      </c>
      <c r="E114" s="10">
        <v>45666.762430555558</v>
      </c>
      <c r="F114" s="10">
        <v>45666.764826388891</v>
      </c>
      <c r="G114" s="10">
        <v>45666.7656712963</v>
      </c>
      <c r="H114" s="10">
        <v>45666.78597222222</v>
      </c>
      <c r="I114" s="10">
        <v>45666.78597222222</v>
      </c>
      <c r="J114" s="10">
        <v>45666.78670138889</v>
      </c>
      <c r="K114" s="11">
        <f t="shared" si="4"/>
        <v>2.3958333331393078E-3</v>
      </c>
      <c r="L114" s="11">
        <f t="shared" si="5"/>
        <v>8.4490740846376866E-4</v>
      </c>
      <c r="M114" s="11">
        <f t="shared" si="6"/>
        <v>0</v>
      </c>
      <c r="N114" s="11">
        <f t="shared" si="7"/>
        <v>2.4270833331684116E-2</v>
      </c>
    </row>
    <row r="115" spans="1:14" x14ac:dyDescent="0.25">
      <c r="A115" s="3" t="s">
        <v>1189</v>
      </c>
      <c r="B115" s="3" t="s">
        <v>515</v>
      </c>
      <c r="C115" s="3" t="s">
        <v>3197</v>
      </c>
      <c r="D115" s="3">
        <v>2</v>
      </c>
      <c r="E115" s="10">
        <v>45666.64334490741</v>
      </c>
      <c r="F115" s="10">
        <v>45666.768067129633</v>
      </c>
      <c r="G115" s="10">
        <v>45666.769699074073</v>
      </c>
      <c r="H115" s="10">
        <v>45666.796458333331</v>
      </c>
      <c r="I115" s="10">
        <v>45666.796458333331</v>
      </c>
      <c r="J115" s="10">
        <v>45666.797361111108</v>
      </c>
      <c r="K115" s="11">
        <f t="shared" si="4"/>
        <v>0.12472222222277196</v>
      </c>
      <c r="L115" s="11">
        <f t="shared" si="5"/>
        <v>1.631944440305233E-3</v>
      </c>
      <c r="M115" s="11">
        <f t="shared" si="6"/>
        <v>0</v>
      </c>
      <c r="N115" s="11">
        <f t="shared" si="7"/>
        <v>0.15401620369812008</v>
      </c>
    </row>
    <row r="116" spans="1:14" x14ac:dyDescent="0.25">
      <c r="A116" s="3" t="s">
        <v>1131</v>
      </c>
      <c r="B116" s="3" t="s">
        <v>488</v>
      </c>
      <c r="C116" s="3" t="s">
        <v>3193</v>
      </c>
      <c r="D116" s="3">
        <v>5</v>
      </c>
      <c r="E116" s="10">
        <v>45666.276550925933</v>
      </c>
      <c r="F116" s="10">
        <v>45666.769699074073</v>
      </c>
      <c r="G116" s="10">
        <v>45666.790810185194</v>
      </c>
      <c r="H116" s="10">
        <v>45666.809513888889</v>
      </c>
      <c r="I116" s="10">
        <v>45666.809513888889</v>
      </c>
      <c r="J116" s="10">
        <v>45666.810185185182</v>
      </c>
      <c r="K116" s="11">
        <f t="shared" si="4"/>
        <v>0.4931481481398805</v>
      </c>
      <c r="L116" s="11">
        <f t="shared" si="5"/>
        <v>2.1111111120262649E-2</v>
      </c>
      <c r="M116" s="11">
        <f t="shared" si="6"/>
        <v>0</v>
      </c>
      <c r="N116" s="11">
        <f t="shared" si="7"/>
        <v>0.5336342592490837</v>
      </c>
    </row>
    <row r="117" spans="1:14" x14ac:dyDescent="0.25">
      <c r="A117" s="3" t="s">
        <v>655</v>
      </c>
      <c r="B117" s="3" t="s">
        <v>654</v>
      </c>
      <c r="C117" s="3" t="s">
        <v>3200</v>
      </c>
      <c r="D117" s="3">
        <v>6</v>
      </c>
      <c r="E117" s="10">
        <v>45659.871539351851</v>
      </c>
      <c r="F117" s="10">
        <v>45666.779282407413</v>
      </c>
      <c r="G117" s="10">
        <v>45666.797094907408</v>
      </c>
      <c r="H117" s="10">
        <v>45666.81622685185</v>
      </c>
      <c r="I117" s="10">
        <v>45666.816678240742</v>
      </c>
      <c r="J117" s="10">
        <v>45666.817453703698</v>
      </c>
      <c r="K117" s="11">
        <f t="shared" si="4"/>
        <v>6.9077430555626052</v>
      </c>
      <c r="L117" s="11">
        <f t="shared" si="5"/>
        <v>1.7812499994761311E-2</v>
      </c>
      <c r="M117" s="11">
        <f t="shared" si="6"/>
        <v>4.5138889254303649E-4</v>
      </c>
      <c r="N117" s="11">
        <f t="shared" si="7"/>
        <v>6.9459143518470228</v>
      </c>
    </row>
    <row r="118" spans="1:14" x14ac:dyDescent="0.25">
      <c r="A118" s="3" t="s">
        <v>1034</v>
      </c>
      <c r="B118" s="3" t="s">
        <v>1033</v>
      </c>
      <c r="C118" s="3" t="s">
        <v>3206</v>
      </c>
      <c r="D118" s="3">
        <v>6</v>
      </c>
      <c r="E118" s="10">
        <v>45665.35229166667</v>
      </c>
      <c r="F118" s="10">
        <v>45666.784074074072</v>
      </c>
      <c r="G118" s="10">
        <v>45666.798148148147</v>
      </c>
      <c r="H118" s="10">
        <v>45666.815844907411</v>
      </c>
      <c r="I118" s="10">
        <v>45666.815844907411</v>
      </c>
      <c r="J118" s="10">
        <v>45666.816678240742</v>
      </c>
      <c r="K118" s="11">
        <f t="shared" si="4"/>
        <v>1.431782407402352</v>
      </c>
      <c r="L118" s="11">
        <f t="shared" si="5"/>
        <v>1.4074074075324461E-2</v>
      </c>
      <c r="M118" s="11">
        <f t="shared" si="6"/>
        <v>0</v>
      </c>
      <c r="N118" s="11">
        <f t="shared" si="7"/>
        <v>1.4643865740727051</v>
      </c>
    </row>
    <row r="119" spans="1:14" x14ac:dyDescent="0.25">
      <c r="A119" s="3" t="s">
        <v>1214</v>
      </c>
      <c r="B119" s="3" t="s">
        <v>595</v>
      </c>
      <c r="C119" s="3" t="s">
        <v>3198</v>
      </c>
      <c r="D119" s="3">
        <v>4</v>
      </c>
      <c r="E119" s="10">
        <v>45666.76730324074</v>
      </c>
      <c r="F119" s="10">
        <v>45666.790694444448</v>
      </c>
      <c r="G119" s="10">
        <v>45666.811249999999</v>
      </c>
      <c r="H119" s="10">
        <v>45666.832199074073</v>
      </c>
      <c r="I119" s="10">
        <v>45666.832199074073</v>
      </c>
      <c r="J119" s="10">
        <v>45666.833020833343</v>
      </c>
      <c r="K119" s="11">
        <f t="shared" si="4"/>
        <v>2.3391203707433306E-2</v>
      </c>
      <c r="L119" s="11">
        <f t="shared" si="5"/>
        <v>2.0555555551254656E-2</v>
      </c>
      <c r="M119" s="11">
        <f t="shared" si="6"/>
        <v>0</v>
      </c>
      <c r="N119" s="11">
        <f t="shared" si="7"/>
        <v>6.5717592602595687E-2</v>
      </c>
    </row>
    <row r="120" spans="1:14" x14ac:dyDescent="0.25">
      <c r="A120" s="3" t="s">
        <v>1217</v>
      </c>
      <c r="B120" s="3" t="s">
        <v>519</v>
      </c>
      <c r="C120" s="3" t="s">
        <v>3195</v>
      </c>
      <c r="D120" s="3">
        <v>3</v>
      </c>
      <c r="E120" s="10">
        <v>45666.76903935185</v>
      </c>
      <c r="F120" s="10">
        <v>45666.795428240737</v>
      </c>
      <c r="G120" s="10">
        <v>45666.817546296297</v>
      </c>
      <c r="H120" s="10">
        <v>45666.84138888889</v>
      </c>
      <c r="I120" s="10">
        <v>45666.84138888889</v>
      </c>
      <c r="J120" s="10">
        <v>45666.842303240737</v>
      </c>
      <c r="K120" s="11">
        <f t="shared" si="4"/>
        <v>2.6388888887595385E-2</v>
      </c>
      <c r="L120" s="11">
        <f t="shared" si="5"/>
        <v>2.2118055559985805E-2</v>
      </c>
      <c r="M120" s="11">
        <f t="shared" si="6"/>
        <v>0</v>
      </c>
      <c r="N120" s="11">
        <f t="shared" si="7"/>
        <v>7.3263888887595385E-2</v>
      </c>
    </row>
    <row r="121" spans="1:14" x14ac:dyDescent="0.25">
      <c r="A121" s="3" t="s">
        <v>1134</v>
      </c>
      <c r="B121" s="3" t="s">
        <v>563</v>
      </c>
      <c r="C121" s="3" t="s">
        <v>3204</v>
      </c>
      <c r="D121" s="3">
        <v>4</v>
      </c>
      <c r="E121" s="10">
        <v>45666.278587962966</v>
      </c>
      <c r="F121" s="10">
        <v>45666.863680555558</v>
      </c>
      <c r="G121" s="10">
        <v>45666.864548611113</v>
      </c>
      <c r="H121" s="10">
        <v>45666.885844907411</v>
      </c>
      <c r="I121" s="10">
        <v>45666.885844907411</v>
      </c>
      <c r="J121" s="10">
        <v>45666.886631944442</v>
      </c>
      <c r="K121" s="11">
        <f t="shared" si="4"/>
        <v>0.58509259259153623</v>
      </c>
      <c r="L121" s="11">
        <f t="shared" si="5"/>
        <v>8.6805555474711582E-4</v>
      </c>
      <c r="M121" s="11">
        <f t="shared" si="6"/>
        <v>0</v>
      </c>
      <c r="N121" s="11">
        <f t="shared" si="7"/>
        <v>0.6080439814759302</v>
      </c>
    </row>
    <row r="122" spans="1:14" x14ac:dyDescent="0.25">
      <c r="A122" s="3" t="s">
        <v>1230</v>
      </c>
      <c r="B122" s="3" t="s">
        <v>515</v>
      </c>
      <c r="C122" s="3" t="s">
        <v>3196</v>
      </c>
      <c r="D122" s="3">
        <v>2</v>
      </c>
      <c r="E122" s="10">
        <v>45666.777060185188</v>
      </c>
      <c r="F122" s="10">
        <v>45666.867650462962</v>
      </c>
      <c r="G122" s="10">
        <v>45666.868483796286</v>
      </c>
      <c r="H122" s="10">
        <v>45666.8903587963</v>
      </c>
      <c r="I122" s="10">
        <v>45666.8903587963</v>
      </c>
      <c r="J122" s="10">
        <v>45666.891030092593</v>
      </c>
      <c r="K122" s="11">
        <f t="shared" si="4"/>
        <v>9.0590277774026617E-2</v>
      </c>
      <c r="L122" s="11">
        <f t="shared" si="5"/>
        <v>8.3333332440815866E-4</v>
      </c>
      <c r="M122" s="11">
        <f t="shared" si="6"/>
        <v>0</v>
      </c>
      <c r="N122" s="11">
        <f t="shared" si="7"/>
        <v>0.11396990740468027</v>
      </c>
    </row>
    <row r="123" spans="1:14" x14ac:dyDescent="0.25">
      <c r="A123" s="3" t="s">
        <v>1225</v>
      </c>
      <c r="B123" s="3" t="s">
        <v>488</v>
      </c>
      <c r="C123" s="3" t="s">
        <v>3194</v>
      </c>
      <c r="D123" s="3">
        <v>3</v>
      </c>
      <c r="E123" s="10">
        <v>45666.773344907408</v>
      </c>
      <c r="F123" s="10">
        <v>45667.133842592593</v>
      </c>
      <c r="G123" s="10">
        <v>45667.134687500002</v>
      </c>
      <c r="H123" s="10">
        <v>45667.173263888893</v>
      </c>
      <c r="I123" s="10">
        <v>45667.173263888893</v>
      </c>
      <c r="J123" s="10">
        <v>45667.174317129633</v>
      </c>
      <c r="K123" s="11">
        <f t="shared" si="4"/>
        <v>0.36049768518569181</v>
      </c>
      <c r="L123" s="11">
        <f t="shared" si="5"/>
        <v>8.4490740846376866E-4</v>
      </c>
      <c r="M123" s="11">
        <f t="shared" si="6"/>
        <v>0</v>
      </c>
      <c r="N123" s="11">
        <f t="shared" si="7"/>
        <v>0.40097222222539131</v>
      </c>
    </row>
    <row r="124" spans="1:14" x14ac:dyDescent="0.25">
      <c r="A124" s="3" t="s">
        <v>1020</v>
      </c>
      <c r="B124" s="3" t="s">
        <v>484</v>
      </c>
      <c r="C124" s="3" t="s">
        <v>3201</v>
      </c>
      <c r="D124" s="3">
        <v>5</v>
      </c>
      <c r="E124" s="10">
        <v>45665.343217592592</v>
      </c>
      <c r="F124" s="10">
        <v>45667.135671296302</v>
      </c>
      <c r="G124" s="10">
        <v>45667.13653935185</v>
      </c>
      <c r="H124" s="10">
        <v>45667.159131944441</v>
      </c>
      <c r="I124" s="10">
        <v>45667.159131944441</v>
      </c>
      <c r="J124" s="10">
        <v>45667.15997685185</v>
      </c>
      <c r="K124" s="11">
        <f t="shared" si="4"/>
        <v>1.7924537037106347</v>
      </c>
      <c r="L124" s="11">
        <f t="shared" si="5"/>
        <v>8.6805554747115821E-4</v>
      </c>
      <c r="M124" s="11">
        <f t="shared" si="6"/>
        <v>0</v>
      </c>
      <c r="N124" s="11">
        <f t="shared" si="7"/>
        <v>1.8167592592581059</v>
      </c>
    </row>
    <row r="125" spans="1:14" x14ac:dyDescent="0.25">
      <c r="A125" s="3" t="s">
        <v>1252</v>
      </c>
      <c r="B125" s="3" t="s">
        <v>519</v>
      </c>
      <c r="C125" s="3" t="s">
        <v>3203</v>
      </c>
      <c r="D125" s="3">
        <v>2</v>
      </c>
      <c r="E125" s="10">
        <v>45666.852800925917</v>
      </c>
      <c r="F125" s="10">
        <v>45667.201990740738</v>
      </c>
      <c r="G125" s="10">
        <v>45667.2028587963</v>
      </c>
      <c r="H125" s="10">
        <v>45667.244606481479</v>
      </c>
      <c r="I125" s="10">
        <v>45667.244606481479</v>
      </c>
      <c r="J125" s="10">
        <v>45667.245625000003</v>
      </c>
      <c r="K125" s="11">
        <f t="shared" si="4"/>
        <v>0.34918981482042</v>
      </c>
      <c r="L125" s="11">
        <f t="shared" si="5"/>
        <v>8.6805556202307343E-4</v>
      </c>
      <c r="M125" s="11">
        <f t="shared" si="6"/>
        <v>0</v>
      </c>
      <c r="N125" s="11">
        <f t="shared" si="7"/>
        <v>0.39282407408609288</v>
      </c>
    </row>
    <row r="126" spans="1:14" x14ac:dyDescent="0.25">
      <c r="A126" s="3" t="s">
        <v>1222</v>
      </c>
      <c r="B126" s="3" t="s">
        <v>500</v>
      </c>
      <c r="C126" s="3" t="s">
        <v>3202</v>
      </c>
      <c r="D126" s="3">
        <v>2</v>
      </c>
      <c r="E126" s="10">
        <v>45666.74795138889</v>
      </c>
      <c r="F126" s="10">
        <v>45667.254652777781</v>
      </c>
      <c r="G126" s="10">
        <v>45667.255497685182</v>
      </c>
      <c r="H126" s="10">
        <v>45667.315428240741</v>
      </c>
      <c r="I126" s="10">
        <v>45667.315428240741</v>
      </c>
      <c r="J126" s="10">
        <v>45667.316712962973</v>
      </c>
      <c r="K126" s="11">
        <f t="shared" si="4"/>
        <v>0.50670138889108784</v>
      </c>
      <c r="L126" s="11">
        <f t="shared" si="5"/>
        <v>8.4490740118781105E-4</v>
      </c>
      <c r="M126" s="11">
        <f t="shared" si="6"/>
        <v>0</v>
      </c>
      <c r="N126" s="11">
        <f t="shared" si="7"/>
        <v>0.56876157408260042</v>
      </c>
    </row>
    <row r="127" spans="1:14" x14ac:dyDescent="0.25">
      <c r="A127" s="3" t="s">
        <v>1241</v>
      </c>
      <c r="B127" s="3" t="s">
        <v>527</v>
      </c>
      <c r="C127" s="3" t="s">
        <v>3193</v>
      </c>
      <c r="D127" s="3">
        <v>4</v>
      </c>
      <c r="E127" s="10">
        <v>45666.785092592603</v>
      </c>
      <c r="F127" s="10">
        <v>45667.303541666668</v>
      </c>
      <c r="G127" s="10">
        <v>45667.305277777778</v>
      </c>
      <c r="H127" s="10">
        <v>45667.331817129627</v>
      </c>
      <c r="I127" s="10">
        <v>45667.331817129627</v>
      </c>
      <c r="J127" s="10">
        <v>45667.332604166673</v>
      </c>
      <c r="K127" s="11">
        <f t="shared" si="4"/>
        <v>0.51844907406484708</v>
      </c>
      <c r="L127" s="11">
        <f t="shared" si="5"/>
        <v>1.7361111094942316E-3</v>
      </c>
      <c r="M127" s="11">
        <f t="shared" si="6"/>
        <v>0</v>
      </c>
      <c r="N127" s="11">
        <f t="shared" si="7"/>
        <v>0.54751157407008577</v>
      </c>
    </row>
    <row r="128" spans="1:14" x14ac:dyDescent="0.25">
      <c r="A128" s="3" t="s">
        <v>1257</v>
      </c>
      <c r="B128" s="3" t="s">
        <v>506</v>
      </c>
      <c r="C128" s="3" t="s">
        <v>3195</v>
      </c>
      <c r="D128" s="3">
        <v>2</v>
      </c>
      <c r="E128" s="10">
        <v>45666.855937499997</v>
      </c>
      <c r="F128" s="10">
        <v>45667.305520833332</v>
      </c>
      <c r="G128" s="10">
        <v>45667.315300925933</v>
      </c>
      <c r="H128" s="10">
        <v>45667.347696759258</v>
      </c>
      <c r="I128" s="10">
        <v>45667.347696759258</v>
      </c>
      <c r="J128" s="10">
        <v>45667.348726851851</v>
      </c>
      <c r="K128" s="11">
        <f t="shared" si="4"/>
        <v>0.44958333333488554</v>
      </c>
      <c r="L128" s="11">
        <f t="shared" si="5"/>
        <v>9.7800926014315337E-3</v>
      </c>
      <c r="M128" s="11">
        <f t="shared" si="6"/>
        <v>0</v>
      </c>
      <c r="N128" s="11">
        <f t="shared" si="7"/>
        <v>0.49278935185429873</v>
      </c>
    </row>
    <row r="129" spans="1:14" x14ac:dyDescent="0.25">
      <c r="A129" s="3" t="s">
        <v>1303</v>
      </c>
      <c r="B129" s="3" t="s">
        <v>500</v>
      </c>
      <c r="C129" s="3" t="s">
        <v>3197</v>
      </c>
      <c r="D129" s="3">
        <v>1</v>
      </c>
      <c r="E129" s="10">
        <v>45667.319814814808</v>
      </c>
      <c r="F129" s="10">
        <v>45667.322187500002</v>
      </c>
      <c r="G129" s="10">
        <v>45667.323888888888</v>
      </c>
      <c r="H129" s="10">
        <v>45667.357418981483</v>
      </c>
      <c r="I129" s="10">
        <v>45667.357418981483</v>
      </c>
      <c r="J129" s="10">
        <v>45667.358414351853</v>
      </c>
      <c r="K129" s="11">
        <f t="shared" si="4"/>
        <v>2.3726851941319183E-3</v>
      </c>
      <c r="L129" s="11">
        <f t="shared" si="5"/>
        <v>1.7013888864312321E-3</v>
      </c>
      <c r="M129" s="11">
        <f t="shared" si="6"/>
        <v>0</v>
      </c>
      <c r="N129" s="11">
        <f t="shared" si="7"/>
        <v>3.8599537045229226E-2</v>
      </c>
    </row>
    <row r="130" spans="1:14" x14ac:dyDescent="0.25">
      <c r="A130" s="3" t="s">
        <v>1306</v>
      </c>
      <c r="B130" s="3" t="s">
        <v>500</v>
      </c>
      <c r="C130" s="3" t="s">
        <v>3200</v>
      </c>
      <c r="D130" s="3">
        <v>1</v>
      </c>
      <c r="E130" s="10">
        <v>45667.34171296296</v>
      </c>
      <c r="F130" s="10">
        <v>45667.344108796293</v>
      </c>
      <c r="G130" s="10">
        <v>45667.34584490741</v>
      </c>
      <c r="H130" s="10">
        <v>45667.411956018521</v>
      </c>
      <c r="I130" s="10">
        <v>45667.411956018521</v>
      </c>
      <c r="J130" s="10">
        <v>45667.413344907407</v>
      </c>
      <c r="K130" s="11">
        <f t="shared" ref="K130:K193" si="8">IF(AND(ISNUMBER(E130),ISNUMBER(F130)),(F130-E130),"")</f>
        <v>2.3958333331393078E-3</v>
      </c>
      <c r="L130" s="11">
        <f t="shared" ref="L130:L193" si="9">IF(AND(ISNUMBER(F130),ISNUMBER(G130)),(G130-F130),"")</f>
        <v>1.7361111167701893E-3</v>
      </c>
      <c r="M130" s="11">
        <f t="shared" ref="M130:M193" si="10">IF(AND(ISNUMBER(H130),ISNUMBER(I130)),(I130-H130),"")</f>
        <v>0</v>
      </c>
      <c r="N130" s="11">
        <f t="shared" ref="N130:N193" si="11">IF(AND(ISNUMBER(E130),ISNUMBER(J130)),(J130-E130),"")</f>
        <v>7.1631944447290152E-2</v>
      </c>
    </row>
    <row r="131" spans="1:14" x14ac:dyDescent="0.25">
      <c r="A131" s="3" t="s">
        <v>1178</v>
      </c>
      <c r="B131" s="3" t="s">
        <v>572</v>
      </c>
      <c r="C131" s="3" t="s">
        <v>3199</v>
      </c>
      <c r="D131" s="3">
        <v>5</v>
      </c>
      <c r="E131" s="10">
        <v>45666.464432870373</v>
      </c>
      <c r="F131" s="10">
        <v>45667.390416666669</v>
      </c>
      <c r="G131" s="10">
        <v>45667.391284722216</v>
      </c>
      <c r="H131" s="10">
        <v>45667.41510416667</v>
      </c>
      <c r="I131" s="10">
        <v>45667.41510416667</v>
      </c>
      <c r="J131" s="10">
        <v>45667.415821759263</v>
      </c>
      <c r="K131" s="11">
        <f t="shared" si="8"/>
        <v>0.92598379629635019</v>
      </c>
      <c r="L131" s="11">
        <f t="shared" si="9"/>
        <v>8.6805554747115821E-4</v>
      </c>
      <c r="M131" s="11">
        <f t="shared" si="10"/>
        <v>0</v>
      </c>
      <c r="N131" s="11">
        <f t="shared" si="11"/>
        <v>0.95138888889050577</v>
      </c>
    </row>
    <row r="132" spans="1:14" x14ac:dyDescent="0.25">
      <c r="A132" s="3" t="s">
        <v>1338</v>
      </c>
      <c r="B132" s="3" t="s">
        <v>500</v>
      </c>
      <c r="C132" s="3" t="s">
        <v>3202</v>
      </c>
      <c r="D132" s="3">
        <v>2</v>
      </c>
      <c r="E132" s="10">
        <v>45667.384884259263</v>
      </c>
      <c r="F132" s="10">
        <v>45667.392326388886</v>
      </c>
      <c r="G132" s="10">
        <v>45667.41369212963</v>
      </c>
      <c r="H132" s="10">
        <v>45667.442997685182</v>
      </c>
      <c r="I132" s="10">
        <v>45667.442997685182</v>
      </c>
      <c r="J132" s="10">
        <v>45667.443865740737</v>
      </c>
      <c r="K132" s="11">
        <f t="shared" si="8"/>
        <v>7.4421296230866574E-3</v>
      </c>
      <c r="L132" s="11">
        <f t="shared" si="9"/>
        <v>2.1365740743931383E-2</v>
      </c>
      <c r="M132" s="11">
        <f t="shared" si="10"/>
        <v>0</v>
      </c>
      <c r="N132" s="11">
        <f t="shared" si="11"/>
        <v>5.8981481473892927E-2</v>
      </c>
    </row>
    <row r="133" spans="1:14" x14ac:dyDescent="0.25">
      <c r="A133" s="3" t="s">
        <v>1311</v>
      </c>
      <c r="B133" s="3" t="s">
        <v>533</v>
      </c>
      <c r="C133" s="3" t="s">
        <v>3193</v>
      </c>
      <c r="D133" s="3">
        <v>1</v>
      </c>
      <c r="E133" s="10">
        <v>45667.392546296287</v>
      </c>
      <c r="F133" s="10">
        <v>45667.395543981482</v>
      </c>
      <c r="G133" s="10">
        <v>45667.416666666657</v>
      </c>
      <c r="H133" s="10">
        <v>45667.441261574073</v>
      </c>
      <c r="I133" s="10">
        <v>45667.441307870373</v>
      </c>
      <c r="J133" s="10">
        <v>45667.442060185182</v>
      </c>
      <c r="K133" s="11">
        <f t="shared" si="8"/>
        <v>2.9976851947139949E-3</v>
      </c>
      <c r="L133" s="11">
        <f t="shared" si="9"/>
        <v>2.1122685175214428E-2</v>
      </c>
      <c r="M133" s="11">
        <f t="shared" si="10"/>
        <v>4.6296299842651933E-5</v>
      </c>
      <c r="N133" s="11">
        <f t="shared" si="11"/>
        <v>4.9513888894580305E-2</v>
      </c>
    </row>
    <row r="134" spans="1:14" x14ac:dyDescent="0.25">
      <c r="A134" s="3" t="s">
        <v>1295</v>
      </c>
      <c r="B134" s="3" t="s">
        <v>515</v>
      </c>
      <c r="C134" s="3" t="s">
        <v>3195</v>
      </c>
      <c r="D134" s="3">
        <v>4</v>
      </c>
      <c r="E134" s="10">
        <v>45667.306608796287</v>
      </c>
      <c r="F134" s="10">
        <v>45667.405162037037</v>
      </c>
      <c r="G134" s="10">
        <v>45667.417951388888</v>
      </c>
      <c r="H134" s="10">
        <v>45667.440405092602</v>
      </c>
      <c r="I134" s="10">
        <v>45667.440405092602</v>
      </c>
      <c r="J134" s="10">
        <v>45667.441307870373</v>
      </c>
      <c r="K134" s="11">
        <f t="shared" si="8"/>
        <v>9.8553240750334226E-2</v>
      </c>
      <c r="L134" s="11">
        <f t="shared" si="9"/>
        <v>1.2789351851097308E-2</v>
      </c>
      <c r="M134" s="11">
        <f t="shared" si="10"/>
        <v>0</v>
      </c>
      <c r="N134" s="11">
        <f t="shared" si="11"/>
        <v>0.13469907408580184</v>
      </c>
    </row>
    <row r="135" spans="1:14" x14ac:dyDescent="0.25">
      <c r="A135" s="3" t="s">
        <v>1281</v>
      </c>
      <c r="B135" s="3" t="s">
        <v>563</v>
      </c>
      <c r="C135" s="3" t="s">
        <v>3204</v>
      </c>
      <c r="D135" s="3">
        <v>3</v>
      </c>
      <c r="E135" s="10">
        <v>45667.296238425923</v>
      </c>
      <c r="F135" s="10">
        <v>45667.412488425929</v>
      </c>
      <c r="G135" s="10">
        <v>45667.44290509259</v>
      </c>
      <c r="H135" s="10">
        <v>45667.462835648148</v>
      </c>
      <c r="I135" s="10">
        <v>45667.462835648148</v>
      </c>
      <c r="J135" s="10">
        <v>45667.463599537034</v>
      </c>
      <c r="K135" s="11">
        <f t="shared" si="8"/>
        <v>0.11625000000640284</v>
      </c>
      <c r="L135" s="11">
        <f t="shared" si="9"/>
        <v>3.0416666661039926E-2</v>
      </c>
      <c r="M135" s="11">
        <f t="shared" si="10"/>
        <v>0</v>
      </c>
      <c r="N135" s="11">
        <f t="shared" si="11"/>
        <v>0.16736111111094942</v>
      </c>
    </row>
    <row r="136" spans="1:14" x14ac:dyDescent="0.25">
      <c r="A136" s="3" t="s">
        <v>1321</v>
      </c>
      <c r="B136" s="3" t="s">
        <v>500</v>
      </c>
      <c r="C136" s="3" t="s">
        <v>3199</v>
      </c>
      <c r="D136" s="3">
        <v>2</v>
      </c>
      <c r="E136" s="10">
        <v>45667.398738425924</v>
      </c>
      <c r="F136" s="10">
        <v>45667.443622685183</v>
      </c>
      <c r="G136" s="10">
        <v>45667.444664351853</v>
      </c>
      <c r="H136" s="10">
        <v>45667.489745370367</v>
      </c>
      <c r="I136" s="10">
        <v>45667.489745370367</v>
      </c>
      <c r="J136" s="10">
        <v>45667.490740740737</v>
      </c>
      <c r="K136" s="11">
        <f t="shared" si="8"/>
        <v>4.4884259259561077E-2</v>
      </c>
      <c r="L136" s="11">
        <f t="shared" si="9"/>
        <v>1.0416666700621136E-3</v>
      </c>
      <c r="M136" s="11">
        <f t="shared" si="10"/>
        <v>0</v>
      </c>
      <c r="N136" s="11">
        <f t="shared" si="11"/>
        <v>9.2002314813726116E-2</v>
      </c>
    </row>
    <row r="137" spans="1:14" x14ac:dyDescent="0.25">
      <c r="A137" s="3" t="s">
        <v>1318</v>
      </c>
      <c r="B137" s="3" t="s">
        <v>500</v>
      </c>
      <c r="C137" s="3" t="s">
        <v>3193</v>
      </c>
      <c r="D137" s="3">
        <v>3</v>
      </c>
      <c r="E137" s="10">
        <v>45667.396851851852</v>
      </c>
      <c r="F137" s="10">
        <v>45667.601921296293</v>
      </c>
      <c r="G137" s="10">
        <v>45667.602789351848</v>
      </c>
      <c r="H137" s="10">
        <v>45667.623379629629</v>
      </c>
      <c r="I137" s="10">
        <v>45667.623379629629</v>
      </c>
      <c r="J137" s="10">
        <v>45667.624085648153</v>
      </c>
      <c r="K137" s="11">
        <f t="shared" si="8"/>
        <v>0.20506944444059627</v>
      </c>
      <c r="L137" s="11">
        <f t="shared" si="9"/>
        <v>8.6805555474711582E-4</v>
      </c>
      <c r="M137" s="11">
        <f t="shared" si="10"/>
        <v>0</v>
      </c>
      <c r="N137" s="11">
        <f t="shared" si="11"/>
        <v>0.22723379630042473</v>
      </c>
    </row>
    <row r="138" spans="1:14" x14ac:dyDescent="0.25">
      <c r="A138" s="3" t="s">
        <v>1351</v>
      </c>
      <c r="B138" s="3" t="s">
        <v>500</v>
      </c>
      <c r="C138" s="3" t="s">
        <v>3199</v>
      </c>
      <c r="D138" s="3">
        <v>1</v>
      </c>
      <c r="E138" s="10">
        <v>45667.629317129627</v>
      </c>
      <c r="F138" s="10">
        <v>45667.631712962961</v>
      </c>
      <c r="G138" s="10">
        <v>45667.6325462963</v>
      </c>
      <c r="H138" s="10">
        <v>45667.700868055559</v>
      </c>
      <c r="I138" s="10">
        <v>45667.700868055559</v>
      </c>
      <c r="J138" s="10">
        <v>45667.702164351853</v>
      </c>
      <c r="K138" s="11">
        <f t="shared" si="8"/>
        <v>2.3958333331393078E-3</v>
      </c>
      <c r="L138" s="11">
        <f t="shared" si="9"/>
        <v>8.3333333896007389E-4</v>
      </c>
      <c r="M138" s="11">
        <f t="shared" si="10"/>
        <v>0</v>
      </c>
      <c r="N138" s="11">
        <f t="shared" si="11"/>
        <v>7.2847222225391306E-2</v>
      </c>
    </row>
    <row r="139" spans="1:14" x14ac:dyDescent="0.25">
      <c r="A139" s="3" t="s">
        <v>1354</v>
      </c>
      <c r="B139" s="3" t="s">
        <v>500</v>
      </c>
      <c r="C139" s="3" t="s">
        <v>3193</v>
      </c>
      <c r="D139" s="3">
        <v>1</v>
      </c>
      <c r="E139" s="10">
        <v>45667.738680555558</v>
      </c>
      <c r="F139" s="10">
        <v>45667.741041666668</v>
      </c>
      <c r="G139" s="10">
        <v>45667.741909722223</v>
      </c>
      <c r="H139" s="10">
        <v>45667.794363425928</v>
      </c>
      <c r="I139" s="10">
        <v>45667.794363425928</v>
      </c>
      <c r="J139" s="10">
        <v>45667.795497685183</v>
      </c>
      <c r="K139" s="11">
        <f t="shared" si="8"/>
        <v>2.3611111100763083E-3</v>
      </c>
      <c r="L139" s="11">
        <f t="shared" si="9"/>
        <v>8.6805555474711582E-4</v>
      </c>
      <c r="M139" s="11">
        <f t="shared" si="10"/>
        <v>0</v>
      </c>
      <c r="N139" s="11">
        <f t="shared" si="11"/>
        <v>5.6817129625414964E-2</v>
      </c>
    </row>
    <row r="140" spans="1:14" x14ac:dyDescent="0.25">
      <c r="A140" s="3" t="s">
        <v>1359</v>
      </c>
      <c r="B140" s="3" t="s">
        <v>506</v>
      </c>
      <c r="C140" s="3" t="s">
        <v>3199</v>
      </c>
      <c r="D140" s="3">
        <v>1</v>
      </c>
      <c r="E140" s="10">
        <v>45667.762766203698</v>
      </c>
      <c r="F140" s="10">
        <v>45667.764930555553</v>
      </c>
      <c r="G140" s="10">
        <v>45667.766018518523</v>
      </c>
      <c r="H140" s="10">
        <v>45667.803888888891</v>
      </c>
      <c r="I140" s="10">
        <v>45667.803888888891</v>
      </c>
      <c r="J140" s="10">
        <v>45667.804780092592</v>
      </c>
      <c r="K140" s="11">
        <f t="shared" si="8"/>
        <v>2.164351855753921E-3</v>
      </c>
      <c r="L140" s="11">
        <f t="shared" si="9"/>
        <v>1.0879629699047655E-3</v>
      </c>
      <c r="M140" s="11">
        <f t="shared" si="10"/>
        <v>0</v>
      </c>
      <c r="N140" s="11">
        <f t="shared" si="11"/>
        <v>4.2013888894871343E-2</v>
      </c>
    </row>
    <row r="141" spans="1:14" x14ac:dyDescent="0.25">
      <c r="A141" s="3" t="s">
        <v>1362</v>
      </c>
      <c r="B141" s="3" t="s">
        <v>515</v>
      </c>
      <c r="C141" s="3" t="s">
        <v>3195</v>
      </c>
      <c r="D141" s="3">
        <v>2</v>
      </c>
      <c r="E141" s="10">
        <v>45667.764467592591</v>
      </c>
      <c r="F141" s="10">
        <v>45667.772245370368</v>
      </c>
      <c r="G141" s="10">
        <v>45667.787939814807</v>
      </c>
      <c r="H141" s="10">
        <v>45667.807071759264</v>
      </c>
      <c r="I141" s="10">
        <v>45667.807071759264</v>
      </c>
      <c r="J141" s="10">
        <v>45667.807928240742</v>
      </c>
      <c r="K141" s="11">
        <f t="shared" si="8"/>
        <v>7.7777777769370005E-3</v>
      </c>
      <c r="L141" s="11">
        <f t="shared" si="9"/>
        <v>1.5694444438850041E-2</v>
      </c>
      <c r="M141" s="11">
        <f t="shared" si="10"/>
        <v>0</v>
      </c>
      <c r="N141" s="11">
        <f t="shared" si="11"/>
        <v>4.3460648150357883E-2</v>
      </c>
    </row>
    <row r="142" spans="1:14" x14ac:dyDescent="0.25">
      <c r="A142" s="3" t="s">
        <v>1333</v>
      </c>
      <c r="B142" s="3" t="s">
        <v>539</v>
      </c>
      <c r="C142" s="3" t="s">
        <v>3198</v>
      </c>
      <c r="D142" s="3">
        <v>4</v>
      </c>
      <c r="E142" s="10">
        <v>45667.407500000001</v>
      </c>
      <c r="F142" s="10">
        <v>45667.777002314811</v>
      </c>
      <c r="G142" s="10">
        <v>45667.796099537038</v>
      </c>
      <c r="H142" s="10">
        <v>45667.81925925926</v>
      </c>
      <c r="I142" s="10">
        <v>45667.81925925926</v>
      </c>
      <c r="J142" s="10">
        <v>45667.820104166669</v>
      </c>
      <c r="K142" s="11">
        <f t="shared" si="8"/>
        <v>0.36950231481023366</v>
      </c>
      <c r="L142" s="11">
        <f t="shared" si="9"/>
        <v>1.9097222226264421E-2</v>
      </c>
      <c r="M142" s="11">
        <f t="shared" si="10"/>
        <v>0</v>
      </c>
      <c r="N142" s="11">
        <f t="shared" si="11"/>
        <v>0.41260416666773381</v>
      </c>
    </row>
    <row r="143" spans="1:14" x14ac:dyDescent="0.25">
      <c r="A143" s="3" t="s">
        <v>1328</v>
      </c>
      <c r="B143" s="3" t="s">
        <v>488</v>
      </c>
      <c r="C143" s="3" t="s">
        <v>3197</v>
      </c>
      <c r="D143" s="3">
        <v>2</v>
      </c>
      <c r="E143" s="10">
        <v>45667.403819444437</v>
      </c>
      <c r="F143" s="10">
        <v>45667.78633101852</v>
      </c>
      <c r="G143" s="10">
        <v>45667.805625000001</v>
      </c>
      <c r="H143" s="10">
        <v>45667.830381944441</v>
      </c>
      <c r="I143" s="10">
        <v>45667.830381944441</v>
      </c>
      <c r="J143" s="10">
        <v>45667.831261574072</v>
      </c>
      <c r="K143" s="11">
        <f t="shared" si="8"/>
        <v>0.38251157408376457</v>
      </c>
      <c r="L143" s="11">
        <f t="shared" si="9"/>
        <v>1.9293981480586808E-2</v>
      </c>
      <c r="M143" s="11">
        <f t="shared" si="10"/>
        <v>0</v>
      </c>
      <c r="N143" s="11">
        <f t="shared" si="11"/>
        <v>0.42744212963589234</v>
      </c>
    </row>
    <row r="144" spans="1:14" x14ac:dyDescent="0.25">
      <c r="A144" s="3" t="s">
        <v>1381</v>
      </c>
      <c r="B144" s="3" t="s">
        <v>506</v>
      </c>
      <c r="C144" s="3" t="s">
        <v>3193</v>
      </c>
      <c r="D144" s="3">
        <v>3</v>
      </c>
      <c r="E144" s="10">
        <v>45667.777314814812</v>
      </c>
      <c r="F144" s="10">
        <v>45667.868784722217</v>
      </c>
      <c r="G144" s="10">
        <v>45667.869652777779</v>
      </c>
      <c r="H144" s="10">
        <v>45667.889178240737</v>
      </c>
      <c r="I144" s="10">
        <v>45667.889178240737</v>
      </c>
      <c r="J144" s="10">
        <v>45667.889872685177</v>
      </c>
      <c r="K144" s="11">
        <f t="shared" si="8"/>
        <v>9.1469907405553386E-2</v>
      </c>
      <c r="L144" s="11">
        <f t="shared" si="9"/>
        <v>8.6805556202307343E-4</v>
      </c>
      <c r="M144" s="11">
        <f t="shared" si="10"/>
        <v>0</v>
      </c>
      <c r="N144" s="11">
        <f t="shared" si="11"/>
        <v>0.11255787036498077</v>
      </c>
    </row>
    <row r="145" spans="1:14" x14ac:dyDescent="0.25">
      <c r="A145" s="3" t="s">
        <v>1298</v>
      </c>
      <c r="B145" s="3" t="s">
        <v>484</v>
      </c>
      <c r="C145" s="3" t="s">
        <v>3201</v>
      </c>
      <c r="D145" s="3">
        <v>5</v>
      </c>
      <c r="E145" s="10">
        <v>45667.308368055557</v>
      </c>
      <c r="F145" s="10">
        <v>45667.870625000003</v>
      </c>
      <c r="G145" s="10">
        <v>45667.872361111113</v>
      </c>
      <c r="H145" s="10">
        <v>45667.892222222217</v>
      </c>
      <c r="I145" s="10">
        <v>45667.892222222217</v>
      </c>
      <c r="J145" s="10">
        <v>45667.89303240741</v>
      </c>
      <c r="K145" s="11">
        <f t="shared" si="8"/>
        <v>0.56225694444583496</v>
      </c>
      <c r="L145" s="11">
        <f t="shared" si="9"/>
        <v>1.7361111094942316E-3</v>
      </c>
      <c r="M145" s="11">
        <f t="shared" si="10"/>
        <v>0</v>
      </c>
      <c r="N145" s="11">
        <f t="shared" si="11"/>
        <v>0.5846643518525525</v>
      </c>
    </row>
    <row r="146" spans="1:14" x14ac:dyDescent="0.25">
      <c r="A146" s="3" t="s">
        <v>1403</v>
      </c>
      <c r="B146" s="3" t="s">
        <v>533</v>
      </c>
      <c r="C146" s="3" t="s">
        <v>3197</v>
      </c>
      <c r="D146" s="3">
        <v>2</v>
      </c>
      <c r="E146" s="10">
        <v>45667.870520833327</v>
      </c>
      <c r="F146" s="10">
        <v>45668.22388888889</v>
      </c>
      <c r="G146" s="10">
        <v>45668.224733796298</v>
      </c>
      <c r="H146" s="10">
        <v>45668.243854166663</v>
      </c>
      <c r="I146" s="10">
        <v>45668.243854166663</v>
      </c>
      <c r="J146" s="10">
        <v>45668.244664351849</v>
      </c>
      <c r="K146" s="11">
        <f t="shared" si="8"/>
        <v>0.35336805556289619</v>
      </c>
      <c r="L146" s="11">
        <f t="shared" si="9"/>
        <v>8.4490740846376866E-4</v>
      </c>
      <c r="M146" s="11">
        <f t="shared" si="10"/>
        <v>0</v>
      </c>
      <c r="N146" s="11">
        <f t="shared" si="11"/>
        <v>0.37414351852203254</v>
      </c>
    </row>
    <row r="147" spans="1:14" x14ac:dyDescent="0.25">
      <c r="A147" s="3" t="s">
        <v>1410</v>
      </c>
      <c r="B147" s="3" t="s">
        <v>506</v>
      </c>
      <c r="C147" s="3" t="s">
        <v>3193</v>
      </c>
      <c r="D147" s="3">
        <v>1</v>
      </c>
      <c r="E147" s="10">
        <v>45668.223923611113</v>
      </c>
      <c r="F147" s="10">
        <v>45668.2262962963</v>
      </c>
      <c r="G147" s="10">
        <v>45668.227164351847</v>
      </c>
      <c r="H147" s="10">
        <v>45668.279745370368</v>
      </c>
      <c r="I147" s="10">
        <v>45668.279745370368</v>
      </c>
      <c r="J147" s="10">
        <v>45668.280868055554</v>
      </c>
      <c r="K147" s="11">
        <f t="shared" si="8"/>
        <v>2.3726851868559606E-3</v>
      </c>
      <c r="L147" s="11">
        <f t="shared" si="9"/>
        <v>8.6805554747115821E-4</v>
      </c>
      <c r="M147" s="11">
        <f t="shared" si="10"/>
        <v>0</v>
      </c>
      <c r="N147" s="11">
        <f t="shared" si="11"/>
        <v>5.694444444088731E-2</v>
      </c>
    </row>
    <row r="148" spans="1:14" x14ac:dyDescent="0.25">
      <c r="A148" s="3" t="s">
        <v>1415</v>
      </c>
      <c r="B148" s="3" t="s">
        <v>533</v>
      </c>
      <c r="C148" s="3" t="s">
        <v>3201</v>
      </c>
      <c r="D148" s="3">
        <v>1</v>
      </c>
      <c r="E148" s="10">
        <v>45668.24523148148</v>
      </c>
      <c r="F148" s="10">
        <v>45668.247407407413</v>
      </c>
      <c r="G148" s="10">
        <v>45668.248819444438</v>
      </c>
      <c r="H148" s="10">
        <v>45668.267951388887</v>
      </c>
      <c r="I148" s="10">
        <v>45668.267951388887</v>
      </c>
      <c r="J148" s="10">
        <v>45668.268738425933</v>
      </c>
      <c r="K148" s="11">
        <f t="shared" si="8"/>
        <v>2.1759259325335734E-3</v>
      </c>
      <c r="L148" s="11">
        <f t="shared" si="9"/>
        <v>1.4120370251475833E-3</v>
      </c>
      <c r="M148" s="11">
        <f t="shared" si="10"/>
        <v>0</v>
      </c>
      <c r="N148" s="11">
        <f t="shared" si="11"/>
        <v>2.3506944453401957E-2</v>
      </c>
    </row>
    <row r="149" spans="1:14" x14ac:dyDescent="0.25">
      <c r="A149" s="3" t="s">
        <v>1418</v>
      </c>
      <c r="B149" s="3" t="s">
        <v>506</v>
      </c>
      <c r="C149" s="3" t="s">
        <v>3202</v>
      </c>
      <c r="D149" s="3">
        <v>1</v>
      </c>
      <c r="E149" s="10">
        <v>45668.247060185182</v>
      </c>
      <c r="F149" s="10">
        <v>45668.249444444453</v>
      </c>
      <c r="G149" s="10">
        <v>45668.254305555558</v>
      </c>
      <c r="H149" s="10">
        <v>45668.290879629632</v>
      </c>
      <c r="I149" s="10">
        <v>45668.290879629632</v>
      </c>
      <c r="J149" s="10">
        <v>45668.291851851849</v>
      </c>
      <c r="K149" s="11">
        <f t="shared" si="8"/>
        <v>2.3842592709115706E-3</v>
      </c>
      <c r="L149" s="11">
        <f t="shared" si="9"/>
        <v>4.8611111051286571E-3</v>
      </c>
      <c r="M149" s="11">
        <f t="shared" si="10"/>
        <v>0</v>
      </c>
      <c r="N149" s="11">
        <f t="shared" si="11"/>
        <v>4.4791666667151731E-2</v>
      </c>
    </row>
    <row r="150" spans="1:14" x14ac:dyDescent="0.25">
      <c r="A150" s="3" t="s">
        <v>1365</v>
      </c>
      <c r="B150" s="3" t="s">
        <v>519</v>
      </c>
      <c r="C150" s="3" t="s">
        <v>3204</v>
      </c>
      <c r="D150" s="3">
        <v>5</v>
      </c>
      <c r="E150" s="10">
        <v>45667.766469907408</v>
      </c>
      <c r="F150" s="10">
        <v>45669.756030092591</v>
      </c>
      <c r="G150" s="10">
        <v>45669.756898148153</v>
      </c>
      <c r="H150" s="10">
        <v>45669.803460648152</v>
      </c>
      <c r="I150" s="10">
        <v>45669.803460648152</v>
      </c>
      <c r="J150" s="10">
        <v>45669.804583333331</v>
      </c>
      <c r="K150" s="11">
        <f t="shared" si="8"/>
        <v>1.9895601851821993</v>
      </c>
      <c r="L150" s="11">
        <f t="shared" si="9"/>
        <v>8.6805556202307343E-4</v>
      </c>
      <c r="M150" s="11">
        <f t="shared" si="10"/>
        <v>0</v>
      </c>
      <c r="N150" s="11">
        <f t="shared" si="11"/>
        <v>2.0381134259223472</v>
      </c>
    </row>
    <row r="151" spans="1:14" x14ac:dyDescent="0.25">
      <c r="A151" s="3" t="s">
        <v>1425</v>
      </c>
      <c r="B151" s="3" t="s">
        <v>506</v>
      </c>
      <c r="C151" s="3" t="s">
        <v>3193</v>
      </c>
      <c r="D151" s="3">
        <v>1</v>
      </c>
      <c r="E151" s="10">
        <v>45669.754131944443</v>
      </c>
      <c r="F151" s="10">
        <v>45669.756493055553</v>
      </c>
      <c r="G151" s="10">
        <v>45669.7577662037</v>
      </c>
      <c r="H151" s="10">
        <v>45669.818414351852</v>
      </c>
      <c r="I151" s="10">
        <v>45669.818414351852</v>
      </c>
      <c r="J151" s="10">
        <v>45669.819652777784</v>
      </c>
      <c r="K151" s="11">
        <f t="shared" si="8"/>
        <v>2.3611111100763083E-3</v>
      </c>
      <c r="L151" s="11">
        <f t="shared" si="9"/>
        <v>1.2731481474475004E-3</v>
      </c>
      <c r="M151" s="11">
        <f t="shared" si="10"/>
        <v>0</v>
      </c>
      <c r="N151" s="11">
        <f t="shared" si="11"/>
        <v>6.5520833340997342E-2</v>
      </c>
    </row>
    <row r="152" spans="1:14" x14ac:dyDescent="0.25">
      <c r="A152" s="3" t="s">
        <v>1431</v>
      </c>
      <c r="B152" s="3" t="s">
        <v>519</v>
      </c>
      <c r="C152" s="3" t="s">
        <v>3193</v>
      </c>
      <c r="D152" s="3">
        <v>1</v>
      </c>
      <c r="E152" s="10">
        <v>45669.844953703701</v>
      </c>
      <c r="F152" s="10">
        <v>45669.847129629627</v>
      </c>
      <c r="G152" s="10">
        <v>45669.847997685189</v>
      </c>
      <c r="H152" s="10">
        <v>45669.866550925923</v>
      </c>
      <c r="I152" s="10">
        <v>45669.866550925923</v>
      </c>
      <c r="J152" s="10">
        <v>45669.8672337963</v>
      </c>
      <c r="K152" s="11">
        <f t="shared" si="8"/>
        <v>2.1759259252576157E-3</v>
      </c>
      <c r="L152" s="11">
        <f t="shared" si="9"/>
        <v>8.6805556202307343E-4</v>
      </c>
      <c r="M152" s="11">
        <f t="shared" si="10"/>
        <v>0</v>
      </c>
      <c r="N152" s="11">
        <f t="shared" si="11"/>
        <v>2.2280092598521151E-2</v>
      </c>
    </row>
    <row r="153" spans="1:14" x14ac:dyDescent="0.25">
      <c r="A153" s="3" t="s">
        <v>1434</v>
      </c>
      <c r="B153" s="3" t="s">
        <v>506</v>
      </c>
      <c r="C153" s="3" t="s">
        <v>3204</v>
      </c>
      <c r="D153" s="3">
        <v>1</v>
      </c>
      <c r="E153" s="10">
        <v>45669.847175925926</v>
      </c>
      <c r="F153" s="10">
        <v>45669.849537037036</v>
      </c>
      <c r="G153" s="10">
        <v>45669.850324074083</v>
      </c>
      <c r="H153" s="10">
        <v>45669.867893518523</v>
      </c>
      <c r="I153" s="10">
        <v>45669.867893518523</v>
      </c>
      <c r="J153" s="10">
        <v>45669.868634259263</v>
      </c>
      <c r="K153" s="11">
        <f t="shared" si="8"/>
        <v>2.3611111100763083E-3</v>
      </c>
      <c r="L153" s="11">
        <f t="shared" si="9"/>
        <v>7.8703704639337957E-4</v>
      </c>
      <c r="M153" s="11">
        <f t="shared" si="10"/>
        <v>0</v>
      </c>
      <c r="N153" s="11">
        <f t="shared" si="11"/>
        <v>2.1458333336340729E-2</v>
      </c>
    </row>
    <row r="154" spans="1:14" x14ac:dyDescent="0.25">
      <c r="A154" s="3" t="s">
        <v>1393</v>
      </c>
      <c r="B154" s="3" t="s">
        <v>488</v>
      </c>
      <c r="C154" s="3" t="s">
        <v>3195</v>
      </c>
      <c r="D154" s="3">
        <v>2</v>
      </c>
      <c r="E154" s="10">
        <v>45667.863587962973</v>
      </c>
      <c r="F154" s="10">
        <v>45670.117569444446</v>
      </c>
      <c r="G154" s="10">
        <v>45670.118437500001</v>
      </c>
      <c r="H154" s="10">
        <v>45670.150868055563</v>
      </c>
      <c r="I154" s="10">
        <v>45670.150868055563</v>
      </c>
      <c r="J154" s="10">
        <v>45670.151898148149</v>
      </c>
      <c r="K154" s="11">
        <f t="shared" si="8"/>
        <v>2.2539814814736019</v>
      </c>
      <c r="L154" s="11">
        <f t="shared" si="9"/>
        <v>8.6805555474711582E-4</v>
      </c>
      <c r="M154" s="11">
        <f t="shared" si="10"/>
        <v>0</v>
      </c>
      <c r="N154" s="11">
        <f t="shared" si="11"/>
        <v>2.2883101851766696</v>
      </c>
    </row>
    <row r="155" spans="1:14" x14ac:dyDescent="0.25">
      <c r="A155" s="3" t="s">
        <v>1442</v>
      </c>
      <c r="B155" s="3" t="s">
        <v>519</v>
      </c>
      <c r="C155" s="3" t="s">
        <v>3204</v>
      </c>
      <c r="D155" s="3">
        <v>1</v>
      </c>
      <c r="E155" s="10">
        <v>45670.197557870371</v>
      </c>
      <c r="F155" s="10">
        <v>45670.199953703697</v>
      </c>
      <c r="G155" s="10">
        <v>45670.200798611113</v>
      </c>
      <c r="H155" s="10">
        <v>45670.25309027778</v>
      </c>
      <c r="I155" s="10">
        <v>45670.25309027778</v>
      </c>
      <c r="J155" s="10">
        <v>45670.254293981481</v>
      </c>
      <c r="K155" s="11">
        <f t="shared" si="8"/>
        <v>2.3958333258633502E-3</v>
      </c>
      <c r="L155" s="11">
        <f t="shared" si="9"/>
        <v>8.4490741573972628E-4</v>
      </c>
      <c r="M155" s="11">
        <f t="shared" si="10"/>
        <v>0</v>
      </c>
      <c r="N155" s="11">
        <f t="shared" si="11"/>
        <v>5.673611110978527E-2</v>
      </c>
    </row>
    <row r="156" spans="1:14" x14ac:dyDescent="0.25">
      <c r="A156" s="3" t="s">
        <v>1445</v>
      </c>
      <c r="B156" s="3" t="s">
        <v>500</v>
      </c>
      <c r="C156" s="3" t="s">
        <v>3204</v>
      </c>
      <c r="D156" s="3">
        <v>1</v>
      </c>
      <c r="E156" s="10">
        <v>45670.264363425929</v>
      </c>
      <c r="F156" s="10">
        <v>45670.266527777778</v>
      </c>
      <c r="G156" s="10">
        <v>45670.267395833333</v>
      </c>
      <c r="H156" s="10">
        <v>45670.319131944438</v>
      </c>
      <c r="I156" s="10">
        <v>45670.319131944438</v>
      </c>
      <c r="J156" s="10">
        <v>45670.3203125</v>
      </c>
      <c r="K156" s="11">
        <f t="shared" si="8"/>
        <v>2.1643518484779634E-3</v>
      </c>
      <c r="L156" s="11">
        <f t="shared" si="9"/>
        <v>8.6805555474711582E-4</v>
      </c>
      <c r="M156" s="11">
        <f t="shared" si="10"/>
        <v>0</v>
      </c>
      <c r="N156" s="11">
        <f t="shared" si="11"/>
        <v>5.5949074070667848E-2</v>
      </c>
    </row>
    <row r="157" spans="1:14" x14ac:dyDescent="0.25">
      <c r="A157" s="3" t="s">
        <v>1448</v>
      </c>
      <c r="B157" s="3" t="s">
        <v>500</v>
      </c>
      <c r="C157" s="3" t="s">
        <v>3195</v>
      </c>
      <c r="D157" s="3">
        <v>1</v>
      </c>
      <c r="E157" s="10">
        <v>45670.302719907413</v>
      </c>
      <c r="F157" s="10">
        <v>45670.304884259262</v>
      </c>
      <c r="G157" s="10">
        <v>45670.305717592593</v>
      </c>
      <c r="H157" s="10">
        <v>45670.341400462959</v>
      </c>
      <c r="I157" s="10">
        <v>45670.341400462959</v>
      </c>
      <c r="J157" s="10">
        <v>45670.342465277783</v>
      </c>
      <c r="K157" s="11">
        <f t="shared" si="8"/>
        <v>2.1643518484779634E-3</v>
      </c>
      <c r="L157" s="11">
        <f t="shared" si="9"/>
        <v>8.3333333168411627E-4</v>
      </c>
      <c r="M157" s="11">
        <f t="shared" si="10"/>
        <v>0</v>
      </c>
      <c r="N157" s="11">
        <f t="shared" si="11"/>
        <v>3.9745370369928423E-2</v>
      </c>
    </row>
    <row r="158" spans="1:14" x14ac:dyDescent="0.25">
      <c r="A158" s="3" t="s">
        <v>1451</v>
      </c>
      <c r="B158" s="3" t="s">
        <v>500</v>
      </c>
      <c r="C158" s="3" t="s">
        <v>3197</v>
      </c>
      <c r="D158" s="3">
        <v>1</v>
      </c>
      <c r="E158" s="10">
        <v>45670.313831018517</v>
      </c>
      <c r="F158" s="10">
        <v>45670.315983796303</v>
      </c>
      <c r="G158" s="10">
        <v>45670.317627314813</v>
      </c>
      <c r="H158" s="10">
        <v>45670.386608796303</v>
      </c>
      <c r="I158" s="10">
        <v>45670.386608796303</v>
      </c>
      <c r="J158" s="10">
        <v>45670.388067129628</v>
      </c>
      <c r="K158" s="11">
        <f t="shared" si="8"/>
        <v>2.1527777862502262E-3</v>
      </c>
      <c r="L158" s="11">
        <f t="shared" si="9"/>
        <v>1.6435185098089278E-3</v>
      </c>
      <c r="M158" s="11">
        <f t="shared" si="10"/>
        <v>0</v>
      </c>
      <c r="N158" s="11">
        <f t="shared" si="11"/>
        <v>7.42361111115315E-2</v>
      </c>
    </row>
    <row r="159" spans="1:14" x14ac:dyDescent="0.25">
      <c r="A159" s="3" t="s">
        <v>1400</v>
      </c>
      <c r="B159" s="3" t="s">
        <v>527</v>
      </c>
      <c r="C159" s="3" t="s">
        <v>3200</v>
      </c>
      <c r="D159" s="3">
        <v>3</v>
      </c>
      <c r="E159" s="10">
        <v>45667.868449074071</v>
      </c>
      <c r="F159" s="10">
        <v>45670.349606481483</v>
      </c>
      <c r="G159" s="10">
        <v>45670.353333333333</v>
      </c>
      <c r="H159" s="10">
        <v>45670.381458333337</v>
      </c>
      <c r="I159" s="10">
        <v>45670.381458333337</v>
      </c>
      <c r="J159" s="10">
        <v>45670.382349537038</v>
      </c>
      <c r="K159" s="11">
        <f t="shared" si="8"/>
        <v>2.4811574074119562</v>
      </c>
      <c r="L159" s="11">
        <f t="shared" si="9"/>
        <v>3.7268518499331549E-3</v>
      </c>
      <c r="M159" s="11">
        <f t="shared" si="10"/>
        <v>0</v>
      </c>
      <c r="N159" s="11">
        <f t="shared" si="11"/>
        <v>2.5139004629672854</v>
      </c>
    </row>
    <row r="160" spans="1:14" x14ac:dyDescent="0.25">
      <c r="A160" s="3" t="s">
        <v>1486</v>
      </c>
      <c r="B160" s="3" t="s">
        <v>500</v>
      </c>
      <c r="C160" s="3" t="s">
        <v>3204</v>
      </c>
      <c r="D160" s="3">
        <v>1</v>
      </c>
      <c r="E160" s="10">
        <v>45670.387881944444</v>
      </c>
      <c r="F160" s="10">
        <v>45670.390243055554</v>
      </c>
      <c r="G160" s="10">
        <v>45670.391111111108</v>
      </c>
      <c r="H160" s="10">
        <v>45670.43954861111</v>
      </c>
      <c r="I160" s="10">
        <v>45670.43954861111</v>
      </c>
      <c r="J160" s="10">
        <v>45670.440694444442</v>
      </c>
      <c r="K160" s="11">
        <f t="shared" si="8"/>
        <v>2.3611111100763083E-3</v>
      </c>
      <c r="L160" s="11">
        <f t="shared" si="9"/>
        <v>8.6805555474711582E-4</v>
      </c>
      <c r="M160" s="11">
        <f t="shared" si="10"/>
        <v>0</v>
      </c>
      <c r="N160" s="11">
        <f t="shared" si="11"/>
        <v>5.281249999825377E-2</v>
      </c>
    </row>
    <row r="161" spans="1:14" x14ac:dyDescent="0.25">
      <c r="A161" s="3" t="s">
        <v>1139</v>
      </c>
      <c r="B161" s="3" t="s">
        <v>492</v>
      </c>
      <c r="C161" s="3" t="s">
        <v>3205</v>
      </c>
      <c r="D161" s="3">
        <v>4</v>
      </c>
      <c r="E161" s="10">
        <v>45666.281157407408</v>
      </c>
      <c r="F161" s="10">
        <v>45670.393287037034</v>
      </c>
      <c r="G161" s="10">
        <v>45670.394155092603</v>
      </c>
      <c r="H161" s="10">
        <v>45670.425902777781</v>
      </c>
      <c r="I161" s="10">
        <v>45670.425902777781</v>
      </c>
      <c r="J161" s="10">
        <v>45670.426874999997</v>
      </c>
      <c r="K161" s="11">
        <f t="shared" si="8"/>
        <v>4.112129629625997</v>
      </c>
      <c r="L161" s="11">
        <f t="shared" si="9"/>
        <v>8.6805556929903105E-4</v>
      </c>
      <c r="M161" s="11">
        <f t="shared" si="10"/>
        <v>0</v>
      </c>
      <c r="N161" s="11">
        <f t="shared" si="11"/>
        <v>4.14571759258979</v>
      </c>
    </row>
    <row r="162" spans="1:14" x14ac:dyDescent="0.25">
      <c r="A162" s="3" t="s">
        <v>1290</v>
      </c>
      <c r="B162" s="3" t="s">
        <v>523</v>
      </c>
      <c r="C162" s="3" t="s">
        <v>3203</v>
      </c>
      <c r="D162" s="3">
        <v>5</v>
      </c>
      <c r="E162" s="10">
        <v>45667.302766203713</v>
      </c>
      <c r="F162" s="10">
        <v>45670.401736111111</v>
      </c>
      <c r="G162" s="10">
        <v>45670.420092592591</v>
      </c>
      <c r="H162" s="10">
        <v>45670.437557870369</v>
      </c>
      <c r="I162" s="10">
        <v>45670.437557870369</v>
      </c>
      <c r="J162" s="10">
        <v>45670.438252314823</v>
      </c>
      <c r="K162" s="11">
        <f t="shared" si="8"/>
        <v>3.0989699073979864</v>
      </c>
      <c r="L162" s="11">
        <f t="shared" si="9"/>
        <v>1.8356481479713693E-2</v>
      </c>
      <c r="M162" s="11">
        <f t="shared" si="10"/>
        <v>0</v>
      </c>
      <c r="N162" s="11">
        <f t="shared" si="11"/>
        <v>3.1354861111103673</v>
      </c>
    </row>
    <row r="163" spans="1:14" x14ac:dyDescent="0.25">
      <c r="A163" s="3" t="s">
        <v>1439</v>
      </c>
      <c r="B163" s="3" t="s">
        <v>484</v>
      </c>
      <c r="C163" s="3" t="s">
        <v>3193</v>
      </c>
      <c r="D163" s="3">
        <v>4</v>
      </c>
      <c r="E163" s="10">
        <v>45670.114942129629</v>
      </c>
      <c r="F163" s="10">
        <v>45670.405671296299</v>
      </c>
      <c r="G163" s="10">
        <v>45670.42763888889</v>
      </c>
      <c r="H163" s="10">
        <v>45670.449386574073</v>
      </c>
      <c r="I163" s="10">
        <v>45670.449386574073</v>
      </c>
      <c r="J163" s="10">
        <v>45670.450104166674</v>
      </c>
      <c r="K163" s="11">
        <f t="shared" si="8"/>
        <v>0.29072916667064419</v>
      </c>
      <c r="L163" s="11">
        <f t="shared" si="9"/>
        <v>2.1967592590954155E-2</v>
      </c>
      <c r="M163" s="11">
        <f t="shared" si="10"/>
        <v>0</v>
      </c>
      <c r="N163" s="11">
        <f t="shared" si="11"/>
        <v>0.33516203704493819</v>
      </c>
    </row>
    <row r="164" spans="1:14" x14ac:dyDescent="0.25">
      <c r="A164" s="3" t="s">
        <v>1466</v>
      </c>
      <c r="B164" s="3" t="s">
        <v>515</v>
      </c>
      <c r="C164" s="3" t="s">
        <v>3195</v>
      </c>
      <c r="D164" s="3">
        <v>4</v>
      </c>
      <c r="E164" s="10">
        <v>45670.338703703703</v>
      </c>
      <c r="F164" s="10">
        <v>45670.413414351853</v>
      </c>
      <c r="G164" s="10">
        <v>45670.442175925928</v>
      </c>
      <c r="H164" s="10">
        <v>45670.46769675926</v>
      </c>
      <c r="I164" s="10">
        <v>45670.46769675926</v>
      </c>
      <c r="J164" s="10">
        <v>45670.468634259261</v>
      </c>
      <c r="K164" s="11">
        <f t="shared" si="8"/>
        <v>7.4710648150357883E-2</v>
      </c>
      <c r="L164" s="11">
        <f t="shared" si="9"/>
        <v>2.8761574074451346E-2</v>
      </c>
      <c r="M164" s="11">
        <f t="shared" si="10"/>
        <v>0</v>
      </c>
      <c r="N164" s="11">
        <f t="shared" si="11"/>
        <v>0.12993055555853061</v>
      </c>
    </row>
    <row r="165" spans="1:14" x14ac:dyDescent="0.25">
      <c r="A165" s="3" t="s">
        <v>1456</v>
      </c>
      <c r="B165" s="3" t="s">
        <v>506</v>
      </c>
      <c r="C165" s="3" t="s">
        <v>3202</v>
      </c>
      <c r="D165" s="3">
        <v>3</v>
      </c>
      <c r="E165" s="10">
        <v>45670.332037037027</v>
      </c>
      <c r="F165" s="10">
        <v>45670.413645833331</v>
      </c>
      <c r="G165" s="10">
        <v>45670.444097222222</v>
      </c>
      <c r="H165" s="10">
        <v>45670.48196759259</v>
      </c>
      <c r="I165" s="10">
        <v>45670.48196759259</v>
      </c>
      <c r="J165" s="10">
        <v>45670.48296296296</v>
      </c>
      <c r="K165" s="11">
        <f t="shared" si="8"/>
        <v>8.1608796303044073E-2</v>
      </c>
      <c r="L165" s="11">
        <f t="shared" si="9"/>
        <v>3.0451388891378883E-2</v>
      </c>
      <c r="M165" s="11">
        <f t="shared" si="10"/>
        <v>0</v>
      </c>
      <c r="N165" s="11">
        <f t="shared" si="11"/>
        <v>0.15092592593282461</v>
      </c>
    </row>
    <row r="166" spans="1:14" x14ac:dyDescent="0.25">
      <c r="A166" s="3" t="s">
        <v>1513</v>
      </c>
      <c r="B166" s="3" t="s">
        <v>500</v>
      </c>
      <c r="C166" s="3" t="s">
        <v>3197</v>
      </c>
      <c r="D166" s="3">
        <v>1</v>
      </c>
      <c r="E166" s="10">
        <v>45670.433368055557</v>
      </c>
      <c r="F166" s="10">
        <v>45670.440520833326</v>
      </c>
      <c r="G166" s="10">
        <v>45670.451122685183</v>
      </c>
      <c r="H166" s="10">
        <v>45670.497569444437</v>
      </c>
      <c r="I166" s="10">
        <v>45670.497569444437</v>
      </c>
      <c r="J166" s="10">
        <v>45670.498738425929</v>
      </c>
      <c r="K166" s="11">
        <f t="shared" si="8"/>
        <v>7.1527777690789662E-3</v>
      </c>
      <c r="L166" s="11">
        <f t="shared" si="9"/>
        <v>1.0601851856335998E-2</v>
      </c>
      <c r="M166" s="11">
        <f t="shared" si="10"/>
        <v>0</v>
      </c>
      <c r="N166" s="11">
        <f t="shared" si="11"/>
        <v>6.5370370371965691E-2</v>
      </c>
    </row>
    <row r="167" spans="1:14" x14ac:dyDescent="0.25">
      <c r="A167" s="3" t="s">
        <v>1502</v>
      </c>
      <c r="B167" s="3" t="s">
        <v>500</v>
      </c>
      <c r="C167" s="3" t="s">
        <v>3205</v>
      </c>
      <c r="D167" s="3">
        <v>3</v>
      </c>
      <c r="E167" s="10">
        <v>45670.403611111113</v>
      </c>
      <c r="F167" s="10">
        <v>45670.524826388893</v>
      </c>
      <c r="G167" s="10">
        <v>45670.525671296287</v>
      </c>
      <c r="H167" s="10">
        <v>45670.583726851852</v>
      </c>
      <c r="I167" s="10">
        <v>45670.583726851852</v>
      </c>
      <c r="J167" s="10">
        <v>45670.585046296299</v>
      </c>
      <c r="K167" s="11">
        <f t="shared" si="8"/>
        <v>0.1212152777807205</v>
      </c>
      <c r="L167" s="11">
        <f t="shared" si="9"/>
        <v>8.4490739391185343E-4</v>
      </c>
      <c r="M167" s="11">
        <f t="shared" si="10"/>
        <v>0</v>
      </c>
      <c r="N167" s="11">
        <f t="shared" si="11"/>
        <v>0.18143518518627388</v>
      </c>
    </row>
    <row r="168" spans="1:14" x14ac:dyDescent="0.25">
      <c r="A168" s="3" t="s">
        <v>1499</v>
      </c>
      <c r="B168" s="3" t="s">
        <v>500</v>
      </c>
      <c r="C168" s="3" t="s">
        <v>3203</v>
      </c>
      <c r="D168" s="3">
        <v>2</v>
      </c>
      <c r="E168" s="10">
        <v>45670.402361111112</v>
      </c>
      <c r="F168" s="10">
        <v>45670.615787037037</v>
      </c>
      <c r="G168" s="10">
        <v>45670.616655092592</v>
      </c>
      <c r="H168" s="10">
        <v>45670.684074074074</v>
      </c>
      <c r="I168" s="10">
        <v>45670.684074074074</v>
      </c>
      <c r="J168" s="10">
        <v>45670.685439814813</v>
      </c>
      <c r="K168" s="11">
        <f t="shared" si="8"/>
        <v>0.21342592592554865</v>
      </c>
      <c r="L168" s="11">
        <f t="shared" si="9"/>
        <v>8.6805555474711582E-4</v>
      </c>
      <c r="M168" s="11">
        <f t="shared" si="10"/>
        <v>0</v>
      </c>
      <c r="N168" s="11">
        <f t="shared" si="11"/>
        <v>0.28307870370190358</v>
      </c>
    </row>
    <row r="169" spans="1:14" x14ac:dyDescent="0.25">
      <c r="A169" s="3" t="s">
        <v>1528</v>
      </c>
      <c r="B169" s="3" t="s">
        <v>527</v>
      </c>
      <c r="C169" s="3" t="s">
        <v>3204</v>
      </c>
      <c r="D169" s="3">
        <v>2</v>
      </c>
      <c r="E169" s="10">
        <v>45670.637928240743</v>
      </c>
      <c r="F169" s="10">
        <v>45670.645543981482</v>
      </c>
      <c r="G169" s="10">
        <v>45670.647245370368</v>
      </c>
      <c r="H169" s="10">
        <v>45670.664756944447</v>
      </c>
      <c r="I169" s="10">
        <v>45670.664756944447</v>
      </c>
      <c r="J169" s="10">
        <v>45670.665497685193</v>
      </c>
      <c r="K169" s="11">
        <f t="shared" si="8"/>
        <v>7.6157407384016551E-3</v>
      </c>
      <c r="L169" s="11">
        <f t="shared" si="9"/>
        <v>1.7013888864312321E-3</v>
      </c>
      <c r="M169" s="11">
        <f t="shared" si="10"/>
        <v>0</v>
      </c>
      <c r="N169" s="11">
        <f t="shared" si="11"/>
        <v>2.7569444449909497E-2</v>
      </c>
    </row>
    <row r="170" spans="1:14" x14ac:dyDescent="0.25">
      <c r="A170" s="3" t="s">
        <v>1390</v>
      </c>
      <c r="B170" s="3" t="s">
        <v>539</v>
      </c>
      <c r="C170" s="3" t="s">
        <v>3198</v>
      </c>
      <c r="D170" s="3">
        <v>3</v>
      </c>
      <c r="E170" s="10">
        <v>45667.861851851849</v>
      </c>
      <c r="F170" s="10">
        <v>45670.660173611112</v>
      </c>
      <c r="G170" s="10">
        <v>45670.662037037036</v>
      </c>
      <c r="H170" s="10">
        <v>45670.682766203703</v>
      </c>
      <c r="I170" s="10">
        <v>45670.682766203703</v>
      </c>
      <c r="J170" s="10">
        <v>45670.683587962973</v>
      </c>
      <c r="K170" s="11">
        <f t="shared" si="8"/>
        <v>2.7983217592627625</v>
      </c>
      <c r="L170" s="11">
        <f t="shared" si="9"/>
        <v>1.8634259249665774E-3</v>
      </c>
      <c r="M170" s="11">
        <f t="shared" si="10"/>
        <v>0</v>
      </c>
      <c r="N170" s="11">
        <f t="shared" si="11"/>
        <v>2.8217361111237551</v>
      </c>
    </row>
    <row r="171" spans="1:14" x14ac:dyDescent="0.25">
      <c r="A171" s="3" t="s">
        <v>1551</v>
      </c>
      <c r="B171" s="3" t="s">
        <v>500</v>
      </c>
      <c r="C171" s="3" t="s">
        <v>3202</v>
      </c>
      <c r="D171" s="3">
        <v>1</v>
      </c>
      <c r="E171" s="10">
        <v>45670.657638888893</v>
      </c>
      <c r="F171" s="10">
        <v>45670.66033564815</v>
      </c>
      <c r="G171" s="10">
        <v>45670.666458333333</v>
      </c>
      <c r="H171" s="10">
        <v>45670.734768518523</v>
      </c>
      <c r="I171" s="10">
        <v>45670.734768518523</v>
      </c>
      <c r="J171" s="10">
        <v>45670.736168981479</v>
      </c>
      <c r="K171" s="11">
        <f t="shared" si="8"/>
        <v>2.6967592566506937E-3</v>
      </c>
      <c r="L171" s="11">
        <f t="shared" si="9"/>
        <v>6.1226851830724627E-3</v>
      </c>
      <c r="M171" s="11">
        <f t="shared" si="10"/>
        <v>0</v>
      </c>
      <c r="N171" s="11">
        <f t="shared" si="11"/>
        <v>7.8530092585424427E-2</v>
      </c>
    </row>
    <row r="172" spans="1:14" x14ac:dyDescent="0.25">
      <c r="A172" s="3" t="s">
        <v>1556</v>
      </c>
      <c r="B172" s="3" t="s">
        <v>500</v>
      </c>
      <c r="C172" s="3" t="s">
        <v>3204</v>
      </c>
      <c r="D172" s="3">
        <v>1</v>
      </c>
      <c r="E172" s="10">
        <v>45670.682245370372</v>
      </c>
      <c r="F172" s="10">
        <v>45670.686030092591</v>
      </c>
      <c r="G172" s="10">
        <v>45670.686898148153</v>
      </c>
      <c r="H172" s="10">
        <v>45670.726782407408</v>
      </c>
      <c r="I172" s="10">
        <v>45670.726782407408</v>
      </c>
      <c r="J172" s="10">
        <v>45670.727812500001</v>
      </c>
      <c r="K172" s="11">
        <f t="shared" si="8"/>
        <v>3.7847222192795016E-3</v>
      </c>
      <c r="L172" s="11">
        <f t="shared" si="9"/>
        <v>8.6805556202307343E-4</v>
      </c>
      <c r="M172" s="11">
        <f t="shared" si="10"/>
        <v>0</v>
      </c>
      <c r="N172" s="11">
        <f t="shared" si="11"/>
        <v>4.55671296294895E-2</v>
      </c>
    </row>
    <row r="173" spans="1:14" x14ac:dyDescent="0.25">
      <c r="A173" s="3" t="s">
        <v>1516</v>
      </c>
      <c r="B173" s="3" t="s">
        <v>572</v>
      </c>
      <c r="C173" s="3" t="s">
        <v>3200</v>
      </c>
      <c r="D173" s="3">
        <v>2</v>
      </c>
      <c r="E173" s="10">
        <v>45670.435150462959</v>
      </c>
      <c r="F173" s="10">
        <v>45670.6875</v>
      </c>
      <c r="G173" s="10">
        <v>45670.689201388886</v>
      </c>
      <c r="H173" s="10">
        <v>45670.723715277767</v>
      </c>
      <c r="I173" s="10">
        <v>45670.723715277767</v>
      </c>
      <c r="J173" s="10">
        <v>45670.724687499998</v>
      </c>
      <c r="K173" s="11">
        <f t="shared" si="8"/>
        <v>0.25234953704057261</v>
      </c>
      <c r="L173" s="11">
        <f t="shared" si="9"/>
        <v>1.7013888864312321E-3</v>
      </c>
      <c r="M173" s="11">
        <f t="shared" si="10"/>
        <v>0</v>
      </c>
      <c r="N173" s="11">
        <f t="shared" si="11"/>
        <v>0.28953703703882638</v>
      </c>
    </row>
    <row r="174" spans="1:14" x14ac:dyDescent="0.25">
      <c r="A174" s="3" t="s">
        <v>1559</v>
      </c>
      <c r="B174" s="3" t="s">
        <v>500</v>
      </c>
      <c r="C174" s="3" t="s">
        <v>3203</v>
      </c>
      <c r="D174" s="3">
        <v>1</v>
      </c>
      <c r="E174" s="10">
        <v>45670.735486111109</v>
      </c>
      <c r="F174" s="10">
        <v>45670.737881944442</v>
      </c>
      <c r="G174" s="10">
        <v>45670.738749999997</v>
      </c>
      <c r="H174" s="10">
        <v>45670.77103009259</v>
      </c>
      <c r="I174" s="10">
        <v>45670.77103009259</v>
      </c>
      <c r="J174" s="10">
        <v>45670.771932870368</v>
      </c>
      <c r="K174" s="11">
        <f t="shared" si="8"/>
        <v>2.3958333331393078E-3</v>
      </c>
      <c r="L174" s="11">
        <f t="shared" si="9"/>
        <v>8.6805555474711582E-4</v>
      </c>
      <c r="M174" s="11">
        <f t="shared" si="10"/>
        <v>0</v>
      </c>
      <c r="N174" s="11">
        <f t="shared" si="11"/>
        <v>3.6446759258979E-2</v>
      </c>
    </row>
    <row r="175" spans="1:14" x14ac:dyDescent="0.25">
      <c r="A175" s="3" t="s">
        <v>1562</v>
      </c>
      <c r="B175" s="3" t="s">
        <v>500</v>
      </c>
      <c r="C175" s="3" t="s">
        <v>3203</v>
      </c>
      <c r="D175" s="3">
        <v>1</v>
      </c>
      <c r="E175" s="10">
        <v>45670.889201388891</v>
      </c>
      <c r="F175" s="10">
        <v>45670.891597222217</v>
      </c>
      <c r="G175" s="10">
        <v>45670.892465277779</v>
      </c>
      <c r="H175" s="10">
        <v>45670.960011574083</v>
      </c>
      <c r="I175" s="10">
        <v>45670.960011574083</v>
      </c>
      <c r="J175" s="10">
        <v>45670.961377314823</v>
      </c>
      <c r="K175" s="11">
        <f t="shared" si="8"/>
        <v>2.3958333258633502E-3</v>
      </c>
      <c r="L175" s="11">
        <f t="shared" si="9"/>
        <v>8.6805556202307343E-4</v>
      </c>
      <c r="M175" s="11">
        <f t="shared" si="10"/>
        <v>0</v>
      </c>
      <c r="N175" s="11">
        <f t="shared" si="11"/>
        <v>7.2175925932242535E-2</v>
      </c>
    </row>
    <row r="176" spans="1:14" x14ac:dyDescent="0.25">
      <c r="A176" s="3" t="s">
        <v>1539</v>
      </c>
      <c r="B176" s="3" t="s">
        <v>488</v>
      </c>
      <c r="C176" s="3" t="s">
        <v>3195</v>
      </c>
      <c r="D176" s="3">
        <v>2</v>
      </c>
      <c r="E176" s="10">
        <v>45670.647048611107</v>
      </c>
      <c r="F176" s="10">
        <v>45671.117708333331</v>
      </c>
      <c r="G176" s="10">
        <v>45671.11855324074</v>
      </c>
      <c r="H176" s="10">
        <v>45671.140231481477</v>
      </c>
      <c r="I176" s="10">
        <v>45671.140231481477</v>
      </c>
      <c r="J176" s="10">
        <v>45671.141122685192</v>
      </c>
      <c r="K176" s="11">
        <f t="shared" si="8"/>
        <v>0.47065972222480923</v>
      </c>
      <c r="L176" s="11">
        <f t="shared" si="9"/>
        <v>8.4490740846376866E-4</v>
      </c>
      <c r="M176" s="11">
        <f t="shared" si="10"/>
        <v>0</v>
      </c>
      <c r="N176" s="11">
        <f t="shared" si="11"/>
        <v>0.49407407408580184</v>
      </c>
    </row>
    <row r="177" spans="1:14" x14ac:dyDescent="0.25">
      <c r="A177" s="3" t="s">
        <v>1574</v>
      </c>
      <c r="B177" s="3" t="s">
        <v>500</v>
      </c>
      <c r="C177" s="3" t="s">
        <v>3203</v>
      </c>
      <c r="D177" s="3">
        <v>1</v>
      </c>
      <c r="E177" s="10">
        <v>45671.280729166669</v>
      </c>
      <c r="F177" s="10">
        <v>45671.283101851863</v>
      </c>
      <c r="G177" s="10">
        <v>45671.28396990741</v>
      </c>
      <c r="H177" s="10">
        <v>45671.335532407407</v>
      </c>
      <c r="I177" s="10">
        <v>45671.335532407407</v>
      </c>
      <c r="J177" s="10">
        <v>45671.336689814823</v>
      </c>
      <c r="K177" s="11">
        <f t="shared" si="8"/>
        <v>2.3726851941319183E-3</v>
      </c>
      <c r="L177" s="11">
        <f t="shared" si="9"/>
        <v>8.6805554747115821E-4</v>
      </c>
      <c r="M177" s="11">
        <f t="shared" si="10"/>
        <v>0</v>
      </c>
      <c r="N177" s="11">
        <f t="shared" si="11"/>
        <v>5.5960648154723458E-2</v>
      </c>
    </row>
    <row r="178" spans="1:14" x14ac:dyDescent="0.25">
      <c r="A178" s="3" t="s">
        <v>1471</v>
      </c>
      <c r="B178" s="3" t="s">
        <v>519</v>
      </c>
      <c r="C178" s="3" t="s">
        <v>3196</v>
      </c>
      <c r="D178" s="3">
        <v>4</v>
      </c>
      <c r="E178" s="10">
        <v>45670.342361111107</v>
      </c>
      <c r="F178" s="10">
        <v>45671.296840277777</v>
      </c>
      <c r="G178" s="10">
        <v>45671.298530092587</v>
      </c>
      <c r="H178" s="10">
        <v>45671.331099537027</v>
      </c>
      <c r="I178" s="10">
        <v>45671.331099537027</v>
      </c>
      <c r="J178" s="10">
        <v>45671.331921296303</v>
      </c>
      <c r="K178" s="11">
        <f t="shared" si="8"/>
        <v>0.95447916667035315</v>
      </c>
      <c r="L178" s="11">
        <f t="shared" si="9"/>
        <v>1.6898148096515797E-3</v>
      </c>
      <c r="M178" s="11">
        <f t="shared" si="10"/>
        <v>0</v>
      </c>
      <c r="N178" s="11">
        <f t="shared" si="11"/>
        <v>0.98956018519675126</v>
      </c>
    </row>
    <row r="179" spans="1:14" x14ac:dyDescent="0.25">
      <c r="A179" s="3" t="s">
        <v>1525</v>
      </c>
      <c r="B179" s="3" t="s">
        <v>506</v>
      </c>
      <c r="C179" s="3" t="s">
        <v>3193</v>
      </c>
      <c r="D179" s="3">
        <v>2</v>
      </c>
      <c r="E179" s="10">
        <v>45670.635740740741</v>
      </c>
      <c r="F179" s="10">
        <v>45671.29824074074</v>
      </c>
      <c r="G179" s="10">
        <v>45671.309004629627</v>
      </c>
      <c r="H179" s="10">
        <v>45671.326701388891</v>
      </c>
      <c r="I179" s="10">
        <v>45671.326701388891</v>
      </c>
      <c r="J179" s="10">
        <v>45671.327361111107</v>
      </c>
      <c r="K179" s="11">
        <f t="shared" si="8"/>
        <v>0.66249999999854481</v>
      </c>
      <c r="L179" s="11">
        <f t="shared" si="9"/>
        <v>1.0763888887595385E-2</v>
      </c>
      <c r="M179" s="11">
        <f t="shared" si="10"/>
        <v>0</v>
      </c>
      <c r="N179" s="11">
        <f t="shared" si="11"/>
        <v>0.69162037036585389</v>
      </c>
    </row>
    <row r="180" spans="1:14" x14ac:dyDescent="0.25">
      <c r="A180" s="3" t="s">
        <v>1593</v>
      </c>
      <c r="B180" s="3" t="s">
        <v>500</v>
      </c>
      <c r="C180" s="3" t="s">
        <v>3200</v>
      </c>
      <c r="D180" s="3">
        <v>1</v>
      </c>
      <c r="E180" s="10">
        <v>45671.31490740741</v>
      </c>
      <c r="F180" s="10">
        <v>45671.329664351862</v>
      </c>
      <c r="G180" s="10">
        <v>45671.331331018519</v>
      </c>
      <c r="H180" s="10">
        <v>45671.368449074071</v>
      </c>
      <c r="I180" s="10">
        <v>45671.368449074071</v>
      </c>
      <c r="J180" s="10">
        <v>45671.369456018518</v>
      </c>
      <c r="K180" s="11">
        <f t="shared" si="8"/>
        <v>1.4756944452528842E-2</v>
      </c>
      <c r="L180" s="11">
        <f t="shared" si="9"/>
        <v>1.6666666560922749E-3</v>
      </c>
      <c r="M180" s="11">
        <f t="shared" si="10"/>
        <v>0</v>
      </c>
      <c r="N180" s="11">
        <f t="shared" si="11"/>
        <v>5.4548611107748002E-2</v>
      </c>
    </row>
    <row r="181" spans="1:14" x14ac:dyDescent="0.25">
      <c r="A181" s="3" t="s">
        <v>1596</v>
      </c>
      <c r="B181" s="3" t="s">
        <v>500</v>
      </c>
      <c r="C181" s="3" t="s">
        <v>3193</v>
      </c>
      <c r="D181" s="3">
        <v>1</v>
      </c>
      <c r="E181" s="10">
        <v>45671.34474537037</v>
      </c>
      <c r="F181" s="10">
        <v>45671.347118055557</v>
      </c>
      <c r="G181" s="10">
        <v>45671.347986111112</v>
      </c>
      <c r="H181" s="10">
        <v>45671.415659722217</v>
      </c>
      <c r="I181" s="10">
        <v>45671.415659722217</v>
      </c>
      <c r="J181" s="10">
        <v>45671.416990740741</v>
      </c>
      <c r="K181" s="11">
        <f t="shared" si="8"/>
        <v>2.3726851868559606E-3</v>
      </c>
      <c r="L181" s="11">
        <f t="shared" si="9"/>
        <v>8.6805555474711582E-4</v>
      </c>
      <c r="M181" s="11">
        <f t="shared" si="10"/>
        <v>0</v>
      </c>
      <c r="N181" s="11">
        <f t="shared" si="11"/>
        <v>7.2245370371092577E-2</v>
      </c>
    </row>
    <row r="182" spans="1:14" x14ac:dyDescent="0.25">
      <c r="A182" s="3" t="s">
        <v>1264</v>
      </c>
      <c r="B182" s="3" t="s">
        <v>1033</v>
      </c>
      <c r="C182" s="3" t="s">
        <v>3206</v>
      </c>
      <c r="D182" s="3">
        <v>4</v>
      </c>
      <c r="E182" s="10">
        <v>45666.861724537041</v>
      </c>
      <c r="F182" s="10">
        <v>45671.397326388891</v>
      </c>
      <c r="G182" s="10">
        <v>45671.398194444453</v>
      </c>
      <c r="H182" s="10">
        <v>45671.457824074067</v>
      </c>
      <c r="I182" s="10">
        <v>45671.458148148151</v>
      </c>
      <c r="J182" s="10">
        <v>45671.459537037037</v>
      </c>
      <c r="K182" s="11">
        <f t="shared" si="8"/>
        <v>4.5356018518505152</v>
      </c>
      <c r="L182" s="11">
        <f t="shared" si="9"/>
        <v>8.6805556202307343E-4</v>
      </c>
      <c r="M182" s="11">
        <f t="shared" si="10"/>
        <v>3.2407408434664831E-4</v>
      </c>
      <c r="N182" s="11">
        <f t="shared" si="11"/>
        <v>4.5978124999965075</v>
      </c>
    </row>
    <row r="183" spans="1:14" x14ac:dyDescent="0.25">
      <c r="A183" s="3" t="s">
        <v>1629</v>
      </c>
      <c r="B183" s="3" t="s">
        <v>572</v>
      </c>
      <c r="C183" s="3" t="s">
        <v>3196</v>
      </c>
      <c r="D183" s="3">
        <v>2</v>
      </c>
      <c r="E183" s="10">
        <v>45671.391238425917</v>
      </c>
      <c r="F183" s="10">
        <v>45671.399039351847</v>
      </c>
      <c r="G183" s="10">
        <v>45671.400671296287</v>
      </c>
      <c r="H183" s="10">
        <v>45671.423090277778</v>
      </c>
      <c r="I183" s="10">
        <v>45671.423090277778</v>
      </c>
      <c r="J183" s="10">
        <v>45671.423761574071</v>
      </c>
      <c r="K183" s="11">
        <f t="shared" si="8"/>
        <v>7.8009259304963052E-3</v>
      </c>
      <c r="L183" s="11">
        <f t="shared" si="9"/>
        <v>1.631944440305233E-3</v>
      </c>
      <c r="M183" s="11">
        <f t="shared" si="10"/>
        <v>0</v>
      </c>
      <c r="N183" s="11">
        <f t="shared" si="11"/>
        <v>3.2523148154723458E-2</v>
      </c>
    </row>
    <row r="184" spans="1:14" x14ac:dyDescent="0.25">
      <c r="A184" s="3" t="s">
        <v>1581</v>
      </c>
      <c r="B184" s="3" t="s">
        <v>527</v>
      </c>
      <c r="C184" s="3" t="s">
        <v>3204</v>
      </c>
      <c r="D184" s="3">
        <v>3</v>
      </c>
      <c r="E184" s="10">
        <v>45671.296400462961</v>
      </c>
      <c r="F184" s="10">
        <v>45671.425115740742</v>
      </c>
      <c r="G184" s="10">
        <v>45671.436388888891</v>
      </c>
      <c r="H184" s="10">
        <v>45671.469201388893</v>
      </c>
      <c r="I184" s="10">
        <v>45671.469201388893</v>
      </c>
      <c r="J184" s="10">
        <v>45671.470138888893</v>
      </c>
      <c r="K184" s="11">
        <f t="shared" si="8"/>
        <v>0.12871527778042946</v>
      </c>
      <c r="L184" s="11">
        <f t="shared" si="9"/>
        <v>1.1273148149484769E-2</v>
      </c>
      <c r="M184" s="11">
        <f t="shared" si="10"/>
        <v>0</v>
      </c>
      <c r="N184" s="11">
        <f t="shared" si="11"/>
        <v>0.17373842593224254</v>
      </c>
    </row>
    <row r="185" spans="1:14" x14ac:dyDescent="0.25">
      <c r="A185" s="3" t="s">
        <v>1584</v>
      </c>
      <c r="B185" s="3" t="s">
        <v>515</v>
      </c>
      <c r="C185" s="3" t="s">
        <v>3195</v>
      </c>
      <c r="D185" s="3">
        <v>4</v>
      </c>
      <c r="E185" s="10">
        <v>45671.298113425917</v>
      </c>
      <c r="F185" s="10">
        <v>45671.430405092593</v>
      </c>
      <c r="G185" s="10">
        <v>45671.438298611109</v>
      </c>
      <c r="H185" s="10">
        <v>45671.457303240742</v>
      </c>
      <c r="I185" s="10">
        <v>45671.457303240742</v>
      </c>
      <c r="J185" s="10">
        <v>45671.458148148151</v>
      </c>
      <c r="K185" s="11">
        <f t="shared" si="8"/>
        <v>0.13229166667588288</v>
      </c>
      <c r="L185" s="11">
        <f t="shared" si="9"/>
        <v>7.8935185156296939E-3</v>
      </c>
      <c r="M185" s="11">
        <f t="shared" si="10"/>
        <v>0</v>
      </c>
      <c r="N185" s="11">
        <f t="shared" si="11"/>
        <v>0.16003472223383142</v>
      </c>
    </row>
    <row r="186" spans="1:14" x14ac:dyDescent="0.25">
      <c r="A186" s="3" t="s">
        <v>1624</v>
      </c>
      <c r="B186" s="3" t="s">
        <v>506</v>
      </c>
      <c r="C186" s="3" t="s">
        <v>3202</v>
      </c>
      <c r="D186" s="3">
        <v>2</v>
      </c>
      <c r="E186" s="10">
        <v>45671.41883101852</v>
      </c>
      <c r="F186" s="10">
        <v>45671.435810185183</v>
      </c>
      <c r="G186" s="10">
        <v>45671.459039351852</v>
      </c>
      <c r="H186" s="10">
        <v>45671.572199074071</v>
      </c>
      <c r="I186" s="10">
        <v>45671.572199074071</v>
      </c>
      <c r="J186" s="10">
        <v>45671.574189814812</v>
      </c>
      <c r="K186" s="11">
        <f t="shared" si="8"/>
        <v>1.6979166663077194E-2</v>
      </c>
      <c r="L186" s="11">
        <f t="shared" si="9"/>
        <v>2.322916666889796E-2</v>
      </c>
      <c r="M186" s="11">
        <f t="shared" si="10"/>
        <v>0</v>
      </c>
      <c r="N186" s="11">
        <f t="shared" si="11"/>
        <v>0.15535879629169358</v>
      </c>
    </row>
    <row r="187" spans="1:14" x14ac:dyDescent="0.25">
      <c r="A187" s="3" t="s">
        <v>1376</v>
      </c>
      <c r="B187" s="3" t="s">
        <v>595</v>
      </c>
      <c r="C187" s="3" t="s">
        <v>3199</v>
      </c>
      <c r="D187" s="3">
        <v>8</v>
      </c>
      <c r="E187" s="10">
        <v>45667.774317129632</v>
      </c>
      <c r="F187" s="10">
        <v>45671.436562499999</v>
      </c>
      <c r="G187" s="10">
        <v>45671.459560185183</v>
      </c>
      <c r="H187" s="10">
        <v>45671.47991898148</v>
      </c>
      <c r="I187" s="10">
        <v>45671.47991898148</v>
      </c>
      <c r="J187" s="10">
        <v>45671.480578703697</v>
      </c>
      <c r="K187" s="11">
        <f t="shared" si="8"/>
        <v>3.6622453703676001</v>
      </c>
      <c r="L187" s="11">
        <f t="shared" si="9"/>
        <v>2.2997685184236616E-2</v>
      </c>
      <c r="M187" s="11">
        <f t="shared" si="10"/>
        <v>0</v>
      </c>
      <c r="N187" s="11">
        <f t="shared" si="11"/>
        <v>3.7062615740651381</v>
      </c>
    </row>
    <row r="188" spans="1:14" x14ac:dyDescent="0.25">
      <c r="A188" s="3" t="s">
        <v>1640</v>
      </c>
      <c r="B188" s="3" t="s">
        <v>500</v>
      </c>
      <c r="C188" s="3" t="s">
        <v>3202</v>
      </c>
      <c r="D188" s="3">
        <v>1</v>
      </c>
      <c r="E188" s="10">
        <v>45671.545844907407</v>
      </c>
      <c r="F188" s="10">
        <v>45671.54824074074</v>
      </c>
      <c r="G188" s="10">
        <v>45671.549074074072</v>
      </c>
      <c r="H188" s="10">
        <v>45671.600775462961</v>
      </c>
      <c r="I188" s="10">
        <v>45671.600775462961</v>
      </c>
      <c r="J188" s="10">
        <v>45671.601944444446</v>
      </c>
      <c r="K188" s="11">
        <f t="shared" si="8"/>
        <v>2.3958333331393078E-3</v>
      </c>
      <c r="L188" s="11">
        <f t="shared" si="9"/>
        <v>8.3333333168411627E-4</v>
      </c>
      <c r="M188" s="11">
        <f t="shared" si="10"/>
        <v>0</v>
      </c>
      <c r="N188" s="11">
        <f t="shared" si="11"/>
        <v>5.6099537039699499E-2</v>
      </c>
    </row>
    <row r="189" spans="1:14" x14ac:dyDescent="0.25">
      <c r="A189" s="3" t="s">
        <v>1643</v>
      </c>
      <c r="B189" s="3" t="s">
        <v>500</v>
      </c>
      <c r="C189" s="3" t="s">
        <v>3202</v>
      </c>
      <c r="D189" s="3">
        <v>1</v>
      </c>
      <c r="E189" s="10">
        <v>45671.609027777777</v>
      </c>
      <c r="F189" s="10">
        <v>45671.61142361111</v>
      </c>
      <c r="G189" s="10">
        <v>45671.612256944441</v>
      </c>
      <c r="H189" s="10">
        <v>45671.651435185187</v>
      </c>
      <c r="I189" s="10">
        <v>45671.651435185187</v>
      </c>
      <c r="J189" s="10">
        <v>45671.652442129627</v>
      </c>
      <c r="K189" s="11">
        <f t="shared" si="8"/>
        <v>2.3958333331393078E-3</v>
      </c>
      <c r="L189" s="11">
        <f t="shared" si="9"/>
        <v>8.3333333168411627E-4</v>
      </c>
      <c r="M189" s="11">
        <f t="shared" si="10"/>
        <v>0</v>
      </c>
      <c r="N189" s="11">
        <f t="shared" si="11"/>
        <v>4.3414351850515231E-2</v>
      </c>
    </row>
    <row r="190" spans="1:14" x14ac:dyDescent="0.25">
      <c r="A190" s="3" t="s">
        <v>1613</v>
      </c>
      <c r="B190" s="3" t="s">
        <v>563</v>
      </c>
      <c r="C190" s="3" t="s">
        <v>3198</v>
      </c>
      <c r="D190" s="3">
        <v>3</v>
      </c>
      <c r="E190" s="10">
        <v>45671.410462962973</v>
      </c>
      <c r="F190" s="10">
        <v>45671.648634259262</v>
      </c>
      <c r="G190" s="10">
        <v>45671.650347222218</v>
      </c>
      <c r="H190" s="10">
        <v>45671.667812500003</v>
      </c>
      <c r="I190" s="10">
        <v>45671.667812500003</v>
      </c>
      <c r="J190" s="10">
        <v>45671.668587962973</v>
      </c>
      <c r="K190" s="11">
        <f t="shared" si="8"/>
        <v>0.2381712962887832</v>
      </c>
      <c r="L190" s="11">
        <f t="shared" si="9"/>
        <v>1.7129629559349269E-3</v>
      </c>
      <c r="M190" s="11">
        <f t="shared" si="10"/>
        <v>0</v>
      </c>
      <c r="N190" s="11">
        <f t="shared" si="11"/>
        <v>0.25812500000029104</v>
      </c>
    </row>
    <row r="191" spans="1:14" x14ac:dyDescent="0.25">
      <c r="A191" s="3" t="s">
        <v>1428</v>
      </c>
      <c r="B191" s="3" t="s">
        <v>533</v>
      </c>
      <c r="C191" s="3" t="s">
        <v>3201</v>
      </c>
      <c r="D191" s="3">
        <v>5</v>
      </c>
      <c r="E191" s="10">
        <v>45669.755891203713</v>
      </c>
      <c r="F191" s="10">
        <v>45671.650451388887</v>
      </c>
      <c r="G191" s="10">
        <v>45671.653101851851</v>
      </c>
      <c r="H191" s="10">
        <v>45671.67769675926</v>
      </c>
      <c r="I191" s="10">
        <v>45671.67769675926</v>
      </c>
      <c r="J191" s="10">
        <v>45671.678564814807</v>
      </c>
      <c r="K191" s="11">
        <f t="shared" si="8"/>
        <v>1.8945601851737592</v>
      </c>
      <c r="L191" s="11">
        <f t="shared" si="9"/>
        <v>2.6504629640839994E-3</v>
      </c>
      <c r="M191" s="11">
        <f t="shared" si="10"/>
        <v>0</v>
      </c>
      <c r="N191" s="11">
        <f t="shared" si="11"/>
        <v>1.9226736110940692</v>
      </c>
    </row>
    <row r="192" spans="1:14" x14ac:dyDescent="0.25">
      <c r="A192" s="3" t="s">
        <v>1601</v>
      </c>
      <c r="B192" s="3" t="s">
        <v>519</v>
      </c>
      <c r="C192" s="3" t="s">
        <v>3203</v>
      </c>
      <c r="D192" s="3">
        <v>3</v>
      </c>
      <c r="E192" s="10">
        <v>45671.401180555556</v>
      </c>
      <c r="F192" s="10">
        <v>45671.651412037027</v>
      </c>
      <c r="G192" s="10">
        <v>45671.669502314813</v>
      </c>
      <c r="H192" s="10">
        <v>45671.692488425928</v>
      </c>
      <c r="I192" s="10">
        <v>45671.692488425928</v>
      </c>
      <c r="J192" s="10">
        <v>45671.69326388889</v>
      </c>
      <c r="K192" s="11">
        <f t="shared" si="8"/>
        <v>0.25023148147010943</v>
      </c>
      <c r="L192" s="11">
        <f t="shared" si="9"/>
        <v>1.8090277786541265E-2</v>
      </c>
      <c r="M192" s="11">
        <f t="shared" si="10"/>
        <v>0</v>
      </c>
      <c r="N192" s="11">
        <f t="shared" si="11"/>
        <v>0.29208333333372138</v>
      </c>
    </row>
    <row r="193" spans="1:14" x14ac:dyDescent="0.25">
      <c r="A193" s="3" t="s">
        <v>1657</v>
      </c>
      <c r="B193" s="3" t="s">
        <v>506</v>
      </c>
      <c r="C193" s="3" t="s">
        <v>3193</v>
      </c>
      <c r="D193" s="3">
        <v>1</v>
      </c>
      <c r="E193" s="10">
        <v>45671.651319444441</v>
      </c>
      <c r="F193" s="10">
        <v>45671.654386574082</v>
      </c>
      <c r="G193" s="10">
        <v>45671.6715625</v>
      </c>
      <c r="H193" s="10">
        <v>45671.699930555558</v>
      </c>
      <c r="I193" s="10">
        <v>45671.699930555558</v>
      </c>
      <c r="J193" s="10">
        <v>45671.700740740736</v>
      </c>
      <c r="K193" s="11">
        <f t="shared" si="8"/>
        <v>3.067129640839994E-3</v>
      </c>
      <c r="L193" s="11">
        <f t="shared" si="9"/>
        <v>1.7175925917399582E-2</v>
      </c>
      <c r="M193" s="11">
        <f t="shared" si="10"/>
        <v>0</v>
      </c>
      <c r="N193" s="11">
        <f t="shared" si="11"/>
        <v>4.9421296294895001E-2</v>
      </c>
    </row>
    <row r="194" spans="1:14" x14ac:dyDescent="0.25">
      <c r="A194" s="3" t="s">
        <v>1654</v>
      </c>
      <c r="B194" s="3" t="s">
        <v>496</v>
      </c>
      <c r="C194" s="3" t="s">
        <v>3199</v>
      </c>
      <c r="D194" s="3">
        <v>4</v>
      </c>
      <c r="E194" s="10">
        <v>45671.649733796286</v>
      </c>
      <c r="F194" s="10">
        <v>45671.663807870369</v>
      </c>
      <c r="G194" s="10">
        <v>45671.679375</v>
      </c>
      <c r="H194" s="10">
        <v>45671.703587962962</v>
      </c>
      <c r="I194" s="10">
        <v>45671.703587962962</v>
      </c>
      <c r="J194" s="10">
        <v>45671.704305555562</v>
      </c>
      <c r="K194" s="11">
        <f t="shared" ref="K194:K257" si="12">IF(AND(ISNUMBER(E194),ISNUMBER(F194)),(F194-E194),"")</f>
        <v>1.4074074082600418E-2</v>
      </c>
      <c r="L194" s="11">
        <f t="shared" ref="L194:L257" si="13">IF(AND(ISNUMBER(F194),ISNUMBER(G194)),(G194-F194),"")</f>
        <v>1.5567129630653653E-2</v>
      </c>
      <c r="M194" s="11">
        <f t="shared" ref="M194:M257" si="14">IF(AND(ISNUMBER(H194),ISNUMBER(I194)),(I194-H194),"")</f>
        <v>0</v>
      </c>
      <c r="N194" s="11">
        <f t="shared" ref="N194:N257" si="15">IF(AND(ISNUMBER(E194),ISNUMBER(J194)),(J194-E194),"")</f>
        <v>5.4571759275859222E-2</v>
      </c>
    </row>
    <row r="195" spans="1:14" x14ac:dyDescent="0.25">
      <c r="A195" s="3" t="s">
        <v>1671</v>
      </c>
      <c r="B195" s="3" t="s">
        <v>500</v>
      </c>
      <c r="C195" s="3" t="s">
        <v>3195</v>
      </c>
      <c r="D195" s="3">
        <v>1</v>
      </c>
      <c r="E195" s="10">
        <v>45671.663425925923</v>
      </c>
      <c r="F195" s="10">
        <v>45671.66678240741</v>
      </c>
      <c r="G195" s="10">
        <v>45671.694189814807</v>
      </c>
      <c r="H195" s="10">
        <v>45671.724247685182</v>
      </c>
      <c r="I195" s="10">
        <v>45671.724247685182</v>
      </c>
      <c r="J195" s="10">
        <v>45671.725243055553</v>
      </c>
      <c r="K195" s="11">
        <f t="shared" si="12"/>
        <v>3.3564814875717275E-3</v>
      </c>
      <c r="L195" s="11">
        <f t="shared" si="13"/>
        <v>2.7407407396822236E-2</v>
      </c>
      <c r="M195" s="11">
        <f t="shared" si="14"/>
        <v>0</v>
      </c>
      <c r="N195" s="11">
        <f t="shared" si="15"/>
        <v>6.1817129630071577E-2</v>
      </c>
    </row>
    <row r="196" spans="1:14" x14ac:dyDescent="0.25">
      <c r="A196" s="3" t="s">
        <v>1674</v>
      </c>
      <c r="B196" s="3" t="s">
        <v>500</v>
      </c>
      <c r="C196" s="3" t="s">
        <v>3206</v>
      </c>
      <c r="D196" s="3">
        <v>2</v>
      </c>
      <c r="E196" s="10">
        <v>45671.666319444441</v>
      </c>
      <c r="F196" s="10">
        <v>45671.75608796296</v>
      </c>
      <c r="G196" s="10">
        <v>45671.756956018522</v>
      </c>
      <c r="H196" s="10">
        <v>45671.774988425917</v>
      </c>
      <c r="I196" s="10">
        <v>45671.774988425917</v>
      </c>
      <c r="J196" s="10">
        <v>45671.775821759264</v>
      </c>
      <c r="K196" s="11">
        <f t="shared" si="12"/>
        <v>8.9768518519122154E-2</v>
      </c>
      <c r="L196" s="11">
        <f t="shared" si="13"/>
        <v>8.6805556202307343E-4</v>
      </c>
      <c r="M196" s="11">
        <f t="shared" si="14"/>
        <v>0</v>
      </c>
      <c r="N196" s="11">
        <f t="shared" si="15"/>
        <v>0.1095023148227483</v>
      </c>
    </row>
    <row r="197" spans="1:14" x14ac:dyDescent="0.25">
      <c r="A197" s="3" t="s">
        <v>1679</v>
      </c>
      <c r="B197" s="3" t="s">
        <v>527</v>
      </c>
      <c r="C197" s="3" t="s">
        <v>3203</v>
      </c>
      <c r="D197" s="3">
        <v>1</v>
      </c>
      <c r="E197" s="10">
        <v>45671.756412037037</v>
      </c>
      <c r="F197" s="10">
        <v>45671.758576388893</v>
      </c>
      <c r="G197" s="10">
        <v>45671.76021990741</v>
      </c>
      <c r="H197" s="10">
        <v>45671.778969907413</v>
      </c>
      <c r="I197" s="10">
        <v>45671.778969907413</v>
      </c>
      <c r="J197" s="10">
        <v>45671.779687499999</v>
      </c>
      <c r="K197" s="11">
        <f t="shared" si="12"/>
        <v>2.164351855753921E-3</v>
      </c>
      <c r="L197" s="11">
        <f t="shared" si="13"/>
        <v>1.6435185170848854E-3</v>
      </c>
      <c r="M197" s="11">
        <f t="shared" si="14"/>
        <v>0</v>
      </c>
      <c r="N197" s="11">
        <f t="shared" si="15"/>
        <v>2.3275462961464655E-2</v>
      </c>
    </row>
    <row r="198" spans="1:14" x14ac:dyDescent="0.25">
      <c r="A198" s="3" t="s">
        <v>1463</v>
      </c>
      <c r="B198" s="3" t="s">
        <v>654</v>
      </c>
      <c r="C198" s="3" t="s">
        <v>3194</v>
      </c>
      <c r="D198" s="3">
        <v>4</v>
      </c>
      <c r="E198" s="10">
        <v>45670.336967592593</v>
      </c>
      <c r="F198" s="10">
        <v>45671.758935185193</v>
      </c>
      <c r="G198" s="10">
        <v>45671.77648148148</v>
      </c>
      <c r="H198" s="10">
        <v>45671.798344907409</v>
      </c>
      <c r="I198" s="10">
        <v>45671.798344907409</v>
      </c>
      <c r="J198" s="10">
        <v>45671.799166666657</v>
      </c>
      <c r="K198" s="11">
        <f t="shared" si="12"/>
        <v>1.4219675925996853</v>
      </c>
      <c r="L198" s="11">
        <f t="shared" si="13"/>
        <v>1.7546296287036967E-2</v>
      </c>
      <c r="M198" s="11">
        <f t="shared" si="14"/>
        <v>0</v>
      </c>
      <c r="N198" s="11">
        <f t="shared" si="15"/>
        <v>1.4621990740633919</v>
      </c>
    </row>
    <row r="199" spans="1:14" x14ac:dyDescent="0.25">
      <c r="A199" s="3" t="s">
        <v>1567</v>
      </c>
      <c r="B199" s="3" t="s">
        <v>492</v>
      </c>
      <c r="C199" s="3" t="s">
        <v>3205</v>
      </c>
      <c r="D199" s="3">
        <v>5</v>
      </c>
      <c r="E199" s="10">
        <v>45671.115416666667</v>
      </c>
      <c r="F199" s="10">
        <v>45671.761597222219</v>
      </c>
      <c r="G199" s="10">
        <v>45671.776724537027</v>
      </c>
      <c r="H199" s="10">
        <v>45671.794722222221</v>
      </c>
      <c r="I199" s="10">
        <v>45671.794722222221</v>
      </c>
      <c r="J199" s="10">
        <v>45671.79550925926</v>
      </c>
      <c r="K199" s="11">
        <f t="shared" si="12"/>
        <v>0.64618055555183673</v>
      </c>
      <c r="L199" s="11">
        <f t="shared" si="13"/>
        <v>1.5127314807614312E-2</v>
      </c>
      <c r="M199" s="11">
        <f t="shared" si="14"/>
        <v>0</v>
      </c>
      <c r="N199" s="11">
        <f t="shared" si="15"/>
        <v>0.68009259259270038</v>
      </c>
    </row>
    <row r="200" spans="1:14" x14ac:dyDescent="0.25">
      <c r="A200" s="3" t="s">
        <v>1695</v>
      </c>
      <c r="B200" s="3" t="s">
        <v>519</v>
      </c>
      <c r="C200" s="3" t="s">
        <v>3201</v>
      </c>
      <c r="D200" s="3">
        <v>1</v>
      </c>
      <c r="E200" s="10">
        <v>45671.766759259262</v>
      </c>
      <c r="F200" s="10">
        <v>45671.770069444443</v>
      </c>
      <c r="G200" s="10">
        <v>45671.780706018522</v>
      </c>
      <c r="H200" s="10">
        <v>45671.800046296303</v>
      </c>
      <c r="I200" s="10">
        <v>45671.800046296303</v>
      </c>
      <c r="J200" s="10">
        <v>45671.800844907397</v>
      </c>
      <c r="K200" s="11">
        <f t="shared" si="12"/>
        <v>3.3101851804531179E-3</v>
      </c>
      <c r="L200" s="11">
        <f t="shared" si="13"/>
        <v>1.0636574079398997E-2</v>
      </c>
      <c r="M200" s="11">
        <f t="shared" si="14"/>
        <v>0</v>
      </c>
      <c r="N200" s="11">
        <f t="shared" si="15"/>
        <v>3.4085648134350777E-2</v>
      </c>
    </row>
    <row r="201" spans="1:14" x14ac:dyDescent="0.25">
      <c r="A201" s="3" t="s">
        <v>1692</v>
      </c>
      <c r="B201" s="3" t="s">
        <v>506</v>
      </c>
      <c r="C201" s="3" t="s">
        <v>3195</v>
      </c>
      <c r="D201" s="3">
        <v>2</v>
      </c>
      <c r="E201" s="10">
        <v>45671.764780092592</v>
      </c>
      <c r="F201" s="10">
        <v>45671.774791666663</v>
      </c>
      <c r="G201" s="10">
        <v>45671.796458333331</v>
      </c>
      <c r="H201" s="10">
        <v>45671.819490740738</v>
      </c>
      <c r="I201" s="10">
        <v>45671.819490740738</v>
      </c>
      <c r="J201" s="10">
        <v>45671.820393518523</v>
      </c>
      <c r="K201" s="11">
        <f t="shared" si="12"/>
        <v>1.0011574071540963E-2</v>
      </c>
      <c r="L201" s="11">
        <f t="shared" si="13"/>
        <v>2.1666666667442769E-2</v>
      </c>
      <c r="M201" s="11">
        <f t="shared" si="14"/>
        <v>0</v>
      </c>
      <c r="N201" s="11">
        <f t="shared" si="15"/>
        <v>5.561342593136942E-2</v>
      </c>
    </row>
    <row r="202" spans="1:14" x14ac:dyDescent="0.25">
      <c r="A202" s="3" t="s">
        <v>1608</v>
      </c>
      <c r="B202" s="3" t="s">
        <v>488</v>
      </c>
      <c r="C202" s="3" t="s">
        <v>3200</v>
      </c>
      <c r="D202" s="3">
        <v>2</v>
      </c>
      <c r="E202" s="10">
        <v>45671.407060185193</v>
      </c>
      <c r="F202" s="10">
        <v>45672.117048611108</v>
      </c>
      <c r="G202" s="10">
        <v>45672.11791666667</v>
      </c>
      <c r="H202" s="10">
        <v>45672.154178240737</v>
      </c>
      <c r="I202" s="10">
        <v>45672.154178240737</v>
      </c>
      <c r="J202" s="10">
        <v>45672.155173611107</v>
      </c>
      <c r="K202" s="11">
        <f t="shared" si="12"/>
        <v>0.70998842591507128</v>
      </c>
      <c r="L202" s="11">
        <f t="shared" si="13"/>
        <v>8.6805556202307343E-4</v>
      </c>
      <c r="M202" s="11">
        <f t="shared" si="14"/>
        <v>0</v>
      </c>
      <c r="N202" s="11">
        <f t="shared" si="15"/>
        <v>0.74811342591419816</v>
      </c>
    </row>
    <row r="203" spans="1:14" x14ac:dyDescent="0.25">
      <c r="A203" s="3" t="s">
        <v>1542</v>
      </c>
      <c r="B203" s="3" t="s">
        <v>484</v>
      </c>
      <c r="C203" s="3" t="s">
        <v>3197</v>
      </c>
      <c r="D203" s="3">
        <v>4</v>
      </c>
      <c r="E203" s="10">
        <v>45670.649097222216</v>
      </c>
      <c r="F203" s="10">
        <v>45672.122870370367</v>
      </c>
      <c r="G203" s="10">
        <v>45672.123703703714</v>
      </c>
      <c r="H203" s="10">
        <v>45672.154502314806</v>
      </c>
      <c r="I203" s="10">
        <v>45672.155173611107</v>
      </c>
      <c r="J203" s="10">
        <v>45672.156134259261</v>
      </c>
      <c r="K203" s="11">
        <f t="shared" si="12"/>
        <v>1.47377314815094</v>
      </c>
      <c r="L203" s="11">
        <f t="shared" si="13"/>
        <v>8.333333462360315E-4</v>
      </c>
      <c r="M203" s="11">
        <f t="shared" si="14"/>
        <v>6.7129630042472854E-4</v>
      </c>
      <c r="N203" s="11">
        <f t="shared" si="15"/>
        <v>1.5070370370449382</v>
      </c>
    </row>
    <row r="204" spans="1:14" x14ac:dyDescent="0.25">
      <c r="A204" s="3" t="s">
        <v>1717</v>
      </c>
      <c r="B204" s="3" t="s">
        <v>519</v>
      </c>
      <c r="C204" s="3" t="s">
        <v>3201</v>
      </c>
      <c r="D204" s="3">
        <v>1</v>
      </c>
      <c r="E204" s="10">
        <v>45672.204884259263</v>
      </c>
      <c r="F204" s="10">
        <v>45672.207256944443</v>
      </c>
      <c r="G204" s="10">
        <v>45672.208101851851</v>
      </c>
      <c r="H204" s="10">
        <v>45672.298703703702</v>
      </c>
      <c r="I204" s="10">
        <v>45672.298703703702</v>
      </c>
      <c r="J204" s="10">
        <v>45672.300451388888</v>
      </c>
      <c r="K204" s="11">
        <f t="shared" si="12"/>
        <v>2.372685179580003E-3</v>
      </c>
      <c r="L204" s="11">
        <f t="shared" si="13"/>
        <v>8.4490740846376866E-4</v>
      </c>
      <c r="M204" s="11">
        <f t="shared" si="14"/>
        <v>0</v>
      </c>
      <c r="N204" s="11">
        <f t="shared" si="15"/>
        <v>9.5567129625123926E-2</v>
      </c>
    </row>
    <row r="205" spans="1:14" x14ac:dyDescent="0.25">
      <c r="A205" s="3" t="s">
        <v>1705</v>
      </c>
      <c r="B205" s="3" t="s">
        <v>500</v>
      </c>
      <c r="C205" s="3" t="s">
        <v>3203</v>
      </c>
      <c r="D205" s="3">
        <v>2</v>
      </c>
      <c r="E205" s="10">
        <v>45671.831331018519</v>
      </c>
      <c r="F205" s="10">
        <v>45672.283796296288</v>
      </c>
      <c r="G205" s="10">
        <v>45672.28466435185</v>
      </c>
      <c r="H205" s="10">
        <v>45672.339131944442</v>
      </c>
      <c r="I205" s="10">
        <v>45672.339131944442</v>
      </c>
      <c r="J205" s="10">
        <v>45672.340324074074</v>
      </c>
      <c r="K205" s="11">
        <f t="shared" si="12"/>
        <v>0.45246527776907897</v>
      </c>
      <c r="L205" s="11">
        <f t="shared" si="13"/>
        <v>8.6805556202307343E-4</v>
      </c>
      <c r="M205" s="11">
        <f t="shared" si="14"/>
        <v>0</v>
      </c>
      <c r="N205" s="11">
        <f t="shared" si="15"/>
        <v>0.50899305555503815</v>
      </c>
    </row>
    <row r="206" spans="1:14" x14ac:dyDescent="0.25">
      <c r="A206" s="3" t="s">
        <v>1689</v>
      </c>
      <c r="B206" s="3" t="s">
        <v>533</v>
      </c>
      <c r="C206" s="3" t="s">
        <v>3199</v>
      </c>
      <c r="D206" s="3">
        <v>3</v>
      </c>
      <c r="E206" s="10">
        <v>45671.762974537043</v>
      </c>
      <c r="F206" s="10">
        <v>45672.321018518523</v>
      </c>
      <c r="G206" s="10">
        <v>45672.321886574071</v>
      </c>
      <c r="H206" s="10">
        <v>45672.34101851852</v>
      </c>
      <c r="I206" s="10">
        <v>45672.34101851852</v>
      </c>
      <c r="J206" s="10">
        <v>45672.341666666667</v>
      </c>
      <c r="K206" s="11">
        <f t="shared" si="12"/>
        <v>0.55804398148029577</v>
      </c>
      <c r="L206" s="11">
        <f t="shared" si="13"/>
        <v>8.6805554747115821E-4</v>
      </c>
      <c r="M206" s="11">
        <f t="shared" si="14"/>
        <v>0</v>
      </c>
      <c r="N206" s="11">
        <f t="shared" si="15"/>
        <v>0.57869212962395977</v>
      </c>
    </row>
    <row r="207" spans="1:14" x14ac:dyDescent="0.25">
      <c r="A207" s="3" t="s">
        <v>1668</v>
      </c>
      <c r="B207" s="3" t="s">
        <v>515</v>
      </c>
      <c r="C207" s="3" t="s">
        <v>3204</v>
      </c>
      <c r="D207" s="3">
        <v>3</v>
      </c>
      <c r="E207" s="10">
        <v>45671.660462962973</v>
      </c>
      <c r="F207" s="10">
        <v>45672.331666666672</v>
      </c>
      <c r="G207" s="10">
        <v>45672.339236111111</v>
      </c>
      <c r="H207" s="10">
        <v>45672.364421296297</v>
      </c>
      <c r="I207" s="10">
        <v>45672.364421296297</v>
      </c>
      <c r="J207" s="10">
        <v>45672.365254629629</v>
      </c>
      <c r="K207" s="11">
        <f t="shared" si="12"/>
        <v>0.67120370369957527</v>
      </c>
      <c r="L207" s="11">
        <f t="shared" si="13"/>
        <v>7.5694444385590032E-3</v>
      </c>
      <c r="M207" s="11">
        <f t="shared" si="14"/>
        <v>0</v>
      </c>
      <c r="N207" s="11">
        <f t="shared" si="15"/>
        <v>0.70479166665609227</v>
      </c>
    </row>
    <row r="208" spans="1:14" x14ac:dyDescent="0.25">
      <c r="A208" s="3" t="s">
        <v>1742</v>
      </c>
      <c r="B208" s="3" t="s">
        <v>527</v>
      </c>
      <c r="C208" s="3" t="s">
        <v>3205</v>
      </c>
      <c r="D208" s="3">
        <v>1</v>
      </c>
      <c r="E208" s="10">
        <v>45672.331666666672</v>
      </c>
      <c r="F208" s="10">
        <v>45672.334641203714</v>
      </c>
      <c r="G208" s="10">
        <v>45672.340868055559</v>
      </c>
      <c r="H208" s="10">
        <v>45672.359618055547</v>
      </c>
      <c r="I208" s="10">
        <v>45672.359618055547</v>
      </c>
      <c r="J208" s="10">
        <v>45672.36041666667</v>
      </c>
      <c r="K208" s="11">
        <f t="shared" si="12"/>
        <v>2.9745370411546901E-3</v>
      </c>
      <c r="L208" s="11">
        <f t="shared" si="13"/>
        <v>6.2268518449855037E-3</v>
      </c>
      <c r="M208" s="11">
        <f t="shared" si="14"/>
        <v>0</v>
      </c>
      <c r="N208" s="11">
        <f t="shared" si="15"/>
        <v>2.8749999997671694E-2</v>
      </c>
    </row>
    <row r="209" spans="1:14" x14ac:dyDescent="0.25">
      <c r="A209" s="3" t="s">
        <v>1745</v>
      </c>
      <c r="B209" s="3" t="s">
        <v>500</v>
      </c>
      <c r="C209" s="3" t="s">
        <v>3201</v>
      </c>
      <c r="D209" s="3">
        <v>1</v>
      </c>
      <c r="E209" s="10">
        <v>45672.334826388891</v>
      </c>
      <c r="F209" s="10">
        <v>45672.337604166663</v>
      </c>
      <c r="G209" s="10">
        <v>45672.34275462963</v>
      </c>
      <c r="H209" s="10">
        <v>45672.387372685182</v>
      </c>
      <c r="I209" s="10">
        <v>45672.387372685182</v>
      </c>
      <c r="J209" s="10">
        <v>45672.388506944437</v>
      </c>
      <c r="K209" s="11">
        <f t="shared" si="12"/>
        <v>2.7777777722803876E-3</v>
      </c>
      <c r="L209" s="11">
        <f t="shared" si="13"/>
        <v>5.1504629664123058E-3</v>
      </c>
      <c r="M209" s="11">
        <f t="shared" si="14"/>
        <v>0</v>
      </c>
      <c r="N209" s="11">
        <f t="shared" si="15"/>
        <v>5.3680555545724928E-2</v>
      </c>
    </row>
    <row r="210" spans="1:14" x14ac:dyDescent="0.25">
      <c r="A210" s="3" t="s">
        <v>1748</v>
      </c>
      <c r="B210" s="3" t="s">
        <v>500</v>
      </c>
      <c r="C210" s="3" t="s">
        <v>3194</v>
      </c>
      <c r="D210" s="3">
        <v>1</v>
      </c>
      <c r="E210" s="10">
        <v>45672.34710648148</v>
      </c>
      <c r="F210" s="10">
        <v>45672.362546296303</v>
      </c>
      <c r="G210" s="10">
        <v>45672.364189814813</v>
      </c>
      <c r="H210" s="10">
        <v>45672.429131944453</v>
      </c>
      <c r="I210" s="10">
        <v>45672.429131944453</v>
      </c>
      <c r="J210" s="10">
        <v>45672.430532407408</v>
      </c>
      <c r="K210" s="11">
        <f t="shared" si="12"/>
        <v>1.5439814822457265E-2</v>
      </c>
      <c r="L210" s="11">
        <f t="shared" si="13"/>
        <v>1.6435185098089278E-3</v>
      </c>
      <c r="M210" s="11">
        <f t="shared" si="14"/>
        <v>0</v>
      </c>
      <c r="N210" s="11">
        <f t="shared" si="15"/>
        <v>8.3425925928167999E-2</v>
      </c>
    </row>
    <row r="211" spans="1:14" x14ac:dyDescent="0.25">
      <c r="A211" s="3" t="s">
        <v>1724</v>
      </c>
      <c r="B211" s="3" t="s">
        <v>506</v>
      </c>
      <c r="C211" s="3" t="s">
        <v>3197</v>
      </c>
      <c r="D211" s="3">
        <v>3</v>
      </c>
      <c r="E211" s="10">
        <v>45672.319421296299</v>
      </c>
      <c r="F211" s="10">
        <v>45672.39162037037</v>
      </c>
      <c r="G211" s="10">
        <v>45672.394652777781</v>
      </c>
      <c r="H211" s="10">
        <v>45672.413530092592</v>
      </c>
      <c r="I211" s="10">
        <v>45672.413530092592</v>
      </c>
      <c r="J211" s="10">
        <v>45672.4143287037</v>
      </c>
      <c r="K211" s="11">
        <f t="shared" si="12"/>
        <v>7.2199074071249925E-2</v>
      </c>
      <c r="L211" s="11">
        <f t="shared" si="13"/>
        <v>3.0324074105010368E-3</v>
      </c>
      <c r="M211" s="11">
        <f t="shared" si="14"/>
        <v>0</v>
      </c>
      <c r="N211" s="11">
        <f t="shared" si="15"/>
        <v>9.4907407401478849E-2</v>
      </c>
    </row>
    <row r="212" spans="1:14" x14ac:dyDescent="0.25">
      <c r="A212" s="3" t="s">
        <v>1770</v>
      </c>
      <c r="B212" s="3" t="s">
        <v>500</v>
      </c>
      <c r="C212" s="3" t="s">
        <v>3205</v>
      </c>
      <c r="D212" s="3">
        <v>1</v>
      </c>
      <c r="E212" s="10">
        <v>45672.402037037027</v>
      </c>
      <c r="F212" s="10">
        <v>45672.404398148137</v>
      </c>
      <c r="G212" s="10">
        <v>45672.41065972222</v>
      </c>
      <c r="H212" s="10">
        <v>45672.459513888891</v>
      </c>
      <c r="I212" s="10">
        <v>45672.459513888891</v>
      </c>
      <c r="J212" s="10">
        <v>45672.460717592592</v>
      </c>
      <c r="K212" s="11">
        <f t="shared" si="12"/>
        <v>2.3611111100763083E-3</v>
      </c>
      <c r="L212" s="11">
        <f t="shared" si="13"/>
        <v>6.2615740826004185E-3</v>
      </c>
      <c r="M212" s="11">
        <f t="shared" si="14"/>
        <v>0</v>
      </c>
      <c r="N212" s="11">
        <f t="shared" si="15"/>
        <v>5.8680555564933456E-2</v>
      </c>
    </row>
    <row r="213" spans="1:14" x14ac:dyDescent="0.25">
      <c r="A213" s="3" t="s">
        <v>1698</v>
      </c>
      <c r="B213" s="3" t="s">
        <v>563</v>
      </c>
      <c r="C213" s="3" t="s">
        <v>3198</v>
      </c>
      <c r="D213" s="3">
        <v>3</v>
      </c>
      <c r="E213" s="10">
        <v>45671.768263888887</v>
      </c>
      <c r="F213" s="10">
        <v>45672.429166666669</v>
      </c>
      <c r="G213" s="10">
        <v>45672.430868055562</v>
      </c>
      <c r="H213" s="10">
        <v>45672.450798611113</v>
      </c>
      <c r="I213" s="10">
        <v>45672.450798611113</v>
      </c>
      <c r="J213" s="10">
        <v>45672.451597222222</v>
      </c>
      <c r="K213" s="11">
        <f t="shared" si="12"/>
        <v>0.66090277778130258</v>
      </c>
      <c r="L213" s="11">
        <f t="shared" si="13"/>
        <v>1.7013888937071897E-3</v>
      </c>
      <c r="M213" s="11">
        <f t="shared" si="14"/>
        <v>0</v>
      </c>
      <c r="N213" s="11">
        <f t="shared" si="15"/>
        <v>0.68333333333430346</v>
      </c>
    </row>
    <row r="214" spans="1:14" x14ac:dyDescent="0.25">
      <c r="A214" s="3" t="s">
        <v>1777</v>
      </c>
      <c r="B214" s="3" t="s">
        <v>500</v>
      </c>
      <c r="C214" s="3" t="s">
        <v>3201</v>
      </c>
      <c r="D214" s="3">
        <v>1</v>
      </c>
      <c r="E214" s="10">
        <v>45672.427534722221</v>
      </c>
      <c r="F214" s="10">
        <v>45672.429722222223</v>
      </c>
      <c r="G214" s="10">
        <v>45672.431377314817</v>
      </c>
      <c r="H214" s="10">
        <v>45672.475231481483</v>
      </c>
      <c r="I214" s="10">
        <v>45672.475231481483</v>
      </c>
      <c r="J214" s="10">
        <v>45672.476354166669</v>
      </c>
      <c r="K214" s="11">
        <f t="shared" si="12"/>
        <v>2.1875000020372681E-3</v>
      </c>
      <c r="L214" s="11">
        <f t="shared" si="13"/>
        <v>1.6550925938645378E-3</v>
      </c>
      <c r="M214" s="11">
        <f t="shared" si="14"/>
        <v>0</v>
      </c>
      <c r="N214" s="11">
        <f t="shared" si="15"/>
        <v>4.8819444447872229E-2</v>
      </c>
    </row>
    <row r="215" spans="1:14" x14ac:dyDescent="0.25">
      <c r="A215" s="3" t="s">
        <v>1780</v>
      </c>
      <c r="B215" s="3" t="s">
        <v>500</v>
      </c>
      <c r="C215" s="3" t="s">
        <v>3201</v>
      </c>
      <c r="D215" s="3">
        <v>1</v>
      </c>
      <c r="E215" s="10">
        <v>45672.549363425933</v>
      </c>
      <c r="F215" s="10">
        <v>45672.551747685182</v>
      </c>
      <c r="G215" s="10">
        <v>45672.552615740737</v>
      </c>
      <c r="H215" s="10">
        <v>45672.573599537027</v>
      </c>
      <c r="I215" s="10">
        <v>45672.573599537027</v>
      </c>
      <c r="J215" s="10">
        <v>45672.574421296304</v>
      </c>
      <c r="K215" s="11">
        <f t="shared" si="12"/>
        <v>2.3842592490836978E-3</v>
      </c>
      <c r="L215" s="11">
        <f t="shared" si="13"/>
        <v>8.6805555474711582E-4</v>
      </c>
      <c r="M215" s="11">
        <f t="shared" si="14"/>
        <v>0</v>
      </c>
      <c r="N215" s="11">
        <f t="shared" si="15"/>
        <v>2.5057870370801538E-2</v>
      </c>
    </row>
    <row r="216" spans="1:14" x14ac:dyDescent="0.25">
      <c r="A216" s="3" t="s">
        <v>1765</v>
      </c>
      <c r="B216" s="3" t="s">
        <v>527</v>
      </c>
      <c r="C216" s="3" t="s">
        <v>3204</v>
      </c>
      <c r="D216" s="3">
        <v>2</v>
      </c>
      <c r="E216" s="10">
        <v>45672.397685185177</v>
      </c>
      <c r="F216" s="10">
        <v>45672.657430555562</v>
      </c>
      <c r="G216" s="10">
        <v>45672.65829861111</v>
      </c>
      <c r="H216" s="10">
        <v>45672.691111111111</v>
      </c>
      <c r="I216" s="10">
        <v>45672.691111111111</v>
      </c>
      <c r="J216" s="10">
        <v>45672.692048611112</v>
      </c>
      <c r="K216" s="11">
        <f t="shared" si="12"/>
        <v>0.25974537038564449</v>
      </c>
      <c r="L216" s="11">
        <f t="shared" si="13"/>
        <v>8.6805554747115821E-4</v>
      </c>
      <c r="M216" s="11">
        <f t="shared" si="14"/>
        <v>0</v>
      </c>
      <c r="N216" s="11">
        <f t="shared" si="15"/>
        <v>0.29436342593544396</v>
      </c>
    </row>
    <row r="217" spans="1:14" x14ac:dyDescent="0.25">
      <c r="A217" s="3" t="s">
        <v>1755</v>
      </c>
      <c r="B217" s="3" t="s">
        <v>515</v>
      </c>
      <c r="C217" s="3" t="s">
        <v>3203</v>
      </c>
      <c r="D217" s="3">
        <v>3</v>
      </c>
      <c r="E217" s="10">
        <v>45672.390520833331</v>
      </c>
      <c r="F217" s="10">
        <v>45672.665578703702</v>
      </c>
      <c r="G217" s="10">
        <v>45672.667210648149</v>
      </c>
      <c r="H217" s="10">
        <v>45672.685057870367</v>
      </c>
      <c r="I217" s="10">
        <v>45672.685057870367</v>
      </c>
      <c r="J217" s="10">
        <v>45672.685752314806</v>
      </c>
      <c r="K217" s="11">
        <f t="shared" si="12"/>
        <v>0.27505787037080154</v>
      </c>
      <c r="L217" s="11">
        <f t="shared" si="13"/>
        <v>1.6319444475811906E-3</v>
      </c>
      <c r="M217" s="11">
        <f t="shared" si="14"/>
        <v>0</v>
      </c>
      <c r="N217" s="11">
        <f t="shared" si="15"/>
        <v>0.29523148147563916</v>
      </c>
    </row>
    <row r="218" spans="1:14" x14ac:dyDescent="0.25">
      <c r="A218" s="3" t="s">
        <v>1727</v>
      </c>
      <c r="B218" s="3" t="s">
        <v>519</v>
      </c>
      <c r="C218" s="3" t="s">
        <v>3200</v>
      </c>
      <c r="D218" s="3">
        <v>3</v>
      </c>
      <c r="E218" s="10">
        <v>45672.321203703701</v>
      </c>
      <c r="F218" s="10">
        <v>45672.669398148151</v>
      </c>
      <c r="G218" s="10">
        <v>45672.671979166669</v>
      </c>
      <c r="H218" s="10">
        <v>45672.710856481477</v>
      </c>
      <c r="I218" s="10">
        <v>45672.710856481477</v>
      </c>
      <c r="J218" s="10">
        <v>45672.711886574078</v>
      </c>
      <c r="K218" s="11">
        <f t="shared" si="12"/>
        <v>0.34819444445020054</v>
      </c>
      <c r="L218" s="11">
        <f t="shared" si="13"/>
        <v>2.5810185179580003E-3</v>
      </c>
      <c r="M218" s="11">
        <f t="shared" si="14"/>
        <v>0</v>
      </c>
      <c r="N218" s="11">
        <f t="shared" si="15"/>
        <v>0.3906828703766223</v>
      </c>
    </row>
    <row r="219" spans="1:14" x14ac:dyDescent="0.25">
      <c r="A219" s="3" t="s">
        <v>1806</v>
      </c>
      <c r="B219" s="3" t="s">
        <v>500</v>
      </c>
      <c r="C219" s="3" t="s">
        <v>3205</v>
      </c>
      <c r="D219" s="3">
        <v>1</v>
      </c>
      <c r="E219" s="10">
        <v>45672.667847222219</v>
      </c>
      <c r="F219" s="10">
        <v>45672.670243055552</v>
      </c>
      <c r="G219" s="10">
        <v>45672.686747685177</v>
      </c>
      <c r="H219" s="10">
        <v>45672.705879629633</v>
      </c>
      <c r="I219" s="10">
        <v>45672.705879629633</v>
      </c>
      <c r="J219" s="10">
        <v>45672.706678240742</v>
      </c>
      <c r="K219" s="11">
        <f t="shared" si="12"/>
        <v>2.3958333331393078E-3</v>
      </c>
      <c r="L219" s="11">
        <f t="shared" si="13"/>
        <v>1.6504629624250811E-2</v>
      </c>
      <c r="M219" s="11">
        <f t="shared" si="14"/>
        <v>0</v>
      </c>
      <c r="N219" s="11">
        <f t="shared" si="15"/>
        <v>3.8831018522614613E-2</v>
      </c>
    </row>
    <row r="220" spans="1:14" x14ac:dyDescent="0.25">
      <c r="A220" s="3" t="s">
        <v>1809</v>
      </c>
      <c r="B220" s="3" t="s">
        <v>500</v>
      </c>
      <c r="C220" s="3" t="s">
        <v>3203</v>
      </c>
      <c r="D220" s="3">
        <v>1</v>
      </c>
      <c r="E220" s="10">
        <v>45672.728703703702</v>
      </c>
      <c r="F220" s="10">
        <v>45672.731099537043</v>
      </c>
      <c r="G220" s="10">
        <v>45672.73196759259</v>
      </c>
      <c r="H220" s="10">
        <v>45672.788460648153</v>
      </c>
      <c r="I220" s="10">
        <v>45672.788460648153</v>
      </c>
      <c r="J220" s="10">
        <v>45672.789675925917</v>
      </c>
      <c r="K220" s="11">
        <f t="shared" si="12"/>
        <v>2.3958333404152654E-3</v>
      </c>
      <c r="L220" s="11">
        <f t="shared" si="13"/>
        <v>8.6805554747115821E-4</v>
      </c>
      <c r="M220" s="11">
        <f t="shared" si="14"/>
        <v>0</v>
      </c>
      <c r="N220" s="11">
        <f t="shared" si="15"/>
        <v>6.097222221433185E-2</v>
      </c>
    </row>
    <row r="221" spans="1:14" x14ac:dyDescent="0.25">
      <c r="A221" s="3" t="s">
        <v>1792</v>
      </c>
      <c r="B221" s="3" t="s">
        <v>506</v>
      </c>
      <c r="C221" s="3" t="s">
        <v>3197</v>
      </c>
      <c r="D221" s="3">
        <v>2</v>
      </c>
      <c r="E221" s="10">
        <v>45672.657430555562</v>
      </c>
      <c r="F221" s="10">
        <v>45672.763310185182</v>
      </c>
      <c r="G221" s="10">
        <v>45672.764155092591</v>
      </c>
      <c r="H221" s="10">
        <v>45672.784456018519</v>
      </c>
      <c r="I221" s="10">
        <v>45672.784456018519</v>
      </c>
      <c r="J221" s="10">
        <v>45672.785277777781</v>
      </c>
      <c r="K221" s="11">
        <f t="shared" si="12"/>
        <v>0.10587962962017627</v>
      </c>
      <c r="L221" s="11">
        <f t="shared" si="13"/>
        <v>8.4490740846376866E-4</v>
      </c>
      <c r="M221" s="11">
        <f t="shared" si="14"/>
        <v>0</v>
      </c>
      <c r="N221" s="11">
        <f t="shared" si="15"/>
        <v>0.12784722221840639</v>
      </c>
    </row>
    <row r="222" spans="1:14" x14ac:dyDescent="0.25">
      <c r="A222" s="3" t="s">
        <v>1732</v>
      </c>
      <c r="B222" s="3" t="s">
        <v>488</v>
      </c>
      <c r="C222" s="3" t="s">
        <v>3206</v>
      </c>
      <c r="D222" s="3">
        <v>6</v>
      </c>
      <c r="E222" s="10">
        <v>45672.324548611112</v>
      </c>
      <c r="F222" s="10">
        <v>45672.765289351853</v>
      </c>
      <c r="G222" s="10">
        <v>45672.778344907398</v>
      </c>
      <c r="H222" s="10">
        <v>45672.79892361111</v>
      </c>
      <c r="I222" s="10">
        <v>45672.79892361111</v>
      </c>
      <c r="J222" s="10">
        <v>45672.799803240741</v>
      </c>
      <c r="K222" s="11">
        <f t="shared" si="12"/>
        <v>0.44074074074160308</v>
      </c>
      <c r="L222" s="11">
        <f t="shared" si="13"/>
        <v>1.3055555544269737E-2</v>
      </c>
      <c r="M222" s="11">
        <f t="shared" si="14"/>
        <v>0</v>
      </c>
      <c r="N222" s="11">
        <f t="shared" si="15"/>
        <v>0.4752546296294895</v>
      </c>
    </row>
    <row r="223" spans="1:14" x14ac:dyDescent="0.25">
      <c r="A223" s="3" t="s">
        <v>1762</v>
      </c>
      <c r="B223" s="3" t="s">
        <v>533</v>
      </c>
      <c r="C223" s="3" t="s">
        <v>3199</v>
      </c>
      <c r="D223" s="3">
        <v>4</v>
      </c>
      <c r="E223" s="10">
        <v>45672.395567129628</v>
      </c>
      <c r="F223" s="10">
        <v>45672.776562500003</v>
      </c>
      <c r="G223" s="10">
        <v>45672.786157407398</v>
      </c>
      <c r="H223" s="10">
        <v>45672.808009259257</v>
      </c>
      <c r="I223" s="10">
        <v>45672.808009259257</v>
      </c>
      <c r="J223" s="10">
        <v>45672.808692129627</v>
      </c>
      <c r="K223" s="11">
        <f t="shared" si="12"/>
        <v>0.38099537037487607</v>
      </c>
      <c r="L223" s="11">
        <f t="shared" si="13"/>
        <v>9.5949073947849683E-3</v>
      </c>
      <c r="M223" s="11">
        <f t="shared" si="14"/>
        <v>0</v>
      </c>
      <c r="N223" s="11">
        <f t="shared" si="15"/>
        <v>0.41312499999912689</v>
      </c>
    </row>
    <row r="224" spans="1:14" x14ac:dyDescent="0.25">
      <c r="A224" s="3" t="s">
        <v>1826</v>
      </c>
      <c r="B224" s="3" t="s">
        <v>488</v>
      </c>
      <c r="C224" s="3" t="s">
        <v>3203</v>
      </c>
      <c r="D224" s="3">
        <v>2</v>
      </c>
      <c r="E224" s="10">
        <v>45672.766585648147</v>
      </c>
      <c r="F224" s="10">
        <v>45673.124016203707</v>
      </c>
      <c r="G224" s="10">
        <v>45673.124803240738</v>
      </c>
      <c r="H224" s="10">
        <v>45673.149942129632</v>
      </c>
      <c r="I224" s="10">
        <v>45673.149942129632</v>
      </c>
      <c r="J224" s="10">
        <v>45673.150740740741</v>
      </c>
      <c r="K224" s="11">
        <f t="shared" si="12"/>
        <v>0.35743055555940373</v>
      </c>
      <c r="L224" s="11">
        <f t="shared" si="13"/>
        <v>7.8703703184146434E-4</v>
      </c>
      <c r="M224" s="11">
        <f t="shared" si="14"/>
        <v>0</v>
      </c>
      <c r="N224" s="11">
        <f t="shared" si="15"/>
        <v>0.3841550925935735</v>
      </c>
    </row>
    <row r="225" spans="1:14" x14ac:dyDescent="0.25">
      <c r="A225" s="3" t="s">
        <v>1846</v>
      </c>
      <c r="B225" s="3" t="s">
        <v>500</v>
      </c>
      <c r="C225" s="3" t="s">
        <v>3203</v>
      </c>
      <c r="D225" s="3">
        <v>1</v>
      </c>
      <c r="E225" s="10">
        <v>45673.274606481478</v>
      </c>
      <c r="F225" s="10">
        <v>45673.276979166672</v>
      </c>
      <c r="G225" s="10">
        <v>45673.27784722222</v>
      </c>
      <c r="H225" s="10">
        <v>45673.329409722217</v>
      </c>
      <c r="I225" s="10">
        <v>45673.329409722217</v>
      </c>
      <c r="J225" s="10">
        <v>45673.330567129633</v>
      </c>
      <c r="K225" s="11">
        <f t="shared" si="12"/>
        <v>2.3726851941319183E-3</v>
      </c>
      <c r="L225" s="11">
        <f t="shared" si="13"/>
        <v>8.6805554747115821E-4</v>
      </c>
      <c r="M225" s="11">
        <f t="shared" si="14"/>
        <v>0</v>
      </c>
      <c r="N225" s="11">
        <f t="shared" si="15"/>
        <v>5.5960648154723458E-2</v>
      </c>
    </row>
    <row r="226" spans="1:14" x14ac:dyDescent="0.25">
      <c r="A226" s="3" t="s">
        <v>1873</v>
      </c>
      <c r="B226" s="3" t="s">
        <v>500</v>
      </c>
      <c r="C226" s="3" t="s">
        <v>3197</v>
      </c>
      <c r="D226" s="3">
        <v>1</v>
      </c>
      <c r="E226" s="10">
        <v>45673.309699074067</v>
      </c>
      <c r="F226" s="10">
        <v>45673.312071759261</v>
      </c>
      <c r="G226" s="10">
        <v>45673.312905092593</v>
      </c>
      <c r="H226" s="10">
        <v>45673.334780092591</v>
      </c>
      <c r="I226" s="10">
        <v>45673.334780092591</v>
      </c>
      <c r="J226" s="10">
        <v>45673.335625</v>
      </c>
      <c r="K226" s="11">
        <f t="shared" si="12"/>
        <v>2.3726851941319183E-3</v>
      </c>
      <c r="L226" s="11">
        <f t="shared" si="13"/>
        <v>8.3333333168411627E-4</v>
      </c>
      <c r="M226" s="11">
        <f t="shared" si="14"/>
        <v>0</v>
      </c>
      <c r="N226" s="11">
        <f t="shared" si="15"/>
        <v>2.5925925932824612E-2</v>
      </c>
    </row>
    <row r="227" spans="1:14" x14ac:dyDescent="0.25">
      <c r="A227" s="3" t="s">
        <v>1823</v>
      </c>
      <c r="B227" s="3" t="s">
        <v>506</v>
      </c>
      <c r="C227" s="3" t="s">
        <v>3194</v>
      </c>
      <c r="D227" s="3">
        <v>2</v>
      </c>
      <c r="E227" s="10">
        <v>45672.765393518523</v>
      </c>
      <c r="F227" s="10">
        <v>45673.327187499999</v>
      </c>
      <c r="G227" s="10">
        <v>45673.335520833331</v>
      </c>
      <c r="H227" s="10">
        <v>45673.357129629629</v>
      </c>
      <c r="I227" s="10">
        <v>45673.357129629629</v>
      </c>
      <c r="J227" s="10">
        <v>45673.357951388891</v>
      </c>
      <c r="K227" s="11">
        <f t="shared" si="12"/>
        <v>0.56179398147651227</v>
      </c>
      <c r="L227" s="11">
        <f t="shared" si="13"/>
        <v>8.333333331393078E-3</v>
      </c>
      <c r="M227" s="11">
        <f t="shared" si="14"/>
        <v>0</v>
      </c>
      <c r="N227" s="11">
        <f t="shared" si="15"/>
        <v>0.59255787036818219</v>
      </c>
    </row>
    <row r="228" spans="1:14" x14ac:dyDescent="0.25">
      <c r="A228" s="3" t="s">
        <v>1712</v>
      </c>
      <c r="B228" s="3" t="s">
        <v>492</v>
      </c>
      <c r="C228" s="3" t="s">
        <v>3195</v>
      </c>
      <c r="D228" s="3">
        <v>5</v>
      </c>
      <c r="E228" s="10">
        <v>45672.116851851853</v>
      </c>
      <c r="F228" s="10">
        <v>45673.340532407397</v>
      </c>
      <c r="G228" s="10">
        <v>45673.341365740736</v>
      </c>
      <c r="H228" s="10">
        <v>45673.360092592593</v>
      </c>
      <c r="I228" s="10">
        <v>45673.360092592593</v>
      </c>
      <c r="J228" s="10">
        <v>45673.360937500001</v>
      </c>
      <c r="K228" s="11">
        <f t="shared" si="12"/>
        <v>1.2236805555439787</v>
      </c>
      <c r="L228" s="11">
        <f t="shared" si="13"/>
        <v>8.3333333896007389E-4</v>
      </c>
      <c r="M228" s="11">
        <f t="shared" si="14"/>
        <v>0</v>
      </c>
      <c r="N228" s="11">
        <f t="shared" si="15"/>
        <v>1.2440856481480296</v>
      </c>
    </row>
    <row r="229" spans="1:14" x14ac:dyDescent="0.25">
      <c r="A229" s="3" t="s">
        <v>1876</v>
      </c>
      <c r="B229" s="3" t="s">
        <v>500</v>
      </c>
      <c r="C229" s="3" t="s">
        <v>3203</v>
      </c>
      <c r="D229" s="3">
        <v>1</v>
      </c>
      <c r="E229" s="10">
        <v>45673.341539351852</v>
      </c>
      <c r="F229" s="10">
        <v>45673.343935185178</v>
      </c>
      <c r="G229" s="10">
        <v>45673.345671296287</v>
      </c>
      <c r="H229" s="10">
        <v>45673.414525462962</v>
      </c>
      <c r="I229" s="10">
        <v>45673.414525462962</v>
      </c>
      <c r="J229" s="10">
        <v>45673.415902777779</v>
      </c>
      <c r="K229" s="11">
        <f t="shared" si="12"/>
        <v>2.3958333258633502E-3</v>
      </c>
      <c r="L229" s="11">
        <f t="shared" si="13"/>
        <v>1.7361111094942316E-3</v>
      </c>
      <c r="M229" s="11">
        <f t="shared" si="14"/>
        <v>0</v>
      </c>
      <c r="N229" s="11">
        <f t="shared" si="15"/>
        <v>7.4363425927003846E-2</v>
      </c>
    </row>
    <row r="230" spans="1:14" x14ac:dyDescent="0.25">
      <c r="A230" s="3" t="s">
        <v>1899</v>
      </c>
      <c r="B230" s="3" t="s">
        <v>572</v>
      </c>
      <c r="C230" s="3" t="s">
        <v>3195</v>
      </c>
      <c r="D230" s="3">
        <v>1</v>
      </c>
      <c r="E230" s="10">
        <v>45673.388194444437</v>
      </c>
      <c r="F230" s="10">
        <v>45673.390555555547</v>
      </c>
      <c r="G230" s="10">
        <v>45673.391400462962</v>
      </c>
      <c r="H230" s="10">
        <v>45673.427615740737</v>
      </c>
      <c r="I230" s="10">
        <v>45673.427615740737</v>
      </c>
      <c r="J230" s="10">
        <v>45673.42869212963</v>
      </c>
      <c r="K230" s="11">
        <f t="shared" si="12"/>
        <v>2.3611111100763083E-3</v>
      </c>
      <c r="L230" s="11">
        <f t="shared" si="13"/>
        <v>8.4490741573972628E-4</v>
      </c>
      <c r="M230" s="11">
        <f t="shared" si="14"/>
        <v>0</v>
      </c>
      <c r="N230" s="11">
        <f t="shared" si="15"/>
        <v>4.0497685193258803E-2</v>
      </c>
    </row>
    <row r="231" spans="1:14" x14ac:dyDescent="0.25">
      <c r="A231" s="3" t="s">
        <v>1902</v>
      </c>
      <c r="B231" s="3" t="s">
        <v>500</v>
      </c>
      <c r="C231" s="3" t="s">
        <v>3197</v>
      </c>
      <c r="D231" s="3">
        <v>1</v>
      </c>
      <c r="E231" s="10">
        <v>45673.390497685177</v>
      </c>
      <c r="F231" s="10">
        <v>45673.39266203704</v>
      </c>
      <c r="G231" s="10">
        <v>45673.394270833327</v>
      </c>
      <c r="H231" s="10">
        <v>45673.425659722219</v>
      </c>
      <c r="I231" s="10">
        <v>45673.425659722219</v>
      </c>
      <c r="J231" s="10">
        <v>45673.426620370366</v>
      </c>
      <c r="K231" s="11">
        <f t="shared" si="12"/>
        <v>2.1643518630298786E-3</v>
      </c>
      <c r="L231" s="11">
        <f t="shared" si="13"/>
        <v>1.6087962867459282E-3</v>
      </c>
      <c r="M231" s="11">
        <f t="shared" si="14"/>
        <v>0</v>
      </c>
      <c r="N231" s="11">
        <f t="shared" si="15"/>
        <v>3.6122685189184267E-2</v>
      </c>
    </row>
    <row r="232" spans="1:14" x14ac:dyDescent="0.25">
      <c r="A232" s="3" t="s">
        <v>1820</v>
      </c>
      <c r="B232" s="3" t="s">
        <v>527</v>
      </c>
      <c r="C232" s="3" t="s">
        <v>3204</v>
      </c>
      <c r="D232" s="3">
        <v>4</v>
      </c>
      <c r="E232" s="10">
        <v>45672.763425925928</v>
      </c>
      <c r="F232" s="10">
        <v>45673.428900462961</v>
      </c>
      <c r="G232" s="10">
        <v>45673.430636574078</v>
      </c>
      <c r="H232" s="10">
        <v>45673.449386574073</v>
      </c>
      <c r="I232" s="10">
        <v>45673.449386574073</v>
      </c>
      <c r="J232" s="10">
        <v>45673.450127314813</v>
      </c>
      <c r="K232" s="11">
        <f t="shared" si="12"/>
        <v>0.66547453703242354</v>
      </c>
      <c r="L232" s="11">
        <f t="shared" si="13"/>
        <v>1.7361111167701893E-3</v>
      </c>
      <c r="M232" s="11">
        <f t="shared" si="14"/>
        <v>0</v>
      </c>
      <c r="N232" s="11">
        <f t="shared" si="15"/>
        <v>0.68670138888410293</v>
      </c>
    </row>
    <row r="233" spans="1:14" x14ac:dyDescent="0.25">
      <c r="A233" s="3" t="s">
        <v>1836</v>
      </c>
      <c r="B233" s="3" t="s">
        <v>519</v>
      </c>
      <c r="C233" s="3" t="s">
        <v>3205</v>
      </c>
      <c r="D233" s="3">
        <v>3</v>
      </c>
      <c r="E233" s="10">
        <v>45672.773182870369</v>
      </c>
      <c r="F233" s="10">
        <v>45673.428900462961</v>
      </c>
      <c r="G233" s="10">
        <v>45673.456516203703</v>
      </c>
      <c r="H233" s="10">
        <v>45673.473969907413</v>
      </c>
      <c r="I233" s="10">
        <v>45673.473969907413</v>
      </c>
      <c r="J233" s="10">
        <v>45673.474745370368</v>
      </c>
      <c r="K233" s="11">
        <f t="shared" si="12"/>
        <v>0.65571759259182727</v>
      </c>
      <c r="L233" s="11">
        <f t="shared" si="13"/>
        <v>2.7615740742476191E-2</v>
      </c>
      <c r="M233" s="11">
        <f t="shared" si="14"/>
        <v>0</v>
      </c>
      <c r="N233" s="11">
        <f t="shared" si="15"/>
        <v>0.70156249999854481</v>
      </c>
    </row>
    <row r="234" spans="1:14" x14ac:dyDescent="0.25">
      <c r="A234" s="3" t="s">
        <v>1686</v>
      </c>
      <c r="B234" s="3" t="s">
        <v>539</v>
      </c>
      <c r="C234" s="3" t="s">
        <v>3193</v>
      </c>
      <c r="D234" s="3">
        <v>5</v>
      </c>
      <c r="E234" s="10">
        <v>45671.761053240742</v>
      </c>
      <c r="F234" s="10">
        <v>45673.43310185185</v>
      </c>
      <c r="G234" s="10">
        <v>45673.543124999997</v>
      </c>
      <c r="H234" s="10">
        <v>45673.598275462973</v>
      </c>
      <c r="I234" s="10">
        <v>45673.598275462973</v>
      </c>
      <c r="J234" s="10">
        <v>45673.599432870367</v>
      </c>
      <c r="K234" s="11">
        <f t="shared" si="12"/>
        <v>1.672048611108039</v>
      </c>
      <c r="L234" s="11">
        <f t="shared" si="13"/>
        <v>0.11002314814686542</v>
      </c>
      <c r="M234" s="11">
        <f t="shared" si="14"/>
        <v>0</v>
      </c>
      <c r="N234" s="11">
        <f t="shared" si="15"/>
        <v>1.838379629625706</v>
      </c>
    </row>
    <row r="235" spans="1:14" x14ac:dyDescent="0.25">
      <c r="A235" s="3" t="s">
        <v>1908</v>
      </c>
      <c r="B235" s="3" t="s">
        <v>500</v>
      </c>
      <c r="C235" s="3" t="s">
        <v>3195</v>
      </c>
      <c r="D235" s="3">
        <v>1</v>
      </c>
      <c r="E235" s="10">
        <v>45673.454780092587</v>
      </c>
      <c r="F235" s="10">
        <v>45673.457175925927</v>
      </c>
      <c r="G235" s="10">
        <v>45673.615995370368</v>
      </c>
      <c r="H235" s="10">
        <v>45673.674733796302</v>
      </c>
      <c r="I235" s="10">
        <v>45673.674733796302</v>
      </c>
      <c r="J235" s="10">
        <v>45673.676111111112</v>
      </c>
      <c r="K235" s="11">
        <f t="shared" si="12"/>
        <v>2.3958333404152654E-3</v>
      </c>
      <c r="L235" s="11">
        <f t="shared" si="13"/>
        <v>0.15881944444117835</v>
      </c>
      <c r="M235" s="11">
        <f t="shared" si="14"/>
        <v>0</v>
      </c>
      <c r="N235" s="11">
        <f t="shared" si="15"/>
        <v>0.22133101852523396</v>
      </c>
    </row>
    <row r="236" spans="1:14" x14ac:dyDescent="0.25">
      <c r="A236" s="3" t="s">
        <v>1911</v>
      </c>
      <c r="B236" s="3" t="s">
        <v>500</v>
      </c>
      <c r="C236" s="3" t="s">
        <v>3204</v>
      </c>
      <c r="D236" s="3">
        <v>1</v>
      </c>
      <c r="E236" s="10">
        <v>45673.541388888887</v>
      </c>
      <c r="F236" s="10">
        <v>45673.54378472222</v>
      </c>
      <c r="G236" s="10">
        <v>45673.643078703702</v>
      </c>
      <c r="H236" s="10">
        <v>45673.673101851848</v>
      </c>
      <c r="I236" s="10">
        <v>45673.673101851848</v>
      </c>
      <c r="J236" s="10">
        <v>45673.674004629633</v>
      </c>
      <c r="K236" s="11">
        <f t="shared" si="12"/>
        <v>2.3958333331393078E-3</v>
      </c>
      <c r="L236" s="11">
        <f t="shared" si="13"/>
        <v>9.9293981482333038E-2</v>
      </c>
      <c r="M236" s="11">
        <f t="shared" si="14"/>
        <v>0</v>
      </c>
      <c r="N236" s="11">
        <f t="shared" si="15"/>
        <v>0.13261574074567761</v>
      </c>
    </row>
    <row r="237" spans="1:14" x14ac:dyDescent="0.25">
      <c r="A237" s="3" t="s">
        <v>1914</v>
      </c>
      <c r="B237" s="3" t="s">
        <v>500</v>
      </c>
      <c r="C237" s="3" t="s">
        <v>3193</v>
      </c>
      <c r="D237" s="3">
        <v>1</v>
      </c>
      <c r="E237" s="10">
        <v>45673.614259259259</v>
      </c>
      <c r="F237" s="10">
        <v>45673.616655092592</v>
      </c>
      <c r="G237" s="10">
        <v>45673.655231481483</v>
      </c>
      <c r="H237" s="10">
        <v>45673.695844907408</v>
      </c>
      <c r="I237" s="10">
        <v>45673.695844907408</v>
      </c>
      <c r="J237" s="10">
        <v>45673.696805555563</v>
      </c>
      <c r="K237" s="11">
        <f t="shared" si="12"/>
        <v>2.3958333331393078E-3</v>
      </c>
      <c r="L237" s="11">
        <f t="shared" si="13"/>
        <v>3.8576388891669922E-2</v>
      </c>
      <c r="M237" s="11">
        <f t="shared" si="14"/>
        <v>0</v>
      </c>
      <c r="N237" s="11">
        <f t="shared" si="15"/>
        <v>8.2546296303917188E-2</v>
      </c>
    </row>
    <row r="238" spans="1:14" x14ac:dyDescent="0.25">
      <c r="A238" s="3" t="s">
        <v>1919</v>
      </c>
      <c r="B238" s="3" t="s">
        <v>506</v>
      </c>
      <c r="C238" s="3" t="s">
        <v>3193</v>
      </c>
      <c r="D238" s="3">
        <v>1</v>
      </c>
      <c r="E238" s="10">
        <v>45673.632384259261</v>
      </c>
      <c r="F238" s="10">
        <v>45673.634560185194</v>
      </c>
      <c r="G238" s="10">
        <v>45673.683032407411</v>
      </c>
      <c r="H238" s="10">
        <v>45673.712835648148</v>
      </c>
      <c r="I238" s="10">
        <v>45673.712835648148</v>
      </c>
      <c r="J238" s="10">
        <v>45673.71365740741</v>
      </c>
      <c r="K238" s="11">
        <f t="shared" si="12"/>
        <v>2.1759259325335734E-3</v>
      </c>
      <c r="L238" s="11">
        <f t="shared" si="13"/>
        <v>4.8472222217242233E-2</v>
      </c>
      <c r="M238" s="11">
        <f t="shared" si="14"/>
        <v>0</v>
      </c>
      <c r="N238" s="11">
        <f t="shared" si="15"/>
        <v>8.127314814919373E-2</v>
      </c>
    </row>
    <row r="239" spans="1:14" x14ac:dyDescent="0.25">
      <c r="A239" s="3" t="s">
        <v>1934</v>
      </c>
      <c r="B239" s="3" t="s">
        <v>500</v>
      </c>
      <c r="C239" s="3" t="s">
        <v>3194</v>
      </c>
      <c r="D239" s="3">
        <v>2</v>
      </c>
      <c r="E239" s="10">
        <v>45673.651435185187</v>
      </c>
      <c r="F239" s="10">
        <v>45673.685219907413</v>
      </c>
      <c r="G239" s="10">
        <v>45673.751863425918</v>
      </c>
      <c r="H239" s="10">
        <v>45673.77275462963</v>
      </c>
      <c r="I239" s="10">
        <v>45673.77275462963</v>
      </c>
      <c r="J239" s="10">
        <v>45673.773576388892</v>
      </c>
      <c r="K239" s="11">
        <f t="shared" si="12"/>
        <v>3.3784722225391306E-2</v>
      </c>
      <c r="L239" s="11">
        <f t="shared" si="13"/>
        <v>6.6643518504861277E-2</v>
      </c>
      <c r="M239" s="11">
        <f t="shared" si="14"/>
        <v>0</v>
      </c>
      <c r="N239" s="11">
        <f t="shared" si="15"/>
        <v>0.12214120370481396</v>
      </c>
    </row>
    <row r="240" spans="1:14" x14ac:dyDescent="0.25">
      <c r="A240" s="3" t="s">
        <v>1866</v>
      </c>
      <c r="B240" s="3" t="s">
        <v>488</v>
      </c>
      <c r="C240" s="3" t="s">
        <v>3196</v>
      </c>
      <c r="D240" s="3">
        <v>4</v>
      </c>
      <c r="E240" s="10">
        <v>45673.334837962961</v>
      </c>
      <c r="F240" s="10">
        <v>45673.748645833337</v>
      </c>
      <c r="G240" s="10">
        <v>45673.861666666657</v>
      </c>
      <c r="H240" s="10">
        <v>45673.88354166667</v>
      </c>
      <c r="I240" s="10">
        <v>45673.88354166667</v>
      </c>
      <c r="J240" s="10">
        <v>45673.884212962963</v>
      </c>
      <c r="K240" s="11">
        <f t="shared" si="12"/>
        <v>0.41380787037633127</v>
      </c>
      <c r="L240" s="11">
        <f t="shared" si="13"/>
        <v>0.11302083331975155</v>
      </c>
      <c r="M240" s="11">
        <f t="shared" si="14"/>
        <v>0</v>
      </c>
      <c r="N240" s="11">
        <f t="shared" si="15"/>
        <v>0.54937500000232831</v>
      </c>
    </row>
    <row r="241" spans="1:14" x14ac:dyDescent="0.25">
      <c r="A241" s="3" t="s">
        <v>1945</v>
      </c>
      <c r="B241" s="3" t="s">
        <v>506</v>
      </c>
      <c r="C241" s="3" t="s">
        <v>3193</v>
      </c>
      <c r="D241" s="3">
        <v>1</v>
      </c>
      <c r="E241" s="10">
        <v>45673.746828703697</v>
      </c>
      <c r="F241" s="10">
        <v>45673.748993055553</v>
      </c>
      <c r="G241" s="10">
        <v>45674.133692129632</v>
      </c>
      <c r="H241" s="10">
        <v>45674.198506944442</v>
      </c>
      <c r="I241" s="10">
        <v>45674.198506944442</v>
      </c>
      <c r="J241" s="10">
        <v>45674.199791666673</v>
      </c>
      <c r="K241" s="11">
        <f t="shared" si="12"/>
        <v>2.164351855753921E-3</v>
      </c>
      <c r="L241" s="11">
        <f t="shared" si="13"/>
        <v>0.38469907407852588</v>
      </c>
      <c r="M241" s="11">
        <f t="shared" si="14"/>
        <v>0</v>
      </c>
      <c r="N241" s="11">
        <f t="shared" si="15"/>
        <v>0.45296296297601657</v>
      </c>
    </row>
    <row r="242" spans="1:14" x14ac:dyDescent="0.25">
      <c r="A242" s="3" t="s">
        <v>1955</v>
      </c>
      <c r="B242" s="3" t="s">
        <v>506</v>
      </c>
      <c r="C242" s="3" t="s">
        <v>3204</v>
      </c>
      <c r="D242" s="3">
        <v>1</v>
      </c>
      <c r="E242" s="10">
        <v>45673.852002314823</v>
      </c>
      <c r="F242" s="10">
        <v>45673.854398148149</v>
      </c>
      <c r="G242" s="10">
        <v>45674.199456018519</v>
      </c>
      <c r="H242" s="10">
        <v>45674.218333333331</v>
      </c>
      <c r="I242" s="10">
        <v>45674.218333333331</v>
      </c>
      <c r="J242" s="10">
        <v>45674.219085648147</v>
      </c>
      <c r="K242" s="11">
        <f t="shared" si="12"/>
        <v>2.3958333258633502E-3</v>
      </c>
      <c r="L242" s="11">
        <f t="shared" si="13"/>
        <v>0.3450578703705105</v>
      </c>
      <c r="M242" s="11">
        <f t="shared" si="14"/>
        <v>0</v>
      </c>
      <c r="N242" s="11">
        <f t="shared" si="15"/>
        <v>0.36708333332353504</v>
      </c>
    </row>
    <row r="243" spans="1:14" x14ac:dyDescent="0.25">
      <c r="A243" s="3" t="s">
        <v>1931</v>
      </c>
      <c r="B243" s="3" t="s">
        <v>527</v>
      </c>
      <c r="C243" s="3" t="s">
        <v>3205</v>
      </c>
      <c r="D243" s="3">
        <v>3</v>
      </c>
      <c r="E243" s="10">
        <v>45673.640752314823</v>
      </c>
      <c r="F243" s="10">
        <v>45673.860497685193</v>
      </c>
      <c r="G243" s="10">
        <v>45674.2815162037</v>
      </c>
      <c r="H243" s="10">
        <v>45674.300266203703</v>
      </c>
      <c r="I243" s="10">
        <v>45674.300266203703</v>
      </c>
      <c r="J243" s="10">
        <v>45674.301064814812</v>
      </c>
      <c r="K243" s="11">
        <f t="shared" si="12"/>
        <v>0.21974537037021946</v>
      </c>
      <c r="L243" s="11">
        <f t="shared" si="13"/>
        <v>0.42101851850748062</v>
      </c>
      <c r="M243" s="11">
        <f t="shared" si="14"/>
        <v>0</v>
      </c>
      <c r="N243" s="11">
        <f t="shared" si="15"/>
        <v>0.66031249998923158</v>
      </c>
    </row>
    <row r="244" spans="1:14" x14ac:dyDescent="0.25">
      <c r="A244" s="3" t="s">
        <v>1849</v>
      </c>
      <c r="B244" s="3" t="s">
        <v>533</v>
      </c>
      <c r="C244" s="3" t="s">
        <v>3206</v>
      </c>
      <c r="D244" s="3">
        <v>4</v>
      </c>
      <c r="E244" s="10">
        <v>45673.321111111109</v>
      </c>
      <c r="F244" s="10">
        <v>45673.86173611111</v>
      </c>
      <c r="G244" s="10">
        <v>45674.32607638889</v>
      </c>
      <c r="H244" s="10">
        <v>45674.345208333332</v>
      </c>
      <c r="I244" s="10">
        <v>45674.345208333332</v>
      </c>
      <c r="J244" s="10">
        <v>45674.346064814818</v>
      </c>
      <c r="K244" s="11">
        <f t="shared" si="12"/>
        <v>0.54062500000145519</v>
      </c>
      <c r="L244" s="11">
        <f t="shared" si="13"/>
        <v>0.46434027778013842</v>
      </c>
      <c r="M244" s="11">
        <f t="shared" si="14"/>
        <v>0</v>
      </c>
      <c r="N244" s="11">
        <f t="shared" si="15"/>
        <v>1.0249537037088885</v>
      </c>
    </row>
    <row r="245" spans="1:14" x14ac:dyDescent="0.25">
      <c r="A245" s="3" t="s">
        <v>1966</v>
      </c>
      <c r="B245" s="3" t="s">
        <v>488</v>
      </c>
      <c r="C245" s="3" t="s">
        <v>3195</v>
      </c>
      <c r="D245" s="3">
        <v>2</v>
      </c>
      <c r="E245" s="10">
        <v>45673.859930555547</v>
      </c>
      <c r="F245" s="10">
        <v>45674.130474537043</v>
      </c>
      <c r="G245" s="10">
        <v>45674.328900462962</v>
      </c>
      <c r="H245" s="10">
        <v>45674.357685185183</v>
      </c>
      <c r="I245" s="10">
        <v>45674.357685185183</v>
      </c>
      <c r="J245" s="10">
        <v>45674.358657407407</v>
      </c>
      <c r="K245" s="11">
        <f t="shared" si="12"/>
        <v>0.27054398149630288</v>
      </c>
      <c r="L245" s="11">
        <f t="shared" si="13"/>
        <v>0.19842592591885477</v>
      </c>
      <c r="M245" s="11">
        <f t="shared" si="14"/>
        <v>0</v>
      </c>
      <c r="N245" s="11">
        <f t="shared" si="15"/>
        <v>0.49872685185982846</v>
      </c>
    </row>
    <row r="246" spans="1:14" x14ac:dyDescent="0.25">
      <c r="A246" s="3" t="s">
        <v>1801</v>
      </c>
      <c r="B246" s="3" t="s">
        <v>484</v>
      </c>
      <c r="C246" s="3" t="s">
        <v>3198</v>
      </c>
      <c r="D246" s="3">
        <v>6</v>
      </c>
      <c r="E246" s="10">
        <v>45672.663530092592</v>
      </c>
      <c r="F246" s="10">
        <v>45674.135879629634</v>
      </c>
      <c r="G246" s="10">
        <v>45674.346863425933</v>
      </c>
      <c r="H246" s="10">
        <v>45674.370185185187</v>
      </c>
      <c r="I246" s="10">
        <v>45674.370185185187</v>
      </c>
      <c r="J246" s="10">
        <v>45674.371041666673</v>
      </c>
      <c r="K246" s="11">
        <f t="shared" si="12"/>
        <v>1.4723495370417368</v>
      </c>
      <c r="L246" s="11">
        <f t="shared" si="13"/>
        <v>0.21098379629984265</v>
      </c>
      <c r="M246" s="11">
        <f t="shared" si="14"/>
        <v>0</v>
      </c>
      <c r="N246" s="11">
        <f t="shared" si="15"/>
        <v>1.7075115740808542</v>
      </c>
    </row>
    <row r="247" spans="1:14" x14ac:dyDescent="0.25">
      <c r="A247" s="3" t="s">
        <v>1928</v>
      </c>
      <c r="B247" s="3" t="s">
        <v>519</v>
      </c>
      <c r="C247" s="3" t="s">
        <v>3197</v>
      </c>
      <c r="D247" s="3">
        <v>3</v>
      </c>
      <c r="E247" s="10">
        <v>45673.639374999999</v>
      </c>
      <c r="F247" s="10">
        <v>45674.201273148137</v>
      </c>
      <c r="G247" s="10">
        <v>45674.379143518519</v>
      </c>
      <c r="H247" s="10">
        <v>45674.478807870371</v>
      </c>
      <c r="I247" s="10">
        <v>45674.478807870371</v>
      </c>
      <c r="J247" s="10">
        <v>45674.480694444443</v>
      </c>
      <c r="K247" s="11">
        <f t="shared" si="12"/>
        <v>0.56189814813842531</v>
      </c>
      <c r="L247" s="11">
        <f t="shared" si="13"/>
        <v>0.17787037038215203</v>
      </c>
      <c r="M247" s="11">
        <f t="shared" si="14"/>
        <v>0</v>
      </c>
      <c r="N247" s="11">
        <f t="shared" si="15"/>
        <v>0.84131944444379769</v>
      </c>
    </row>
    <row r="248" spans="1:14" x14ac:dyDescent="0.25">
      <c r="A248" s="3" t="s">
        <v>1950</v>
      </c>
      <c r="B248" s="3" t="s">
        <v>500</v>
      </c>
      <c r="C248" s="3" t="s">
        <v>3193</v>
      </c>
      <c r="D248" s="3">
        <v>2</v>
      </c>
      <c r="E248" s="10">
        <v>45673.750127314823</v>
      </c>
      <c r="F248" s="10">
        <v>45674.281944444447</v>
      </c>
      <c r="G248" s="10">
        <v>45674.399699074071</v>
      </c>
      <c r="H248" s="10">
        <v>45674.451261574082</v>
      </c>
      <c r="I248" s="10">
        <v>45674.451261574082</v>
      </c>
      <c r="J248" s="10">
        <v>45674.452372685177</v>
      </c>
      <c r="K248" s="11">
        <f t="shared" si="12"/>
        <v>0.53181712962395977</v>
      </c>
      <c r="L248" s="11">
        <f t="shared" si="13"/>
        <v>0.11775462962395977</v>
      </c>
      <c r="M248" s="11">
        <f t="shared" si="14"/>
        <v>0</v>
      </c>
      <c r="N248" s="11">
        <f t="shared" si="15"/>
        <v>0.70224537035392132</v>
      </c>
    </row>
    <row r="249" spans="1:14" x14ac:dyDescent="0.25">
      <c r="A249" s="3" t="s">
        <v>1831</v>
      </c>
      <c r="B249" s="3" t="s">
        <v>515</v>
      </c>
      <c r="C249" s="3" t="s">
        <v>3200</v>
      </c>
      <c r="D249" s="3">
        <v>3</v>
      </c>
      <c r="E249" s="10">
        <v>45672.769907407397</v>
      </c>
      <c r="F249" s="10">
        <v>45674.312847222223</v>
      </c>
      <c r="G249" s="10">
        <v>45674.439317129632</v>
      </c>
      <c r="H249" s="10">
        <v>45674.462627314817</v>
      </c>
      <c r="I249" s="10">
        <v>45674.462627314817</v>
      </c>
      <c r="J249" s="10">
        <v>45674.463449074072</v>
      </c>
      <c r="K249" s="11">
        <f t="shared" si="12"/>
        <v>1.5429398148262408</v>
      </c>
      <c r="L249" s="11">
        <f t="shared" si="13"/>
        <v>0.12646990740904585</v>
      </c>
      <c r="M249" s="11">
        <f t="shared" si="14"/>
        <v>0</v>
      </c>
      <c r="N249" s="11">
        <f t="shared" si="15"/>
        <v>1.6935416666747187</v>
      </c>
    </row>
    <row r="250" spans="1:14" x14ac:dyDescent="0.25">
      <c r="A250" s="3" t="s">
        <v>1984</v>
      </c>
      <c r="B250" s="3" t="s">
        <v>506</v>
      </c>
      <c r="C250" s="3" t="s">
        <v>3204</v>
      </c>
      <c r="D250" s="3">
        <v>1</v>
      </c>
      <c r="E250" s="10">
        <v>45674.311620370368</v>
      </c>
      <c r="F250" s="10">
        <v>45674.314016203702</v>
      </c>
      <c r="G250" s="10">
        <v>45674.545451388891</v>
      </c>
      <c r="H250" s="10">
        <v>45674.571099537039</v>
      </c>
      <c r="I250" s="10">
        <v>45674.571099537039</v>
      </c>
      <c r="J250" s="10">
        <v>45674.571932870371</v>
      </c>
      <c r="K250" s="11">
        <f t="shared" si="12"/>
        <v>2.3958333331393078E-3</v>
      </c>
      <c r="L250" s="11">
        <f t="shared" si="13"/>
        <v>0.23143518518918427</v>
      </c>
      <c r="M250" s="11">
        <f t="shared" si="14"/>
        <v>0</v>
      </c>
      <c r="N250" s="11">
        <f t="shared" si="15"/>
        <v>0.26031250000232831</v>
      </c>
    </row>
    <row r="251" spans="1:14" x14ac:dyDescent="0.25">
      <c r="A251" s="3" t="s">
        <v>1905</v>
      </c>
      <c r="B251" s="3" t="s">
        <v>572</v>
      </c>
      <c r="C251" s="3" t="s">
        <v>3203</v>
      </c>
      <c r="D251" s="3">
        <v>3</v>
      </c>
      <c r="E251" s="10">
        <v>45673.452314814807</v>
      </c>
      <c r="F251" s="10">
        <v>45674.318541666667</v>
      </c>
      <c r="G251" s="10">
        <v>45674.659560185188</v>
      </c>
      <c r="H251" s="10">
        <v>45674.682870370372</v>
      </c>
      <c r="I251" s="10">
        <v>45674.682870370372</v>
      </c>
      <c r="J251" s="10">
        <v>45674.683645833327</v>
      </c>
      <c r="K251" s="11">
        <f t="shared" si="12"/>
        <v>0.8662268518601195</v>
      </c>
      <c r="L251" s="11">
        <f t="shared" si="13"/>
        <v>0.34101851852028631</v>
      </c>
      <c r="M251" s="11">
        <f t="shared" si="14"/>
        <v>0</v>
      </c>
      <c r="N251" s="11">
        <f t="shared" si="15"/>
        <v>1.2313310185199953</v>
      </c>
    </row>
    <row r="252" spans="1:14" x14ac:dyDescent="0.25">
      <c r="A252" s="3" t="s">
        <v>1973</v>
      </c>
      <c r="B252" s="3" t="s">
        <v>492</v>
      </c>
      <c r="C252" s="3" t="s">
        <v>3194</v>
      </c>
      <c r="D252" s="3">
        <v>3</v>
      </c>
      <c r="E252" s="10">
        <v>45674.13040509259</v>
      </c>
      <c r="F252" s="10">
        <v>45674.328287037039</v>
      </c>
      <c r="G252" s="10">
        <v>45674.740868055553</v>
      </c>
      <c r="H252" s="10">
        <v>45674.765347222223</v>
      </c>
      <c r="I252" s="10">
        <v>45674.765347222223</v>
      </c>
      <c r="J252" s="10">
        <v>45674.766215277778</v>
      </c>
      <c r="K252" s="11">
        <f t="shared" si="12"/>
        <v>0.19788194444845431</v>
      </c>
      <c r="L252" s="11">
        <f t="shared" si="13"/>
        <v>0.4125810185141745</v>
      </c>
      <c r="M252" s="11">
        <f t="shared" si="14"/>
        <v>0</v>
      </c>
      <c r="N252" s="11">
        <f t="shared" si="15"/>
        <v>0.63581018518743804</v>
      </c>
    </row>
    <row r="253" spans="1:14" x14ac:dyDescent="0.25">
      <c r="A253" s="3" t="s">
        <v>2004</v>
      </c>
      <c r="B253" s="3" t="s">
        <v>500</v>
      </c>
      <c r="C253" s="3" t="s">
        <v>3205</v>
      </c>
      <c r="D253" s="3">
        <v>1</v>
      </c>
      <c r="E253" s="10">
        <v>45674.327164351853</v>
      </c>
      <c r="F253" s="10">
        <v>45674.329525462963</v>
      </c>
      <c r="G253" s="10">
        <v>45674.760115740741</v>
      </c>
      <c r="H253" s="10">
        <v>45674.819120370368</v>
      </c>
      <c r="I253" s="10">
        <v>45674.819120370368</v>
      </c>
      <c r="J253" s="10">
        <v>45674.820451388892</v>
      </c>
      <c r="K253" s="11">
        <f t="shared" si="12"/>
        <v>2.3611111100763083E-3</v>
      </c>
      <c r="L253" s="11">
        <f t="shared" si="13"/>
        <v>0.43059027777781012</v>
      </c>
      <c r="M253" s="11">
        <f t="shared" si="14"/>
        <v>0</v>
      </c>
      <c r="N253" s="11">
        <f t="shared" si="15"/>
        <v>0.49328703703940846</v>
      </c>
    </row>
    <row r="254" spans="1:14" x14ac:dyDescent="0.25">
      <c r="A254" s="3" t="s">
        <v>1789</v>
      </c>
      <c r="B254" s="3" t="s">
        <v>654</v>
      </c>
      <c r="C254" s="3" t="s">
        <v>3201</v>
      </c>
      <c r="D254" s="3">
        <v>5</v>
      </c>
      <c r="E254" s="10">
        <v>45672.655289351853</v>
      </c>
      <c r="F254" s="10">
        <v>45674.346782407411</v>
      </c>
      <c r="G254" s="10">
        <v>45674.867858796293</v>
      </c>
      <c r="H254" s="10">
        <v>45674.928761574083</v>
      </c>
      <c r="I254" s="10">
        <v>45674.928761574083</v>
      </c>
      <c r="J254" s="10">
        <v>45674.930115740739</v>
      </c>
      <c r="K254" s="11">
        <f t="shared" si="12"/>
        <v>1.6914930555576575</v>
      </c>
      <c r="L254" s="11">
        <f t="shared" si="13"/>
        <v>0.52107638888264773</v>
      </c>
      <c r="M254" s="11">
        <f t="shared" si="14"/>
        <v>0</v>
      </c>
      <c r="N254" s="11">
        <f t="shared" si="15"/>
        <v>2.2748263888861402</v>
      </c>
    </row>
    <row r="255" spans="1:14" x14ac:dyDescent="0.25">
      <c r="A255" s="3" t="s">
        <v>2034</v>
      </c>
      <c r="B255" s="3" t="s">
        <v>572</v>
      </c>
      <c r="C255" s="3" t="s">
        <v>3203</v>
      </c>
      <c r="D255" s="3">
        <v>1</v>
      </c>
      <c r="E255" s="10">
        <v>45674.377442129633</v>
      </c>
      <c r="F255" s="10">
        <v>45674.379837962973</v>
      </c>
      <c r="G255" s="10">
        <v>45675.036435185182</v>
      </c>
      <c r="H255" s="10">
        <v>45675.066516203697</v>
      </c>
      <c r="I255" s="10">
        <v>45675.066516203697</v>
      </c>
      <c r="J255" s="10">
        <v>45675.067384259259</v>
      </c>
      <c r="K255" s="11">
        <f t="shared" si="12"/>
        <v>2.3958333404152654E-3</v>
      </c>
      <c r="L255" s="11">
        <f t="shared" si="13"/>
        <v>0.65659722220880212</v>
      </c>
      <c r="M255" s="11">
        <f t="shared" si="14"/>
        <v>0</v>
      </c>
      <c r="N255" s="11">
        <f t="shared" si="15"/>
        <v>0.689942129625706</v>
      </c>
    </row>
    <row r="256" spans="1:14" x14ac:dyDescent="0.25">
      <c r="A256" s="3" t="s">
        <v>1991</v>
      </c>
      <c r="B256" s="3" t="s">
        <v>506</v>
      </c>
      <c r="C256" s="3" t="s">
        <v>3206</v>
      </c>
      <c r="D256" s="3">
        <v>2</v>
      </c>
      <c r="E256" s="10">
        <v>45674.316238425927</v>
      </c>
      <c r="F256" s="10">
        <v>45674.385949074072</v>
      </c>
      <c r="G256" s="10">
        <v>45675.25440972222</v>
      </c>
      <c r="H256" s="10">
        <v>45675.296180555553</v>
      </c>
      <c r="I256" s="10">
        <v>45675.296180555553</v>
      </c>
      <c r="J256" s="10">
        <v>45675.297337962962</v>
      </c>
      <c r="K256" s="11">
        <f t="shared" si="12"/>
        <v>6.9710648145701271E-2</v>
      </c>
      <c r="L256" s="11">
        <f t="shared" si="13"/>
        <v>0.8684606481474475</v>
      </c>
      <c r="M256" s="11">
        <f t="shared" si="14"/>
        <v>0</v>
      </c>
      <c r="N256" s="11">
        <f t="shared" si="15"/>
        <v>0.98109953703533392</v>
      </c>
    </row>
    <row r="257" spans="1:14" x14ac:dyDescent="0.25">
      <c r="A257" s="3" t="s">
        <v>1843</v>
      </c>
      <c r="B257" s="3" t="s">
        <v>496</v>
      </c>
      <c r="C257" s="3" t="s">
        <v>3199</v>
      </c>
      <c r="D257" s="3">
        <v>6</v>
      </c>
      <c r="E257" s="10">
        <v>45673.1253125</v>
      </c>
      <c r="F257" s="10">
        <v>45674.400000000001</v>
      </c>
      <c r="G257" s="10">
        <v>45675.30059027778</v>
      </c>
      <c r="H257" s="10">
        <v>45675.328321759262</v>
      </c>
      <c r="I257" s="10">
        <v>45675.328321759262</v>
      </c>
      <c r="J257" s="10">
        <v>45675.329074074078</v>
      </c>
      <c r="K257" s="11">
        <f t="shared" si="12"/>
        <v>1.2746875000011642</v>
      </c>
      <c r="L257" s="11">
        <f t="shared" si="13"/>
        <v>0.90059027777897427</v>
      </c>
      <c r="M257" s="11">
        <f t="shared" si="14"/>
        <v>0</v>
      </c>
      <c r="N257" s="11">
        <f t="shared" si="15"/>
        <v>2.2037615740773617</v>
      </c>
    </row>
    <row r="258" spans="1:14" x14ac:dyDescent="0.25">
      <c r="A258" s="3" t="s">
        <v>1994</v>
      </c>
      <c r="B258" s="3" t="s">
        <v>519</v>
      </c>
      <c r="C258" s="3" t="s">
        <v>3196</v>
      </c>
      <c r="D258" s="3">
        <v>3</v>
      </c>
      <c r="E258" s="10">
        <v>45674.318287037036</v>
      </c>
      <c r="F258" s="10">
        <v>45674.40152777778</v>
      </c>
      <c r="G258" s="10">
        <v>45676.747916666667</v>
      </c>
      <c r="H258" s="10">
        <v>45676.779965277783</v>
      </c>
      <c r="I258" s="10">
        <v>45676.779965277783</v>
      </c>
      <c r="J258" s="10">
        <v>45676.780763888892</v>
      </c>
      <c r="K258" s="11">
        <f t="shared" ref="K258:K321" si="16">IF(AND(ISNUMBER(E258),ISNUMBER(F258)),(F258-E258),"")</f>
        <v>8.3240740743349306E-2</v>
      </c>
      <c r="L258" s="11">
        <f t="shared" ref="L258:L321" si="17">IF(AND(ISNUMBER(F258),ISNUMBER(G258)),(G258-F258),"")</f>
        <v>2.3463888888873043</v>
      </c>
      <c r="M258" s="11">
        <f t="shared" ref="M258:M321" si="18">IF(AND(ISNUMBER(H258),ISNUMBER(I258)),(I258-H258),"")</f>
        <v>0</v>
      </c>
      <c r="N258" s="11">
        <f t="shared" ref="N258:N321" si="19">IF(AND(ISNUMBER(E258),ISNUMBER(J258)),(J258-E258),"")</f>
        <v>2.4624768518551718</v>
      </c>
    </row>
    <row r="259" spans="1:14" x14ac:dyDescent="0.25">
      <c r="A259" s="3" t="s">
        <v>2041</v>
      </c>
      <c r="B259" s="3" t="s">
        <v>500</v>
      </c>
      <c r="C259" s="3" t="s">
        <v>3193</v>
      </c>
      <c r="D259" s="3">
        <v>1</v>
      </c>
      <c r="E259" s="10">
        <v>45674.543749999997</v>
      </c>
      <c r="F259" s="10">
        <v>45674.54614583333</v>
      </c>
      <c r="G259" s="10">
        <v>45676.855671296304</v>
      </c>
      <c r="H259" s="10">
        <v>45676.89707175926</v>
      </c>
      <c r="I259" s="10">
        <v>45676.89707175926</v>
      </c>
      <c r="J259" s="10">
        <v>45676.898043981477</v>
      </c>
      <c r="K259" s="11">
        <f t="shared" si="16"/>
        <v>2.3958333331393078E-3</v>
      </c>
      <c r="L259" s="11">
        <f t="shared" si="17"/>
        <v>2.3095254629733972</v>
      </c>
      <c r="M259" s="11">
        <f t="shared" si="18"/>
        <v>0</v>
      </c>
      <c r="N259" s="11">
        <f t="shared" si="19"/>
        <v>2.3542939814797137</v>
      </c>
    </row>
    <row r="260" spans="1:14" x14ac:dyDescent="0.25">
      <c r="A260" s="3" t="s">
        <v>2019</v>
      </c>
      <c r="B260" s="3" t="s">
        <v>500</v>
      </c>
      <c r="C260" s="3" t="s">
        <v>3204</v>
      </c>
      <c r="D260" s="3">
        <v>2</v>
      </c>
      <c r="E260" s="10">
        <v>45674.389027777783</v>
      </c>
      <c r="F260" s="10">
        <v>45674.660185185188</v>
      </c>
      <c r="G260" s="10">
        <v>45677.122731481482</v>
      </c>
      <c r="H260" s="10">
        <v>45677.160983796297</v>
      </c>
      <c r="I260" s="10">
        <v>45677.160983796297</v>
      </c>
      <c r="J260" s="10">
        <v>45677.162002314813</v>
      </c>
      <c r="K260" s="11">
        <f t="shared" si="16"/>
        <v>0.27115740740555339</v>
      </c>
      <c r="L260" s="11">
        <f t="shared" si="17"/>
        <v>2.4625462962940219</v>
      </c>
      <c r="M260" s="11">
        <f t="shared" si="18"/>
        <v>0</v>
      </c>
      <c r="N260" s="11">
        <f t="shared" si="19"/>
        <v>2.7729745370306773</v>
      </c>
    </row>
    <row r="261" spans="1:14" x14ac:dyDescent="0.25">
      <c r="A261" s="3" t="s">
        <v>2037</v>
      </c>
      <c r="B261" s="3" t="s">
        <v>500</v>
      </c>
      <c r="C261" s="3" t="s">
        <v>3203</v>
      </c>
      <c r="D261" s="3">
        <v>2</v>
      </c>
      <c r="E261" s="10">
        <v>45674.435474537036</v>
      </c>
      <c r="F261" s="10">
        <v>45674.741562499999</v>
      </c>
      <c r="G261" s="10">
        <v>45677.201331018521</v>
      </c>
      <c r="H261" s="10">
        <v>45677.253784722219</v>
      </c>
      <c r="I261" s="10">
        <v>45677.253784722219</v>
      </c>
      <c r="J261" s="10">
        <v>45677.254942129628</v>
      </c>
      <c r="K261" s="11">
        <f t="shared" si="16"/>
        <v>0.30608796296291985</v>
      </c>
      <c r="L261" s="11">
        <f t="shared" si="17"/>
        <v>2.4597685185217415</v>
      </c>
      <c r="M261" s="11">
        <f t="shared" si="18"/>
        <v>0</v>
      </c>
      <c r="N261" s="11">
        <f t="shared" si="19"/>
        <v>2.8194675925915362</v>
      </c>
    </row>
    <row r="262" spans="1:14" x14ac:dyDescent="0.25">
      <c r="A262" s="3" t="s">
        <v>1997</v>
      </c>
      <c r="B262" s="3" t="s">
        <v>500</v>
      </c>
      <c r="C262" s="3" t="s">
        <v>3197</v>
      </c>
      <c r="D262" s="3">
        <v>3</v>
      </c>
      <c r="E262" s="10">
        <v>45674.320231481477</v>
      </c>
      <c r="F262" s="10">
        <v>45674.760775462957</v>
      </c>
      <c r="G262" s="10">
        <v>45677.257071759261</v>
      </c>
      <c r="H262" s="10">
        <v>45677.276192129633</v>
      </c>
      <c r="I262" s="10">
        <v>45677.276192129633</v>
      </c>
      <c r="J262" s="10">
        <v>45677.277002314811</v>
      </c>
      <c r="K262" s="11">
        <f t="shared" si="16"/>
        <v>0.44054398148000473</v>
      </c>
      <c r="L262" s="11">
        <f t="shared" si="17"/>
        <v>2.4962962963036261</v>
      </c>
      <c r="M262" s="11">
        <f t="shared" si="18"/>
        <v>0</v>
      </c>
      <c r="N262" s="11">
        <f t="shared" si="19"/>
        <v>2.9567708333343035</v>
      </c>
    </row>
    <row r="263" spans="1:14" x14ac:dyDescent="0.25">
      <c r="A263" s="3" t="s">
        <v>2056</v>
      </c>
      <c r="B263" s="3" t="s">
        <v>492</v>
      </c>
      <c r="C263" s="3" t="s">
        <v>3194</v>
      </c>
      <c r="D263" s="3">
        <v>2</v>
      </c>
      <c r="E263" s="10">
        <v>45674.859039351853</v>
      </c>
      <c r="F263" s="10">
        <v>45674.868159722217</v>
      </c>
      <c r="G263" s="10">
        <v>45677.321250000001</v>
      </c>
      <c r="H263" s="10">
        <v>45677.351770833331</v>
      </c>
      <c r="I263" s="10">
        <v>45677.351770833331</v>
      </c>
      <c r="J263" s="10">
        <v>45677.352719907409</v>
      </c>
      <c r="K263" s="11">
        <f t="shared" si="16"/>
        <v>9.1203703632345423E-3</v>
      </c>
      <c r="L263" s="11">
        <f t="shared" si="17"/>
        <v>2.453090277784213</v>
      </c>
      <c r="M263" s="11">
        <f t="shared" si="18"/>
        <v>0</v>
      </c>
      <c r="N263" s="11">
        <f t="shared" si="19"/>
        <v>2.4936805555553292</v>
      </c>
    </row>
    <row r="264" spans="1:14" x14ac:dyDescent="0.25">
      <c r="A264" s="3" t="s">
        <v>2070</v>
      </c>
      <c r="B264" s="3" t="s">
        <v>506</v>
      </c>
      <c r="C264" s="3" t="s">
        <v>3201</v>
      </c>
      <c r="D264" s="3">
        <v>1</v>
      </c>
      <c r="E264" s="10">
        <v>45675.031076388892</v>
      </c>
      <c r="F264" s="10">
        <v>45675.033229166656</v>
      </c>
      <c r="G264" s="10">
        <v>45677.322812500002</v>
      </c>
      <c r="H264" s="10">
        <v>45677.35392361111</v>
      </c>
      <c r="I264" s="10">
        <v>45677.35392361111</v>
      </c>
      <c r="J264" s="10">
        <v>45677.354872685188</v>
      </c>
      <c r="K264" s="11">
        <f t="shared" si="16"/>
        <v>2.1527777644223534E-3</v>
      </c>
      <c r="L264" s="11">
        <f t="shared" si="17"/>
        <v>2.289583333345945</v>
      </c>
      <c r="M264" s="11">
        <f t="shared" si="18"/>
        <v>0</v>
      </c>
      <c r="N264" s="11">
        <f t="shared" si="19"/>
        <v>2.3237962962957681</v>
      </c>
    </row>
    <row r="265" spans="1:14" x14ac:dyDescent="0.25">
      <c r="A265" s="3" t="s">
        <v>2053</v>
      </c>
      <c r="B265" s="3" t="s">
        <v>519</v>
      </c>
      <c r="C265" s="3" t="s">
        <v>3200</v>
      </c>
      <c r="D265" s="3">
        <v>3</v>
      </c>
      <c r="E265" s="10">
        <v>45674.857071759259</v>
      </c>
      <c r="F265" s="10">
        <v>45675.038240740738</v>
      </c>
      <c r="G265" s="10">
        <v>45677.355173611111</v>
      </c>
      <c r="H265" s="10">
        <v>45677.380057870367</v>
      </c>
      <c r="I265" s="10">
        <v>45677.380057870367</v>
      </c>
      <c r="J265" s="10">
        <v>45677.380891203713</v>
      </c>
      <c r="K265" s="11">
        <f t="shared" si="16"/>
        <v>0.18116898147854954</v>
      </c>
      <c r="L265" s="11">
        <f t="shared" si="17"/>
        <v>2.3169328703734209</v>
      </c>
      <c r="M265" s="11">
        <f t="shared" si="18"/>
        <v>0</v>
      </c>
      <c r="N265" s="11">
        <f t="shared" si="19"/>
        <v>2.523819444453693</v>
      </c>
    </row>
    <row r="266" spans="1:14" x14ac:dyDescent="0.25">
      <c r="A266" s="3" t="s">
        <v>2080</v>
      </c>
      <c r="B266" s="3" t="s">
        <v>519</v>
      </c>
      <c r="C266" s="3" t="s">
        <v>3203</v>
      </c>
      <c r="D266" s="3">
        <v>2</v>
      </c>
      <c r="E266" s="10">
        <v>45675.25267361111</v>
      </c>
      <c r="F266" s="10">
        <v>45675.302858796298</v>
      </c>
      <c r="G266" s="10">
        <v>45677.38726851852</v>
      </c>
      <c r="H266" s="10">
        <v>45677.406412037039</v>
      </c>
      <c r="I266" s="10">
        <v>45677.406412037039</v>
      </c>
      <c r="J266" s="10">
        <v>45677.407141203701</v>
      </c>
      <c r="K266" s="11">
        <f t="shared" si="16"/>
        <v>5.0185185187729076E-2</v>
      </c>
      <c r="L266" s="11">
        <f t="shared" si="17"/>
        <v>2.0844097222216078</v>
      </c>
      <c r="M266" s="11">
        <f t="shared" si="18"/>
        <v>0</v>
      </c>
      <c r="N266" s="11">
        <f t="shared" si="19"/>
        <v>2.1544675925906631</v>
      </c>
    </row>
    <row r="267" spans="1:14" x14ac:dyDescent="0.25">
      <c r="A267" s="3" t="s">
        <v>2087</v>
      </c>
      <c r="B267" s="3" t="s">
        <v>506</v>
      </c>
      <c r="C267" s="3" t="s">
        <v>3199</v>
      </c>
      <c r="D267" s="3">
        <v>2</v>
      </c>
      <c r="E267" s="10">
        <v>45675.290578703702</v>
      </c>
      <c r="F267" s="10">
        <v>45676.746655092589</v>
      </c>
      <c r="G267" s="10">
        <v>45677.409317129634</v>
      </c>
      <c r="H267" s="10">
        <v>45677.499895833331</v>
      </c>
      <c r="I267" s="10">
        <v>45677.499895833331</v>
      </c>
      <c r="J267" s="10">
        <v>45677.501493055563</v>
      </c>
      <c r="K267" s="11">
        <f t="shared" si="16"/>
        <v>1.4560763888875954</v>
      </c>
      <c r="L267" s="11">
        <f t="shared" si="17"/>
        <v>0.66266203704435611</v>
      </c>
      <c r="M267" s="11">
        <f t="shared" si="18"/>
        <v>0</v>
      </c>
      <c r="N267" s="11">
        <f t="shared" si="19"/>
        <v>2.2109143518609926</v>
      </c>
    </row>
    <row r="268" spans="1:14" x14ac:dyDescent="0.25">
      <c r="A268" s="3" t="s">
        <v>2062</v>
      </c>
      <c r="B268" s="3" t="s">
        <v>506</v>
      </c>
      <c r="C268" s="3" t="s">
        <v>3196</v>
      </c>
      <c r="D268" s="3">
        <v>3</v>
      </c>
      <c r="E268" s="10">
        <v>45674.862337962957</v>
      </c>
      <c r="F268" s="10">
        <v>45676.854444444441</v>
      </c>
      <c r="G268" s="10">
        <v>45677.456828703696</v>
      </c>
      <c r="H268" s="10">
        <v>45677.479861111111</v>
      </c>
      <c r="I268" s="10">
        <v>45677.479861111111</v>
      </c>
      <c r="J268" s="10">
        <v>45677.480555555558</v>
      </c>
      <c r="K268" s="11">
        <f t="shared" si="16"/>
        <v>1.9921064814843703</v>
      </c>
      <c r="L268" s="11">
        <f t="shared" si="17"/>
        <v>0.60238425925490446</v>
      </c>
      <c r="M268" s="11">
        <f t="shared" si="18"/>
        <v>0</v>
      </c>
      <c r="N268" s="11">
        <f t="shared" si="19"/>
        <v>2.6182175926005584</v>
      </c>
    </row>
    <row r="269" spans="1:14" x14ac:dyDescent="0.25">
      <c r="A269" s="3" t="s">
        <v>2024</v>
      </c>
      <c r="B269" s="3" t="s">
        <v>519</v>
      </c>
      <c r="C269" s="3" t="s">
        <v>3206</v>
      </c>
      <c r="D269" s="3">
        <v>3</v>
      </c>
      <c r="E269" s="10">
        <v>45674.391967592594</v>
      </c>
      <c r="F269" s="10">
        <v>45676.857858796298</v>
      </c>
      <c r="G269" s="10">
        <v>45677.540914351863</v>
      </c>
      <c r="H269" s="10">
        <v>45677.559664351851</v>
      </c>
      <c r="I269" s="10">
        <v>45677.559664351851</v>
      </c>
      <c r="J269" s="10">
        <v>45677.56050925926</v>
      </c>
      <c r="K269" s="11">
        <f t="shared" si="16"/>
        <v>2.465891203704814</v>
      </c>
      <c r="L269" s="11">
        <f t="shared" si="17"/>
        <v>0.68305555556435138</v>
      </c>
      <c r="M269" s="11">
        <f t="shared" si="18"/>
        <v>0</v>
      </c>
      <c r="N269" s="11">
        <f t="shared" si="19"/>
        <v>3.1685416666659876</v>
      </c>
    </row>
    <row r="270" spans="1:14" x14ac:dyDescent="0.25">
      <c r="A270" s="3" t="s">
        <v>2114</v>
      </c>
      <c r="B270" s="3" t="s">
        <v>488</v>
      </c>
      <c r="C270" s="3" t="s">
        <v>3193</v>
      </c>
      <c r="D270" s="3">
        <v>1</v>
      </c>
      <c r="E270" s="10">
        <v>45677.117013888892</v>
      </c>
      <c r="F270" s="10">
        <v>45677.119409722232</v>
      </c>
      <c r="G270" s="10">
        <v>45677.612662037027</v>
      </c>
      <c r="H270" s="10">
        <v>45677.641446759262</v>
      </c>
      <c r="I270" s="10">
        <v>45677.641446759262</v>
      </c>
      <c r="J270" s="10">
        <v>45677.642256944448</v>
      </c>
      <c r="K270" s="11">
        <f t="shared" si="16"/>
        <v>2.3958333404152654E-3</v>
      </c>
      <c r="L270" s="11">
        <f t="shared" si="17"/>
        <v>0.49325231479451759</v>
      </c>
      <c r="M270" s="11">
        <f t="shared" si="18"/>
        <v>0</v>
      </c>
      <c r="N270" s="11">
        <f t="shared" si="19"/>
        <v>0.52524305555562023</v>
      </c>
    </row>
    <row r="271" spans="1:14" x14ac:dyDescent="0.25">
      <c r="A271" s="3" t="s">
        <v>2050</v>
      </c>
      <c r="B271" s="3" t="s">
        <v>519</v>
      </c>
      <c r="C271" s="3" t="s">
        <v>3204</v>
      </c>
      <c r="D271" s="3">
        <v>4</v>
      </c>
      <c r="E271" s="10">
        <v>45674.855300925927</v>
      </c>
      <c r="F271" s="10">
        <v>45677.20207175926</v>
      </c>
      <c r="G271" s="10">
        <v>45677.666030092587</v>
      </c>
      <c r="H271" s="10">
        <v>45677.723263888889</v>
      </c>
      <c r="I271" s="10">
        <v>45677.723263888889</v>
      </c>
      <c r="J271" s="10">
        <v>45677.724537037036</v>
      </c>
      <c r="K271" s="11">
        <f t="shared" si="16"/>
        <v>2.3467708333337214</v>
      </c>
      <c r="L271" s="11">
        <f t="shared" si="17"/>
        <v>0.46395833332644543</v>
      </c>
      <c r="M271" s="11">
        <f t="shared" si="18"/>
        <v>0</v>
      </c>
      <c r="N271" s="11">
        <f t="shared" si="19"/>
        <v>2.8692361111097853</v>
      </c>
    </row>
    <row r="272" spans="1:14" x14ac:dyDescent="0.25">
      <c r="A272" s="3" t="s">
        <v>2125</v>
      </c>
      <c r="B272" s="3" t="s">
        <v>488</v>
      </c>
      <c r="C272" s="3" t="s">
        <v>3203</v>
      </c>
      <c r="D272" s="3">
        <v>1</v>
      </c>
      <c r="E272" s="10">
        <v>45677.331793981481</v>
      </c>
      <c r="F272" s="10">
        <v>45677.333958333344</v>
      </c>
      <c r="G272" s="10">
        <v>45677.667569444442</v>
      </c>
      <c r="H272" s="10">
        <v>45677.685416666667</v>
      </c>
      <c r="I272" s="10">
        <v>45677.685416666667</v>
      </c>
      <c r="J272" s="10">
        <v>45677.686111111107</v>
      </c>
      <c r="K272" s="11">
        <f t="shared" si="16"/>
        <v>2.1643518630298786E-3</v>
      </c>
      <c r="L272" s="11">
        <f t="shared" si="17"/>
        <v>0.33361111109843478</v>
      </c>
      <c r="M272" s="11">
        <f t="shared" si="18"/>
        <v>0</v>
      </c>
      <c r="N272" s="11">
        <f t="shared" si="19"/>
        <v>0.35431712962599704</v>
      </c>
    </row>
    <row r="273" spans="1:14" x14ac:dyDescent="0.25">
      <c r="A273" s="3" t="s">
        <v>2059</v>
      </c>
      <c r="B273" s="3" t="s">
        <v>527</v>
      </c>
      <c r="C273" s="3" t="s">
        <v>3205</v>
      </c>
      <c r="D273" s="3">
        <v>3</v>
      </c>
      <c r="E273" s="10">
        <v>45674.860405092593</v>
      </c>
      <c r="F273" s="10">
        <v>45677.338391203702</v>
      </c>
      <c r="G273" s="10">
        <v>45677.672233796293</v>
      </c>
      <c r="H273" s="10">
        <v>45677.695671296293</v>
      </c>
      <c r="I273" s="10">
        <v>45677.695671296293</v>
      </c>
      <c r="J273" s="10">
        <v>45677.696527777778</v>
      </c>
      <c r="K273" s="11">
        <f t="shared" si="16"/>
        <v>2.4779861111092032</v>
      </c>
      <c r="L273" s="11">
        <f t="shared" si="17"/>
        <v>0.33384259259037208</v>
      </c>
      <c r="M273" s="11">
        <f t="shared" si="18"/>
        <v>0</v>
      </c>
      <c r="N273" s="11">
        <f t="shared" si="19"/>
        <v>2.8361226851848187</v>
      </c>
    </row>
    <row r="274" spans="1:14" x14ac:dyDescent="0.25">
      <c r="A274" s="3" t="s">
        <v>1735</v>
      </c>
      <c r="B274" s="3" t="s">
        <v>595</v>
      </c>
      <c r="C274" s="3" t="s">
        <v>3202</v>
      </c>
      <c r="D274" s="3">
        <v>6</v>
      </c>
      <c r="E274" s="10">
        <v>45672.325960648152</v>
      </c>
      <c r="F274" s="10">
        <v>45677.356562499997</v>
      </c>
      <c r="G274" s="10">
        <v>45677.719953703701</v>
      </c>
      <c r="H274" s="10">
        <v>45677.741828703707</v>
      </c>
      <c r="I274" s="10">
        <v>45677.741828703707</v>
      </c>
      <c r="J274" s="10">
        <v>45677.742604166669</v>
      </c>
      <c r="K274" s="11">
        <f t="shared" si="16"/>
        <v>5.0306018518458586</v>
      </c>
      <c r="L274" s="11">
        <f t="shared" si="17"/>
        <v>0.36339120370394085</v>
      </c>
      <c r="M274" s="11">
        <f t="shared" si="18"/>
        <v>0</v>
      </c>
      <c r="N274" s="11">
        <f t="shared" si="19"/>
        <v>5.416643518517958</v>
      </c>
    </row>
    <row r="275" spans="1:14" x14ac:dyDescent="0.25">
      <c r="A275" s="3" t="s">
        <v>2187</v>
      </c>
      <c r="B275" s="3" t="s">
        <v>572</v>
      </c>
      <c r="C275" s="3" t="s">
        <v>3203</v>
      </c>
      <c r="D275" s="3">
        <v>1</v>
      </c>
      <c r="E275" s="10">
        <v>45677.385555555556</v>
      </c>
      <c r="F275" s="10">
        <v>45677.38795138889</v>
      </c>
      <c r="G275" s="10">
        <v>45677.889351851853</v>
      </c>
      <c r="H275" s="10">
        <v>45677.914629629631</v>
      </c>
      <c r="I275" s="10">
        <v>45677.914629629631</v>
      </c>
      <c r="J275" s="10">
        <v>45677.91542824074</v>
      </c>
      <c r="K275" s="11">
        <f t="shared" si="16"/>
        <v>2.3958333331393078E-3</v>
      </c>
      <c r="L275" s="11">
        <f t="shared" si="17"/>
        <v>0.50140046296291985</v>
      </c>
      <c r="M275" s="11">
        <f t="shared" si="18"/>
        <v>0</v>
      </c>
      <c r="N275" s="11">
        <f t="shared" si="19"/>
        <v>0.5298726851833635</v>
      </c>
    </row>
    <row r="276" spans="1:14" x14ac:dyDescent="0.25">
      <c r="A276" s="3" t="s">
        <v>2093</v>
      </c>
      <c r="B276" s="3" t="s">
        <v>527</v>
      </c>
      <c r="C276" s="3" t="s">
        <v>3194</v>
      </c>
      <c r="D276" s="3">
        <v>3</v>
      </c>
      <c r="E276" s="10">
        <v>45675.294490740736</v>
      </c>
      <c r="F276" s="10">
        <v>45677.397094907406</v>
      </c>
      <c r="G276" s="10">
        <v>45678.1406712963</v>
      </c>
      <c r="H276" s="10">
        <v>45678.1641087963</v>
      </c>
      <c r="I276" s="10">
        <v>45678.1641087963</v>
      </c>
      <c r="J276" s="10">
        <v>45678.164965277778</v>
      </c>
      <c r="K276" s="11">
        <f t="shared" si="16"/>
        <v>2.1026041666700621</v>
      </c>
      <c r="L276" s="11">
        <f t="shared" si="17"/>
        <v>0.74357638889341615</v>
      </c>
      <c r="M276" s="11">
        <f t="shared" si="18"/>
        <v>0</v>
      </c>
      <c r="N276" s="11">
        <f t="shared" si="19"/>
        <v>2.8704745370414457</v>
      </c>
    </row>
    <row r="277" spans="1:14" x14ac:dyDescent="0.25">
      <c r="A277" s="3" t="s">
        <v>2090</v>
      </c>
      <c r="B277" s="3" t="s">
        <v>519</v>
      </c>
      <c r="C277" s="3" t="s">
        <v>3197</v>
      </c>
      <c r="D277" s="3">
        <v>7</v>
      </c>
      <c r="E277" s="10">
        <v>45675.292534722219</v>
      </c>
      <c r="F277" s="10">
        <v>45677.409537037027</v>
      </c>
      <c r="G277" s="10">
        <v>45678.286076388889</v>
      </c>
      <c r="H277" s="10">
        <v>45678.30972222222</v>
      </c>
      <c r="I277" s="10">
        <v>45678.30972222222</v>
      </c>
      <c r="J277" s="10">
        <v>45678.310578703713</v>
      </c>
      <c r="K277" s="11">
        <f t="shared" si="16"/>
        <v>2.1170023148079053</v>
      </c>
      <c r="L277" s="11">
        <f t="shared" si="17"/>
        <v>0.8765393518624478</v>
      </c>
      <c r="M277" s="11">
        <f t="shared" si="18"/>
        <v>0</v>
      </c>
      <c r="N277" s="11">
        <f t="shared" si="19"/>
        <v>3.0180439814939746</v>
      </c>
    </row>
    <row r="278" spans="1:14" x14ac:dyDescent="0.25">
      <c r="A278" s="3" t="s">
        <v>2190</v>
      </c>
      <c r="B278" s="3" t="s">
        <v>500</v>
      </c>
      <c r="C278" s="3" t="s">
        <v>3203</v>
      </c>
      <c r="D278" s="3">
        <v>2</v>
      </c>
      <c r="E278" s="10">
        <v>45677.451898148152</v>
      </c>
      <c r="F278" s="10">
        <v>45677.456990740742</v>
      </c>
      <c r="G278" s="10">
        <v>45678.316377314812</v>
      </c>
      <c r="H278" s="10">
        <v>45678.34516203704</v>
      </c>
      <c r="I278" s="10">
        <v>45678.34516203704</v>
      </c>
      <c r="J278" s="10">
        <v>45678.346018518518</v>
      </c>
      <c r="K278" s="11">
        <f t="shared" si="16"/>
        <v>5.0925925897900015E-3</v>
      </c>
      <c r="L278" s="11">
        <f t="shared" si="17"/>
        <v>0.85938657406950369</v>
      </c>
      <c r="M278" s="11">
        <f t="shared" si="18"/>
        <v>0</v>
      </c>
      <c r="N278" s="11">
        <f t="shared" si="19"/>
        <v>0.89412037036527181</v>
      </c>
    </row>
    <row r="279" spans="1:14" x14ac:dyDescent="0.25">
      <c r="A279" s="3" t="s">
        <v>2195</v>
      </c>
      <c r="B279" s="3" t="s">
        <v>500</v>
      </c>
      <c r="C279" s="3" t="s">
        <v>3200</v>
      </c>
      <c r="D279" s="3">
        <v>1</v>
      </c>
      <c r="E279" s="10">
        <v>45677.45511574074</v>
      </c>
      <c r="F279" s="10">
        <v>45677.457476851851</v>
      </c>
      <c r="G279" s="10">
        <v>45678.334710648152</v>
      </c>
      <c r="H279" s="10">
        <v>45678.36142361111</v>
      </c>
      <c r="I279" s="10">
        <v>45678.36142361111</v>
      </c>
      <c r="J279" s="10">
        <v>45678.362291666657</v>
      </c>
      <c r="K279" s="11">
        <f t="shared" si="16"/>
        <v>2.3611111100763083E-3</v>
      </c>
      <c r="L279" s="11">
        <f t="shared" si="17"/>
        <v>0.87723379630187992</v>
      </c>
      <c r="M279" s="11">
        <f t="shared" si="18"/>
        <v>0</v>
      </c>
      <c r="N279" s="11">
        <f t="shared" si="19"/>
        <v>0.9071759259168175</v>
      </c>
    </row>
    <row r="280" spans="1:14" x14ac:dyDescent="0.25">
      <c r="A280" s="3" t="s">
        <v>2119</v>
      </c>
      <c r="B280" s="3" t="s">
        <v>500</v>
      </c>
      <c r="C280" s="3" t="s">
        <v>3199</v>
      </c>
      <c r="D280" s="3">
        <v>4</v>
      </c>
      <c r="E280" s="10">
        <v>45677.120995370373</v>
      </c>
      <c r="F280" s="10">
        <v>45677.541597222233</v>
      </c>
      <c r="G280" s="10">
        <v>45678.340532407397</v>
      </c>
      <c r="H280" s="10">
        <v>45678.358749999999</v>
      </c>
      <c r="I280" s="10">
        <v>45678.358749999999</v>
      </c>
      <c r="J280" s="10">
        <v>45678.359386574077</v>
      </c>
      <c r="K280" s="11">
        <f t="shared" si="16"/>
        <v>0.42060185185982846</v>
      </c>
      <c r="L280" s="11">
        <f t="shared" si="17"/>
        <v>0.79893518516473705</v>
      </c>
      <c r="M280" s="11">
        <f t="shared" si="18"/>
        <v>0</v>
      </c>
      <c r="N280" s="11">
        <f t="shared" si="19"/>
        <v>1.2383912037039408</v>
      </c>
    </row>
    <row r="281" spans="1:14" x14ac:dyDescent="0.25">
      <c r="A281" s="3" t="s">
        <v>2150</v>
      </c>
      <c r="B281" s="3" t="s">
        <v>500</v>
      </c>
      <c r="C281" s="3" t="s">
        <v>3206</v>
      </c>
      <c r="D281" s="3">
        <v>2</v>
      </c>
      <c r="E281" s="10">
        <v>45677.346863425933</v>
      </c>
      <c r="F281" s="10">
        <v>45677.613344907397</v>
      </c>
      <c r="G281" s="10">
        <v>45678.387997685182</v>
      </c>
      <c r="H281" s="10">
        <v>45678.455543981479</v>
      </c>
      <c r="I281" s="10">
        <v>45678.455543981479</v>
      </c>
      <c r="J281" s="10">
        <v>45678.457037037027</v>
      </c>
      <c r="K281" s="11">
        <f t="shared" si="16"/>
        <v>0.26648148146341555</v>
      </c>
      <c r="L281" s="11">
        <f t="shared" si="17"/>
        <v>0.77465277778537711</v>
      </c>
      <c r="M281" s="11">
        <f t="shared" si="18"/>
        <v>0</v>
      </c>
      <c r="N281" s="11">
        <f t="shared" si="19"/>
        <v>1.1101736110940692</v>
      </c>
    </row>
    <row r="282" spans="1:14" x14ac:dyDescent="0.25">
      <c r="A282" s="3" t="s">
        <v>2146</v>
      </c>
      <c r="B282" s="3" t="s">
        <v>506</v>
      </c>
      <c r="C282" s="3" t="s">
        <v>3201</v>
      </c>
      <c r="D282" s="3">
        <v>5</v>
      </c>
      <c r="E282" s="10">
        <v>45677.345393518517</v>
      </c>
      <c r="F282" s="10">
        <v>45677.662523148138</v>
      </c>
      <c r="G282" s="10">
        <v>45678.401921296303</v>
      </c>
      <c r="H282" s="10">
        <v>45678.426261574074</v>
      </c>
      <c r="I282" s="10">
        <v>45678.426261574074</v>
      </c>
      <c r="J282" s="10">
        <v>45678.427118055559</v>
      </c>
      <c r="K282" s="11">
        <f t="shared" si="16"/>
        <v>0.31712962962046731</v>
      </c>
      <c r="L282" s="11">
        <f t="shared" si="17"/>
        <v>0.73939814816549188</v>
      </c>
      <c r="M282" s="11">
        <f t="shared" si="18"/>
        <v>0</v>
      </c>
      <c r="N282" s="11">
        <f t="shared" si="19"/>
        <v>1.0817245370417368</v>
      </c>
    </row>
    <row r="283" spans="1:14" x14ac:dyDescent="0.25">
      <c r="A283" s="3" t="s">
        <v>2223</v>
      </c>
      <c r="B283" s="3" t="s">
        <v>572</v>
      </c>
      <c r="C283" s="3" t="s">
        <v>3203</v>
      </c>
      <c r="D283" s="3">
        <v>1</v>
      </c>
      <c r="E283" s="10">
        <v>45677.66814814815</v>
      </c>
      <c r="F283" s="10">
        <v>45677.670520833337</v>
      </c>
      <c r="G283" s="10">
        <v>45678.438402777778</v>
      </c>
      <c r="H283" s="10">
        <v>45678.464849537027</v>
      </c>
      <c r="I283" s="10">
        <v>45678.464849537027</v>
      </c>
      <c r="J283" s="10">
        <v>45678.465671296297</v>
      </c>
      <c r="K283" s="11">
        <f t="shared" si="16"/>
        <v>2.3726851868559606E-3</v>
      </c>
      <c r="L283" s="11">
        <f t="shared" si="17"/>
        <v>0.76788194444088731</v>
      </c>
      <c r="M283" s="11">
        <f t="shared" si="18"/>
        <v>0</v>
      </c>
      <c r="N283" s="11">
        <f t="shared" si="19"/>
        <v>0.79752314814686542</v>
      </c>
    </row>
    <row r="284" spans="1:14" x14ac:dyDescent="0.25">
      <c r="A284" s="3" t="s">
        <v>2228</v>
      </c>
      <c r="B284" s="3" t="s">
        <v>500</v>
      </c>
      <c r="C284" s="3" t="s">
        <v>3203</v>
      </c>
      <c r="D284" s="3">
        <v>1</v>
      </c>
      <c r="E284" s="10">
        <v>45677.718217592592</v>
      </c>
      <c r="F284" s="10">
        <v>45677.720613425918</v>
      </c>
      <c r="G284" s="10">
        <v>45678.615937499999</v>
      </c>
      <c r="H284" s="10">
        <v>45678.672418981478</v>
      </c>
      <c r="I284" s="10">
        <v>45678.672418981478</v>
      </c>
      <c r="J284" s="10">
        <v>45678.673634259263</v>
      </c>
      <c r="K284" s="11">
        <f t="shared" si="16"/>
        <v>2.3958333258633502E-3</v>
      </c>
      <c r="L284" s="11">
        <f t="shared" si="17"/>
        <v>0.89532407408114523</v>
      </c>
      <c r="M284" s="11">
        <f t="shared" si="18"/>
        <v>0</v>
      </c>
      <c r="N284" s="11">
        <f t="shared" si="19"/>
        <v>0.95541666667122627</v>
      </c>
    </row>
    <row r="285" spans="1:14" x14ac:dyDescent="0.25">
      <c r="A285" s="3" t="s">
        <v>2134</v>
      </c>
      <c r="B285" s="3" t="s">
        <v>500</v>
      </c>
      <c r="C285" s="3" t="s">
        <v>3204</v>
      </c>
      <c r="D285" s="3">
        <v>4</v>
      </c>
      <c r="E285" s="10">
        <v>45677.33834490741</v>
      </c>
      <c r="F285" s="10">
        <v>45677.890011574083</v>
      </c>
      <c r="G285" s="10">
        <v>45678.641886574071</v>
      </c>
      <c r="H285" s="10">
        <v>45678.7109837963</v>
      </c>
      <c r="I285" s="10">
        <v>45678.7109837963</v>
      </c>
      <c r="J285" s="10">
        <v>45678.712407407409</v>
      </c>
      <c r="K285" s="11">
        <f t="shared" si="16"/>
        <v>0.55166666667355457</v>
      </c>
      <c r="L285" s="11">
        <f t="shared" si="17"/>
        <v>0.75187499998719431</v>
      </c>
      <c r="M285" s="11">
        <f t="shared" si="18"/>
        <v>0</v>
      </c>
      <c r="N285" s="11">
        <f t="shared" si="19"/>
        <v>1.3740624999991269</v>
      </c>
    </row>
    <row r="286" spans="1:14" x14ac:dyDescent="0.25">
      <c r="A286" s="3" t="s">
        <v>2137</v>
      </c>
      <c r="B286" s="3" t="s">
        <v>488</v>
      </c>
      <c r="C286" s="3" t="s">
        <v>3196</v>
      </c>
      <c r="D286" s="3">
        <v>6</v>
      </c>
      <c r="E286" s="10">
        <v>45677.340150462973</v>
      </c>
      <c r="F286" s="10">
        <v>45678.142881944441</v>
      </c>
      <c r="G286" s="10">
        <v>45678.647372685176</v>
      </c>
      <c r="H286" s="10">
        <v>45678.698703703703</v>
      </c>
      <c r="I286" s="10">
        <v>45678.698703703703</v>
      </c>
      <c r="J286" s="10">
        <v>45678.69976851852</v>
      </c>
      <c r="K286" s="11">
        <f t="shared" si="16"/>
        <v>0.80273148146807216</v>
      </c>
      <c r="L286" s="11">
        <f t="shared" si="17"/>
        <v>0.50449074073549127</v>
      </c>
      <c r="M286" s="11">
        <f t="shared" si="18"/>
        <v>0</v>
      </c>
      <c r="N286" s="11">
        <f t="shared" si="19"/>
        <v>1.3596180555468891</v>
      </c>
    </row>
    <row r="287" spans="1:14" x14ac:dyDescent="0.25">
      <c r="A287" s="3" t="s">
        <v>2244</v>
      </c>
      <c r="B287" s="3" t="s">
        <v>500</v>
      </c>
      <c r="C287" s="3" t="s">
        <v>3202</v>
      </c>
      <c r="D287" s="3">
        <v>1</v>
      </c>
      <c r="E287" s="10">
        <v>45678.28434027778</v>
      </c>
      <c r="F287" s="10">
        <v>45678.286712962959</v>
      </c>
      <c r="G287" s="10">
        <v>45678.879432870373</v>
      </c>
      <c r="H287" s="10">
        <v>45678.919907407413</v>
      </c>
      <c r="I287" s="10">
        <v>45678.919907407413</v>
      </c>
      <c r="J287" s="10">
        <v>45678.920925925922</v>
      </c>
      <c r="K287" s="11">
        <f t="shared" si="16"/>
        <v>2.372685179580003E-3</v>
      </c>
      <c r="L287" s="11">
        <f t="shared" si="17"/>
        <v>0.5927199074139935</v>
      </c>
      <c r="M287" s="11">
        <f t="shared" si="18"/>
        <v>0</v>
      </c>
      <c r="N287" s="11">
        <f t="shared" si="19"/>
        <v>0.63658564814249985</v>
      </c>
    </row>
    <row r="288" spans="1:14" x14ac:dyDescent="0.25">
      <c r="A288" s="3" t="s">
        <v>2182</v>
      </c>
      <c r="B288" s="3" t="s">
        <v>506</v>
      </c>
      <c r="C288" s="3" t="s">
        <v>3194</v>
      </c>
      <c r="D288" s="3">
        <v>3</v>
      </c>
      <c r="E288" s="10">
        <v>45677.407581018517</v>
      </c>
      <c r="F288" s="10">
        <v>45678.327696759261</v>
      </c>
      <c r="G288" s="10">
        <v>45679.12300925926</v>
      </c>
      <c r="H288" s="10">
        <v>45679.143310185187</v>
      </c>
      <c r="I288" s="10">
        <v>45679.143310185187</v>
      </c>
      <c r="J288" s="10">
        <v>45679.144120370373</v>
      </c>
      <c r="K288" s="11">
        <f t="shared" si="16"/>
        <v>0.92011574074422242</v>
      </c>
      <c r="L288" s="11">
        <f t="shared" si="17"/>
        <v>0.79531249999854481</v>
      </c>
      <c r="M288" s="11">
        <f t="shared" si="18"/>
        <v>0</v>
      </c>
      <c r="N288" s="11">
        <f t="shared" si="19"/>
        <v>1.7365393518557539</v>
      </c>
    </row>
    <row r="289" spans="1:14" x14ac:dyDescent="0.25">
      <c r="A289" s="3" t="s">
        <v>2204</v>
      </c>
      <c r="B289" s="3" t="s">
        <v>519</v>
      </c>
      <c r="C289" s="3" t="s">
        <v>3197</v>
      </c>
      <c r="D289" s="3">
        <v>2</v>
      </c>
      <c r="E289" s="10">
        <v>45677.651770833327</v>
      </c>
      <c r="F289" s="10">
        <v>45678.335370370369</v>
      </c>
      <c r="G289" s="10">
        <v>45679.203449074077</v>
      </c>
      <c r="H289" s="10">
        <v>45679.22378472222</v>
      </c>
      <c r="I289" s="10">
        <v>45679.22378472222</v>
      </c>
      <c r="J289" s="10">
        <v>45679.224594907413</v>
      </c>
      <c r="K289" s="11">
        <f t="shared" si="16"/>
        <v>0.68359953704202781</v>
      </c>
      <c r="L289" s="11">
        <f t="shared" si="17"/>
        <v>0.86807870370830642</v>
      </c>
      <c r="M289" s="11">
        <f t="shared" si="18"/>
        <v>0</v>
      </c>
      <c r="N289" s="11">
        <f t="shared" si="19"/>
        <v>1.5728240740863839</v>
      </c>
    </row>
    <row r="290" spans="1:14" x14ac:dyDescent="0.25">
      <c r="A290" s="3" t="s">
        <v>2269</v>
      </c>
      <c r="B290" s="3" t="s">
        <v>500</v>
      </c>
      <c r="C290" s="3" t="s">
        <v>3197</v>
      </c>
      <c r="D290" s="3">
        <v>1</v>
      </c>
      <c r="E290" s="10">
        <v>45678.336400462962</v>
      </c>
      <c r="F290" s="10">
        <v>45678.338796296302</v>
      </c>
      <c r="G290" s="10">
        <v>45679.276956018519</v>
      </c>
      <c r="H290" s="10">
        <v>45679.335833333331</v>
      </c>
      <c r="I290" s="10">
        <v>45679.335833333331</v>
      </c>
      <c r="J290" s="10">
        <v>45679.337164351848</v>
      </c>
      <c r="K290" s="11">
        <f t="shared" si="16"/>
        <v>2.3958333404152654E-3</v>
      </c>
      <c r="L290" s="11">
        <f t="shared" si="17"/>
        <v>0.93815972221636912</v>
      </c>
      <c r="M290" s="11">
        <f t="shared" si="18"/>
        <v>0</v>
      </c>
      <c r="N290" s="11">
        <f t="shared" si="19"/>
        <v>1.0007638888855581</v>
      </c>
    </row>
    <row r="291" spans="1:14" x14ac:dyDescent="0.25">
      <c r="A291" s="3" t="s">
        <v>2237</v>
      </c>
      <c r="B291" s="3" t="s">
        <v>572</v>
      </c>
      <c r="C291" s="3" t="s">
        <v>3203</v>
      </c>
      <c r="D291" s="3">
        <v>4</v>
      </c>
      <c r="E291" s="10">
        <v>45678.134652777779</v>
      </c>
      <c r="F291" s="10">
        <v>45678.394826388889</v>
      </c>
      <c r="G291" s="10">
        <v>45679.322650462957</v>
      </c>
      <c r="H291" s="10">
        <v>45679.347581018519</v>
      </c>
      <c r="I291" s="10">
        <v>45679.347581018519</v>
      </c>
      <c r="J291" s="10">
        <v>45679.348368055558</v>
      </c>
      <c r="K291" s="11">
        <f t="shared" si="16"/>
        <v>0.26017361111007631</v>
      </c>
      <c r="L291" s="11">
        <f t="shared" si="17"/>
        <v>0.92782407406775746</v>
      </c>
      <c r="M291" s="11">
        <f t="shared" si="18"/>
        <v>0</v>
      </c>
      <c r="N291" s="11">
        <f t="shared" si="19"/>
        <v>1.2137152777795563</v>
      </c>
    </row>
    <row r="292" spans="1:14" x14ac:dyDescent="0.25">
      <c r="A292" s="3" t="s">
        <v>2281</v>
      </c>
      <c r="B292" s="3" t="s">
        <v>527</v>
      </c>
      <c r="C292" s="3" t="s">
        <v>3200</v>
      </c>
      <c r="D292" s="3">
        <v>1</v>
      </c>
      <c r="E292" s="10">
        <v>45678.394953703697</v>
      </c>
      <c r="F292" s="10">
        <v>45678.397349537037</v>
      </c>
      <c r="G292" s="10">
        <v>45679.324895833342</v>
      </c>
      <c r="H292" s="10">
        <v>45679.343645833331</v>
      </c>
      <c r="I292" s="10">
        <v>45679.343645833331</v>
      </c>
      <c r="J292" s="10">
        <v>45679.344409722216</v>
      </c>
      <c r="K292" s="11">
        <f t="shared" si="16"/>
        <v>2.3958333404152654E-3</v>
      </c>
      <c r="L292" s="11">
        <f t="shared" si="17"/>
        <v>0.92754629630508134</v>
      </c>
      <c r="M292" s="11">
        <f t="shared" si="18"/>
        <v>0</v>
      </c>
      <c r="N292" s="11">
        <f t="shared" si="19"/>
        <v>0.94945601851941319</v>
      </c>
    </row>
    <row r="293" spans="1:14" x14ac:dyDescent="0.25">
      <c r="A293" s="3" t="s">
        <v>2216</v>
      </c>
      <c r="B293" s="3" t="s">
        <v>519</v>
      </c>
      <c r="C293" s="3" t="s">
        <v>3199</v>
      </c>
      <c r="D293" s="3">
        <v>5</v>
      </c>
      <c r="E293" s="10">
        <v>45677.660509259258</v>
      </c>
      <c r="F293" s="10">
        <v>45678.402199074073</v>
      </c>
      <c r="G293" s="10">
        <v>45679.341516203713</v>
      </c>
      <c r="H293" s="10">
        <v>45679.360856481479</v>
      </c>
      <c r="I293" s="10">
        <v>45679.360856481479</v>
      </c>
      <c r="J293" s="10">
        <v>45679.361504629633</v>
      </c>
      <c r="K293" s="11">
        <f t="shared" si="16"/>
        <v>0.74168981481489027</v>
      </c>
      <c r="L293" s="11">
        <f t="shared" si="17"/>
        <v>0.93931712963967584</v>
      </c>
      <c r="M293" s="11">
        <f t="shared" si="18"/>
        <v>0</v>
      </c>
      <c r="N293" s="11">
        <f t="shared" si="19"/>
        <v>1.700995370374585</v>
      </c>
    </row>
    <row r="294" spans="1:14" x14ac:dyDescent="0.25">
      <c r="A294" s="3" t="s">
        <v>2290</v>
      </c>
      <c r="B294" s="3" t="s">
        <v>500</v>
      </c>
      <c r="C294" s="3" t="s">
        <v>3197</v>
      </c>
      <c r="D294" s="3">
        <v>3</v>
      </c>
      <c r="E294" s="10">
        <v>45678.385104166657</v>
      </c>
      <c r="F294" s="10">
        <v>45678.440324074072</v>
      </c>
      <c r="G294" s="10">
        <v>45679.362951388888</v>
      </c>
      <c r="H294" s="10">
        <v>45679.44189814815</v>
      </c>
      <c r="I294" s="10">
        <v>45679.44189814815</v>
      </c>
      <c r="J294" s="10">
        <v>45679.443506944437</v>
      </c>
      <c r="K294" s="11">
        <f t="shared" si="16"/>
        <v>5.5219907415448688E-2</v>
      </c>
      <c r="L294" s="11">
        <f t="shared" si="17"/>
        <v>0.92262731481605442</v>
      </c>
      <c r="M294" s="11">
        <f t="shared" si="18"/>
        <v>0</v>
      </c>
      <c r="N294" s="11">
        <f t="shared" si="19"/>
        <v>1.0584027777804295</v>
      </c>
    </row>
    <row r="295" spans="1:14" x14ac:dyDescent="0.25">
      <c r="A295" s="3" t="s">
        <v>2302</v>
      </c>
      <c r="B295" s="3" t="s">
        <v>500</v>
      </c>
      <c r="C295" s="3" t="s">
        <v>3197</v>
      </c>
      <c r="D295" s="3">
        <v>1</v>
      </c>
      <c r="E295" s="10">
        <v>45678.614201388889</v>
      </c>
      <c r="F295" s="10">
        <v>45678.616377314807</v>
      </c>
      <c r="G295" s="10">
        <v>45679.420636574083</v>
      </c>
      <c r="H295" s="10">
        <v>45679.489745370367</v>
      </c>
      <c r="I295" s="10">
        <v>45679.489745370367</v>
      </c>
      <c r="J295" s="10">
        <v>45679.491215277783</v>
      </c>
      <c r="K295" s="11">
        <f t="shared" si="16"/>
        <v>2.1759259179816581E-3</v>
      </c>
      <c r="L295" s="11">
        <f t="shared" si="17"/>
        <v>0.80425925927556818</v>
      </c>
      <c r="M295" s="11">
        <f t="shared" si="18"/>
        <v>0</v>
      </c>
      <c r="N295" s="11">
        <f t="shared" si="19"/>
        <v>0.87701388889399823</v>
      </c>
    </row>
    <row r="296" spans="1:14" x14ac:dyDescent="0.25">
      <c r="A296" s="3" t="s">
        <v>2247</v>
      </c>
      <c r="B296" s="3" t="s">
        <v>488</v>
      </c>
      <c r="C296" s="3" t="s">
        <v>3205</v>
      </c>
      <c r="D296" s="3">
        <v>3</v>
      </c>
      <c r="E296" s="10">
        <v>45678.319907407407</v>
      </c>
      <c r="F296" s="10">
        <v>45678.631504629629</v>
      </c>
      <c r="G296" s="10">
        <v>45679.445787037039</v>
      </c>
      <c r="H296" s="10">
        <v>45679.463449074072</v>
      </c>
      <c r="I296" s="10">
        <v>45679.463449074072</v>
      </c>
      <c r="J296" s="10">
        <v>45679.464224537027</v>
      </c>
      <c r="K296" s="11">
        <f t="shared" si="16"/>
        <v>0.31159722222218988</v>
      </c>
      <c r="L296" s="11">
        <f t="shared" si="17"/>
        <v>0.81428240740933688</v>
      </c>
      <c r="M296" s="11">
        <f t="shared" si="18"/>
        <v>0</v>
      </c>
      <c r="N296" s="11">
        <f t="shared" si="19"/>
        <v>1.1443171296195942</v>
      </c>
    </row>
    <row r="297" spans="1:14" x14ac:dyDescent="0.25">
      <c r="A297" s="3" t="s">
        <v>2297</v>
      </c>
      <c r="B297" s="3" t="s">
        <v>519</v>
      </c>
      <c r="C297" s="3" t="s">
        <v>3203</v>
      </c>
      <c r="D297" s="3">
        <v>2</v>
      </c>
      <c r="E297" s="10">
        <v>45678.434270833342</v>
      </c>
      <c r="F297" s="10">
        <v>45678.634826388887</v>
      </c>
      <c r="G297" s="10">
        <v>45679.549930555557</v>
      </c>
      <c r="H297" s="10">
        <v>45679.580023148148</v>
      </c>
      <c r="I297" s="10">
        <v>45679.580023148148</v>
      </c>
      <c r="J297" s="10">
        <v>45679.580891203703</v>
      </c>
      <c r="K297" s="11">
        <f t="shared" si="16"/>
        <v>0.20055555554426974</v>
      </c>
      <c r="L297" s="11">
        <f t="shared" si="17"/>
        <v>0.91510416667006211</v>
      </c>
      <c r="M297" s="11">
        <f t="shared" si="18"/>
        <v>0</v>
      </c>
      <c r="N297" s="11">
        <f t="shared" si="19"/>
        <v>1.1466203703603242</v>
      </c>
    </row>
    <row r="298" spans="1:14" x14ac:dyDescent="0.25">
      <c r="A298" s="3" t="s">
        <v>2309</v>
      </c>
      <c r="B298" s="3" t="s">
        <v>654</v>
      </c>
      <c r="C298" s="3" t="s">
        <v>3201</v>
      </c>
      <c r="D298" s="3">
        <v>2</v>
      </c>
      <c r="E298" s="10">
        <v>45678.631168981483</v>
      </c>
      <c r="F298" s="10">
        <v>45678.638495370367</v>
      </c>
      <c r="G298" s="10">
        <v>45679.642129629632</v>
      </c>
      <c r="H298" s="10">
        <v>45679.663611111107</v>
      </c>
      <c r="I298" s="10">
        <v>45679.663611111107</v>
      </c>
      <c r="J298" s="10">
        <v>45679.664444444446</v>
      </c>
      <c r="K298" s="11">
        <f t="shared" si="16"/>
        <v>7.326388884393964E-3</v>
      </c>
      <c r="L298" s="11">
        <f t="shared" si="17"/>
        <v>1.0036342592647998</v>
      </c>
      <c r="M298" s="11">
        <f t="shared" si="18"/>
        <v>0</v>
      </c>
      <c r="N298" s="11">
        <f t="shared" si="19"/>
        <v>1.0332754629635019</v>
      </c>
    </row>
    <row r="299" spans="1:14" x14ac:dyDescent="0.25">
      <c r="A299" s="3" t="s">
        <v>2318</v>
      </c>
      <c r="B299" s="3" t="s">
        <v>506</v>
      </c>
      <c r="C299" s="3" t="s">
        <v>3206</v>
      </c>
      <c r="D299" s="3">
        <v>1</v>
      </c>
      <c r="E299" s="10">
        <v>45678.638518518521</v>
      </c>
      <c r="F299" s="10">
        <v>45678.6408912037</v>
      </c>
      <c r="G299" s="10">
        <v>45679.743090277778</v>
      </c>
      <c r="H299" s="10">
        <v>45679.779537037037</v>
      </c>
      <c r="I299" s="10">
        <v>45679.779537037037</v>
      </c>
      <c r="J299" s="10">
        <v>45679.780613425923</v>
      </c>
      <c r="K299" s="11">
        <f t="shared" si="16"/>
        <v>2.372685179580003E-3</v>
      </c>
      <c r="L299" s="11">
        <f t="shared" si="17"/>
        <v>1.1021990740773617</v>
      </c>
      <c r="M299" s="11">
        <f t="shared" si="18"/>
        <v>0</v>
      </c>
      <c r="N299" s="11">
        <f t="shared" si="19"/>
        <v>1.1420949074017699</v>
      </c>
    </row>
    <row r="300" spans="1:14" x14ac:dyDescent="0.25">
      <c r="A300" s="3" t="s">
        <v>2323</v>
      </c>
      <c r="B300" s="3" t="s">
        <v>500</v>
      </c>
      <c r="C300" s="3" t="s">
        <v>3197</v>
      </c>
      <c r="D300" s="3">
        <v>1</v>
      </c>
      <c r="E300" s="10">
        <v>45678.64329861111</v>
      </c>
      <c r="F300" s="10">
        <v>45678.645682870367</v>
      </c>
      <c r="G300" s="10">
        <v>45679.76295138889</v>
      </c>
      <c r="H300" s="10">
        <v>45679.784803240742</v>
      </c>
      <c r="I300" s="10">
        <v>45679.784803240742</v>
      </c>
      <c r="J300" s="10">
        <v>45679.78564814815</v>
      </c>
      <c r="K300" s="11">
        <f t="shared" si="16"/>
        <v>2.3842592563596554E-3</v>
      </c>
      <c r="L300" s="11">
        <f t="shared" si="17"/>
        <v>1.1172685185229057</v>
      </c>
      <c r="M300" s="11">
        <f t="shared" si="18"/>
        <v>0</v>
      </c>
      <c r="N300" s="11">
        <f t="shared" si="19"/>
        <v>1.1423495370399905</v>
      </c>
    </row>
    <row r="301" spans="1:14" x14ac:dyDescent="0.25">
      <c r="A301" s="3" t="s">
        <v>2326</v>
      </c>
      <c r="B301" s="3" t="s">
        <v>500</v>
      </c>
      <c r="C301" s="3" t="s">
        <v>3197</v>
      </c>
      <c r="D301" s="3">
        <v>1</v>
      </c>
      <c r="E301" s="10">
        <v>45678.87777777778</v>
      </c>
      <c r="F301" s="10">
        <v>45678.880173611113</v>
      </c>
      <c r="G301" s="10">
        <v>45679.765347222223</v>
      </c>
      <c r="H301" s="10">
        <v>45679.797881944447</v>
      </c>
      <c r="I301" s="10">
        <v>45679.797881944447</v>
      </c>
      <c r="J301" s="10">
        <v>45679.798854166656</v>
      </c>
      <c r="K301" s="11">
        <f t="shared" si="16"/>
        <v>2.3958333331393078E-3</v>
      </c>
      <c r="L301" s="11">
        <f t="shared" si="17"/>
        <v>0.88517361111007631</v>
      </c>
      <c r="M301" s="11">
        <f t="shared" si="18"/>
        <v>0</v>
      </c>
      <c r="N301" s="11">
        <f t="shared" si="19"/>
        <v>0.92107638887682697</v>
      </c>
    </row>
    <row r="302" spans="1:14" x14ac:dyDescent="0.25">
      <c r="A302" s="3" t="s">
        <v>2329</v>
      </c>
      <c r="B302" s="3" t="s">
        <v>484</v>
      </c>
      <c r="C302" s="3" t="s">
        <v>3203</v>
      </c>
      <c r="D302" s="3">
        <v>2</v>
      </c>
      <c r="E302" s="10">
        <v>45679.115833333337</v>
      </c>
      <c r="F302" s="10">
        <v>45679.121203703697</v>
      </c>
      <c r="G302" s="10">
        <v>45679.865972222222</v>
      </c>
      <c r="H302" s="10">
        <v>45679.904062499998</v>
      </c>
      <c r="I302" s="10">
        <v>45679.904062499998</v>
      </c>
      <c r="J302" s="10">
        <v>45679.905034722222</v>
      </c>
      <c r="K302" s="11">
        <f t="shared" si="16"/>
        <v>5.3703703597420827E-3</v>
      </c>
      <c r="L302" s="11">
        <f t="shared" si="17"/>
        <v>0.74476851852523396</v>
      </c>
      <c r="M302" s="11">
        <f t="shared" si="18"/>
        <v>0</v>
      </c>
      <c r="N302" s="11">
        <f t="shared" si="19"/>
        <v>0.78920138888497604</v>
      </c>
    </row>
    <row r="303" spans="1:14" x14ac:dyDescent="0.25">
      <c r="A303" s="3" t="s">
        <v>2260</v>
      </c>
      <c r="B303" s="3" t="s">
        <v>519</v>
      </c>
      <c r="C303" s="3" t="s">
        <v>3204</v>
      </c>
      <c r="D303" s="3">
        <v>2</v>
      </c>
      <c r="E303" s="10">
        <v>45678.329050925917</v>
      </c>
      <c r="F303" s="10">
        <v>45679.204131944447</v>
      </c>
      <c r="G303" s="10">
        <v>45680.131921296299</v>
      </c>
      <c r="H303" s="10">
        <v>45680.195567129631</v>
      </c>
      <c r="I303" s="10">
        <v>45680.195567129631</v>
      </c>
      <c r="J303" s="10">
        <v>45680.196909722217</v>
      </c>
      <c r="K303" s="11">
        <f t="shared" si="16"/>
        <v>0.87508101853018161</v>
      </c>
      <c r="L303" s="11">
        <f t="shared" si="17"/>
        <v>0.92778935185197042</v>
      </c>
      <c r="M303" s="11">
        <f t="shared" si="18"/>
        <v>0</v>
      </c>
      <c r="N303" s="11">
        <f t="shared" si="19"/>
        <v>1.8678587963004247</v>
      </c>
    </row>
    <row r="304" spans="1:14" x14ac:dyDescent="0.25">
      <c r="A304" s="3" t="s">
        <v>2342</v>
      </c>
      <c r="B304" s="3" t="s">
        <v>500</v>
      </c>
      <c r="C304" s="3" t="s">
        <v>3197</v>
      </c>
      <c r="D304" s="3">
        <v>1</v>
      </c>
      <c r="E304" s="10">
        <v>45679.275243055563</v>
      </c>
      <c r="F304" s="10">
        <v>45679.277638888889</v>
      </c>
      <c r="G304" s="10">
        <v>45680.273842592593</v>
      </c>
      <c r="H304" s="10">
        <v>45680.324479166673</v>
      </c>
      <c r="I304" s="10">
        <v>45680.324479166673</v>
      </c>
      <c r="J304" s="10">
        <v>45680.325706018521</v>
      </c>
      <c r="K304" s="11">
        <f t="shared" si="16"/>
        <v>2.3958333258633502E-3</v>
      </c>
      <c r="L304" s="11">
        <f t="shared" si="17"/>
        <v>0.99620370370394085</v>
      </c>
      <c r="M304" s="11">
        <f t="shared" si="18"/>
        <v>0</v>
      </c>
      <c r="N304" s="11">
        <f t="shared" si="19"/>
        <v>1.0504629629576812</v>
      </c>
    </row>
    <row r="305" spans="1:14" x14ac:dyDescent="0.25">
      <c r="A305" s="3" t="s">
        <v>2009</v>
      </c>
      <c r="B305" s="3" t="s">
        <v>523</v>
      </c>
      <c r="C305" s="3" t="s">
        <v>3195</v>
      </c>
      <c r="D305" s="3">
        <v>6</v>
      </c>
      <c r="E305" s="10">
        <v>45674.38144675926</v>
      </c>
      <c r="F305" s="10">
        <v>45679.314988425933</v>
      </c>
      <c r="G305" s="10">
        <v>45680.306504629632</v>
      </c>
      <c r="H305" s="10">
        <v>45680.325069444443</v>
      </c>
      <c r="I305" s="10">
        <v>45680.325706018521</v>
      </c>
      <c r="J305" s="10">
        <v>45680.326550925929</v>
      </c>
      <c r="K305" s="11">
        <f t="shared" si="16"/>
        <v>4.9335416666726815</v>
      </c>
      <c r="L305" s="11">
        <f t="shared" si="17"/>
        <v>0.99151620369957527</v>
      </c>
      <c r="M305" s="11">
        <f t="shared" si="18"/>
        <v>6.36574077361729E-4</v>
      </c>
      <c r="N305" s="11">
        <f t="shared" si="19"/>
        <v>5.945104166668898</v>
      </c>
    </row>
    <row r="306" spans="1:14" x14ac:dyDescent="0.25">
      <c r="A306" s="3" t="s">
        <v>2372</v>
      </c>
      <c r="B306" s="3" t="s">
        <v>572</v>
      </c>
      <c r="C306" s="3" t="s">
        <v>3203</v>
      </c>
      <c r="D306" s="3">
        <v>2</v>
      </c>
      <c r="E306" s="10">
        <v>45679.359606481477</v>
      </c>
      <c r="F306" s="10">
        <v>45679.365127314813</v>
      </c>
      <c r="G306" s="10">
        <v>45680.31045138889</v>
      </c>
      <c r="H306" s="10">
        <v>45680.367951388893</v>
      </c>
      <c r="I306" s="10">
        <v>45680.367951388893</v>
      </c>
      <c r="J306" s="10">
        <v>45680.369189814817</v>
      </c>
      <c r="K306" s="11">
        <f t="shared" si="16"/>
        <v>5.5208333360496908E-3</v>
      </c>
      <c r="L306" s="11">
        <f t="shared" si="17"/>
        <v>0.94532407407677965</v>
      </c>
      <c r="M306" s="11">
        <f t="shared" si="18"/>
        <v>0</v>
      </c>
      <c r="N306" s="11">
        <f t="shared" si="19"/>
        <v>1.0095833333398332</v>
      </c>
    </row>
    <row r="307" spans="1:14" x14ac:dyDescent="0.25">
      <c r="A307" s="3" t="s">
        <v>2334</v>
      </c>
      <c r="B307" s="3" t="s">
        <v>506</v>
      </c>
      <c r="C307" s="3" t="s">
        <v>3199</v>
      </c>
      <c r="D307" s="3">
        <v>2</v>
      </c>
      <c r="E307" s="10">
        <v>45679.11928240741</v>
      </c>
      <c r="F307" s="10">
        <v>45679.406851851847</v>
      </c>
      <c r="G307" s="10">
        <v>45680.33</v>
      </c>
      <c r="H307" s="10">
        <v>45680.361111111109</v>
      </c>
      <c r="I307" s="10">
        <v>45680.361111111109</v>
      </c>
      <c r="J307" s="10">
        <v>45680.361921296288</v>
      </c>
      <c r="K307" s="11">
        <f t="shared" si="16"/>
        <v>0.28756944443739485</v>
      </c>
      <c r="L307" s="11">
        <f t="shared" si="17"/>
        <v>0.92314814815472346</v>
      </c>
      <c r="M307" s="11">
        <f t="shared" si="18"/>
        <v>0</v>
      </c>
      <c r="N307" s="11">
        <f t="shared" si="19"/>
        <v>1.2426388888779911</v>
      </c>
    </row>
    <row r="308" spans="1:14" x14ac:dyDescent="0.25">
      <c r="A308" s="3" t="s">
        <v>2337</v>
      </c>
      <c r="B308" s="3" t="s">
        <v>488</v>
      </c>
      <c r="C308" s="3" t="s">
        <v>3194</v>
      </c>
      <c r="D308" s="3">
        <v>5</v>
      </c>
      <c r="E308" s="10">
        <v>45679.12127314815</v>
      </c>
      <c r="F308" s="10">
        <v>45679.41238425926</v>
      </c>
      <c r="G308" s="10">
        <v>45680.377384259264</v>
      </c>
      <c r="H308" s="10">
        <v>45680.397314814807</v>
      </c>
      <c r="I308" s="10">
        <v>45680.397314814807</v>
      </c>
      <c r="J308" s="10">
        <v>45680.398125</v>
      </c>
      <c r="K308" s="11">
        <f t="shared" si="16"/>
        <v>0.29111111110978527</v>
      </c>
      <c r="L308" s="11">
        <f t="shared" si="17"/>
        <v>0.9650000000037835</v>
      </c>
      <c r="M308" s="11">
        <f t="shared" si="18"/>
        <v>0</v>
      </c>
      <c r="N308" s="11">
        <f t="shared" si="19"/>
        <v>1.2768518518496421</v>
      </c>
    </row>
    <row r="309" spans="1:14" x14ac:dyDescent="0.25">
      <c r="A309" s="3" t="s">
        <v>2345</v>
      </c>
      <c r="B309" s="3" t="s">
        <v>527</v>
      </c>
      <c r="C309" s="3" t="s">
        <v>3202</v>
      </c>
      <c r="D309" s="3">
        <v>2</v>
      </c>
      <c r="E309" s="10">
        <v>45679.303831018522</v>
      </c>
      <c r="F309" s="10">
        <v>45679.413761574076</v>
      </c>
      <c r="G309" s="10">
        <v>45680.418935185182</v>
      </c>
      <c r="H309" s="10">
        <v>45680.437685185178</v>
      </c>
      <c r="I309" s="10">
        <v>45680.437685185178</v>
      </c>
      <c r="J309" s="10">
        <v>45680.438414351847</v>
      </c>
      <c r="K309" s="11">
        <f t="shared" si="16"/>
        <v>0.10993055555445608</v>
      </c>
      <c r="L309" s="11">
        <f t="shared" si="17"/>
        <v>1.0051736111054197</v>
      </c>
      <c r="M309" s="11">
        <f t="shared" si="18"/>
        <v>0</v>
      </c>
      <c r="N309" s="11">
        <f t="shared" si="19"/>
        <v>1.1345833333252813</v>
      </c>
    </row>
    <row r="310" spans="1:14" x14ac:dyDescent="0.25">
      <c r="A310" s="3" t="s">
        <v>2252</v>
      </c>
      <c r="B310" s="3" t="s">
        <v>519</v>
      </c>
      <c r="C310" s="3" t="s">
        <v>3196</v>
      </c>
      <c r="D310" s="3">
        <v>7</v>
      </c>
      <c r="E310" s="10">
        <v>45678.323113425933</v>
      </c>
      <c r="F310" s="10">
        <v>45679.418935185182</v>
      </c>
      <c r="G310" s="10">
        <v>45680.453194444453</v>
      </c>
      <c r="H310" s="10">
        <v>45680.47625</v>
      </c>
      <c r="I310" s="10">
        <v>45680.47625</v>
      </c>
      <c r="J310" s="10">
        <v>45680.47693287037</v>
      </c>
      <c r="K310" s="11">
        <f t="shared" si="16"/>
        <v>1.0958217592487927</v>
      </c>
      <c r="L310" s="11">
        <f t="shared" si="17"/>
        <v>1.0342592592714936</v>
      </c>
      <c r="M310" s="11">
        <f t="shared" si="18"/>
        <v>0</v>
      </c>
      <c r="N310" s="11">
        <f t="shared" si="19"/>
        <v>2.1538194444365217</v>
      </c>
    </row>
    <row r="311" spans="1:14" x14ac:dyDescent="0.25">
      <c r="A311" s="3" t="s">
        <v>2399</v>
      </c>
      <c r="B311" s="3" t="s">
        <v>500</v>
      </c>
      <c r="C311" s="3" t="s">
        <v>3203</v>
      </c>
      <c r="D311" s="3">
        <v>1</v>
      </c>
      <c r="E311" s="10">
        <v>45679.444131944438</v>
      </c>
      <c r="F311" s="10">
        <v>45679.446504629632</v>
      </c>
      <c r="G311" s="10">
        <v>45680.614976851852</v>
      </c>
      <c r="H311" s="10">
        <v>45680.692442129628</v>
      </c>
      <c r="I311" s="10">
        <v>45680.692442129628</v>
      </c>
      <c r="J311" s="10">
        <v>45680.69394675926</v>
      </c>
      <c r="K311" s="11">
        <f t="shared" si="16"/>
        <v>2.3726851941319183E-3</v>
      </c>
      <c r="L311" s="11">
        <f t="shared" si="17"/>
        <v>1.1684722222198616</v>
      </c>
      <c r="M311" s="11">
        <f t="shared" si="18"/>
        <v>0</v>
      </c>
      <c r="N311" s="11">
        <f t="shared" si="19"/>
        <v>1.2498148148224573</v>
      </c>
    </row>
    <row r="312" spans="1:14" x14ac:dyDescent="0.25">
      <c r="A312" s="3" t="s">
        <v>2402</v>
      </c>
      <c r="B312" s="3" t="s">
        <v>500</v>
      </c>
      <c r="C312" s="3" t="s">
        <v>3203</v>
      </c>
      <c r="D312" s="3">
        <v>3</v>
      </c>
      <c r="E312" s="10">
        <v>45679.548217592594</v>
      </c>
      <c r="F312" s="10">
        <v>45679.745300925933</v>
      </c>
      <c r="G312" s="10">
        <v>45680.640069444453</v>
      </c>
      <c r="H312" s="10">
        <v>45680.707488425927</v>
      </c>
      <c r="I312" s="10">
        <v>45680.707488425927</v>
      </c>
      <c r="J312" s="10">
        <v>45680.708854166667</v>
      </c>
      <c r="K312" s="11">
        <f t="shared" si="16"/>
        <v>0.19708333333983319</v>
      </c>
      <c r="L312" s="11">
        <f t="shared" si="17"/>
        <v>0.89476851851941319</v>
      </c>
      <c r="M312" s="11">
        <f t="shared" si="18"/>
        <v>0</v>
      </c>
      <c r="N312" s="11">
        <f t="shared" si="19"/>
        <v>1.1606365740735782</v>
      </c>
    </row>
    <row r="313" spans="1:14" x14ac:dyDescent="0.25">
      <c r="A313" s="3" t="s">
        <v>2014</v>
      </c>
      <c r="B313" s="3" t="s">
        <v>563</v>
      </c>
      <c r="C313" s="3" t="s">
        <v>3198</v>
      </c>
      <c r="D313" s="3">
        <v>6</v>
      </c>
      <c r="E313" s="10">
        <v>45674.385034722232</v>
      </c>
      <c r="F313" s="10">
        <v>45679.751226851848</v>
      </c>
      <c r="G313" s="10">
        <v>45680.650775462957</v>
      </c>
      <c r="H313" s="10">
        <v>45680.67150462963</v>
      </c>
      <c r="I313" s="10">
        <v>45680.67150462963</v>
      </c>
      <c r="J313" s="10">
        <v>45680.672326388893</v>
      </c>
      <c r="K313" s="11">
        <f t="shared" si="16"/>
        <v>5.3661921296152286</v>
      </c>
      <c r="L313" s="11">
        <f t="shared" si="17"/>
        <v>0.89954861110891216</v>
      </c>
      <c r="M313" s="11">
        <f t="shared" si="18"/>
        <v>0</v>
      </c>
      <c r="N313" s="11">
        <f t="shared" si="19"/>
        <v>6.2872916666601668</v>
      </c>
    </row>
    <row r="314" spans="1:14" x14ac:dyDescent="0.25">
      <c r="A314" s="3" t="s">
        <v>2174</v>
      </c>
      <c r="B314" s="3" t="s">
        <v>539</v>
      </c>
      <c r="C314" s="3" t="s">
        <v>3193</v>
      </c>
      <c r="D314" s="3">
        <v>5</v>
      </c>
      <c r="E314" s="10">
        <v>45677.40184027778</v>
      </c>
      <c r="F314" s="10">
        <v>45679.754247685189</v>
      </c>
      <c r="G314" s="10">
        <v>45680.67324074074</v>
      </c>
      <c r="H314" s="10">
        <v>45680.700879629629</v>
      </c>
      <c r="I314" s="10">
        <v>45680.700879629629</v>
      </c>
      <c r="J314" s="10">
        <v>45680.701678240737</v>
      </c>
      <c r="K314" s="11">
        <f t="shared" si="16"/>
        <v>2.3524074074084638</v>
      </c>
      <c r="L314" s="11">
        <f t="shared" si="17"/>
        <v>0.91899305555125466</v>
      </c>
      <c r="M314" s="11">
        <f t="shared" si="18"/>
        <v>0</v>
      </c>
      <c r="N314" s="11">
        <f t="shared" si="19"/>
        <v>3.2998379629570991</v>
      </c>
    </row>
    <row r="315" spans="1:14" x14ac:dyDescent="0.25">
      <c r="A315" s="3" t="s">
        <v>2393</v>
      </c>
      <c r="B315" s="3" t="s">
        <v>506</v>
      </c>
      <c r="C315" s="3" t="s">
        <v>3197</v>
      </c>
      <c r="D315" s="3">
        <v>2</v>
      </c>
      <c r="E315" s="10">
        <v>45679.417083333326</v>
      </c>
      <c r="F315" s="10">
        <v>45679.760601851849</v>
      </c>
      <c r="G315" s="10">
        <v>45680.750057870369</v>
      </c>
      <c r="H315" s="10">
        <v>45680.80133101852</v>
      </c>
      <c r="I315" s="10">
        <v>45680.80133101852</v>
      </c>
      <c r="J315" s="10">
        <v>45680.802557870367</v>
      </c>
      <c r="K315" s="11">
        <f t="shared" si="16"/>
        <v>0.34351851852261461</v>
      </c>
      <c r="L315" s="11">
        <f t="shared" si="17"/>
        <v>0.98945601852028631</v>
      </c>
      <c r="M315" s="11">
        <f t="shared" si="18"/>
        <v>0</v>
      </c>
      <c r="N315" s="11">
        <f t="shared" si="19"/>
        <v>1.3854745370408637</v>
      </c>
    </row>
    <row r="316" spans="1:14" x14ac:dyDescent="0.25">
      <c r="A316" s="3" t="s">
        <v>2432</v>
      </c>
      <c r="B316" s="3" t="s">
        <v>506</v>
      </c>
      <c r="C316" s="3" t="s">
        <v>3197</v>
      </c>
      <c r="D316" s="3">
        <v>2</v>
      </c>
      <c r="E316" s="10">
        <v>45679.852118055547</v>
      </c>
      <c r="F316" s="10">
        <v>45679.859618055547</v>
      </c>
      <c r="G316" s="10">
        <v>45680.752858796302</v>
      </c>
      <c r="H316" s="10">
        <v>45680.771435185183</v>
      </c>
      <c r="I316" s="10">
        <v>45680.771435185183</v>
      </c>
      <c r="J316" s="10">
        <v>45680.772233796299</v>
      </c>
      <c r="K316" s="11">
        <f t="shared" si="16"/>
        <v>7.4999999997089617E-3</v>
      </c>
      <c r="L316" s="11">
        <f t="shared" si="17"/>
        <v>0.89324074075557292</v>
      </c>
      <c r="M316" s="11">
        <f t="shared" si="18"/>
        <v>0</v>
      </c>
      <c r="N316" s="11">
        <f t="shared" si="19"/>
        <v>0.92011574075149838</v>
      </c>
    </row>
    <row r="317" spans="1:14" x14ac:dyDescent="0.25">
      <c r="A317" s="3" t="s">
        <v>2367</v>
      </c>
      <c r="B317" s="3" t="s">
        <v>488</v>
      </c>
      <c r="C317" s="3" t="s">
        <v>3201</v>
      </c>
      <c r="D317" s="3">
        <v>4</v>
      </c>
      <c r="E317" s="10">
        <v>45679.320763888893</v>
      </c>
      <c r="F317" s="10">
        <v>45679.862800925926</v>
      </c>
      <c r="G317" s="10">
        <v>45680.8828587963</v>
      </c>
      <c r="H317" s="10">
        <v>45680.900706018518</v>
      </c>
      <c r="I317" s="10">
        <v>45680.900706018518</v>
      </c>
      <c r="J317" s="10">
        <v>45680.90148148148</v>
      </c>
      <c r="K317" s="11">
        <f t="shared" si="16"/>
        <v>0.54203703703387873</v>
      </c>
      <c r="L317" s="11">
        <f t="shared" si="17"/>
        <v>1.0200578703734209</v>
      </c>
      <c r="M317" s="11">
        <f t="shared" si="18"/>
        <v>0</v>
      </c>
      <c r="N317" s="11">
        <f t="shared" si="19"/>
        <v>1.5807175925874617</v>
      </c>
    </row>
    <row r="318" spans="1:14" x14ac:dyDescent="0.25">
      <c r="A318" s="3" t="s">
        <v>2396</v>
      </c>
      <c r="B318" s="3" t="s">
        <v>523</v>
      </c>
      <c r="C318" s="3" t="s">
        <v>3200</v>
      </c>
      <c r="D318" s="3">
        <v>3</v>
      </c>
      <c r="E318" s="10">
        <v>45679.418900462973</v>
      </c>
      <c r="F318" s="10">
        <v>45679.868159722217</v>
      </c>
      <c r="G318" s="10">
        <v>45681.132847222223</v>
      </c>
      <c r="H318" s="10">
        <v>45681.152511574073</v>
      </c>
      <c r="I318" s="10">
        <v>45681.152511574073</v>
      </c>
      <c r="J318" s="10">
        <v>45681.153275462973</v>
      </c>
      <c r="K318" s="11">
        <f t="shared" si="16"/>
        <v>0.44925925924326293</v>
      </c>
      <c r="L318" s="11">
        <f t="shared" si="17"/>
        <v>1.2646875000064028</v>
      </c>
      <c r="M318" s="11">
        <f t="shared" si="18"/>
        <v>0</v>
      </c>
      <c r="N318" s="11">
        <f t="shared" si="19"/>
        <v>1.734375</v>
      </c>
    </row>
    <row r="319" spans="1:14" x14ac:dyDescent="0.25">
      <c r="A319" s="3" t="s">
        <v>2411</v>
      </c>
      <c r="B319" s="3" t="s">
        <v>488</v>
      </c>
      <c r="C319" s="3" t="s">
        <v>3203</v>
      </c>
      <c r="D319" s="3">
        <v>2</v>
      </c>
      <c r="E319" s="10">
        <v>45679.748877314807</v>
      </c>
      <c r="F319" s="10">
        <v>45680.127245370371</v>
      </c>
      <c r="G319" s="10">
        <v>45681.198912037027</v>
      </c>
      <c r="H319" s="10">
        <v>45681.220405092587</v>
      </c>
      <c r="I319" s="10">
        <v>45681.220405092587</v>
      </c>
      <c r="J319" s="10">
        <v>45681.22115740741</v>
      </c>
      <c r="K319" s="11">
        <f t="shared" si="16"/>
        <v>0.37836805556435138</v>
      </c>
      <c r="L319" s="11">
        <f t="shared" si="17"/>
        <v>1.0716666666558012</v>
      </c>
      <c r="M319" s="11">
        <f t="shared" si="18"/>
        <v>0</v>
      </c>
      <c r="N319" s="11">
        <f t="shared" si="19"/>
        <v>1.4722800926028867</v>
      </c>
    </row>
    <row r="320" spans="1:14" x14ac:dyDescent="0.25">
      <c r="A320" s="3" t="s">
        <v>2452</v>
      </c>
      <c r="B320" s="3" t="s">
        <v>492</v>
      </c>
      <c r="C320" s="3" t="s">
        <v>3194</v>
      </c>
      <c r="D320" s="3">
        <v>1</v>
      </c>
      <c r="E320" s="10">
        <v>45680.127013888887</v>
      </c>
      <c r="F320" s="10">
        <v>45680.129201388889</v>
      </c>
      <c r="G320" s="10">
        <v>45681.269328703696</v>
      </c>
      <c r="H320" s="10">
        <v>45681.288055555553</v>
      </c>
      <c r="I320" s="10">
        <v>45681.288055555553</v>
      </c>
      <c r="J320" s="10">
        <v>45681.288842592592</v>
      </c>
      <c r="K320" s="11">
        <f t="shared" si="16"/>
        <v>2.1875000020372681E-3</v>
      </c>
      <c r="L320" s="11">
        <f t="shared" si="17"/>
        <v>1.1401273148076143</v>
      </c>
      <c r="M320" s="11">
        <f t="shared" si="18"/>
        <v>0</v>
      </c>
      <c r="N320" s="11">
        <f t="shared" si="19"/>
        <v>1.161828703705396</v>
      </c>
    </row>
    <row r="321" spans="1:14" x14ac:dyDescent="0.25">
      <c r="A321" s="3" t="s">
        <v>2359</v>
      </c>
      <c r="B321" s="3" t="s">
        <v>500</v>
      </c>
      <c r="C321" s="3" t="s">
        <v>3204</v>
      </c>
      <c r="D321" s="3">
        <v>4</v>
      </c>
      <c r="E321" s="10">
        <v>45679.315057870372</v>
      </c>
      <c r="F321" s="10">
        <v>45680.274560185193</v>
      </c>
      <c r="G321" s="10">
        <v>45681.300937499997</v>
      </c>
      <c r="H321" s="10">
        <v>45681.326018518521</v>
      </c>
      <c r="I321" s="10">
        <v>45681.326018518521</v>
      </c>
      <c r="J321" s="10">
        <v>45681.326851851853</v>
      </c>
      <c r="K321" s="11">
        <f t="shared" si="16"/>
        <v>0.95950231482129311</v>
      </c>
      <c r="L321" s="11">
        <f t="shared" si="17"/>
        <v>1.0263773148035398</v>
      </c>
      <c r="M321" s="11">
        <f t="shared" si="18"/>
        <v>0</v>
      </c>
      <c r="N321" s="11">
        <f t="shared" si="19"/>
        <v>2.0117939814808778</v>
      </c>
    </row>
    <row r="322" spans="1:14" x14ac:dyDescent="0.25">
      <c r="A322" s="3" t="s">
        <v>2458</v>
      </c>
      <c r="B322" s="3" t="s">
        <v>484</v>
      </c>
      <c r="C322" s="3" t="s">
        <v>3203</v>
      </c>
      <c r="D322" s="3">
        <v>2</v>
      </c>
      <c r="E322" s="10">
        <v>45680.130208333343</v>
      </c>
      <c r="F322" s="10">
        <v>45680.303344907406</v>
      </c>
      <c r="G322" s="10">
        <v>45681.31454861111</v>
      </c>
      <c r="H322" s="10">
        <v>45681.334999999999</v>
      </c>
      <c r="I322" s="10">
        <v>45681.334999999999</v>
      </c>
      <c r="J322" s="10">
        <v>45681.335729166669</v>
      </c>
      <c r="K322" s="11">
        <f t="shared" ref="K322:K385" si="20">IF(AND(ISNUMBER(E322),ISNUMBER(F322)),(F322-E322),"")</f>
        <v>0.17313657406339189</v>
      </c>
      <c r="L322" s="11">
        <f t="shared" ref="L322:L385" si="21">IF(AND(ISNUMBER(F322),ISNUMBER(G322)),(G322-F322),"")</f>
        <v>1.0112037037033588</v>
      </c>
      <c r="M322" s="11">
        <f t="shared" ref="M322:M385" si="22">IF(AND(ISNUMBER(H322),ISNUMBER(I322)),(I322-H322),"")</f>
        <v>0</v>
      </c>
      <c r="N322" s="11">
        <f t="shared" ref="N322:N385" si="23">IF(AND(ISNUMBER(E322),ISNUMBER(J322)),(J322-E322),"")</f>
        <v>1.2055208333258634</v>
      </c>
    </row>
    <row r="323" spans="1:14" x14ac:dyDescent="0.25">
      <c r="A323" s="3" t="s">
        <v>2455</v>
      </c>
      <c r="B323" s="3" t="s">
        <v>500</v>
      </c>
      <c r="C323" s="3" t="s">
        <v>3199</v>
      </c>
      <c r="D323" s="3">
        <v>2</v>
      </c>
      <c r="E323" s="10">
        <v>45680.128935185188</v>
      </c>
      <c r="F323" s="10">
        <v>45680.375810185193</v>
      </c>
      <c r="G323" s="10">
        <v>45681.332650462973</v>
      </c>
      <c r="H323" s="10">
        <v>45681.363518518519</v>
      </c>
      <c r="I323" s="10">
        <v>45681.363518518519</v>
      </c>
      <c r="J323" s="10">
        <v>45681.364328703698</v>
      </c>
      <c r="K323" s="11">
        <f t="shared" si="20"/>
        <v>0.24687500000436557</v>
      </c>
      <c r="L323" s="11">
        <f t="shared" si="21"/>
        <v>0.95684027778042946</v>
      </c>
      <c r="M323" s="11">
        <f t="shared" si="22"/>
        <v>0</v>
      </c>
      <c r="N323" s="11">
        <f t="shared" si="23"/>
        <v>1.2353935185092269</v>
      </c>
    </row>
    <row r="324" spans="1:14" x14ac:dyDescent="0.25">
      <c r="A324" s="3" t="s">
        <v>2483</v>
      </c>
      <c r="B324" s="3" t="s">
        <v>572</v>
      </c>
      <c r="C324" s="3" t="s">
        <v>3195</v>
      </c>
      <c r="D324" s="3">
        <v>1</v>
      </c>
      <c r="E324" s="10">
        <v>45680.375648148147</v>
      </c>
      <c r="F324" s="10">
        <v>45680.37804398148</v>
      </c>
      <c r="G324" s="10">
        <v>45681.377974537027</v>
      </c>
      <c r="H324" s="10">
        <v>45681.415949074071</v>
      </c>
      <c r="I324" s="10">
        <v>45681.415949074071</v>
      </c>
      <c r="J324" s="10">
        <v>45681.417048611111</v>
      </c>
      <c r="K324" s="11">
        <f t="shared" si="20"/>
        <v>2.3958333331393078E-3</v>
      </c>
      <c r="L324" s="11">
        <f t="shared" si="21"/>
        <v>0.99993055554659804</v>
      </c>
      <c r="M324" s="11">
        <f t="shared" si="22"/>
        <v>0</v>
      </c>
      <c r="N324" s="11">
        <f t="shared" si="23"/>
        <v>1.041400462963793</v>
      </c>
    </row>
    <row r="325" spans="1:14" x14ac:dyDescent="0.25">
      <c r="A325" s="3" t="s">
        <v>2426</v>
      </c>
      <c r="B325" s="3" t="s">
        <v>519</v>
      </c>
      <c r="C325" s="3" t="s">
        <v>3205</v>
      </c>
      <c r="D325" s="3">
        <v>4</v>
      </c>
      <c r="E325" s="10">
        <v>45679.76121527778</v>
      </c>
      <c r="F325" s="10">
        <v>45680.413055555553</v>
      </c>
      <c r="G325" s="10">
        <v>45681.400775462957</v>
      </c>
      <c r="H325" s="10">
        <v>45681.427210648151</v>
      </c>
      <c r="I325" s="10">
        <v>45681.427210648151</v>
      </c>
      <c r="J325" s="10">
        <v>45681.428113425929</v>
      </c>
      <c r="K325" s="11">
        <f t="shared" si="20"/>
        <v>0.65184027777286246</v>
      </c>
      <c r="L325" s="11">
        <f t="shared" si="21"/>
        <v>0.98771990740351612</v>
      </c>
      <c r="M325" s="11">
        <f t="shared" si="22"/>
        <v>0</v>
      </c>
      <c r="N325" s="11">
        <f t="shared" si="23"/>
        <v>1.6668981481489027</v>
      </c>
    </row>
    <row r="326" spans="1:14" x14ac:dyDescent="0.25">
      <c r="A326" s="3" t="s">
        <v>2469</v>
      </c>
      <c r="B326" s="3" t="s">
        <v>515</v>
      </c>
      <c r="C326" s="3" t="s">
        <v>3196</v>
      </c>
      <c r="D326" s="3">
        <v>3</v>
      </c>
      <c r="E326" s="10">
        <v>45680.301446759258</v>
      </c>
      <c r="F326" s="10">
        <v>45680.414918981478</v>
      </c>
      <c r="G326" s="10">
        <v>45681.424791666657</v>
      </c>
      <c r="H326" s="10">
        <v>45681.4534375</v>
      </c>
      <c r="I326" s="10">
        <v>45681.4534375</v>
      </c>
      <c r="J326" s="10">
        <v>45681.454201388893</v>
      </c>
      <c r="K326" s="11">
        <f t="shared" si="20"/>
        <v>0.11347222221957054</v>
      </c>
      <c r="L326" s="11">
        <f t="shared" si="21"/>
        <v>1.009872685179289</v>
      </c>
      <c r="M326" s="11">
        <f t="shared" si="22"/>
        <v>0</v>
      </c>
      <c r="N326" s="11">
        <f t="shared" si="23"/>
        <v>1.1527546296347282</v>
      </c>
    </row>
    <row r="327" spans="1:14" x14ac:dyDescent="0.25">
      <c r="A327" s="3" t="s">
        <v>2443</v>
      </c>
      <c r="B327" s="3" t="s">
        <v>506</v>
      </c>
      <c r="C327" s="3" t="s">
        <v>3197</v>
      </c>
      <c r="D327" s="3">
        <v>5</v>
      </c>
      <c r="E327" s="10">
        <v>45679.860868055563</v>
      </c>
      <c r="F327" s="10">
        <v>45680.420763888891</v>
      </c>
      <c r="G327" s="10">
        <v>45681.553194444437</v>
      </c>
      <c r="H327" s="10">
        <v>45681.583912037036</v>
      </c>
      <c r="I327" s="10">
        <v>45681.583912037036</v>
      </c>
      <c r="J327" s="10">
        <v>45681.584872685176</v>
      </c>
      <c r="K327" s="11">
        <f t="shared" si="20"/>
        <v>0.55989583332848269</v>
      </c>
      <c r="L327" s="11">
        <f t="shared" si="21"/>
        <v>1.132430555546307</v>
      </c>
      <c r="M327" s="11">
        <f t="shared" si="22"/>
        <v>0</v>
      </c>
      <c r="N327" s="11">
        <f t="shared" si="23"/>
        <v>1.7240046296137734</v>
      </c>
    </row>
    <row r="328" spans="1:14" x14ac:dyDescent="0.25">
      <c r="A328" s="3" t="s">
        <v>2464</v>
      </c>
      <c r="B328" s="3" t="s">
        <v>500</v>
      </c>
      <c r="C328" s="3" t="s">
        <v>3194</v>
      </c>
      <c r="D328" s="3">
        <v>4</v>
      </c>
      <c r="E328" s="10">
        <v>45680.298171296286</v>
      </c>
      <c r="F328" s="10">
        <v>45680.453865740739</v>
      </c>
      <c r="G328" s="10">
        <v>45681.615370370368</v>
      </c>
      <c r="H328" s="10">
        <v>45681.686168981483</v>
      </c>
      <c r="I328" s="10">
        <v>45681.686168981483</v>
      </c>
      <c r="J328" s="10">
        <v>45681.687650462962</v>
      </c>
      <c r="K328" s="11">
        <f t="shared" si="20"/>
        <v>0.15569444445281988</v>
      </c>
      <c r="L328" s="11">
        <f t="shared" si="21"/>
        <v>1.1615046296283253</v>
      </c>
      <c r="M328" s="11">
        <f t="shared" si="22"/>
        <v>0</v>
      </c>
      <c r="N328" s="11">
        <f t="shared" si="23"/>
        <v>1.3894791666753008</v>
      </c>
    </row>
    <row r="329" spans="1:14" x14ac:dyDescent="0.25">
      <c r="A329" s="3" t="s">
        <v>2520</v>
      </c>
      <c r="B329" s="3" t="s">
        <v>500</v>
      </c>
      <c r="C329" s="3" t="s">
        <v>3202</v>
      </c>
      <c r="D329" s="3">
        <v>1</v>
      </c>
      <c r="E329" s="10">
        <v>45680.613252314812</v>
      </c>
      <c r="F329" s="10">
        <v>45680.615624999999</v>
      </c>
      <c r="G329" s="10">
        <v>45681.650706018518</v>
      </c>
      <c r="H329" s="10">
        <v>45681.719548611109</v>
      </c>
      <c r="I329" s="10">
        <v>45681.719548611109</v>
      </c>
      <c r="J329" s="10">
        <v>45681.720949074072</v>
      </c>
      <c r="K329" s="11">
        <f t="shared" si="20"/>
        <v>2.3726851868559606E-3</v>
      </c>
      <c r="L329" s="11">
        <f t="shared" si="21"/>
        <v>1.0350810185191222</v>
      </c>
      <c r="M329" s="11">
        <f t="shared" si="22"/>
        <v>0</v>
      </c>
      <c r="N329" s="11">
        <f t="shared" si="23"/>
        <v>1.1076967592598521</v>
      </c>
    </row>
    <row r="330" spans="1:14" x14ac:dyDescent="0.25">
      <c r="A330" s="3" t="s">
        <v>2523</v>
      </c>
      <c r="B330" s="3" t="s">
        <v>515</v>
      </c>
      <c r="C330" s="3" t="s">
        <v>3196</v>
      </c>
      <c r="D330" s="3">
        <v>4</v>
      </c>
      <c r="E330" s="10">
        <v>45680.628842592603</v>
      </c>
      <c r="F330" s="10">
        <v>45680.738263888888</v>
      </c>
      <c r="G330" s="10">
        <v>45681.654479166667</v>
      </c>
      <c r="H330" s="10">
        <v>45681.677071759259</v>
      </c>
      <c r="I330" s="10">
        <v>45681.677071759259</v>
      </c>
      <c r="J330" s="10">
        <v>45681.677754629629</v>
      </c>
      <c r="K330" s="11">
        <f t="shared" si="20"/>
        <v>0.10942129628529074</v>
      </c>
      <c r="L330" s="11">
        <f t="shared" si="21"/>
        <v>0.91621527777897427</v>
      </c>
      <c r="M330" s="11">
        <f t="shared" si="22"/>
        <v>0</v>
      </c>
      <c r="N330" s="11">
        <f t="shared" si="23"/>
        <v>1.0489120370257297</v>
      </c>
    </row>
    <row r="331" spans="1:14" x14ac:dyDescent="0.25">
      <c r="A331" s="3" t="s">
        <v>2350</v>
      </c>
      <c r="B331" s="3" t="s">
        <v>539</v>
      </c>
      <c r="C331" s="3" t="s">
        <v>3206</v>
      </c>
      <c r="D331" s="3">
        <v>9</v>
      </c>
      <c r="E331" s="10">
        <v>45679.30740740741</v>
      </c>
      <c r="F331" s="10">
        <v>45680.746504629627</v>
      </c>
      <c r="G331" s="10">
        <v>45681.738668981481</v>
      </c>
      <c r="H331" s="10">
        <v>45681.757233796299</v>
      </c>
      <c r="I331" s="10">
        <v>45681.757233796299</v>
      </c>
      <c r="J331" s="10">
        <v>45681.7580787037</v>
      </c>
      <c r="K331" s="11">
        <f t="shared" si="20"/>
        <v>1.4390972222172422</v>
      </c>
      <c r="L331" s="11">
        <f t="shared" si="21"/>
        <v>0.99216435185371665</v>
      </c>
      <c r="M331" s="11">
        <f t="shared" si="22"/>
        <v>0</v>
      </c>
      <c r="N331" s="11">
        <f t="shared" si="23"/>
        <v>2.4506712962902384</v>
      </c>
    </row>
    <row r="332" spans="1:14" x14ac:dyDescent="0.25">
      <c r="A332" s="3" t="s">
        <v>2566</v>
      </c>
      <c r="B332" s="3" t="s">
        <v>506</v>
      </c>
      <c r="C332" s="3" t="s">
        <v>3193</v>
      </c>
      <c r="D332" s="3">
        <v>1</v>
      </c>
      <c r="E332" s="10">
        <v>45680.747164351851</v>
      </c>
      <c r="F332" s="10">
        <v>45680.749525462961</v>
      </c>
      <c r="G332" s="10">
        <v>45681.741979166669</v>
      </c>
      <c r="H332" s="10">
        <v>45681.762407407397</v>
      </c>
      <c r="I332" s="10">
        <v>45681.762407407397</v>
      </c>
      <c r="J332" s="10">
        <v>45681.763101851851</v>
      </c>
      <c r="K332" s="11">
        <f t="shared" si="20"/>
        <v>2.3611111100763083E-3</v>
      </c>
      <c r="L332" s="11">
        <f t="shared" si="21"/>
        <v>0.99245370370772434</v>
      </c>
      <c r="M332" s="11">
        <f t="shared" si="22"/>
        <v>0</v>
      </c>
      <c r="N332" s="11">
        <f t="shared" si="23"/>
        <v>1.015937500000291</v>
      </c>
    </row>
    <row r="333" spans="1:14" x14ac:dyDescent="0.25">
      <c r="A333" s="3" t="s">
        <v>2571</v>
      </c>
      <c r="B333" s="3" t="s">
        <v>500</v>
      </c>
      <c r="C333" s="3" t="s">
        <v>3198</v>
      </c>
      <c r="D333" s="3">
        <v>2</v>
      </c>
      <c r="E333" s="10">
        <v>45680.751122685193</v>
      </c>
      <c r="F333" s="10">
        <v>45680.884675925918</v>
      </c>
      <c r="G333" s="10">
        <v>45682.090439814812</v>
      </c>
      <c r="H333" s="10">
        <v>45682.11478009259</v>
      </c>
      <c r="I333" s="10">
        <v>45682.11478009259</v>
      </c>
      <c r="J333" s="10">
        <v>45682.115636574083</v>
      </c>
      <c r="K333" s="11">
        <f t="shared" si="20"/>
        <v>0.13355324072472285</v>
      </c>
      <c r="L333" s="11">
        <f t="shared" si="21"/>
        <v>1.2057638888945803</v>
      </c>
      <c r="M333" s="11">
        <f t="shared" si="22"/>
        <v>0</v>
      </c>
      <c r="N333" s="11">
        <f t="shared" si="23"/>
        <v>1.3645138888896327</v>
      </c>
    </row>
    <row r="334" spans="1:14" x14ac:dyDescent="0.25">
      <c r="A334" s="3" t="s">
        <v>2544</v>
      </c>
      <c r="B334" s="3" t="s">
        <v>488</v>
      </c>
      <c r="C334" s="3" t="s">
        <v>3197</v>
      </c>
      <c r="D334" s="3">
        <v>2</v>
      </c>
      <c r="E334" s="10">
        <v>45680.730497685188</v>
      </c>
      <c r="F334" s="10">
        <v>45681.129108796304</v>
      </c>
      <c r="G334" s="10">
        <v>45683.760601851849</v>
      </c>
      <c r="H334" s="10">
        <v>45683.789201388892</v>
      </c>
      <c r="I334" s="10">
        <v>45683.789201388892</v>
      </c>
      <c r="J334" s="10">
        <v>45683.790127314824</v>
      </c>
      <c r="K334" s="11">
        <f t="shared" si="20"/>
        <v>0.398611111115315</v>
      </c>
      <c r="L334" s="11">
        <f t="shared" si="21"/>
        <v>2.6314930555454339</v>
      </c>
      <c r="M334" s="11">
        <f t="shared" si="22"/>
        <v>0</v>
      </c>
      <c r="N334" s="11">
        <f t="shared" si="23"/>
        <v>3.0596296296353103</v>
      </c>
    </row>
    <row r="335" spans="1:14" x14ac:dyDescent="0.25">
      <c r="A335" s="3" t="s">
        <v>2486</v>
      </c>
      <c r="B335" s="3" t="s">
        <v>527</v>
      </c>
      <c r="C335" s="3" t="s">
        <v>3203</v>
      </c>
      <c r="D335" s="3">
        <v>7</v>
      </c>
      <c r="E335" s="10">
        <v>45680.399675925917</v>
      </c>
      <c r="F335" s="10">
        <v>45681.135034722232</v>
      </c>
      <c r="G335" s="10">
        <v>45684.128483796303</v>
      </c>
      <c r="H335" s="10">
        <v>45684.153437499997</v>
      </c>
      <c r="I335" s="10">
        <v>45684.153437499997</v>
      </c>
      <c r="J335" s="10">
        <v>45684.154236111113</v>
      </c>
      <c r="K335" s="11">
        <f t="shared" si="20"/>
        <v>0.73535879631526768</v>
      </c>
      <c r="L335" s="11">
        <f t="shared" si="21"/>
        <v>2.9934490740706678</v>
      </c>
      <c r="M335" s="11">
        <f t="shared" si="22"/>
        <v>0</v>
      </c>
      <c r="N335" s="11">
        <f t="shared" si="23"/>
        <v>3.7545601851961692</v>
      </c>
    </row>
    <row r="336" spans="1:14" x14ac:dyDescent="0.25">
      <c r="A336" s="3" t="s">
        <v>2489</v>
      </c>
      <c r="B336" s="3" t="s">
        <v>519</v>
      </c>
      <c r="C336" s="3" t="s">
        <v>3201</v>
      </c>
      <c r="D336" s="3">
        <v>4</v>
      </c>
      <c r="E336" s="10">
        <v>45680.401400462957</v>
      </c>
      <c r="F336" s="10">
        <v>45681.199571759258</v>
      </c>
      <c r="G336" s="10">
        <v>45684.200370370367</v>
      </c>
      <c r="H336" s="10">
        <v>45684.220891203702</v>
      </c>
      <c r="I336" s="10">
        <v>45684.220891203702</v>
      </c>
      <c r="J336" s="10">
        <v>45684.221712962957</v>
      </c>
      <c r="K336" s="11">
        <f t="shared" si="20"/>
        <v>0.79817129630100681</v>
      </c>
      <c r="L336" s="11">
        <f t="shared" si="21"/>
        <v>3.0007986111086211</v>
      </c>
      <c r="M336" s="11">
        <f t="shared" si="22"/>
        <v>0</v>
      </c>
      <c r="N336" s="11">
        <f t="shared" si="23"/>
        <v>3.8203125</v>
      </c>
    </row>
    <row r="337" spans="1:14" x14ac:dyDescent="0.25">
      <c r="A337" s="3" t="s">
        <v>2588</v>
      </c>
      <c r="B337" s="3" t="s">
        <v>500</v>
      </c>
      <c r="C337" s="3" t="s">
        <v>3203</v>
      </c>
      <c r="D337" s="3">
        <v>1</v>
      </c>
      <c r="E337" s="10">
        <v>45681.267592592587</v>
      </c>
      <c r="F337" s="10">
        <v>45681.269988425927</v>
      </c>
      <c r="G337" s="10">
        <v>45684.286192129628</v>
      </c>
      <c r="H337" s="10">
        <v>45684.337754629632</v>
      </c>
      <c r="I337" s="10">
        <v>45684.337754629632</v>
      </c>
      <c r="J337" s="10">
        <v>45684.338912037027</v>
      </c>
      <c r="K337" s="11">
        <f t="shared" si="20"/>
        <v>2.3958333404152654E-3</v>
      </c>
      <c r="L337" s="11">
        <f t="shared" si="21"/>
        <v>3.0162037037007394</v>
      </c>
      <c r="M337" s="11">
        <f t="shared" si="22"/>
        <v>0</v>
      </c>
      <c r="N337" s="11">
        <f t="shared" si="23"/>
        <v>3.0713194444397232</v>
      </c>
    </row>
    <row r="338" spans="1:14" x14ac:dyDescent="0.25">
      <c r="A338" s="3" t="s">
        <v>2591</v>
      </c>
      <c r="B338" s="3" t="s">
        <v>500</v>
      </c>
      <c r="C338" s="3" t="s">
        <v>3200</v>
      </c>
      <c r="D338" s="3">
        <v>1</v>
      </c>
      <c r="E338" s="10">
        <v>45681.299201388887</v>
      </c>
      <c r="F338" s="10">
        <v>45681.30159722222</v>
      </c>
      <c r="G338" s="10">
        <v>45684.323344907411</v>
      </c>
      <c r="H338" s="10">
        <v>45684.365081018521</v>
      </c>
      <c r="I338" s="10">
        <v>45684.365081018521</v>
      </c>
      <c r="J338" s="10">
        <v>45684.36614583333</v>
      </c>
      <c r="K338" s="11">
        <f t="shared" si="20"/>
        <v>2.3958333331393078E-3</v>
      </c>
      <c r="L338" s="11">
        <f t="shared" si="21"/>
        <v>3.0217476851903484</v>
      </c>
      <c r="M338" s="11">
        <f t="shared" si="22"/>
        <v>0</v>
      </c>
      <c r="N338" s="11">
        <f t="shared" si="23"/>
        <v>3.0669444444429246</v>
      </c>
    </row>
    <row r="339" spans="1:14" x14ac:dyDescent="0.25">
      <c r="A339" s="3" t="s">
        <v>2535</v>
      </c>
      <c r="B339" s="3" t="s">
        <v>500</v>
      </c>
      <c r="C339" s="3" t="s">
        <v>3199</v>
      </c>
      <c r="D339" s="3">
        <v>4</v>
      </c>
      <c r="E339" s="10">
        <v>45680.638229166667</v>
      </c>
      <c r="F339" s="10">
        <v>45681.378692129627</v>
      </c>
      <c r="G339" s="10">
        <v>45684.325509259259</v>
      </c>
      <c r="H339" s="10">
        <v>45684.344849537039</v>
      </c>
      <c r="I339" s="10">
        <v>45684.344849537039</v>
      </c>
      <c r="J339" s="10">
        <v>45684.345497685194</v>
      </c>
      <c r="K339" s="11">
        <f t="shared" si="20"/>
        <v>0.74046296296000946</v>
      </c>
      <c r="L339" s="11">
        <f t="shared" si="21"/>
        <v>2.9468171296321088</v>
      </c>
      <c r="M339" s="11">
        <f t="shared" si="22"/>
        <v>0</v>
      </c>
      <c r="N339" s="11">
        <f t="shared" si="23"/>
        <v>3.7072685185266891</v>
      </c>
    </row>
    <row r="340" spans="1:14" x14ac:dyDescent="0.25">
      <c r="A340" s="3" t="s">
        <v>2504</v>
      </c>
      <c r="B340" s="3" t="s">
        <v>506</v>
      </c>
      <c r="C340" s="3" t="s">
        <v>3204</v>
      </c>
      <c r="D340" s="3">
        <v>3</v>
      </c>
      <c r="E340" s="10">
        <v>45680.413032407407</v>
      </c>
      <c r="F340" s="10">
        <v>45681.398414351846</v>
      </c>
      <c r="G340" s="10">
        <v>45684.33965277778</v>
      </c>
      <c r="H340" s="10">
        <v>45684.370625000003</v>
      </c>
      <c r="I340" s="10">
        <v>45684.370625000003</v>
      </c>
      <c r="J340" s="10">
        <v>45684.371539351851</v>
      </c>
      <c r="K340" s="11">
        <f t="shared" si="20"/>
        <v>0.98538194443972316</v>
      </c>
      <c r="L340" s="11">
        <f t="shared" si="21"/>
        <v>2.9412384259339888</v>
      </c>
      <c r="M340" s="11">
        <f t="shared" si="22"/>
        <v>0</v>
      </c>
      <c r="N340" s="11">
        <f t="shared" si="23"/>
        <v>3.9585069444437977</v>
      </c>
    </row>
    <row r="341" spans="1:14" x14ac:dyDescent="0.25">
      <c r="A341" s="3" t="s">
        <v>2594</v>
      </c>
      <c r="B341" s="3" t="s">
        <v>572</v>
      </c>
      <c r="C341" s="3" t="s">
        <v>3203</v>
      </c>
      <c r="D341" s="3">
        <v>6</v>
      </c>
      <c r="E341" s="10">
        <v>45681.322002314817</v>
      </c>
      <c r="F341" s="10">
        <v>45681.42696759259</v>
      </c>
      <c r="G341" s="10">
        <v>45684.365208333344</v>
      </c>
      <c r="H341" s="10">
        <v>45684.389398148152</v>
      </c>
      <c r="I341" s="10">
        <v>45684.389398148152</v>
      </c>
      <c r="J341" s="10">
        <v>45684.390185185177</v>
      </c>
      <c r="K341" s="11">
        <f t="shared" si="20"/>
        <v>0.10496527777286246</v>
      </c>
      <c r="L341" s="11">
        <f t="shared" si="21"/>
        <v>2.9382407407538267</v>
      </c>
      <c r="M341" s="11">
        <f t="shared" si="22"/>
        <v>0</v>
      </c>
      <c r="N341" s="11">
        <f t="shared" si="23"/>
        <v>3.0681828703600331</v>
      </c>
    </row>
    <row r="342" spans="1:14" x14ac:dyDescent="0.25">
      <c r="A342" s="3" t="s">
        <v>2638</v>
      </c>
      <c r="B342" s="3" t="s">
        <v>500</v>
      </c>
      <c r="C342" s="3" t="s">
        <v>3195</v>
      </c>
      <c r="D342" s="3">
        <v>1</v>
      </c>
      <c r="E342" s="10">
        <v>45681.551481481481</v>
      </c>
      <c r="F342" s="10">
        <v>45681.553877314807</v>
      </c>
      <c r="G342" s="10">
        <v>45684.392592592587</v>
      </c>
      <c r="H342" s="10">
        <v>45684.423414351862</v>
      </c>
      <c r="I342" s="10">
        <v>45684.423414351862</v>
      </c>
      <c r="J342" s="10">
        <v>45684.424421296288</v>
      </c>
      <c r="K342" s="11">
        <f t="shared" si="20"/>
        <v>2.3958333258633502E-3</v>
      </c>
      <c r="L342" s="11">
        <f t="shared" si="21"/>
        <v>2.8387152777795563</v>
      </c>
      <c r="M342" s="11">
        <f t="shared" si="22"/>
        <v>0</v>
      </c>
      <c r="N342" s="11">
        <f t="shared" si="23"/>
        <v>2.8729398148061591</v>
      </c>
    </row>
    <row r="343" spans="1:14" x14ac:dyDescent="0.25">
      <c r="A343" s="3" t="s">
        <v>2641</v>
      </c>
      <c r="B343" s="3" t="s">
        <v>500</v>
      </c>
      <c r="C343" s="3" t="s">
        <v>3197</v>
      </c>
      <c r="D343" s="3">
        <v>1</v>
      </c>
      <c r="E343" s="10">
        <v>45681.613634259258</v>
      </c>
      <c r="F343" s="10">
        <v>45681.616006944438</v>
      </c>
      <c r="G343" s="10">
        <v>45684.453692129631</v>
      </c>
      <c r="H343" s="10">
        <v>45684.50509259259</v>
      </c>
      <c r="I343" s="10">
        <v>45684.50509259259</v>
      </c>
      <c r="J343" s="10">
        <v>45684.506331018521</v>
      </c>
      <c r="K343" s="11">
        <f t="shared" si="20"/>
        <v>2.372685179580003E-3</v>
      </c>
      <c r="L343" s="11">
        <f t="shared" si="21"/>
        <v>2.8376851851935498</v>
      </c>
      <c r="M343" s="11">
        <f t="shared" si="22"/>
        <v>0</v>
      </c>
      <c r="N343" s="11">
        <f t="shared" si="23"/>
        <v>2.8926967592633446</v>
      </c>
    </row>
    <row r="344" spans="1:14" x14ac:dyDescent="0.25">
      <c r="A344" s="3" t="s">
        <v>2563</v>
      </c>
      <c r="B344" s="3" t="s">
        <v>506</v>
      </c>
      <c r="C344" s="3" t="s">
        <v>3196</v>
      </c>
      <c r="D344" s="3">
        <v>2</v>
      </c>
      <c r="E344" s="10">
        <v>45680.745648148149</v>
      </c>
      <c r="F344" s="10">
        <v>45681.645370370366</v>
      </c>
      <c r="G344" s="10">
        <v>45684.539895833332</v>
      </c>
      <c r="H344" s="10">
        <v>45684.557592592602</v>
      </c>
      <c r="I344" s="10">
        <v>45684.557592592602</v>
      </c>
      <c r="J344" s="10">
        <v>45684.558217592603</v>
      </c>
      <c r="K344" s="11">
        <f t="shared" si="20"/>
        <v>0.8997222222169512</v>
      </c>
      <c r="L344" s="11">
        <f t="shared" si="21"/>
        <v>2.8945254629652482</v>
      </c>
      <c r="M344" s="11">
        <f t="shared" si="22"/>
        <v>0</v>
      </c>
      <c r="N344" s="11">
        <f t="shared" si="23"/>
        <v>3.812569444453402</v>
      </c>
    </row>
    <row r="345" spans="1:14" x14ac:dyDescent="0.25">
      <c r="A345" s="3" t="s">
        <v>2665</v>
      </c>
      <c r="B345" s="3" t="s">
        <v>500</v>
      </c>
      <c r="C345" s="3" t="s">
        <v>3202</v>
      </c>
      <c r="D345" s="3">
        <v>1</v>
      </c>
      <c r="E345" s="10">
        <v>45681.736932870372</v>
      </c>
      <c r="F345" s="10">
        <v>45681.739305555559</v>
      </c>
      <c r="G345" s="10">
        <v>45684.611238425918</v>
      </c>
      <c r="H345" s="10">
        <v>45684.634618055563</v>
      </c>
      <c r="I345" s="10">
        <v>45684.634618055563</v>
      </c>
      <c r="J345" s="10">
        <v>45684.635416666657</v>
      </c>
      <c r="K345" s="11">
        <f t="shared" si="20"/>
        <v>2.3726851868559606E-3</v>
      </c>
      <c r="L345" s="11">
        <f t="shared" si="21"/>
        <v>2.87193287035916</v>
      </c>
      <c r="M345" s="11">
        <f t="shared" si="22"/>
        <v>0</v>
      </c>
      <c r="N345" s="11">
        <f t="shared" si="23"/>
        <v>2.8984837962852907</v>
      </c>
    </row>
    <row r="346" spans="1:14" x14ac:dyDescent="0.25">
      <c r="A346" s="3" t="s">
        <v>2526</v>
      </c>
      <c r="B346" s="3" t="s">
        <v>500</v>
      </c>
      <c r="C346" s="3" t="s">
        <v>3194</v>
      </c>
      <c r="D346" s="3">
        <v>7</v>
      </c>
      <c r="E346" s="10">
        <v>45680.630798611113</v>
      </c>
      <c r="F346" s="10">
        <v>45681.742638888893</v>
      </c>
      <c r="G346" s="10">
        <v>45684.651909722219</v>
      </c>
      <c r="H346" s="10">
        <v>45684.692256944443</v>
      </c>
      <c r="I346" s="10">
        <v>45684.692256944443</v>
      </c>
      <c r="J346" s="10">
        <v>45684.693333333344</v>
      </c>
      <c r="K346" s="11">
        <f t="shared" si="20"/>
        <v>1.1118402777792653</v>
      </c>
      <c r="L346" s="11">
        <f t="shared" si="21"/>
        <v>2.9092708333264454</v>
      </c>
      <c r="M346" s="11">
        <f t="shared" si="22"/>
        <v>0</v>
      </c>
      <c r="N346" s="11">
        <f t="shared" si="23"/>
        <v>4.062534722230339</v>
      </c>
    </row>
    <row r="347" spans="1:14" x14ac:dyDescent="0.25">
      <c r="A347" s="3" t="s">
        <v>2668</v>
      </c>
      <c r="B347" s="3" t="s">
        <v>506</v>
      </c>
      <c r="C347" s="3" t="s">
        <v>3193</v>
      </c>
      <c r="D347" s="3">
        <v>1</v>
      </c>
      <c r="E347" s="10">
        <v>45682.08489583333</v>
      </c>
      <c r="F347" s="10">
        <v>45682.087291666663</v>
      </c>
      <c r="G347" s="10">
        <v>45684.679386574076</v>
      </c>
      <c r="H347" s="10">
        <v>45684.746932870366</v>
      </c>
      <c r="I347" s="10">
        <v>45684.746932870366</v>
      </c>
      <c r="J347" s="10">
        <v>45684.748252314806</v>
      </c>
      <c r="K347" s="11">
        <f t="shared" si="20"/>
        <v>2.3958333331393078E-3</v>
      </c>
      <c r="L347" s="11">
        <f t="shared" si="21"/>
        <v>2.5920949074134114</v>
      </c>
      <c r="M347" s="11">
        <f t="shared" si="22"/>
        <v>0</v>
      </c>
      <c r="N347" s="11">
        <f t="shared" si="23"/>
        <v>2.6633564814765123</v>
      </c>
    </row>
    <row r="348" spans="1:14" x14ac:dyDescent="0.25">
      <c r="A348" s="3" t="s">
        <v>2673</v>
      </c>
      <c r="B348" s="3" t="s">
        <v>506</v>
      </c>
      <c r="C348" s="3" t="s">
        <v>3196</v>
      </c>
      <c r="D348" s="3">
        <v>1</v>
      </c>
      <c r="E348" s="10">
        <v>45682.088738425933</v>
      </c>
      <c r="F348" s="10">
        <v>45682.091134259259</v>
      </c>
      <c r="G348" s="10">
        <v>45684.741446759261</v>
      </c>
      <c r="H348" s="10">
        <v>45684.768518518518</v>
      </c>
      <c r="I348" s="10">
        <v>45684.768518518518</v>
      </c>
      <c r="J348" s="10">
        <v>45684.769259259258</v>
      </c>
      <c r="K348" s="11">
        <f t="shared" si="20"/>
        <v>2.3958333258633502E-3</v>
      </c>
      <c r="L348" s="11">
        <f t="shared" si="21"/>
        <v>2.6503125000017462</v>
      </c>
      <c r="M348" s="11">
        <f t="shared" si="22"/>
        <v>0</v>
      </c>
      <c r="N348" s="11">
        <f t="shared" si="23"/>
        <v>2.6805208333244082</v>
      </c>
    </row>
    <row r="349" spans="1:14" x14ac:dyDescent="0.25">
      <c r="A349" s="3" t="s">
        <v>2678</v>
      </c>
      <c r="B349" s="3" t="s">
        <v>506</v>
      </c>
      <c r="C349" s="3" t="s">
        <v>3198</v>
      </c>
      <c r="D349" s="3">
        <v>1</v>
      </c>
      <c r="E349" s="10">
        <v>45683.757222222222</v>
      </c>
      <c r="F349" s="10">
        <v>45683.759583333333</v>
      </c>
      <c r="G349" s="10">
        <v>45684.755555555559</v>
      </c>
      <c r="H349" s="10">
        <v>45684.835335648153</v>
      </c>
      <c r="I349" s="10">
        <v>45684.835335648153</v>
      </c>
      <c r="J349" s="10">
        <v>45684.83693287037</v>
      </c>
      <c r="K349" s="11">
        <f t="shared" si="20"/>
        <v>2.3611111100763083E-3</v>
      </c>
      <c r="L349" s="11">
        <f t="shared" si="21"/>
        <v>0.99597222222655546</v>
      </c>
      <c r="M349" s="11">
        <f t="shared" si="22"/>
        <v>0</v>
      </c>
      <c r="N349" s="11">
        <f t="shared" si="23"/>
        <v>1.0797106481477385</v>
      </c>
    </row>
    <row r="350" spans="1:14" x14ac:dyDescent="0.25">
      <c r="A350" s="3" t="s">
        <v>2613</v>
      </c>
      <c r="B350" s="3" t="s">
        <v>519</v>
      </c>
      <c r="C350" s="3" t="s">
        <v>3206</v>
      </c>
      <c r="D350" s="3">
        <v>4</v>
      </c>
      <c r="E350" s="10">
        <v>45681.330509259264</v>
      </c>
      <c r="F350" s="10">
        <v>45683.762430555558</v>
      </c>
      <c r="G350" s="10">
        <v>45684.887199074074</v>
      </c>
      <c r="H350" s="10">
        <v>45684.911157407398</v>
      </c>
      <c r="I350" s="10">
        <v>45684.911157407398</v>
      </c>
      <c r="J350" s="10">
        <v>45684.912083333344</v>
      </c>
      <c r="K350" s="11">
        <f t="shared" si="20"/>
        <v>2.431921296294604</v>
      </c>
      <c r="L350" s="11">
        <f t="shared" si="21"/>
        <v>1.1247685185153387</v>
      </c>
      <c r="M350" s="11">
        <f t="shared" si="22"/>
        <v>0</v>
      </c>
      <c r="N350" s="11">
        <f t="shared" si="23"/>
        <v>3.5815740740799811</v>
      </c>
    </row>
    <row r="351" spans="1:14" x14ac:dyDescent="0.25">
      <c r="A351" s="3" t="s">
        <v>2644</v>
      </c>
      <c r="B351" s="3" t="s">
        <v>488</v>
      </c>
      <c r="C351" s="3" t="s">
        <v>3205</v>
      </c>
      <c r="D351" s="3">
        <v>2</v>
      </c>
      <c r="E351" s="10">
        <v>45681.637870370367</v>
      </c>
      <c r="F351" s="10">
        <v>45684.12835648148</v>
      </c>
      <c r="G351" s="10">
        <v>45685.135520833333</v>
      </c>
      <c r="H351" s="10">
        <v>45685.174675925933</v>
      </c>
      <c r="I351" s="10">
        <v>45685.174675925933</v>
      </c>
      <c r="J351" s="10">
        <v>45685.175740740742</v>
      </c>
      <c r="K351" s="11">
        <f t="shared" si="20"/>
        <v>2.4904861111135688</v>
      </c>
      <c r="L351" s="11">
        <f t="shared" si="21"/>
        <v>1.0071643518531346</v>
      </c>
      <c r="M351" s="11">
        <f t="shared" si="22"/>
        <v>0</v>
      </c>
      <c r="N351" s="11">
        <f t="shared" si="23"/>
        <v>3.5378703703754582</v>
      </c>
    </row>
    <row r="352" spans="1:14" x14ac:dyDescent="0.25">
      <c r="A352" s="3" t="s">
        <v>2647</v>
      </c>
      <c r="B352" s="3" t="s">
        <v>519</v>
      </c>
      <c r="C352" s="3" t="s">
        <v>3203</v>
      </c>
      <c r="D352" s="3">
        <v>2</v>
      </c>
      <c r="E352" s="10">
        <v>45681.639120370368</v>
      </c>
      <c r="F352" s="10">
        <v>45684.20108796296</v>
      </c>
      <c r="G352" s="10">
        <v>45685.282488425917</v>
      </c>
      <c r="H352" s="10">
        <v>45685.33425925926</v>
      </c>
      <c r="I352" s="10">
        <v>45685.33425925926</v>
      </c>
      <c r="J352" s="10">
        <v>45685.335416666669</v>
      </c>
      <c r="K352" s="11">
        <f t="shared" si="20"/>
        <v>2.5619675925918273</v>
      </c>
      <c r="L352" s="11">
        <f t="shared" si="21"/>
        <v>1.0814004629573901</v>
      </c>
      <c r="M352" s="11">
        <f t="shared" si="22"/>
        <v>0</v>
      </c>
      <c r="N352" s="11">
        <f t="shared" si="23"/>
        <v>3.6962962963007158</v>
      </c>
    </row>
    <row r="353" spans="1:14" x14ac:dyDescent="0.25">
      <c r="A353" s="3" t="s">
        <v>2608</v>
      </c>
      <c r="B353" s="3" t="s">
        <v>500</v>
      </c>
      <c r="C353" s="3" t="s">
        <v>3201</v>
      </c>
      <c r="D353" s="3">
        <v>4</v>
      </c>
      <c r="E353" s="10">
        <v>45681.328842592593</v>
      </c>
      <c r="F353" s="10">
        <v>45684.286666666667</v>
      </c>
      <c r="G353" s="10">
        <v>45685.325694444437</v>
      </c>
      <c r="H353" s="10">
        <v>45685.375138888892</v>
      </c>
      <c r="I353" s="10">
        <v>45685.375138888892</v>
      </c>
      <c r="J353" s="10">
        <v>45685.376342592594</v>
      </c>
      <c r="K353" s="11">
        <f t="shared" si="20"/>
        <v>2.9578240740738693</v>
      </c>
      <c r="L353" s="11">
        <f t="shared" si="21"/>
        <v>1.039027777769661</v>
      </c>
      <c r="M353" s="11">
        <f t="shared" si="22"/>
        <v>0</v>
      </c>
      <c r="N353" s="11">
        <f t="shared" si="23"/>
        <v>4.0475000000005821</v>
      </c>
    </row>
    <row r="354" spans="1:14" x14ac:dyDescent="0.25">
      <c r="A354" s="3" t="s">
        <v>2704</v>
      </c>
      <c r="B354" s="3" t="s">
        <v>523</v>
      </c>
      <c r="C354" s="3" t="s">
        <v>3196</v>
      </c>
      <c r="D354" s="3">
        <v>1</v>
      </c>
      <c r="E354" s="10">
        <v>45684.319780092592</v>
      </c>
      <c r="F354" s="10">
        <v>45684.322175925918</v>
      </c>
      <c r="G354" s="10">
        <v>45685.329606481479</v>
      </c>
      <c r="H354" s="10">
        <v>45685.348171296297</v>
      </c>
      <c r="I354" s="10">
        <v>45685.348171296297</v>
      </c>
      <c r="J354" s="10">
        <v>45685.348796296297</v>
      </c>
      <c r="K354" s="11">
        <f t="shared" si="20"/>
        <v>2.3958333258633502E-3</v>
      </c>
      <c r="L354" s="11">
        <f t="shared" si="21"/>
        <v>1.0074305555608589</v>
      </c>
      <c r="M354" s="11">
        <f t="shared" si="22"/>
        <v>0</v>
      </c>
      <c r="N354" s="11">
        <f t="shared" si="23"/>
        <v>1.029016203705396</v>
      </c>
    </row>
    <row r="355" spans="1:14" x14ac:dyDescent="0.25">
      <c r="A355" s="3" t="s">
        <v>2631</v>
      </c>
      <c r="B355" s="3" t="s">
        <v>506</v>
      </c>
      <c r="C355" s="3" t="s">
        <v>3199</v>
      </c>
      <c r="D355" s="3">
        <v>5</v>
      </c>
      <c r="E355" s="10">
        <v>45681.399039351847</v>
      </c>
      <c r="F355" s="10">
        <v>45684.389710648153</v>
      </c>
      <c r="G355" s="10">
        <v>45685.335995370369</v>
      </c>
      <c r="H355" s="10">
        <v>45685.369837962957</v>
      </c>
      <c r="I355" s="10">
        <v>45685.369837962957</v>
      </c>
      <c r="J355" s="10">
        <v>45685.370671296303</v>
      </c>
      <c r="K355" s="11">
        <f t="shared" si="20"/>
        <v>2.9906712963056634</v>
      </c>
      <c r="L355" s="11">
        <f t="shared" si="21"/>
        <v>0.94628472221666016</v>
      </c>
      <c r="M355" s="11">
        <f t="shared" si="22"/>
        <v>0</v>
      </c>
      <c r="N355" s="11">
        <f t="shared" si="23"/>
        <v>3.9716319444560213</v>
      </c>
    </row>
    <row r="356" spans="1:14" x14ac:dyDescent="0.25">
      <c r="A356" s="3" t="s">
        <v>2697</v>
      </c>
      <c r="B356" s="3" t="s">
        <v>500</v>
      </c>
      <c r="C356" s="3" t="s">
        <v>3203</v>
      </c>
      <c r="D356" s="3">
        <v>5</v>
      </c>
      <c r="E356" s="10">
        <v>45684.315706018519</v>
      </c>
      <c r="F356" s="10">
        <v>45684.452337962961</v>
      </c>
      <c r="G356" s="10">
        <v>45685.393449074072</v>
      </c>
      <c r="H356" s="10">
        <v>45685.461956018517</v>
      </c>
      <c r="I356" s="10">
        <v>45685.461956018517</v>
      </c>
      <c r="J356" s="10">
        <v>45685.463333333333</v>
      </c>
      <c r="K356" s="11">
        <f t="shared" si="20"/>
        <v>0.1366319444423425</v>
      </c>
      <c r="L356" s="11">
        <f t="shared" si="21"/>
        <v>0.94111111111124046</v>
      </c>
      <c r="M356" s="11">
        <f t="shared" si="22"/>
        <v>0</v>
      </c>
      <c r="N356" s="11">
        <f t="shared" si="23"/>
        <v>1.1476273148145992</v>
      </c>
    </row>
    <row r="357" spans="1:14" x14ac:dyDescent="0.25">
      <c r="A357" s="3" t="s">
        <v>2743</v>
      </c>
      <c r="B357" s="3" t="s">
        <v>500</v>
      </c>
      <c r="C357" s="3" t="s">
        <v>3195</v>
      </c>
      <c r="D357" s="3">
        <v>1</v>
      </c>
      <c r="E357" s="10">
        <v>45684.538240740738</v>
      </c>
      <c r="F357" s="10">
        <v>45684.540636574071</v>
      </c>
      <c r="G357" s="10">
        <v>45685.413715277777</v>
      </c>
      <c r="H357" s="10">
        <v>45685.450543981482</v>
      </c>
      <c r="I357" s="10">
        <v>45685.450543981482</v>
      </c>
      <c r="J357" s="10">
        <v>45685.451631944437</v>
      </c>
      <c r="K357" s="11">
        <f t="shared" si="20"/>
        <v>2.3958333331393078E-3</v>
      </c>
      <c r="L357" s="11">
        <f t="shared" si="21"/>
        <v>0.87307870370568708</v>
      </c>
      <c r="M357" s="11">
        <f t="shared" si="22"/>
        <v>0</v>
      </c>
      <c r="N357" s="11">
        <f t="shared" si="23"/>
        <v>0.91339120369957527</v>
      </c>
    </row>
    <row r="358" spans="1:14" x14ac:dyDescent="0.25">
      <c r="A358" s="3" t="s">
        <v>2685</v>
      </c>
      <c r="B358" s="3" t="s">
        <v>500</v>
      </c>
      <c r="C358" s="3" t="s">
        <v>3197</v>
      </c>
      <c r="D358" s="3">
        <v>4</v>
      </c>
      <c r="E358" s="10">
        <v>45684.123136574082</v>
      </c>
      <c r="F358" s="10">
        <v>45684.611678240741</v>
      </c>
      <c r="G358" s="10">
        <v>45685.455405092587</v>
      </c>
      <c r="H358" s="10">
        <v>45685.521655092591</v>
      </c>
      <c r="I358" s="10">
        <v>45685.521655092591</v>
      </c>
      <c r="J358" s="10">
        <v>45685.523078703707</v>
      </c>
      <c r="K358" s="11">
        <f t="shared" si="20"/>
        <v>0.48854166665842058</v>
      </c>
      <c r="L358" s="11">
        <f t="shared" si="21"/>
        <v>0.8437268518464407</v>
      </c>
      <c r="M358" s="11">
        <f t="shared" si="22"/>
        <v>0</v>
      </c>
      <c r="N358" s="11">
        <f t="shared" si="23"/>
        <v>1.3999421296248329</v>
      </c>
    </row>
    <row r="359" spans="1:14" x14ac:dyDescent="0.25">
      <c r="A359" s="3" t="s">
        <v>2740</v>
      </c>
      <c r="B359" s="3" t="s">
        <v>572</v>
      </c>
      <c r="C359" s="3" t="s">
        <v>3204</v>
      </c>
      <c r="D359" s="3">
        <v>2</v>
      </c>
      <c r="E359" s="10">
        <v>45684.452025462961</v>
      </c>
      <c r="F359" s="10">
        <v>45684.678819444453</v>
      </c>
      <c r="G359" s="10">
        <v>45685.55023148148</v>
      </c>
      <c r="H359" s="10">
        <v>45685.570752314823</v>
      </c>
      <c r="I359" s="10">
        <v>45685.570752314823</v>
      </c>
      <c r="J359" s="10">
        <v>45685.571527777778</v>
      </c>
      <c r="K359" s="11">
        <f t="shared" si="20"/>
        <v>0.2267939814919373</v>
      </c>
      <c r="L359" s="11">
        <f t="shared" si="21"/>
        <v>0.87141203702776693</v>
      </c>
      <c r="M359" s="11">
        <f t="shared" si="22"/>
        <v>0</v>
      </c>
      <c r="N359" s="11">
        <f t="shared" si="23"/>
        <v>1.1195023148175096</v>
      </c>
    </row>
    <row r="360" spans="1:14" x14ac:dyDescent="0.25">
      <c r="A360" s="3" t="s">
        <v>2748</v>
      </c>
      <c r="B360" s="3" t="s">
        <v>500</v>
      </c>
      <c r="C360" s="3" t="s">
        <v>3200</v>
      </c>
      <c r="D360" s="3">
        <v>2</v>
      </c>
      <c r="E360" s="10">
        <v>45684.650173611109</v>
      </c>
      <c r="F360" s="10">
        <v>45684.681550925918</v>
      </c>
      <c r="G360" s="10">
        <v>45685.607731481483</v>
      </c>
      <c r="H360" s="10">
        <v>45685.663553240738</v>
      </c>
      <c r="I360" s="10">
        <v>45685.663553240738</v>
      </c>
      <c r="J360" s="10">
        <v>45685.664814814823</v>
      </c>
      <c r="K360" s="11">
        <f t="shared" si="20"/>
        <v>3.1377314808196388E-2</v>
      </c>
      <c r="L360" s="11">
        <f t="shared" si="21"/>
        <v>0.92618055556522449</v>
      </c>
      <c r="M360" s="11">
        <f t="shared" si="22"/>
        <v>0</v>
      </c>
      <c r="N360" s="11">
        <f t="shared" si="23"/>
        <v>1.0146412037138361</v>
      </c>
    </row>
    <row r="361" spans="1:14" x14ac:dyDescent="0.25">
      <c r="A361" s="3" t="s">
        <v>2755</v>
      </c>
      <c r="B361" s="3" t="s">
        <v>500</v>
      </c>
      <c r="C361" s="3" t="s">
        <v>3202</v>
      </c>
      <c r="D361" s="3">
        <v>1</v>
      </c>
      <c r="E361" s="10">
        <v>45684.739733796298</v>
      </c>
      <c r="F361" s="10">
        <v>45684.742129629631</v>
      </c>
      <c r="G361" s="10">
        <v>45685.633969907409</v>
      </c>
      <c r="H361" s="10">
        <v>45685.674317129633</v>
      </c>
      <c r="I361" s="10">
        <v>45685.674317129633</v>
      </c>
      <c r="J361" s="10">
        <v>45685.675335648149</v>
      </c>
      <c r="K361" s="11">
        <f t="shared" si="20"/>
        <v>2.3958333331393078E-3</v>
      </c>
      <c r="L361" s="11">
        <f t="shared" si="21"/>
        <v>0.89184027777810115</v>
      </c>
      <c r="M361" s="11">
        <f t="shared" si="22"/>
        <v>0</v>
      </c>
      <c r="N361" s="11">
        <f t="shared" si="23"/>
        <v>0.93560185185197042</v>
      </c>
    </row>
    <row r="362" spans="1:14" x14ac:dyDescent="0.25">
      <c r="A362" s="3" t="s">
        <v>2716</v>
      </c>
      <c r="B362" s="3" t="s">
        <v>500</v>
      </c>
      <c r="C362" s="3" t="s">
        <v>3196</v>
      </c>
      <c r="D362" s="3">
        <v>2</v>
      </c>
      <c r="E362" s="10">
        <v>45684.378912037027</v>
      </c>
      <c r="F362" s="10">
        <v>45684.752835648149</v>
      </c>
      <c r="G362" s="10">
        <v>45685.653344907398</v>
      </c>
      <c r="H362" s="10">
        <v>45685.707268518519</v>
      </c>
      <c r="I362" s="10">
        <v>45685.707268518519</v>
      </c>
      <c r="J362" s="10">
        <v>45685.708368055559</v>
      </c>
      <c r="K362" s="11">
        <f t="shared" si="20"/>
        <v>0.3739236111214268</v>
      </c>
      <c r="L362" s="11">
        <f t="shared" si="21"/>
        <v>0.90050925924879266</v>
      </c>
      <c r="M362" s="11">
        <f t="shared" si="22"/>
        <v>0</v>
      </c>
      <c r="N362" s="11">
        <f t="shared" si="23"/>
        <v>1.3294560185313458</v>
      </c>
    </row>
    <row r="363" spans="1:14" x14ac:dyDescent="0.25">
      <c r="A363" s="3" t="s">
        <v>2762</v>
      </c>
      <c r="B363" s="3" t="s">
        <v>500</v>
      </c>
      <c r="C363" s="3" t="s">
        <v>3193</v>
      </c>
      <c r="D363" s="3">
        <v>2</v>
      </c>
      <c r="E363" s="10">
        <v>45684.753854166673</v>
      </c>
      <c r="F363" s="10">
        <v>45684.889363425929</v>
      </c>
      <c r="G363" s="10">
        <v>45685.823125000003</v>
      </c>
      <c r="H363" s="10">
        <v>45685.901018518518</v>
      </c>
      <c r="I363" s="10">
        <v>45685.901018518518</v>
      </c>
      <c r="J363" s="10">
        <v>45685.902488425927</v>
      </c>
      <c r="K363" s="11">
        <f t="shared" si="20"/>
        <v>0.13550925925665069</v>
      </c>
      <c r="L363" s="11">
        <f t="shared" si="21"/>
        <v>0.93376157407328719</v>
      </c>
      <c r="M363" s="11">
        <f t="shared" si="22"/>
        <v>0</v>
      </c>
      <c r="N363" s="11">
        <f t="shared" si="23"/>
        <v>1.1486342592543224</v>
      </c>
    </row>
    <row r="364" spans="1:14" x14ac:dyDescent="0.25">
      <c r="A364" s="3" t="s">
        <v>2769</v>
      </c>
      <c r="B364" s="3" t="s">
        <v>488</v>
      </c>
      <c r="C364" s="3" t="s">
        <v>3203</v>
      </c>
      <c r="D364" s="3">
        <v>1</v>
      </c>
      <c r="E364" s="10">
        <v>45685.131863425922</v>
      </c>
      <c r="F364" s="10">
        <v>45685.134039351848</v>
      </c>
      <c r="G364" s="10">
        <v>45685.887349537043</v>
      </c>
      <c r="H364" s="10">
        <v>45685.904999999999</v>
      </c>
      <c r="I364" s="10">
        <v>45685.904999999999</v>
      </c>
      <c r="J364" s="10">
        <v>45685.905706018522</v>
      </c>
      <c r="K364" s="11">
        <f t="shared" si="20"/>
        <v>2.1759259252576157E-3</v>
      </c>
      <c r="L364" s="11">
        <f t="shared" si="21"/>
        <v>0.75331018519500503</v>
      </c>
      <c r="M364" s="11">
        <f t="shared" si="22"/>
        <v>0</v>
      </c>
      <c r="N364" s="11">
        <f t="shared" si="23"/>
        <v>0.77384259259997634</v>
      </c>
    </row>
    <row r="365" spans="1:14" x14ac:dyDescent="0.25">
      <c r="A365" s="3" t="s">
        <v>2690</v>
      </c>
      <c r="B365" s="3" t="s">
        <v>572</v>
      </c>
      <c r="C365" s="3" t="s">
        <v>3194</v>
      </c>
      <c r="D365" s="3">
        <v>4</v>
      </c>
      <c r="E365" s="10">
        <v>45684.126770833333</v>
      </c>
      <c r="F365" s="10">
        <v>45685.134421296287</v>
      </c>
      <c r="G365" s="10">
        <v>45686.133518518523</v>
      </c>
      <c r="H365" s="10">
        <v>45686.152291666673</v>
      </c>
      <c r="I365" s="10">
        <v>45686.152291666673</v>
      </c>
      <c r="J365" s="10">
        <v>45686.153078703697</v>
      </c>
      <c r="K365" s="11">
        <f t="shared" si="20"/>
        <v>1.0076504629541887</v>
      </c>
      <c r="L365" s="11">
        <f t="shared" si="21"/>
        <v>0.9990972222367418</v>
      </c>
      <c r="M365" s="11">
        <f t="shared" si="22"/>
        <v>0</v>
      </c>
      <c r="N365" s="11">
        <f t="shared" si="23"/>
        <v>2.0263078703646897</v>
      </c>
    </row>
    <row r="366" spans="1:14" x14ac:dyDescent="0.25">
      <c r="A366" s="3" t="s">
        <v>2707</v>
      </c>
      <c r="B366" s="3" t="s">
        <v>500</v>
      </c>
      <c r="C366" s="3" t="s">
        <v>3206</v>
      </c>
      <c r="D366" s="3">
        <v>3</v>
      </c>
      <c r="E366" s="10">
        <v>45684.321412037039</v>
      </c>
      <c r="F366" s="10">
        <v>45685.283113425918</v>
      </c>
      <c r="G366" s="10">
        <v>45686.189108796287</v>
      </c>
      <c r="H366" s="10">
        <v>45686.240671296298</v>
      </c>
      <c r="I366" s="10">
        <v>45686.240671296298</v>
      </c>
      <c r="J366" s="10">
        <v>45686.241944444453</v>
      </c>
      <c r="K366" s="11">
        <f t="shared" si="20"/>
        <v>0.96170138887828216</v>
      </c>
      <c r="L366" s="11">
        <f t="shared" si="21"/>
        <v>0.90599537036905531</v>
      </c>
      <c r="M366" s="11">
        <f t="shared" si="22"/>
        <v>0</v>
      </c>
      <c r="N366" s="11">
        <f t="shared" si="23"/>
        <v>1.9205324074137025</v>
      </c>
    </row>
    <row r="367" spans="1:14" x14ac:dyDescent="0.25">
      <c r="A367" s="3" t="s">
        <v>2788</v>
      </c>
      <c r="B367" s="3" t="s">
        <v>506</v>
      </c>
      <c r="C367" s="3" t="s">
        <v>3196</v>
      </c>
      <c r="D367" s="3">
        <v>2</v>
      </c>
      <c r="E367" s="10">
        <v>45685.322083333333</v>
      </c>
      <c r="F367" s="10">
        <v>45685.327893518523</v>
      </c>
      <c r="G367" s="10">
        <v>45686.272326388891</v>
      </c>
      <c r="H367" s="10">
        <v>45686.292326388888</v>
      </c>
      <c r="I367" s="10">
        <v>45686.292326388888</v>
      </c>
      <c r="J367" s="10">
        <v>45686.292974537027</v>
      </c>
      <c r="K367" s="11">
        <f t="shared" si="20"/>
        <v>5.810185190057382E-3</v>
      </c>
      <c r="L367" s="11">
        <f t="shared" si="21"/>
        <v>0.94443287036847323</v>
      </c>
      <c r="M367" s="11">
        <f t="shared" si="22"/>
        <v>0</v>
      </c>
      <c r="N367" s="11">
        <f t="shared" si="23"/>
        <v>0.97089120369491866</v>
      </c>
    </row>
    <row r="368" spans="1:14" x14ac:dyDescent="0.25">
      <c r="A368" s="3" t="s">
        <v>2827</v>
      </c>
      <c r="B368" s="3" t="s">
        <v>572</v>
      </c>
      <c r="C368" s="3" t="s">
        <v>3194</v>
      </c>
      <c r="D368" s="3">
        <v>1</v>
      </c>
      <c r="E368" s="10">
        <v>45685.391712962963</v>
      </c>
      <c r="F368" s="10">
        <v>45685.394108796303</v>
      </c>
      <c r="G368" s="10">
        <v>45686.316840277781</v>
      </c>
      <c r="H368" s="10">
        <v>45686.342685185176</v>
      </c>
      <c r="I368" s="10">
        <v>45686.342685185176</v>
      </c>
      <c r="J368" s="10">
        <v>45686.343576388892</v>
      </c>
      <c r="K368" s="11">
        <f t="shared" si="20"/>
        <v>2.3958333404152654E-3</v>
      </c>
      <c r="L368" s="11">
        <f t="shared" si="21"/>
        <v>0.92273148147796746</v>
      </c>
      <c r="M368" s="11">
        <f t="shared" si="22"/>
        <v>0</v>
      </c>
      <c r="N368" s="11">
        <f t="shared" si="23"/>
        <v>0.95186342592933215</v>
      </c>
    </row>
    <row r="369" spans="1:14" x14ac:dyDescent="0.25">
      <c r="A369" s="3" t="s">
        <v>2777</v>
      </c>
      <c r="B369" s="3" t="s">
        <v>527</v>
      </c>
      <c r="C369" s="3" t="s">
        <v>3203</v>
      </c>
      <c r="D369" s="3">
        <v>6</v>
      </c>
      <c r="E369" s="10">
        <v>45685.31591435185</v>
      </c>
      <c r="F369" s="10">
        <v>45685.41201388889</v>
      </c>
      <c r="G369" s="10">
        <v>45686.322118055563</v>
      </c>
      <c r="H369" s="10">
        <v>45686.341319444437</v>
      </c>
      <c r="I369" s="10">
        <v>45686.341319444437</v>
      </c>
      <c r="J369" s="10">
        <v>45686.342037037037</v>
      </c>
      <c r="K369" s="11">
        <f t="shared" si="20"/>
        <v>9.6099537040572613E-2</v>
      </c>
      <c r="L369" s="11">
        <f t="shared" si="21"/>
        <v>0.91010416667268146</v>
      </c>
      <c r="M369" s="11">
        <f t="shared" si="22"/>
        <v>0</v>
      </c>
      <c r="N369" s="11">
        <f t="shared" si="23"/>
        <v>1.026122685187147</v>
      </c>
    </row>
    <row r="370" spans="1:14" x14ac:dyDescent="0.25">
      <c r="A370" s="3" t="s">
        <v>2782</v>
      </c>
      <c r="B370" s="3" t="s">
        <v>519</v>
      </c>
      <c r="C370" s="3" t="s">
        <v>3198</v>
      </c>
      <c r="D370" s="3">
        <v>2</v>
      </c>
      <c r="E370" s="10">
        <v>45685.318692129629</v>
      </c>
      <c r="F370" s="10">
        <v>45685.415185185193</v>
      </c>
      <c r="G370" s="10">
        <v>45686.358263888891</v>
      </c>
      <c r="H370" s="10">
        <v>45686.378969907397</v>
      </c>
      <c r="I370" s="10">
        <v>45686.378969907397</v>
      </c>
      <c r="J370" s="10">
        <v>45686.379791666674</v>
      </c>
      <c r="K370" s="11">
        <f t="shared" si="20"/>
        <v>9.6493055563769303E-2</v>
      </c>
      <c r="L370" s="11">
        <f t="shared" si="21"/>
        <v>0.94307870369812008</v>
      </c>
      <c r="M370" s="11">
        <f t="shared" si="22"/>
        <v>0</v>
      </c>
      <c r="N370" s="11">
        <f t="shared" si="23"/>
        <v>1.0610995370443561</v>
      </c>
    </row>
    <row r="371" spans="1:14" x14ac:dyDescent="0.25">
      <c r="A371" s="3" t="s">
        <v>2798</v>
      </c>
      <c r="B371" s="3" t="s">
        <v>500</v>
      </c>
      <c r="C371" s="3" t="s">
        <v>3199</v>
      </c>
      <c r="D371" s="3">
        <v>3</v>
      </c>
      <c r="E371" s="10">
        <v>45685.389444444438</v>
      </c>
      <c r="F371" s="10">
        <v>45685.453252314823</v>
      </c>
      <c r="G371" s="10">
        <v>45686.409085648149</v>
      </c>
      <c r="H371" s="10">
        <v>45686.442870370367</v>
      </c>
      <c r="I371" s="10">
        <v>45686.442870370367</v>
      </c>
      <c r="J371" s="10">
        <v>45686.443715277783</v>
      </c>
      <c r="K371" s="11">
        <f t="shared" si="20"/>
        <v>6.3807870385062415E-2</v>
      </c>
      <c r="L371" s="11">
        <f t="shared" si="21"/>
        <v>0.95583333332615439</v>
      </c>
      <c r="M371" s="11">
        <f t="shared" si="22"/>
        <v>0</v>
      </c>
      <c r="N371" s="11">
        <f t="shared" si="23"/>
        <v>1.0542708333450719</v>
      </c>
    </row>
    <row r="372" spans="1:14" x14ac:dyDescent="0.25">
      <c r="A372" s="3" t="s">
        <v>2834</v>
      </c>
      <c r="B372" s="3" t="s">
        <v>500</v>
      </c>
      <c r="C372" s="3" t="s">
        <v>3195</v>
      </c>
      <c r="D372" s="3">
        <v>1</v>
      </c>
      <c r="E372" s="10">
        <v>45685.453692129631</v>
      </c>
      <c r="F372" s="10">
        <v>45685.456087962957</v>
      </c>
      <c r="G372" s="10">
        <v>45686.451365740737</v>
      </c>
      <c r="H372" s="10">
        <v>45686.476886574077</v>
      </c>
      <c r="I372" s="10">
        <v>45686.476886574077</v>
      </c>
      <c r="J372" s="10">
        <v>45686.477824074071</v>
      </c>
      <c r="K372" s="11">
        <f t="shared" si="20"/>
        <v>2.3958333258633502E-3</v>
      </c>
      <c r="L372" s="11">
        <f t="shared" si="21"/>
        <v>0.99527777777984738</v>
      </c>
      <c r="M372" s="11">
        <f t="shared" si="22"/>
        <v>0</v>
      </c>
      <c r="N372" s="11">
        <f t="shared" si="23"/>
        <v>1.0241319444394321</v>
      </c>
    </row>
    <row r="373" spans="1:14" x14ac:dyDescent="0.25">
      <c r="A373" s="3" t="s">
        <v>2837</v>
      </c>
      <c r="B373" s="3" t="s">
        <v>500</v>
      </c>
      <c r="C373" s="3" t="s">
        <v>3203</v>
      </c>
      <c r="D373" s="3">
        <v>1</v>
      </c>
      <c r="E373" s="10">
        <v>45685.548518518517</v>
      </c>
      <c r="F373" s="10">
        <v>45685.55091435185</v>
      </c>
      <c r="G373" s="10">
        <v>45686.556018518517</v>
      </c>
      <c r="H373" s="10">
        <v>45686.606689814813</v>
      </c>
      <c r="I373" s="10">
        <v>45686.606689814813</v>
      </c>
      <c r="J373" s="10">
        <v>45686.607835648138</v>
      </c>
      <c r="K373" s="11">
        <f t="shared" si="20"/>
        <v>2.3958333331393078E-3</v>
      </c>
      <c r="L373" s="11">
        <f t="shared" si="21"/>
        <v>1.0051041666665697</v>
      </c>
      <c r="M373" s="11">
        <f t="shared" si="22"/>
        <v>0</v>
      </c>
      <c r="N373" s="11">
        <f t="shared" si="23"/>
        <v>1.0593171296204673</v>
      </c>
    </row>
    <row r="374" spans="1:14" x14ac:dyDescent="0.25">
      <c r="A374" s="3" t="s">
        <v>2840</v>
      </c>
      <c r="B374" s="3" t="s">
        <v>500</v>
      </c>
      <c r="C374" s="3" t="s">
        <v>3204</v>
      </c>
      <c r="D374" s="3">
        <v>1</v>
      </c>
      <c r="E374" s="10">
        <v>45685.605995370373</v>
      </c>
      <c r="F374" s="10">
        <v>45685.60837962963</v>
      </c>
      <c r="G374" s="10">
        <v>45686.616365740738</v>
      </c>
      <c r="H374" s="10">
        <v>45686.684039351851</v>
      </c>
      <c r="I374" s="10">
        <v>45686.684039351851</v>
      </c>
      <c r="J374" s="10">
        <v>45686.685439814813</v>
      </c>
      <c r="K374" s="11">
        <f t="shared" si="20"/>
        <v>2.3842592563596554E-3</v>
      </c>
      <c r="L374" s="11">
        <f t="shared" si="21"/>
        <v>1.007986111108039</v>
      </c>
      <c r="M374" s="11">
        <f t="shared" si="22"/>
        <v>0</v>
      </c>
      <c r="N374" s="11">
        <f t="shared" si="23"/>
        <v>1.0794444444400142</v>
      </c>
    </row>
    <row r="375" spans="1:14" x14ac:dyDescent="0.25">
      <c r="A375" s="3" t="s">
        <v>2810</v>
      </c>
      <c r="B375" s="3" t="s">
        <v>523</v>
      </c>
      <c r="C375" s="3" t="s">
        <v>3196</v>
      </c>
      <c r="D375" s="3">
        <v>3</v>
      </c>
      <c r="E375" s="10">
        <v>45685.403958333343</v>
      </c>
      <c r="F375" s="10">
        <v>45685.632013888891</v>
      </c>
      <c r="G375" s="10">
        <v>45686.656863425917</v>
      </c>
      <c r="H375" s="10">
        <v>45686.678206018521</v>
      </c>
      <c r="I375" s="10">
        <v>45686.678206018521</v>
      </c>
      <c r="J375" s="10">
        <v>45686.678865740738</v>
      </c>
      <c r="K375" s="11">
        <f t="shared" si="20"/>
        <v>0.22805555554805323</v>
      </c>
      <c r="L375" s="11">
        <f t="shared" si="21"/>
        <v>1.0248495370251476</v>
      </c>
      <c r="M375" s="11">
        <f t="shared" si="22"/>
        <v>0</v>
      </c>
      <c r="N375" s="11">
        <f t="shared" si="23"/>
        <v>1.2749074073944939</v>
      </c>
    </row>
    <row r="376" spans="1:14" x14ac:dyDescent="0.25">
      <c r="A376" s="3" t="s">
        <v>2856</v>
      </c>
      <c r="B376" s="3" t="s">
        <v>488</v>
      </c>
      <c r="C376" s="3" t="s">
        <v>3203</v>
      </c>
      <c r="D376" s="3">
        <v>2</v>
      </c>
      <c r="E376" s="10">
        <v>45685.63082175926</v>
      </c>
      <c r="F376" s="10">
        <v>45685.636134259257</v>
      </c>
      <c r="G376" s="10">
        <v>45686.665185185193</v>
      </c>
      <c r="H376" s="10">
        <v>45686.69226851852</v>
      </c>
      <c r="I376" s="10">
        <v>45686.69226851852</v>
      </c>
      <c r="J376" s="10">
        <v>45686.693101851852</v>
      </c>
      <c r="K376" s="11">
        <f t="shared" si="20"/>
        <v>5.3124999976716936E-3</v>
      </c>
      <c r="L376" s="11">
        <f t="shared" si="21"/>
        <v>1.029050925935735</v>
      </c>
      <c r="M376" s="11">
        <f t="shared" si="22"/>
        <v>0</v>
      </c>
      <c r="N376" s="11">
        <f t="shared" si="23"/>
        <v>1.0622800925921183</v>
      </c>
    </row>
    <row r="377" spans="1:14" x14ac:dyDescent="0.25">
      <c r="A377" s="3" t="s">
        <v>2863</v>
      </c>
      <c r="B377" s="3" t="s">
        <v>500</v>
      </c>
      <c r="C377" s="3" t="s">
        <v>3200</v>
      </c>
      <c r="D377" s="3">
        <v>1</v>
      </c>
      <c r="E377" s="10">
        <v>45685.821388888893</v>
      </c>
      <c r="F377" s="10">
        <v>45685.823761574073</v>
      </c>
      <c r="G377" s="10">
        <v>45686.740231481483</v>
      </c>
      <c r="H377" s="10">
        <v>45686.780624999999</v>
      </c>
      <c r="I377" s="10">
        <v>45686.780624999999</v>
      </c>
      <c r="J377" s="10">
        <v>45686.781666666669</v>
      </c>
      <c r="K377" s="11">
        <f t="shared" si="20"/>
        <v>2.372685179580003E-3</v>
      </c>
      <c r="L377" s="11">
        <f t="shared" si="21"/>
        <v>0.91646990740991896</v>
      </c>
      <c r="M377" s="11">
        <f t="shared" si="22"/>
        <v>0</v>
      </c>
      <c r="N377" s="11">
        <f t="shared" si="23"/>
        <v>0.96027777777635492</v>
      </c>
    </row>
    <row r="378" spans="1:14" x14ac:dyDescent="0.25">
      <c r="A378" s="3" t="s">
        <v>2866</v>
      </c>
      <c r="B378" s="3" t="s">
        <v>500</v>
      </c>
      <c r="C378" s="3" t="s">
        <v>3202</v>
      </c>
      <c r="D378" s="3">
        <v>1</v>
      </c>
      <c r="E378" s="10">
        <v>45685.885613425933</v>
      </c>
      <c r="F378" s="10">
        <v>45685.887986111113</v>
      </c>
      <c r="G378" s="10">
        <v>45686.773125</v>
      </c>
      <c r="H378" s="10">
        <v>45686.842106481483</v>
      </c>
      <c r="I378" s="10">
        <v>45686.842106481483</v>
      </c>
      <c r="J378" s="10">
        <v>45686.843506944453</v>
      </c>
      <c r="K378" s="11">
        <f t="shared" si="20"/>
        <v>2.372685179580003E-3</v>
      </c>
      <c r="L378" s="11">
        <f t="shared" si="21"/>
        <v>0.88513888888701331</v>
      </c>
      <c r="M378" s="11">
        <f t="shared" si="22"/>
        <v>0</v>
      </c>
      <c r="N378" s="11">
        <f t="shared" si="23"/>
        <v>0.95789351851999527</v>
      </c>
    </row>
    <row r="379" spans="1:14" x14ac:dyDescent="0.25">
      <c r="A379" s="3" t="s">
        <v>2872</v>
      </c>
      <c r="B379" s="3" t="s">
        <v>488</v>
      </c>
      <c r="C379" s="3" t="s">
        <v>3203</v>
      </c>
      <c r="D379" s="3">
        <v>1</v>
      </c>
      <c r="E379" s="10">
        <v>45686.127847222233</v>
      </c>
      <c r="F379" s="10">
        <v>45686.130243055559</v>
      </c>
      <c r="G379" s="10">
        <v>45686.878819444442</v>
      </c>
      <c r="H379" s="10">
        <v>45686.907604166663</v>
      </c>
      <c r="I379" s="10">
        <v>45686.907604166663</v>
      </c>
      <c r="J379" s="10">
        <v>45686.908460648148</v>
      </c>
      <c r="K379" s="11">
        <f t="shared" si="20"/>
        <v>2.3958333258633502E-3</v>
      </c>
      <c r="L379" s="11">
        <f t="shared" si="21"/>
        <v>0.74857638888352085</v>
      </c>
      <c r="M379" s="11">
        <f t="shared" si="22"/>
        <v>0</v>
      </c>
      <c r="N379" s="11">
        <f t="shared" si="23"/>
        <v>0.78061342591536231</v>
      </c>
    </row>
    <row r="380" spans="1:14" x14ac:dyDescent="0.25">
      <c r="A380" s="3" t="s">
        <v>2879</v>
      </c>
      <c r="B380" s="3" t="s">
        <v>519</v>
      </c>
      <c r="C380" s="3" t="s">
        <v>3193</v>
      </c>
      <c r="D380" s="3">
        <v>1</v>
      </c>
      <c r="E380" s="10">
        <v>45686.187372685177</v>
      </c>
      <c r="F380" s="10">
        <v>45686.189733796287</v>
      </c>
      <c r="G380" s="10">
        <v>45687.133136574077</v>
      </c>
      <c r="H380" s="10">
        <v>45687.151701388888</v>
      </c>
      <c r="I380" s="10">
        <v>45687.151701388888</v>
      </c>
      <c r="J380" s="10">
        <v>45687.152372685188</v>
      </c>
      <c r="K380" s="11">
        <f t="shared" si="20"/>
        <v>2.3611111100763083E-3</v>
      </c>
      <c r="L380" s="11">
        <f t="shared" si="21"/>
        <v>0.94340277778974269</v>
      </c>
      <c r="M380" s="11">
        <f t="shared" si="22"/>
        <v>0</v>
      </c>
      <c r="N380" s="11">
        <f t="shared" si="23"/>
        <v>0.96500000001105946</v>
      </c>
    </row>
    <row r="381" spans="1:14" x14ac:dyDescent="0.25">
      <c r="A381" s="3" t="s">
        <v>2853</v>
      </c>
      <c r="B381" s="3" t="s">
        <v>500</v>
      </c>
      <c r="C381" s="3" t="s">
        <v>3206</v>
      </c>
      <c r="D381" s="3">
        <v>2</v>
      </c>
      <c r="E381" s="10">
        <v>45685.629675925928</v>
      </c>
      <c r="F381" s="10">
        <v>45686.273009259261</v>
      </c>
      <c r="G381" s="10">
        <v>45687.274016203701</v>
      </c>
      <c r="H381" s="10">
        <v>45687.325578703712</v>
      </c>
      <c r="I381" s="10">
        <v>45687.325578703712</v>
      </c>
      <c r="J381" s="10">
        <v>45687.326863425929</v>
      </c>
      <c r="K381" s="11">
        <f t="shared" si="20"/>
        <v>0.64333333333343035</v>
      </c>
      <c r="L381" s="11">
        <f t="shared" si="21"/>
        <v>1.0010069444397232</v>
      </c>
      <c r="M381" s="11">
        <f t="shared" si="22"/>
        <v>0</v>
      </c>
      <c r="N381" s="11">
        <f t="shared" si="23"/>
        <v>1.6971875000017462</v>
      </c>
    </row>
    <row r="382" spans="1:14" x14ac:dyDescent="0.25">
      <c r="A382" s="3" t="s">
        <v>2803</v>
      </c>
      <c r="B382" s="3" t="s">
        <v>500</v>
      </c>
      <c r="C382" s="3" t="s">
        <v>3194</v>
      </c>
      <c r="D382" s="3">
        <v>3</v>
      </c>
      <c r="E382" s="10">
        <v>45685.39875</v>
      </c>
      <c r="F382" s="10">
        <v>45686.317476851851</v>
      </c>
      <c r="G382" s="10">
        <v>45687.299085648148</v>
      </c>
      <c r="H382" s="10">
        <v>45687.368055555547</v>
      </c>
      <c r="I382" s="10">
        <v>45687.368368055562</v>
      </c>
      <c r="J382" s="10">
        <v>45687.369826388887</v>
      </c>
      <c r="K382" s="11">
        <f t="shared" si="20"/>
        <v>0.91872685185080627</v>
      </c>
      <c r="L382" s="11">
        <f t="shared" si="21"/>
        <v>0.98160879629722331</v>
      </c>
      <c r="M382" s="11">
        <f t="shared" si="22"/>
        <v>3.1250001484295353E-4</v>
      </c>
      <c r="N382" s="11">
        <f t="shared" si="23"/>
        <v>1.9710763888870133</v>
      </c>
    </row>
    <row r="383" spans="1:14" x14ac:dyDescent="0.25">
      <c r="A383" s="3" t="s">
        <v>2869</v>
      </c>
      <c r="B383" s="3" t="s">
        <v>500</v>
      </c>
      <c r="C383" s="3" t="s">
        <v>3196</v>
      </c>
      <c r="D383" s="3">
        <v>3</v>
      </c>
      <c r="E383" s="10">
        <v>45686.126342592594</v>
      </c>
      <c r="F383" s="10">
        <v>45686.322754629633</v>
      </c>
      <c r="G383" s="10">
        <v>45687.342002314806</v>
      </c>
      <c r="H383" s="10">
        <v>45687.36445601852</v>
      </c>
      <c r="I383" s="10">
        <v>45687.36445601852</v>
      </c>
      <c r="J383" s="10">
        <v>45687.365127314813</v>
      </c>
      <c r="K383" s="11">
        <f t="shared" si="20"/>
        <v>0.19641203703940846</v>
      </c>
      <c r="L383" s="11">
        <f t="shared" si="21"/>
        <v>1.0192476851734682</v>
      </c>
      <c r="M383" s="11">
        <f t="shared" si="22"/>
        <v>0</v>
      </c>
      <c r="N383" s="11">
        <f t="shared" si="23"/>
        <v>1.2387847222198616</v>
      </c>
    </row>
    <row r="384" spans="1:14" x14ac:dyDescent="0.25">
      <c r="A384" s="3" t="s">
        <v>2772</v>
      </c>
      <c r="B384" s="3" t="s">
        <v>484</v>
      </c>
      <c r="C384" s="3" t="s">
        <v>3197</v>
      </c>
      <c r="D384" s="3">
        <v>7</v>
      </c>
      <c r="E384" s="10">
        <v>45685.133819444447</v>
      </c>
      <c r="F384" s="10">
        <v>45686.401030092587</v>
      </c>
      <c r="G384" s="10">
        <v>45687.348414351851</v>
      </c>
      <c r="H384" s="10">
        <v>45687.36755787037</v>
      </c>
      <c r="I384" s="10">
        <v>45687.36755787037</v>
      </c>
      <c r="J384" s="10">
        <v>45687.368368055562</v>
      </c>
      <c r="K384" s="11">
        <f t="shared" si="20"/>
        <v>1.2672106481404626</v>
      </c>
      <c r="L384" s="11">
        <f t="shared" si="21"/>
        <v>0.94738425926334457</v>
      </c>
      <c r="M384" s="11">
        <f t="shared" si="22"/>
        <v>0</v>
      </c>
      <c r="N384" s="11">
        <f t="shared" si="23"/>
        <v>2.234548611115315</v>
      </c>
    </row>
    <row r="385" spans="1:14" x14ac:dyDescent="0.25">
      <c r="A385" s="3" t="s">
        <v>2891</v>
      </c>
      <c r="B385" s="3" t="s">
        <v>500</v>
      </c>
      <c r="C385" s="3" t="s">
        <v>3203</v>
      </c>
      <c r="D385" s="3">
        <v>2</v>
      </c>
      <c r="E385" s="10">
        <v>45686.356527777767</v>
      </c>
      <c r="F385" s="10">
        <v>45686.403865740736</v>
      </c>
      <c r="G385" s="10">
        <v>45687.369189814817</v>
      </c>
      <c r="H385" s="10">
        <v>45687.412939814807</v>
      </c>
      <c r="I385" s="10">
        <v>45687.412939814807</v>
      </c>
      <c r="J385" s="10">
        <v>45687.413981481477</v>
      </c>
      <c r="K385" s="11">
        <f t="shared" si="20"/>
        <v>4.7337962969322689E-2</v>
      </c>
      <c r="L385" s="11">
        <f t="shared" si="21"/>
        <v>0.96532407408085419</v>
      </c>
      <c r="M385" s="11">
        <f t="shared" si="22"/>
        <v>0</v>
      </c>
      <c r="N385" s="11">
        <f t="shared" si="23"/>
        <v>1.0574537037100527</v>
      </c>
    </row>
    <row r="386" spans="1:14" x14ac:dyDescent="0.25">
      <c r="A386" s="3" t="s">
        <v>2915</v>
      </c>
      <c r="B386" s="3" t="s">
        <v>500</v>
      </c>
      <c r="C386" s="3" t="s">
        <v>3203</v>
      </c>
      <c r="D386" s="3">
        <v>1</v>
      </c>
      <c r="E386" s="10">
        <v>45686.449652777781</v>
      </c>
      <c r="F386" s="10">
        <v>45686.452048611107</v>
      </c>
      <c r="G386" s="10">
        <v>45687.406331018523</v>
      </c>
      <c r="H386" s="10">
        <v>45687.444571759261</v>
      </c>
      <c r="I386" s="10">
        <v>45687.444571759261</v>
      </c>
      <c r="J386" s="10">
        <v>45687.445543981477</v>
      </c>
      <c r="K386" s="11">
        <f t="shared" ref="K386:K427" si="24">IF(AND(ISNUMBER(E386),ISNUMBER(F386)),(F386-E386),"")</f>
        <v>2.3958333258633502E-3</v>
      </c>
      <c r="L386" s="11">
        <f t="shared" ref="L386:L427" si="25">IF(AND(ISNUMBER(F386),ISNUMBER(G386)),(G386-F386),"")</f>
        <v>0.95428240741603076</v>
      </c>
      <c r="M386" s="11">
        <f t="shared" ref="M386:M427" si="26">IF(AND(ISNUMBER(H386),ISNUMBER(I386)),(I386-H386),"")</f>
        <v>0</v>
      </c>
      <c r="N386" s="11">
        <f t="shared" ref="N386:N427" si="27">IF(AND(ISNUMBER(E386),ISNUMBER(J386)),(J386-E386),"")</f>
        <v>0.99589120369637385</v>
      </c>
    </row>
    <row r="387" spans="1:14" x14ac:dyDescent="0.25">
      <c r="A387" s="3" t="s">
        <v>2918</v>
      </c>
      <c r="B387" s="3" t="s">
        <v>500</v>
      </c>
      <c r="C387" s="3" t="s">
        <v>3203</v>
      </c>
      <c r="D387" s="3">
        <v>1</v>
      </c>
      <c r="E387" s="10">
        <v>45686.554282407407</v>
      </c>
      <c r="F387" s="10">
        <v>45686.556655092587</v>
      </c>
      <c r="G387" s="10">
        <v>45687.425208333327</v>
      </c>
      <c r="H387" s="10">
        <v>45687.470289351862</v>
      </c>
      <c r="I387" s="10">
        <v>45687.470289351862</v>
      </c>
      <c r="J387" s="10">
        <v>45687.471354166657</v>
      </c>
      <c r="K387" s="11">
        <f t="shared" si="24"/>
        <v>2.372685179580003E-3</v>
      </c>
      <c r="L387" s="11">
        <f t="shared" si="25"/>
        <v>0.86855324073985685</v>
      </c>
      <c r="M387" s="11">
        <f t="shared" si="26"/>
        <v>0</v>
      </c>
      <c r="N387" s="11">
        <f t="shared" si="27"/>
        <v>0.91707175924966577</v>
      </c>
    </row>
    <row r="388" spans="1:14" x14ac:dyDescent="0.25">
      <c r="A388" s="3" t="s">
        <v>2921</v>
      </c>
      <c r="B388" s="3" t="s">
        <v>500</v>
      </c>
      <c r="C388" s="3" t="s">
        <v>3203</v>
      </c>
      <c r="D388" s="3">
        <v>1</v>
      </c>
      <c r="E388" s="10">
        <v>45686.614629629628</v>
      </c>
      <c r="F388" s="10">
        <v>45686.617002314822</v>
      </c>
      <c r="G388" s="10">
        <v>45687.550983796304</v>
      </c>
      <c r="H388" s="10">
        <v>45687.620081018518</v>
      </c>
      <c r="I388" s="10">
        <v>45687.620081018518</v>
      </c>
      <c r="J388" s="10">
        <v>45687.621469907397</v>
      </c>
      <c r="K388" s="11">
        <f t="shared" si="24"/>
        <v>2.3726851941319183E-3</v>
      </c>
      <c r="L388" s="11">
        <f t="shared" si="25"/>
        <v>0.93398148148116888</v>
      </c>
      <c r="M388" s="11">
        <f t="shared" si="26"/>
        <v>0</v>
      </c>
      <c r="N388" s="11">
        <f t="shared" si="27"/>
        <v>1.0068402777687879</v>
      </c>
    </row>
    <row r="389" spans="1:14" x14ac:dyDescent="0.25">
      <c r="A389" s="3" t="s">
        <v>2843</v>
      </c>
      <c r="B389" s="3" t="s">
        <v>515</v>
      </c>
      <c r="C389" s="3" t="s">
        <v>3201</v>
      </c>
      <c r="D389" s="3">
        <v>3</v>
      </c>
      <c r="E389" s="10">
        <v>45685.62226851852</v>
      </c>
      <c r="F389" s="10">
        <v>45686.644490740742</v>
      </c>
      <c r="G389" s="10">
        <v>45687.614641203712</v>
      </c>
      <c r="H389" s="10">
        <v>45687.633773148147</v>
      </c>
      <c r="I389" s="10">
        <v>45687.633773148147</v>
      </c>
      <c r="J389" s="10">
        <v>45687.634571759263</v>
      </c>
      <c r="K389" s="11">
        <f t="shared" si="24"/>
        <v>1.0222222222218988</v>
      </c>
      <c r="L389" s="11">
        <f t="shared" si="25"/>
        <v>0.9701504629701958</v>
      </c>
      <c r="M389" s="11">
        <f t="shared" si="26"/>
        <v>0</v>
      </c>
      <c r="N389" s="11">
        <f t="shared" si="27"/>
        <v>2.0123032407427672</v>
      </c>
    </row>
    <row r="390" spans="1:14" x14ac:dyDescent="0.25">
      <c r="A390" s="3" t="s">
        <v>2926</v>
      </c>
      <c r="B390" s="3" t="s">
        <v>527</v>
      </c>
      <c r="C390" s="3" t="s">
        <v>3199</v>
      </c>
      <c r="D390" s="3">
        <v>2</v>
      </c>
      <c r="E390" s="10">
        <v>45686.642650462964</v>
      </c>
      <c r="F390" s="10">
        <v>45686.658263888887</v>
      </c>
      <c r="G390" s="10">
        <v>45687.649409722217</v>
      </c>
      <c r="H390" s="10">
        <v>45687.668935185182</v>
      </c>
      <c r="I390" s="10">
        <v>45687.668935185182</v>
      </c>
      <c r="J390" s="10">
        <v>45687.669594907413</v>
      </c>
      <c r="K390" s="11">
        <f t="shared" si="24"/>
        <v>1.5613425923220348E-2</v>
      </c>
      <c r="L390" s="11">
        <f t="shared" si="25"/>
        <v>0.99114583332993789</v>
      </c>
      <c r="M390" s="11">
        <f t="shared" si="26"/>
        <v>0</v>
      </c>
      <c r="N390" s="11">
        <f t="shared" si="27"/>
        <v>1.0269444444493274</v>
      </c>
    </row>
    <row r="391" spans="1:14" x14ac:dyDescent="0.25">
      <c r="A391" s="3" t="s">
        <v>2949</v>
      </c>
      <c r="B391" s="3" t="s">
        <v>500</v>
      </c>
      <c r="C391" s="3" t="s">
        <v>3203</v>
      </c>
      <c r="D391" s="3">
        <v>1</v>
      </c>
      <c r="E391" s="10">
        <v>45686.738495370373</v>
      </c>
      <c r="F391" s="10">
        <v>45686.740856481483</v>
      </c>
      <c r="G391" s="10">
        <v>45687.656041666669</v>
      </c>
      <c r="H391" s="10">
        <v>45687.708495370367</v>
      </c>
      <c r="I391" s="10">
        <v>45687.708495370367</v>
      </c>
      <c r="J391" s="10">
        <v>45687.709664351853</v>
      </c>
      <c r="K391" s="11">
        <f t="shared" si="24"/>
        <v>2.3611111100763083E-3</v>
      </c>
      <c r="L391" s="11">
        <f t="shared" si="25"/>
        <v>0.91518518518569181</v>
      </c>
      <c r="M391" s="11">
        <f t="shared" si="26"/>
        <v>0</v>
      </c>
      <c r="N391" s="11">
        <f t="shared" si="27"/>
        <v>0.97116898147942265</v>
      </c>
    </row>
    <row r="392" spans="1:14" x14ac:dyDescent="0.25">
      <c r="A392" s="3" t="s">
        <v>2937</v>
      </c>
      <c r="B392" s="3" t="s">
        <v>506</v>
      </c>
      <c r="C392" s="3" t="s">
        <v>3198</v>
      </c>
      <c r="D392" s="3">
        <v>3</v>
      </c>
      <c r="E392" s="10">
        <v>45686.649212962962</v>
      </c>
      <c r="F392" s="10">
        <v>45686.765879629631</v>
      </c>
      <c r="G392" s="10">
        <v>45687.732361111113</v>
      </c>
      <c r="H392" s="10">
        <v>45687.76489583333</v>
      </c>
      <c r="I392" s="10">
        <v>45687.76489583333</v>
      </c>
      <c r="J392" s="10">
        <v>45687.765868055547</v>
      </c>
      <c r="K392" s="11">
        <f t="shared" si="24"/>
        <v>0.11666666666860692</v>
      </c>
      <c r="L392" s="11">
        <f t="shared" si="25"/>
        <v>0.96648148148233304</v>
      </c>
      <c r="M392" s="11">
        <f t="shared" si="26"/>
        <v>0</v>
      </c>
      <c r="N392" s="11">
        <f t="shared" si="27"/>
        <v>1.1166550925845513</v>
      </c>
    </row>
    <row r="393" spans="1:14" x14ac:dyDescent="0.25">
      <c r="A393" s="3" t="s">
        <v>2973</v>
      </c>
      <c r="B393" s="3" t="s">
        <v>500</v>
      </c>
      <c r="C393" s="3" t="s">
        <v>3200</v>
      </c>
      <c r="D393" s="3">
        <v>1</v>
      </c>
      <c r="E393" s="10">
        <v>45686.877083333333</v>
      </c>
      <c r="F393" s="10">
        <v>45686.879467592589</v>
      </c>
      <c r="G393" s="10">
        <v>45687.831203703703</v>
      </c>
      <c r="H393" s="10">
        <v>45687.897326388891</v>
      </c>
      <c r="I393" s="10">
        <v>45687.897326388891</v>
      </c>
      <c r="J393" s="10">
        <v>45687.898715277777</v>
      </c>
      <c r="K393" s="11">
        <f t="shared" si="24"/>
        <v>2.3842592563596554E-3</v>
      </c>
      <c r="L393" s="11">
        <f t="shared" si="25"/>
        <v>0.95173611111385981</v>
      </c>
      <c r="M393" s="11">
        <f t="shared" si="26"/>
        <v>0</v>
      </c>
      <c r="N393" s="11">
        <f t="shared" si="27"/>
        <v>1.0216319444443798</v>
      </c>
    </row>
    <row r="394" spans="1:14" x14ac:dyDescent="0.25">
      <c r="A394" s="3" t="s">
        <v>2934</v>
      </c>
      <c r="B394" s="3" t="s">
        <v>488</v>
      </c>
      <c r="C394" s="3" t="s">
        <v>3196</v>
      </c>
      <c r="D394" s="3">
        <v>4</v>
      </c>
      <c r="E394" s="10">
        <v>45686.647569444453</v>
      </c>
      <c r="F394" s="10">
        <v>45687.129016203697</v>
      </c>
      <c r="G394" s="10">
        <v>45687.864571759259</v>
      </c>
      <c r="H394" s="10">
        <v>45687.882418981477</v>
      </c>
      <c r="I394" s="10">
        <v>45687.882418981477</v>
      </c>
      <c r="J394" s="10">
        <v>45687.883032407408</v>
      </c>
      <c r="K394" s="11">
        <f t="shared" si="24"/>
        <v>0.48144675924413605</v>
      </c>
      <c r="L394" s="11">
        <f t="shared" si="25"/>
        <v>0.73555555556231411</v>
      </c>
      <c r="M394" s="11">
        <f t="shared" si="26"/>
        <v>0</v>
      </c>
      <c r="N394" s="11">
        <f t="shared" si="27"/>
        <v>1.2354629629553529</v>
      </c>
    </row>
    <row r="395" spans="1:14" x14ac:dyDescent="0.25">
      <c r="A395" s="3" t="s">
        <v>2989</v>
      </c>
      <c r="B395" s="3" t="s">
        <v>500</v>
      </c>
      <c r="C395" s="3" t="s">
        <v>3193</v>
      </c>
      <c r="D395" s="3">
        <v>1</v>
      </c>
      <c r="E395" s="10">
        <v>45687.272280092591</v>
      </c>
      <c r="F395" s="10">
        <v>45687.274675925917</v>
      </c>
      <c r="G395" s="10">
        <v>45688.137141203697</v>
      </c>
      <c r="H395" s="10">
        <v>45688.188703703701</v>
      </c>
      <c r="I395" s="10">
        <v>45688.188703703701</v>
      </c>
      <c r="J395" s="10">
        <v>45688.189814814818</v>
      </c>
      <c r="K395" s="11">
        <f t="shared" si="24"/>
        <v>2.3958333258633502E-3</v>
      </c>
      <c r="L395" s="11">
        <f t="shared" si="25"/>
        <v>0.86246527777984738</v>
      </c>
      <c r="M395" s="11">
        <f t="shared" si="26"/>
        <v>0</v>
      </c>
      <c r="N395" s="11">
        <f t="shared" si="27"/>
        <v>0.91753472222626442</v>
      </c>
    </row>
    <row r="396" spans="1:14" x14ac:dyDescent="0.25">
      <c r="A396" s="3" t="s">
        <v>2955</v>
      </c>
      <c r="B396" s="3" t="s">
        <v>527</v>
      </c>
      <c r="C396" s="3" t="s">
        <v>3199</v>
      </c>
      <c r="D396" s="3">
        <v>3</v>
      </c>
      <c r="E396" s="10">
        <v>45686.758402777778</v>
      </c>
      <c r="F396" s="10">
        <v>45687.33184027778</v>
      </c>
      <c r="G396" s="10">
        <v>45688.194351851853</v>
      </c>
      <c r="H396" s="10">
        <v>45688.24591435185</v>
      </c>
      <c r="I396" s="10">
        <v>45688.24591435185</v>
      </c>
      <c r="J396" s="10">
        <v>45688.246990740743</v>
      </c>
      <c r="K396" s="11">
        <f t="shared" si="24"/>
        <v>0.57343750000291038</v>
      </c>
      <c r="L396" s="11">
        <f t="shared" si="25"/>
        <v>0.86251157407241408</v>
      </c>
      <c r="M396" s="11">
        <f t="shared" si="26"/>
        <v>0</v>
      </c>
      <c r="N396" s="11">
        <f t="shared" si="27"/>
        <v>1.4885879629655392</v>
      </c>
    </row>
    <row r="397" spans="1:14" x14ac:dyDescent="0.25">
      <c r="A397" s="3" t="s">
        <v>2986</v>
      </c>
      <c r="B397" s="3" t="s">
        <v>488</v>
      </c>
      <c r="C397" s="3" t="s">
        <v>3202</v>
      </c>
      <c r="D397" s="3">
        <v>3</v>
      </c>
      <c r="E397" s="10">
        <v>45687.13140046296</v>
      </c>
      <c r="F397" s="10">
        <v>45687.337280092594</v>
      </c>
      <c r="G397" s="10">
        <v>45688.259710648148</v>
      </c>
      <c r="H397" s="10">
        <v>45688.277361111112</v>
      </c>
      <c r="I397" s="10">
        <v>45688.277361111112</v>
      </c>
      <c r="J397" s="10">
        <v>45688.278090277781</v>
      </c>
      <c r="K397" s="11">
        <f t="shared" si="24"/>
        <v>0.205879629633273</v>
      </c>
      <c r="L397" s="11">
        <f t="shared" si="25"/>
        <v>0.92243055555445608</v>
      </c>
      <c r="M397" s="11">
        <f t="shared" si="26"/>
        <v>0</v>
      </c>
      <c r="N397" s="11">
        <f t="shared" si="27"/>
        <v>1.1466898148210021</v>
      </c>
    </row>
    <row r="398" spans="1:14" x14ac:dyDescent="0.25">
      <c r="A398" s="3" t="s">
        <v>2785</v>
      </c>
      <c r="B398" s="3" t="s">
        <v>595</v>
      </c>
      <c r="C398" s="3" t="s">
        <v>3205</v>
      </c>
      <c r="D398" s="3">
        <v>6</v>
      </c>
      <c r="E398" s="10">
        <v>45685.319965277777</v>
      </c>
      <c r="F398" s="10">
        <v>45687.34039351852</v>
      </c>
      <c r="G398" s="10">
        <v>45688.30097222222</v>
      </c>
      <c r="H398" s="10">
        <v>45688.325277777767</v>
      </c>
      <c r="I398" s="10">
        <v>45688.325277777767</v>
      </c>
      <c r="J398" s="10">
        <v>45688.326157407413</v>
      </c>
      <c r="K398" s="11">
        <f t="shared" si="24"/>
        <v>2.0204282407430583</v>
      </c>
      <c r="L398" s="11">
        <f t="shared" si="25"/>
        <v>0.96057870369986631</v>
      </c>
      <c r="M398" s="11">
        <f t="shared" si="26"/>
        <v>0</v>
      </c>
      <c r="N398" s="11">
        <f t="shared" si="27"/>
        <v>3.0061921296364744</v>
      </c>
    </row>
    <row r="399" spans="1:14" x14ac:dyDescent="0.25">
      <c r="A399" s="3" t="s">
        <v>2902</v>
      </c>
      <c r="B399" s="3" t="s">
        <v>539</v>
      </c>
      <c r="C399" s="3" t="s">
        <v>3206</v>
      </c>
      <c r="D399" s="3">
        <v>4</v>
      </c>
      <c r="E399" s="10">
        <v>45686.401655092603</v>
      </c>
      <c r="F399" s="10">
        <v>45687.346678240741</v>
      </c>
      <c r="G399" s="10">
        <v>45688.332349537042</v>
      </c>
      <c r="H399" s="10">
        <v>45688.405370370368</v>
      </c>
      <c r="I399" s="10">
        <v>45688.405370370368</v>
      </c>
      <c r="J399" s="10">
        <v>45688.406944444447</v>
      </c>
      <c r="K399" s="11">
        <f t="shared" si="24"/>
        <v>0.94502314813871635</v>
      </c>
      <c r="L399" s="11">
        <f t="shared" si="25"/>
        <v>0.98567129630100681</v>
      </c>
      <c r="M399" s="11">
        <f t="shared" si="26"/>
        <v>0</v>
      </c>
      <c r="N399" s="11">
        <f t="shared" si="27"/>
        <v>2.0052893518441124</v>
      </c>
    </row>
    <row r="400" spans="1:14" x14ac:dyDescent="0.25">
      <c r="A400" s="3" t="s">
        <v>2888</v>
      </c>
      <c r="B400" s="3" t="s">
        <v>572</v>
      </c>
      <c r="C400" s="3" t="s">
        <v>3194</v>
      </c>
      <c r="D400" s="3">
        <v>6</v>
      </c>
      <c r="E400" s="10">
        <v>45686.355254629627</v>
      </c>
      <c r="F400" s="10">
        <v>45687.368773148148</v>
      </c>
      <c r="G400" s="10">
        <v>45688.347222222219</v>
      </c>
      <c r="H400" s="10">
        <v>45688.369166666656</v>
      </c>
      <c r="I400" s="10">
        <v>45688.369166666656</v>
      </c>
      <c r="J400" s="10">
        <v>45688.369988425933</v>
      </c>
      <c r="K400" s="11">
        <f t="shared" si="24"/>
        <v>1.0135185185208684</v>
      </c>
      <c r="L400" s="11">
        <f t="shared" si="25"/>
        <v>0.97844907407124992</v>
      </c>
      <c r="M400" s="11">
        <f t="shared" si="26"/>
        <v>0</v>
      </c>
      <c r="N400" s="11">
        <f t="shared" si="27"/>
        <v>2.0147337963062455</v>
      </c>
    </row>
    <row r="401" spans="1:14" x14ac:dyDescent="0.25">
      <c r="A401" s="3" t="s">
        <v>3022</v>
      </c>
      <c r="B401" s="3" t="s">
        <v>527</v>
      </c>
      <c r="C401" s="3" t="s">
        <v>3199</v>
      </c>
      <c r="D401" s="3">
        <v>1</v>
      </c>
      <c r="E401" s="10">
        <v>45687.396527777782</v>
      </c>
      <c r="F401" s="10">
        <v>45687.398680555547</v>
      </c>
      <c r="G401" s="10">
        <v>45688.383449074077</v>
      </c>
      <c r="H401" s="10">
        <v>45688.406886574077</v>
      </c>
      <c r="I401" s="10">
        <v>45688.406944444447</v>
      </c>
      <c r="J401" s="10">
        <v>45688.407650462963</v>
      </c>
      <c r="K401" s="11">
        <f t="shared" si="24"/>
        <v>2.1527777644223534E-3</v>
      </c>
      <c r="L401" s="11">
        <f t="shared" si="25"/>
        <v>0.98476851853047265</v>
      </c>
      <c r="M401" s="11">
        <f t="shared" si="26"/>
        <v>5.7870369346346706E-5</v>
      </c>
      <c r="N401" s="11">
        <f t="shared" si="27"/>
        <v>1.0111226851804531</v>
      </c>
    </row>
    <row r="402" spans="1:14" x14ac:dyDescent="0.25">
      <c r="A402" s="3" t="s">
        <v>2980</v>
      </c>
      <c r="B402" s="3" t="s">
        <v>500</v>
      </c>
      <c r="C402" s="3" t="s">
        <v>3203</v>
      </c>
      <c r="D402" s="3">
        <v>3</v>
      </c>
      <c r="E402" s="10">
        <v>45687.128101851849</v>
      </c>
      <c r="F402" s="10">
        <v>45687.551423611112</v>
      </c>
      <c r="G402" s="10">
        <v>45688.407013888893</v>
      </c>
      <c r="H402" s="10">
        <v>45688.457662037043</v>
      </c>
      <c r="I402" s="10">
        <v>45688.457662037043</v>
      </c>
      <c r="J402" s="10">
        <v>45688.458796296298</v>
      </c>
      <c r="K402" s="11">
        <f t="shared" si="24"/>
        <v>0.4233217592627625</v>
      </c>
      <c r="L402" s="11">
        <f t="shared" si="25"/>
        <v>0.8555902777807205</v>
      </c>
      <c r="M402" s="11">
        <f t="shared" si="26"/>
        <v>0</v>
      </c>
      <c r="N402" s="11">
        <f t="shared" si="27"/>
        <v>1.3306944444484543</v>
      </c>
    </row>
    <row r="403" spans="1:14" x14ac:dyDescent="0.25">
      <c r="A403" s="3" t="s">
        <v>3028</v>
      </c>
      <c r="B403" s="3" t="s">
        <v>519</v>
      </c>
      <c r="C403" s="3" t="s">
        <v>3194</v>
      </c>
      <c r="D403" s="3">
        <v>3</v>
      </c>
      <c r="E403" s="10">
        <v>45687.402627314812</v>
      </c>
      <c r="F403" s="10">
        <v>45687.647789351853</v>
      </c>
      <c r="G403" s="10">
        <v>45688.458749999998</v>
      </c>
      <c r="H403" s="10">
        <v>45688.484467592592</v>
      </c>
      <c r="I403" s="10">
        <v>45688.484467592592</v>
      </c>
      <c r="J403" s="10">
        <v>45688.485358796293</v>
      </c>
      <c r="K403" s="11">
        <f t="shared" si="24"/>
        <v>0.24516203704115469</v>
      </c>
      <c r="L403" s="11">
        <f t="shared" si="25"/>
        <v>0.81096064814482816</v>
      </c>
      <c r="M403" s="11">
        <f t="shared" si="26"/>
        <v>0</v>
      </c>
      <c r="N403" s="11">
        <f t="shared" si="27"/>
        <v>1.0827314814814599</v>
      </c>
    </row>
    <row r="404" spans="1:14" x14ac:dyDescent="0.25">
      <c r="A404" s="3" t="s">
        <v>2931</v>
      </c>
      <c r="B404" s="3" t="s">
        <v>484</v>
      </c>
      <c r="C404" s="3" t="s">
        <v>3195</v>
      </c>
      <c r="D404" s="3">
        <v>5</v>
      </c>
      <c r="E404" s="10">
        <v>45686.645648148151</v>
      </c>
      <c r="F404" s="10">
        <v>45687.649236111109</v>
      </c>
      <c r="G404" s="10">
        <v>45688.530150462961</v>
      </c>
      <c r="H404" s="10">
        <v>45688.554756944453</v>
      </c>
      <c r="I404" s="10">
        <v>45688.554756944453</v>
      </c>
      <c r="J404" s="10">
        <v>45688.55568287037</v>
      </c>
      <c r="K404" s="11">
        <f t="shared" si="24"/>
        <v>1.0035879629576812</v>
      </c>
      <c r="L404" s="11">
        <f t="shared" si="25"/>
        <v>0.88091435185197042</v>
      </c>
      <c r="M404" s="11">
        <f t="shared" si="26"/>
        <v>0</v>
      </c>
      <c r="N404" s="11">
        <f t="shared" si="27"/>
        <v>1.9100347222192795</v>
      </c>
    </row>
    <row r="405" spans="1:14" x14ac:dyDescent="0.25">
      <c r="A405" s="3" t="s">
        <v>3056</v>
      </c>
      <c r="B405" s="3" t="s">
        <v>500</v>
      </c>
      <c r="C405" s="3" t="s">
        <v>3203</v>
      </c>
      <c r="D405" s="3">
        <v>3</v>
      </c>
      <c r="E405" s="10">
        <v>45687.654305555552</v>
      </c>
      <c r="F405" s="10">
        <v>45687.833391203712</v>
      </c>
      <c r="G405" s="10">
        <v>45688.601990740739</v>
      </c>
      <c r="H405" s="10">
        <v>45688.633645833332</v>
      </c>
      <c r="I405" s="10">
        <v>45688.633645833332</v>
      </c>
      <c r="J405" s="10">
        <v>45688.63453703704</v>
      </c>
      <c r="K405" s="11">
        <f t="shared" si="24"/>
        <v>0.17908564816025319</v>
      </c>
      <c r="L405" s="11">
        <f t="shared" si="25"/>
        <v>0.76859953702660277</v>
      </c>
      <c r="M405" s="11">
        <f t="shared" si="26"/>
        <v>0</v>
      </c>
      <c r="N405" s="11">
        <f t="shared" si="27"/>
        <v>0.98023148148786277</v>
      </c>
    </row>
    <row r="406" spans="1:14" x14ac:dyDescent="0.25">
      <c r="A406" s="3" t="s">
        <v>3053</v>
      </c>
      <c r="B406" s="3" t="s">
        <v>500</v>
      </c>
      <c r="C406" s="3" t="s">
        <v>3199</v>
      </c>
      <c r="D406" s="3">
        <v>2</v>
      </c>
      <c r="E406" s="10">
        <v>45687.647673611107</v>
      </c>
      <c r="F406" s="10">
        <v>45687.865243055552</v>
      </c>
      <c r="G406" s="10">
        <v>45688.655844907407</v>
      </c>
      <c r="H406" s="10">
        <v>45688.723391203697</v>
      </c>
      <c r="I406" s="10">
        <v>45688.723391203697</v>
      </c>
      <c r="J406" s="10">
        <v>45688.724687499998</v>
      </c>
      <c r="K406" s="11">
        <f t="shared" si="24"/>
        <v>0.21756944444496185</v>
      </c>
      <c r="L406" s="11">
        <f t="shared" si="25"/>
        <v>0.79060185185517184</v>
      </c>
      <c r="M406" s="11">
        <f t="shared" si="26"/>
        <v>0</v>
      </c>
      <c r="N406" s="11">
        <f t="shared" si="27"/>
        <v>1.0770138888910878</v>
      </c>
    </row>
    <row r="407" spans="1:14" x14ac:dyDescent="0.25">
      <c r="A407" s="3" t="s">
        <v>3079</v>
      </c>
      <c r="B407" s="3" t="s">
        <v>500</v>
      </c>
      <c r="C407" s="3" t="s">
        <v>3193</v>
      </c>
      <c r="D407" s="3">
        <v>1</v>
      </c>
      <c r="E407" s="10">
        <v>45688.257974537039</v>
      </c>
      <c r="F407" s="10">
        <v>45688.260138888887</v>
      </c>
      <c r="G407" s="10">
        <v>45688.656678240739</v>
      </c>
      <c r="H407" s="10">
        <v>45688.708240740743</v>
      </c>
      <c r="I407" s="10">
        <v>45688.708240740743</v>
      </c>
      <c r="J407" s="10">
        <v>45688.709363425929</v>
      </c>
      <c r="K407" s="11">
        <f t="shared" si="24"/>
        <v>2.1643518484779634E-3</v>
      </c>
      <c r="L407" s="11">
        <f t="shared" si="25"/>
        <v>0.39653935185197042</v>
      </c>
      <c r="M407" s="11">
        <f t="shared" si="26"/>
        <v>0</v>
      </c>
      <c r="N407" s="11">
        <f t="shared" si="27"/>
        <v>0.45138888889050577</v>
      </c>
    </row>
    <row r="408" spans="1:14" x14ac:dyDescent="0.25">
      <c r="A408" s="3" t="s">
        <v>3082</v>
      </c>
      <c r="B408" s="3" t="s">
        <v>500</v>
      </c>
      <c r="C408" s="3" t="s">
        <v>3199</v>
      </c>
      <c r="D408" s="3">
        <v>2</v>
      </c>
      <c r="E408" s="10">
        <v>45688.29923611111</v>
      </c>
      <c r="F408" s="10">
        <v>45688.32099537037</v>
      </c>
      <c r="G408" s="10">
        <v>45688.685023148151</v>
      </c>
      <c r="H408" s="10">
        <v>45688.716724537036</v>
      </c>
      <c r="I408" s="10">
        <v>45688.716724537036</v>
      </c>
      <c r="J408" s="10">
        <v>45688.717546296299</v>
      </c>
      <c r="K408" s="11">
        <f t="shared" si="24"/>
        <v>2.1759259259852115E-2</v>
      </c>
      <c r="L408" s="11">
        <f t="shared" si="25"/>
        <v>0.36402777778130258</v>
      </c>
      <c r="M408" s="11">
        <f t="shared" si="26"/>
        <v>0</v>
      </c>
      <c r="N408" s="11">
        <f t="shared" si="27"/>
        <v>0.41831018518860219</v>
      </c>
    </row>
    <row r="409" spans="1:14" x14ac:dyDescent="0.25">
      <c r="A409" s="3" t="s">
        <v>3068</v>
      </c>
      <c r="B409" s="3" t="s">
        <v>488</v>
      </c>
      <c r="C409" s="3" t="s">
        <v>3200</v>
      </c>
      <c r="D409" s="3">
        <v>2</v>
      </c>
      <c r="E409" s="10">
        <v>45688.130694444437</v>
      </c>
      <c r="F409" s="10">
        <v>45688.330277777779</v>
      </c>
      <c r="G409" s="10">
        <v>45688.741898148153</v>
      </c>
      <c r="H409" s="10">
        <v>45688.780856481477</v>
      </c>
      <c r="I409" s="10">
        <v>45688.780856481477</v>
      </c>
      <c r="J409" s="10">
        <v>45688.781886574077</v>
      </c>
      <c r="K409" s="11">
        <f t="shared" si="24"/>
        <v>0.1995833333421615</v>
      </c>
      <c r="L409" s="11">
        <f t="shared" si="25"/>
        <v>0.411620370374294</v>
      </c>
      <c r="M409" s="11">
        <f t="shared" si="26"/>
        <v>0</v>
      </c>
      <c r="N409" s="11">
        <f t="shared" si="27"/>
        <v>0.65119212964054896</v>
      </c>
    </row>
    <row r="410" spans="1:14" x14ac:dyDescent="0.25">
      <c r="A410" s="3" t="s">
        <v>2983</v>
      </c>
      <c r="B410" s="3" t="s">
        <v>492</v>
      </c>
      <c r="C410" s="3" t="s">
        <v>3196</v>
      </c>
      <c r="D410" s="3">
        <v>7</v>
      </c>
      <c r="E410" s="10">
        <v>45687.13</v>
      </c>
      <c r="F410" s="10">
        <v>45688.332187499997</v>
      </c>
      <c r="G410" s="10">
        <v>45688.750717592593</v>
      </c>
      <c r="H410" s="10">
        <v>45688.771377314813</v>
      </c>
      <c r="I410" s="10">
        <v>45688.771377314813</v>
      </c>
      <c r="J410" s="10">
        <v>45688.77202546296</v>
      </c>
      <c r="K410" s="11">
        <f t="shared" si="24"/>
        <v>1.2021874999991269</v>
      </c>
      <c r="L410" s="11">
        <f t="shared" si="25"/>
        <v>0.41853009259648388</v>
      </c>
      <c r="M410" s="11">
        <f t="shared" si="26"/>
        <v>0</v>
      </c>
      <c r="N410" s="11">
        <f t="shared" si="27"/>
        <v>1.6420254629629198</v>
      </c>
    </row>
    <row r="411" spans="1:14" x14ac:dyDescent="0.25">
      <c r="A411" s="3" t="s">
        <v>2908</v>
      </c>
      <c r="B411" s="3" t="s">
        <v>595</v>
      </c>
      <c r="C411" s="3" t="s">
        <v>3197</v>
      </c>
      <c r="D411" s="3">
        <v>6</v>
      </c>
      <c r="E411" s="10">
        <v>45686.405578703707</v>
      </c>
      <c r="F411" s="10">
        <v>45688.334548611107</v>
      </c>
      <c r="G411" s="10">
        <v>45688.864212962973</v>
      </c>
      <c r="H411" s="10">
        <v>45688.884293981479</v>
      </c>
      <c r="I411" s="10">
        <v>45688.884293981479</v>
      </c>
      <c r="J411" s="10">
        <v>45688.885115740741</v>
      </c>
      <c r="K411" s="11">
        <f t="shared" si="24"/>
        <v>1.9289699073997326</v>
      </c>
      <c r="L411" s="11">
        <f t="shared" si="25"/>
        <v>0.52966435186681338</v>
      </c>
      <c r="M411" s="11">
        <f t="shared" si="26"/>
        <v>0</v>
      </c>
      <c r="N411" s="11">
        <f t="shared" si="27"/>
        <v>2.4795370370338787</v>
      </c>
    </row>
    <row r="412" spans="1:14" x14ac:dyDescent="0.25">
      <c r="A412" s="3" t="s">
        <v>3107</v>
      </c>
      <c r="B412" s="3" t="s">
        <v>500</v>
      </c>
      <c r="C412" s="3" t="s">
        <v>3199</v>
      </c>
      <c r="D412" s="3">
        <v>1</v>
      </c>
      <c r="E412" s="10">
        <v>45688.345486111109</v>
      </c>
      <c r="F412" s="10">
        <v>45688.347858796304</v>
      </c>
      <c r="G412" s="10"/>
      <c r="H412" s="10"/>
      <c r="I412" s="10"/>
      <c r="J412" s="10"/>
      <c r="K412" s="11">
        <f t="shared" si="24"/>
        <v>2.3726851941319183E-3</v>
      </c>
      <c r="L412" s="11" t="str">
        <f t="shared" si="25"/>
        <v/>
      </c>
      <c r="M412" s="11" t="str">
        <f t="shared" si="26"/>
        <v/>
      </c>
      <c r="N412" s="11" t="str">
        <f t="shared" si="27"/>
        <v/>
      </c>
    </row>
    <row r="413" spans="1:14" x14ac:dyDescent="0.25">
      <c r="A413" s="3" t="s">
        <v>3110</v>
      </c>
      <c r="B413" s="3" t="s">
        <v>500</v>
      </c>
      <c r="C413" s="3" t="s">
        <v>3199</v>
      </c>
      <c r="D413" s="3">
        <v>1</v>
      </c>
      <c r="E413" s="10">
        <v>45688.380300925928</v>
      </c>
      <c r="F413" s="10">
        <v>45688.382696759261</v>
      </c>
      <c r="G413" s="10"/>
      <c r="H413" s="10"/>
      <c r="I413" s="10"/>
      <c r="J413" s="10"/>
      <c r="K413" s="11">
        <f t="shared" si="24"/>
        <v>2.3958333331393078E-3</v>
      </c>
      <c r="L413" s="11" t="str">
        <f t="shared" si="25"/>
        <v/>
      </c>
      <c r="M413" s="11" t="str">
        <f t="shared" si="26"/>
        <v/>
      </c>
      <c r="N413" s="11" t="str">
        <f t="shared" si="27"/>
        <v/>
      </c>
    </row>
    <row r="414" spans="1:14" x14ac:dyDescent="0.25">
      <c r="A414" s="3" t="s">
        <v>3129</v>
      </c>
      <c r="B414" s="3" t="s">
        <v>500</v>
      </c>
      <c r="C414" s="3" t="s">
        <v>3199</v>
      </c>
      <c r="D414" s="3">
        <v>1</v>
      </c>
      <c r="E414" s="10">
        <v>45688.453784722216</v>
      </c>
      <c r="F414" s="10">
        <v>45688.456180555557</v>
      </c>
      <c r="G414" s="10"/>
      <c r="H414" s="10"/>
      <c r="I414" s="10"/>
      <c r="J414" s="10"/>
      <c r="K414" s="11">
        <f t="shared" si="24"/>
        <v>2.3958333404152654E-3</v>
      </c>
      <c r="L414" s="11" t="str">
        <f t="shared" si="25"/>
        <v/>
      </c>
      <c r="M414" s="11" t="str">
        <f t="shared" si="26"/>
        <v/>
      </c>
      <c r="N414" s="11" t="str">
        <f t="shared" si="27"/>
        <v/>
      </c>
    </row>
    <row r="415" spans="1:14" x14ac:dyDescent="0.25">
      <c r="A415" s="3" t="s">
        <v>3113</v>
      </c>
      <c r="B415" s="3" t="s">
        <v>572</v>
      </c>
      <c r="C415" s="3" t="s">
        <v>3205</v>
      </c>
      <c r="D415" s="3">
        <v>2</v>
      </c>
      <c r="E415" s="10">
        <v>45688.381712962961</v>
      </c>
      <c r="F415" s="10">
        <v>45688.459131944437</v>
      </c>
      <c r="G415" s="10"/>
      <c r="H415" s="10"/>
      <c r="I415" s="10"/>
      <c r="J415" s="10"/>
      <c r="K415" s="11">
        <f t="shared" si="24"/>
        <v>7.7418981476512272E-2</v>
      </c>
      <c r="L415" s="11" t="str">
        <f t="shared" si="25"/>
        <v/>
      </c>
      <c r="M415" s="11" t="str">
        <f t="shared" si="26"/>
        <v/>
      </c>
      <c r="N415" s="11" t="str">
        <f t="shared" si="27"/>
        <v/>
      </c>
    </row>
    <row r="416" spans="1:14" x14ac:dyDescent="0.25">
      <c r="A416" s="3" t="s">
        <v>3134</v>
      </c>
      <c r="B416" s="3" t="s">
        <v>500</v>
      </c>
      <c r="C416" s="3" t="s">
        <v>3206</v>
      </c>
      <c r="D416" s="3">
        <v>2</v>
      </c>
      <c r="E416" s="10">
        <v>45688.457013888888</v>
      </c>
      <c r="F416" s="10">
        <v>45688.53197916667</v>
      </c>
      <c r="G416" s="10"/>
      <c r="H416" s="10"/>
      <c r="I416" s="10"/>
      <c r="J416" s="10"/>
      <c r="K416" s="11">
        <f t="shared" si="24"/>
        <v>7.4965277781302575E-2</v>
      </c>
      <c r="L416" s="11" t="str">
        <f t="shared" si="25"/>
        <v/>
      </c>
      <c r="M416" s="11" t="str">
        <f t="shared" si="26"/>
        <v/>
      </c>
      <c r="N416" s="11" t="str">
        <f t="shared" si="27"/>
        <v/>
      </c>
    </row>
    <row r="417" spans="1:14" x14ac:dyDescent="0.25">
      <c r="A417" s="3" t="s">
        <v>3065</v>
      </c>
      <c r="B417" s="3" t="s">
        <v>500</v>
      </c>
      <c r="C417" s="3" t="s">
        <v>3203</v>
      </c>
      <c r="D417" s="3">
        <v>3</v>
      </c>
      <c r="E417" s="10">
        <v>45688.128819444442</v>
      </c>
      <c r="F417" s="10">
        <v>45688.602430555547</v>
      </c>
      <c r="G417" s="10"/>
      <c r="H417" s="10"/>
      <c r="I417" s="10"/>
      <c r="J417" s="10"/>
      <c r="K417" s="11">
        <f t="shared" si="24"/>
        <v>0.47361111110512866</v>
      </c>
      <c r="L417" s="11" t="str">
        <f t="shared" si="25"/>
        <v/>
      </c>
      <c r="M417" s="11" t="str">
        <f t="shared" si="26"/>
        <v/>
      </c>
      <c r="N417" s="11" t="str">
        <f t="shared" si="27"/>
        <v/>
      </c>
    </row>
    <row r="418" spans="1:14" x14ac:dyDescent="0.25">
      <c r="A418" s="3" t="s">
        <v>3094</v>
      </c>
      <c r="B418" s="3" t="s">
        <v>506</v>
      </c>
      <c r="C418" s="3" t="s">
        <v>3194</v>
      </c>
      <c r="D418" s="3">
        <v>6</v>
      </c>
      <c r="E418" s="10">
        <v>45688.322812500002</v>
      </c>
      <c r="F418" s="10">
        <v>45688.664259259262</v>
      </c>
      <c r="G418" s="10"/>
      <c r="H418" s="10"/>
      <c r="I418" s="10"/>
      <c r="J418" s="10"/>
      <c r="K418" s="11">
        <f t="shared" si="24"/>
        <v>0.34144675925927004</v>
      </c>
      <c r="L418" s="11" t="str">
        <f t="shared" si="25"/>
        <v/>
      </c>
      <c r="M418" s="11" t="str">
        <f t="shared" si="26"/>
        <v/>
      </c>
      <c r="N418" s="11" t="str">
        <f t="shared" si="27"/>
        <v/>
      </c>
    </row>
    <row r="419" spans="1:14" x14ac:dyDescent="0.25">
      <c r="A419" s="3" t="s">
        <v>3085</v>
      </c>
      <c r="B419" s="3" t="s">
        <v>519</v>
      </c>
      <c r="C419" s="3" t="s">
        <v>3202</v>
      </c>
      <c r="D419" s="3">
        <v>3</v>
      </c>
      <c r="E419" s="10">
        <v>45688.315335648149</v>
      </c>
      <c r="F419" s="10">
        <v>45688.665648148148</v>
      </c>
      <c r="G419" s="10"/>
      <c r="H419" s="10"/>
      <c r="I419" s="10"/>
      <c r="J419" s="10"/>
      <c r="K419" s="11">
        <f t="shared" si="24"/>
        <v>0.35031249999883585</v>
      </c>
      <c r="L419" s="11" t="str">
        <f t="shared" si="25"/>
        <v/>
      </c>
      <c r="M419" s="11" t="str">
        <f t="shared" si="26"/>
        <v/>
      </c>
      <c r="N419" s="11" t="str">
        <f t="shared" si="27"/>
        <v/>
      </c>
    </row>
    <row r="420" spans="1:14" x14ac:dyDescent="0.25">
      <c r="A420" s="3" t="s">
        <v>3141</v>
      </c>
      <c r="B420" s="3" t="s">
        <v>515</v>
      </c>
      <c r="C420" s="3" t="s">
        <v>3196</v>
      </c>
      <c r="D420" s="3">
        <v>2</v>
      </c>
      <c r="E420" s="10">
        <v>45688.642997685187</v>
      </c>
      <c r="F420" s="10">
        <v>45688.672233796293</v>
      </c>
      <c r="G420" s="10"/>
      <c r="H420" s="10"/>
      <c r="I420" s="10"/>
      <c r="J420" s="10"/>
      <c r="K420" s="11">
        <f t="shared" si="24"/>
        <v>2.9236111106001772E-2</v>
      </c>
      <c r="L420" s="11" t="str">
        <f t="shared" si="25"/>
        <v/>
      </c>
      <c r="M420" s="11" t="str">
        <f t="shared" si="26"/>
        <v/>
      </c>
      <c r="N420" s="11" t="str">
        <f t="shared" si="27"/>
        <v/>
      </c>
    </row>
    <row r="421" spans="1:14" x14ac:dyDescent="0.25">
      <c r="A421" s="3" t="s">
        <v>3000</v>
      </c>
      <c r="B421" s="3" t="s">
        <v>654</v>
      </c>
      <c r="C421" s="3" t="s">
        <v>3201</v>
      </c>
      <c r="D421" s="3">
        <v>6</v>
      </c>
      <c r="E421" s="10">
        <v>45687.330775462957</v>
      </c>
      <c r="F421" s="10">
        <v>45688.676979166667</v>
      </c>
      <c r="G421" s="10"/>
      <c r="H421" s="10"/>
      <c r="I421" s="10"/>
      <c r="J421" s="10"/>
      <c r="K421" s="11">
        <f t="shared" si="24"/>
        <v>1.3462037037097616</v>
      </c>
      <c r="L421" s="11" t="str">
        <f t="shared" si="25"/>
        <v/>
      </c>
      <c r="M421" s="11" t="str">
        <f t="shared" si="26"/>
        <v/>
      </c>
      <c r="N421" s="11" t="str">
        <f t="shared" si="27"/>
        <v/>
      </c>
    </row>
    <row r="422" spans="1:14" x14ac:dyDescent="0.25">
      <c r="A422" s="3" t="s">
        <v>3071</v>
      </c>
      <c r="B422" s="3" t="s">
        <v>484</v>
      </c>
      <c r="C422" s="3" t="s">
        <v>3198</v>
      </c>
      <c r="D422" s="3">
        <v>3</v>
      </c>
      <c r="E422" s="10">
        <v>45688.132291666669</v>
      </c>
      <c r="F422" s="10">
        <v>45688.683287037027</v>
      </c>
      <c r="G422" s="10"/>
      <c r="H422" s="10"/>
      <c r="I422" s="10"/>
      <c r="J422" s="10"/>
      <c r="K422" s="11">
        <f t="shared" si="24"/>
        <v>0.55099537035857793</v>
      </c>
      <c r="L422" s="11" t="str">
        <f t="shared" si="25"/>
        <v/>
      </c>
      <c r="M422" s="11" t="str">
        <f t="shared" si="26"/>
        <v/>
      </c>
      <c r="N422" s="11" t="str">
        <f t="shared" si="27"/>
        <v/>
      </c>
    </row>
    <row r="423" spans="1:14" x14ac:dyDescent="0.25">
      <c r="A423" s="3" t="s">
        <v>3174</v>
      </c>
      <c r="B423" s="3" t="s">
        <v>500</v>
      </c>
      <c r="C423" s="3" t="s">
        <v>3193</v>
      </c>
      <c r="D423" s="3">
        <v>1</v>
      </c>
      <c r="E423" s="10">
        <v>45688.740162037036</v>
      </c>
      <c r="F423" s="10">
        <v>45688.74255787037</v>
      </c>
      <c r="G423" s="10"/>
      <c r="H423" s="10"/>
      <c r="I423" s="10"/>
      <c r="J423" s="10"/>
      <c r="K423" s="11">
        <f t="shared" si="24"/>
        <v>2.3958333331393078E-3</v>
      </c>
      <c r="L423" s="11" t="str">
        <f t="shared" si="25"/>
        <v/>
      </c>
      <c r="M423" s="11" t="str">
        <f t="shared" si="26"/>
        <v/>
      </c>
      <c r="N423" s="11" t="str">
        <f t="shared" si="27"/>
        <v/>
      </c>
    </row>
    <row r="424" spans="1:14" x14ac:dyDescent="0.25">
      <c r="A424" s="3" t="s">
        <v>3177</v>
      </c>
      <c r="B424" s="3" t="s">
        <v>500</v>
      </c>
      <c r="C424" s="3" t="s">
        <v>3199</v>
      </c>
      <c r="D424" s="3">
        <v>1</v>
      </c>
      <c r="E424" s="10">
        <v>45688.74900462963</v>
      </c>
      <c r="F424" s="10">
        <v>45688.751400462963</v>
      </c>
      <c r="G424" s="10"/>
      <c r="H424" s="10"/>
      <c r="I424" s="10"/>
      <c r="J424" s="10"/>
      <c r="K424" s="11">
        <f t="shared" si="24"/>
        <v>2.3958333331393078E-3</v>
      </c>
      <c r="L424" s="11" t="str">
        <f t="shared" si="25"/>
        <v/>
      </c>
      <c r="M424" s="11" t="str">
        <f t="shared" si="26"/>
        <v/>
      </c>
      <c r="N424" s="11" t="str">
        <f t="shared" si="27"/>
        <v/>
      </c>
    </row>
    <row r="425" spans="1:14" x14ac:dyDescent="0.25">
      <c r="A425" s="3" t="s">
        <v>3180</v>
      </c>
      <c r="B425" s="3" t="s">
        <v>527</v>
      </c>
      <c r="C425" s="3" t="s">
        <v>3200</v>
      </c>
      <c r="D425" s="3">
        <v>1</v>
      </c>
      <c r="E425" s="10">
        <v>45688.853125000001</v>
      </c>
      <c r="F425" s="10">
        <v>45688.855486111112</v>
      </c>
      <c r="G425" s="10"/>
      <c r="H425" s="10"/>
      <c r="I425" s="10"/>
      <c r="J425" s="10"/>
      <c r="K425" s="11">
        <f t="shared" si="24"/>
        <v>2.3611111100763083E-3</v>
      </c>
      <c r="L425" s="11" t="str">
        <f t="shared" si="25"/>
        <v/>
      </c>
      <c r="M425" s="11" t="str">
        <f t="shared" si="26"/>
        <v/>
      </c>
      <c r="N425" s="11" t="str">
        <f t="shared" si="27"/>
        <v/>
      </c>
    </row>
    <row r="426" spans="1:14" x14ac:dyDescent="0.25">
      <c r="A426" s="3" t="s">
        <v>3162</v>
      </c>
      <c r="B426" s="3" t="s">
        <v>506</v>
      </c>
      <c r="C426" s="3" t="s">
        <v>3194</v>
      </c>
      <c r="D426" s="3">
        <v>3</v>
      </c>
      <c r="E426" s="10">
        <v>45688.668564814812</v>
      </c>
      <c r="F426" s="10">
        <v>45688.858634259261</v>
      </c>
      <c r="G426" s="10"/>
      <c r="H426" s="10"/>
      <c r="I426" s="10"/>
      <c r="J426" s="10"/>
      <c r="K426" s="11">
        <f t="shared" si="24"/>
        <v>0.19006944444845431</v>
      </c>
      <c r="L426" s="11" t="str">
        <f t="shared" si="25"/>
        <v/>
      </c>
      <c r="M426" s="11" t="str">
        <f t="shared" si="26"/>
        <v/>
      </c>
      <c r="N426" s="11" t="str">
        <f t="shared" si="27"/>
        <v/>
      </c>
    </row>
    <row r="427" spans="1:14" x14ac:dyDescent="0.25">
      <c r="A427" s="3" t="s">
        <v>3186</v>
      </c>
      <c r="B427" s="3" t="s">
        <v>484</v>
      </c>
      <c r="C427" s="3" t="s">
        <v>3196</v>
      </c>
      <c r="D427" s="3">
        <v>2</v>
      </c>
      <c r="E427" s="10">
        <v>45688.858622685177</v>
      </c>
      <c r="F427" s="10">
        <v>45688.864305555559</v>
      </c>
      <c r="G427" s="10"/>
      <c r="H427" s="10"/>
      <c r="I427" s="10"/>
      <c r="J427" s="10"/>
      <c r="K427" s="11">
        <f t="shared" si="24"/>
        <v>5.6828703818609938E-3</v>
      </c>
      <c r="L427" s="11" t="str">
        <f t="shared" si="25"/>
        <v/>
      </c>
      <c r="M427" s="11" t="str">
        <f t="shared" si="26"/>
        <v/>
      </c>
      <c r="N427" s="11" t="str">
        <f t="shared" si="27"/>
        <v/>
      </c>
    </row>
  </sheetData>
  <autoFilter ref="A1:N427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77"/>
  <sheetViews>
    <sheetView workbookViewId="0">
      <pane xSplit="1" ySplit="1" topLeftCell="B2" activePane="bottomRight" state="frozen"/>
      <selection pane="topRight"/>
      <selection pane="bottomLeft"/>
      <selection pane="bottomRight"/>
    </sheetView>
  </sheetViews>
  <sheetFormatPr baseColWidth="10" defaultColWidth="9.140625" defaultRowHeight="15" x14ac:dyDescent="0.25"/>
  <cols>
    <col min="1" max="2" width="8.140625" customWidth="1"/>
    <col min="3" max="3" width="19" customWidth="1"/>
    <col min="4" max="4" width="8.140625" customWidth="1"/>
    <col min="5" max="6" width="19" customWidth="1"/>
    <col min="7" max="8" width="8.140625" customWidth="1"/>
  </cols>
  <sheetData>
    <row r="1" spans="1:8" ht="45" customHeight="1" x14ac:dyDescent="0.25">
      <c r="A1" s="1" t="s">
        <v>3226</v>
      </c>
      <c r="B1" s="1" t="s">
        <v>127</v>
      </c>
      <c r="C1" s="1" t="s">
        <v>7256</v>
      </c>
      <c r="D1" s="1" t="s">
        <v>7244</v>
      </c>
      <c r="E1" s="1" t="s">
        <v>7247</v>
      </c>
      <c r="F1" s="1" t="s">
        <v>7257</v>
      </c>
      <c r="G1" s="1" t="s">
        <v>7258</v>
      </c>
      <c r="H1" s="1" t="s">
        <v>7259</v>
      </c>
    </row>
    <row r="2" spans="1:8" x14ac:dyDescent="0.25">
      <c r="A2" s="3" t="s">
        <v>483</v>
      </c>
      <c r="B2" s="3" t="s">
        <v>3203</v>
      </c>
      <c r="C2" s="10">
        <v>45659.122187499997</v>
      </c>
      <c r="D2" s="3" t="s">
        <v>485</v>
      </c>
      <c r="E2" s="10">
        <v>45660.261053240742</v>
      </c>
      <c r="F2" s="10">
        <v>45660.281238425923</v>
      </c>
      <c r="G2" s="11">
        <f t="shared" ref="G2:G65" si="0">IF(AND(ISNUMBER(C2),ISNUMBER(E2)),(E2-C2),"")</f>
        <v>1.1388657407442224</v>
      </c>
      <c r="H2" s="11">
        <f t="shared" ref="H2:H65" si="1">IF(AND(ISNUMBER(C2),ISNUMBER(F2)),(F2-C2),"")</f>
        <v>1.1590509259258397</v>
      </c>
    </row>
    <row r="3" spans="1:8" x14ac:dyDescent="0.25">
      <c r="A3" s="3" t="s">
        <v>487</v>
      </c>
      <c r="B3" s="3" t="s">
        <v>3193</v>
      </c>
      <c r="C3" s="10">
        <v>45659.123668981483</v>
      </c>
      <c r="D3" s="3" t="s">
        <v>489</v>
      </c>
      <c r="E3" s="10">
        <v>45659.125833333332</v>
      </c>
      <c r="F3" s="10">
        <v>45659.145405092589</v>
      </c>
      <c r="G3" s="11">
        <f t="shared" si="0"/>
        <v>2.1643518484779634E-3</v>
      </c>
      <c r="H3" s="11">
        <f t="shared" si="1"/>
        <v>2.173611110629281E-2</v>
      </c>
    </row>
    <row r="4" spans="1:8" x14ac:dyDescent="0.25">
      <c r="A4" s="3" t="s">
        <v>491</v>
      </c>
      <c r="B4" s="3" t="s">
        <v>3199</v>
      </c>
      <c r="C4" s="10">
        <v>45659.125717592593</v>
      </c>
      <c r="D4" s="3" t="s">
        <v>493</v>
      </c>
      <c r="E4" s="10">
        <v>45659.640532407408</v>
      </c>
      <c r="F4" s="10">
        <v>45659.705833333333</v>
      </c>
      <c r="G4" s="11">
        <f t="shared" si="0"/>
        <v>0.51481481481459923</v>
      </c>
      <c r="H4" s="11">
        <f t="shared" si="1"/>
        <v>0.58011574074043892</v>
      </c>
    </row>
    <row r="5" spans="1:8" x14ac:dyDescent="0.25">
      <c r="A5" s="3" t="s">
        <v>495</v>
      </c>
      <c r="B5" s="3" t="s">
        <v>3204</v>
      </c>
      <c r="C5" s="10">
        <v>45659.12777777778</v>
      </c>
      <c r="D5" s="3" t="s">
        <v>497</v>
      </c>
      <c r="E5" s="10">
        <v>45660.270891203712</v>
      </c>
      <c r="F5" s="10">
        <v>45660.313831018517</v>
      </c>
      <c r="G5" s="11">
        <f t="shared" si="0"/>
        <v>1.1431134259328246</v>
      </c>
      <c r="H5" s="11">
        <f t="shared" si="1"/>
        <v>1.1860532407372375</v>
      </c>
    </row>
    <row r="6" spans="1:8" x14ac:dyDescent="0.25">
      <c r="A6" s="3" t="s">
        <v>499</v>
      </c>
      <c r="B6" s="3" t="s">
        <v>3193</v>
      </c>
      <c r="C6" s="10">
        <v>45659.277858796297</v>
      </c>
      <c r="D6" s="3" t="s">
        <v>501</v>
      </c>
      <c r="E6" s="10">
        <v>45659.28025462963</v>
      </c>
      <c r="F6" s="10">
        <v>45659.313668981478</v>
      </c>
      <c r="G6" s="11">
        <f t="shared" si="0"/>
        <v>2.3958333331393078E-3</v>
      </c>
      <c r="H6" s="11">
        <f t="shared" si="1"/>
        <v>3.5810185181617271E-2</v>
      </c>
    </row>
    <row r="7" spans="1:8" x14ac:dyDescent="0.25">
      <c r="A7" s="3" t="s">
        <v>542</v>
      </c>
      <c r="B7" s="3" t="s">
        <v>3194</v>
      </c>
      <c r="C7" s="10">
        <v>45659.316319444442</v>
      </c>
      <c r="D7" s="3" t="s">
        <v>543</v>
      </c>
      <c r="E7" s="10">
        <v>45659.318715277783</v>
      </c>
      <c r="F7" s="10">
        <v>45659.353333333333</v>
      </c>
      <c r="G7" s="11">
        <f t="shared" si="0"/>
        <v>2.3958333404152654E-3</v>
      </c>
      <c r="H7" s="11">
        <f t="shared" si="1"/>
        <v>3.701388889021473E-2</v>
      </c>
    </row>
    <row r="8" spans="1:8" x14ac:dyDescent="0.25">
      <c r="A8" s="3" t="s">
        <v>503</v>
      </c>
      <c r="B8" s="3" t="s">
        <v>3203</v>
      </c>
      <c r="C8" s="10">
        <v>45659.320208333331</v>
      </c>
      <c r="D8" s="3" t="s">
        <v>485</v>
      </c>
      <c r="E8" s="10">
        <v>45660.261053240742</v>
      </c>
      <c r="F8" s="10">
        <v>45660.281238425923</v>
      </c>
      <c r="G8" s="11">
        <f t="shared" si="0"/>
        <v>0.94084490741079208</v>
      </c>
      <c r="H8" s="11">
        <f t="shared" si="1"/>
        <v>0.96103009259240935</v>
      </c>
    </row>
    <row r="9" spans="1:8" x14ac:dyDescent="0.25">
      <c r="A9" s="3" t="s">
        <v>505</v>
      </c>
      <c r="B9" s="3" t="s">
        <v>3195</v>
      </c>
      <c r="C9" s="10">
        <v>45659.322488425933</v>
      </c>
      <c r="D9" s="3" t="s">
        <v>507</v>
      </c>
      <c r="E9" s="10">
        <v>45659.324884259258</v>
      </c>
      <c r="F9" s="10">
        <v>45659.373020833344</v>
      </c>
      <c r="G9" s="11">
        <f t="shared" si="0"/>
        <v>2.3958333258633502E-3</v>
      </c>
      <c r="H9" s="11">
        <f t="shared" si="1"/>
        <v>5.0532407411083113E-2</v>
      </c>
    </row>
    <row r="10" spans="1:8" x14ac:dyDescent="0.25">
      <c r="A10" s="3" t="s">
        <v>509</v>
      </c>
      <c r="B10" s="3" t="s">
        <v>3201</v>
      </c>
      <c r="C10" s="10">
        <v>45659.324224537027</v>
      </c>
      <c r="D10" s="3" t="s">
        <v>510</v>
      </c>
      <c r="E10" s="10">
        <v>45659.780763888892</v>
      </c>
      <c r="F10" s="10">
        <v>45659.802673611113</v>
      </c>
      <c r="G10" s="11">
        <f t="shared" si="0"/>
        <v>0.45653935186419403</v>
      </c>
      <c r="H10" s="11">
        <f t="shared" si="1"/>
        <v>0.47844907408580184</v>
      </c>
    </row>
    <row r="11" spans="1:8" x14ac:dyDescent="0.25">
      <c r="A11" s="3" t="s">
        <v>512</v>
      </c>
      <c r="B11" s="3" t="s">
        <v>3199</v>
      </c>
      <c r="C11" s="10">
        <v>45659.326099537036</v>
      </c>
      <c r="D11" s="3" t="s">
        <v>493</v>
      </c>
      <c r="E11" s="10">
        <v>45659.640532407408</v>
      </c>
      <c r="F11" s="10">
        <v>45659.705833333333</v>
      </c>
      <c r="G11" s="11">
        <f t="shared" si="0"/>
        <v>0.31443287037109258</v>
      </c>
      <c r="H11" s="11">
        <f t="shared" si="1"/>
        <v>0.37973379629693227</v>
      </c>
    </row>
    <row r="12" spans="1:8" x14ac:dyDescent="0.25">
      <c r="A12" s="3" t="s">
        <v>514</v>
      </c>
      <c r="B12" s="3" t="s">
        <v>3197</v>
      </c>
      <c r="C12" s="10">
        <v>45659.328217592592</v>
      </c>
      <c r="D12" s="3" t="s">
        <v>516</v>
      </c>
      <c r="E12" s="10">
        <v>45659.397314814807</v>
      </c>
      <c r="F12" s="10">
        <v>45659.438483796293</v>
      </c>
      <c r="G12" s="11">
        <f t="shared" si="0"/>
        <v>6.9097222214622889E-2</v>
      </c>
      <c r="H12" s="11">
        <f t="shared" si="1"/>
        <v>0.11026620370103046</v>
      </c>
    </row>
    <row r="13" spans="1:8" x14ac:dyDescent="0.25">
      <c r="A13" s="3" t="s">
        <v>518</v>
      </c>
      <c r="B13" s="3" t="s">
        <v>3200</v>
      </c>
      <c r="C13" s="10">
        <v>45659.329918981479</v>
      </c>
      <c r="D13" s="3" t="s">
        <v>520</v>
      </c>
      <c r="E13" s="10">
        <v>45659.653182870366</v>
      </c>
      <c r="F13" s="10">
        <v>45659.682708333326</v>
      </c>
      <c r="G13" s="11">
        <f t="shared" si="0"/>
        <v>0.32326388888759539</v>
      </c>
      <c r="H13" s="11">
        <f t="shared" si="1"/>
        <v>0.35278935184760485</v>
      </c>
    </row>
    <row r="14" spans="1:8" x14ac:dyDescent="0.25">
      <c r="A14" s="3" t="s">
        <v>522</v>
      </c>
      <c r="B14" s="3" t="s">
        <v>3206</v>
      </c>
      <c r="C14" s="10">
        <v>45659.331504629627</v>
      </c>
      <c r="D14" s="3" t="s">
        <v>524</v>
      </c>
      <c r="E14" s="10">
        <v>45660.868831018517</v>
      </c>
      <c r="F14" s="10">
        <v>45660.915590277778</v>
      </c>
      <c r="G14" s="11">
        <f t="shared" si="0"/>
        <v>1.5373263888905058</v>
      </c>
      <c r="H14" s="11">
        <f t="shared" si="1"/>
        <v>1.5840856481518131</v>
      </c>
    </row>
    <row r="15" spans="1:8" x14ac:dyDescent="0.25">
      <c r="A15" s="3" t="s">
        <v>526</v>
      </c>
      <c r="B15" s="3" t="s">
        <v>3198</v>
      </c>
      <c r="C15" s="10">
        <v>45659.333067129628</v>
      </c>
      <c r="D15" s="3" t="s">
        <v>528</v>
      </c>
      <c r="E15" s="10">
        <v>45659.401678240742</v>
      </c>
      <c r="F15" s="10">
        <v>45659.436030092591</v>
      </c>
      <c r="G15" s="11">
        <f t="shared" si="0"/>
        <v>6.8611111113568768E-2</v>
      </c>
      <c r="H15" s="11">
        <f t="shared" si="1"/>
        <v>0.10296296296291985</v>
      </c>
    </row>
    <row r="16" spans="1:8" x14ac:dyDescent="0.25">
      <c r="A16" s="3" t="s">
        <v>530</v>
      </c>
      <c r="B16" s="3" t="s">
        <v>3201</v>
      </c>
      <c r="C16" s="10">
        <v>45659.334803240738</v>
      </c>
      <c r="D16" s="3" t="s">
        <v>510</v>
      </c>
      <c r="E16" s="10">
        <v>45659.780763888892</v>
      </c>
      <c r="F16" s="10">
        <v>45659.802673611113</v>
      </c>
      <c r="G16" s="11">
        <f t="shared" si="0"/>
        <v>0.44596064815414138</v>
      </c>
      <c r="H16" s="11">
        <f t="shared" si="1"/>
        <v>0.46787037037574919</v>
      </c>
    </row>
    <row r="17" spans="1:8" x14ac:dyDescent="0.25">
      <c r="A17" s="3" t="s">
        <v>532</v>
      </c>
      <c r="B17" s="3" t="s">
        <v>3202</v>
      </c>
      <c r="C17" s="10">
        <v>45659.336157407408</v>
      </c>
      <c r="D17" s="3" t="s">
        <v>534</v>
      </c>
      <c r="E17" s="10">
        <v>45659.869930555556</v>
      </c>
      <c r="F17" s="10">
        <v>45659.898969907408</v>
      </c>
      <c r="G17" s="11">
        <f t="shared" si="0"/>
        <v>0.53377314814861165</v>
      </c>
      <c r="H17" s="11">
        <f t="shared" si="1"/>
        <v>0.56281250000029104</v>
      </c>
    </row>
    <row r="18" spans="1:8" x14ac:dyDescent="0.25">
      <c r="A18" s="3" t="s">
        <v>536</v>
      </c>
      <c r="B18" s="3" t="s">
        <v>3200</v>
      </c>
      <c r="C18" s="10">
        <v>45659.337858796287</v>
      </c>
      <c r="D18" s="3" t="s">
        <v>520</v>
      </c>
      <c r="E18" s="10">
        <v>45659.653182870366</v>
      </c>
      <c r="F18" s="10">
        <v>45659.682708333326</v>
      </c>
      <c r="G18" s="11">
        <f t="shared" si="0"/>
        <v>0.315324074079399</v>
      </c>
      <c r="H18" s="11">
        <f t="shared" si="1"/>
        <v>0.34484953703940846</v>
      </c>
    </row>
    <row r="19" spans="1:8" x14ac:dyDescent="0.25">
      <c r="A19" s="3" t="s">
        <v>538</v>
      </c>
      <c r="B19" s="3" t="s">
        <v>3205</v>
      </c>
      <c r="C19" s="10">
        <v>45659.339131944442</v>
      </c>
      <c r="D19" s="3" t="s">
        <v>540</v>
      </c>
      <c r="E19" s="10">
        <v>45660.667731481481</v>
      </c>
      <c r="F19" s="10">
        <v>45660.690150462957</v>
      </c>
      <c r="G19" s="11">
        <f t="shared" si="0"/>
        <v>1.3285995370388264</v>
      </c>
      <c r="H19" s="11">
        <f t="shared" si="1"/>
        <v>1.3510185185150476</v>
      </c>
    </row>
    <row r="20" spans="1:8" x14ac:dyDescent="0.25">
      <c r="A20" s="3" t="s">
        <v>545</v>
      </c>
      <c r="B20" s="3" t="s">
        <v>3193</v>
      </c>
      <c r="C20" s="10">
        <v>45659.345358796287</v>
      </c>
      <c r="D20" s="3" t="s">
        <v>546</v>
      </c>
      <c r="E20" s="10">
        <v>45659.347731481481</v>
      </c>
      <c r="F20" s="10">
        <v>45659.419641203713</v>
      </c>
      <c r="G20" s="11">
        <f t="shared" si="0"/>
        <v>2.3726851941319183E-3</v>
      </c>
      <c r="H20" s="11">
        <f t="shared" si="1"/>
        <v>7.4282407425926067E-2</v>
      </c>
    </row>
    <row r="21" spans="1:8" x14ac:dyDescent="0.25">
      <c r="A21" s="3" t="s">
        <v>571</v>
      </c>
      <c r="B21" s="3" t="s">
        <v>3195</v>
      </c>
      <c r="C21" s="10">
        <v>45659.384722222218</v>
      </c>
      <c r="D21" s="3" t="s">
        <v>573</v>
      </c>
      <c r="E21" s="10">
        <v>45660.38003472222</v>
      </c>
      <c r="F21" s="10">
        <v>45660.422280092593</v>
      </c>
      <c r="G21" s="11">
        <f t="shared" si="0"/>
        <v>0.99531250000291038</v>
      </c>
      <c r="H21" s="11">
        <f t="shared" si="1"/>
        <v>1.0375578703751671</v>
      </c>
    </row>
    <row r="22" spans="1:8" x14ac:dyDescent="0.25">
      <c r="A22" s="3" t="s">
        <v>575</v>
      </c>
      <c r="B22" s="3" t="s">
        <v>3196</v>
      </c>
      <c r="C22" s="10">
        <v>45659.38689814815</v>
      </c>
      <c r="D22" s="3" t="s">
        <v>576</v>
      </c>
      <c r="E22" s="10">
        <v>45659.389293981483</v>
      </c>
      <c r="F22" s="10">
        <v>45659.415520833332</v>
      </c>
      <c r="G22" s="11">
        <f t="shared" si="0"/>
        <v>2.3958333331393078E-3</v>
      </c>
      <c r="H22" s="11">
        <f t="shared" si="1"/>
        <v>2.8622685182199348E-2</v>
      </c>
    </row>
    <row r="23" spans="1:8" x14ac:dyDescent="0.25">
      <c r="A23" s="3" t="s">
        <v>548</v>
      </c>
      <c r="B23" s="3" t="s">
        <v>3200</v>
      </c>
      <c r="C23" s="10">
        <v>45659.389398148152</v>
      </c>
      <c r="D23" s="3" t="s">
        <v>520</v>
      </c>
      <c r="E23" s="10">
        <v>45659.653182870366</v>
      </c>
      <c r="F23" s="10">
        <v>45659.682708333326</v>
      </c>
      <c r="G23" s="11">
        <f t="shared" si="0"/>
        <v>0.26378472221404081</v>
      </c>
      <c r="H23" s="11">
        <f t="shared" si="1"/>
        <v>0.29331018517405028</v>
      </c>
    </row>
    <row r="24" spans="1:8" x14ac:dyDescent="0.25">
      <c r="A24" s="3" t="s">
        <v>550</v>
      </c>
      <c r="B24" s="3" t="s">
        <v>3206</v>
      </c>
      <c r="C24" s="10">
        <v>45659.391018518523</v>
      </c>
      <c r="D24" s="3" t="s">
        <v>524</v>
      </c>
      <c r="E24" s="10">
        <v>45660.868831018517</v>
      </c>
      <c r="F24" s="10">
        <v>45660.915590277778</v>
      </c>
      <c r="G24" s="11">
        <f t="shared" si="0"/>
        <v>1.4778124999938882</v>
      </c>
      <c r="H24" s="11">
        <f t="shared" si="1"/>
        <v>1.5245717592551955</v>
      </c>
    </row>
    <row r="25" spans="1:8" x14ac:dyDescent="0.25">
      <c r="A25" s="3" t="s">
        <v>552</v>
      </c>
      <c r="B25" s="3" t="s">
        <v>3197</v>
      </c>
      <c r="C25" s="10">
        <v>45659.393020833333</v>
      </c>
      <c r="D25" s="3" t="s">
        <v>516</v>
      </c>
      <c r="E25" s="10">
        <v>45659.397314814807</v>
      </c>
      <c r="F25" s="10">
        <v>45659.438483796293</v>
      </c>
      <c r="G25" s="11">
        <f t="shared" si="0"/>
        <v>4.2939814738929272E-3</v>
      </c>
      <c r="H25" s="11">
        <f t="shared" si="1"/>
        <v>4.5462962960300501E-2</v>
      </c>
    </row>
    <row r="26" spans="1:8" x14ac:dyDescent="0.25">
      <c r="A26" s="3" t="s">
        <v>554</v>
      </c>
      <c r="B26" s="3" t="s">
        <v>3200</v>
      </c>
      <c r="C26" s="10">
        <v>45659.394791666673</v>
      </c>
      <c r="D26" s="3" t="s">
        <v>520</v>
      </c>
      <c r="E26" s="10">
        <v>45659.653182870366</v>
      </c>
      <c r="F26" s="10">
        <v>45659.682708333326</v>
      </c>
      <c r="G26" s="11">
        <f t="shared" si="0"/>
        <v>0.25839120369346347</v>
      </c>
      <c r="H26" s="11">
        <f t="shared" si="1"/>
        <v>0.28791666665347293</v>
      </c>
    </row>
    <row r="27" spans="1:8" x14ac:dyDescent="0.25">
      <c r="A27" s="3" t="s">
        <v>556</v>
      </c>
      <c r="B27" s="3" t="s">
        <v>3198</v>
      </c>
      <c r="C27" s="10">
        <v>45659.396377314813</v>
      </c>
      <c r="D27" s="3" t="s">
        <v>528</v>
      </c>
      <c r="E27" s="10">
        <v>45659.401678240742</v>
      </c>
      <c r="F27" s="10">
        <v>45659.436030092591</v>
      </c>
      <c r="G27" s="11">
        <f t="shared" si="0"/>
        <v>5.3009259281679988E-3</v>
      </c>
      <c r="H27" s="11">
        <f t="shared" si="1"/>
        <v>3.9652777777519077E-2</v>
      </c>
    </row>
    <row r="28" spans="1:8" x14ac:dyDescent="0.25">
      <c r="A28" s="3" t="s">
        <v>558</v>
      </c>
      <c r="B28" s="3" t="s">
        <v>3199</v>
      </c>
      <c r="C28" s="10">
        <v>45659.398275462961</v>
      </c>
      <c r="D28" s="3" t="s">
        <v>493</v>
      </c>
      <c r="E28" s="10">
        <v>45659.640532407408</v>
      </c>
      <c r="F28" s="10">
        <v>45659.705833333333</v>
      </c>
      <c r="G28" s="11">
        <f t="shared" si="0"/>
        <v>0.242256944446126</v>
      </c>
      <c r="H28" s="11">
        <f t="shared" si="1"/>
        <v>0.30755787037196569</v>
      </c>
    </row>
    <row r="29" spans="1:8" x14ac:dyDescent="0.25">
      <c r="A29" s="3" t="s">
        <v>560</v>
      </c>
      <c r="B29" s="3" t="s">
        <v>3202</v>
      </c>
      <c r="C29" s="10">
        <v>45659.399699074071</v>
      </c>
      <c r="D29" s="3" t="s">
        <v>534</v>
      </c>
      <c r="E29" s="10">
        <v>45659.869930555556</v>
      </c>
      <c r="F29" s="10">
        <v>45659.898969907408</v>
      </c>
      <c r="G29" s="11">
        <f t="shared" si="0"/>
        <v>0.4702314814858255</v>
      </c>
      <c r="H29" s="11">
        <f t="shared" si="1"/>
        <v>0.49927083333750488</v>
      </c>
    </row>
    <row r="30" spans="1:8" x14ac:dyDescent="0.25">
      <c r="A30" s="3" t="s">
        <v>562</v>
      </c>
      <c r="B30" s="3" t="s">
        <v>3194</v>
      </c>
      <c r="C30" s="10">
        <v>45659.401666666658</v>
      </c>
      <c r="D30" s="3" t="s">
        <v>564</v>
      </c>
      <c r="E30" s="10">
        <v>45660.328599537039</v>
      </c>
      <c r="F30" s="10">
        <v>45660.363240740742</v>
      </c>
      <c r="G30" s="11">
        <f t="shared" si="0"/>
        <v>0.92693287038127892</v>
      </c>
      <c r="H30" s="11">
        <f t="shared" si="1"/>
        <v>0.96157407408463769</v>
      </c>
    </row>
    <row r="31" spans="1:8" x14ac:dyDescent="0.25">
      <c r="A31" s="3" t="s">
        <v>566</v>
      </c>
      <c r="B31" s="3" t="s">
        <v>3196</v>
      </c>
      <c r="C31" s="10">
        <v>45659.403993055559</v>
      </c>
      <c r="D31" s="3" t="s">
        <v>567</v>
      </c>
      <c r="E31" s="10">
        <v>45659.408993055556</v>
      </c>
      <c r="F31" s="10">
        <v>45659.454571759263</v>
      </c>
      <c r="G31" s="11">
        <f t="shared" si="0"/>
        <v>4.9999999973806553E-3</v>
      </c>
      <c r="H31" s="11">
        <f t="shared" si="1"/>
        <v>5.0578703703649808E-2</v>
      </c>
    </row>
    <row r="32" spans="1:8" x14ac:dyDescent="0.25">
      <c r="A32" s="3" t="s">
        <v>569</v>
      </c>
      <c r="B32" s="3" t="s">
        <v>3204</v>
      </c>
      <c r="C32" s="10">
        <v>45659.406018518523</v>
      </c>
      <c r="D32" s="3" t="s">
        <v>497</v>
      </c>
      <c r="E32" s="10">
        <v>45660.270891203712</v>
      </c>
      <c r="F32" s="10">
        <v>45660.313831018517</v>
      </c>
      <c r="G32" s="11">
        <f t="shared" si="0"/>
        <v>0.86487268518976634</v>
      </c>
      <c r="H32" s="11">
        <f t="shared" si="1"/>
        <v>0.90781249999417923</v>
      </c>
    </row>
    <row r="33" spans="1:8" x14ac:dyDescent="0.25">
      <c r="A33" s="3" t="s">
        <v>578</v>
      </c>
      <c r="B33" s="3" t="s">
        <v>3193</v>
      </c>
      <c r="C33" s="10">
        <v>45659.44939814815</v>
      </c>
      <c r="D33" s="3" t="s">
        <v>579</v>
      </c>
      <c r="E33" s="10">
        <v>45659.457048611112</v>
      </c>
      <c r="F33" s="10">
        <v>45659.522939814808</v>
      </c>
      <c r="G33" s="11">
        <f t="shared" si="0"/>
        <v>7.6504629614646547E-3</v>
      </c>
      <c r="H33" s="11">
        <f t="shared" si="1"/>
        <v>7.3541666657547466E-2</v>
      </c>
    </row>
    <row r="34" spans="1:8" x14ac:dyDescent="0.25">
      <c r="A34" s="3" t="s">
        <v>581</v>
      </c>
      <c r="B34" s="3" t="s">
        <v>3195</v>
      </c>
      <c r="C34" s="10">
        <v>45659.45113425926</v>
      </c>
      <c r="D34" s="3" t="s">
        <v>573</v>
      </c>
      <c r="E34" s="10">
        <v>45660.38003472222</v>
      </c>
      <c r="F34" s="10">
        <v>45660.422280092593</v>
      </c>
      <c r="G34" s="11">
        <f t="shared" si="0"/>
        <v>0.92890046296088258</v>
      </c>
      <c r="H34" s="11">
        <f t="shared" si="1"/>
        <v>0.97114583333313931</v>
      </c>
    </row>
    <row r="35" spans="1:8" x14ac:dyDescent="0.25">
      <c r="A35" s="3" t="s">
        <v>583</v>
      </c>
      <c r="B35" s="3" t="s">
        <v>3193</v>
      </c>
      <c r="C35" s="10">
        <v>45659.453125</v>
      </c>
      <c r="D35" s="3" t="s">
        <v>579</v>
      </c>
      <c r="E35" s="10">
        <v>45659.457048611112</v>
      </c>
      <c r="F35" s="10">
        <v>45659.522939814808</v>
      </c>
      <c r="G35" s="11">
        <f t="shared" si="0"/>
        <v>3.9236111115314998E-3</v>
      </c>
      <c r="H35" s="11">
        <f t="shared" si="1"/>
        <v>6.9814814807614312E-2</v>
      </c>
    </row>
    <row r="36" spans="1:8" x14ac:dyDescent="0.25">
      <c r="A36" s="3" t="s">
        <v>585</v>
      </c>
      <c r="B36" s="3" t="s">
        <v>3193</v>
      </c>
      <c r="C36" s="10">
        <v>45659.617337962962</v>
      </c>
      <c r="D36" s="3" t="s">
        <v>586</v>
      </c>
      <c r="E36" s="10">
        <v>45659.619513888887</v>
      </c>
      <c r="F36" s="10">
        <v>45659.671319444453</v>
      </c>
      <c r="G36" s="11">
        <f t="shared" si="0"/>
        <v>2.1759259252576157E-3</v>
      </c>
      <c r="H36" s="11">
        <f t="shared" si="1"/>
        <v>5.3981481491064187E-2</v>
      </c>
    </row>
    <row r="37" spans="1:8" x14ac:dyDescent="0.25">
      <c r="A37" s="3" t="s">
        <v>610</v>
      </c>
      <c r="B37" s="3" t="s">
        <v>3199</v>
      </c>
      <c r="C37" s="10">
        <v>45659.636967592603</v>
      </c>
      <c r="D37" s="3" t="s">
        <v>493</v>
      </c>
      <c r="E37" s="10">
        <v>45659.640532407408</v>
      </c>
      <c r="F37" s="10">
        <v>45659.705833333333</v>
      </c>
      <c r="G37" s="11">
        <f t="shared" si="0"/>
        <v>3.5648148041218519E-3</v>
      </c>
      <c r="H37" s="11">
        <f t="shared" si="1"/>
        <v>6.8865740729961544E-2</v>
      </c>
    </row>
    <row r="38" spans="1:8" x14ac:dyDescent="0.25">
      <c r="A38" s="3" t="s">
        <v>588</v>
      </c>
      <c r="B38" s="3" t="s">
        <v>3197</v>
      </c>
      <c r="C38" s="10">
        <v>45659.644594907397</v>
      </c>
      <c r="D38" s="3" t="s">
        <v>589</v>
      </c>
      <c r="E38" s="10">
        <v>45659.771319444437</v>
      </c>
      <c r="F38" s="10">
        <v>45659.810694444437</v>
      </c>
      <c r="G38" s="11">
        <f t="shared" si="0"/>
        <v>0.12672453703999054</v>
      </c>
      <c r="H38" s="11">
        <f t="shared" si="1"/>
        <v>0.16609953704028158</v>
      </c>
    </row>
    <row r="39" spans="1:8" x14ac:dyDescent="0.25">
      <c r="A39" s="3" t="s">
        <v>591</v>
      </c>
      <c r="B39" s="3" t="s">
        <v>3199</v>
      </c>
      <c r="C39" s="10">
        <v>45659.646469907413</v>
      </c>
      <c r="D39" s="3" t="s">
        <v>592</v>
      </c>
      <c r="E39" s="10">
        <v>45659.775520833333</v>
      </c>
      <c r="F39" s="10">
        <v>45659.811539351853</v>
      </c>
      <c r="G39" s="11">
        <f t="shared" si="0"/>
        <v>0.12905092591972789</v>
      </c>
      <c r="H39" s="11">
        <f t="shared" si="1"/>
        <v>0.16506944443972316</v>
      </c>
    </row>
    <row r="40" spans="1:8" x14ac:dyDescent="0.25">
      <c r="A40" s="3" t="s">
        <v>594</v>
      </c>
      <c r="B40" s="3" t="s">
        <v>3198</v>
      </c>
      <c r="C40" s="10">
        <v>45659.647939814808</v>
      </c>
      <c r="D40" s="3" t="s">
        <v>596</v>
      </c>
      <c r="E40" s="10">
        <v>45666.323449074072</v>
      </c>
      <c r="F40" s="10">
        <v>45666.397569444453</v>
      </c>
      <c r="G40" s="11">
        <f t="shared" si="0"/>
        <v>6.6755092592647998</v>
      </c>
      <c r="H40" s="11">
        <f t="shared" si="1"/>
        <v>6.7496296296449145</v>
      </c>
    </row>
    <row r="41" spans="1:8" x14ac:dyDescent="0.25">
      <c r="A41" s="3" t="s">
        <v>598</v>
      </c>
      <c r="B41" s="3" t="s">
        <v>3200</v>
      </c>
      <c r="C41" s="10">
        <v>45659.649629629632</v>
      </c>
      <c r="D41" s="3" t="s">
        <v>520</v>
      </c>
      <c r="E41" s="10">
        <v>45659.653182870366</v>
      </c>
      <c r="F41" s="10">
        <v>45659.682708333326</v>
      </c>
      <c r="G41" s="11">
        <f t="shared" si="0"/>
        <v>3.5532407346181571E-3</v>
      </c>
      <c r="H41" s="11">
        <f t="shared" si="1"/>
        <v>3.307870369462762E-2</v>
      </c>
    </row>
    <row r="42" spans="1:8" x14ac:dyDescent="0.25">
      <c r="A42" s="3" t="s">
        <v>600</v>
      </c>
      <c r="B42" s="3" t="s">
        <v>3196</v>
      </c>
      <c r="C42" s="10">
        <v>45659.652083333327</v>
      </c>
      <c r="D42" s="3" t="s">
        <v>601</v>
      </c>
      <c r="E42" s="10">
        <v>45659.65425925926</v>
      </c>
      <c r="F42" s="10">
        <v>45659.717581018522</v>
      </c>
      <c r="G42" s="11">
        <f t="shared" si="0"/>
        <v>2.1759259325335734E-3</v>
      </c>
      <c r="H42" s="11">
        <f t="shared" si="1"/>
        <v>6.5497685194713995E-2</v>
      </c>
    </row>
    <row r="43" spans="1:8" x14ac:dyDescent="0.25">
      <c r="A43" s="3" t="s">
        <v>603</v>
      </c>
      <c r="B43" s="3" t="s">
        <v>3202</v>
      </c>
      <c r="C43" s="10">
        <v>45659.65347222222</v>
      </c>
      <c r="D43" s="3" t="s">
        <v>534</v>
      </c>
      <c r="E43" s="10">
        <v>45659.869930555556</v>
      </c>
      <c r="F43" s="10">
        <v>45659.898969907408</v>
      </c>
      <c r="G43" s="11">
        <f t="shared" si="0"/>
        <v>0.21645833333604969</v>
      </c>
      <c r="H43" s="11">
        <f t="shared" si="1"/>
        <v>0.24549768518772908</v>
      </c>
    </row>
    <row r="44" spans="1:8" x14ac:dyDescent="0.25">
      <c r="A44" s="3" t="s">
        <v>605</v>
      </c>
      <c r="B44" s="3" t="s">
        <v>3201</v>
      </c>
      <c r="C44" s="10">
        <v>45659.65525462963</v>
      </c>
      <c r="D44" s="3" t="s">
        <v>510</v>
      </c>
      <c r="E44" s="10">
        <v>45659.780763888892</v>
      </c>
      <c r="F44" s="10">
        <v>45659.802673611113</v>
      </c>
      <c r="G44" s="11">
        <f t="shared" si="0"/>
        <v>0.12550925926188938</v>
      </c>
      <c r="H44" s="11">
        <f t="shared" si="1"/>
        <v>0.14741898148349719</v>
      </c>
    </row>
    <row r="45" spans="1:8" x14ac:dyDescent="0.25">
      <c r="A45" s="3" t="s">
        <v>607</v>
      </c>
      <c r="B45" s="3" t="s">
        <v>3196</v>
      </c>
      <c r="C45" s="10">
        <v>45659.657384259262</v>
      </c>
      <c r="D45" s="3" t="s">
        <v>608</v>
      </c>
      <c r="E45" s="10">
        <v>45659.660439814812</v>
      </c>
      <c r="F45" s="10">
        <v>45659.704606481479</v>
      </c>
      <c r="G45" s="11">
        <f t="shared" si="0"/>
        <v>3.0555555495084263E-3</v>
      </c>
      <c r="H45" s="11">
        <f t="shared" si="1"/>
        <v>4.722222221607808E-2</v>
      </c>
    </row>
    <row r="46" spans="1:8" x14ac:dyDescent="0.25">
      <c r="A46" s="3" t="s">
        <v>612</v>
      </c>
      <c r="B46" s="3" t="s">
        <v>3203</v>
      </c>
      <c r="C46" s="10">
        <v>45659.760370370372</v>
      </c>
      <c r="D46" s="3" t="s">
        <v>485</v>
      </c>
      <c r="E46" s="10">
        <v>45660.261053240742</v>
      </c>
      <c r="F46" s="10">
        <v>45660.281238425923</v>
      </c>
      <c r="G46" s="11">
        <f t="shared" si="0"/>
        <v>0.50068287036992842</v>
      </c>
      <c r="H46" s="11">
        <f t="shared" si="1"/>
        <v>0.52086805555154569</v>
      </c>
    </row>
    <row r="47" spans="1:8" x14ac:dyDescent="0.25">
      <c r="A47" s="3" t="s">
        <v>614</v>
      </c>
      <c r="B47" s="3" t="s">
        <v>3204</v>
      </c>
      <c r="C47" s="10">
        <v>45659.762372685182</v>
      </c>
      <c r="D47" s="3" t="s">
        <v>497</v>
      </c>
      <c r="E47" s="10">
        <v>45660.270891203712</v>
      </c>
      <c r="F47" s="10">
        <v>45660.313831018517</v>
      </c>
      <c r="G47" s="11">
        <f t="shared" si="0"/>
        <v>0.50851851853076369</v>
      </c>
      <c r="H47" s="11">
        <f t="shared" si="1"/>
        <v>0.55145833333517658</v>
      </c>
    </row>
    <row r="48" spans="1:8" x14ac:dyDescent="0.25">
      <c r="A48" s="3" t="s">
        <v>616</v>
      </c>
      <c r="B48" s="3" t="s">
        <v>3193</v>
      </c>
      <c r="C48" s="10">
        <v>45659.76363425926</v>
      </c>
      <c r="D48" s="3" t="s">
        <v>617</v>
      </c>
      <c r="E48" s="10">
        <v>45659.879965277767</v>
      </c>
      <c r="F48" s="10">
        <v>45659.900023148148</v>
      </c>
      <c r="G48" s="11">
        <f t="shared" si="0"/>
        <v>0.11633101850748062</v>
      </c>
      <c r="H48" s="11">
        <f t="shared" si="1"/>
        <v>0.13638888888817746</v>
      </c>
    </row>
    <row r="49" spans="1:8" x14ac:dyDescent="0.25">
      <c r="A49" s="3" t="s">
        <v>619</v>
      </c>
      <c r="B49" s="3" t="s">
        <v>3206</v>
      </c>
      <c r="C49" s="10">
        <v>45659.765208333331</v>
      </c>
      <c r="D49" s="3" t="s">
        <v>524</v>
      </c>
      <c r="E49" s="10">
        <v>45660.868831018517</v>
      </c>
      <c r="F49" s="10">
        <v>45660.915590277778</v>
      </c>
      <c r="G49" s="11">
        <f t="shared" si="0"/>
        <v>1.1036226851865649</v>
      </c>
      <c r="H49" s="11">
        <f t="shared" si="1"/>
        <v>1.1503819444478722</v>
      </c>
    </row>
    <row r="50" spans="1:8" x14ac:dyDescent="0.25">
      <c r="A50" s="3" t="s">
        <v>621</v>
      </c>
      <c r="B50" s="3" t="s">
        <v>3197</v>
      </c>
      <c r="C50" s="10">
        <v>45659.767407407409</v>
      </c>
      <c r="D50" s="3" t="s">
        <v>589</v>
      </c>
      <c r="E50" s="10">
        <v>45659.771319444437</v>
      </c>
      <c r="F50" s="10">
        <v>45659.810694444437</v>
      </c>
      <c r="G50" s="11">
        <f t="shared" si="0"/>
        <v>3.9120370274758898E-3</v>
      </c>
      <c r="H50" s="11">
        <f t="shared" si="1"/>
        <v>4.3287037027766928E-2</v>
      </c>
    </row>
    <row r="51" spans="1:8" x14ac:dyDescent="0.25">
      <c r="A51" s="3" t="s">
        <v>623</v>
      </c>
      <c r="B51" s="3" t="s">
        <v>3202</v>
      </c>
      <c r="C51" s="10">
        <v>45659.768773148149</v>
      </c>
      <c r="D51" s="3" t="s">
        <v>534</v>
      </c>
      <c r="E51" s="10">
        <v>45659.869930555556</v>
      </c>
      <c r="F51" s="10">
        <v>45659.898969907408</v>
      </c>
      <c r="G51" s="11">
        <f t="shared" si="0"/>
        <v>0.10115740740729962</v>
      </c>
      <c r="H51" s="11">
        <f t="shared" si="1"/>
        <v>0.130196759258979</v>
      </c>
    </row>
    <row r="52" spans="1:8" x14ac:dyDescent="0.25">
      <c r="A52" s="3" t="s">
        <v>625</v>
      </c>
      <c r="B52" s="3" t="s">
        <v>3196</v>
      </c>
      <c r="C52" s="10">
        <v>45659.770844907413</v>
      </c>
      <c r="D52" s="3" t="s">
        <v>626</v>
      </c>
      <c r="E52" s="10">
        <v>45659.87736111111</v>
      </c>
      <c r="F52" s="10">
        <v>45659.900671296287</v>
      </c>
      <c r="G52" s="11">
        <f t="shared" si="0"/>
        <v>0.106516203697538</v>
      </c>
      <c r="H52" s="11">
        <f t="shared" si="1"/>
        <v>0.1298263888747897</v>
      </c>
    </row>
    <row r="53" spans="1:8" x14ac:dyDescent="0.25">
      <c r="A53" s="3" t="s">
        <v>628</v>
      </c>
      <c r="B53" s="3" t="s">
        <v>3199</v>
      </c>
      <c r="C53" s="10">
        <v>45659.773148148153</v>
      </c>
      <c r="D53" s="3" t="s">
        <v>592</v>
      </c>
      <c r="E53" s="10">
        <v>45659.775520833333</v>
      </c>
      <c r="F53" s="10">
        <v>45659.811539351853</v>
      </c>
      <c r="G53" s="11">
        <f t="shared" si="0"/>
        <v>2.372685179580003E-3</v>
      </c>
      <c r="H53" s="11">
        <f t="shared" si="1"/>
        <v>3.8391203699575271E-2</v>
      </c>
    </row>
    <row r="54" spans="1:8" x14ac:dyDescent="0.25">
      <c r="A54" s="3" t="s">
        <v>630</v>
      </c>
      <c r="B54" s="3" t="s">
        <v>3194</v>
      </c>
      <c r="C54" s="10">
        <v>45659.775127314817</v>
      </c>
      <c r="D54" s="3" t="s">
        <v>564</v>
      </c>
      <c r="E54" s="10">
        <v>45660.328599537039</v>
      </c>
      <c r="F54" s="10">
        <v>45660.363240740742</v>
      </c>
      <c r="G54" s="11">
        <f t="shared" si="0"/>
        <v>0.55347222222189885</v>
      </c>
      <c r="H54" s="11">
        <f t="shared" si="1"/>
        <v>0.58811342592525762</v>
      </c>
    </row>
    <row r="55" spans="1:8" x14ac:dyDescent="0.25">
      <c r="A55" s="3" t="s">
        <v>632</v>
      </c>
      <c r="B55" s="3" t="s">
        <v>3201</v>
      </c>
      <c r="C55" s="10">
        <v>45659.776863425926</v>
      </c>
      <c r="D55" s="3" t="s">
        <v>510</v>
      </c>
      <c r="E55" s="10">
        <v>45659.780763888892</v>
      </c>
      <c r="F55" s="10">
        <v>45659.802673611113</v>
      </c>
      <c r="G55" s="11">
        <f t="shared" si="0"/>
        <v>3.9004629652481526E-3</v>
      </c>
      <c r="H55" s="11">
        <f t="shared" si="1"/>
        <v>2.5810185186855961E-2</v>
      </c>
    </row>
    <row r="56" spans="1:8" x14ac:dyDescent="0.25">
      <c r="A56" s="3" t="s">
        <v>634</v>
      </c>
      <c r="B56" s="3" t="s">
        <v>3199</v>
      </c>
      <c r="C56" s="10">
        <v>45659.778738425928</v>
      </c>
      <c r="D56" s="3" t="s">
        <v>635</v>
      </c>
      <c r="E56" s="10">
        <v>45660.125925925917</v>
      </c>
      <c r="F56" s="10">
        <v>45660.15079861111</v>
      </c>
      <c r="G56" s="11">
        <f t="shared" si="0"/>
        <v>0.34718749998864951</v>
      </c>
      <c r="H56" s="11">
        <f t="shared" si="1"/>
        <v>0.37206018518190831</v>
      </c>
    </row>
    <row r="57" spans="1:8" x14ac:dyDescent="0.25">
      <c r="A57" s="3" t="s">
        <v>637</v>
      </c>
      <c r="B57" s="3" t="s">
        <v>3199</v>
      </c>
      <c r="C57" s="10">
        <v>45659.859606481477</v>
      </c>
      <c r="D57" s="3" t="s">
        <v>635</v>
      </c>
      <c r="E57" s="10">
        <v>45660.125925925917</v>
      </c>
      <c r="F57" s="10">
        <v>45660.15079861111</v>
      </c>
      <c r="G57" s="11">
        <f t="shared" si="0"/>
        <v>0.26631944443943212</v>
      </c>
      <c r="H57" s="11">
        <f t="shared" si="1"/>
        <v>0.29119212963269092</v>
      </c>
    </row>
    <row r="58" spans="1:8" x14ac:dyDescent="0.25">
      <c r="A58" s="3" t="s">
        <v>639</v>
      </c>
      <c r="B58" s="3" t="s">
        <v>3204</v>
      </c>
      <c r="C58" s="10">
        <v>45659.861643518518</v>
      </c>
      <c r="D58" s="3" t="s">
        <v>497</v>
      </c>
      <c r="E58" s="10">
        <v>45660.270891203712</v>
      </c>
      <c r="F58" s="10">
        <v>45660.313831018517</v>
      </c>
      <c r="G58" s="11">
        <f t="shared" si="0"/>
        <v>0.40924768519471399</v>
      </c>
      <c r="H58" s="11">
        <f t="shared" si="1"/>
        <v>0.45218749999912689</v>
      </c>
    </row>
    <row r="59" spans="1:8" x14ac:dyDescent="0.25">
      <c r="A59" s="3" t="s">
        <v>641</v>
      </c>
      <c r="B59" s="3" t="s">
        <v>3198</v>
      </c>
      <c r="C59" s="10">
        <v>45659.863136574073</v>
      </c>
      <c r="D59" s="3" t="s">
        <v>596</v>
      </c>
      <c r="E59" s="10">
        <v>45666.323449074072</v>
      </c>
      <c r="F59" s="10">
        <v>45666.397569444453</v>
      </c>
      <c r="G59" s="11">
        <f t="shared" si="0"/>
        <v>6.4603124999994179</v>
      </c>
      <c r="H59" s="11">
        <f t="shared" si="1"/>
        <v>6.5344328703795327</v>
      </c>
    </row>
    <row r="60" spans="1:8" x14ac:dyDescent="0.25">
      <c r="A60" s="3" t="s">
        <v>643</v>
      </c>
      <c r="B60" s="3" t="s">
        <v>3193</v>
      </c>
      <c r="C60" s="10">
        <v>45659.86451388889</v>
      </c>
      <c r="D60" s="3" t="s">
        <v>617</v>
      </c>
      <c r="E60" s="10">
        <v>45659.879965277767</v>
      </c>
      <c r="F60" s="10">
        <v>45659.900023148148</v>
      </c>
      <c r="G60" s="11">
        <f t="shared" si="0"/>
        <v>1.5451388877409045E-2</v>
      </c>
      <c r="H60" s="11">
        <f t="shared" si="1"/>
        <v>3.5509259258105885E-2</v>
      </c>
    </row>
    <row r="61" spans="1:8" x14ac:dyDescent="0.25">
      <c r="A61" s="3" t="s">
        <v>645</v>
      </c>
      <c r="B61" s="3" t="s">
        <v>3202</v>
      </c>
      <c r="C61" s="10">
        <v>45659.866006944438</v>
      </c>
      <c r="D61" s="3" t="s">
        <v>534</v>
      </c>
      <c r="E61" s="10">
        <v>45659.869930555556</v>
      </c>
      <c r="F61" s="10">
        <v>45659.898969907408</v>
      </c>
      <c r="G61" s="11">
        <f t="shared" si="0"/>
        <v>3.9236111188074574E-3</v>
      </c>
      <c r="H61" s="11">
        <f t="shared" si="1"/>
        <v>3.2962962970486842E-2</v>
      </c>
    </row>
    <row r="62" spans="1:8" x14ac:dyDescent="0.25">
      <c r="A62" s="3" t="s">
        <v>647</v>
      </c>
      <c r="B62" s="3" t="s">
        <v>3201</v>
      </c>
      <c r="C62" s="10">
        <v>45659.867777777778</v>
      </c>
      <c r="D62" s="3" t="s">
        <v>648</v>
      </c>
      <c r="E62" s="10">
        <v>45660.297083333331</v>
      </c>
      <c r="F62" s="10">
        <v>45660.372743055559</v>
      </c>
      <c r="G62" s="11">
        <f t="shared" si="0"/>
        <v>0.42930555555358296</v>
      </c>
      <c r="H62" s="11">
        <f t="shared" si="1"/>
        <v>0.50496527778159361</v>
      </c>
    </row>
    <row r="63" spans="1:8" x14ac:dyDescent="0.25">
      <c r="A63" s="3" t="s">
        <v>650</v>
      </c>
      <c r="B63" s="3" t="s">
        <v>3197</v>
      </c>
      <c r="C63" s="10">
        <v>45659.869814814818</v>
      </c>
      <c r="D63" s="3" t="s">
        <v>651</v>
      </c>
      <c r="E63" s="10">
        <v>45660.275636574072</v>
      </c>
      <c r="F63" s="10">
        <v>45660.318333333344</v>
      </c>
      <c r="G63" s="11">
        <f t="shared" si="0"/>
        <v>0.40582175925374031</v>
      </c>
      <c r="H63" s="11">
        <f t="shared" si="1"/>
        <v>0.44851851852581603</v>
      </c>
    </row>
    <row r="64" spans="1:8" x14ac:dyDescent="0.25">
      <c r="A64" s="3" t="s">
        <v>653</v>
      </c>
      <c r="B64" s="3" t="s">
        <v>3200</v>
      </c>
      <c r="C64" s="10">
        <v>45659.871539351851</v>
      </c>
      <c r="D64" s="3" t="s">
        <v>655</v>
      </c>
      <c r="E64" s="10">
        <v>45666.779282407413</v>
      </c>
      <c r="F64" s="10">
        <v>45666.817453703698</v>
      </c>
      <c r="G64" s="11">
        <f t="shared" si="0"/>
        <v>6.9077430555626052</v>
      </c>
      <c r="H64" s="11">
        <f t="shared" si="1"/>
        <v>6.9459143518470228</v>
      </c>
    </row>
    <row r="65" spans="1:8" x14ac:dyDescent="0.25">
      <c r="A65" s="3" t="s">
        <v>657</v>
      </c>
      <c r="B65" s="3" t="s">
        <v>3196</v>
      </c>
      <c r="C65" s="10">
        <v>45659.873460648138</v>
      </c>
      <c r="D65" s="3" t="s">
        <v>626</v>
      </c>
      <c r="E65" s="10">
        <v>45659.87736111111</v>
      </c>
      <c r="F65" s="10">
        <v>45659.900671296287</v>
      </c>
      <c r="G65" s="11">
        <f t="shared" si="0"/>
        <v>3.9004629725241102E-3</v>
      </c>
      <c r="H65" s="11">
        <f t="shared" si="1"/>
        <v>2.7210648149775807E-2</v>
      </c>
    </row>
    <row r="66" spans="1:8" x14ac:dyDescent="0.25">
      <c r="A66" s="3" t="s">
        <v>659</v>
      </c>
      <c r="B66" s="3" t="s">
        <v>3205</v>
      </c>
      <c r="C66" s="10">
        <v>45659.874756944453</v>
      </c>
      <c r="D66" s="3" t="s">
        <v>540</v>
      </c>
      <c r="E66" s="10">
        <v>45660.667731481481</v>
      </c>
      <c r="F66" s="10">
        <v>45660.690150462957</v>
      </c>
      <c r="G66" s="11">
        <f t="shared" ref="G66:G129" si="2">IF(AND(ISNUMBER(C66),ISNUMBER(E66)),(E66-C66),"")</f>
        <v>0.79297453702747589</v>
      </c>
      <c r="H66" s="11">
        <f t="shared" ref="H66:H129" si="3">IF(AND(ISNUMBER(C66),ISNUMBER(F66)),(F66-C66),"")</f>
        <v>0.81539351850369712</v>
      </c>
    </row>
    <row r="67" spans="1:8" x14ac:dyDescent="0.25">
      <c r="A67" s="3" t="s">
        <v>661</v>
      </c>
      <c r="B67" s="3" t="s">
        <v>3193</v>
      </c>
      <c r="C67" s="10">
        <v>45659.87604166667</v>
      </c>
      <c r="D67" s="3" t="s">
        <v>617</v>
      </c>
      <c r="E67" s="10">
        <v>45659.879965277767</v>
      </c>
      <c r="F67" s="10">
        <v>45659.900023148148</v>
      </c>
      <c r="G67" s="11">
        <f t="shared" si="2"/>
        <v>3.9236110969795845E-3</v>
      </c>
      <c r="H67" s="11">
        <f t="shared" si="3"/>
        <v>2.3981481477676425E-2</v>
      </c>
    </row>
    <row r="68" spans="1:8" x14ac:dyDescent="0.25">
      <c r="A68" s="3" t="s">
        <v>663</v>
      </c>
      <c r="B68" s="3" t="s">
        <v>3199</v>
      </c>
      <c r="C68" s="10">
        <v>45660.122361111113</v>
      </c>
      <c r="D68" s="3" t="s">
        <v>635</v>
      </c>
      <c r="E68" s="10">
        <v>45660.125925925917</v>
      </c>
      <c r="F68" s="10">
        <v>45660.15079861111</v>
      </c>
      <c r="G68" s="11">
        <f t="shared" si="2"/>
        <v>3.5648148041218519E-3</v>
      </c>
      <c r="H68" s="11">
        <f t="shared" si="3"/>
        <v>2.8437499997380655E-2</v>
      </c>
    </row>
    <row r="69" spans="1:8" x14ac:dyDescent="0.25">
      <c r="A69" s="3" t="s">
        <v>665</v>
      </c>
      <c r="B69" s="3" t="s">
        <v>3203</v>
      </c>
      <c r="C69" s="10">
        <v>45660.123518518521</v>
      </c>
      <c r="D69" s="3" t="s">
        <v>485</v>
      </c>
      <c r="E69" s="10">
        <v>45660.261053240742</v>
      </c>
      <c r="F69" s="10">
        <v>45660.281238425923</v>
      </c>
      <c r="G69" s="11">
        <f t="shared" si="2"/>
        <v>0.13753472222015262</v>
      </c>
      <c r="H69" s="11">
        <f t="shared" si="3"/>
        <v>0.15771990740176989</v>
      </c>
    </row>
    <row r="70" spans="1:8" x14ac:dyDescent="0.25">
      <c r="A70" s="3" t="s">
        <v>667</v>
      </c>
      <c r="B70" s="3" t="s">
        <v>3201</v>
      </c>
      <c r="C70" s="10">
        <v>45660.125277777777</v>
      </c>
      <c r="D70" s="3" t="s">
        <v>648</v>
      </c>
      <c r="E70" s="10">
        <v>45660.297083333331</v>
      </c>
      <c r="F70" s="10">
        <v>45660.372743055559</v>
      </c>
      <c r="G70" s="11">
        <f t="shared" si="2"/>
        <v>0.171805555553874</v>
      </c>
      <c r="H70" s="11">
        <f t="shared" si="3"/>
        <v>0.24746527778188465</v>
      </c>
    </row>
    <row r="71" spans="1:8" x14ac:dyDescent="0.25">
      <c r="A71" s="3" t="s">
        <v>669</v>
      </c>
      <c r="B71" s="3" t="s">
        <v>3203</v>
      </c>
      <c r="C71" s="10">
        <v>45660.126446759263</v>
      </c>
      <c r="D71" s="3" t="s">
        <v>485</v>
      </c>
      <c r="E71" s="10">
        <v>45660.261053240742</v>
      </c>
      <c r="F71" s="10">
        <v>45660.281238425923</v>
      </c>
      <c r="G71" s="11">
        <f t="shared" si="2"/>
        <v>0.13460648147884058</v>
      </c>
      <c r="H71" s="11">
        <f t="shared" si="3"/>
        <v>0.15479166666045785</v>
      </c>
    </row>
    <row r="72" spans="1:8" x14ac:dyDescent="0.25">
      <c r="A72" s="3" t="s">
        <v>671</v>
      </c>
      <c r="B72" s="3" t="s">
        <v>3193</v>
      </c>
      <c r="C72" s="10">
        <v>45660.202824074076</v>
      </c>
      <c r="D72" s="3" t="s">
        <v>672</v>
      </c>
      <c r="E72" s="10">
        <v>45660.205196759263</v>
      </c>
      <c r="F72" s="10">
        <v>45660.293923611112</v>
      </c>
      <c r="G72" s="11">
        <f t="shared" si="2"/>
        <v>2.3726851868559606E-3</v>
      </c>
      <c r="H72" s="11">
        <f t="shared" si="3"/>
        <v>9.1099537035916001E-2</v>
      </c>
    </row>
    <row r="73" spans="1:8" x14ac:dyDescent="0.25">
      <c r="A73" s="3" t="s">
        <v>674</v>
      </c>
      <c r="B73" s="3" t="s">
        <v>3206</v>
      </c>
      <c r="C73" s="10">
        <v>45660.252650462957</v>
      </c>
      <c r="D73" s="3" t="s">
        <v>524</v>
      </c>
      <c r="E73" s="10">
        <v>45660.868831018517</v>
      </c>
      <c r="F73" s="10">
        <v>45660.915590277778</v>
      </c>
      <c r="G73" s="11">
        <f t="shared" si="2"/>
        <v>0.61618055556027684</v>
      </c>
      <c r="H73" s="11">
        <f t="shared" si="3"/>
        <v>0.66293981482158415</v>
      </c>
    </row>
    <row r="74" spans="1:8" x14ac:dyDescent="0.25">
      <c r="A74" s="3" t="s">
        <v>676</v>
      </c>
      <c r="B74" s="3" t="s">
        <v>3199</v>
      </c>
      <c r="C74" s="10">
        <v>45660.254571759258</v>
      </c>
      <c r="D74" s="3" t="s">
        <v>677</v>
      </c>
      <c r="E74" s="10">
        <v>45660.273148148153</v>
      </c>
      <c r="F74" s="10">
        <v>45660.308055555557</v>
      </c>
      <c r="G74" s="11">
        <f t="shared" si="2"/>
        <v>1.8576388894871343E-2</v>
      </c>
      <c r="H74" s="11">
        <f t="shared" si="3"/>
        <v>5.3483796298678499E-2</v>
      </c>
    </row>
    <row r="75" spans="1:8" x14ac:dyDescent="0.25">
      <c r="A75" s="3" t="s">
        <v>679</v>
      </c>
      <c r="B75" s="3" t="s">
        <v>3201</v>
      </c>
      <c r="C75" s="10">
        <v>45660.256331018521</v>
      </c>
      <c r="D75" s="3" t="s">
        <v>648</v>
      </c>
      <c r="E75" s="10">
        <v>45660.297083333331</v>
      </c>
      <c r="F75" s="10">
        <v>45660.372743055559</v>
      </c>
      <c r="G75" s="11">
        <f t="shared" si="2"/>
        <v>4.075231480965158E-2</v>
      </c>
      <c r="H75" s="11">
        <f t="shared" si="3"/>
        <v>0.11641203703766223</v>
      </c>
    </row>
    <row r="76" spans="1:8" x14ac:dyDescent="0.25">
      <c r="A76" s="3" t="s">
        <v>681</v>
      </c>
      <c r="B76" s="3" t="s">
        <v>3203</v>
      </c>
      <c r="C76" s="10">
        <v>45660.257511574076</v>
      </c>
      <c r="D76" s="3" t="s">
        <v>485</v>
      </c>
      <c r="E76" s="10">
        <v>45660.261053240742</v>
      </c>
      <c r="F76" s="10">
        <v>45660.281238425923</v>
      </c>
      <c r="G76" s="11">
        <f t="shared" si="2"/>
        <v>3.5416666651144624E-3</v>
      </c>
      <c r="H76" s="11">
        <f t="shared" si="3"/>
        <v>2.3726851846731734E-2</v>
      </c>
    </row>
    <row r="77" spans="1:8" x14ac:dyDescent="0.25">
      <c r="A77" s="3" t="s">
        <v>683</v>
      </c>
      <c r="B77" s="3" t="s">
        <v>3202</v>
      </c>
      <c r="C77" s="10">
        <v>45660.258900462963</v>
      </c>
      <c r="D77" s="3" t="s">
        <v>684</v>
      </c>
      <c r="E77" s="10">
        <v>45660.918425925927</v>
      </c>
      <c r="F77" s="10">
        <v>45660.93917824074</v>
      </c>
      <c r="G77" s="11">
        <f t="shared" si="2"/>
        <v>0.65952546296466608</v>
      </c>
      <c r="H77" s="11">
        <f t="shared" si="3"/>
        <v>0.68027777777751908</v>
      </c>
    </row>
    <row r="78" spans="1:8" x14ac:dyDescent="0.25">
      <c r="A78" s="3" t="s">
        <v>686</v>
      </c>
      <c r="B78" s="3" t="s">
        <v>3197</v>
      </c>
      <c r="C78" s="10">
        <v>45660.260879629634</v>
      </c>
      <c r="D78" s="3" t="s">
        <v>651</v>
      </c>
      <c r="E78" s="10">
        <v>45660.275636574072</v>
      </c>
      <c r="F78" s="10">
        <v>45660.318333333344</v>
      </c>
      <c r="G78" s="11">
        <f t="shared" si="2"/>
        <v>1.4756944437976927E-2</v>
      </c>
      <c r="H78" s="11">
        <f t="shared" si="3"/>
        <v>5.745370371005265E-2</v>
      </c>
    </row>
    <row r="79" spans="1:8" x14ac:dyDescent="0.25">
      <c r="A79" s="3" t="s">
        <v>688</v>
      </c>
      <c r="B79" s="3" t="s">
        <v>3196</v>
      </c>
      <c r="C79" s="10">
        <v>45660.262789351851</v>
      </c>
      <c r="D79" s="3" t="s">
        <v>689</v>
      </c>
      <c r="E79" s="10">
        <v>45660.855752314812</v>
      </c>
      <c r="F79" s="10">
        <v>45660.876400462963</v>
      </c>
      <c r="G79" s="11">
        <f t="shared" si="2"/>
        <v>0.59296296296088258</v>
      </c>
      <c r="H79" s="11">
        <f t="shared" si="3"/>
        <v>0.61361111111182254</v>
      </c>
    </row>
    <row r="80" spans="1:8" x14ac:dyDescent="0.25">
      <c r="A80" s="3" t="s">
        <v>691</v>
      </c>
      <c r="B80" s="3" t="s">
        <v>3199</v>
      </c>
      <c r="C80" s="10">
        <v>45660.264699074083</v>
      </c>
      <c r="D80" s="3" t="s">
        <v>677</v>
      </c>
      <c r="E80" s="10">
        <v>45660.273148148153</v>
      </c>
      <c r="F80" s="10">
        <v>45660.308055555557</v>
      </c>
      <c r="G80" s="11">
        <f t="shared" si="2"/>
        <v>8.4490740700857714E-3</v>
      </c>
      <c r="H80" s="11">
        <f t="shared" si="3"/>
        <v>4.3356481473892927E-2</v>
      </c>
    </row>
    <row r="81" spans="1:8" x14ac:dyDescent="0.25">
      <c r="A81" s="3" t="s">
        <v>693</v>
      </c>
      <c r="B81" s="3" t="s">
        <v>3204</v>
      </c>
      <c r="C81" s="10">
        <v>45660.266979166663</v>
      </c>
      <c r="D81" s="3" t="s">
        <v>497</v>
      </c>
      <c r="E81" s="10">
        <v>45660.270891203712</v>
      </c>
      <c r="F81" s="10">
        <v>45660.313831018517</v>
      </c>
      <c r="G81" s="11">
        <f t="shared" si="2"/>
        <v>3.9120370493037626E-3</v>
      </c>
      <c r="H81" s="11">
        <f t="shared" si="3"/>
        <v>4.6851851853716653E-2</v>
      </c>
    </row>
    <row r="82" spans="1:8" x14ac:dyDescent="0.25">
      <c r="A82" s="3" t="s">
        <v>695</v>
      </c>
      <c r="B82" s="3" t="s">
        <v>3199</v>
      </c>
      <c r="C82" s="10">
        <v>45660.269108796303</v>
      </c>
      <c r="D82" s="3" t="s">
        <v>677</v>
      </c>
      <c r="E82" s="10">
        <v>45660.273148148153</v>
      </c>
      <c r="F82" s="10">
        <v>45660.308055555557</v>
      </c>
      <c r="G82" s="11">
        <f t="shared" si="2"/>
        <v>4.0393518502241932E-3</v>
      </c>
      <c r="H82" s="11">
        <f t="shared" si="3"/>
        <v>3.8946759254031349E-2</v>
      </c>
    </row>
    <row r="83" spans="1:8" x14ac:dyDescent="0.25">
      <c r="A83" s="3" t="s">
        <v>697</v>
      </c>
      <c r="B83" s="3" t="s">
        <v>3197</v>
      </c>
      <c r="C83" s="10">
        <v>45660.271087962959</v>
      </c>
      <c r="D83" s="3" t="s">
        <v>651</v>
      </c>
      <c r="E83" s="10">
        <v>45660.275636574072</v>
      </c>
      <c r="F83" s="10">
        <v>45660.318333333344</v>
      </c>
      <c r="G83" s="11">
        <f t="shared" si="2"/>
        <v>4.5486111121135764E-3</v>
      </c>
      <c r="H83" s="11">
        <f t="shared" si="3"/>
        <v>4.72453703841893E-2</v>
      </c>
    </row>
    <row r="84" spans="1:8" x14ac:dyDescent="0.25">
      <c r="A84" s="3" t="s">
        <v>699</v>
      </c>
      <c r="B84" s="3" t="s">
        <v>3201</v>
      </c>
      <c r="C84" s="10">
        <v>45660.282523148147</v>
      </c>
      <c r="D84" s="3" t="s">
        <v>648</v>
      </c>
      <c r="E84" s="10">
        <v>45660.297083333331</v>
      </c>
      <c r="F84" s="10">
        <v>45660.372743055559</v>
      </c>
      <c r="G84" s="11">
        <f t="shared" si="2"/>
        <v>1.4560185183654539E-2</v>
      </c>
      <c r="H84" s="11">
        <f t="shared" si="3"/>
        <v>9.021990741166519E-2</v>
      </c>
    </row>
    <row r="85" spans="1:8" x14ac:dyDescent="0.25">
      <c r="A85" s="3" t="s">
        <v>701</v>
      </c>
      <c r="B85" s="3" t="s">
        <v>3196</v>
      </c>
      <c r="C85" s="10">
        <v>45660.31821759259</v>
      </c>
      <c r="D85" s="3" t="s">
        <v>689</v>
      </c>
      <c r="E85" s="10">
        <v>45660.855752314812</v>
      </c>
      <c r="F85" s="10">
        <v>45660.876400462963</v>
      </c>
      <c r="G85" s="11">
        <f t="shared" si="2"/>
        <v>0.53753472222160781</v>
      </c>
      <c r="H85" s="11">
        <f t="shared" si="3"/>
        <v>0.55818287037254777</v>
      </c>
    </row>
    <row r="86" spans="1:8" x14ac:dyDescent="0.25">
      <c r="A86" s="3" t="s">
        <v>703</v>
      </c>
      <c r="B86" s="3" t="s">
        <v>3203</v>
      </c>
      <c r="C86" s="10">
        <v>45660.319386574083</v>
      </c>
      <c r="D86" s="3" t="s">
        <v>704</v>
      </c>
      <c r="E86" s="10">
        <v>45660.919363425928</v>
      </c>
      <c r="F86" s="10">
        <v>45660.947060185194</v>
      </c>
      <c r="G86" s="11">
        <f t="shared" si="2"/>
        <v>0.5999768518449855</v>
      </c>
      <c r="H86" s="11">
        <f t="shared" si="3"/>
        <v>0.62767361111036735</v>
      </c>
    </row>
    <row r="87" spans="1:8" x14ac:dyDescent="0.25">
      <c r="A87" s="3" t="s">
        <v>706</v>
      </c>
      <c r="B87" s="3" t="s">
        <v>3201</v>
      </c>
      <c r="C87" s="10">
        <v>45660.321203703701</v>
      </c>
      <c r="D87" s="3" t="s">
        <v>707</v>
      </c>
      <c r="E87" s="10">
        <v>45664.13721064815</v>
      </c>
      <c r="F87" s="10">
        <v>45664.185648148137</v>
      </c>
      <c r="G87" s="11">
        <f t="shared" si="2"/>
        <v>3.8160069444493274</v>
      </c>
      <c r="H87" s="11">
        <f t="shared" si="3"/>
        <v>3.8644444444362307</v>
      </c>
    </row>
    <row r="88" spans="1:8" x14ac:dyDescent="0.25">
      <c r="A88" s="3" t="s">
        <v>709</v>
      </c>
      <c r="B88" s="3" t="s">
        <v>3193</v>
      </c>
      <c r="C88" s="10">
        <v>45660.322500000002</v>
      </c>
      <c r="D88" s="3" t="s">
        <v>710</v>
      </c>
      <c r="E88" s="10">
        <v>45660.859340277777</v>
      </c>
      <c r="F88" s="10">
        <v>45660.893888888888</v>
      </c>
      <c r="G88" s="11">
        <f t="shared" si="2"/>
        <v>0.53684027777489973</v>
      </c>
      <c r="H88" s="11">
        <f t="shared" si="3"/>
        <v>0.57138888888584916</v>
      </c>
    </row>
    <row r="89" spans="1:8" x14ac:dyDescent="0.25">
      <c r="A89" s="3" t="s">
        <v>712</v>
      </c>
      <c r="B89" s="3" t="s">
        <v>3194</v>
      </c>
      <c r="C89" s="10">
        <v>45660.32471064815</v>
      </c>
      <c r="D89" s="3" t="s">
        <v>564</v>
      </c>
      <c r="E89" s="10">
        <v>45660.328599537039</v>
      </c>
      <c r="F89" s="10">
        <v>45660.363240740742</v>
      </c>
      <c r="G89" s="11">
        <f t="shared" si="2"/>
        <v>3.8888888884685002E-3</v>
      </c>
      <c r="H89" s="11">
        <f t="shared" si="3"/>
        <v>3.853009259182727E-2</v>
      </c>
    </row>
    <row r="90" spans="1:8" x14ac:dyDescent="0.25">
      <c r="A90" s="3" t="s">
        <v>714</v>
      </c>
      <c r="B90" s="3" t="s">
        <v>3197</v>
      </c>
      <c r="C90" s="10">
        <v>45660.326770833337</v>
      </c>
      <c r="D90" s="3" t="s">
        <v>715</v>
      </c>
      <c r="E90" s="10">
        <v>45660.381921296299</v>
      </c>
      <c r="F90" s="10">
        <v>45660.421168981477</v>
      </c>
      <c r="G90" s="11">
        <f t="shared" si="2"/>
        <v>5.5150462962046731E-2</v>
      </c>
      <c r="H90" s="11">
        <f t="shared" si="3"/>
        <v>9.4398148139589466E-2</v>
      </c>
    </row>
    <row r="91" spans="1:8" x14ac:dyDescent="0.25">
      <c r="A91" s="3" t="s">
        <v>717</v>
      </c>
      <c r="B91" s="3" t="s">
        <v>3206</v>
      </c>
      <c r="C91" s="10">
        <v>45660.328379629631</v>
      </c>
      <c r="D91" s="3" t="s">
        <v>524</v>
      </c>
      <c r="E91" s="10">
        <v>45660.868831018517</v>
      </c>
      <c r="F91" s="10">
        <v>45660.915590277778</v>
      </c>
      <c r="G91" s="11">
        <f t="shared" si="2"/>
        <v>0.54045138888614019</v>
      </c>
      <c r="H91" s="11">
        <f t="shared" si="3"/>
        <v>0.5872106481474475</v>
      </c>
    </row>
    <row r="92" spans="1:8" x14ac:dyDescent="0.25">
      <c r="A92" s="3" t="s">
        <v>719</v>
      </c>
      <c r="B92" s="3" t="s">
        <v>3199</v>
      </c>
      <c r="C92" s="10">
        <v>45660.331689814811</v>
      </c>
      <c r="D92" s="3" t="s">
        <v>720</v>
      </c>
      <c r="E92" s="10">
        <v>45660.333865740737</v>
      </c>
      <c r="F92" s="10">
        <v>45660.381099537037</v>
      </c>
      <c r="G92" s="11">
        <f t="shared" si="2"/>
        <v>2.1759259252576157E-3</v>
      </c>
      <c r="H92" s="11">
        <f t="shared" si="3"/>
        <v>4.9409722225391306E-2</v>
      </c>
    </row>
    <row r="93" spans="1:8" x14ac:dyDescent="0.25">
      <c r="A93" s="3" t="s">
        <v>722</v>
      </c>
      <c r="B93" s="3" t="s">
        <v>3204</v>
      </c>
      <c r="C93" s="10">
        <v>45660.343877314823</v>
      </c>
      <c r="D93" s="3" t="s">
        <v>723</v>
      </c>
      <c r="E93" s="10">
        <v>45660.365474537037</v>
      </c>
      <c r="F93" s="10">
        <v>45660.437442129631</v>
      </c>
      <c r="G93" s="11">
        <f t="shared" si="2"/>
        <v>2.1597222214040812E-2</v>
      </c>
      <c r="H93" s="11">
        <f t="shared" si="3"/>
        <v>9.356481480790535E-2</v>
      </c>
    </row>
    <row r="94" spans="1:8" x14ac:dyDescent="0.25">
      <c r="A94" s="3" t="s">
        <v>725</v>
      </c>
      <c r="B94" s="3" t="s">
        <v>3195</v>
      </c>
      <c r="C94" s="10">
        <v>45660.376111111109</v>
      </c>
      <c r="D94" s="3" t="s">
        <v>573</v>
      </c>
      <c r="E94" s="10">
        <v>45660.38003472222</v>
      </c>
      <c r="F94" s="10">
        <v>45660.422280092593</v>
      </c>
      <c r="G94" s="11">
        <f t="shared" si="2"/>
        <v>3.9236111115314998E-3</v>
      </c>
      <c r="H94" s="11">
        <f t="shared" si="3"/>
        <v>4.616898148378823E-2</v>
      </c>
    </row>
    <row r="95" spans="1:8" x14ac:dyDescent="0.25">
      <c r="A95" s="3" t="s">
        <v>727</v>
      </c>
      <c r="B95" s="3" t="s">
        <v>3197</v>
      </c>
      <c r="C95" s="10">
        <v>45660.378368055557</v>
      </c>
      <c r="D95" s="3" t="s">
        <v>715</v>
      </c>
      <c r="E95" s="10">
        <v>45660.381921296299</v>
      </c>
      <c r="F95" s="10">
        <v>45660.421168981477</v>
      </c>
      <c r="G95" s="11">
        <f t="shared" si="2"/>
        <v>3.5532407418941148E-3</v>
      </c>
      <c r="H95" s="11">
        <f t="shared" si="3"/>
        <v>4.280092591943685E-2</v>
      </c>
    </row>
    <row r="96" spans="1:8" x14ac:dyDescent="0.25">
      <c r="A96" s="3" t="s">
        <v>729</v>
      </c>
      <c r="B96" s="3" t="s">
        <v>3199</v>
      </c>
      <c r="C96" s="10">
        <v>45660.452002314807</v>
      </c>
      <c r="D96" s="3" t="s">
        <v>730</v>
      </c>
      <c r="E96" s="10">
        <v>45660.454398148147</v>
      </c>
      <c r="F96" s="10">
        <v>45660.502511574072</v>
      </c>
      <c r="G96" s="11">
        <f t="shared" si="2"/>
        <v>2.3958333404152654E-3</v>
      </c>
      <c r="H96" s="11">
        <f t="shared" si="3"/>
        <v>5.0509259264799766E-2</v>
      </c>
    </row>
    <row r="97" spans="1:8" x14ac:dyDescent="0.25">
      <c r="A97" s="3" t="s">
        <v>732</v>
      </c>
      <c r="B97" s="3" t="s">
        <v>3204</v>
      </c>
      <c r="C97" s="10">
        <v>45660.454039351847</v>
      </c>
      <c r="D97" s="3" t="s">
        <v>733</v>
      </c>
      <c r="E97" s="10">
        <v>45664.365104166667</v>
      </c>
      <c r="F97" s="10">
        <v>45664.437951388893</v>
      </c>
      <c r="G97" s="11">
        <f t="shared" si="2"/>
        <v>3.9110648148198379</v>
      </c>
      <c r="H97" s="11">
        <f t="shared" si="3"/>
        <v>3.9839120370452292</v>
      </c>
    </row>
    <row r="98" spans="1:8" x14ac:dyDescent="0.25">
      <c r="A98" s="3" t="s">
        <v>735</v>
      </c>
      <c r="B98" s="3" t="s">
        <v>3195</v>
      </c>
      <c r="C98" s="10">
        <v>45660.456076388888</v>
      </c>
      <c r="D98" s="3" t="s">
        <v>736</v>
      </c>
      <c r="E98" s="10">
        <v>45660.458472222221</v>
      </c>
      <c r="F98" s="10">
        <v>45660.485671296286</v>
      </c>
      <c r="G98" s="11">
        <f t="shared" si="2"/>
        <v>2.3958333331393078E-3</v>
      </c>
      <c r="H98" s="11">
        <f t="shared" si="3"/>
        <v>2.9594907398859505E-2</v>
      </c>
    </row>
    <row r="99" spans="1:8" x14ac:dyDescent="0.25">
      <c r="A99" s="3" t="s">
        <v>738</v>
      </c>
      <c r="B99" s="3" t="s">
        <v>3199</v>
      </c>
      <c r="C99" s="10">
        <v>45660.551423611112</v>
      </c>
      <c r="D99" s="3" t="s">
        <v>739</v>
      </c>
      <c r="E99" s="10">
        <v>45660.553784722222</v>
      </c>
      <c r="F99" s="10">
        <v>45660.603958333333</v>
      </c>
      <c r="G99" s="11">
        <f t="shared" si="2"/>
        <v>2.3611111100763083E-3</v>
      </c>
      <c r="H99" s="11">
        <f t="shared" si="3"/>
        <v>5.2534722221025731E-2</v>
      </c>
    </row>
    <row r="100" spans="1:8" x14ac:dyDescent="0.25">
      <c r="A100" s="3" t="s">
        <v>741</v>
      </c>
      <c r="B100" s="3" t="s">
        <v>3195</v>
      </c>
      <c r="C100" s="10">
        <v>45660.604270833333</v>
      </c>
      <c r="D100" s="3" t="s">
        <v>742</v>
      </c>
      <c r="E100" s="10">
        <v>45660.672071759262</v>
      </c>
      <c r="F100" s="10">
        <v>45660.696458333332</v>
      </c>
      <c r="G100" s="11">
        <f t="shared" si="2"/>
        <v>6.7800925928167999E-2</v>
      </c>
      <c r="H100" s="11">
        <f t="shared" si="3"/>
        <v>9.2187499998544808E-2</v>
      </c>
    </row>
    <row r="101" spans="1:8" x14ac:dyDescent="0.25">
      <c r="A101" s="3" t="s">
        <v>744</v>
      </c>
      <c r="B101" s="3" t="s">
        <v>3197</v>
      </c>
      <c r="C101" s="10">
        <v>45660.648298611108</v>
      </c>
      <c r="D101" s="3" t="s">
        <v>745</v>
      </c>
      <c r="E101" s="10">
        <v>45660.864085648151</v>
      </c>
      <c r="F101" s="10">
        <v>45660.901932870373</v>
      </c>
      <c r="G101" s="11">
        <f t="shared" si="2"/>
        <v>0.21578703704290092</v>
      </c>
      <c r="H101" s="11">
        <f t="shared" si="3"/>
        <v>0.25363425926479977</v>
      </c>
    </row>
    <row r="102" spans="1:8" x14ac:dyDescent="0.25">
      <c r="A102" s="3" t="s">
        <v>747</v>
      </c>
      <c r="B102" s="3" t="s">
        <v>3199</v>
      </c>
      <c r="C102" s="10">
        <v>45660.650555555563</v>
      </c>
      <c r="D102" s="3" t="s">
        <v>748</v>
      </c>
      <c r="E102" s="10">
        <v>45660.652939814812</v>
      </c>
      <c r="F102" s="10">
        <v>45660.68304398148</v>
      </c>
      <c r="G102" s="11">
        <f t="shared" si="2"/>
        <v>2.3842592490836978E-3</v>
      </c>
      <c r="H102" s="11">
        <f t="shared" si="3"/>
        <v>3.2488425917108543E-2</v>
      </c>
    </row>
    <row r="103" spans="1:8" x14ac:dyDescent="0.25">
      <c r="A103" s="3" t="s">
        <v>750</v>
      </c>
      <c r="B103" s="3" t="s">
        <v>3193</v>
      </c>
      <c r="C103" s="10">
        <v>45660.651863425926</v>
      </c>
      <c r="D103" s="3" t="s">
        <v>710</v>
      </c>
      <c r="E103" s="10">
        <v>45660.859340277777</v>
      </c>
      <c r="F103" s="10">
        <v>45660.893888888888</v>
      </c>
      <c r="G103" s="11">
        <f t="shared" si="2"/>
        <v>0.20747685185051523</v>
      </c>
      <c r="H103" s="11">
        <f t="shared" si="3"/>
        <v>0.24202546296146465</v>
      </c>
    </row>
    <row r="104" spans="1:8" x14ac:dyDescent="0.25">
      <c r="A104" s="3" t="s">
        <v>752</v>
      </c>
      <c r="B104" s="3" t="s">
        <v>3197</v>
      </c>
      <c r="C104" s="10">
        <v>45660.653819444437</v>
      </c>
      <c r="D104" s="3" t="s">
        <v>745</v>
      </c>
      <c r="E104" s="10">
        <v>45660.864085648151</v>
      </c>
      <c r="F104" s="10">
        <v>45660.901932870373</v>
      </c>
      <c r="G104" s="11">
        <f t="shared" si="2"/>
        <v>0.21026620371412719</v>
      </c>
      <c r="H104" s="11">
        <f t="shared" si="3"/>
        <v>0.24811342593602603</v>
      </c>
    </row>
    <row r="105" spans="1:8" x14ac:dyDescent="0.25">
      <c r="A105" s="3" t="s">
        <v>754</v>
      </c>
      <c r="B105" s="3" t="s">
        <v>3202</v>
      </c>
      <c r="C105" s="10">
        <v>45660.655219907407</v>
      </c>
      <c r="D105" s="3" t="s">
        <v>684</v>
      </c>
      <c r="E105" s="10">
        <v>45660.918425925927</v>
      </c>
      <c r="F105" s="10">
        <v>45660.93917824074</v>
      </c>
      <c r="G105" s="11">
        <f t="shared" si="2"/>
        <v>0.26320601852057735</v>
      </c>
      <c r="H105" s="11">
        <f t="shared" si="3"/>
        <v>0.28395833333343035</v>
      </c>
    </row>
    <row r="106" spans="1:8" x14ac:dyDescent="0.25">
      <c r="A106" s="3" t="s">
        <v>756</v>
      </c>
      <c r="B106" s="3" t="s">
        <v>3194</v>
      </c>
      <c r="C106" s="10">
        <v>45660.657175925917</v>
      </c>
      <c r="D106" s="3" t="s">
        <v>757</v>
      </c>
      <c r="E106" s="10">
        <v>45665.646631944437</v>
      </c>
      <c r="F106" s="10">
        <v>45665.673414351862</v>
      </c>
      <c r="G106" s="11">
        <f t="shared" si="2"/>
        <v>4.9894560185202863</v>
      </c>
      <c r="H106" s="11">
        <f t="shared" si="3"/>
        <v>5.0162384259456303</v>
      </c>
    </row>
    <row r="107" spans="1:8" x14ac:dyDescent="0.25">
      <c r="A107" s="3" t="s">
        <v>759</v>
      </c>
      <c r="B107" s="3" t="s">
        <v>3196</v>
      </c>
      <c r="C107" s="10">
        <v>45660.659097222233</v>
      </c>
      <c r="D107" s="3" t="s">
        <v>689</v>
      </c>
      <c r="E107" s="10">
        <v>45660.855752314812</v>
      </c>
      <c r="F107" s="10">
        <v>45660.876400462963</v>
      </c>
      <c r="G107" s="11">
        <f t="shared" si="2"/>
        <v>0.19665509257902158</v>
      </c>
      <c r="H107" s="11">
        <f t="shared" si="3"/>
        <v>0.21730324072996154</v>
      </c>
    </row>
    <row r="108" spans="1:8" x14ac:dyDescent="0.25">
      <c r="A108" s="3" t="s">
        <v>761</v>
      </c>
      <c r="B108" s="3" t="s">
        <v>3205</v>
      </c>
      <c r="C108" s="10">
        <v>45660.660393518519</v>
      </c>
      <c r="D108" s="3" t="s">
        <v>540</v>
      </c>
      <c r="E108" s="10">
        <v>45660.667731481481</v>
      </c>
      <c r="F108" s="10">
        <v>45660.690150462957</v>
      </c>
      <c r="G108" s="11">
        <f t="shared" si="2"/>
        <v>7.3379629611736163E-3</v>
      </c>
      <c r="H108" s="11">
        <f t="shared" si="3"/>
        <v>2.975694443739485E-2</v>
      </c>
    </row>
    <row r="109" spans="1:8" x14ac:dyDescent="0.25">
      <c r="A109" s="3" t="s">
        <v>763</v>
      </c>
      <c r="B109" s="3" t="s">
        <v>3204</v>
      </c>
      <c r="C109" s="10">
        <v>45660.662418981483</v>
      </c>
      <c r="D109" s="3" t="s">
        <v>733</v>
      </c>
      <c r="E109" s="10">
        <v>45664.365104166667</v>
      </c>
      <c r="F109" s="10">
        <v>45664.437951388893</v>
      </c>
      <c r="G109" s="11">
        <f t="shared" si="2"/>
        <v>3.7026851851842366</v>
      </c>
      <c r="H109" s="11">
        <f t="shared" si="3"/>
        <v>3.7755324074096279</v>
      </c>
    </row>
    <row r="110" spans="1:8" x14ac:dyDescent="0.25">
      <c r="A110" s="3" t="s">
        <v>765</v>
      </c>
      <c r="B110" s="3" t="s">
        <v>3205</v>
      </c>
      <c r="C110" s="10">
        <v>45660.663807870369</v>
      </c>
      <c r="D110" s="3" t="s">
        <v>540</v>
      </c>
      <c r="E110" s="10">
        <v>45660.667731481481</v>
      </c>
      <c r="F110" s="10">
        <v>45660.690150462957</v>
      </c>
      <c r="G110" s="11">
        <f t="shared" si="2"/>
        <v>3.9236111115314998E-3</v>
      </c>
      <c r="H110" s="11">
        <f t="shared" si="3"/>
        <v>2.6342592587752733E-2</v>
      </c>
    </row>
    <row r="111" spans="1:8" x14ac:dyDescent="0.25">
      <c r="A111" s="3" t="s">
        <v>767</v>
      </c>
      <c r="B111" s="3" t="s">
        <v>3201</v>
      </c>
      <c r="C111" s="10">
        <v>45660.665567129632</v>
      </c>
      <c r="D111" s="3" t="s">
        <v>707</v>
      </c>
      <c r="E111" s="10">
        <v>45664.13721064815</v>
      </c>
      <c r="F111" s="10">
        <v>45664.185648148137</v>
      </c>
      <c r="G111" s="11">
        <f t="shared" si="2"/>
        <v>3.471643518518249</v>
      </c>
      <c r="H111" s="11">
        <f t="shared" si="3"/>
        <v>3.5200810185051523</v>
      </c>
    </row>
    <row r="112" spans="1:8" x14ac:dyDescent="0.25">
      <c r="A112" s="3" t="s">
        <v>769</v>
      </c>
      <c r="B112" s="3" t="s">
        <v>3195</v>
      </c>
      <c r="C112" s="10">
        <v>45660.66851851852</v>
      </c>
      <c r="D112" s="3" t="s">
        <v>742</v>
      </c>
      <c r="E112" s="10">
        <v>45660.672071759262</v>
      </c>
      <c r="F112" s="10">
        <v>45660.696458333332</v>
      </c>
      <c r="G112" s="11">
        <f t="shared" si="2"/>
        <v>3.5532407418941148E-3</v>
      </c>
      <c r="H112" s="11">
        <f t="shared" si="3"/>
        <v>2.7939814812270924E-2</v>
      </c>
    </row>
    <row r="113" spans="1:8" x14ac:dyDescent="0.25">
      <c r="A113" s="3" t="s">
        <v>771</v>
      </c>
      <c r="B113" s="3" t="s">
        <v>3199</v>
      </c>
      <c r="C113" s="10">
        <v>45660.726909722223</v>
      </c>
      <c r="D113" s="3" t="s">
        <v>772</v>
      </c>
      <c r="E113" s="10">
        <v>45660.729305555556</v>
      </c>
      <c r="F113" s="10">
        <v>45660.779606481483</v>
      </c>
      <c r="G113" s="11">
        <f t="shared" si="2"/>
        <v>2.3958333331393078E-3</v>
      </c>
      <c r="H113" s="11">
        <f t="shared" si="3"/>
        <v>5.2696759259561077E-2</v>
      </c>
    </row>
    <row r="114" spans="1:8" x14ac:dyDescent="0.25">
      <c r="A114" s="3" t="s">
        <v>774</v>
      </c>
      <c r="B114" s="3" t="s">
        <v>3196</v>
      </c>
      <c r="C114" s="10">
        <v>45660.852210648147</v>
      </c>
      <c r="D114" s="3" t="s">
        <v>689</v>
      </c>
      <c r="E114" s="10">
        <v>45660.855752314812</v>
      </c>
      <c r="F114" s="10">
        <v>45660.876400462963</v>
      </c>
      <c r="G114" s="11">
        <f t="shared" si="2"/>
        <v>3.5416666651144624E-3</v>
      </c>
      <c r="H114" s="11">
        <f t="shared" si="3"/>
        <v>2.4189814816054422E-2</v>
      </c>
    </row>
    <row r="115" spans="1:8" x14ac:dyDescent="0.25">
      <c r="A115" s="3" t="s">
        <v>776</v>
      </c>
      <c r="B115" s="3" t="s">
        <v>3194</v>
      </c>
      <c r="C115" s="10">
        <v>45660.854027777779</v>
      </c>
      <c r="D115" s="3" t="s">
        <v>757</v>
      </c>
      <c r="E115" s="10">
        <v>45665.646631944437</v>
      </c>
      <c r="F115" s="10">
        <v>45665.673414351862</v>
      </c>
      <c r="G115" s="11">
        <f t="shared" si="2"/>
        <v>4.7926041666578385</v>
      </c>
      <c r="H115" s="11">
        <f t="shared" si="3"/>
        <v>4.8193865740831825</v>
      </c>
    </row>
    <row r="116" spans="1:8" x14ac:dyDescent="0.25">
      <c r="A116" s="3" t="s">
        <v>778</v>
      </c>
      <c r="B116" s="3" t="s">
        <v>3193</v>
      </c>
      <c r="C116" s="10">
        <v>45660.855439814812</v>
      </c>
      <c r="D116" s="3" t="s">
        <v>710</v>
      </c>
      <c r="E116" s="10">
        <v>45660.859340277777</v>
      </c>
      <c r="F116" s="10">
        <v>45660.893888888888</v>
      </c>
      <c r="G116" s="11">
        <f t="shared" si="2"/>
        <v>3.9004629652481526E-3</v>
      </c>
      <c r="H116" s="11">
        <f t="shared" si="3"/>
        <v>3.8449074076197576E-2</v>
      </c>
    </row>
    <row r="117" spans="1:8" x14ac:dyDescent="0.25">
      <c r="A117" s="3" t="s">
        <v>780</v>
      </c>
      <c r="B117" s="3" t="s">
        <v>3199</v>
      </c>
      <c r="C117" s="10">
        <v>45660.857349537036</v>
      </c>
      <c r="D117" s="3" t="s">
        <v>781</v>
      </c>
      <c r="E117" s="10">
        <v>45660.864988425928</v>
      </c>
      <c r="F117" s="10">
        <v>45660.910729166673</v>
      </c>
      <c r="G117" s="11">
        <f t="shared" si="2"/>
        <v>7.6388888919609599E-3</v>
      </c>
      <c r="H117" s="11">
        <f t="shared" si="3"/>
        <v>5.3379629636765458E-2</v>
      </c>
    </row>
    <row r="118" spans="1:8" x14ac:dyDescent="0.25">
      <c r="A118" s="3" t="s">
        <v>783</v>
      </c>
      <c r="B118" s="3" t="s">
        <v>3197</v>
      </c>
      <c r="C118" s="10">
        <v>45660.859456018523</v>
      </c>
      <c r="D118" s="3" t="s">
        <v>745</v>
      </c>
      <c r="E118" s="10">
        <v>45660.864085648151</v>
      </c>
      <c r="F118" s="10">
        <v>45660.901932870373</v>
      </c>
      <c r="G118" s="11">
        <f t="shared" si="2"/>
        <v>4.6296296277432702E-3</v>
      </c>
      <c r="H118" s="11">
        <f t="shared" si="3"/>
        <v>4.2476851849642117E-2</v>
      </c>
    </row>
    <row r="119" spans="1:8" x14ac:dyDescent="0.25">
      <c r="A119" s="3" t="s">
        <v>785</v>
      </c>
      <c r="B119" s="3" t="s">
        <v>3199</v>
      </c>
      <c r="C119" s="10">
        <v>45660.861435185187</v>
      </c>
      <c r="D119" s="3" t="s">
        <v>781</v>
      </c>
      <c r="E119" s="10">
        <v>45660.864988425928</v>
      </c>
      <c r="F119" s="10">
        <v>45660.910729166673</v>
      </c>
      <c r="G119" s="11">
        <f t="shared" si="2"/>
        <v>3.5532407418941148E-3</v>
      </c>
      <c r="H119" s="11">
        <f t="shared" si="3"/>
        <v>4.9293981486698613E-2</v>
      </c>
    </row>
    <row r="120" spans="1:8" x14ac:dyDescent="0.25">
      <c r="A120" s="3" t="s">
        <v>787</v>
      </c>
      <c r="B120" s="3" t="s">
        <v>3206</v>
      </c>
      <c r="C120" s="10">
        <v>45660.862951388888</v>
      </c>
      <c r="D120" s="3" t="s">
        <v>524</v>
      </c>
      <c r="E120" s="10">
        <v>45660.868831018517</v>
      </c>
      <c r="F120" s="10">
        <v>45660.915590277778</v>
      </c>
      <c r="G120" s="11">
        <f t="shared" si="2"/>
        <v>5.8796296289074235E-3</v>
      </c>
      <c r="H120" s="11">
        <f t="shared" si="3"/>
        <v>5.263888889021473E-2</v>
      </c>
    </row>
    <row r="121" spans="1:8" x14ac:dyDescent="0.25">
      <c r="A121" s="3" t="s">
        <v>789</v>
      </c>
      <c r="B121" s="3" t="s">
        <v>3202</v>
      </c>
      <c r="C121" s="10">
        <v>45660.864201388889</v>
      </c>
      <c r="D121" s="3" t="s">
        <v>684</v>
      </c>
      <c r="E121" s="10">
        <v>45660.918425925927</v>
      </c>
      <c r="F121" s="10">
        <v>45660.93917824074</v>
      </c>
      <c r="G121" s="11">
        <f t="shared" si="2"/>
        <v>5.4224537037953269E-2</v>
      </c>
      <c r="H121" s="11">
        <f t="shared" si="3"/>
        <v>7.497685185080627E-2</v>
      </c>
    </row>
    <row r="122" spans="1:8" x14ac:dyDescent="0.25">
      <c r="A122" s="3" t="s">
        <v>791</v>
      </c>
      <c r="B122" s="3" t="s">
        <v>3195</v>
      </c>
      <c r="C122" s="10">
        <v>45660.895590277767</v>
      </c>
      <c r="D122" s="3" t="s">
        <v>792</v>
      </c>
      <c r="E122" s="10">
        <v>45664.754826388889</v>
      </c>
      <c r="F122" s="10">
        <v>45664.780775462961</v>
      </c>
      <c r="G122" s="11">
        <f t="shared" si="2"/>
        <v>3.8592361111222999</v>
      </c>
      <c r="H122" s="11">
        <f t="shared" si="3"/>
        <v>3.8851851851941319</v>
      </c>
    </row>
    <row r="123" spans="1:8" x14ac:dyDescent="0.25">
      <c r="A123" s="3" t="s">
        <v>794</v>
      </c>
      <c r="B123" s="3" t="s">
        <v>3197</v>
      </c>
      <c r="C123" s="10">
        <v>45660.897638888891</v>
      </c>
      <c r="D123" s="3" t="s">
        <v>795</v>
      </c>
      <c r="E123" s="10">
        <v>45662.751192129632</v>
      </c>
      <c r="F123" s="10">
        <v>45662.822500000002</v>
      </c>
      <c r="G123" s="11">
        <f t="shared" si="2"/>
        <v>1.8535532407404389</v>
      </c>
      <c r="H123" s="11">
        <f t="shared" si="3"/>
        <v>1.9248611111106584</v>
      </c>
    </row>
    <row r="124" spans="1:8" x14ac:dyDescent="0.25">
      <c r="A124" s="3" t="s">
        <v>797</v>
      </c>
      <c r="B124" s="3" t="s">
        <v>3199</v>
      </c>
      <c r="C124" s="10">
        <v>45660.899513888893</v>
      </c>
      <c r="D124" s="3" t="s">
        <v>798</v>
      </c>
      <c r="E124" s="10">
        <v>45664.328182870369</v>
      </c>
      <c r="F124" s="10">
        <v>45664.360960648148</v>
      </c>
      <c r="G124" s="11">
        <f t="shared" si="2"/>
        <v>3.4286689814762212</v>
      </c>
      <c r="H124" s="11">
        <f t="shared" si="3"/>
        <v>3.4614467592546134</v>
      </c>
    </row>
    <row r="125" spans="1:8" x14ac:dyDescent="0.25">
      <c r="A125" s="3" t="s">
        <v>800</v>
      </c>
      <c r="B125" s="3" t="s">
        <v>3197</v>
      </c>
      <c r="C125" s="10">
        <v>45660.901585648149</v>
      </c>
      <c r="D125" s="3" t="s">
        <v>795</v>
      </c>
      <c r="E125" s="10">
        <v>45662.751192129632</v>
      </c>
      <c r="F125" s="10">
        <v>45662.822500000002</v>
      </c>
      <c r="G125" s="11">
        <f t="shared" si="2"/>
        <v>1.8496064814826241</v>
      </c>
      <c r="H125" s="11">
        <f t="shared" si="3"/>
        <v>1.9209143518528435</v>
      </c>
    </row>
    <row r="126" spans="1:8" x14ac:dyDescent="0.25">
      <c r="A126" s="3" t="s">
        <v>802</v>
      </c>
      <c r="B126" s="3" t="s">
        <v>3205</v>
      </c>
      <c r="C126" s="10">
        <v>45660.90283564815</v>
      </c>
      <c r="D126" s="3" t="s">
        <v>803</v>
      </c>
      <c r="E126" s="10">
        <v>45664.334791666668</v>
      </c>
      <c r="F126" s="10">
        <v>45664.405046296299</v>
      </c>
      <c r="G126" s="11">
        <f t="shared" si="2"/>
        <v>3.431956018517667</v>
      </c>
      <c r="H126" s="11">
        <f t="shared" si="3"/>
        <v>3.5022106481483206</v>
      </c>
    </row>
    <row r="127" spans="1:8" x14ac:dyDescent="0.25">
      <c r="A127" s="3" t="s">
        <v>805</v>
      </c>
      <c r="B127" s="3" t="s">
        <v>3205</v>
      </c>
      <c r="C127" s="10">
        <v>45660.904247685183</v>
      </c>
      <c r="D127" s="3" t="s">
        <v>803</v>
      </c>
      <c r="E127" s="10">
        <v>45664.334791666668</v>
      </c>
      <c r="F127" s="10">
        <v>45664.405046296299</v>
      </c>
      <c r="G127" s="11">
        <f t="shared" si="2"/>
        <v>3.4305439814852434</v>
      </c>
      <c r="H127" s="11">
        <f t="shared" si="3"/>
        <v>3.5007986111158971</v>
      </c>
    </row>
    <row r="128" spans="1:8" x14ac:dyDescent="0.25">
      <c r="A128" s="3" t="s">
        <v>807</v>
      </c>
      <c r="B128" s="3" t="s">
        <v>3202</v>
      </c>
      <c r="C128" s="10">
        <v>45660.905601851853</v>
      </c>
      <c r="D128" s="3" t="s">
        <v>684</v>
      </c>
      <c r="E128" s="10">
        <v>45660.918425925927</v>
      </c>
      <c r="F128" s="10">
        <v>45660.93917824074</v>
      </c>
      <c r="G128" s="11">
        <f t="shared" si="2"/>
        <v>1.2824074074160308E-2</v>
      </c>
      <c r="H128" s="11">
        <f t="shared" si="3"/>
        <v>3.3576388887013309E-2</v>
      </c>
    </row>
    <row r="129" spans="1:8" x14ac:dyDescent="0.25">
      <c r="A129" s="3" t="s">
        <v>809</v>
      </c>
      <c r="B129" s="3" t="s">
        <v>3201</v>
      </c>
      <c r="C129" s="10">
        <v>45660.907430555562</v>
      </c>
      <c r="D129" s="3" t="s">
        <v>707</v>
      </c>
      <c r="E129" s="10">
        <v>45664.13721064815</v>
      </c>
      <c r="F129" s="10">
        <v>45664.185648148137</v>
      </c>
      <c r="G129" s="11">
        <f t="shared" si="2"/>
        <v>3.2297800925880438</v>
      </c>
      <c r="H129" s="11">
        <f t="shared" si="3"/>
        <v>3.278217592574947</v>
      </c>
    </row>
    <row r="130" spans="1:8" x14ac:dyDescent="0.25">
      <c r="A130" s="3" t="s">
        <v>811</v>
      </c>
      <c r="B130" s="3" t="s">
        <v>3194</v>
      </c>
      <c r="C130" s="10">
        <v>45660.909375000003</v>
      </c>
      <c r="D130" s="3" t="s">
        <v>757</v>
      </c>
      <c r="E130" s="10">
        <v>45665.646631944437</v>
      </c>
      <c r="F130" s="10">
        <v>45665.673414351862</v>
      </c>
      <c r="G130" s="11">
        <f t="shared" ref="G130:G193" si="4">IF(AND(ISNUMBER(C130),ISNUMBER(E130)),(E130-C130),"")</f>
        <v>4.7372569444341934</v>
      </c>
      <c r="H130" s="11">
        <f t="shared" ref="H130:H193" si="5">IF(AND(ISNUMBER(C130),ISNUMBER(F130)),(F130-C130),"")</f>
        <v>4.7640393518595374</v>
      </c>
    </row>
    <row r="131" spans="1:8" x14ac:dyDescent="0.25">
      <c r="A131" s="3" t="s">
        <v>813</v>
      </c>
      <c r="B131" s="3" t="s">
        <v>3203</v>
      </c>
      <c r="C131" s="10">
        <v>45660.910717592589</v>
      </c>
      <c r="D131" s="3" t="s">
        <v>704</v>
      </c>
      <c r="E131" s="10">
        <v>45660.919363425928</v>
      </c>
      <c r="F131" s="10">
        <v>45660.947060185194</v>
      </c>
      <c r="G131" s="11">
        <f t="shared" si="4"/>
        <v>8.6458333389600739E-3</v>
      </c>
      <c r="H131" s="11">
        <f t="shared" si="5"/>
        <v>3.6342592604341917E-2</v>
      </c>
    </row>
    <row r="132" spans="1:8" x14ac:dyDescent="0.25">
      <c r="A132" s="3" t="s">
        <v>815</v>
      </c>
      <c r="B132" s="3" t="s">
        <v>3202</v>
      </c>
      <c r="C132" s="10">
        <v>45660.912129629629</v>
      </c>
      <c r="D132" s="3" t="s">
        <v>684</v>
      </c>
      <c r="E132" s="10">
        <v>45660.918425925927</v>
      </c>
      <c r="F132" s="10">
        <v>45660.93917824074</v>
      </c>
      <c r="G132" s="11">
        <f t="shared" si="4"/>
        <v>6.2962962983874604E-3</v>
      </c>
      <c r="H132" s="11">
        <f t="shared" si="5"/>
        <v>2.7048611111240461E-2</v>
      </c>
    </row>
    <row r="133" spans="1:8" x14ac:dyDescent="0.25">
      <c r="A133" s="3" t="s">
        <v>817</v>
      </c>
      <c r="B133" s="3" t="s">
        <v>3203</v>
      </c>
      <c r="C133" s="10">
        <v>45660.913275462961</v>
      </c>
      <c r="D133" s="3" t="s">
        <v>704</v>
      </c>
      <c r="E133" s="10">
        <v>45660.919363425928</v>
      </c>
      <c r="F133" s="10">
        <v>45660.947060185194</v>
      </c>
      <c r="G133" s="11">
        <f t="shared" si="4"/>
        <v>6.0879629672854207E-3</v>
      </c>
      <c r="H133" s="11">
        <f t="shared" si="5"/>
        <v>3.3784722232667264E-2</v>
      </c>
    </row>
    <row r="134" spans="1:8" x14ac:dyDescent="0.25">
      <c r="A134" s="3" t="s">
        <v>819</v>
      </c>
      <c r="B134" s="3" t="s">
        <v>3203</v>
      </c>
      <c r="C134" s="10">
        <v>45661.247025462973</v>
      </c>
      <c r="D134" s="3" t="s">
        <v>820</v>
      </c>
      <c r="E134" s="10">
        <v>45661.249398148153</v>
      </c>
      <c r="F134" s="10">
        <v>45661.289467592593</v>
      </c>
      <c r="G134" s="11">
        <f t="shared" si="4"/>
        <v>2.372685179580003E-3</v>
      </c>
      <c r="H134" s="11">
        <f t="shared" si="5"/>
        <v>4.2442129619303159E-2</v>
      </c>
    </row>
    <row r="135" spans="1:8" x14ac:dyDescent="0.25">
      <c r="A135" s="3" t="s">
        <v>822</v>
      </c>
      <c r="B135" s="3" t="s">
        <v>3193</v>
      </c>
      <c r="C135" s="10">
        <v>45661.248310185183</v>
      </c>
      <c r="D135" s="3" t="s">
        <v>823</v>
      </c>
      <c r="E135" s="10">
        <v>45662.752662037034</v>
      </c>
      <c r="F135" s="10">
        <v>45662.774722222217</v>
      </c>
      <c r="G135" s="11">
        <f t="shared" si="4"/>
        <v>1.5043518518505152</v>
      </c>
      <c r="H135" s="11">
        <f t="shared" si="5"/>
        <v>1.5264120370338787</v>
      </c>
    </row>
    <row r="136" spans="1:8" x14ac:dyDescent="0.25">
      <c r="A136" s="3" t="s">
        <v>825</v>
      </c>
      <c r="B136" s="3" t="s">
        <v>3197</v>
      </c>
      <c r="C136" s="10">
        <v>45661.250358796293</v>
      </c>
      <c r="D136" s="3" t="s">
        <v>795</v>
      </c>
      <c r="E136" s="10">
        <v>45662.751192129632</v>
      </c>
      <c r="F136" s="10">
        <v>45662.822500000002</v>
      </c>
      <c r="G136" s="11">
        <f t="shared" si="4"/>
        <v>1.5008333333389601</v>
      </c>
      <c r="H136" s="11">
        <f t="shared" si="5"/>
        <v>1.5721412037091795</v>
      </c>
    </row>
    <row r="137" spans="1:8" x14ac:dyDescent="0.25">
      <c r="A137" s="3" t="s">
        <v>827</v>
      </c>
      <c r="B137" s="3" t="s">
        <v>3203</v>
      </c>
      <c r="C137" s="10">
        <v>45662.744618055563</v>
      </c>
      <c r="D137" s="3" t="s">
        <v>828</v>
      </c>
      <c r="E137" s="10">
        <v>45664.138078703712</v>
      </c>
      <c r="F137" s="10">
        <v>45664.163611111107</v>
      </c>
      <c r="G137" s="11">
        <f t="shared" si="4"/>
        <v>1.3934606481489027</v>
      </c>
      <c r="H137" s="11">
        <f t="shared" si="5"/>
        <v>1.4189930555439787</v>
      </c>
    </row>
    <row r="138" spans="1:8" x14ac:dyDescent="0.25">
      <c r="A138" s="3" t="s">
        <v>830</v>
      </c>
      <c r="B138" s="3" t="s">
        <v>3197</v>
      </c>
      <c r="C138" s="10">
        <v>45662.747291666667</v>
      </c>
      <c r="D138" s="3" t="s">
        <v>795</v>
      </c>
      <c r="E138" s="10">
        <v>45662.751192129632</v>
      </c>
      <c r="F138" s="10">
        <v>45662.822500000002</v>
      </c>
      <c r="G138" s="11">
        <f t="shared" si="4"/>
        <v>3.9004629652481526E-3</v>
      </c>
      <c r="H138" s="11">
        <f t="shared" si="5"/>
        <v>7.5208333335467614E-2</v>
      </c>
    </row>
    <row r="139" spans="1:8" x14ac:dyDescent="0.25">
      <c r="A139" s="3" t="s">
        <v>832</v>
      </c>
      <c r="B139" s="3" t="s">
        <v>3193</v>
      </c>
      <c r="C139" s="10">
        <v>45662.748738425929</v>
      </c>
      <c r="D139" s="3" t="s">
        <v>823</v>
      </c>
      <c r="E139" s="10">
        <v>45662.752662037034</v>
      </c>
      <c r="F139" s="10">
        <v>45662.774722222217</v>
      </c>
      <c r="G139" s="11">
        <f t="shared" si="4"/>
        <v>3.9236111042555422E-3</v>
      </c>
      <c r="H139" s="11">
        <f t="shared" si="5"/>
        <v>2.5983796287619043E-2</v>
      </c>
    </row>
    <row r="140" spans="1:8" x14ac:dyDescent="0.25">
      <c r="A140" s="3" t="s">
        <v>834</v>
      </c>
      <c r="B140" s="3" t="s">
        <v>3193</v>
      </c>
      <c r="C140" s="10">
        <v>45662.85261574074</v>
      </c>
      <c r="D140" s="3" t="s">
        <v>835</v>
      </c>
      <c r="E140" s="10">
        <v>45662.855011574073</v>
      </c>
      <c r="F140" s="10">
        <v>45662.931701388887</v>
      </c>
      <c r="G140" s="11">
        <f t="shared" si="4"/>
        <v>2.3958333331393078E-3</v>
      </c>
      <c r="H140" s="11">
        <f t="shared" si="5"/>
        <v>7.9085648147156462E-2</v>
      </c>
    </row>
    <row r="141" spans="1:8" x14ac:dyDescent="0.25">
      <c r="A141" s="3" t="s">
        <v>837</v>
      </c>
      <c r="B141" s="3" t="s">
        <v>3199</v>
      </c>
      <c r="C141" s="10">
        <v>45662.854594907411</v>
      </c>
      <c r="D141" s="3" t="s">
        <v>798</v>
      </c>
      <c r="E141" s="10">
        <v>45664.328182870369</v>
      </c>
      <c r="F141" s="10">
        <v>45664.360960648148</v>
      </c>
      <c r="G141" s="11">
        <f t="shared" si="4"/>
        <v>1.4735879629588453</v>
      </c>
      <c r="H141" s="11">
        <f t="shared" si="5"/>
        <v>1.5063657407372375</v>
      </c>
    </row>
    <row r="142" spans="1:8" x14ac:dyDescent="0.25">
      <c r="A142" s="3" t="s">
        <v>839</v>
      </c>
      <c r="B142" s="3" t="s">
        <v>3197</v>
      </c>
      <c r="C142" s="10">
        <v>45662.856724537043</v>
      </c>
      <c r="D142" s="3" t="s">
        <v>840</v>
      </c>
      <c r="E142" s="10">
        <v>45662.859120370369</v>
      </c>
      <c r="F142" s="10">
        <v>45662.878333333327</v>
      </c>
      <c r="G142" s="11">
        <f t="shared" si="4"/>
        <v>2.3958333258633502E-3</v>
      </c>
      <c r="H142" s="11">
        <f t="shared" si="5"/>
        <v>2.1608796283544507E-2</v>
      </c>
    </row>
    <row r="143" spans="1:8" x14ac:dyDescent="0.25">
      <c r="A143" s="3" t="s">
        <v>842</v>
      </c>
      <c r="B143" s="3" t="s">
        <v>3193</v>
      </c>
      <c r="C143" s="10">
        <v>45663.745000000003</v>
      </c>
      <c r="D143" s="3" t="s">
        <v>843</v>
      </c>
      <c r="E143" s="10">
        <v>45663.747361111113</v>
      </c>
      <c r="F143" s="10">
        <v>45663.791122685187</v>
      </c>
      <c r="G143" s="11">
        <f t="shared" si="4"/>
        <v>2.3611111100763083E-3</v>
      </c>
      <c r="H143" s="11">
        <f t="shared" si="5"/>
        <v>4.6122685183945578E-2</v>
      </c>
    </row>
    <row r="144" spans="1:8" x14ac:dyDescent="0.25">
      <c r="A144" s="3" t="s">
        <v>845</v>
      </c>
      <c r="B144" s="3" t="s">
        <v>3199</v>
      </c>
      <c r="C144" s="10">
        <v>45664.127175925933</v>
      </c>
      <c r="D144" s="3" t="s">
        <v>798</v>
      </c>
      <c r="E144" s="10">
        <v>45664.328182870369</v>
      </c>
      <c r="F144" s="10">
        <v>45664.360960648148</v>
      </c>
      <c r="G144" s="11">
        <f t="shared" si="4"/>
        <v>0.20100694443681277</v>
      </c>
      <c r="H144" s="11">
        <f t="shared" si="5"/>
        <v>0.23378472221520497</v>
      </c>
    </row>
    <row r="145" spans="1:8" x14ac:dyDescent="0.25">
      <c r="A145" s="3" t="s">
        <v>847</v>
      </c>
      <c r="B145" s="3" t="s">
        <v>3204</v>
      </c>
      <c r="C145" s="10">
        <v>45664.129236111112</v>
      </c>
      <c r="D145" s="3" t="s">
        <v>733</v>
      </c>
      <c r="E145" s="10">
        <v>45664.365104166667</v>
      </c>
      <c r="F145" s="10">
        <v>45664.437951388893</v>
      </c>
      <c r="G145" s="11">
        <f t="shared" si="4"/>
        <v>0.23586805555532919</v>
      </c>
      <c r="H145" s="11">
        <f t="shared" si="5"/>
        <v>0.3087152777807205</v>
      </c>
    </row>
    <row r="146" spans="1:8" x14ac:dyDescent="0.25">
      <c r="A146" s="3" t="s">
        <v>849</v>
      </c>
      <c r="B146" s="3" t="s">
        <v>3199</v>
      </c>
      <c r="C146" s="10">
        <v>45664.131145833337</v>
      </c>
      <c r="D146" s="3" t="s">
        <v>798</v>
      </c>
      <c r="E146" s="10">
        <v>45664.328182870369</v>
      </c>
      <c r="F146" s="10">
        <v>45664.360960648148</v>
      </c>
      <c r="G146" s="11">
        <f t="shared" si="4"/>
        <v>0.19703703703271458</v>
      </c>
      <c r="H146" s="11">
        <f t="shared" si="5"/>
        <v>0.22981481481110677</v>
      </c>
    </row>
    <row r="147" spans="1:8" x14ac:dyDescent="0.25">
      <c r="A147" s="3" t="s">
        <v>851</v>
      </c>
      <c r="B147" s="3" t="s">
        <v>3201</v>
      </c>
      <c r="C147" s="10">
        <v>45664.133287037039</v>
      </c>
      <c r="D147" s="3" t="s">
        <v>707</v>
      </c>
      <c r="E147" s="10">
        <v>45664.13721064815</v>
      </c>
      <c r="F147" s="10">
        <v>45664.185648148137</v>
      </c>
      <c r="G147" s="11">
        <f t="shared" si="4"/>
        <v>3.9236111115314998E-3</v>
      </c>
      <c r="H147" s="11">
        <f t="shared" si="5"/>
        <v>5.2361111098434776E-2</v>
      </c>
    </row>
    <row r="148" spans="1:8" x14ac:dyDescent="0.25">
      <c r="A148" s="3" t="s">
        <v>853</v>
      </c>
      <c r="B148" s="3" t="s">
        <v>3203</v>
      </c>
      <c r="C148" s="10">
        <v>45664.134513888886</v>
      </c>
      <c r="D148" s="3" t="s">
        <v>828</v>
      </c>
      <c r="E148" s="10">
        <v>45664.138078703712</v>
      </c>
      <c r="F148" s="10">
        <v>45664.163611111107</v>
      </c>
      <c r="G148" s="11">
        <f t="shared" si="4"/>
        <v>3.5648148259497248E-3</v>
      </c>
      <c r="H148" s="11">
        <f t="shared" si="5"/>
        <v>2.9097222221025731E-2</v>
      </c>
    </row>
    <row r="149" spans="1:8" x14ac:dyDescent="0.25">
      <c r="A149" s="3" t="s">
        <v>855</v>
      </c>
      <c r="B149" s="3" t="s">
        <v>3203</v>
      </c>
      <c r="C149" s="10">
        <v>45664.281192129631</v>
      </c>
      <c r="D149" s="3" t="s">
        <v>856</v>
      </c>
      <c r="E149" s="10">
        <v>45664.283564814818</v>
      </c>
      <c r="F149" s="10">
        <v>45664.337141203701</v>
      </c>
      <c r="G149" s="11">
        <f t="shared" si="4"/>
        <v>2.3726851868559606E-3</v>
      </c>
      <c r="H149" s="11">
        <f t="shared" si="5"/>
        <v>5.5949074070667848E-2</v>
      </c>
    </row>
    <row r="150" spans="1:8" x14ac:dyDescent="0.25">
      <c r="A150" s="3" t="s">
        <v>875</v>
      </c>
      <c r="B150" s="3" t="s">
        <v>3197</v>
      </c>
      <c r="C150" s="10">
        <v>45664.318761574083</v>
      </c>
      <c r="D150" s="3" t="s">
        <v>876</v>
      </c>
      <c r="E150" s="10">
        <v>45664.321122685193</v>
      </c>
      <c r="F150" s="10">
        <v>45664.392280092587</v>
      </c>
      <c r="G150" s="11">
        <f t="shared" si="4"/>
        <v>2.3611111100763083E-3</v>
      </c>
      <c r="H150" s="11">
        <f t="shared" si="5"/>
        <v>7.3518518503988162E-2</v>
      </c>
    </row>
    <row r="151" spans="1:8" x14ac:dyDescent="0.25">
      <c r="A151" s="3" t="s">
        <v>878</v>
      </c>
      <c r="B151" s="3" t="s">
        <v>3206</v>
      </c>
      <c r="C151" s="10">
        <v>45664.321504629632</v>
      </c>
      <c r="D151" s="3" t="s">
        <v>879</v>
      </c>
      <c r="E151" s="10">
        <v>45664.323900462958</v>
      </c>
      <c r="F151" s="10">
        <v>45664.371817129628</v>
      </c>
      <c r="G151" s="11">
        <f t="shared" si="4"/>
        <v>2.3958333258633502E-3</v>
      </c>
      <c r="H151" s="11">
        <f t="shared" si="5"/>
        <v>5.0312499995925464E-2</v>
      </c>
    </row>
    <row r="152" spans="1:8" x14ac:dyDescent="0.25">
      <c r="A152" s="3" t="s">
        <v>858</v>
      </c>
      <c r="B152" s="3" t="s">
        <v>3199</v>
      </c>
      <c r="C152" s="10">
        <v>45664.324293981481</v>
      </c>
      <c r="D152" s="3" t="s">
        <v>798</v>
      </c>
      <c r="E152" s="10">
        <v>45664.328182870369</v>
      </c>
      <c r="F152" s="10">
        <v>45664.360960648148</v>
      </c>
      <c r="G152" s="11">
        <f t="shared" si="4"/>
        <v>3.8888888884685002E-3</v>
      </c>
      <c r="H152" s="11">
        <f t="shared" si="5"/>
        <v>3.6666666666860692E-2</v>
      </c>
    </row>
    <row r="153" spans="1:8" x14ac:dyDescent="0.25">
      <c r="A153" s="3" t="s">
        <v>860</v>
      </c>
      <c r="B153" s="3" t="s">
        <v>3195</v>
      </c>
      <c r="C153" s="10">
        <v>45664.32607638889</v>
      </c>
      <c r="D153" s="3" t="s">
        <v>792</v>
      </c>
      <c r="E153" s="10">
        <v>45664.754826388889</v>
      </c>
      <c r="F153" s="10">
        <v>45664.780775462961</v>
      </c>
      <c r="G153" s="11">
        <f t="shared" si="4"/>
        <v>0.42874999999912689</v>
      </c>
      <c r="H153" s="11">
        <f t="shared" si="5"/>
        <v>0.45469907407095889</v>
      </c>
    </row>
    <row r="154" spans="1:8" x14ac:dyDescent="0.25">
      <c r="A154" s="3" t="s">
        <v>862</v>
      </c>
      <c r="B154" s="3" t="s">
        <v>3205</v>
      </c>
      <c r="C154" s="10">
        <v>45664.327384259261</v>
      </c>
      <c r="D154" s="3" t="s">
        <v>803</v>
      </c>
      <c r="E154" s="10">
        <v>45664.334791666668</v>
      </c>
      <c r="F154" s="10">
        <v>45664.405046296299</v>
      </c>
      <c r="G154" s="11">
        <f t="shared" si="4"/>
        <v>7.4074074072996154E-3</v>
      </c>
      <c r="H154" s="11">
        <f t="shared" si="5"/>
        <v>7.7662037037953269E-2</v>
      </c>
    </row>
    <row r="155" spans="1:8" x14ac:dyDescent="0.25">
      <c r="A155" s="3" t="s">
        <v>864</v>
      </c>
      <c r="B155" s="3" t="s">
        <v>3205</v>
      </c>
      <c r="C155" s="10">
        <v>45664.328842592593</v>
      </c>
      <c r="D155" s="3" t="s">
        <v>803</v>
      </c>
      <c r="E155" s="10">
        <v>45664.334791666668</v>
      </c>
      <c r="F155" s="10">
        <v>45664.405046296299</v>
      </c>
      <c r="G155" s="11">
        <f t="shared" si="4"/>
        <v>5.9490740750334226E-3</v>
      </c>
      <c r="H155" s="11">
        <f t="shared" si="5"/>
        <v>7.6203703705687076E-2</v>
      </c>
    </row>
    <row r="156" spans="1:8" x14ac:dyDescent="0.25">
      <c r="A156" s="3" t="s">
        <v>866</v>
      </c>
      <c r="B156" s="3" t="s">
        <v>3193</v>
      </c>
      <c r="C156" s="10">
        <v>45664.33017361111</v>
      </c>
      <c r="D156" s="3" t="s">
        <v>867</v>
      </c>
      <c r="E156" s="10">
        <v>45664.661192129628</v>
      </c>
      <c r="F156" s="10">
        <v>45664.705347222232</v>
      </c>
      <c r="G156" s="11">
        <f t="shared" si="4"/>
        <v>0.33101851851824904</v>
      </c>
      <c r="H156" s="11">
        <f t="shared" si="5"/>
        <v>0.37517361112259096</v>
      </c>
    </row>
    <row r="157" spans="1:8" x14ac:dyDescent="0.25">
      <c r="A157" s="3" t="s">
        <v>869</v>
      </c>
      <c r="B157" s="3" t="s">
        <v>3203</v>
      </c>
      <c r="C157" s="10">
        <v>45664.331331018519</v>
      </c>
      <c r="D157" s="3" t="s">
        <v>870</v>
      </c>
      <c r="E157" s="10">
        <v>45664.363240740742</v>
      </c>
      <c r="F157" s="10">
        <v>45664.422488425917</v>
      </c>
      <c r="G157" s="11">
        <f t="shared" si="4"/>
        <v>3.1909722223645076E-2</v>
      </c>
      <c r="H157" s="11">
        <f t="shared" si="5"/>
        <v>9.115740739798639E-2</v>
      </c>
    </row>
    <row r="158" spans="1:8" x14ac:dyDescent="0.25">
      <c r="A158" s="3" t="s">
        <v>872</v>
      </c>
      <c r="B158" s="3" t="s">
        <v>3201</v>
      </c>
      <c r="C158" s="10">
        <v>45664.333136574067</v>
      </c>
      <c r="D158" s="3" t="s">
        <v>873</v>
      </c>
      <c r="E158" s="10">
        <v>45665.140451388892</v>
      </c>
      <c r="F158" s="10">
        <v>45665.180775462963</v>
      </c>
      <c r="G158" s="11">
        <f t="shared" si="4"/>
        <v>0.80731481482507661</v>
      </c>
      <c r="H158" s="11">
        <f t="shared" si="5"/>
        <v>0.84763888889574446</v>
      </c>
    </row>
    <row r="159" spans="1:8" x14ac:dyDescent="0.25">
      <c r="A159" s="3" t="s">
        <v>881</v>
      </c>
      <c r="B159" s="3" t="s">
        <v>3203</v>
      </c>
      <c r="C159" s="10">
        <v>45664.35701388889</v>
      </c>
      <c r="D159" s="3" t="s">
        <v>870</v>
      </c>
      <c r="E159" s="10">
        <v>45664.363240740742</v>
      </c>
      <c r="F159" s="10">
        <v>45664.422488425917</v>
      </c>
      <c r="G159" s="11">
        <f t="shared" si="4"/>
        <v>6.2268518522614613E-3</v>
      </c>
      <c r="H159" s="11">
        <f t="shared" si="5"/>
        <v>6.5474537026602775E-2</v>
      </c>
    </row>
    <row r="160" spans="1:8" x14ac:dyDescent="0.25">
      <c r="A160" s="3" t="s">
        <v>883</v>
      </c>
      <c r="B160" s="3" t="s">
        <v>3204</v>
      </c>
      <c r="C160" s="10">
        <v>45664.359270833331</v>
      </c>
      <c r="D160" s="3" t="s">
        <v>733</v>
      </c>
      <c r="E160" s="10">
        <v>45664.365104166667</v>
      </c>
      <c r="F160" s="10">
        <v>45664.437951388893</v>
      </c>
      <c r="G160" s="11">
        <f t="shared" si="4"/>
        <v>5.8333333363407291E-3</v>
      </c>
      <c r="H160" s="11">
        <f t="shared" si="5"/>
        <v>7.8680555561732035E-2</v>
      </c>
    </row>
    <row r="161" spans="1:8" x14ac:dyDescent="0.25">
      <c r="A161" s="3" t="s">
        <v>885</v>
      </c>
      <c r="B161" s="3" t="s">
        <v>3202</v>
      </c>
      <c r="C161" s="10">
        <v>45664.374756944453</v>
      </c>
      <c r="D161" s="3" t="s">
        <v>886</v>
      </c>
      <c r="E161" s="10">
        <v>45665.173888888887</v>
      </c>
      <c r="F161" s="10">
        <v>45665.279490740737</v>
      </c>
      <c r="G161" s="11">
        <f t="shared" si="4"/>
        <v>0.79913194443361135</v>
      </c>
      <c r="H161" s="11">
        <f t="shared" si="5"/>
        <v>0.90473379628383555</v>
      </c>
    </row>
    <row r="162" spans="1:8" x14ac:dyDescent="0.25">
      <c r="A162" s="3" t="s">
        <v>888</v>
      </c>
      <c r="B162" s="3" t="s">
        <v>3193</v>
      </c>
      <c r="C162" s="10">
        <v>45664.376006944447</v>
      </c>
      <c r="D162" s="3" t="s">
        <v>867</v>
      </c>
      <c r="E162" s="10">
        <v>45664.661192129628</v>
      </c>
      <c r="F162" s="10">
        <v>45664.705347222232</v>
      </c>
      <c r="G162" s="11">
        <f t="shared" si="4"/>
        <v>0.28518518518103519</v>
      </c>
      <c r="H162" s="11">
        <f t="shared" si="5"/>
        <v>0.32934027778537711</v>
      </c>
    </row>
    <row r="163" spans="1:8" x14ac:dyDescent="0.25">
      <c r="A163" s="3" t="s">
        <v>890</v>
      </c>
      <c r="B163" s="3" t="s">
        <v>3203</v>
      </c>
      <c r="C163" s="10">
        <v>45664.377245370371</v>
      </c>
      <c r="D163" s="3" t="s">
        <v>891</v>
      </c>
      <c r="E163" s="10">
        <v>45664.455335648148</v>
      </c>
      <c r="F163" s="10">
        <v>45664.508171296293</v>
      </c>
      <c r="G163" s="11">
        <f t="shared" si="4"/>
        <v>7.8090277776937E-2</v>
      </c>
      <c r="H163" s="11">
        <f t="shared" si="5"/>
        <v>0.13092592592147412</v>
      </c>
    </row>
    <row r="164" spans="1:8" x14ac:dyDescent="0.25">
      <c r="A164" s="3" t="s">
        <v>893</v>
      </c>
      <c r="B164" s="3" t="s">
        <v>3201</v>
      </c>
      <c r="C164" s="10">
        <v>45664.378969907397</v>
      </c>
      <c r="D164" s="3" t="s">
        <v>873</v>
      </c>
      <c r="E164" s="10">
        <v>45665.140451388892</v>
      </c>
      <c r="F164" s="10">
        <v>45665.180775462963</v>
      </c>
      <c r="G164" s="11">
        <f t="shared" si="4"/>
        <v>0.76148148149513872</v>
      </c>
      <c r="H164" s="11">
        <f t="shared" si="5"/>
        <v>0.80180555556580657</v>
      </c>
    </row>
    <row r="165" spans="1:8" x14ac:dyDescent="0.25">
      <c r="A165" s="3" t="s">
        <v>895</v>
      </c>
      <c r="B165" s="3" t="s">
        <v>3195</v>
      </c>
      <c r="C165" s="10">
        <v>45664.380682870367</v>
      </c>
      <c r="D165" s="3" t="s">
        <v>792</v>
      </c>
      <c r="E165" s="10">
        <v>45664.754826388889</v>
      </c>
      <c r="F165" s="10">
        <v>45664.780775462961</v>
      </c>
      <c r="G165" s="11">
        <f t="shared" si="4"/>
        <v>0.37414351852203254</v>
      </c>
      <c r="H165" s="11">
        <f t="shared" si="5"/>
        <v>0.40009259259386454</v>
      </c>
    </row>
    <row r="166" spans="1:8" x14ac:dyDescent="0.25">
      <c r="A166" s="3" t="s">
        <v>897</v>
      </c>
      <c r="B166" s="3" t="s">
        <v>3205</v>
      </c>
      <c r="C166" s="10">
        <v>45664.381990740738</v>
      </c>
      <c r="D166" s="3" t="s">
        <v>898</v>
      </c>
      <c r="E166" s="10">
        <v>45664.656956018523</v>
      </c>
      <c r="F166" s="10">
        <v>45664.687013888892</v>
      </c>
      <c r="G166" s="11">
        <f t="shared" si="4"/>
        <v>0.27496527778566815</v>
      </c>
      <c r="H166" s="11">
        <f t="shared" si="5"/>
        <v>0.30502314815385034</v>
      </c>
    </row>
    <row r="167" spans="1:8" x14ac:dyDescent="0.25">
      <c r="A167" s="3" t="s">
        <v>900</v>
      </c>
      <c r="B167" s="3" t="s">
        <v>3196</v>
      </c>
      <c r="C167" s="10">
        <v>45664.384027777778</v>
      </c>
      <c r="D167" s="3" t="s">
        <v>901</v>
      </c>
      <c r="E167" s="10">
        <v>45664.65388888889</v>
      </c>
      <c r="F167" s="10">
        <v>45664.682893518519</v>
      </c>
      <c r="G167" s="11">
        <f t="shared" si="4"/>
        <v>0.26986111111182254</v>
      </c>
      <c r="H167" s="11">
        <f t="shared" si="5"/>
        <v>0.29886574074043892</v>
      </c>
    </row>
    <row r="168" spans="1:8" x14ac:dyDescent="0.25">
      <c r="A168" s="3" t="s">
        <v>903</v>
      </c>
      <c r="B168" s="3" t="s">
        <v>3193</v>
      </c>
      <c r="C168" s="10">
        <v>45664.385289351849</v>
      </c>
      <c r="D168" s="3" t="s">
        <v>867</v>
      </c>
      <c r="E168" s="10">
        <v>45664.661192129628</v>
      </c>
      <c r="F168" s="10">
        <v>45664.705347222232</v>
      </c>
      <c r="G168" s="11">
        <f t="shared" si="4"/>
        <v>0.27590277777926531</v>
      </c>
      <c r="H168" s="11">
        <f t="shared" si="5"/>
        <v>0.32005787038360722</v>
      </c>
    </row>
    <row r="169" spans="1:8" x14ac:dyDescent="0.25">
      <c r="A169" s="3" t="s">
        <v>905</v>
      </c>
      <c r="B169" s="3" t="s">
        <v>3203</v>
      </c>
      <c r="C169" s="10">
        <v>45664.452939814822</v>
      </c>
      <c r="D169" s="3" t="s">
        <v>891</v>
      </c>
      <c r="E169" s="10">
        <v>45664.455335648148</v>
      </c>
      <c r="F169" s="10">
        <v>45664.508171296293</v>
      </c>
      <c r="G169" s="11">
        <f t="shared" si="4"/>
        <v>2.3958333258633502E-3</v>
      </c>
      <c r="H169" s="11">
        <f t="shared" si="5"/>
        <v>5.5231481470400468E-2</v>
      </c>
    </row>
    <row r="170" spans="1:8" x14ac:dyDescent="0.25">
      <c r="A170" s="3" t="s">
        <v>907</v>
      </c>
      <c r="B170" s="3" t="s">
        <v>3199</v>
      </c>
      <c r="C170" s="10">
        <v>45664.455011574071</v>
      </c>
      <c r="D170" s="3" t="s">
        <v>908</v>
      </c>
      <c r="E170" s="10">
        <v>45664.682141203702</v>
      </c>
      <c r="F170" s="10">
        <v>45664.706030092602</v>
      </c>
      <c r="G170" s="11">
        <f t="shared" si="4"/>
        <v>0.22712962963123573</v>
      </c>
      <c r="H170" s="11">
        <f t="shared" si="5"/>
        <v>0.25101851853105472</v>
      </c>
    </row>
    <row r="171" spans="1:8" x14ac:dyDescent="0.25">
      <c r="A171" s="3" t="s">
        <v>910</v>
      </c>
      <c r="B171" s="3" t="s">
        <v>3204</v>
      </c>
      <c r="C171" s="10">
        <v>45664.457175925927</v>
      </c>
      <c r="D171" s="3" t="s">
        <v>911</v>
      </c>
      <c r="E171" s="10">
        <v>45664.554456018523</v>
      </c>
      <c r="F171" s="10">
        <v>45664.602314814823</v>
      </c>
      <c r="G171" s="11">
        <f t="shared" si="4"/>
        <v>9.7280092595610768E-2</v>
      </c>
      <c r="H171" s="11">
        <f t="shared" si="5"/>
        <v>0.14513888889632653</v>
      </c>
    </row>
    <row r="172" spans="1:8" x14ac:dyDescent="0.25">
      <c r="A172" s="3" t="s">
        <v>913</v>
      </c>
      <c r="B172" s="3" t="s">
        <v>3204</v>
      </c>
      <c r="C172" s="10">
        <v>45664.550879629627</v>
      </c>
      <c r="D172" s="3" t="s">
        <v>911</v>
      </c>
      <c r="E172" s="10">
        <v>45664.554456018523</v>
      </c>
      <c r="F172" s="10">
        <v>45664.602314814823</v>
      </c>
      <c r="G172" s="11">
        <f t="shared" si="4"/>
        <v>3.5763888954534195E-3</v>
      </c>
      <c r="H172" s="11">
        <f t="shared" si="5"/>
        <v>5.1435185196169186E-2</v>
      </c>
    </row>
    <row r="173" spans="1:8" x14ac:dyDescent="0.25">
      <c r="A173" s="3" t="s">
        <v>915</v>
      </c>
      <c r="B173" s="3" t="s">
        <v>3203</v>
      </c>
      <c r="C173" s="10">
        <v>45664.60460648148</v>
      </c>
      <c r="D173" s="3" t="s">
        <v>916</v>
      </c>
      <c r="E173" s="10">
        <v>45664.606782407413</v>
      </c>
      <c r="F173" s="10">
        <v>45664.678113425929</v>
      </c>
      <c r="G173" s="11">
        <f t="shared" si="4"/>
        <v>2.1759259325335734E-3</v>
      </c>
      <c r="H173" s="11">
        <f t="shared" si="5"/>
        <v>7.3506944449036382E-2</v>
      </c>
    </row>
    <row r="174" spans="1:8" x14ac:dyDescent="0.25">
      <c r="A174" s="3" t="s">
        <v>918</v>
      </c>
      <c r="B174" s="3" t="s">
        <v>3204</v>
      </c>
      <c r="C174" s="10">
        <v>45664.645428240743</v>
      </c>
      <c r="D174" s="3" t="s">
        <v>919</v>
      </c>
      <c r="E174" s="10">
        <v>45665.137013888889</v>
      </c>
      <c r="F174" s="10">
        <v>45665.159467592603</v>
      </c>
      <c r="G174" s="11">
        <f t="shared" si="4"/>
        <v>0.49158564814570127</v>
      </c>
      <c r="H174" s="11">
        <f t="shared" si="5"/>
        <v>0.51403935185953742</v>
      </c>
    </row>
    <row r="175" spans="1:8" x14ac:dyDescent="0.25">
      <c r="A175" s="3" t="s">
        <v>921</v>
      </c>
      <c r="B175" s="3" t="s">
        <v>3200</v>
      </c>
      <c r="C175" s="10">
        <v>45664.647152777783</v>
      </c>
      <c r="D175" s="3" t="s">
        <v>655</v>
      </c>
      <c r="E175" s="10">
        <v>45666.779282407413</v>
      </c>
      <c r="F175" s="10">
        <v>45666.817453703698</v>
      </c>
      <c r="G175" s="11">
        <f t="shared" si="4"/>
        <v>2.1321296296300716</v>
      </c>
      <c r="H175" s="11">
        <f t="shared" si="5"/>
        <v>2.1703009259144892</v>
      </c>
    </row>
    <row r="176" spans="1:8" x14ac:dyDescent="0.25">
      <c r="A176" s="3" t="s">
        <v>923</v>
      </c>
      <c r="B176" s="3" t="s">
        <v>3203</v>
      </c>
      <c r="C176" s="10">
        <v>45664.648321759261</v>
      </c>
      <c r="D176" s="3" t="s">
        <v>924</v>
      </c>
      <c r="E176" s="10">
        <v>45665.345416666663</v>
      </c>
      <c r="F176" s="10">
        <v>45665.369629629633</v>
      </c>
      <c r="G176" s="11">
        <f t="shared" si="4"/>
        <v>0.69709490740206093</v>
      </c>
      <c r="H176" s="11">
        <f t="shared" si="5"/>
        <v>0.72130787037167465</v>
      </c>
    </row>
    <row r="177" spans="1:8" x14ac:dyDescent="0.25">
      <c r="A177" s="3" t="s">
        <v>926</v>
      </c>
      <c r="B177" s="3" t="s">
        <v>3196</v>
      </c>
      <c r="C177" s="10">
        <v>45664.650312500002</v>
      </c>
      <c r="D177" s="3" t="s">
        <v>901</v>
      </c>
      <c r="E177" s="10">
        <v>45664.65388888889</v>
      </c>
      <c r="F177" s="10">
        <v>45664.682893518519</v>
      </c>
      <c r="G177" s="11">
        <f t="shared" si="4"/>
        <v>3.5763888881774619E-3</v>
      </c>
      <c r="H177" s="11">
        <f t="shared" si="5"/>
        <v>3.2581018516793847E-2</v>
      </c>
    </row>
    <row r="178" spans="1:8" x14ac:dyDescent="0.25">
      <c r="A178" s="3" t="s">
        <v>928</v>
      </c>
      <c r="B178" s="3" t="s">
        <v>3193</v>
      </c>
      <c r="C178" s="10">
        <v>45664.651608796303</v>
      </c>
      <c r="D178" s="3" t="s">
        <v>867</v>
      </c>
      <c r="E178" s="10">
        <v>45664.661192129628</v>
      </c>
      <c r="F178" s="10">
        <v>45664.705347222232</v>
      </c>
      <c r="G178" s="11">
        <f t="shared" si="4"/>
        <v>9.5833333252812736E-3</v>
      </c>
      <c r="H178" s="11">
        <f t="shared" si="5"/>
        <v>5.373842592962319E-2</v>
      </c>
    </row>
    <row r="179" spans="1:8" x14ac:dyDescent="0.25">
      <c r="A179" s="3" t="s">
        <v>930</v>
      </c>
      <c r="B179" s="3" t="s">
        <v>3198</v>
      </c>
      <c r="C179" s="10">
        <v>45664.653101851851</v>
      </c>
      <c r="D179" s="3" t="s">
        <v>596</v>
      </c>
      <c r="E179" s="10">
        <v>45666.323449074072</v>
      </c>
      <c r="F179" s="10">
        <v>45666.397569444453</v>
      </c>
      <c r="G179" s="11">
        <f t="shared" si="4"/>
        <v>1.6703472222216078</v>
      </c>
      <c r="H179" s="11">
        <f t="shared" si="5"/>
        <v>1.7444675926017226</v>
      </c>
    </row>
    <row r="180" spans="1:8" x14ac:dyDescent="0.25">
      <c r="A180" s="3" t="s">
        <v>932</v>
      </c>
      <c r="B180" s="3" t="s">
        <v>3205</v>
      </c>
      <c r="C180" s="10">
        <v>45664.654583333337</v>
      </c>
      <c r="D180" s="3" t="s">
        <v>898</v>
      </c>
      <c r="E180" s="10">
        <v>45664.656956018523</v>
      </c>
      <c r="F180" s="10">
        <v>45664.687013888892</v>
      </c>
      <c r="G180" s="11">
        <f t="shared" si="4"/>
        <v>2.3726851868559606E-3</v>
      </c>
      <c r="H180" s="11">
        <f t="shared" si="5"/>
        <v>3.2430555555038154E-2</v>
      </c>
    </row>
    <row r="181" spans="1:8" x14ac:dyDescent="0.25">
      <c r="A181" s="3" t="s">
        <v>934</v>
      </c>
      <c r="B181" s="3" t="s">
        <v>3202</v>
      </c>
      <c r="C181" s="10">
        <v>45664.6559837963</v>
      </c>
      <c r="D181" s="3" t="s">
        <v>886</v>
      </c>
      <c r="E181" s="10">
        <v>45665.173888888887</v>
      </c>
      <c r="F181" s="10">
        <v>45665.279490740737</v>
      </c>
      <c r="G181" s="11">
        <f t="shared" si="4"/>
        <v>0.51790509258717066</v>
      </c>
      <c r="H181" s="11">
        <f t="shared" si="5"/>
        <v>0.62350694443739485</v>
      </c>
    </row>
    <row r="182" spans="1:8" x14ac:dyDescent="0.25">
      <c r="A182" s="3" t="s">
        <v>936</v>
      </c>
      <c r="B182" s="3" t="s">
        <v>3193</v>
      </c>
      <c r="C182" s="10">
        <v>45664.657268518517</v>
      </c>
      <c r="D182" s="3" t="s">
        <v>867</v>
      </c>
      <c r="E182" s="10">
        <v>45664.661192129628</v>
      </c>
      <c r="F182" s="10">
        <v>45664.705347222232</v>
      </c>
      <c r="G182" s="11">
        <f t="shared" si="4"/>
        <v>3.9236111115314998E-3</v>
      </c>
      <c r="H182" s="11">
        <f t="shared" si="5"/>
        <v>4.8078703715873417E-2</v>
      </c>
    </row>
    <row r="183" spans="1:8" x14ac:dyDescent="0.25">
      <c r="A183" s="3" t="s">
        <v>938</v>
      </c>
      <c r="B183" s="3" t="s">
        <v>3201</v>
      </c>
      <c r="C183" s="10">
        <v>45664.65902777778</v>
      </c>
      <c r="D183" s="3" t="s">
        <v>873</v>
      </c>
      <c r="E183" s="10">
        <v>45665.140451388892</v>
      </c>
      <c r="F183" s="10">
        <v>45665.180775462963</v>
      </c>
      <c r="G183" s="11">
        <f t="shared" si="4"/>
        <v>0.48142361111240461</v>
      </c>
      <c r="H183" s="11">
        <f t="shared" si="5"/>
        <v>0.52174768518307246</v>
      </c>
    </row>
    <row r="184" spans="1:8" x14ac:dyDescent="0.25">
      <c r="A184" s="3" t="s">
        <v>940</v>
      </c>
      <c r="B184" s="3" t="s">
        <v>3195</v>
      </c>
      <c r="C184" s="10">
        <v>45664.660763888889</v>
      </c>
      <c r="D184" s="3" t="s">
        <v>792</v>
      </c>
      <c r="E184" s="10">
        <v>45664.754826388889</v>
      </c>
      <c r="F184" s="10">
        <v>45664.780775462961</v>
      </c>
      <c r="G184" s="11">
        <f t="shared" si="4"/>
        <v>9.4062500000291038E-2</v>
      </c>
      <c r="H184" s="11">
        <f t="shared" si="5"/>
        <v>0.12001157407212304</v>
      </c>
    </row>
    <row r="185" spans="1:8" x14ac:dyDescent="0.25">
      <c r="A185" s="3" t="s">
        <v>942</v>
      </c>
      <c r="B185" s="3" t="s">
        <v>3197</v>
      </c>
      <c r="C185" s="10">
        <v>45664.66443287037</v>
      </c>
      <c r="D185" s="3" t="s">
        <v>943</v>
      </c>
      <c r="E185" s="10">
        <v>45664.666875000003</v>
      </c>
      <c r="F185" s="10">
        <v>45664.753703703696</v>
      </c>
      <c r="G185" s="11">
        <f t="shared" si="4"/>
        <v>2.4421296329819597E-3</v>
      </c>
      <c r="H185" s="11">
        <f t="shared" si="5"/>
        <v>8.9270833326736465E-2</v>
      </c>
    </row>
    <row r="186" spans="1:8" x14ac:dyDescent="0.25">
      <c r="A186" s="3" t="s">
        <v>945</v>
      </c>
      <c r="B186" s="3" t="s">
        <v>3206</v>
      </c>
      <c r="C186" s="10">
        <v>45664.67633101852</v>
      </c>
      <c r="D186" s="3" t="s">
        <v>946</v>
      </c>
      <c r="E186" s="10">
        <v>45664.773981481478</v>
      </c>
      <c r="F186" s="10">
        <v>45664.830104166656</v>
      </c>
      <c r="G186" s="11">
        <f t="shared" si="4"/>
        <v>9.7650462957972195E-2</v>
      </c>
      <c r="H186" s="11">
        <f t="shared" si="5"/>
        <v>0.15377314813667908</v>
      </c>
    </row>
    <row r="187" spans="1:8" x14ac:dyDescent="0.25">
      <c r="A187" s="3" t="s">
        <v>948</v>
      </c>
      <c r="B187" s="3" t="s">
        <v>3199</v>
      </c>
      <c r="C187" s="10">
        <v>45664.678252314807</v>
      </c>
      <c r="D187" s="3" t="s">
        <v>908</v>
      </c>
      <c r="E187" s="10">
        <v>45664.682141203702</v>
      </c>
      <c r="F187" s="10">
        <v>45664.706030092602</v>
      </c>
      <c r="G187" s="11">
        <f t="shared" si="4"/>
        <v>3.8888888957444578E-3</v>
      </c>
      <c r="H187" s="11">
        <f t="shared" si="5"/>
        <v>2.7777777795563452E-2</v>
      </c>
    </row>
    <row r="188" spans="1:8" x14ac:dyDescent="0.25">
      <c r="A188" s="3" t="s">
        <v>950</v>
      </c>
      <c r="B188" s="3" t="s">
        <v>3202</v>
      </c>
      <c r="C188" s="10">
        <v>45664.744490740741</v>
      </c>
      <c r="D188" s="3" t="s">
        <v>886</v>
      </c>
      <c r="E188" s="10">
        <v>45665.173888888887</v>
      </c>
      <c r="F188" s="10">
        <v>45665.279490740737</v>
      </c>
      <c r="G188" s="11">
        <f t="shared" si="4"/>
        <v>0.42939814814599231</v>
      </c>
      <c r="H188" s="11">
        <f t="shared" si="5"/>
        <v>0.5349999999962165</v>
      </c>
    </row>
    <row r="189" spans="1:8" x14ac:dyDescent="0.25">
      <c r="A189" s="3" t="s">
        <v>952</v>
      </c>
      <c r="B189" s="3" t="s">
        <v>3204</v>
      </c>
      <c r="C189" s="10">
        <v>45664.746516203697</v>
      </c>
      <c r="D189" s="3" t="s">
        <v>919</v>
      </c>
      <c r="E189" s="10">
        <v>45665.137013888889</v>
      </c>
      <c r="F189" s="10">
        <v>45665.159467592603</v>
      </c>
      <c r="G189" s="11">
        <f t="shared" si="4"/>
        <v>0.39049768519180361</v>
      </c>
      <c r="H189" s="11">
        <f t="shared" si="5"/>
        <v>0.41295138890563976</v>
      </c>
    </row>
    <row r="190" spans="1:8" x14ac:dyDescent="0.25">
      <c r="A190" s="3" t="s">
        <v>954</v>
      </c>
      <c r="B190" s="3" t="s">
        <v>3201</v>
      </c>
      <c r="C190" s="10">
        <v>45664.748287037037</v>
      </c>
      <c r="D190" s="3" t="s">
        <v>873</v>
      </c>
      <c r="E190" s="10">
        <v>45665.140451388892</v>
      </c>
      <c r="F190" s="10">
        <v>45665.180775462963</v>
      </c>
      <c r="G190" s="11">
        <f t="shared" si="4"/>
        <v>0.39216435185517184</v>
      </c>
      <c r="H190" s="11">
        <f t="shared" si="5"/>
        <v>0.43248842592583969</v>
      </c>
    </row>
    <row r="191" spans="1:8" x14ac:dyDescent="0.25">
      <c r="A191" s="3" t="s">
        <v>956</v>
      </c>
      <c r="B191" s="3" t="s">
        <v>3203</v>
      </c>
      <c r="C191" s="10">
        <v>45664.749479166669</v>
      </c>
      <c r="D191" s="3" t="s">
        <v>924</v>
      </c>
      <c r="E191" s="10">
        <v>45665.345416666663</v>
      </c>
      <c r="F191" s="10">
        <v>45665.369629629633</v>
      </c>
      <c r="G191" s="11">
        <f t="shared" si="4"/>
        <v>0.59593749999476131</v>
      </c>
      <c r="H191" s="11">
        <f t="shared" si="5"/>
        <v>0.62015046296437504</v>
      </c>
    </row>
    <row r="192" spans="1:8" x14ac:dyDescent="0.25">
      <c r="A192" s="3" t="s">
        <v>958</v>
      </c>
      <c r="B192" s="3" t="s">
        <v>3195</v>
      </c>
      <c r="C192" s="10">
        <v>45664.751261574071</v>
      </c>
      <c r="D192" s="3" t="s">
        <v>792</v>
      </c>
      <c r="E192" s="10">
        <v>45664.754826388889</v>
      </c>
      <c r="F192" s="10">
        <v>45664.780775462961</v>
      </c>
      <c r="G192" s="11">
        <f t="shared" si="4"/>
        <v>3.5648148186737671E-3</v>
      </c>
      <c r="H192" s="11">
        <f t="shared" si="5"/>
        <v>2.9513888890505768E-2</v>
      </c>
    </row>
    <row r="193" spans="1:8" x14ac:dyDescent="0.25">
      <c r="A193" s="3" t="s">
        <v>960</v>
      </c>
      <c r="B193" s="3" t="s">
        <v>3193</v>
      </c>
      <c r="C193" s="10">
        <v>45664.752754629633</v>
      </c>
      <c r="D193" s="3" t="s">
        <v>961</v>
      </c>
      <c r="E193" s="10">
        <v>45664.755150462966</v>
      </c>
      <c r="F193" s="10">
        <v>45664.775833333333</v>
      </c>
      <c r="G193" s="11">
        <f t="shared" si="4"/>
        <v>2.3958333331393078E-3</v>
      </c>
      <c r="H193" s="11">
        <f t="shared" si="5"/>
        <v>2.307870369986631E-2</v>
      </c>
    </row>
    <row r="194" spans="1:8" x14ac:dyDescent="0.25">
      <c r="A194" s="3" t="s">
        <v>963</v>
      </c>
      <c r="B194" s="3" t="s">
        <v>3204</v>
      </c>
      <c r="C194" s="10">
        <v>45664.754780092589</v>
      </c>
      <c r="D194" s="3" t="s">
        <v>919</v>
      </c>
      <c r="E194" s="10">
        <v>45665.137013888889</v>
      </c>
      <c r="F194" s="10">
        <v>45665.159467592603</v>
      </c>
      <c r="G194" s="11">
        <f t="shared" ref="G194:G257" si="6">IF(AND(ISNUMBER(C194),ISNUMBER(E194)),(E194-C194),"")</f>
        <v>0.38223379629926058</v>
      </c>
      <c r="H194" s="11">
        <f t="shared" ref="H194:H257" si="7">IF(AND(ISNUMBER(C194),ISNUMBER(F194)),(F194-C194),"")</f>
        <v>0.40468750001309672</v>
      </c>
    </row>
    <row r="195" spans="1:8" x14ac:dyDescent="0.25">
      <c r="A195" s="3" t="s">
        <v>965</v>
      </c>
      <c r="B195" s="3" t="s">
        <v>3199</v>
      </c>
      <c r="C195" s="10">
        <v>45664.756747685176</v>
      </c>
      <c r="D195" s="3" t="s">
        <v>966</v>
      </c>
      <c r="E195" s="10">
        <v>45665.134930555563</v>
      </c>
      <c r="F195" s="10">
        <v>45665.154247685183</v>
      </c>
      <c r="G195" s="11">
        <f t="shared" si="6"/>
        <v>0.37818287038680864</v>
      </c>
      <c r="H195" s="11">
        <f t="shared" si="7"/>
        <v>0.39750000000640284</v>
      </c>
    </row>
    <row r="196" spans="1:8" x14ac:dyDescent="0.25">
      <c r="A196" s="3" t="s">
        <v>968</v>
      </c>
      <c r="B196" s="3" t="s">
        <v>3194</v>
      </c>
      <c r="C196" s="10">
        <v>45664.758715277778</v>
      </c>
      <c r="D196" s="3" t="s">
        <v>757</v>
      </c>
      <c r="E196" s="10">
        <v>45665.646631944437</v>
      </c>
      <c r="F196" s="10">
        <v>45665.673414351862</v>
      </c>
      <c r="G196" s="11">
        <f t="shared" si="6"/>
        <v>0.8879166666592937</v>
      </c>
      <c r="H196" s="11">
        <f t="shared" si="7"/>
        <v>0.91469907408463769</v>
      </c>
    </row>
    <row r="197" spans="1:8" x14ac:dyDescent="0.25">
      <c r="A197" s="3" t="s">
        <v>970</v>
      </c>
      <c r="B197" s="3" t="s">
        <v>3200</v>
      </c>
      <c r="C197" s="10">
        <v>45664.760474537034</v>
      </c>
      <c r="D197" s="3" t="s">
        <v>655</v>
      </c>
      <c r="E197" s="10">
        <v>45666.779282407413</v>
      </c>
      <c r="F197" s="10">
        <v>45666.817453703698</v>
      </c>
      <c r="G197" s="11">
        <f t="shared" si="6"/>
        <v>2.0188078703795327</v>
      </c>
      <c r="H197" s="11">
        <f t="shared" si="7"/>
        <v>2.0569791666639503</v>
      </c>
    </row>
    <row r="198" spans="1:8" x14ac:dyDescent="0.25">
      <c r="A198" s="3" t="s">
        <v>972</v>
      </c>
      <c r="B198" s="3" t="s">
        <v>3199</v>
      </c>
      <c r="C198" s="10">
        <v>45664.762418981481</v>
      </c>
      <c r="D198" s="3" t="s">
        <v>966</v>
      </c>
      <c r="E198" s="10">
        <v>45665.134930555563</v>
      </c>
      <c r="F198" s="10">
        <v>45665.154247685183</v>
      </c>
      <c r="G198" s="11">
        <f t="shared" si="6"/>
        <v>0.3725115740817273</v>
      </c>
      <c r="H198" s="11">
        <f t="shared" si="7"/>
        <v>0.3918287037013215</v>
      </c>
    </row>
    <row r="199" spans="1:8" x14ac:dyDescent="0.25">
      <c r="A199" s="3" t="s">
        <v>974</v>
      </c>
      <c r="B199" s="3" t="s">
        <v>3203</v>
      </c>
      <c r="C199" s="10">
        <v>45664.76357638889</v>
      </c>
      <c r="D199" s="3" t="s">
        <v>924</v>
      </c>
      <c r="E199" s="10">
        <v>45665.345416666663</v>
      </c>
      <c r="F199" s="10">
        <v>45665.369629629633</v>
      </c>
      <c r="G199" s="11">
        <f t="shared" si="6"/>
        <v>0.5818402777731535</v>
      </c>
      <c r="H199" s="11">
        <f t="shared" si="7"/>
        <v>0.60605324074276723</v>
      </c>
    </row>
    <row r="200" spans="1:8" x14ac:dyDescent="0.25">
      <c r="A200" s="3" t="s">
        <v>976</v>
      </c>
      <c r="B200" s="3" t="s">
        <v>3203</v>
      </c>
      <c r="C200" s="10">
        <v>45664.764780092592</v>
      </c>
      <c r="D200" s="3" t="s">
        <v>924</v>
      </c>
      <c r="E200" s="10">
        <v>45665.345416666663</v>
      </c>
      <c r="F200" s="10">
        <v>45665.369629629633</v>
      </c>
      <c r="G200" s="11">
        <f t="shared" si="6"/>
        <v>0.580636574071832</v>
      </c>
      <c r="H200" s="11">
        <f t="shared" si="7"/>
        <v>0.60484953704144573</v>
      </c>
    </row>
    <row r="201" spans="1:8" x14ac:dyDescent="0.25">
      <c r="A201" s="3" t="s">
        <v>978</v>
      </c>
      <c r="B201" s="3" t="s">
        <v>3206</v>
      </c>
      <c r="C201" s="10">
        <v>45664.767581018517</v>
      </c>
      <c r="D201" s="3" t="s">
        <v>946</v>
      </c>
      <c r="E201" s="10">
        <v>45664.773981481478</v>
      </c>
      <c r="F201" s="10">
        <v>45664.830104166656</v>
      </c>
      <c r="G201" s="11">
        <f t="shared" si="6"/>
        <v>6.4004629603005014E-3</v>
      </c>
      <c r="H201" s="11">
        <f t="shared" si="7"/>
        <v>6.252314813900739E-2</v>
      </c>
    </row>
    <row r="202" spans="1:8" x14ac:dyDescent="0.25">
      <c r="A202" s="3" t="s">
        <v>980</v>
      </c>
      <c r="B202" s="3" t="s">
        <v>3193</v>
      </c>
      <c r="C202" s="10">
        <v>45664.886574074073</v>
      </c>
      <c r="D202" s="3" t="s">
        <v>981</v>
      </c>
      <c r="E202" s="10">
        <v>45664.888969907413</v>
      </c>
      <c r="F202" s="10">
        <v>45664.958703703713</v>
      </c>
      <c r="G202" s="11">
        <f t="shared" si="6"/>
        <v>2.3958333404152654E-3</v>
      </c>
      <c r="H202" s="11">
        <f t="shared" si="7"/>
        <v>7.2129629639675841E-2</v>
      </c>
    </row>
    <row r="203" spans="1:8" x14ac:dyDescent="0.25">
      <c r="A203" s="3" t="s">
        <v>983</v>
      </c>
      <c r="B203" s="3" t="s">
        <v>3204</v>
      </c>
      <c r="C203" s="10">
        <v>45665.129074074073</v>
      </c>
      <c r="D203" s="3" t="s">
        <v>919</v>
      </c>
      <c r="E203" s="10">
        <v>45665.137013888889</v>
      </c>
      <c r="F203" s="10">
        <v>45665.159467592603</v>
      </c>
      <c r="G203" s="11">
        <f t="shared" si="6"/>
        <v>7.9398148154723458E-3</v>
      </c>
      <c r="H203" s="11">
        <f t="shared" si="7"/>
        <v>3.0393518529308494E-2</v>
      </c>
    </row>
    <row r="204" spans="1:8" x14ac:dyDescent="0.25">
      <c r="A204" s="3" t="s">
        <v>985</v>
      </c>
      <c r="B204" s="3" t="s">
        <v>3199</v>
      </c>
      <c r="C204" s="10">
        <v>45665.131030092591</v>
      </c>
      <c r="D204" s="3" t="s">
        <v>966</v>
      </c>
      <c r="E204" s="10">
        <v>45665.134930555563</v>
      </c>
      <c r="F204" s="10">
        <v>45665.154247685183</v>
      </c>
      <c r="G204" s="11">
        <f t="shared" si="6"/>
        <v>3.9004629725241102E-3</v>
      </c>
      <c r="H204" s="11">
        <f t="shared" si="7"/>
        <v>2.3217592592118308E-2</v>
      </c>
    </row>
    <row r="205" spans="1:8" x14ac:dyDescent="0.25">
      <c r="A205" s="3" t="s">
        <v>987</v>
      </c>
      <c r="B205" s="3" t="s">
        <v>3204</v>
      </c>
      <c r="C205" s="10">
        <v>45665.133090277777</v>
      </c>
      <c r="D205" s="3" t="s">
        <v>919</v>
      </c>
      <c r="E205" s="10">
        <v>45665.137013888889</v>
      </c>
      <c r="F205" s="10">
        <v>45665.159467592603</v>
      </c>
      <c r="G205" s="11">
        <f t="shared" si="6"/>
        <v>3.9236111115314998E-3</v>
      </c>
      <c r="H205" s="11">
        <f t="shared" si="7"/>
        <v>2.6377314825367648E-2</v>
      </c>
    </row>
    <row r="206" spans="1:8" x14ac:dyDescent="0.25">
      <c r="A206" s="3" t="s">
        <v>989</v>
      </c>
      <c r="B206" s="3" t="s">
        <v>3193</v>
      </c>
      <c r="C206" s="10">
        <v>45665.134710648148</v>
      </c>
      <c r="D206" s="3" t="s">
        <v>990</v>
      </c>
      <c r="E206" s="10">
        <v>45665.137106481481</v>
      </c>
      <c r="F206" s="10">
        <v>45665.171932870369</v>
      </c>
      <c r="G206" s="11">
        <f t="shared" si="6"/>
        <v>2.3958333331393078E-3</v>
      </c>
      <c r="H206" s="11">
        <f t="shared" si="7"/>
        <v>3.722222222131677E-2</v>
      </c>
    </row>
    <row r="207" spans="1:8" x14ac:dyDescent="0.25">
      <c r="A207" s="3" t="s">
        <v>992</v>
      </c>
      <c r="B207" s="3" t="s">
        <v>3201</v>
      </c>
      <c r="C207" s="10">
        <v>45665.136550925927</v>
      </c>
      <c r="D207" s="3" t="s">
        <v>873</v>
      </c>
      <c r="E207" s="10">
        <v>45665.140451388892</v>
      </c>
      <c r="F207" s="10">
        <v>45665.180775462963</v>
      </c>
      <c r="G207" s="11">
        <f t="shared" si="6"/>
        <v>3.9004629652481526E-3</v>
      </c>
      <c r="H207" s="11">
        <f t="shared" si="7"/>
        <v>4.4224537035916001E-2</v>
      </c>
    </row>
    <row r="208" spans="1:8" x14ac:dyDescent="0.25">
      <c r="A208" s="3" t="s">
        <v>994</v>
      </c>
      <c r="B208" s="3" t="s">
        <v>3193</v>
      </c>
      <c r="C208" s="10">
        <v>45665.137812499997</v>
      </c>
      <c r="D208" s="3" t="s">
        <v>995</v>
      </c>
      <c r="E208" s="10">
        <v>45665.263020833343</v>
      </c>
      <c r="F208" s="10">
        <v>45665.316574074073</v>
      </c>
      <c r="G208" s="11">
        <f t="shared" si="6"/>
        <v>0.12520833334565395</v>
      </c>
      <c r="H208" s="11">
        <f t="shared" si="7"/>
        <v>0.17876157407590654</v>
      </c>
    </row>
    <row r="209" spans="1:8" x14ac:dyDescent="0.25">
      <c r="A209" s="3" t="s">
        <v>997</v>
      </c>
      <c r="B209" s="3" t="s">
        <v>3202</v>
      </c>
      <c r="C209" s="10">
        <v>45665.169965277782</v>
      </c>
      <c r="D209" s="3" t="s">
        <v>886</v>
      </c>
      <c r="E209" s="10">
        <v>45665.173888888887</v>
      </c>
      <c r="F209" s="10">
        <v>45665.279490740737</v>
      </c>
      <c r="G209" s="11">
        <f t="shared" si="6"/>
        <v>3.9236111042555422E-3</v>
      </c>
      <c r="H209" s="11">
        <f t="shared" si="7"/>
        <v>0.10952546295447974</v>
      </c>
    </row>
    <row r="210" spans="1:8" x14ac:dyDescent="0.25">
      <c r="A210" s="3" t="s">
        <v>999</v>
      </c>
      <c r="B210" s="3" t="s">
        <v>3193</v>
      </c>
      <c r="C210" s="10">
        <v>45665.260844907411</v>
      </c>
      <c r="D210" s="3" t="s">
        <v>995</v>
      </c>
      <c r="E210" s="10">
        <v>45665.263020833343</v>
      </c>
      <c r="F210" s="10">
        <v>45665.316574074073</v>
      </c>
      <c r="G210" s="11">
        <f t="shared" si="6"/>
        <v>2.1759259325335734E-3</v>
      </c>
      <c r="H210" s="11">
        <f t="shared" si="7"/>
        <v>5.5729166662786156E-2</v>
      </c>
    </row>
    <row r="211" spans="1:8" x14ac:dyDescent="0.25">
      <c r="A211" s="3" t="s">
        <v>1040</v>
      </c>
      <c r="B211" s="3" t="s">
        <v>3202</v>
      </c>
      <c r="C211" s="10">
        <v>45665.314131944448</v>
      </c>
      <c r="D211" s="3" t="s">
        <v>1041</v>
      </c>
      <c r="E211" s="10">
        <v>45665.316284722219</v>
      </c>
      <c r="F211" s="10">
        <v>45665.345196759263</v>
      </c>
      <c r="G211" s="11">
        <f t="shared" si="6"/>
        <v>2.152777771698311E-3</v>
      </c>
      <c r="H211" s="11">
        <f t="shared" si="7"/>
        <v>3.1064814815181307E-2</v>
      </c>
    </row>
    <row r="212" spans="1:8" x14ac:dyDescent="0.25">
      <c r="A212" s="3" t="s">
        <v>1001</v>
      </c>
      <c r="B212" s="3" t="s">
        <v>3199</v>
      </c>
      <c r="C212" s="10">
        <v>45665.331412037027</v>
      </c>
      <c r="D212" s="3" t="s">
        <v>1002</v>
      </c>
      <c r="E212" s="10">
        <v>45665.355787037042</v>
      </c>
      <c r="F212" s="10">
        <v>45665.388090277767</v>
      </c>
      <c r="G212" s="11">
        <f t="shared" si="6"/>
        <v>2.437500001542503E-2</v>
      </c>
      <c r="H212" s="11">
        <f t="shared" si="7"/>
        <v>5.6678240740438923E-2</v>
      </c>
    </row>
    <row r="213" spans="1:8" x14ac:dyDescent="0.25">
      <c r="A213" s="3" t="s">
        <v>1004</v>
      </c>
      <c r="B213" s="3" t="s">
        <v>3194</v>
      </c>
      <c r="C213" s="10">
        <v>45665.333344907413</v>
      </c>
      <c r="D213" s="3" t="s">
        <v>757</v>
      </c>
      <c r="E213" s="10">
        <v>45665.646631944437</v>
      </c>
      <c r="F213" s="10">
        <v>45665.673414351862</v>
      </c>
      <c r="G213" s="11">
        <f t="shared" si="6"/>
        <v>0.31328703702456551</v>
      </c>
      <c r="H213" s="11">
        <f t="shared" si="7"/>
        <v>0.3400694444499095</v>
      </c>
    </row>
    <row r="214" spans="1:8" x14ac:dyDescent="0.25">
      <c r="A214" s="3" t="s">
        <v>1006</v>
      </c>
      <c r="B214" s="3" t="s">
        <v>3199</v>
      </c>
      <c r="C214" s="10">
        <v>45665.335219907407</v>
      </c>
      <c r="D214" s="3" t="s">
        <v>1002</v>
      </c>
      <c r="E214" s="10">
        <v>45665.355787037042</v>
      </c>
      <c r="F214" s="10">
        <v>45665.388090277767</v>
      </c>
      <c r="G214" s="11">
        <f t="shared" si="6"/>
        <v>2.0567129635310266E-2</v>
      </c>
      <c r="H214" s="11">
        <f t="shared" si="7"/>
        <v>5.2870370360324159E-2</v>
      </c>
    </row>
    <row r="215" spans="1:8" x14ac:dyDescent="0.25">
      <c r="A215" s="3" t="s">
        <v>1008</v>
      </c>
      <c r="B215" s="3" t="s">
        <v>3204</v>
      </c>
      <c r="C215" s="10">
        <v>45665.337326388893</v>
      </c>
      <c r="D215" s="3" t="s">
        <v>1009</v>
      </c>
      <c r="E215" s="10">
        <v>45666.13380787037</v>
      </c>
      <c r="F215" s="10">
        <v>45666.16983796296</v>
      </c>
      <c r="G215" s="11">
        <f t="shared" si="6"/>
        <v>0.79648148147680331</v>
      </c>
      <c r="H215" s="11">
        <f t="shared" si="7"/>
        <v>0.83251157406630227</v>
      </c>
    </row>
    <row r="216" spans="1:8" x14ac:dyDescent="0.25">
      <c r="A216" s="3" t="s">
        <v>1011</v>
      </c>
      <c r="B216" s="3" t="s">
        <v>3195</v>
      </c>
      <c r="C216" s="10">
        <v>45665.339039351849</v>
      </c>
      <c r="D216" s="3" t="s">
        <v>1012</v>
      </c>
      <c r="E216" s="10">
        <v>45666.330567129633</v>
      </c>
      <c r="F216" s="10">
        <v>45666.353900462957</v>
      </c>
      <c r="G216" s="11">
        <f t="shared" si="6"/>
        <v>0.99152777778363088</v>
      </c>
      <c r="H216" s="11">
        <f t="shared" si="7"/>
        <v>1.0148611111071659</v>
      </c>
    </row>
    <row r="217" spans="1:8" x14ac:dyDescent="0.25">
      <c r="A217" s="3" t="s">
        <v>1014</v>
      </c>
      <c r="B217" s="3" t="s">
        <v>3193</v>
      </c>
      <c r="C217" s="10">
        <v>45665.340277777781</v>
      </c>
      <c r="D217" s="3" t="s">
        <v>1015</v>
      </c>
      <c r="E217" s="10">
        <v>45665.364120370366</v>
      </c>
      <c r="F217" s="10">
        <v>45665.440208333333</v>
      </c>
      <c r="G217" s="11">
        <f t="shared" si="6"/>
        <v>2.3842592585424427E-2</v>
      </c>
      <c r="H217" s="11">
        <f t="shared" si="7"/>
        <v>9.9930555552418809E-2</v>
      </c>
    </row>
    <row r="218" spans="1:8" x14ac:dyDescent="0.25">
      <c r="A218" s="3" t="s">
        <v>1017</v>
      </c>
      <c r="B218" s="3" t="s">
        <v>3203</v>
      </c>
      <c r="C218" s="10">
        <v>45665.341493055559</v>
      </c>
      <c r="D218" s="3" t="s">
        <v>924</v>
      </c>
      <c r="E218" s="10">
        <v>45665.345416666663</v>
      </c>
      <c r="F218" s="10">
        <v>45665.369629629633</v>
      </c>
      <c r="G218" s="11">
        <f t="shared" si="6"/>
        <v>3.9236111042555422E-3</v>
      </c>
      <c r="H218" s="11">
        <f t="shared" si="7"/>
        <v>2.8136574073869269E-2</v>
      </c>
    </row>
    <row r="219" spans="1:8" x14ac:dyDescent="0.25">
      <c r="A219" s="3" t="s">
        <v>1019</v>
      </c>
      <c r="B219" s="3" t="s">
        <v>3201</v>
      </c>
      <c r="C219" s="10">
        <v>45665.343217592592</v>
      </c>
      <c r="D219" s="3" t="s">
        <v>1020</v>
      </c>
      <c r="E219" s="10">
        <v>45667.135671296302</v>
      </c>
      <c r="F219" s="10">
        <v>45667.15997685185</v>
      </c>
      <c r="G219" s="11">
        <f t="shared" si="6"/>
        <v>1.7924537037106347</v>
      </c>
      <c r="H219" s="11">
        <f t="shared" si="7"/>
        <v>1.8167592592581059</v>
      </c>
    </row>
    <row r="220" spans="1:8" x14ac:dyDescent="0.25">
      <c r="A220" s="3" t="s">
        <v>1022</v>
      </c>
      <c r="B220" s="3" t="s">
        <v>3197</v>
      </c>
      <c r="C220" s="10">
        <v>45665.345347222217</v>
      </c>
      <c r="D220" s="3" t="s">
        <v>1023</v>
      </c>
      <c r="E220" s="10">
        <v>45665.347731481481</v>
      </c>
      <c r="F220" s="10">
        <v>45665.368136574078</v>
      </c>
      <c r="G220" s="11">
        <f t="shared" si="6"/>
        <v>2.384259263635613E-3</v>
      </c>
      <c r="H220" s="11">
        <f t="shared" si="7"/>
        <v>2.2789351860410534E-2</v>
      </c>
    </row>
    <row r="221" spans="1:8" x14ac:dyDescent="0.25">
      <c r="A221" s="3" t="s">
        <v>1025</v>
      </c>
      <c r="B221" s="3" t="s">
        <v>3204</v>
      </c>
      <c r="C221" s="10">
        <v>45665.347349537027</v>
      </c>
      <c r="D221" s="3" t="s">
        <v>1009</v>
      </c>
      <c r="E221" s="10">
        <v>45666.13380787037</v>
      </c>
      <c r="F221" s="10">
        <v>45666.16983796296</v>
      </c>
      <c r="G221" s="11">
        <f t="shared" si="6"/>
        <v>0.78645833334303461</v>
      </c>
      <c r="H221" s="11">
        <f t="shared" si="7"/>
        <v>0.82248842593253357</v>
      </c>
    </row>
    <row r="222" spans="1:8" x14ac:dyDescent="0.25">
      <c r="A222" s="3" t="s">
        <v>1027</v>
      </c>
      <c r="B222" s="3" t="s">
        <v>3203</v>
      </c>
      <c r="C222" s="10">
        <v>45665.348668981482</v>
      </c>
      <c r="D222" s="3" t="s">
        <v>1028</v>
      </c>
      <c r="E222" s="10">
        <v>45665.38690972222</v>
      </c>
      <c r="F222" s="10">
        <v>45665.409768518519</v>
      </c>
      <c r="G222" s="11">
        <f t="shared" si="6"/>
        <v>3.8240740737819578E-2</v>
      </c>
      <c r="H222" s="11">
        <f t="shared" si="7"/>
        <v>6.1099537037080154E-2</v>
      </c>
    </row>
    <row r="223" spans="1:8" x14ac:dyDescent="0.25">
      <c r="A223" s="3" t="s">
        <v>1030</v>
      </c>
      <c r="B223" s="3" t="s">
        <v>3199</v>
      </c>
      <c r="C223" s="10">
        <v>45665.350706018522</v>
      </c>
      <c r="D223" s="3" t="s">
        <v>1002</v>
      </c>
      <c r="E223" s="10">
        <v>45665.355787037042</v>
      </c>
      <c r="F223" s="10">
        <v>45665.388090277767</v>
      </c>
      <c r="G223" s="11">
        <f t="shared" si="6"/>
        <v>5.0810185202863067E-3</v>
      </c>
      <c r="H223" s="11">
        <f t="shared" si="7"/>
        <v>3.73842592453002E-2</v>
      </c>
    </row>
    <row r="224" spans="1:8" x14ac:dyDescent="0.25">
      <c r="A224" s="3" t="s">
        <v>1032</v>
      </c>
      <c r="B224" s="3" t="s">
        <v>3206</v>
      </c>
      <c r="C224" s="10">
        <v>45665.35229166667</v>
      </c>
      <c r="D224" s="3" t="s">
        <v>1034</v>
      </c>
      <c r="E224" s="10">
        <v>45666.784074074072</v>
      </c>
      <c r="F224" s="10">
        <v>45666.816678240742</v>
      </c>
      <c r="G224" s="11">
        <f t="shared" si="6"/>
        <v>1.431782407402352</v>
      </c>
      <c r="H224" s="11">
        <f t="shared" si="7"/>
        <v>1.4643865740727051</v>
      </c>
    </row>
    <row r="225" spans="1:8" x14ac:dyDescent="0.25">
      <c r="A225" s="3" t="s">
        <v>1036</v>
      </c>
      <c r="B225" s="3" t="s">
        <v>3195</v>
      </c>
      <c r="C225" s="10">
        <v>45665.354004629633</v>
      </c>
      <c r="D225" s="3" t="s">
        <v>1012</v>
      </c>
      <c r="E225" s="10">
        <v>45666.330567129633</v>
      </c>
      <c r="F225" s="10">
        <v>45666.353900462957</v>
      </c>
      <c r="G225" s="11">
        <f t="shared" si="6"/>
        <v>0.9765625</v>
      </c>
      <c r="H225" s="11">
        <f t="shared" si="7"/>
        <v>0.99989583332353504</v>
      </c>
    </row>
    <row r="226" spans="1:8" x14ac:dyDescent="0.25">
      <c r="A226" s="3" t="s">
        <v>1038</v>
      </c>
      <c r="B226" s="3" t="s">
        <v>3198</v>
      </c>
      <c r="C226" s="10">
        <v>45665.355462962973</v>
      </c>
      <c r="D226" s="3" t="s">
        <v>596</v>
      </c>
      <c r="E226" s="10">
        <v>45666.323449074072</v>
      </c>
      <c r="F226" s="10">
        <v>45666.397569444453</v>
      </c>
      <c r="G226" s="11">
        <f t="shared" si="6"/>
        <v>0.96798611109988997</v>
      </c>
      <c r="H226" s="11">
        <f t="shared" si="7"/>
        <v>1.0421064814800047</v>
      </c>
    </row>
    <row r="227" spans="1:8" x14ac:dyDescent="0.25">
      <c r="A227" s="3" t="s">
        <v>1043</v>
      </c>
      <c r="B227" s="3" t="s">
        <v>3193</v>
      </c>
      <c r="C227" s="10">
        <v>45665.358483796299</v>
      </c>
      <c r="D227" s="3" t="s">
        <v>1015</v>
      </c>
      <c r="E227" s="10">
        <v>45665.364120370366</v>
      </c>
      <c r="F227" s="10">
        <v>45665.440208333333</v>
      </c>
      <c r="G227" s="11">
        <f t="shared" si="6"/>
        <v>5.6365740674664266E-3</v>
      </c>
      <c r="H227" s="11">
        <f t="shared" si="7"/>
        <v>8.1724537034460809E-2</v>
      </c>
    </row>
    <row r="228" spans="1:8" x14ac:dyDescent="0.25">
      <c r="A228" s="3" t="s">
        <v>1045</v>
      </c>
      <c r="B228" s="3" t="s">
        <v>3203</v>
      </c>
      <c r="C228" s="10">
        <v>45665.384513888886</v>
      </c>
      <c r="D228" s="3" t="s">
        <v>1028</v>
      </c>
      <c r="E228" s="10">
        <v>45665.38690972222</v>
      </c>
      <c r="F228" s="10">
        <v>45665.409768518519</v>
      </c>
      <c r="G228" s="11">
        <f t="shared" si="6"/>
        <v>2.3958333331393078E-3</v>
      </c>
      <c r="H228" s="11">
        <f t="shared" si="7"/>
        <v>2.5254629632399883E-2</v>
      </c>
    </row>
    <row r="229" spans="1:8" x14ac:dyDescent="0.25">
      <c r="A229" s="3" t="s">
        <v>1047</v>
      </c>
      <c r="B229" s="3" t="s">
        <v>3197</v>
      </c>
      <c r="C229" s="10">
        <v>45665.386712962973</v>
      </c>
      <c r="D229" s="3" t="s">
        <v>1048</v>
      </c>
      <c r="E229" s="10">
        <v>45665.388888888891</v>
      </c>
      <c r="F229" s="10">
        <v>45665.412256944437</v>
      </c>
      <c r="G229" s="11">
        <f t="shared" si="6"/>
        <v>2.1759259179816581E-3</v>
      </c>
      <c r="H229" s="11">
        <f t="shared" si="7"/>
        <v>2.5543981464579701E-2</v>
      </c>
    </row>
    <row r="230" spans="1:8" x14ac:dyDescent="0.25">
      <c r="A230" s="3" t="s">
        <v>1050</v>
      </c>
      <c r="B230" s="3" t="s">
        <v>3203</v>
      </c>
      <c r="C230" s="10">
        <v>45665.439282407409</v>
      </c>
      <c r="D230" s="3" t="s">
        <v>1051</v>
      </c>
      <c r="E230" s="10">
        <v>45665.441655092603</v>
      </c>
      <c r="F230" s="10">
        <v>45665.464953703697</v>
      </c>
      <c r="G230" s="11">
        <f t="shared" si="6"/>
        <v>2.3726851941319183E-3</v>
      </c>
      <c r="H230" s="11">
        <f t="shared" si="7"/>
        <v>2.5671296287328005E-2</v>
      </c>
    </row>
    <row r="231" spans="1:8" x14ac:dyDescent="0.25">
      <c r="A231" s="3" t="s">
        <v>1053</v>
      </c>
      <c r="B231" s="3" t="s">
        <v>3199</v>
      </c>
      <c r="C231" s="10">
        <v>45665.441203703696</v>
      </c>
      <c r="D231" s="3" t="s">
        <v>1054</v>
      </c>
      <c r="E231" s="10">
        <v>45666.383101851847</v>
      </c>
      <c r="F231" s="10">
        <v>45666.444733796299</v>
      </c>
      <c r="G231" s="11">
        <f t="shared" si="6"/>
        <v>0.94189814815035788</v>
      </c>
      <c r="H231" s="11">
        <f t="shared" si="7"/>
        <v>1.0035300926028867</v>
      </c>
    </row>
    <row r="232" spans="1:8" x14ac:dyDescent="0.25">
      <c r="A232" s="3" t="s">
        <v>1056</v>
      </c>
      <c r="B232" s="3" t="s">
        <v>3193</v>
      </c>
      <c r="C232" s="10">
        <v>45665.443124999998</v>
      </c>
      <c r="D232" s="3" t="s">
        <v>1057</v>
      </c>
      <c r="E232" s="10">
        <v>45665.445509259262</v>
      </c>
      <c r="F232" s="10">
        <v>45665.499016203707</v>
      </c>
      <c r="G232" s="11">
        <f t="shared" si="6"/>
        <v>2.384259263635613E-3</v>
      </c>
      <c r="H232" s="11">
        <f t="shared" si="7"/>
        <v>5.5891203708597459E-2</v>
      </c>
    </row>
    <row r="233" spans="1:8" x14ac:dyDescent="0.25">
      <c r="A233" s="3" t="s">
        <v>1059</v>
      </c>
      <c r="B233" s="3" t="s">
        <v>3203</v>
      </c>
      <c r="C233" s="10">
        <v>45665.542500000003</v>
      </c>
      <c r="D233" s="3" t="s">
        <v>1060</v>
      </c>
      <c r="E233" s="10">
        <v>45665.544675925928</v>
      </c>
      <c r="F233" s="10">
        <v>45665.598229166673</v>
      </c>
      <c r="G233" s="11">
        <f t="shared" si="6"/>
        <v>2.1759259252576157E-3</v>
      </c>
      <c r="H233" s="11">
        <f t="shared" si="7"/>
        <v>5.5729166670062114E-2</v>
      </c>
    </row>
    <row r="234" spans="1:8" x14ac:dyDescent="0.25">
      <c r="A234" s="3" t="s">
        <v>1062</v>
      </c>
      <c r="B234" s="3" t="s">
        <v>3203</v>
      </c>
      <c r="C234" s="10">
        <v>45665.612638888888</v>
      </c>
      <c r="D234" s="3" t="s">
        <v>1063</v>
      </c>
      <c r="E234" s="10">
        <v>45665.615034722221</v>
      </c>
      <c r="F234" s="10">
        <v>45665.680648148147</v>
      </c>
      <c r="G234" s="11">
        <f t="shared" si="6"/>
        <v>2.3958333331393078E-3</v>
      </c>
      <c r="H234" s="11">
        <f t="shared" si="7"/>
        <v>6.8009259259270038E-2</v>
      </c>
    </row>
    <row r="235" spans="1:8" x14ac:dyDescent="0.25">
      <c r="A235" s="3" t="s">
        <v>1065</v>
      </c>
      <c r="B235" s="3" t="s">
        <v>3194</v>
      </c>
      <c r="C235" s="10">
        <v>45665.642708333333</v>
      </c>
      <c r="D235" s="3" t="s">
        <v>757</v>
      </c>
      <c r="E235" s="10">
        <v>45665.646631944437</v>
      </c>
      <c r="F235" s="10">
        <v>45665.673414351862</v>
      </c>
      <c r="G235" s="11">
        <f t="shared" si="6"/>
        <v>3.9236111042555422E-3</v>
      </c>
      <c r="H235" s="11">
        <f t="shared" si="7"/>
        <v>3.0706018529599532E-2</v>
      </c>
    </row>
    <row r="236" spans="1:8" x14ac:dyDescent="0.25">
      <c r="A236" s="3" t="s">
        <v>1067</v>
      </c>
      <c r="B236" s="3" t="s">
        <v>3206</v>
      </c>
      <c r="C236" s="10">
        <v>45665.644317129627</v>
      </c>
      <c r="D236" s="3" t="s">
        <v>1034</v>
      </c>
      <c r="E236" s="10">
        <v>45666.784074074072</v>
      </c>
      <c r="F236" s="10">
        <v>45666.816678240742</v>
      </c>
      <c r="G236" s="11">
        <f t="shared" si="6"/>
        <v>1.1397569444452529</v>
      </c>
      <c r="H236" s="11">
        <f t="shared" si="7"/>
        <v>1.172361111115606</v>
      </c>
    </row>
    <row r="237" spans="1:8" x14ac:dyDescent="0.25">
      <c r="A237" s="3" t="s">
        <v>1069</v>
      </c>
      <c r="B237" s="3" t="s">
        <v>3193</v>
      </c>
      <c r="C237" s="10">
        <v>45665.645624999997</v>
      </c>
      <c r="D237" s="3" t="s">
        <v>1070</v>
      </c>
      <c r="E237" s="10">
        <v>45666.129837962973</v>
      </c>
      <c r="F237" s="10">
        <v>45666.150416666656</v>
      </c>
      <c r="G237" s="11">
        <f t="shared" si="6"/>
        <v>0.48421296297601657</v>
      </c>
      <c r="H237" s="11">
        <f t="shared" si="7"/>
        <v>0.50479166665900266</v>
      </c>
    </row>
    <row r="238" spans="1:8" x14ac:dyDescent="0.25">
      <c r="A238" s="3" t="s">
        <v>1072</v>
      </c>
      <c r="B238" s="3" t="s">
        <v>3197</v>
      </c>
      <c r="C238" s="10">
        <v>45665.647569444453</v>
      </c>
      <c r="D238" s="3" t="s">
        <v>1073</v>
      </c>
      <c r="E238" s="10">
        <v>45666.279189814813</v>
      </c>
      <c r="F238" s="10">
        <v>45666.312164351853</v>
      </c>
      <c r="G238" s="11">
        <f t="shared" si="6"/>
        <v>0.63162037036090624</v>
      </c>
      <c r="H238" s="11">
        <f t="shared" si="7"/>
        <v>0.66459490740089677</v>
      </c>
    </row>
    <row r="239" spans="1:8" x14ac:dyDescent="0.25">
      <c r="A239" s="3" t="s">
        <v>1075</v>
      </c>
      <c r="B239" s="3" t="s">
        <v>3201</v>
      </c>
      <c r="C239" s="10">
        <v>45665.649328703701</v>
      </c>
      <c r="D239" s="3" t="s">
        <v>1020</v>
      </c>
      <c r="E239" s="10">
        <v>45667.135671296302</v>
      </c>
      <c r="F239" s="10">
        <v>45667.15997685185</v>
      </c>
      <c r="G239" s="11">
        <f t="shared" si="6"/>
        <v>1.4863425926014315</v>
      </c>
      <c r="H239" s="11">
        <f t="shared" si="7"/>
        <v>1.5106481481489027</v>
      </c>
    </row>
    <row r="240" spans="1:8" x14ac:dyDescent="0.25">
      <c r="A240" s="3" t="s">
        <v>1077</v>
      </c>
      <c r="B240" s="3" t="s">
        <v>3203</v>
      </c>
      <c r="C240" s="10">
        <v>45665.650671296287</v>
      </c>
      <c r="D240" s="3" t="s">
        <v>1078</v>
      </c>
      <c r="E240" s="10">
        <v>45665.734178240738</v>
      </c>
      <c r="F240" s="10">
        <v>45665.772268518522</v>
      </c>
      <c r="G240" s="11">
        <f t="shared" si="6"/>
        <v>8.350694445107365E-2</v>
      </c>
      <c r="H240" s="11">
        <f t="shared" si="7"/>
        <v>0.12159722223441349</v>
      </c>
    </row>
    <row r="241" spans="1:8" x14ac:dyDescent="0.25">
      <c r="A241" s="3" t="s">
        <v>1080</v>
      </c>
      <c r="B241" s="3" t="s">
        <v>3193</v>
      </c>
      <c r="C241" s="10">
        <v>45665.651932870373</v>
      </c>
      <c r="D241" s="3" t="s">
        <v>1070</v>
      </c>
      <c r="E241" s="10">
        <v>45666.129837962973</v>
      </c>
      <c r="F241" s="10">
        <v>45666.150416666656</v>
      </c>
      <c r="G241" s="11">
        <f t="shared" si="6"/>
        <v>0.47790509260084946</v>
      </c>
      <c r="H241" s="11">
        <f t="shared" si="7"/>
        <v>0.49848379628383555</v>
      </c>
    </row>
    <row r="242" spans="1:8" x14ac:dyDescent="0.25">
      <c r="A242" s="3" t="s">
        <v>1082</v>
      </c>
      <c r="B242" s="3" t="s">
        <v>3195</v>
      </c>
      <c r="C242" s="10">
        <v>45665.653668981482</v>
      </c>
      <c r="D242" s="3" t="s">
        <v>1012</v>
      </c>
      <c r="E242" s="10">
        <v>45666.330567129633</v>
      </c>
      <c r="F242" s="10">
        <v>45666.353900462957</v>
      </c>
      <c r="G242" s="11">
        <f t="shared" si="6"/>
        <v>0.67689814815093996</v>
      </c>
      <c r="H242" s="11">
        <f t="shared" si="7"/>
        <v>0.700231481474475</v>
      </c>
    </row>
    <row r="243" spans="1:8" x14ac:dyDescent="0.25">
      <c r="A243" s="3" t="s">
        <v>1084</v>
      </c>
      <c r="B243" s="3" t="s">
        <v>3202</v>
      </c>
      <c r="C243" s="10">
        <v>45665.655115740738</v>
      </c>
      <c r="D243" s="3" t="s">
        <v>1085</v>
      </c>
      <c r="E243" s="10">
        <v>45666.327210648153</v>
      </c>
      <c r="F243" s="10">
        <v>45666.355937499997</v>
      </c>
      <c r="G243" s="11">
        <f t="shared" si="6"/>
        <v>0.67209490741515765</v>
      </c>
      <c r="H243" s="11">
        <f t="shared" si="7"/>
        <v>0.70082175925927004</v>
      </c>
    </row>
    <row r="244" spans="1:8" x14ac:dyDescent="0.25">
      <c r="A244" s="3" t="s">
        <v>1087</v>
      </c>
      <c r="B244" s="3" t="s">
        <v>3197</v>
      </c>
      <c r="C244" s="10">
        <v>45665.657083333332</v>
      </c>
      <c r="D244" s="3" t="s">
        <v>1073</v>
      </c>
      <c r="E244" s="10">
        <v>45666.279189814813</v>
      </c>
      <c r="F244" s="10">
        <v>45666.312164351853</v>
      </c>
      <c r="G244" s="11">
        <f t="shared" si="6"/>
        <v>0.62210648148175096</v>
      </c>
      <c r="H244" s="11">
        <f t="shared" si="7"/>
        <v>0.6550810185217415</v>
      </c>
    </row>
    <row r="245" spans="1:8" x14ac:dyDescent="0.25">
      <c r="A245" s="3" t="s">
        <v>1089</v>
      </c>
      <c r="B245" s="3" t="s">
        <v>3198</v>
      </c>
      <c r="C245" s="10">
        <v>45665.658576388887</v>
      </c>
      <c r="D245" s="3" t="s">
        <v>596</v>
      </c>
      <c r="E245" s="10">
        <v>45666.323449074072</v>
      </c>
      <c r="F245" s="10">
        <v>45666.397569444453</v>
      </c>
      <c r="G245" s="11">
        <f t="shared" si="6"/>
        <v>0.66487268518540077</v>
      </c>
      <c r="H245" s="11">
        <f t="shared" si="7"/>
        <v>0.73899305556551553</v>
      </c>
    </row>
    <row r="246" spans="1:8" x14ac:dyDescent="0.25">
      <c r="A246" s="3" t="s">
        <v>1091</v>
      </c>
      <c r="B246" s="3" t="s">
        <v>3205</v>
      </c>
      <c r="C246" s="10">
        <v>45665.661504629628</v>
      </c>
      <c r="D246" s="3" t="s">
        <v>1092</v>
      </c>
      <c r="E246" s="10">
        <v>45665.66715277778</v>
      </c>
      <c r="F246" s="10">
        <v>45665.733090277783</v>
      </c>
      <c r="G246" s="11">
        <f t="shared" si="6"/>
        <v>5.6481481515220366E-3</v>
      </c>
      <c r="H246" s="11">
        <f t="shared" si="7"/>
        <v>7.1585648154723458E-2</v>
      </c>
    </row>
    <row r="247" spans="1:8" x14ac:dyDescent="0.25">
      <c r="A247" s="3" t="s">
        <v>1094</v>
      </c>
      <c r="B247" s="3" t="s">
        <v>3203</v>
      </c>
      <c r="C247" s="10">
        <v>45665.731990740736</v>
      </c>
      <c r="D247" s="3" t="s">
        <v>1078</v>
      </c>
      <c r="E247" s="10">
        <v>45665.734178240738</v>
      </c>
      <c r="F247" s="10">
        <v>45665.772268518522</v>
      </c>
      <c r="G247" s="11">
        <f t="shared" si="6"/>
        <v>2.1875000020372681E-3</v>
      </c>
      <c r="H247" s="11">
        <f t="shared" si="7"/>
        <v>4.0277777785377111E-2</v>
      </c>
    </row>
    <row r="248" spans="1:8" x14ac:dyDescent="0.25">
      <c r="A248" s="3" t="s">
        <v>1096</v>
      </c>
      <c r="B248" s="3" t="s">
        <v>3205</v>
      </c>
      <c r="C248" s="10">
        <v>45665.756527777783</v>
      </c>
      <c r="D248" s="3" t="s">
        <v>1097</v>
      </c>
      <c r="E248" s="10">
        <v>45665.856273148151</v>
      </c>
      <c r="F248" s="10">
        <v>45665.877962962957</v>
      </c>
      <c r="G248" s="11">
        <f t="shared" si="6"/>
        <v>9.9745370367600117E-2</v>
      </c>
      <c r="H248" s="11">
        <f t="shared" si="7"/>
        <v>0.12143518517405028</v>
      </c>
    </row>
    <row r="249" spans="1:8" x14ac:dyDescent="0.25">
      <c r="A249" s="3" t="s">
        <v>1099</v>
      </c>
      <c r="B249" s="3" t="s">
        <v>3202</v>
      </c>
      <c r="C249" s="10">
        <v>45665.837071759262</v>
      </c>
      <c r="D249" s="3" t="s">
        <v>1085</v>
      </c>
      <c r="E249" s="10">
        <v>45666.327210648153</v>
      </c>
      <c r="F249" s="10">
        <v>45666.355937499997</v>
      </c>
      <c r="G249" s="11">
        <f t="shared" si="6"/>
        <v>0.49013888889021473</v>
      </c>
      <c r="H249" s="11">
        <f t="shared" si="7"/>
        <v>0.51886574073432712</v>
      </c>
    </row>
    <row r="250" spans="1:8" x14ac:dyDescent="0.25">
      <c r="A250" s="3" t="s">
        <v>1101</v>
      </c>
      <c r="B250" s="3" t="s">
        <v>3206</v>
      </c>
      <c r="C250" s="10">
        <v>45665.838692129633</v>
      </c>
      <c r="D250" s="3" t="s">
        <v>1034</v>
      </c>
      <c r="E250" s="10">
        <v>45666.784074074072</v>
      </c>
      <c r="F250" s="10">
        <v>45666.816678240742</v>
      </c>
      <c r="G250" s="11">
        <f t="shared" si="6"/>
        <v>0.94538194443885004</v>
      </c>
      <c r="H250" s="11">
        <f t="shared" si="7"/>
        <v>0.97798611110920319</v>
      </c>
    </row>
    <row r="251" spans="1:8" x14ac:dyDescent="0.25">
      <c r="A251" s="3" t="s">
        <v>1103</v>
      </c>
      <c r="B251" s="3" t="s">
        <v>3200</v>
      </c>
      <c r="C251" s="10">
        <v>45665.840405092589</v>
      </c>
      <c r="D251" s="3" t="s">
        <v>655</v>
      </c>
      <c r="E251" s="10">
        <v>45666.779282407413</v>
      </c>
      <c r="F251" s="10">
        <v>45666.817453703698</v>
      </c>
      <c r="G251" s="11">
        <f t="shared" si="6"/>
        <v>0.93887731482391246</v>
      </c>
      <c r="H251" s="11">
        <f t="shared" si="7"/>
        <v>0.97704861110833008</v>
      </c>
    </row>
    <row r="252" spans="1:8" x14ac:dyDescent="0.25">
      <c r="A252" s="3" t="s">
        <v>1105</v>
      </c>
      <c r="B252" s="3" t="s">
        <v>3204</v>
      </c>
      <c r="C252" s="10">
        <v>45665.842442129629</v>
      </c>
      <c r="D252" s="3" t="s">
        <v>1009</v>
      </c>
      <c r="E252" s="10">
        <v>45666.13380787037</v>
      </c>
      <c r="F252" s="10">
        <v>45666.16983796296</v>
      </c>
      <c r="G252" s="11">
        <f t="shared" si="6"/>
        <v>0.29136574074072996</v>
      </c>
      <c r="H252" s="11">
        <f t="shared" si="7"/>
        <v>0.32739583333022892</v>
      </c>
    </row>
    <row r="253" spans="1:8" x14ac:dyDescent="0.25">
      <c r="A253" s="3" t="s">
        <v>1107</v>
      </c>
      <c r="B253" s="3" t="s">
        <v>3203</v>
      </c>
      <c r="C253" s="10">
        <v>45665.84375</v>
      </c>
      <c r="D253" s="3" t="s">
        <v>1108</v>
      </c>
      <c r="E253" s="10">
        <v>45666.276620370372</v>
      </c>
      <c r="F253" s="10">
        <v>45666.302847222221</v>
      </c>
      <c r="G253" s="11">
        <f t="shared" si="6"/>
        <v>0.43287037037225673</v>
      </c>
      <c r="H253" s="11">
        <f t="shared" si="7"/>
        <v>0.45909722222131677</v>
      </c>
    </row>
    <row r="254" spans="1:8" x14ac:dyDescent="0.25">
      <c r="A254" s="3" t="s">
        <v>1110</v>
      </c>
      <c r="B254" s="3" t="s">
        <v>3193</v>
      </c>
      <c r="C254" s="10">
        <v>45665.845057870371</v>
      </c>
      <c r="D254" s="3" t="s">
        <v>1070</v>
      </c>
      <c r="E254" s="10">
        <v>45666.129837962973</v>
      </c>
      <c r="F254" s="10">
        <v>45666.150416666656</v>
      </c>
      <c r="G254" s="11">
        <f t="shared" si="6"/>
        <v>0.28478009260288673</v>
      </c>
      <c r="H254" s="11">
        <f t="shared" si="7"/>
        <v>0.30535879628587281</v>
      </c>
    </row>
    <row r="255" spans="1:8" x14ac:dyDescent="0.25">
      <c r="A255" s="3" t="s">
        <v>1112</v>
      </c>
      <c r="B255" s="3" t="s">
        <v>3197</v>
      </c>
      <c r="C255" s="10">
        <v>45665.847013888888</v>
      </c>
      <c r="D255" s="3" t="s">
        <v>1073</v>
      </c>
      <c r="E255" s="10">
        <v>45666.279189814813</v>
      </c>
      <c r="F255" s="10">
        <v>45666.312164351853</v>
      </c>
      <c r="G255" s="11">
        <f t="shared" si="6"/>
        <v>0.43217592592554865</v>
      </c>
      <c r="H255" s="11">
        <f t="shared" si="7"/>
        <v>0.46515046296553919</v>
      </c>
    </row>
    <row r="256" spans="1:8" x14ac:dyDescent="0.25">
      <c r="A256" s="3" t="s">
        <v>1114</v>
      </c>
      <c r="B256" s="3" t="s">
        <v>3195</v>
      </c>
      <c r="C256" s="10">
        <v>45665.84878472222</v>
      </c>
      <c r="D256" s="3" t="s">
        <v>1012</v>
      </c>
      <c r="E256" s="10">
        <v>45666.330567129633</v>
      </c>
      <c r="F256" s="10">
        <v>45666.353900462957</v>
      </c>
      <c r="G256" s="11">
        <f t="shared" si="6"/>
        <v>0.4817824074125383</v>
      </c>
      <c r="H256" s="11">
        <f t="shared" si="7"/>
        <v>0.50511574073607335</v>
      </c>
    </row>
    <row r="257" spans="1:8" x14ac:dyDescent="0.25">
      <c r="A257" s="3" t="s">
        <v>1116</v>
      </c>
      <c r="B257" s="3" t="s">
        <v>3206</v>
      </c>
      <c r="C257" s="10">
        <v>45665.850405092591</v>
      </c>
      <c r="D257" s="3" t="s">
        <v>1034</v>
      </c>
      <c r="E257" s="10">
        <v>45666.784074074072</v>
      </c>
      <c r="F257" s="10">
        <v>45666.816678240742</v>
      </c>
      <c r="G257" s="11">
        <f t="shared" si="6"/>
        <v>0.93366898148087785</v>
      </c>
      <c r="H257" s="11">
        <f t="shared" si="7"/>
        <v>0.966273148151231</v>
      </c>
    </row>
    <row r="258" spans="1:8" x14ac:dyDescent="0.25">
      <c r="A258" s="3" t="s">
        <v>1118</v>
      </c>
      <c r="B258" s="3" t="s">
        <v>3205</v>
      </c>
      <c r="C258" s="10">
        <v>45665.852719907409</v>
      </c>
      <c r="D258" s="3" t="s">
        <v>1097</v>
      </c>
      <c r="E258" s="10">
        <v>45665.856273148151</v>
      </c>
      <c r="F258" s="10">
        <v>45665.877962962957</v>
      </c>
      <c r="G258" s="11">
        <f t="shared" ref="G258:G321" si="8">IF(AND(ISNUMBER(C258),ISNUMBER(E258)),(E258-C258),"")</f>
        <v>3.5532407418941148E-3</v>
      </c>
      <c r="H258" s="11">
        <f t="shared" ref="H258:H321" si="9">IF(AND(ISNUMBER(C258),ISNUMBER(F258)),(F258-C258),"")</f>
        <v>2.5243055548344273E-2</v>
      </c>
    </row>
    <row r="259" spans="1:8" x14ac:dyDescent="0.25">
      <c r="A259" s="3" t="s">
        <v>1120</v>
      </c>
      <c r="B259" s="3" t="s">
        <v>3193</v>
      </c>
      <c r="C259" s="10">
        <v>45666.125914351847</v>
      </c>
      <c r="D259" s="3" t="s">
        <v>1070</v>
      </c>
      <c r="E259" s="10">
        <v>45666.129837962973</v>
      </c>
      <c r="F259" s="10">
        <v>45666.150416666656</v>
      </c>
      <c r="G259" s="11">
        <f t="shared" si="8"/>
        <v>3.923611126083415E-3</v>
      </c>
      <c r="H259" s="11">
        <f t="shared" si="9"/>
        <v>2.4502314809069503E-2</v>
      </c>
    </row>
    <row r="260" spans="1:8" x14ac:dyDescent="0.25">
      <c r="A260" s="3" t="s">
        <v>1122</v>
      </c>
      <c r="B260" s="3" t="s">
        <v>3201</v>
      </c>
      <c r="C260" s="10">
        <v>45666.127685185187</v>
      </c>
      <c r="D260" s="3" t="s">
        <v>1020</v>
      </c>
      <c r="E260" s="10">
        <v>45667.135671296302</v>
      </c>
      <c r="F260" s="10">
        <v>45667.15997685185</v>
      </c>
      <c r="G260" s="11">
        <f t="shared" si="8"/>
        <v>1.007986111115315</v>
      </c>
      <c r="H260" s="11">
        <f t="shared" si="9"/>
        <v>1.0322916666627862</v>
      </c>
    </row>
    <row r="261" spans="1:8" x14ac:dyDescent="0.25">
      <c r="A261" s="3" t="s">
        <v>1124</v>
      </c>
      <c r="B261" s="3" t="s">
        <v>3204</v>
      </c>
      <c r="C261" s="10">
        <v>45666.129907407398</v>
      </c>
      <c r="D261" s="3" t="s">
        <v>1009</v>
      </c>
      <c r="E261" s="10">
        <v>45666.13380787037</v>
      </c>
      <c r="F261" s="10">
        <v>45666.16983796296</v>
      </c>
      <c r="G261" s="11">
        <f t="shared" si="8"/>
        <v>3.9004629725241102E-3</v>
      </c>
      <c r="H261" s="11">
        <f t="shared" si="9"/>
        <v>3.9930555562023073E-2</v>
      </c>
    </row>
    <row r="262" spans="1:8" x14ac:dyDescent="0.25">
      <c r="A262" s="3" t="s">
        <v>1126</v>
      </c>
      <c r="B262" s="3" t="s">
        <v>3203</v>
      </c>
      <c r="C262" s="10">
        <v>45666.27306712963</v>
      </c>
      <c r="D262" s="3" t="s">
        <v>1108</v>
      </c>
      <c r="E262" s="10">
        <v>45666.276620370372</v>
      </c>
      <c r="F262" s="10">
        <v>45666.302847222221</v>
      </c>
      <c r="G262" s="11">
        <f t="shared" si="8"/>
        <v>3.5532407418941148E-3</v>
      </c>
      <c r="H262" s="11">
        <f t="shared" si="9"/>
        <v>2.9780092590954155E-2</v>
      </c>
    </row>
    <row r="263" spans="1:8" x14ac:dyDescent="0.25">
      <c r="A263" s="3" t="s">
        <v>1128</v>
      </c>
      <c r="B263" s="3" t="s">
        <v>3197</v>
      </c>
      <c r="C263" s="10">
        <v>45666.275266203702</v>
      </c>
      <c r="D263" s="3" t="s">
        <v>1073</v>
      </c>
      <c r="E263" s="10">
        <v>45666.279189814813</v>
      </c>
      <c r="F263" s="10">
        <v>45666.312164351853</v>
      </c>
      <c r="G263" s="11">
        <f t="shared" si="8"/>
        <v>3.9236111115314998E-3</v>
      </c>
      <c r="H263" s="11">
        <f t="shared" si="9"/>
        <v>3.6898148151522037E-2</v>
      </c>
    </row>
    <row r="264" spans="1:8" x14ac:dyDescent="0.25">
      <c r="A264" s="3" t="s">
        <v>1130</v>
      </c>
      <c r="B264" s="3" t="s">
        <v>3193</v>
      </c>
      <c r="C264" s="10">
        <v>45666.276550925933</v>
      </c>
      <c r="D264" s="3" t="s">
        <v>1131</v>
      </c>
      <c r="E264" s="10">
        <v>45666.769699074073</v>
      </c>
      <c r="F264" s="10">
        <v>45666.810185185182</v>
      </c>
      <c r="G264" s="11">
        <f t="shared" si="8"/>
        <v>0.4931481481398805</v>
      </c>
      <c r="H264" s="11">
        <f t="shared" si="9"/>
        <v>0.5336342592490837</v>
      </c>
    </row>
    <row r="265" spans="1:8" x14ac:dyDescent="0.25">
      <c r="A265" s="3" t="s">
        <v>1133</v>
      </c>
      <c r="B265" s="3" t="s">
        <v>3204</v>
      </c>
      <c r="C265" s="10">
        <v>45666.278587962966</v>
      </c>
      <c r="D265" s="3" t="s">
        <v>1134</v>
      </c>
      <c r="E265" s="10">
        <v>45666.863680555558</v>
      </c>
      <c r="F265" s="10">
        <v>45666.886631944442</v>
      </c>
      <c r="G265" s="11">
        <f t="shared" si="8"/>
        <v>0.58509259259153623</v>
      </c>
      <c r="H265" s="11">
        <f t="shared" si="9"/>
        <v>0.6080439814759302</v>
      </c>
    </row>
    <row r="266" spans="1:8" x14ac:dyDescent="0.25">
      <c r="A266" s="3" t="s">
        <v>1136</v>
      </c>
      <c r="B266" s="3" t="s">
        <v>3193</v>
      </c>
      <c r="C266" s="10">
        <v>45666.27988425926</v>
      </c>
      <c r="D266" s="3" t="s">
        <v>1131</v>
      </c>
      <c r="E266" s="10">
        <v>45666.769699074073</v>
      </c>
      <c r="F266" s="10">
        <v>45666.810185185182</v>
      </c>
      <c r="G266" s="11">
        <f t="shared" si="8"/>
        <v>0.48981481481314404</v>
      </c>
      <c r="H266" s="11">
        <f t="shared" si="9"/>
        <v>0.53030092592234723</v>
      </c>
    </row>
    <row r="267" spans="1:8" x14ac:dyDescent="0.25">
      <c r="A267" s="3" t="s">
        <v>1138</v>
      </c>
      <c r="B267" s="3" t="s">
        <v>3205</v>
      </c>
      <c r="C267" s="10">
        <v>45666.281157407408</v>
      </c>
      <c r="D267" s="3" t="s">
        <v>1139</v>
      </c>
      <c r="E267" s="10">
        <v>45670.393287037034</v>
      </c>
      <c r="F267" s="10">
        <v>45670.426874999997</v>
      </c>
      <c r="G267" s="11">
        <f t="shared" si="8"/>
        <v>4.112129629625997</v>
      </c>
      <c r="H267" s="11">
        <f t="shared" si="9"/>
        <v>4.14571759258979</v>
      </c>
    </row>
    <row r="268" spans="1:8" x14ac:dyDescent="0.25">
      <c r="A268" s="3" t="s">
        <v>1141</v>
      </c>
      <c r="B268" s="3" t="s">
        <v>3202</v>
      </c>
      <c r="C268" s="10">
        <v>45666.282592592594</v>
      </c>
      <c r="D268" s="3" t="s">
        <v>1085</v>
      </c>
      <c r="E268" s="10">
        <v>45666.327210648153</v>
      </c>
      <c r="F268" s="10">
        <v>45666.355937499997</v>
      </c>
      <c r="G268" s="11">
        <f t="shared" si="8"/>
        <v>4.461805555911269E-2</v>
      </c>
      <c r="H268" s="11">
        <f t="shared" si="9"/>
        <v>7.3344907403225079E-2</v>
      </c>
    </row>
    <row r="269" spans="1:8" x14ac:dyDescent="0.25">
      <c r="A269" s="3" t="s">
        <v>1143</v>
      </c>
      <c r="B269" s="3" t="s">
        <v>3194</v>
      </c>
      <c r="C269" s="10">
        <v>45666.284594907411</v>
      </c>
      <c r="D269" s="3" t="s">
        <v>1144</v>
      </c>
      <c r="E269" s="10">
        <v>45666.644768518519</v>
      </c>
      <c r="F269" s="10">
        <v>45666.66673611111</v>
      </c>
      <c r="G269" s="11">
        <f t="shared" si="8"/>
        <v>0.36017361110862112</v>
      </c>
      <c r="H269" s="11">
        <f t="shared" si="9"/>
        <v>0.38214120369957527</v>
      </c>
    </row>
    <row r="270" spans="1:8" x14ac:dyDescent="0.25">
      <c r="A270" s="3" t="s">
        <v>1146</v>
      </c>
      <c r="B270" s="3" t="s">
        <v>3201</v>
      </c>
      <c r="C270" s="10">
        <v>45666.286412037043</v>
      </c>
      <c r="D270" s="3" t="s">
        <v>1020</v>
      </c>
      <c r="E270" s="10">
        <v>45667.135671296302</v>
      </c>
      <c r="F270" s="10">
        <v>45667.15997685185</v>
      </c>
      <c r="G270" s="11">
        <f t="shared" si="8"/>
        <v>0.84925925925927004</v>
      </c>
      <c r="H270" s="11">
        <f t="shared" si="9"/>
        <v>0.8735648148067412</v>
      </c>
    </row>
    <row r="271" spans="1:8" x14ac:dyDescent="0.25">
      <c r="A271" s="3" t="s">
        <v>1148</v>
      </c>
      <c r="B271" s="3" t="s">
        <v>3196</v>
      </c>
      <c r="C271" s="10">
        <v>45666.289548611108</v>
      </c>
      <c r="D271" s="3" t="s">
        <v>1149</v>
      </c>
      <c r="E271" s="10">
        <v>45666.291712962957</v>
      </c>
      <c r="F271" s="10">
        <v>45666.326851851853</v>
      </c>
      <c r="G271" s="11">
        <f t="shared" si="8"/>
        <v>2.1643518484779634E-3</v>
      </c>
      <c r="H271" s="11">
        <f t="shared" si="9"/>
        <v>3.7303240744222421E-2</v>
      </c>
    </row>
    <row r="272" spans="1:8" x14ac:dyDescent="0.25">
      <c r="A272" s="3" t="s">
        <v>1167</v>
      </c>
      <c r="B272" s="3" t="s">
        <v>3198</v>
      </c>
      <c r="C272" s="10">
        <v>45666.316331018519</v>
      </c>
      <c r="D272" s="3" t="s">
        <v>596</v>
      </c>
      <c r="E272" s="10">
        <v>45666.323449074072</v>
      </c>
      <c r="F272" s="10">
        <v>45666.397569444453</v>
      </c>
      <c r="G272" s="11">
        <f t="shared" si="8"/>
        <v>7.1180555532919243E-3</v>
      </c>
      <c r="H272" s="11">
        <f t="shared" si="9"/>
        <v>8.1238425933406688E-2</v>
      </c>
    </row>
    <row r="273" spans="1:8" x14ac:dyDescent="0.25">
      <c r="A273" s="3" t="s">
        <v>1151</v>
      </c>
      <c r="B273" s="3" t="s">
        <v>3203</v>
      </c>
      <c r="C273" s="10">
        <v>45666.318391203713</v>
      </c>
      <c r="D273" s="3" t="s">
        <v>1152</v>
      </c>
      <c r="E273" s="10">
        <v>45666.65053240741</v>
      </c>
      <c r="F273" s="10">
        <v>45666.697534722232</v>
      </c>
      <c r="G273" s="11">
        <f t="shared" si="8"/>
        <v>0.33214120369666489</v>
      </c>
      <c r="H273" s="11">
        <f t="shared" si="9"/>
        <v>0.37914351851941319</v>
      </c>
    </row>
    <row r="274" spans="1:8" x14ac:dyDescent="0.25">
      <c r="A274" s="3" t="s">
        <v>1154</v>
      </c>
      <c r="B274" s="3" t="s">
        <v>3198</v>
      </c>
      <c r="C274" s="10">
        <v>45666.319884259261</v>
      </c>
      <c r="D274" s="3" t="s">
        <v>596</v>
      </c>
      <c r="E274" s="10">
        <v>45666.323449074072</v>
      </c>
      <c r="F274" s="10">
        <v>45666.397569444453</v>
      </c>
      <c r="G274" s="11">
        <f t="shared" si="8"/>
        <v>3.5648148113978095E-3</v>
      </c>
      <c r="H274" s="11">
        <f t="shared" si="9"/>
        <v>7.7685185191512574E-2</v>
      </c>
    </row>
    <row r="275" spans="1:8" x14ac:dyDescent="0.25">
      <c r="A275" s="3" t="s">
        <v>1156</v>
      </c>
      <c r="B275" s="3" t="s">
        <v>3194</v>
      </c>
      <c r="C275" s="10">
        <v>45666.321851851862</v>
      </c>
      <c r="D275" s="3" t="s">
        <v>1144</v>
      </c>
      <c r="E275" s="10">
        <v>45666.644768518519</v>
      </c>
      <c r="F275" s="10">
        <v>45666.66673611111</v>
      </c>
      <c r="G275" s="11">
        <f t="shared" si="8"/>
        <v>0.32291666665696539</v>
      </c>
      <c r="H275" s="11">
        <f t="shared" si="9"/>
        <v>0.34488425924791954</v>
      </c>
    </row>
    <row r="276" spans="1:8" x14ac:dyDescent="0.25">
      <c r="A276" s="3" t="s">
        <v>1158</v>
      </c>
      <c r="B276" s="3" t="s">
        <v>3202</v>
      </c>
      <c r="C276" s="10">
        <v>45666.323310185187</v>
      </c>
      <c r="D276" s="3" t="s">
        <v>1085</v>
      </c>
      <c r="E276" s="10">
        <v>45666.327210648153</v>
      </c>
      <c r="F276" s="10">
        <v>45666.355937499997</v>
      </c>
      <c r="G276" s="11">
        <f t="shared" si="8"/>
        <v>3.9004629652481526E-3</v>
      </c>
      <c r="H276" s="11">
        <f t="shared" si="9"/>
        <v>3.2627314809360541E-2</v>
      </c>
    </row>
    <row r="277" spans="1:8" x14ac:dyDescent="0.25">
      <c r="A277" s="3" t="s">
        <v>1160</v>
      </c>
      <c r="B277" s="3" t="s">
        <v>3195</v>
      </c>
      <c r="C277" s="10">
        <v>45666.325046296297</v>
      </c>
      <c r="D277" s="3" t="s">
        <v>1012</v>
      </c>
      <c r="E277" s="10">
        <v>45666.330567129633</v>
      </c>
      <c r="F277" s="10">
        <v>45666.353900462957</v>
      </c>
      <c r="G277" s="11">
        <f t="shared" si="8"/>
        <v>5.5208333360496908E-3</v>
      </c>
      <c r="H277" s="11">
        <f t="shared" si="9"/>
        <v>2.8854166659584735E-2</v>
      </c>
    </row>
    <row r="278" spans="1:8" x14ac:dyDescent="0.25">
      <c r="A278" s="3" t="s">
        <v>1162</v>
      </c>
      <c r="B278" s="3" t="s">
        <v>3193</v>
      </c>
      <c r="C278" s="10">
        <v>45666.326331018521</v>
      </c>
      <c r="D278" s="3" t="s">
        <v>1131</v>
      </c>
      <c r="E278" s="10">
        <v>45666.769699074073</v>
      </c>
      <c r="F278" s="10">
        <v>45666.810185185182</v>
      </c>
      <c r="G278" s="11">
        <f t="shared" si="8"/>
        <v>0.44336805555212777</v>
      </c>
      <c r="H278" s="11">
        <f t="shared" si="9"/>
        <v>0.48385416666133096</v>
      </c>
    </row>
    <row r="279" spans="1:8" x14ac:dyDescent="0.25">
      <c r="A279" s="3" t="s">
        <v>1164</v>
      </c>
      <c r="B279" s="3" t="s">
        <v>3202</v>
      </c>
      <c r="C279" s="10">
        <v>45666.327893518523</v>
      </c>
      <c r="D279" s="3" t="s">
        <v>1165</v>
      </c>
      <c r="E279" s="10">
        <v>45666.647696759261</v>
      </c>
      <c r="F279" s="10">
        <v>45666.677349537043</v>
      </c>
      <c r="G279" s="11">
        <f t="shared" si="8"/>
        <v>0.31980324073811062</v>
      </c>
      <c r="H279" s="11">
        <f t="shared" si="9"/>
        <v>0.34945601852086838</v>
      </c>
    </row>
    <row r="280" spans="1:8" x14ac:dyDescent="0.25">
      <c r="A280" s="3" t="s">
        <v>1169</v>
      </c>
      <c r="B280" s="3" t="s">
        <v>3197</v>
      </c>
      <c r="C280" s="10">
        <v>45666.339004629634</v>
      </c>
      <c r="D280" s="3" t="s">
        <v>1170</v>
      </c>
      <c r="E280" s="10">
        <v>45666.356296296297</v>
      </c>
      <c r="F280" s="10">
        <v>45666.424814814818</v>
      </c>
      <c r="G280" s="11">
        <f t="shared" si="8"/>
        <v>1.7291666663368233E-2</v>
      </c>
      <c r="H280" s="11">
        <f t="shared" si="9"/>
        <v>8.5810185184527654E-2</v>
      </c>
    </row>
    <row r="281" spans="1:8" x14ac:dyDescent="0.25">
      <c r="A281" s="3" t="s">
        <v>1172</v>
      </c>
      <c r="B281" s="3" t="s">
        <v>3195</v>
      </c>
      <c r="C281" s="10">
        <v>45666.376736111109</v>
      </c>
      <c r="D281" s="3" t="s">
        <v>1173</v>
      </c>
      <c r="E281" s="10">
        <v>45666.379131944443</v>
      </c>
      <c r="F281" s="10">
        <v>45666.406226851846</v>
      </c>
      <c r="G281" s="11">
        <f t="shared" si="8"/>
        <v>2.3958333331393078E-3</v>
      </c>
      <c r="H281" s="11">
        <f t="shared" si="9"/>
        <v>2.9490740736946464E-2</v>
      </c>
    </row>
    <row r="282" spans="1:8" x14ac:dyDescent="0.25">
      <c r="A282" s="3" t="s">
        <v>1175</v>
      </c>
      <c r="B282" s="3" t="s">
        <v>3199</v>
      </c>
      <c r="C282" s="10">
        <v>45666.379178240742</v>
      </c>
      <c r="D282" s="3" t="s">
        <v>1054</v>
      </c>
      <c r="E282" s="10">
        <v>45666.383101851847</v>
      </c>
      <c r="F282" s="10">
        <v>45666.444733796299</v>
      </c>
      <c r="G282" s="11">
        <f t="shared" si="8"/>
        <v>3.9236111042555422E-3</v>
      </c>
      <c r="H282" s="11">
        <f t="shared" si="9"/>
        <v>6.5555555556784384E-2</v>
      </c>
    </row>
    <row r="283" spans="1:8" x14ac:dyDescent="0.25">
      <c r="A283" s="3" t="s">
        <v>1177</v>
      </c>
      <c r="B283" s="3" t="s">
        <v>3199</v>
      </c>
      <c r="C283" s="10">
        <v>45666.464432870373</v>
      </c>
      <c r="D283" s="3" t="s">
        <v>1178</v>
      </c>
      <c r="E283" s="10">
        <v>45667.390416666669</v>
      </c>
      <c r="F283" s="10">
        <v>45667.415821759263</v>
      </c>
      <c r="G283" s="11">
        <f t="shared" si="8"/>
        <v>0.92598379629635019</v>
      </c>
      <c r="H283" s="11">
        <f t="shared" si="9"/>
        <v>0.95138888889050577</v>
      </c>
    </row>
    <row r="284" spans="1:8" x14ac:dyDescent="0.25">
      <c r="A284" s="3" t="s">
        <v>1180</v>
      </c>
      <c r="B284" s="3" t="s">
        <v>3195</v>
      </c>
      <c r="C284" s="10">
        <v>45666.467083333337</v>
      </c>
      <c r="D284" s="3" t="s">
        <v>1181</v>
      </c>
      <c r="E284" s="10">
        <v>45666.46947916667</v>
      </c>
      <c r="F284" s="10">
        <v>45666.543865740743</v>
      </c>
      <c r="G284" s="11">
        <f t="shared" si="8"/>
        <v>2.3958333331393078E-3</v>
      </c>
      <c r="H284" s="11">
        <f t="shared" si="9"/>
        <v>7.6782407406426501E-2</v>
      </c>
    </row>
    <row r="285" spans="1:8" x14ac:dyDescent="0.25">
      <c r="A285" s="3" t="s">
        <v>1183</v>
      </c>
      <c r="B285" s="3" t="s">
        <v>3195</v>
      </c>
      <c r="C285" s="10">
        <v>45666.616770833331</v>
      </c>
      <c r="D285" s="3" t="s">
        <v>1184</v>
      </c>
      <c r="E285" s="10">
        <v>45666.618923611109</v>
      </c>
      <c r="F285" s="10">
        <v>45666.662858796299</v>
      </c>
      <c r="G285" s="11">
        <f t="shared" si="8"/>
        <v>2.1527777789742686E-3</v>
      </c>
      <c r="H285" s="11">
        <f t="shared" si="9"/>
        <v>4.6087962968158536E-2</v>
      </c>
    </row>
    <row r="286" spans="1:8" x14ac:dyDescent="0.25">
      <c r="A286" s="3" t="s">
        <v>1186</v>
      </c>
      <c r="B286" s="3" t="s">
        <v>3194</v>
      </c>
      <c r="C286" s="10">
        <v>45666.641215277778</v>
      </c>
      <c r="D286" s="3" t="s">
        <v>1144</v>
      </c>
      <c r="E286" s="10">
        <v>45666.644768518519</v>
      </c>
      <c r="F286" s="10">
        <v>45666.66673611111</v>
      </c>
      <c r="G286" s="11">
        <f t="shared" si="8"/>
        <v>3.5532407418941148E-3</v>
      </c>
      <c r="H286" s="11">
        <f t="shared" si="9"/>
        <v>2.5520833332848269E-2</v>
      </c>
    </row>
    <row r="287" spans="1:8" x14ac:dyDescent="0.25">
      <c r="A287" s="3" t="s">
        <v>1188</v>
      </c>
      <c r="B287" s="3" t="s">
        <v>3197</v>
      </c>
      <c r="C287" s="10">
        <v>45666.64334490741</v>
      </c>
      <c r="D287" s="3" t="s">
        <v>1189</v>
      </c>
      <c r="E287" s="10">
        <v>45666.768067129633</v>
      </c>
      <c r="F287" s="10">
        <v>45666.797361111108</v>
      </c>
      <c r="G287" s="11">
        <f t="shared" si="8"/>
        <v>0.12472222222277196</v>
      </c>
      <c r="H287" s="11">
        <f t="shared" si="9"/>
        <v>0.15401620369812008</v>
      </c>
    </row>
    <row r="288" spans="1:8" x14ac:dyDescent="0.25">
      <c r="A288" s="3" t="s">
        <v>1191</v>
      </c>
      <c r="B288" s="3" t="s">
        <v>3202</v>
      </c>
      <c r="C288" s="10">
        <v>45666.644999999997</v>
      </c>
      <c r="D288" s="3" t="s">
        <v>1165</v>
      </c>
      <c r="E288" s="10">
        <v>45666.647696759261</v>
      </c>
      <c r="F288" s="10">
        <v>45666.677349537043</v>
      </c>
      <c r="G288" s="11">
        <f t="shared" si="8"/>
        <v>2.6967592639266513E-3</v>
      </c>
      <c r="H288" s="11">
        <f t="shared" si="9"/>
        <v>3.2349537046684418E-2</v>
      </c>
    </row>
    <row r="289" spans="1:8" x14ac:dyDescent="0.25">
      <c r="A289" s="3" t="s">
        <v>1193</v>
      </c>
      <c r="B289" s="3" t="s">
        <v>3203</v>
      </c>
      <c r="C289" s="10">
        <v>45666.646377314813</v>
      </c>
      <c r="D289" s="3" t="s">
        <v>1152</v>
      </c>
      <c r="E289" s="10">
        <v>45666.65053240741</v>
      </c>
      <c r="F289" s="10">
        <v>45666.697534722232</v>
      </c>
      <c r="G289" s="11">
        <f t="shared" si="8"/>
        <v>4.1550925961928442E-3</v>
      </c>
      <c r="H289" s="11">
        <f t="shared" si="9"/>
        <v>5.1157407418941148E-2</v>
      </c>
    </row>
    <row r="290" spans="1:8" x14ac:dyDescent="0.25">
      <c r="A290" s="3" t="s">
        <v>1195</v>
      </c>
      <c r="B290" s="3" t="s">
        <v>3206</v>
      </c>
      <c r="C290" s="10">
        <v>45666.647986111107</v>
      </c>
      <c r="D290" s="3" t="s">
        <v>1034</v>
      </c>
      <c r="E290" s="10">
        <v>45666.784074074072</v>
      </c>
      <c r="F290" s="10">
        <v>45666.816678240742</v>
      </c>
      <c r="G290" s="11">
        <f t="shared" si="8"/>
        <v>0.13608796296466608</v>
      </c>
      <c r="H290" s="11">
        <f t="shared" si="9"/>
        <v>0.16869212963501923</v>
      </c>
    </row>
    <row r="291" spans="1:8" x14ac:dyDescent="0.25">
      <c r="A291" s="3" t="s">
        <v>1197</v>
      </c>
      <c r="B291" s="3" t="s">
        <v>3198</v>
      </c>
      <c r="C291" s="10">
        <v>45666.653946759259</v>
      </c>
      <c r="D291" s="3" t="s">
        <v>1198</v>
      </c>
      <c r="E291" s="10">
        <v>45666.664907407408</v>
      </c>
      <c r="F291" s="10">
        <v>45666.723541666674</v>
      </c>
      <c r="G291" s="11">
        <f t="shared" si="8"/>
        <v>1.096064814919373E-2</v>
      </c>
      <c r="H291" s="11">
        <f t="shared" si="9"/>
        <v>6.9594907414284535E-2</v>
      </c>
    </row>
    <row r="292" spans="1:8" x14ac:dyDescent="0.25">
      <c r="A292" s="3" t="s">
        <v>1221</v>
      </c>
      <c r="B292" s="3" t="s">
        <v>3202</v>
      </c>
      <c r="C292" s="10">
        <v>45666.74795138889</v>
      </c>
      <c r="D292" s="3" t="s">
        <v>1222</v>
      </c>
      <c r="E292" s="10">
        <v>45667.254652777781</v>
      </c>
      <c r="F292" s="10">
        <v>45667.316712962973</v>
      </c>
      <c r="G292" s="11">
        <f t="shared" si="8"/>
        <v>0.50670138889108784</v>
      </c>
      <c r="H292" s="11">
        <f t="shared" si="9"/>
        <v>0.56876157408260042</v>
      </c>
    </row>
    <row r="293" spans="1:8" x14ac:dyDescent="0.25">
      <c r="A293" s="3" t="s">
        <v>1200</v>
      </c>
      <c r="B293" s="3" t="s">
        <v>3193</v>
      </c>
      <c r="C293" s="10">
        <v>45666.757280092592</v>
      </c>
      <c r="D293" s="3" t="s">
        <v>1131</v>
      </c>
      <c r="E293" s="10">
        <v>45666.769699074073</v>
      </c>
      <c r="F293" s="10">
        <v>45666.810185185182</v>
      </c>
      <c r="G293" s="11">
        <f t="shared" si="8"/>
        <v>1.2418981481459923E-2</v>
      </c>
      <c r="H293" s="11">
        <f t="shared" si="9"/>
        <v>5.2905092590663116E-2</v>
      </c>
    </row>
    <row r="294" spans="1:8" x14ac:dyDescent="0.25">
      <c r="A294" s="3" t="s">
        <v>1202</v>
      </c>
      <c r="B294" s="3" t="s">
        <v>3204</v>
      </c>
      <c r="C294" s="10">
        <v>45666.759317129632</v>
      </c>
      <c r="D294" s="3" t="s">
        <v>1134</v>
      </c>
      <c r="E294" s="10">
        <v>45666.863680555558</v>
      </c>
      <c r="F294" s="10">
        <v>45666.886631944442</v>
      </c>
      <c r="G294" s="11">
        <f t="shared" si="8"/>
        <v>0.10436342592583969</v>
      </c>
      <c r="H294" s="11">
        <f t="shared" si="9"/>
        <v>0.12731481481023366</v>
      </c>
    </row>
    <row r="295" spans="1:8" x14ac:dyDescent="0.25">
      <c r="A295" s="3" t="s">
        <v>1204</v>
      </c>
      <c r="B295" s="3" t="s">
        <v>3200</v>
      </c>
      <c r="C295" s="10">
        <v>45666.761041666658</v>
      </c>
      <c r="D295" s="3" t="s">
        <v>655</v>
      </c>
      <c r="E295" s="10">
        <v>45666.779282407413</v>
      </c>
      <c r="F295" s="10">
        <v>45666.817453703698</v>
      </c>
      <c r="G295" s="11">
        <f t="shared" si="8"/>
        <v>1.8240740755572915E-2</v>
      </c>
      <c r="H295" s="11">
        <f t="shared" si="9"/>
        <v>5.6412037039990537E-2</v>
      </c>
    </row>
    <row r="296" spans="1:8" x14ac:dyDescent="0.25">
      <c r="A296" s="3" t="s">
        <v>1206</v>
      </c>
      <c r="B296" s="3" t="s">
        <v>3203</v>
      </c>
      <c r="C296" s="10">
        <v>45666.762430555558</v>
      </c>
      <c r="D296" s="3" t="s">
        <v>1207</v>
      </c>
      <c r="E296" s="10">
        <v>45666.764826388891</v>
      </c>
      <c r="F296" s="10">
        <v>45666.78670138889</v>
      </c>
      <c r="G296" s="11">
        <f t="shared" si="8"/>
        <v>2.3958333331393078E-3</v>
      </c>
      <c r="H296" s="11">
        <f t="shared" si="9"/>
        <v>2.4270833331684116E-2</v>
      </c>
    </row>
    <row r="297" spans="1:8" x14ac:dyDescent="0.25">
      <c r="A297" s="3" t="s">
        <v>1209</v>
      </c>
      <c r="B297" s="3" t="s">
        <v>3197</v>
      </c>
      <c r="C297" s="10">
        <v>45666.764490740738</v>
      </c>
      <c r="D297" s="3" t="s">
        <v>1189</v>
      </c>
      <c r="E297" s="10">
        <v>45666.768067129633</v>
      </c>
      <c r="F297" s="10">
        <v>45666.797361111108</v>
      </c>
      <c r="G297" s="11">
        <f t="shared" si="8"/>
        <v>3.5763888954534195E-3</v>
      </c>
      <c r="H297" s="11">
        <f t="shared" si="9"/>
        <v>3.2870370370801538E-2</v>
      </c>
    </row>
    <row r="298" spans="1:8" x14ac:dyDescent="0.25">
      <c r="A298" s="3" t="s">
        <v>1211</v>
      </c>
      <c r="B298" s="3" t="s">
        <v>3193</v>
      </c>
      <c r="C298" s="10">
        <v>45666.765775462962</v>
      </c>
      <c r="D298" s="3" t="s">
        <v>1131</v>
      </c>
      <c r="E298" s="10">
        <v>45666.769699074073</v>
      </c>
      <c r="F298" s="10">
        <v>45666.810185185182</v>
      </c>
      <c r="G298" s="11">
        <f t="shared" si="8"/>
        <v>3.9236111115314998E-3</v>
      </c>
      <c r="H298" s="11">
        <f t="shared" si="9"/>
        <v>4.4409722220734693E-2</v>
      </c>
    </row>
    <row r="299" spans="1:8" x14ac:dyDescent="0.25">
      <c r="A299" s="3" t="s">
        <v>1213</v>
      </c>
      <c r="B299" s="3" t="s">
        <v>3198</v>
      </c>
      <c r="C299" s="10">
        <v>45666.76730324074</v>
      </c>
      <c r="D299" s="3" t="s">
        <v>1214</v>
      </c>
      <c r="E299" s="10">
        <v>45666.790694444448</v>
      </c>
      <c r="F299" s="10">
        <v>45666.833020833343</v>
      </c>
      <c r="G299" s="11">
        <f t="shared" si="8"/>
        <v>2.3391203707433306E-2</v>
      </c>
      <c r="H299" s="11">
        <f t="shared" si="9"/>
        <v>6.5717592602595687E-2</v>
      </c>
    </row>
    <row r="300" spans="1:8" x14ac:dyDescent="0.25">
      <c r="A300" s="3" t="s">
        <v>1216</v>
      </c>
      <c r="B300" s="3" t="s">
        <v>3195</v>
      </c>
      <c r="C300" s="10">
        <v>45666.76903935185</v>
      </c>
      <c r="D300" s="3" t="s">
        <v>1217</v>
      </c>
      <c r="E300" s="10">
        <v>45666.795428240737</v>
      </c>
      <c r="F300" s="10">
        <v>45666.842303240737</v>
      </c>
      <c r="G300" s="11">
        <f t="shared" si="8"/>
        <v>2.6388888887595385E-2</v>
      </c>
      <c r="H300" s="11">
        <f t="shared" si="9"/>
        <v>7.3263888887595385E-2</v>
      </c>
    </row>
    <row r="301" spans="1:8" x14ac:dyDescent="0.25">
      <c r="A301" s="3" t="s">
        <v>1219</v>
      </c>
      <c r="B301" s="3" t="s">
        <v>3198</v>
      </c>
      <c r="C301" s="10">
        <v>45666.770543981482</v>
      </c>
      <c r="D301" s="3" t="s">
        <v>1214</v>
      </c>
      <c r="E301" s="10">
        <v>45666.790694444448</v>
      </c>
      <c r="F301" s="10">
        <v>45666.833020833343</v>
      </c>
      <c r="G301" s="11">
        <f t="shared" si="8"/>
        <v>2.0150462965830229E-2</v>
      </c>
      <c r="H301" s="11">
        <f t="shared" si="9"/>
        <v>6.247685186099261E-2</v>
      </c>
    </row>
    <row r="302" spans="1:8" x14ac:dyDescent="0.25">
      <c r="A302" s="3" t="s">
        <v>1224</v>
      </c>
      <c r="B302" s="3" t="s">
        <v>3194</v>
      </c>
      <c r="C302" s="10">
        <v>45666.773344907408</v>
      </c>
      <c r="D302" s="3" t="s">
        <v>1225</v>
      </c>
      <c r="E302" s="10">
        <v>45667.133842592593</v>
      </c>
      <c r="F302" s="10">
        <v>45667.174317129633</v>
      </c>
      <c r="G302" s="11">
        <f t="shared" si="8"/>
        <v>0.36049768518569181</v>
      </c>
      <c r="H302" s="11">
        <f t="shared" si="9"/>
        <v>0.40097222222539131</v>
      </c>
    </row>
    <row r="303" spans="1:8" x14ac:dyDescent="0.25">
      <c r="A303" s="3" t="s">
        <v>1227</v>
      </c>
      <c r="B303" s="3" t="s">
        <v>3200</v>
      </c>
      <c r="C303" s="10">
        <v>45666.775034722217</v>
      </c>
      <c r="D303" s="3" t="s">
        <v>655</v>
      </c>
      <c r="E303" s="10">
        <v>45666.779282407413</v>
      </c>
      <c r="F303" s="10">
        <v>45666.817453703698</v>
      </c>
      <c r="G303" s="11">
        <f t="shared" si="8"/>
        <v>4.2476851958781481E-3</v>
      </c>
      <c r="H303" s="11">
        <f t="shared" si="9"/>
        <v>4.241898148029577E-2</v>
      </c>
    </row>
    <row r="304" spans="1:8" x14ac:dyDescent="0.25">
      <c r="A304" s="3" t="s">
        <v>1229</v>
      </c>
      <c r="B304" s="3" t="s">
        <v>3196</v>
      </c>
      <c r="C304" s="10">
        <v>45666.777060185188</v>
      </c>
      <c r="D304" s="3" t="s">
        <v>1230</v>
      </c>
      <c r="E304" s="10">
        <v>45666.867650462962</v>
      </c>
      <c r="F304" s="10">
        <v>45666.891030092593</v>
      </c>
      <c r="G304" s="11">
        <f t="shared" si="8"/>
        <v>9.0590277774026617E-2</v>
      </c>
      <c r="H304" s="11">
        <f t="shared" si="9"/>
        <v>0.11396990740468027</v>
      </c>
    </row>
    <row r="305" spans="1:8" x14ac:dyDescent="0.25">
      <c r="A305" s="3" t="s">
        <v>1232</v>
      </c>
      <c r="B305" s="3" t="s">
        <v>3206</v>
      </c>
      <c r="C305" s="10">
        <v>45666.778657407413</v>
      </c>
      <c r="D305" s="3" t="s">
        <v>1034</v>
      </c>
      <c r="E305" s="10">
        <v>45666.784074074072</v>
      </c>
      <c r="F305" s="10">
        <v>45666.816678240742</v>
      </c>
      <c r="G305" s="11">
        <f t="shared" si="8"/>
        <v>5.4166666595847346E-3</v>
      </c>
      <c r="H305" s="11">
        <f t="shared" si="9"/>
        <v>3.8020833329937886E-2</v>
      </c>
    </row>
    <row r="306" spans="1:8" x14ac:dyDescent="0.25">
      <c r="A306" s="3" t="s">
        <v>1234</v>
      </c>
      <c r="B306" s="3" t="s">
        <v>3198</v>
      </c>
      <c r="C306" s="10">
        <v>45666.780127314807</v>
      </c>
      <c r="D306" s="3" t="s">
        <v>1214</v>
      </c>
      <c r="E306" s="10">
        <v>45666.790694444448</v>
      </c>
      <c r="F306" s="10">
        <v>45666.833020833343</v>
      </c>
      <c r="G306" s="11">
        <f t="shared" si="8"/>
        <v>1.0567129640548956E-2</v>
      </c>
      <c r="H306" s="11">
        <f t="shared" si="9"/>
        <v>5.2893518535711337E-2</v>
      </c>
    </row>
    <row r="307" spans="1:8" x14ac:dyDescent="0.25">
      <c r="A307" s="3" t="s">
        <v>1236</v>
      </c>
      <c r="B307" s="3" t="s">
        <v>3195</v>
      </c>
      <c r="C307" s="10">
        <v>45666.781828703701</v>
      </c>
      <c r="D307" s="3" t="s">
        <v>1217</v>
      </c>
      <c r="E307" s="10">
        <v>45666.795428240737</v>
      </c>
      <c r="F307" s="10">
        <v>45666.842303240737</v>
      </c>
      <c r="G307" s="11">
        <f t="shared" si="8"/>
        <v>1.3599537036498077E-2</v>
      </c>
      <c r="H307" s="11">
        <f t="shared" si="9"/>
        <v>6.0474537036498077E-2</v>
      </c>
    </row>
    <row r="308" spans="1:8" x14ac:dyDescent="0.25">
      <c r="A308" s="3" t="s">
        <v>1238</v>
      </c>
      <c r="B308" s="3" t="s">
        <v>3194</v>
      </c>
      <c r="C308" s="10">
        <v>45666.783761574072</v>
      </c>
      <c r="D308" s="3" t="s">
        <v>1225</v>
      </c>
      <c r="E308" s="10">
        <v>45667.133842592593</v>
      </c>
      <c r="F308" s="10">
        <v>45667.174317129633</v>
      </c>
      <c r="G308" s="11">
        <f t="shared" si="8"/>
        <v>0.35008101852145046</v>
      </c>
      <c r="H308" s="11">
        <f t="shared" si="9"/>
        <v>0.39055555556114996</v>
      </c>
    </row>
    <row r="309" spans="1:8" x14ac:dyDescent="0.25">
      <c r="A309" s="3" t="s">
        <v>1240</v>
      </c>
      <c r="B309" s="3" t="s">
        <v>3193</v>
      </c>
      <c r="C309" s="10">
        <v>45666.785092592603</v>
      </c>
      <c r="D309" s="3" t="s">
        <v>1241</v>
      </c>
      <c r="E309" s="10">
        <v>45667.303541666668</v>
      </c>
      <c r="F309" s="10">
        <v>45667.332604166673</v>
      </c>
      <c r="G309" s="11">
        <f t="shared" si="8"/>
        <v>0.51844907406484708</v>
      </c>
      <c r="H309" s="11">
        <f t="shared" si="9"/>
        <v>0.54751157407008577</v>
      </c>
    </row>
    <row r="310" spans="1:8" x14ac:dyDescent="0.25">
      <c r="A310" s="3" t="s">
        <v>1243</v>
      </c>
      <c r="B310" s="3" t="s">
        <v>3198</v>
      </c>
      <c r="C310" s="10">
        <v>45666.786678240736</v>
      </c>
      <c r="D310" s="3" t="s">
        <v>1214</v>
      </c>
      <c r="E310" s="10">
        <v>45666.790694444448</v>
      </c>
      <c r="F310" s="10">
        <v>45666.833020833343</v>
      </c>
      <c r="G310" s="11">
        <f t="shared" si="8"/>
        <v>4.0162037112168036E-3</v>
      </c>
      <c r="H310" s="11">
        <f t="shared" si="9"/>
        <v>4.6342592606379185E-2</v>
      </c>
    </row>
    <row r="311" spans="1:8" x14ac:dyDescent="0.25">
      <c r="A311" s="3" t="s">
        <v>1245</v>
      </c>
      <c r="B311" s="3" t="s">
        <v>3199</v>
      </c>
      <c r="C311" s="10">
        <v>45666.788553240738</v>
      </c>
      <c r="D311" s="3" t="s">
        <v>1178</v>
      </c>
      <c r="E311" s="10">
        <v>45667.390416666669</v>
      </c>
      <c r="F311" s="10">
        <v>45667.415821759263</v>
      </c>
      <c r="G311" s="11">
        <f t="shared" si="8"/>
        <v>0.60186342593078734</v>
      </c>
      <c r="H311" s="11">
        <f t="shared" si="9"/>
        <v>0.62726851852494292</v>
      </c>
    </row>
    <row r="312" spans="1:8" x14ac:dyDescent="0.25">
      <c r="A312" s="3" t="s">
        <v>1247</v>
      </c>
      <c r="B312" s="3" t="s">
        <v>3195</v>
      </c>
      <c r="C312" s="10">
        <v>45666.790451388893</v>
      </c>
      <c r="D312" s="3" t="s">
        <v>1217</v>
      </c>
      <c r="E312" s="10">
        <v>45666.795428240737</v>
      </c>
      <c r="F312" s="10">
        <v>45666.842303240737</v>
      </c>
      <c r="G312" s="11">
        <f t="shared" si="8"/>
        <v>4.9768518438213505E-3</v>
      </c>
      <c r="H312" s="11">
        <f t="shared" si="9"/>
        <v>5.185185184382135E-2</v>
      </c>
    </row>
    <row r="313" spans="1:8" x14ac:dyDescent="0.25">
      <c r="A313" s="3" t="s">
        <v>1249</v>
      </c>
      <c r="B313" s="3" t="s">
        <v>3193</v>
      </c>
      <c r="C313" s="10">
        <v>45666.851620370369</v>
      </c>
      <c r="D313" s="3" t="s">
        <v>1241</v>
      </c>
      <c r="E313" s="10">
        <v>45667.303541666668</v>
      </c>
      <c r="F313" s="10">
        <v>45667.332604166673</v>
      </c>
      <c r="G313" s="11">
        <f t="shared" si="8"/>
        <v>0.4519212962986785</v>
      </c>
      <c r="H313" s="11">
        <f t="shared" si="9"/>
        <v>0.48098379630391719</v>
      </c>
    </row>
    <row r="314" spans="1:8" x14ac:dyDescent="0.25">
      <c r="A314" s="3" t="s">
        <v>1251</v>
      </c>
      <c r="B314" s="3" t="s">
        <v>3203</v>
      </c>
      <c r="C314" s="10">
        <v>45666.852800925917</v>
      </c>
      <c r="D314" s="3" t="s">
        <v>1252</v>
      </c>
      <c r="E314" s="10">
        <v>45667.201990740738</v>
      </c>
      <c r="F314" s="10">
        <v>45667.245625000003</v>
      </c>
      <c r="G314" s="11">
        <f t="shared" si="8"/>
        <v>0.34918981482042</v>
      </c>
      <c r="H314" s="11">
        <f t="shared" si="9"/>
        <v>0.39282407408609288</v>
      </c>
    </row>
    <row r="315" spans="1:8" x14ac:dyDescent="0.25">
      <c r="A315" s="3" t="s">
        <v>1254</v>
      </c>
      <c r="B315" s="3" t="s">
        <v>3193</v>
      </c>
      <c r="C315" s="10">
        <v>45666.854108796288</v>
      </c>
      <c r="D315" s="3" t="s">
        <v>1241</v>
      </c>
      <c r="E315" s="10">
        <v>45667.303541666668</v>
      </c>
      <c r="F315" s="10">
        <v>45667.332604166673</v>
      </c>
      <c r="G315" s="11">
        <f t="shared" si="8"/>
        <v>0.4494328703804058</v>
      </c>
      <c r="H315" s="11">
        <f t="shared" si="9"/>
        <v>0.47849537038564449</v>
      </c>
    </row>
    <row r="316" spans="1:8" x14ac:dyDescent="0.25">
      <c r="A316" s="3" t="s">
        <v>1256</v>
      </c>
      <c r="B316" s="3" t="s">
        <v>3195</v>
      </c>
      <c r="C316" s="10">
        <v>45666.855937499997</v>
      </c>
      <c r="D316" s="3" t="s">
        <v>1257</v>
      </c>
      <c r="E316" s="10">
        <v>45667.305520833332</v>
      </c>
      <c r="F316" s="10">
        <v>45667.348726851851</v>
      </c>
      <c r="G316" s="11">
        <f t="shared" si="8"/>
        <v>0.44958333333488554</v>
      </c>
      <c r="H316" s="11">
        <f t="shared" si="9"/>
        <v>0.49278935185429873</v>
      </c>
    </row>
    <row r="317" spans="1:8" x14ac:dyDescent="0.25">
      <c r="A317" s="3" t="s">
        <v>1259</v>
      </c>
      <c r="B317" s="3" t="s">
        <v>3204</v>
      </c>
      <c r="C317" s="10">
        <v>45666.857974537037</v>
      </c>
      <c r="D317" s="3" t="s">
        <v>1134</v>
      </c>
      <c r="E317" s="10">
        <v>45666.863680555558</v>
      </c>
      <c r="F317" s="10">
        <v>45666.886631944442</v>
      </c>
      <c r="G317" s="11">
        <f t="shared" si="8"/>
        <v>5.7060185208683833E-3</v>
      </c>
      <c r="H317" s="11">
        <f t="shared" si="9"/>
        <v>2.8657407405262347E-2</v>
      </c>
    </row>
    <row r="318" spans="1:8" x14ac:dyDescent="0.25">
      <c r="A318" s="3" t="s">
        <v>1261</v>
      </c>
      <c r="B318" s="3" t="s">
        <v>3204</v>
      </c>
      <c r="C318" s="10">
        <v>45666.860115740739</v>
      </c>
      <c r="D318" s="3" t="s">
        <v>1134</v>
      </c>
      <c r="E318" s="10">
        <v>45666.863680555558</v>
      </c>
      <c r="F318" s="10">
        <v>45666.886631944442</v>
      </c>
      <c r="G318" s="11">
        <f t="shared" si="8"/>
        <v>3.5648148186737671E-3</v>
      </c>
      <c r="H318" s="11">
        <f t="shared" si="9"/>
        <v>2.6516203703067731E-2</v>
      </c>
    </row>
    <row r="319" spans="1:8" x14ac:dyDescent="0.25">
      <c r="A319" s="3" t="s">
        <v>1263</v>
      </c>
      <c r="B319" s="3" t="s">
        <v>3206</v>
      </c>
      <c r="C319" s="10">
        <v>45666.861724537041</v>
      </c>
      <c r="D319" s="3" t="s">
        <v>1264</v>
      </c>
      <c r="E319" s="10">
        <v>45671.397326388891</v>
      </c>
      <c r="F319" s="10">
        <v>45671.459537037037</v>
      </c>
      <c r="G319" s="11">
        <f t="shared" si="8"/>
        <v>4.5356018518505152</v>
      </c>
      <c r="H319" s="11">
        <f t="shared" si="9"/>
        <v>4.5978124999965075</v>
      </c>
    </row>
    <row r="320" spans="1:8" x14ac:dyDescent="0.25">
      <c r="A320" s="3" t="s">
        <v>1266</v>
      </c>
      <c r="B320" s="3" t="s">
        <v>3196</v>
      </c>
      <c r="C320" s="10">
        <v>45666.863726851851</v>
      </c>
      <c r="D320" s="3" t="s">
        <v>1230</v>
      </c>
      <c r="E320" s="10">
        <v>45666.867650462962</v>
      </c>
      <c r="F320" s="10">
        <v>45666.891030092593</v>
      </c>
      <c r="G320" s="11">
        <f t="shared" si="8"/>
        <v>3.9236111115314998E-3</v>
      </c>
      <c r="H320" s="11">
        <f t="shared" si="9"/>
        <v>2.7303240742185153E-2</v>
      </c>
    </row>
    <row r="321" spans="1:8" x14ac:dyDescent="0.25">
      <c r="A321" s="3" t="s">
        <v>1268</v>
      </c>
      <c r="B321" s="3" t="s">
        <v>3205</v>
      </c>
      <c r="C321" s="10">
        <v>45667.125625000001</v>
      </c>
      <c r="D321" s="3" t="s">
        <v>1139</v>
      </c>
      <c r="E321" s="10">
        <v>45670.393287037034</v>
      </c>
      <c r="F321" s="10">
        <v>45670.426874999997</v>
      </c>
      <c r="G321" s="11">
        <f t="shared" si="8"/>
        <v>3.2676620370330056</v>
      </c>
      <c r="H321" s="11">
        <f t="shared" si="9"/>
        <v>3.3012499999967986</v>
      </c>
    </row>
    <row r="322" spans="1:8" x14ac:dyDescent="0.25">
      <c r="A322" s="3" t="s">
        <v>1270</v>
      </c>
      <c r="B322" s="3" t="s">
        <v>3199</v>
      </c>
      <c r="C322" s="10">
        <v>45667.127604166657</v>
      </c>
      <c r="D322" s="3" t="s">
        <v>1178</v>
      </c>
      <c r="E322" s="10">
        <v>45667.390416666669</v>
      </c>
      <c r="F322" s="10">
        <v>45667.415821759263</v>
      </c>
      <c r="G322" s="11">
        <f t="shared" ref="G322:G385" si="10">IF(AND(ISNUMBER(C322),ISNUMBER(E322)),(E322-C322),"")</f>
        <v>0.26281250001193257</v>
      </c>
      <c r="H322" s="11">
        <f t="shared" ref="H322:H385" si="11">IF(AND(ISNUMBER(C322),ISNUMBER(F322)),(F322-C322),"")</f>
        <v>0.28821759260608815</v>
      </c>
    </row>
    <row r="323" spans="1:8" x14ac:dyDescent="0.25">
      <c r="A323" s="3" t="s">
        <v>1272</v>
      </c>
      <c r="B323" s="3" t="s">
        <v>3194</v>
      </c>
      <c r="C323" s="10">
        <v>45667.129942129628</v>
      </c>
      <c r="D323" s="3" t="s">
        <v>1225</v>
      </c>
      <c r="E323" s="10">
        <v>45667.133842592593</v>
      </c>
      <c r="F323" s="10">
        <v>45667.174317129633</v>
      </c>
      <c r="G323" s="11">
        <f t="shared" si="10"/>
        <v>3.9004629652481526E-3</v>
      </c>
      <c r="H323" s="11">
        <f t="shared" si="11"/>
        <v>4.4375000004947651E-2</v>
      </c>
    </row>
    <row r="324" spans="1:8" x14ac:dyDescent="0.25">
      <c r="A324" s="3" t="s">
        <v>1274</v>
      </c>
      <c r="B324" s="3" t="s">
        <v>3201</v>
      </c>
      <c r="C324" s="10">
        <v>45667.131747685176</v>
      </c>
      <c r="D324" s="3" t="s">
        <v>1020</v>
      </c>
      <c r="E324" s="10">
        <v>45667.135671296302</v>
      </c>
      <c r="F324" s="10">
        <v>45667.15997685185</v>
      </c>
      <c r="G324" s="11">
        <f t="shared" si="10"/>
        <v>3.923611126083415E-3</v>
      </c>
      <c r="H324" s="11">
        <f t="shared" si="11"/>
        <v>2.8229166673554573E-2</v>
      </c>
    </row>
    <row r="325" spans="1:8" x14ac:dyDescent="0.25">
      <c r="A325" s="3" t="s">
        <v>1276</v>
      </c>
      <c r="B325" s="3" t="s">
        <v>3203</v>
      </c>
      <c r="C325" s="10">
        <v>45667.198078703703</v>
      </c>
      <c r="D325" s="3" t="s">
        <v>1252</v>
      </c>
      <c r="E325" s="10">
        <v>45667.201990740738</v>
      </c>
      <c r="F325" s="10">
        <v>45667.245625000003</v>
      </c>
      <c r="G325" s="11">
        <f t="shared" si="10"/>
        <v>3.9120370347518474E-3</v>
      </c>
      <c r="H325" s="11">
        <f t="shared" si="11"/>
        <v>4.7546296300424729E-2</v>
      </c>
    </row>
    <row r="326" spans="1:8" x14ac:dyDescent="0.25">
      <c r="A326" s="3" t="s">
        <v>1278</v>
      </c>
      <c r="B326" s="3" t="s">
        <v>3202</v>
      </c>
      <c r="C326" s="10">
        <v>45667.25072916667</v>
      </c>
      <c r="D326" s="3" t="s">
        <v>1222</v>
      </c>
      <c r="E326" s="10">
        <v>45667.254652777781</v>
      </c>
      <c r="F326" s="10">
        <v>45667.316712962973</v>
      </c>
      <c r="G326" s="11">
        <f t="shared" si="10"/>
        <v>3.9236111115314998E-3</v>
      </c>
      <c r="H326" s="11">
        <f t="shared" si="11"/>
        <v>6.5983796303044073E-2</v>
      </c>
    </row>
    <row r="327" spans="1:8" x14ac:dyDescent="0.25">
      <c r="A327" s="3" t="s">
        <v>1280</v>
      </c>
      <c r="B327" s="3" t="s">
        <v>3204</v>
      </c>
      <c r="C327" s="10">
        <v>45667.296238425923</v>
      </c>
      <c r="D327" s="3" t="s">
        <v>1281</v>
      </c>
      <c r="E327" s="10">
        <v>45667.412488425929</v>
      </c>
      <c r="F327" s="10">
        <v>45667.463599537034</v>
      </c>
      <c r="G327" s="11">
        <f t="shared" si="10"/>
        <v>0.11625000000640284</v>
      </c>
      <c r="H327" s="11">
        <f t="shared" si="11"/>
        <v>0.16736111111094942</v>
      </c>
    </row>
    <row r="328" spans="1:8" x14ac:dyDescent="0.25">
      <c r="A328" s="3" t="s">
        <v>1283</v>
      </c>
      <c r="B328" s="3" t="s">
        <v>3199</v>
      </c>
      <c r="C328" s="10">
        <v>45667.298159722217</v>
      </c>
      <c r="D328" s="3" t="s">
        <v>1178</v>
      </c>
      <c r="E328" s="10">
        <v>45667.390416666669</v>
      </c>
      <c r="F328" s="10">
        <v>45667.415821759263</v>
      </c>
      <c r="G328" s="11">
        <f t="shared" si="10"/>
        <v>9.2256944451946765E-2</v>
      </c>
      <c r="H328" s="11">
        <f t="shared" si="11"/>
        <v>0.11766203704610234</v>
      </c>
    </row>
    <row r="329" spans="1:8" x14ac:dyDescent="0.25">
      <c r="A329" s="3" t="s">
        <v>1285</v>
      </c>
      <c r="B329" s="3" t="s">
        <v>3193</v>
      </c>
      <c r="C329" s="10">
        <v>45667.299618055556</v>
      </c>
      <c r="D329" s="3" t="s">
        <v>1241</v>
      </c>
      <c r="E329" s="10">
        <v>45667.303541666668</v>
      </c>
      <c r="F329" s="10">
        <v>45667.332604166673</v>
      </c>
      <c r="G329" s="11">
        <f t="shared" si="10"/>
        <v>3.9236111115314998E-3</v>
      </c>
      <c r="H329" s="11">
        <f t="shared" si="11"/>
        <v>3.2986111116770189E-2</v>
      </c>
    </row>
    <row r="330" spans="1:8" x14ac:dyDescent="0.25">
      <c r="A330" s="3" t="s">
        <v>1287</v>
      </c>
      <c r="B330" s="3" t="s">
        <v>3195</v>
      </c>
      <c r="C330" s="10">
        <v>45667.30159722222</v>
      </c>
      <c r="D330" s="3" t="s">
        <v>1257</v>
      </c>
      <c r="E330" s="10">
        <v>45667.305520833332</v>
      </c>
      <c r="F330" s="10">
        <v>45667.348726851851</v>
      </c>
      <c r="G330" s="11">
        <f t="shared" si="10"/>
        <v>3.9236111115314998E-3</v>
      </c>
      <c r="H330" s="11">
        <f t="shared" si="11"/>
        <v>4.7129629630944692E-2</v>
      </c>
    </row>
    <row r="331" spans="1:8" x14ac:dyDescent="0.25">
      <c r="A331" s="3" t="s">
        <v>1289</v>
      </c>
      <c r="B331" s="3" t="s">
        <v>3203</v>
      </c>
      <c r="C331" s="10">
        <v>45667.302766203713</v>
      </c>
      <c r="D331" s="3" t="s">
        <v>1290</v>
      </c>
      <c r="E331" s="10">
        <v>45670.401736111111</v>
      </c>
      <c r="F331" s="10">
        <v>45670.438252314823</v>
      </c>
      <c r="G331" s="11">
        <f t="shared" si="10"/>
        <v>3.0989699073979864</v>
      </c>
      <c r="H331" s="11">
        <f t="shared" si="11"/>
        <v>3.1354861111103673</v>
      </c>
    </row>
    <row r="332" spans="1:8" x14ac:dyDescent="0.25">
      <c r="A332" s="3" t="s">
        <v>1292</v>
      </c>
      <c r="B332" s="3" t="s">
        <v>3204</v>
      </c>
      <c r="C332" s="10">
        <v>45667.304837962962</v>
      </c>
      <c r="D332" s="3" t="s">
        <v>1281</v>
      </c>
      <c r="E332" s="10">
        <v>45667.412488425929</v>
      </c>
      <c r="F332" s="10">
        <v>45667.463599537034</v>
      </c>
      <c r="G332" s="11">
        <f t="shared" si="10"/>
        <v>0.10765046296728542</v>
      </c>
      <c r="H332" s="11">
        <f t="shared" si="11"/>
        <v>0.158761574071832</v>
      </c>
    </row>
    <row r="333" spans="1:8" x14ac:dyDescent="0.25">
      <c r="A333" s="3" t="s">
        <v>1294</v>
      </c>
      <c r="B333" s="3" t="s">
        <v>3195</v>
      </c>
      <c r="C333" s="10">
        <v>45667.306608796287</v>
      </c>
      <c r="D333" s="3" t="s">
        <v>1295</v>
      </c>
      <c r="E333" s="10">
        <v>45667.405162037037</v>
      </c>
      <c r="F333" s="10">
        <v>45667.441307870373</v>
      </c>
      <c r="G333" s="11">
        <f t="shared" si="10"/>
        <v>9.8553240750334226E-2</v>
      </c>
      <c r="H333" s="11">
        <f t="shared" si="11"/>
        <v>0.13469907408580184</v>
      </c>
    </row>
    <row r="334" spans="1:8" x14ac:dyDescent="0.25">
      <c r="A334" s="3" t="s">
        <v>1297</v>
      </c>
      <c r="B334" s="3" t="s">
        <v>3201</v>
      </c>
      <c r="C334" s="10">
        <v>45667.308368055557</v>
      </c>
      <c r="D334" s="3" t="s">
        <v>1298</v>
      </c>
      <c r="E334" s="10">
        <v>45667.870625000003</v>
      </c>
      <c r="F334" s="10">
        <v>45667.89303240741</v>
      </c>
      <c r="G334" s="11">
        <f t="shared" si="10"/>
        <v>0.56225694444583496</v>
      </c>
      <c r="H334" s="11">
        <f t="shared" si="11"/>
        <v>0.5846643518525525</v>
      </c>
    </row>
    <row r="335" spans="1:8" x14ac:dyDescent="0.25">
      <c r="A335" s="3" t="s">
        <v>1300</v>
      </c>
      <c r="B335" s="3" t="s">
        <v>3195</v>
      </c>
      <c r="C335" s="10">
        <v>45667.310104166667</v>
      </c>
      <c r="D335" s="3" t="s">
        <v>1295</v>
      </c>
      <c r="E335" s="10">
        <v>45667.405162037037</v>
      </c>
      <c r="F335" s="10">
        <v>45667.441307870373</v>
      </c>
      <c r="G335" s="11">
        <f t="shared" si="10"/>
        <v>9.50578703705105E-2</v>
      </c>
      <c r="H335" s="11">
        <f t="shared" si="11"/>
        <v>0.13120370370597811</v>
      </c>
    </row>
    <row r="336" spans="1:8" x14ac:dyDescent="0.25">
      <c r="A336" s="3" t="s">
        <v>1302</v>
      </c>
      <c r="B336" s="3" t="s">
        <v>3197</v>
      </c>
      <c r="C336" s="10">
        <v>45667.319814814808</v>
      </c>
      <c r="D336" s="3" t="s">
        <v>1303</v>
      </c>
      <c r="E336" s="10">
        <v>45667.322187500002</v>
      </c>
      <c r="F336" s="10">
        <v>45667.358414351853</v>
      </c>
      <c r="G336" s="11">
        <f t="shared" si="10"/>
        <v>2.3726851941319183E-3</v>
      </c>
      <c r="H336" s="11">
        <f t="shared" si="11"/>
        <v>3.8599537045229226E-2</v>
      </c>
    </row>
    <row r="337" spans="1:8" x14ac:dyDescent="0.25">
      <c r="A337" s="3" t="s">
        <v>1305</v>
      </c>
      <c r="B337" s="3" t="s">
        <v>3200</v>
      </c>
      <c r="C337" s="10">
        <v>45667.34171296296</v>
      </c>
      <c r="D337" s="3" t="s">
        <v>1306</v>
      </c>
      <c r="E337" s="10">
        <v>45667.344108796293</v>
      </c>
      <c r="F337" s="10">
        <v>45667.413344907407</v>
      </c>
      <c r="G337" s="11">
        <f t="shared" si="10"/>
        <v>2.3958333331393078E-3</v>
      </c>
      <c r="H337" s="11">
        <f t="shared" si="11"/>
        <v>7.1631944447290152E-2</v>
      </c>
    </row>
    <row r="338" spans="1:8" x14ac:dyDescent="0.25">
      <c r="A338" s="3" t="s">
        <v>1337</v>
      </c>
      <c r="B338" s="3" t="s">
        <v>3202</v>
      </c>
      <c r="C338" s="10">
        <v>45667.384884259263</v>
      </c>
      <c r="D338" s="3" t="s">
        <v>1338</v>
      </c>
      <c r="E338" s="10">
        <v>45667.392326388886</v>
      </c>
      <c r="F338" s="10">
        <v>45667.443865740737</v>
      </c>
      <c r="G338" s="11">
        <f t="shared" si="10"/>
        <v>7.4421296230866574E-3</v>
      </c>
      <c r="H338" s="11">
        <f t="shared" si="11"/>
        <v>5.8981481473892927E-2</v>
      </c>
    </row>
    <row r="339" spans="1:8" x14ac:dyDescent="0.25">
      <c r="A339" s="3" t="s">
        <v>1340</v>
      </c>
      <c r="B339" s="3" t="s">
        <v>3199</v>
      </c>
      <c r="C339" s="10">
        <v>45667.38685185185</v>
      </c>
      <c r="D339" s="3" t="s">
        <v>1178</v>
      </c>
      <c r="E339" s="10">
        <v>45667.390416666669</v>
      </c>
      <c r="F339" s="10">
        <v>45667.415821759263</v>
      </c>
      <c r="G339" s="11">
        <f t="shared" si="10"/>
        <v>3.5648148186737671E-3</v>
      </c>
      <c r="H339" s="11">
        <f t="shared" si="11"/>
        <v>2.8969907412829343E-2</v>
      </c>
    </row>
    <row r="340" spans="1:8" x14ac:dyDescent="0.25">
      <c r="A340" s="3" t="s">
        <v>1342</v>
      </c>
      <c r="B340" s="3" t="s">
        <v>3202</v>
      </c>
      <c r="C340" s="10">
        <v>45667.388425925928</v>
      </c>
      <c r="D340" s="3" t="s">
        <v>1338</v>
      </c>
      <c r="E340" s="10">
        <v>45667.392326388886</v>
      </c>
      <c r="F340" s="10">
        <v>45667.443865740737</v>
      </c>
      <c r="G340" s="11">
        <f t="shared" si="10"/>
        <v>3.900462957972195E-3</v>
      </c>
      <c r="H340" s="11">
        <f t="shared" si="11"/>
        <v>5.5439814808778465E-2</v>
      </c>
    </row>
    <row r="341" spans="1:8" x14ac:dyDescent="0.25">
      <c r="A341" s="3" t="s">
        <v>1308</v>
      </c>
      <c r="B341" s="3" t="s">
        <v>3195</v>
      </c>
      <c r="C341" s="10">
        <v>45667.391006944446</v>
      </c>
      <c r="D341" s="3" t="s">
        <v>1295</v>
      </c>
      <c r="E341" s="10">
        <v>45667.405162037037</v>
      </c>
      <c r="F341" s="10">
        <v>45667.441307870373</v>
      </c>
      <c r="G341" s="11">
        <f t="shared" si="10"/>
        <v>1.4155092590954155E-2</v>
      </c>
      <c r="H341" s="11">
        <f t="shared" si="11"/>
        <v>5.0300925926421769E-2</v>
      </c>
    </row>
    <row r="342" spans="1:8" x14ac:dyDescent="0.25">
      <c r="A342" s="3" t="s">
        <v>1310</v>
      </c>
      <c r="B342" s="3" t="s">
        <v>3193</v>
      </c>
      <c r="C342" s="10">
        <v>45667.392546296287</v>
      </c>
      <c r="D342" s="3" t="s">
        <v>1311</v>
      </c>
      <c r="E342" s="10">
        <v>45667.395543981482</v>
      </c>
      <c r="F342" s="10">
        <v>45667.442060185182</v>
      </c>
      <c r="G342" s="11">
        <f t="shared" si="10"/>
        <v>2.9976851947139949E-3</v>
      </c>
      <c r="H342" s="11">
        <f t="shared" si="11"/>
        <v>4.9513888894580305E-2</v>
      </c>
    </row>
    <row r="343" spans="1:8" x14ac:dyDescent="0.25">
      <c r="A343" s="3" t="s">
        <v>1313</v>
      </c>
      <c r="B343" s="3" t="s">
        <v>3201</v>
      </c>
      <c r="C343" s="10">
        <v>45667.394270833327</v>
      </c>
      <c r="D343" s="3" t="s">
        <v>1298</v>
      </c>
      <c r="E343" s="10">
        <v>45667.870625000003</v>
      </c>
      <c r="F343" s="10">
        <v>45667.89303240741</v>
      </c>
      <c r="G343" s="11">
        <f t="shared" si="10"/>
        <v>0.47635416667617392</v>
      </c>
      <c r="H343" s="11">
        <f t="shared" si="11"/>
        <v>0.49876157408289146</v>
      </c>
    </row>
    <row r="344" spans="1:8" x14ac:dyDescent="0.25">
      <c r="A344" s="3" t="s">
        <v>1315</v>
      </c>
      <c r="B344" s="3" t="s">
        <v>3205</v>
      </c>
      <c r="C344" s="10">
        <v>45667.395520833343</v>
      </c>
      <c r="D344" s="3" t="s">
        <v>1139</v>
      </c>
      <c r="E344" s="10">
        <v>45670.393287037034</v>
      </c>
      <c r="F344" s="10">
        <v>45670.426874999997</v>
      </c>
      <c r="G344" s="11">
        <f t="shared" si="10"/>
        <v>2.9977662036908441</v>
      </c>
      <c r="H344" s="11">
        <f t="shared" si="11"/>
        <v>3.0313541666546371</v>
      </c>
    </row>
    <row r="345" spans="1:8" x14ac:dyDescent="0.25">
      <c r="A345" s="3" t="s">
        <v>1317</v>
      </c>
      <c r="B345" s="3" t="s">
        <v>3193</v>
      </c>
      <c r="C345" s="10">
        <v>45667.396851851852</v>
      </c>
      <c r="D345" s="3" t="s">
        <v>1318</v>
      </c>
      <c r="E345" s="10">
        <v>45667.601921296293</v>
      </c>
      <c r="F345" s="10">
        <v>45667.624085648153</v>
      </c>
      <c r="G345" s="11">
        <f t="shared" si="10"/>
        <v>0.20506944444059627</v>
      </c>
      <c r="H345" s="11">
        <f t="shared" si="11"/>
        <v>0.22723379630042473</v>
      </c>
    </row>
    <row r="346" spans="1:8" x14ac:dyDescent="0.25">
      <c r="A346" s="3" t="s">
        <v>1320</v>
      </c>
      <c r="B346" s="3" t="s">
        <v>3199</v>
      </c>
      <c r="C346" s="10">
        <v>45667.398738425924</v>
      </c>
      <c r="D346" s="3" t="s">
        <v>1321</v>
      </c>
      <c r="E346" s="10">
        <v>45667.443622685183</v>
      </c>
      <c r="F346" s="10">
        <v>45667.490740740737</v>
      </c>
      <c r="G346" s="11">
        <f t="shared" si="10"/>
        <v>4.4884259259561077E-2</v>
      </c>
      <c r="H346" s="11">
        <f t="shared" si="11"/>
        <v>9.2002314813726116E-2</v>
      </c>
    </row>
    <row r="347" spans="1:8" x14ac:dyDescent="0.25">
      <c r="A347" s="3" t="s">
        <v>1323</v>
      </c>
      <c r="B347" s="3" t="s">
        <v>3195</v>
      </c>
      <c r="C347" s="10">
        <v>45667.400648148148</v>
      </c>
      <c r="D347" s="3" t="s">
        <v>1295</v>
      </c>
      <c r="E347" s="10">
        <v>45667.405162037037</v>
      </c>
      <c r="F347" s="10">
        <v>45667.441307870373</v>
      </c>
      <c r="G347" s="11">
        <f t="shared" si="10"/>
        <v>4.5138888890505768E-3</v>
      </c>
      <c r="H347" s="11">
        <f t="shared" si="11"/>
        <v>4.0659722224518191E-2</v>
      </c>
    </row>
    <row r="348" spans="1:8" x14ac:dyDescent="0.25">
      <c r="A348" s="3" t="s">
        <v>1325</v>
      </c>
      <c r="B348" s="3" t="s">
        <v>3203</v>
      </c>
      <c r="C348" s="10">
        <v>45667.40179398148</v>
      </c>
      <c r="D348" s="3" t="s">
        <v>1290</v>
      </c>
      <c r="E348" s="10">
        <v>45670.401736111111</v>
      </c>
      <c r="F348" s="10">
        <v>45670.438252314823</v>
      </c>
      <c r="G348" s="11">
        <f t="shared" si="10"/>
        <v>2.9999421296306537</v>
      </c>
      <c r="H348" s="11">
        <f t="shared" si="11"/>
        <v>3.0364583333430346</v>
      </c>
    </row>
    <row r="349" spans="1:8" x14ac:dyDescent="0.25">
      <c r="A349" s="3" t="s">
        <v>1327</v>
      </c>
      <c r="B349" s="3" t="s">
        <v>3197</v>
      </c>
      <c r="C349" s="10">
        <v>45667.403819444437</v>
      </c>
      <c r="D349" s="3" t="s">
        <v>1328</v>
      </c>
      <c r="E349" s="10">
        <v>45667.78633101852</v>
      </c>
      <c r="F349" s="10">
        <v>45667.831261574072</v>
      </c>
      <c r="G349" s="11">
        <f t="shared" si="10"/>
        <v>0.38251157408376457</v>
      </c>
      <c r="H349" s="11">
        <f t="shared" si="11"/>
        <v>0.42744212963589234</v>
      </c>
    </row>
    <row r="350" spans="1:8" x14ac:dyDescent="0.25">
      <c r="A350" s="3" t="s">
        <v>1330</v>
      </c>
      <c r="B350" s="3" t="s">
        <v>3204</v>
      </c>
      <c r="C350" s="10">
        <v>45667.405925925923</v>
      </c>
      <c r="D350" s="3" t="s">
        <v>1281</v>
      </c>
      <c r="E350" s="10">
        <v>45667.412488425929</v>
      </c>
      <c r="F350" s="10">
        <v>45667.463599537034</v>
      </c>
      <c r="G350" s="11">
        <f t="shared" si="10"/>
        <v>6.5625000061118044E-3</v>
      </c>
      <c r="H350" s="11">
        <f t="shared" si="11"/>
        <v>5.7673611110658385E-2</v>
      </c>
    </row>
    <row r="351" spans="1:8" x14ac:dyDescent="0.25">
      <c r="A351" s="3" t="s">
        <v>1332</v>
      </c>
      <c r="B351" s="3" t="s">
        <v>3198</v>
      </c>
      <c r="C351" s="10">
        <v>45667.407500000001</v>
      </c>
      <c r="D351" s="3" t="s">
        <v>1333</v>
      </c>
      <c r="E351" s="10">
        <v>45667.777002314811</v>
      </c>
      <c r="F351" s="10">
        <v>45667.820104166669</v>
      </c>
      <c r="G351" s="11">
        <f t="shared" si="10"/>
        <v>0.36950231481023366</v>
      </c>
      <c r="H351" s="11">
        <f t="shared" si="11"/>
        <v>0.41260416666773381</v>
      </c>
    </row>
    <row r="352" spans="1:8" x14ac:dyDescent="0.25">
      <c r="A352" s="3" t="s">
        <v>1335</v>
      </c>
      <c r="B352" s="3" t="s">
        <v>3201</v>
      </c>
      <c r="C352" s="10">
        <v>45667.409224537027</v>
      </c>
      <c r="D352" s="3" t="s">
        <v>1298</v>
      </c>
      <c r="E352" s="10">
        <v>45667.870625000003</v>
      </c>
      <c r="F352" s="10">
        <v>45667.89303240741</v>
      </c>
      <c r="G352" s="11">
        <f t="shared" si="10"/>
        <v>0.46140046297659865</v>
      </c>
      <c r="H352" s="11">
        <f t="shared" si="11"/>
        <v>0.48380787038331619</v>
      </c>
    </row>
    <row r="353" spans="1:8" x14ac:dyDescent="0.25">
      <c r="A353" s="3" t="s">
        <v>1344</v>
      </c>
      <c r="B353" s="3" t="s">
        <v>3199</v>
      </c>
      <c r="C353" s="10">
        <v>45667.440127314818</v>
      </c>
      <c r="D353" s="3" t="s">
        <v>1321</v>
      </c>
      <c r="E353" s="10">
        <v>45667.443622685183</v>
      </c>
      <c r="F353" s="10">
        <v>45667.490740740737</v>
      </c>
      <c r="G353" s="11">
        <f t="shared" si="10"/>
        <v>3.4953703652718104E-3</v>
      </c>
      <c r="H353" s="11">
        <f t="shared" si="11"/>
        <v>5.061342591943685E-2</v>
      </c>
    </row>
    <row r="354" spans="1:8" x14ac:dyDescent="0.25">
      <c r="A354" s="3" t="s">
        <v>1346</v>
      </c>
      <c r="B354" s="3" t="s">
        <v>3193</v>
      </c>
      <c r="C354" s="10">
        <v>45667.552627314813</v>
      </c>
      <c r="D354" s="3" t="s">
        <v>1318</v>
      </c>
      <c r="E354" s="10">
        <v>45667.601921296293</v>
      </c>
      <c r="F354" s="10">
        <v>45667.624085648153</v>
      </c>
      <c r="G354" s="11">
        <f t="shared" si="10"/>
        <v>4.9293981479422655E-2</v>
      </c>
      <c r="H354" s="11">
        <f t="shared" si="11"/>
        <v>7.1458333339251112E-2</v>
      </c>
    </row>
    <row r="355" spans="1:8" x14ac:dyDescent="0.25">
      <c r="A355" s="3" t="s">
        <v>1348</v>
      </c>
      <c r="B355" s="3" t="s">
        <v>3193</v>
      </c>
      <c r="C355" s="10">
        <v>45667.598032407397</v>
      </c>
      <c r="D355" s="3" t="s">
        <v>1318</v>
      </c>
      <c r="E355" s="10">
        <v>45667.601921296293</v>
      </c>
      <c r="F355" s="10">
        <v>45667.624085648153</v>
      </c>
      <c r="G355" s="11">
        <f t="shared" si="10"/>
        <v>3.8888888957444578E-3</v>
      </c>
      <c r="H355" s="11">
        <f t="shared" si="11"/>
        <v>2.6053240755572915E-2</v>
      </c>
    </row>
    <row r="356" spans="1:8" x14ac:dyDescent="0.25">
      <c r="A356" s="3" t="s">
        <v>1350</v>
      </c>
      <c r="B356" s="3" t="s">
        <v>3199</v>
      </c>
      <c r="C356" s="10">
        <v>45667.629317129627</v>
      </c>
      <c r="D356" s="3" t="s">
        <v>1351</v>
      </c>
      <c r="E356" s="10">
        <v>45667.631712962961</v>
      </c>
      <c r="F356" s="10">
        <v>45667.702164351853</v>
      </c>
      <c r="G356" s="11">
        <f t="shared" si="10"/>
        <v>2.3958333331393078E-3</v>
      </c>
      <c r="H356" s="11">
        <f t="shared" si="11"/>
        <v>7.2847222225391306E-2</v>
      </c>
    </row>
    <row r="357" spans="1:8" x14ac:dyDescent="0.25">
      <c r="A357" s="3" t="s">
        <v>1353</v>
      </c>
      <c r="B357" s="3" t="s">
        <v>3193</v>
      </c>
      <c r="C357" s="10">
        <v>45667.738680555558</v>
      </c>
      <c r="D357" s="3" t="s">
        <v>1354</v>
      </c>
      <c r="E357" s="10">
        <v>45667.741041666668</v>
      </c>
      <c r="F357" s="10">
        <v>45667.795497685183</v>
      </c>
      <c r="G357" s="11">
        <f t="shared" si="10"/>
        <v>2.3611111100763083E-3</v>
      </c>
      <c r="H357" s="11">
        <f t="shared" si="11"/>
        <v>5.6817129625414964E-2</v>
      </c>
    </row>
    <row r="358" spans="1:8" x14ac:dyDescent="0.25">
      <c r="A358" s="3" t="s">
        <v>1356</v>
      </c>
      <c r="B358" s="3" t="s">
        <v>3198</v>
      </c>
      <c r="C358" s="10">
        <v>45667.760416666657</v>
      </c>
      <c r="D358" s="3" t="s">
        <v>1333</v>
      </c>
      <c r="E358" s="10">
        <v>45667.777002314811</v>
      </c>
      <c r="F358" s="10">
        <v>45667.820104166669</v>
      </c>
      <c r="G358" s="11">
        <f t="shared" si="10"/>
        <v>1.658564815443242E-2</v>
      </c>
      <c r="H358" s="11">
        <f t="shared" si="11"/>
        <v>5.968750001193257E-2</v>
      </c>
    </row>
    <row r="359" spans="1:8" x14ac:dyDescent="0.25">
      <c r="A359" s="3" t="s">
        <v>1358</v>
      </c>
      <c r="B359" s="3" t="s">
        <v>3199</v>
      </c>
      <c r="C359" s="10">
        <v>45667.762766203698</v>
      </c>
      <c r="D359" s="3" t="s">
        <v>1359</v>
      </c>
      <c r="E359" s="10">
        <v>45667.764930555553</v>
      </c>
      <c r="F359" s="10">
        <v>45667.804780092592</v>
      </c>
      <c r="G359" s="11">
        <f t="shared" si="10"/>
        <v>2.164351855753921E-3</v>
      </c>
      <c r="H359" s="11">
        <f t="shared" si="11"/>
        <v>4.2013888894871343E-2</v>
      </c>
    </row>
    <row r="360" spans="1:8" x14ac:dyDescent="0.25">
      <c r="A360" s="3" t="s">
        <v>1361</v>
      </c>
      <c r="B360" s="3" t="s">
        <v>3195</v>
      </c>
      <c r="C360" s="10">
        <v>45667.764467592591</v>
      </c>
      <c r="D360" s="3" t="s">
        <v>1362</v>
      </c>
      <c r="E360" s="10">
        <v>45667.772245370368</v>
      </c>
      <c r="F360" s="10">
        <v>45667.807928240742</v>
      </c>
      <c r="G360" s="11">
        <f t="shared" si="10"/>
        <v>7.7777777769370005E-3</v>
      </c>
      <c r="H360" s="11">
        <f t="shared" si="11"/>
        <v>4.3460648150357883E-2</v>
      </c>
    </row>
    <row r="361" spans="1:8" x14ac:dyDescent="0.25">
      <c r="A361" s="3" t="s">
        <v>1364</v>
      </c>
      <c r="B361" s="3" t="s">
        <v>3204</v>
      </c>
      <c r="C361" s="10">
        <v>45667.766469907408</v>
      </c>
      <c r="D361" s="3" t="s">
        <v>1365</v>
      </c>
      <c r="E361" s="10">
        <v>45669.756030092591</v>
      </c>
      <c r="F361" s="10">
        <v>45669.804583333331</v>
      </c>
      <c r="G361" s="11">
        <f t="shared" si="10"/>
        <v>1.9895601851821993</v>
      </c>
      <c r="H361" s="11">
        <f t="shared" si="11"/>
        <v>2.0381134259223472</v>
      </c>
    </row>
    <row r="362" spans="1:8" x14ac:dyDescent="0.25">
      <c r="A362" s="3" t="s">
        <v>1367</v>
      </c>
      <c r="B362" s="3" t="s">
        <v>3195</v>
      </c>
      <c r="C362" s="10">
        <v>45667.76834490741</v>
      </c>
      <c r="D362" s="3" t="s">
        <v>1362</v>
      </c>
      <c r="E362" s="10">
        <v>45667.772245370368</v>
      </c>
      <c r="F362" s="10">
        <v>45667.807928240742</v>
      </c>
      <c r="G362" s="11">
        <f t="shared" si="10"/>
        <v>3.900462957972195E-3</v>
      </c>
      <c r="H362" s="11">
        <f t="shared" si="11"/>
        <v>3.9583333331393078E-2</v>
      </c>
    </row>
    <row r="363" spans="1:8" x14ac:dyDescent="0.25">
      <c r="A363" s="3" t="s">
        <v>1369</v>
      </c>
      <c r="B363" s="3" t="s">
        <v>3198</v>
      </c>
      <c r="C363" s="10">
        <v>45667.769814814812</v>
      </c>
      <c r="D363" s="3" t="s">
        <v>1333</v>
      </c>
      <c r="E363" s="10">
        <v>45667.777002314811</v>
      </c>
      <c r="F363" s="10">
        <v>45667.820104166669</v>
      </c>
      <c r="G363" s="11">
        <f t="shared" si="10"/>
        <v>7.1874999994179234E-3</v>
      </c>
      <c r="H363" s="11">
        <f t="shared" si="11"/>
        <v>5.0289351856918074E-2</v>
      </c>
    </row>
    <row r="364" spans="1:8" x14ac:dyDescent="0.25">
      <c r="A364" s="3" t="s">
        <v>1371</v>
      </c>
      <c r="B364" s="3" t="s">
        <v>3198</v>
      </c>
      <c r="C364" s="10">
        <v>45667.771296296298</v>
      </c>
      <c r="D364" s="3" t="s">
        <v>1333</v>
      </c>
      <c r="E364" s="10">
        <v>45667.777002314811</v>
      </c>
      <c r="F364" s="10">
        <v>45667.820104166669</v>
      </c>
      <c r="G364" s="11">
        <f t="shared" si="10"/>
        <v>5.7060185135924257E-3</v>
      </c>
      <c r="H364" s="11">
        <f t="shared" si="11"/>
        <v>4.8807870371092577E-2</v>
      </c>
    </row>
    <row r="365" spans="1:8" x14ac:dyDescent="0.25">
      <c r="A365" s="3" t="s">
        <v>1373</v>
      </c>
      <c r="B365" s="3" t="s">
        <v>3203</v>
      </c>
      <c r="C365" s="10">
        <v>45667.772430555553</v>
      </c>
      <c r="D365" s="3" t="s">
        <v>1290</v>
      </c>
      <c r="E365" s="10">
        <v>45670.401736111111</v>
      </c>
      <c r="F365" s="10">
        <v>45670.438252314823</v>
      </c>
      <c r="G365" s="11">
        <f t="shared" si="10"/>
        <v>2.6293055555579485</v>
      </c>
      <c r="H365" s="11">
        <f t="shared" si="11"/>
        <v>2.6658217592703295</v>
      </c>
    </row>
    <row r="366" spans="1:8" x14ac:dyDescent="0.25">
      <c r="A366" s="3" t="s">
        <v>1375</v>
      </c>
      <c r="B366" s="3" t="s">
        <v>3199</v>
      </c>
      <c r="C366" s="10">
        <v>45667.774317129632</v>
      </c>
      <c r="D366" s="3" t="s">
        <v>1376</v>
      </c>
      <c r="E366" s="10">
        <v>45671.436562499999</v>
      </c>
      <c r="F366" s="10">
        <v>45671.480578703697</v>
      </c>
      <c r="G366" s="11">
        <f t="shared" si="10"/>
        <v>3.6622453703676001</v>
      </c>
      <c r="H366" s="11">
        <f t="shared" si="11"/>
        <v>3.7062615740651381</v>
      </c>
    </row>
    <row r="367" spans="1:8" x14ac:dyDescent="0.25">
      <c r="A367" s="3" t="s">
        <v>1378</v>
      </c>
      <c r="B367" s="3" t="s">
        <v>3201</v>
      </c>
      <c r="C367" s="10">
        <v>45667.776041666657</v>
      </c>
      <c r="D367" s="3" t="s">
        <v>1298</v>
      </c>
      <c r="E367" s="10">
        <v>45667.870625000003</v>
      </c>
      <c r="F367" s="10">
        <v>45667.89303240741</v>
      </c>
      <c r="G367" s="11">
        <f t="shared" si="10"/>
        <v>9.4583333346236032E-2</v>
      </c>
      <c r="H367" s="11">
        <f t="shared" si="11"/>
        <v>0.11699074075295357</v>
      </c>
    </row>
    <row r="368" spans="1:8" x14ac:dyDescent="0.25">
      <c r="A368" s="3" t="s">
        <v>1380</v>
      </c>
      <c r="B368" s="3" t="s">
        <v>3193</v>
      </c>
      <c r="C368" s="10">
        <v>45667.777314814812</v>
      </c>
      <c r="D368" s="3" t="s">
        <v>1381</v>
      </c>
      <c r="E368" s="10">
        <v>45667.868784722217</v>
      </c>
      <c r="F368" s="10">
        <v>45667.889872685177</v>
      </c>
      <c r="G368" s="11">
        <f t="shared" si="10"/>
        <v>9.1469907405553386E-2</v>
      </c>
      <c r="H368" s="11">
        <f t="shared" si="11"/>
        <v>0.11255787036498077</v>
      </c>
    </row>
    <row r="369" spans="1:8" x14ac:dyDescent="0.25">
      <c r="A369" s="3" t="s">
        <v>1383</v>
      </c>
      <c r="B369" s="3" t="s">
        <v>3197</v>
      </c>
      <c r="C369" s="10">
        <v>45667.779398148137</v>
      </c>
      <c r="D369" s="3" t="s">
        <v>1328</v>
      </c>
      <c r="E369" s="10">
        <v>45667.78633101852</v>
      </c>
      <c r="F369" s="10">
        <v>45667.831261574072</v>
      </c>
      <c r="G369" s="11">
        <f t="shared" si="10"/>
        <v>6.932870383025147E-3</v>
      </c>
      <c r="H369" s="11">
        <f t="shared" si="11"/>
        <v>5.1863425935152918E-2</v>
      </c>
    </row>
    <row r="370" spans="1:8" x14ac:dyDescent="0.25">
      <c r="A370" s="3" t="s">
        <v>1385</v>
      </c>
      <c r="B370" s="3" t="s">
        <v>3193</v>
      </c>
      <c r="C370" s="10">
        <v>45667.858425925922</v>
      </c>
      <c r="D370" s="3" t="s">
        <v>1381</v>
      </c>
      <c r="E370" s="10">
        <v>45667.868784722217</v>
      </c>
      <c r="F370" s="10">
        <v>45667.889872685177</v>
      </c>
      <c r="G370" s="11">
        <f t="shared" si="10"/>
        <v>1.0358796294895001E-2</v>
      </c>
      <c r="H370" s="11">
        <f t="shared" si="11"/>
        <v>3.1446759254322387E-2</v>
      </c>
    </row>
    <row r="371" spans="1:8" x14ac:dyDescent="0.25">
      <c r="A371" s="3" t="s">
        <v>1387</v>
      </c>
      <c r="B371" s="3" t="s">
        <v>3199</v>
      </c>
      <c r="C371" s="10">
        <v>45667.860335648147</v>
      </c>
      <c r="D371" s="3" t="s">
        <v>1376</v>
      </c>
      <c r="E371" s="10">
        <v>45671.436562499999</v>
      </c>
      <c r="F371" s="10">
        <v>45671.480578703697</v>
      </c>
      <c r="G371" s="11">
        <f t="shared" si="10"/>
        <v>3.5762268518519704</v>
      </c>
      <c r="H371" s="11">
        <f t="shared" si="11"/>
        <v>3.6202430555495084</v>
      </c>
    </row>
    <row r="372" spans="1:8" x14ac:dyDescent="0.25">
      <c r="A372" s="3" t="s">
        <v>1389</v>
      </c>
      <c r="B372" s="3" t="s">
        <v>3198</v>
      </c>
      <c r="C372" s="10">
        <v>45667.861851851849</v>
      </c>
      <c r="D372" s="3" t="s">
        <v>1390</v>
      </c>
      <c r="E372" s="10">
        <v>45670.660173611112</v>
      </c>
      <c r="F372" s="10">
        <v>45670.683587962973</v>
      </c>
      <c r="G372" s="11">
        <f t="shared" si="10"/>
        <v>2.7983217592627625</v>
      </c>
      <c r="H372" s="11">
        <f t="shared" si="11"/>
        <v>2.8217361111237551</v>
      </c>
    </row>
    <row r="373" spans="1:8" x14ac:dyDescent="0.25">
      <c r="A373" s="3" t="s">
        <v>1392</v>
      </c>
      <c r="B373" s="3" t="s">
        <v>3195</v>
      </c>
      <c r="C373" s="10">
        <v>45667.863587962973</v>
      </c>
      <c r="D373" s="3" t="s">
        <v>1393</v>
      </c>
      <c r="E373" s="10">
        <v>45670.117569444446</v>
      </c>
      <c r="F373" s="10">
        <v>45670.151898148149</v>
      </c>
      <c r="G373" s="11">
        <f t="shared" si="10"/>
        <v>2.2539814814736019</v>
      </c>
      <c r="H373" s="11">
        <f t="shared" si="11"/>
        <v>2.2883101851766696</v>
      </c>
    </row>
    <row r="374" spans="1:8" x14ac:dyDescent="0.25">
      <c r="A374" s="3" t="s">
        <v>1395</v>
      </c>
      <c r="B374" s="3" t="s">
        <v>3193</v>
      </c>
      <c r="C374" s="10">
        <v>45667.864884259259</v>
      </c>
      <c r="D374" s="3" t="s">
        <v>1381</v>
      </c>
      <c r="E374" s="10">
        <v>45667.868784722217</v>
      </c>
      <c r="F374" s="10">
        <v>45667.889872685177</v>
      </c>
      <c r="G374" s="11">
        <f t="shared" si="10"/>
        <v>3.900462957972195E-3</v>
      </c>
      <c r="H374" s="11">
        <f t="shared" si="11"/>
        <v>2.4988425917399582E-2</v>
      </c>
    </row>
    <row r="375" spans="1:8" x14ac:dyDescent="0.25">
      <c r="A375" s="3" t="s">
        <v>1397</v>
      </c>
      <c r="B375" s="3" t="s">
        <v>3201</v>
      </c>
      <c r="C375" s="10">
        <v>45667.866701388892</v>
      </c>
      <c r="D375" s="3" t="s">
        <v>1298</v>
      </c>
      <c r="E375" s="10">
        <v>45667.870625000003</v>
      </c>
      <c r="F375" s="10">
        <v>45667.89303240741</v>
      </c>
      <c r="G375" s="11">
        <f t="shared" si="10"/>
        <v>3.9236111115314998E-3</v>
      </c>
      <c r="H375" s="11">
        <f t="shared" si="11"/>
        <v>2.6331018518249039E-2</v>
      </c>
    </row>
    <row r="376" spans="1:8" x14ac:dyDescent="0.25">
      <c r="A376" s="3" t="s">
        <v>1399</v>
      </c>
      <c r="B376" s="3" t="s">
        <v>3200</v>
      </c>
      <c r="C376" s="10">
        <v>45667.868449074071</v>
      </c>
      <c r="D376" s="3" t="s">
        <v>1400</v>
      </c>
      <c r="E376" s="10">
        <v>45670.349606481483</v>
      </c>
      <c r="F376" s="10">
        <v>45670.382349537038</v>
      </c>
      <c r="G376" s="11">
        <f t="shared" si="10"/>
        <v>2.4811574074119562</v>
      </c>
      <c r="H376" s="11">
        <f t="shared" si="11"/>
        <v>2.5139004629672854</v>
      </c>
    </row>
    <row r="377" spans="1:8" x14ac:dyDescent="0.25">
      <c r="A377" s="3" t="s">
        <v>1402</v>
      </c>
      <c r="B377" s="3" t="s">
        <v>3197</v>
      </c>
      <c r="C377" s="10">
        <v>45667.870520833327</v>
      </c>
      <c r="D377" s="3" t="s">
        <v>1403</v>
      </c>
      <c r="E377" s="10">
        <v>45668.22388888889</v>
      </c>
      <c r="F377" s="10">
        <v>45668.244664351849</v>
      </c>
      <c r="G377" s="11">
        <f t="shared" si="10"/>
        <v>0.35336805556289619</v>
      </c>
      <c r="H377" s="11">
        <f t="shared" si="11"/>
        <v>0.37414351852203254</v>
      </c>
    </row>
    <row r="378" spans="1:8" x14ac:dyDescent="0.25">
      <c r="A378" s="3" t="s">
        <v>1405</v>
      </c>
      <c r="B378" s="3" t="s">
        <v>3197</v>
      </c>
      <c r="C378" s="10">
        <v>45668.219965277778</v>
      </c>
      <c r="D378" s="3" t="s">
        <v>1403</v>
      </c>
      <c r="E378" s="10">
        <v>45668.22388888889</v>
      </c>
      <c r="F378" s="10">
        <v>45668.244664351849</v>
      </c>
      <c r="G378" s="11">
        <f t="shared" si="10"/>
        <v>3.9236111115314998E-3</v>
      </c>
      <c r="H378" s="11">
        <f t="shared" si="11"/>
        <v>2.4699074070667848E-2</v>
      </c>
    </row>
    <row r="379" spans="1:8" x14ac:dyDescent="0.25">
      <c r="A379" s="3" t="s">
        <v>1407</v>
      </c>
      <c r="B379" s="3" t="s">
        <v>3204</v>
      </c>
      <c r="C379" s="10">
        <v>45668.221990740742</v>
      </c>
      <c r="D379" s="3" t="s">
        <v>1365</v>
      </c>
      <c r="E379" s="10">
        <v>45669.756030092591</v>
      </c>
      <c r="F379" s="10">
        <v>45669.804583333331</v>
      </c>
      <c r="G379" s="11">
        <f t="shared" si="10"/>
        <v>1.53403935184906</v>
      </c>
      <c r="H379" s="11">
        <f t="shared" si="11"/>
        <v>1.5825925925892079</v>
      </c>
    </row>
    <row r="380" spans="1:8" x14ac:dyDescent="0.25">
      <c r="A380" s="3" t="s">
        <v>1409</v>
      </c>
      <c r="B380" s="3" t="s">
        <v>3193</v>
      </c>
      <c r="C380" s="10">
        <v>45668.223923611113</v>
      </c>
      <c r="D380" s="3" t="s">
        <v>1410</v>
      </c>
      <c r="E380" s="10">
        <v>45668.2262962963</v>
      </c>
      <c r="F380" s="10">
        <v>45668.280868055554</v>
      </c>
      <c r="G380" s="11">
        <f t="shared" si="10"/>
        <v>2.3726851868559606E-3</v>
      </c>
      <c r="H380" s="11">
        <f t="shared" si="11"/>
        <v>5.694444444088731E-2</v>
      </c>
    </row>
    <row r="381" spans="1:8" x14ac:dyDescent="0.25">
      <c r="A381" s="3" t="s">
        <v>1412</v>
      </c>
      <c r="B381" s="3" t="s">
        <v>3204</v>
      </c>
      <c r="C381" s="10">
        <v>45668.243252314824</v>
      </c>
      <c r="D381" s="3" t="s">
        <v>1365</v>
      </c>
      <c r="E381" s="10">
        <v>45669.756030092591</v>
      </c>
      <c r="F381" s="10">
        <v>45669.804583333331</v>
      </c>
      <c r="G381" s="11">
        <f t="shared" si="10"/>
        <v>1.5127777777670417</v>
      </c>
      <c r="H381" s="11">
        <f t="shared" si="11"/>
        <v>1.5613310185071896</v>
      </c>
    </row>
    <row r="382" spans="1:8" x14ac:dyDescent="0.25">
      <c r="A382" s="3" t="s">
        <v>1414</v>
      </c>
      <c r="B382" s="3" t="s">
        <v>3201</v>
      </c>
      <c r="C382" s="10">
        <v>45668.24523148148</v>
      </c>
      <c r="D382" s="3" t="s">
        <v>1415</v>
      </c>
      <c r="E382" s="10">
        <v>45668.247407407413</v>
      </c>
      <c r="F382" s="10">
        <v>45668.268738425933</v>
      </c>
      <c r="G382" s="11">
        <f t="shared" si="10"/>
        <v>2.1759259325335734E-3</v>
      </c>
      <c r="H382" s="11">
        <f t="shared" si="11"/>
        <v>2.3506944453401957E-2</v>
      </c>
    </row>
    <row r="383" spans="1:8" x14ac:dyDescent="0.25">
      <c r="A383" s="3" t="s">
        <v>1417</v>
      </c>
      <c r="B383" s="3" t="s">
        <v>3202</v>
      </c>
      <c r="C383" s="10">
        <v>45668.247060185182</v>
      </c>
      <c r="D383" s="3" t="s">
        <v>1418</v>
      </c>
      <c r="E383" s="10">
        <v>45668.249444444453</v>
      </c>
      <c r="F383" s="10">
        <v>45668.291851851849</v>
      </c>
      <c r="G383" s="11">
        <f t="shared" si="10"/>
        <v>2.3842592709115706E-3</v>
      </c>
      <c r="H383" s="11">
        <f t="shared" si="11"/>
        <v>4.4791666667151731E-2</v>
      </c>
    </row>
    <row r="384" spans="1:8" x14ac:dyDescent="0.25">
      <c r="A384" s="3" t="s">
        <v>1420</v>
      </c>
      <c r="B384" s="3" t="s">
        <v>3204</v>
      </c>
      <c r="C384" s="10">
        <v>45668.249108796299</v>
      </c>
      <c r="D384" s="3" t="s">
        <v>1365</v>
      </c>
      <c r="E384" s="10">
        <v>45669.756030092591</v>
      </c>
      <c r="F384" s="10">
        <v>45669.804583333331</v>
      </c>
      <c r="G384" s="11">
        <f t="shared" si="10"/>
        <v>1.5069212962916936</v>
      </c>
      <c r="H384" s="11">
        <f t="shared" si="11"/>
        <v>1.5554745370318415</v>
      </c>
    </row>
    <row r="385" spans="1:8" x14ac:dyDescent="0.25">
      <c r="A385" s="3" t="s">
        <v>1422</v>
      </c>
      <c r="B385" s="3" t="s">
        <v>3204</v>
      </c>
      <c r="C385" s="10">
        <v>45669.752106481479</v>
      </c>
      <c r="D385" s="3" t="s">
        <v>1365</v>
      </c>
      <c r="E385" s="10">
        <v>45669.756030092591</v>
      </c>
      <c r="F385" s="10">
        <v>45669.804583333331</v>
      </c>
      <c r="G385" s="11">
        <f t="shared" si="10"/>
        <v>3.9236111115314998E-3</v>
      </c>
      <c r="H385" s="11">
        <f t="shared" si="11"/>
        <v>5.2476851851679385E-2</v>
      </c>
    </row>
    <row r="386" spans="1:8" x14ac:dyDescent="0.25">
      <c r="A386" s="3" t="s">
        <v>1424</v>
      </c>
      <c r="B386" s="3" t="s">
        <v>3193</v>
      </c>
      <c r="C386" s="10">
        <v>45669.754131944443</v>
      </c>
      <c r="D386" s="3" t="s">
        <v>1425</v>
      </c>
      <c r="E386" s="10">
        <v>45669.756493055553</v>
      </c>
      <c r="F386" s="10">
        <v>45669.819652777784</v>
      </c>
      <c r="G386" s="11">
        <f t="shared" ref="G386:G449" si="12">IF(AND(ISNUMBER(C386),ISNUMBER(E386)),(E386-C386),"")</f>
        <v>2.3611111100763083E-3</v>
      </c>
      <c r="H386" s="11">
        <f t="shared" ref="H386:H449" si="13">IF(AND(ISNUMBER(C386),ISNUMBER(F386)),(F386-C386),"")</f>
        <v>6.5520833340997342E-2</v>
      </c>
    </row>
    <row r="387" spans="1:8" x14ac:dyDescent="0.25">
      <c r="A387" s="3" t="s">
        <v>1427</v>
      </c>
      <c r="B387" s="3" t="s">
        <v>3201</v>
      </c>
      <c r="C387" s="10">
        <v>45669.755891203713</v>
      </c>
      <c r="D387" s="3" t="s">
        <v>1428</v>
      </c>
      <c r="E387" s="10">
        <v>45671.650451388887</v>
      </c>
      <c r="F387" s="10">
        <v>45671.678564814807</v>
      </c>
      <c r="G387" s="11">
        <f t="shared" si="12"/>
        <v>1.8945601851737592</v>
      </c>
      <c r="H387" s="11">
        <f t="shared" si="13"/>
        <v>1.9226736110940692</v>
      </c>
    </row>
    <row r="388" spans="1:8" x14ac:dyDescent="0.25">
      <c r="A388" s="3" t="s">
        <v>1430</v>
      </c>
      <c r="B388" s="3" t="s">
        <v>3193</v>
      </c>
      <c r="C388" s="10">
        <v>45669.844953703701</v>
      </c>
      <c r="D388" s="3" t="s">
        <v>1431</v>
      </c>
      <c r="E388" s="10">
        <v>45669.847129629627</v>
      </c>
      <c r="F388" s="10">
        <v>45669.8672337963</v>
      </c>
      <c r="G388" s="11">
        <f t="shared" si="12"/>
        <v>2.1759259252576157E-3</v>
      </c>
      <c r="H388" s="11">
        <f t="shared" si="13"/>
        <v>2.2280092598521151E-2</v>
      </c>
    </row>
    <row r="389" spans="1:8" x14ac:dyDescent="0.25">
      <c r="A389" s="3" t="s">
        <v>1433</v>
      </c>
      <c r="B389" s="3" t="s">
        <v>3204</v>
      </c>
      <c r="C389" s="10">
        <v>45669.847175925926</v>
      </c>
      <c r="D389" s="3" t="s">
        <v>1434</v>
      </c>
      <c r="E389" s="10">
        <v>45669.849537037036</v>
      </c>
      <c r="F389" s="10">
        <v>45669.868634259263</v>
      </c>
      <c r="G389" s="11">
        <f t="shared" si="12"/>
        <v>2.3611111100763083E-3</v>
      </c>
      <c r="H389" s="11">
        <f t="shared" si="13"/>
        <v>2.1458333336340729E-2</v>
      </c>
    </row>
    <row r="390" spans="1:8" x14ac:dyDescent="0.25">
      <c r="A390" s="3" t="s">
        <v>1436</v>
      </c>
      <c r="B390" s="3" t="s">
        <v>3195</v>
      </c>
      <c r="C390" s="10">
        <v>45670.113657407397</v>
      </c>
      <c r="D390" s="3" t="s">
        <v>1393</v>
      </c>
      <c r="E390" s="10">
        <v>45670.117569444446</v>
      </c>
      <c r="F390" s="10">
        <v>45670.151898148149</v>
      </c>
      <c r="G390" s="11">
        <f t="shared" si="12"/>
        <v>3.9120370493037626E-3</v>
      </c>
      <c r="H390" s="11">
        <f t="shared" si="13"/>
        <v>3.8240740752371494E-2</v>
      </c>
    </row>
    <row r="391" spans="1:8" x14ac:dyDescent="0.25">
      <c r="A391" s="3" t="s">
        <v>1438</v>
      </c>
      <c r="B391" s="3" t="s">
        <v>3193</v>
      </c>
      <c r="C391" s="10">
        <v>45670.114942129629</v>
      </c>
      <c r="D391" s="3" t="s">
        <v>1439</v>
      </c>
      <c r="E391" s="10">
        <v>45670.405671296299</v>
      </c>
      <c r="F391" s="10">
        <v>45670.450104166674</v>
      </c>
      <c r="G391" s="11">
        <f t="shared" si="12"/>
        <v>0.29072916667064419</v>
      </c>
      <c r="H391" s="11">
        <f t="shared" si="13"/>
        <v>0.33516203704493819</v>
      </c>
    </row>
    <row r="392" spans="1:8" x14ac:dyDescent="0.25">
      <c r="A392" s="3" t="s">
        <v>1441</v>
      </c>
      <c r="B392" s="3" t="s">
        <v>3204</v>
      </c>
      <c r="C392" s="10">
        <v>45670.197557870371</v>
      </c>
      <c r="D392" s="3" t="s">
        <v>1442</v>
      </c>
      <c r="E392" s="10">
        <v>45670.199953703697</v>
      </c>
      <c r="F392" s="10">
        <v>45670.254293981481</v>
      </c>
      <c r="G392" s="11">
        <f t="shared" si="12"/>
        <v>2.3958333258633502E-3</v>
      </c>
      <c r="H392" s="11">
        <f t="shared" si="13"/>
        <v>5.673611110978527E-2</v>
      </c>
    </row>
    <row r="393" spans="1:8" x14ac:dyDescent="0.25">
      <c r="A393" s="3" t="s">
        <v>1444</v>
      </c>
      <c r="B393" s="3" t="s">
        <v>3204</v>
      </c>
      <c r="C393" s="10">
        <v>45670.264363425929</v>
      </c>
      <c r="D393" s="3" t="s">
        <v>1445</v>
      </c>
      <c r="E393" s="10">
        <v>45670.266527777778</v>
      </c>
      <c r="F393" s="10">
        <v>45670.3203125</v>
      </c>
      <c r="G393" s="11">
        <f t="shared" si="12"/>
        <v>2.1643518484779634E-3</v>
      </c>
      <c r="H393" s="11">
        <f t="shared" si="13"/>
        <v>5.5949074070667848E-2</v>
      </c>
    </row>
    <row r="394" spans="1:8" x14ac:dyDescent="0.25">
      <c r="A394" s="3" t="s">
        <v>1447</v>
      </c>
      <c r="B394" s="3" t="s">
        <v>3195</v>
      </c>
      <c r="C394" s="10">
        <v>45670.302719907413</v>
      </c>
      <c r="D394" s="3" t="s">
        <v>1448</v>
      </c>
      <c r="E394" s="10">
        <v>45670.304884259262</v>
      </c>
      <c r="F394" s="10">
        <v>45670.342465277783</v>
      </c>
      <c r="G394" s="11">
        <f t="shared" si="12"/>
        <v>2.1643518484779634E-3</v>
      </c>
      <c r="H394" s="11">
        <f t="shared" si="13"/>
        <v>3.9745370369928423E-2</v>
      </c>
    </row>
    <row r="395" spans="1:8" x14ac:dyDescent="0.25">
      <c r="A395" s="3" t="s">
        <v>1450</v>
      </c>
      <c r="B395" s="3" t="s">
        <v>3197</v>
      </c>
      <c r="C395" s="10">
        <v>45670.313831018517</v>
      </c>
      <c r="D395" s="3" t="s">
        <v>1451</v>
      </c>
      <c r="E395" s="10">
        <v>45670.315983796303</v>
      </c>
      <c r="F395" s="10">
        <v>45670.388067129628</v>
      </c>
      <c r="G395" s="11">
        <f t="shared" si="12"/>
        <v>2.1527777862502262E-3</v>
      </c>
      <c r="H395" s="11">
        <f t="shared" si="13"/>
        <v>7.42361111115315E-2</v>
      </c>
    </row>
    <row r="396" spans="1:8" x14ac:dyDescent="0.25">
      <c r="A396" s="3" t="s">
        <v>1453</v>
      </c>
      <c r="B396" s="3" t="s">
        <v>3206</v>
      </c>
      <c r="C396" s="10">
        <v>45670.330520833333</v>
      </c>
      <c r="D396" s="3" t="s">
        <v>1264</v>
      </c>
      <c r="E396" s="10">
        <v>45671.397326388891</v>
      </c>
      <c r="F396" s="10">
        <v>45671.459537037037</v>
      </c>
      <c r="G396" s="11">
        <f t="shared" si="12"/>
        <v>1.0668055555579485</v>
      </c>
      <c r="H396" s="11">
        <f t="shared" si="13"/>
        <v>1.1290162037039408</v>
      </c>
    </row>
    <row r="397" spans="1:8" x14ac:dyDescent="0.25">
      <c r="A397" s="3" t="s">
        <v>1455</v>
      </c>
      <c r="B397" s="3" t="s">
        <v>3202</v>
      </c>
      <c r="C397" s="10">
        <v>45670.332037037027</v>
      </c>
      <c r="D397" s="3" t="s">
        <v>1456</v>
      </c>
      <c r="E397" s="10">
        <v>45670.413645833331</v>
      </c>
      <c r="F397" s="10">
        <v>45670.48296296296</v>
      </c>
      <c r="G397" s="11">
        <f t="shared" si="12"/>
        <v>8.1608796303044073E-2</v>
      </c>
      <c r="H397" s="11">
        <f t="shared" si="13"/>
        <v>0.15092592593282461</v>
      </c>
    </row>
    <row r="398" spans="1:8" x14ac:dyDescent="0.25">
      <c r="A398" s="3" t="s">
        <v>1458</v>
      </c>
      <c r="B398" s="3" t="s">
        <v>3193</v>
      </c>
      <c r="C398" s="10">
        <v>45670.333333333343</v>
      </c>
      <c r="D398" s="3" t="s">
        <v>1439</v>
      </c>
      <c r="E398" s="10">
        <v>45670.405671296299</v>
      </c>
      <c r="F398" s="10">
        <v>45670.450104166674</v>
      </c>
      <c r="G398" s="11">
        <f t="shared" si="12"/>
        <v>7.2337962956225965E-2</v>
      </c>
      <c r="H398" s="11">
        <f t="shared" si="13"/>
        <v>0.11677083333051996</v>
      </c>
    </row>
    <row r="399" spans="1:8" x14ac:dyDescent="0.25">
      <c r="A399" s="3" t="s">
        <v>1460</v>
      </c>
      <c r="B399" s="3" t="s">
        <v>3198</v>
      </c>
      <c r="C399" s="10">
        <v>45670.334976851853</v>
      </c>
      <c r="D399" s="3" t="s">
        <v>1390</v>
      </c>
      <c r="E399" s="10">
        <v>45670.660173611112</v>
      </c>
      <c r="F399" s="10">
        <v>45670.683587962973</v>
      </c>
      <c r="G399" s="11">
        <f t="shared" si="12"/>
        <v>0.32519675925868796</v>
      </c>
      <c r="H399" s="11">
        <f t="shared" si="13"/>
        <v>0.34861111111968057</v>
      </c>
    </row>
    <row r="400" spans="1:8" x14ac:dyDescent="0.25">
      <c r="A400" s="3" t="s">
        <v>1462</v>
      </c>
      <c r="B400" s="3" t="s">
        <v>3194</v>
      </c>
      <c r="C400" s="10">
        <v>45670.336967592593</v>
      </c>
      <c r="D400" s="3" t="s">
        <v>1463</v>
      </c>
      <c r="E400" s="10">
        <v>45671.758935185193</v>
      </c>
      <c r="F400" s="10">
        <v>45671.799166666657</v>
      </c>
      <c r="G400" s="11">
        <f t="shared" si="12"/>
        <v>1.4219675925996853</v>
      </c>
      <c r="H400" s="11">
        <f t="shared" si="13"/>
        <v>1.4621990740633919</v>
      </c>
    </row>
    <row r="401" spans="1:8" x14ac:dyDescent="0.25">
      <c r="A401" s="3" t="s">
        <v>1465</v>
      </c>
      <c r="B401" s="3" t="s">
        <v>3195</v>
      </c>
      <c r="C401" s="10">
        <v>45670.338703703703</v>
      </c>
      <c r="D401" s="3" t="s">
        <v>1466</v>
      </c>
      <c r="E401" s="10">
        <v>45670.413414351853</v>
      </c>
      <c r="F401" s="10">
        <v>45670.468634259261</v>
      </c>
      <c r="G401" s="11">
        <f t="shared" si="12"/>
        <v>7.4710648150357883E-2</v>
      </c>
      <c r="H401" s="11">
        <f t="shared" si="13"/>
        <v>0.12993055555853061</v>
      </c>
    </row>
    <row r="402" spans="1:8" x14ac:dyDescent="0.25">
      <c r="A402" s="3" t="s">
        <v>1468</v>
      </c>
      <c r="B402" s="3" t="s">
        <v>3200</v>
      </c>
      <c r="C402" s="10">
        <v>45670.340451388889</v>
      </c>
      <c r="D402" s="3" t="s">
        <v>1400</v>
      </c>
      <c r="E402" s="10">
        <v>45670.349606481483</v>
      </c>
      <c r="F402" s="10">
        <v>45670.382349537038</v>
      </c>
      <c r="G402" s="11">
        <f t="shared" si="12"/>
        <v>9.1550925935734995E-3</v>
      </c>
      <c r="H402" s="11">
        <f t="shared" si="13"/>
        <v>4.1898148148902692E-2</v>
      </c>
    </row>
    <row r="403" spans="1:8" x14ac:dyDescent="0.25">
      <c r="A403" s="3" t="s">
        <v>1470</v>
      </c>
      <c r="B403" s="3" t="s">
        <v>3196</v>
      </c>
      <c r="C403" s="10">
        <v>45670.342361111107</v>
      </c>
      <c r="D403" s="3" t="s">
        <v>1471</v>
      </c>
      <c r="E403" s="10">
        <v>45671.296840277777</v>
      </c>
      <c r="F403" s="10">
        <v>45671.331921296303</v>
      </c>
      <c r="G403" s="11">
        <f t="shared" si="12"/>
        <v>0.95447916667035315</v>
      </c>
      <c r="H403" s="11">
        <f t="shared" si="13"/>
        <v>0.98956018519675126</v>
      </c>
    </row>
    <row r="404" spans="1:8" x14ac:dyDescent="0.25">
      <c r="A404" s="3" t="s">
        <v>1473</v>
      </c>
      <c r="B404" s="3" t="s">
        <v>3202</v>
      </c>
      <c r="C404" s="10">
        <v>45670.343773148154</v>
      </c>
      <c r="D404" s="3" t="s">
        <v>1456</v>
      </c>
      <c r="E404" s="10">
        <v>45670.413645833331</v>
      </c>
      <c r="F404" s="10">
        <v>45670.48296296296</v>
      </c>
      <c r="G404" s="11">
        <f t="shared" si="12"/>
        <v>6.9872685176960658E-2</v>
      </c>
      <c r="H404" s="11">
        <f t="shared" si="13"/>
        <v>0.1391898148067412</v>
      </c>
    </row>
    <row r="405" spans="1:8" x14ac:dyDescent="0.25">
      <c r="A405" s="3" t="s">
        <v>1475</v>
      </c>
      <c r="B405" s="3" t="s">
        <v>3200</v>
      </c>
      <c r="C405" s="10">
        <v>45670.345706018517</v>
      </c>
      <c r="D405" s="3" t="s">
        <v>1400</v>
      </c>
      <c r="E405" s="10">
        <v>45670.349606481483</v>
      </c>
      <c r="F405" s="10">
        <v>45670.382349537038</v>
      </c>
      <c r="G405" s="11">
        <f t="shared" si="12"/>
        <v>3.9004629652481526E-3</v>
      </c>
      <c r="H405" s="11">
        <f t="shared" si="13"/>
        <v>3.6643518520577345E-2</v>
      </c>
    </row>
    <row r="406" spans="1:8" x14ac:dyDescent="0.25">
      <c r="A406" s="3" t="s">
        <v>1477</v>
      </c>
      <c r="B406" s="3" t="s">
        <v>3201</v>
      </c>
      <c r="C406" s="10">
        <v>45670.34746527778</v>
      </c>
      <c r="D406" s="3" t="s">
        <v>1428</v>
      </c>
      <c r="E406" s="10">
        <v>45671.650451388887</v>
      </c>
      <c r="F406" s="10">
        <v>45671.678564814807</v>
      </c>
      <c r="G406" s="11">
        <f t="shared" si="12"/>
        <v>1.3029861111062928</v>
      </c>
      <c r="H406" s="11">
        <f t="shared" si="13"/>
        <v>1.3310995370266028</v>
      </c>
    </row>
    <row r="407" spans="1:8" x14ac:dyDescent="0.25">
      <c r="A407" s="3" t="s">
        <v>1479</v>
      </c>
      <c r="B407" s="3" t="s">
        <v>3195</v>
      </c>
      <c r="C407" s="10">
        <v>45670.34920138889</v>
      </c>
      <c r="D407" s="3" t="s">
        <v>1466</v>
      </c>
      <c r="E407" s="10">
        <v>45670.413414351853</v>
      </c>
      <c r="F407" s="10">
        <v>45670.468634259261</v>
      </c>
      <c r="G407" s="11">
        <f t="shared" si="12"/>
        <v>6.4212962963210884E-2</v>
      </c>
      <c r="H407" s="11">
        <f t="shared" si="13"/>
        <v>0.11943287037138361</v>
      </c>
    </row>
    <row r="408" spans="1:8" x14ac:dyDescent="0.25">
      <c r="A408" s="3" t="s">
        <v>1481</v>
      </c>
      <c r="B408" s="3" t="s">
        <v>3203</v>
      </c>
      <c r="C408" s="10">
        <v>45670.350381944438</v>
      </c>
      <c r="D408" s="3" t="s">
        <v>1290</v>
      </c>
      <c r="E408" s="10">
        <v>45670.401736111111</v>
      </c>
      <c r="F408" s="10">
        <v>45670.438252314823</v>
      </c>
      <c r="G408" s="11">
        <f t="shared" si="12"/>
        <v>5.1354166673263535E-2</v>
      </c>
      <c r="H408" s="11">
        <f t="shared" si="13"/>
        <v>8.7870370385644492E-2</v>
      </c>
    </row>
    <row r="409" spans="1:8" x14ac:dyDescent="0.25">
      <c r="A409" s="3" t="s">
        <v>1483</v>
      </c>
      <c r="B409" s="3" t="s">
        <v>3193</v>
      </c>
      <c r="C409" s="10">
        <v>45670.351666666669</v>
      </c>
      <c r="D409" s="3" t="s">
        <v>1439</v>
      </c>
      <c r="E409" s="10">
        <v>45670.405671296299</v>
      </c>
      <c r="F409" s="10">
        <v>45670.450104166674</v>
      </c>
      <c r="G409" s="11">
        <f t="shared" si="12"/>
        <v>5.4004629630071577E-2</v>
      </c>
      <c r="H409" s="11">
        <f t="shared" si="13"/>
        <v>9.8437500004365575E-2</v>
      </c>
    </row>
    <row r="410" spans="1:8" x14ac:dyDescent="0.25">
      <c r="A410" s="3" t="s">
        <v>1485</v>
      </c>
      <c r="B410" s="3" t="s">
        <v>3204</v>
      </c>
      <c r="C410" s="10">
        <v>45670.387881944444</v>
      </c>
      <c r="D410" s="3" t="s">
        <v>1486</v>
      </c>
      <c r="E410" s="10">
        <v>45670.390243055554</v>
      </c>
      <c r="F410" s="10">
        <v>45670.440694444442</v>
      </c>
      <c r="G410" s="11">
        <f t="shared" si="12"/>
        <v>2.3611111100763083E-3</v>
      </c>
      <c r="H410" s="11">
        <f t="shared" si="13"/>
        <v>5.281249999825377E-2</v>
      </c>
    </row>
    <row r="411" spans="1:8" x14ac:dyDescent="0.25">
      <c r="A411" s="3" t="s">
        <v>1488</v>
      </c>
      <c r="B411" s="3" t="s">
        <v>3205</v>
      </c>
      <c r="C411" s="10">
        <v>45670.389386574083</v>
      </c>
      <c r="D411" s="3" t="s">
        <v>1139</v>
      </c>
      <c r="E411" s="10">
        <v>45670.393287037034</v>
      </c>
      <c r="F411" s="10">
        <v>45670.426874999997</v>
      </c>
      <c r="G411" s="11">
        <f t="shared" si="12"/>
        <v>3.9004629506962374E-3</v>
      </c>
      <c r="H411" s="11">
        <f t="shared" si="13"/>
        <v>3.7488425914489198E-2</v>
      </c>
    </row>
    <row r="412" spans="1:8" x14ac:dyDescent="0.25">
      <c r="A412" s="3" t="s">
        <v>1490</v>
      </c>
      <c r="B412" s="3" t="s">
        <v>3199</v>
      </c>
      <c r="C412" s="10">
        <v>45670.39702546296</v>
      </c>
      <c r="D412" s="3" t="s">
        <v>1376</v>
      </c>
      <c r="E412" s="10">
        <v>45671.436562499999</v>
      </c>
      <c r="F412" s="10">
        <v>45671.480578703697</v>
      </c>
      <c r="G412" s="11">
        <f t="shared" si="12"/>
        <v>1.0395370370388264</v>
      </c>
      <c r="H412" s="11">
        <f t="shared" si="13"/>
        <v>1.0835532407363644</v>
      </c>
    </row>
    <row r="413" spans="1:8" x14ac:dyDescent="0.25">
      <c r="A413" s="3" t="s">
        <v>1492</v>
      </c>
      <c r="B413" s="3" t="s">
        <v>3203</v>
      </c>
      <c r="C413" s="10">
        <v>45670.3981712963</v>
      </c>
      <c r="D413" s="3" t="s">
        <v>1290</v>
      </c>
      <c r="E413" s="10">
        <v>45670.401736111111</v>
      </c>
      <c r="F413" s="10">
        <v>45670.438252314823</v>
      </c>
      <c r="G413" s="11">
        <f t="shared" si="12"/>
        <v>3.5648148113978095E-3</v>
      </c>
      <c r="H413" s="11">
        <f t="shared" si="13"/>
        <v>4.0081018523778766E-2</v>
      </c>
    </row>
    <row r="414" spans="1:8" x14ac:dyDescent="0.25">
      <c r="A414" s="3" t="s">
        <v>1494</v>
      </c>
      <c r="B414" s="3" t="s">
        <v>3193</v>
      </c>
      <c r="C414" s="10">
        <v>45670.399525462963</v>
      </c>
      <c r="D414" s="3" t="s">
        <v>1439</v>
      </c>
      <c r="E414" s="10">
        <v>45670.405671296299</v>
      </c>
      <c r="F414" s="10">
        <v>45670.450104166674</v>
      </c>
      <c r="G414" s="11">
        <f t="shared" si="12"/>
        <v>6.1458333366317675E-3</v>
      </c>
      <c r="H414" s="11">
        <f t="shared" si="13"/>
        <v>5.0578703710925765E-2</v>
      </c>
    </row>
    <row r="415" spans="1:8" x14ac:dyDescent="0.25">
      <c r="A415" s="3" t="s">
        <v>1496</v>
      </c>
      <c r="B415" s="3" t="s">
        <v>3195</v>
      </c>
      <c r="C415" s="10">
        <v>45670.40121527778</v>
      </c>
      <c r="D415" s="3" t="s">
        <v>1466</v>
      </c>
      <c r="E415" s="10">
        <v>45670.413414351853</v>
      </c>
      <c r="F415" s="10">
        <v>45670.468634259261</v>
      </c>
      <c r="G415" s="11">
        <f t="shared" si="12"/>
        <v>1.2199074073578231E-2</v>
      </c>
      <c r="H415" s="11">
        <f t="shared" si="13"/>
        <v>6.7418981481750961E-2</v>
      </c>
    </row>
    <row r="416" spans="1:8" x14ac:dyDescent="0.25">
      <c r="A416" s="3" t="s">
        <v>1498</v>
      </c>
      <c r="B416" s="3" t="s">
        <v>3203</v>
      </c>
      <c r="C416" s="10">
        <v>45670.402361111112</v>
      </c>
      <c r="D416" s="3" t="s">
        <v>1499</v>
      </c>
      <c r="E416" s="10">
        <v>45670.615787037037</v>
      </c>
      <c r="F416" s="10">
        <v>45670.685439814813</v>
      </c>
      <c r="G416" s="11">
        <f t="shared" si="12"/>
        <v>0.21342592592554865</v>
      </c>
      <c r="H416" s="11">
        <f t="shared" si="13"/>
        <v>0.28307870370190358</v>
      </c>
    </row>
    <row r="417" spans="1:8" x14ac:dyDescent="0.25">
      <c r="A417" s="3" t="s">
        <v>1501</v>
      </c>
      <c r="B417" s="3" t="s">
        <v>3205</v>
      </c>
      <c r="C417" s="10">
        <v>45670.403611111113</v>
      </c>
      <c r="D417" s="3" t="s">
        <v>1502</v>
      </c>
      <c r="E417" s="10">
        <v>45670.524826388893</v>
      </c>
      <c r="F417" s="10">
        <v>45670.585046296299</v>
      </c>
      <c r="G417" s="11">
        <f t="shared" si="12"/>
        <v>0.1212152777807205</v>
      </c>
      <c r="H417" s="11">
        <f t="shared" si="13"/>
        <v>0.18143518518627388</v>
      </c>
    </row>
    <row r="418" spans="1:8" x14ac:dyDescent="0.25">
      <c r="A418" s="3" t="s">
        <v>1504</v>
      </c>
      <c r="B418" s="3" t="s">
        <v>3202</v>
      </c>
      <c r="C418" s="10">
        <v>45670.405219907407</v>
      </c>
      <c r="D418" s="3" t="s">
        <v>1456</v>
      </c>
      <c r="E418" s="10">
        <v>45670.413645833331</v>
      </c>
      <c r="F418" s="10">
        <v>45670.48296296296</v>
      </c>
      <c r="G418" s="11">
        <f t="shared" si="12"/>
        <v>8.4259259238024242E-3</v>
      </c>
      <c r="H418" s="11">
        <f t="shared" si="13"/>
        <v>7.7743055553582963E-2</v>
      </c>
    </row>
    <row r="419" spans="1:8" x14ac:dyDescent="0.25">
      <c r="A419" s="3" t="s">
        <v>1506</v>
      </c>
      <c r="B419" s="3" t="s">
        <v>3195</v>
      </c>
      <c r="C419" s="10">
        <v>45670.407129629632</v>
      </c>
      <c r="D419" s="3" t="s">
        <v>1466</v>
      </c>
      <c r="E419" s="10">
        <v>45670.413414351853</v>
      </c>
      <c r="F419" s="10">
        <v>45670.468634259261</v>
      </c>
      <c r="G419" s="11">
        <f t="shared" si="12"/>
        <v>6.284722221607808E-3</v>
      </c>
      <c r="H419" s="11">
        <f t="shared" si="13"/>
        <v>6.1504629629780538E-2</v>
      </c>
    </row>
    <row r="420" spans="1:8" x14ac:dyDescent="0.25">
      <c r="A420" s="3" t="s">
        <v>1508</v>
      </c>
      <c r="B420" s="3" t="s">
        <v>3196</v>
      </c>
      <c r="C420" s="10">
        <v>45670.40902777778</v>
      </c>
      <c r="D420" s="3" t="s">
        <v>1471</v>
      </c>
      <c r="E420" s="10">
        <v>45671.296840277777</v>
      </c>
      <c r="F420" s="10">
        <v>45671.331921296303</v>
      </c>
      <c r="G420" s="11">
        <f t="shared" si="12"/>
        <v>0.88781249999738066</v>
      </c>
      <c r="H420" s="11">
        <f t="shared" si="13"/>
        <v>0.92289351852377877</v>
      </c>
    </row>
    <row r="421" spans="1:8" x14ac:dyDescent="0.25">
      <c r="A421" s="3" t="s">
        <v>1510</v>
      </c>
      <c r="B421" s="3" t="s">
        <v>3194</v>
      </c>
      <c r="C421" s="10">
        <v>45670.41101851852</v>
      </c>
      <c r="D421" s="3" t="s">
        <v>1463</v>
      </c>
      <c r="E421" s="10">
        <v>45671.758935185193</v>
      </c>
      <c r="F421" s="10">
        <v>45671.799166666657</v>
      </c>
      <c r="G421" s="11">
        <f t="shared" si="12"/>
        <v>1.3479166666729725</v>
      </c>
      <c r="H421" s="11">
        <f t="shared" si="13"/>
        <v>1.3881481481366791</v>
      </c>
    </row>
    <row r="422" spans="1:8" x14ac:dyDescent="0.25">
      <c r="A422" s="3" t="s">
        <v>1512</v>
      </c>
      <c r="B422" s="3" t="s">
        <v>3197</v>
      </c>
      <c r="C422" s="10">
        <v>45670.433368055557</v>
      </c>
      <c r="D422" s="3" t="s">
        <v>1513</v>
      </c>
      <c r="E422" s="10">
        <v>45670.440520833326</v>
      </c>
      <c r="F422" s="10">
        <v>45670.498738425929</v>
      </c>
      <c r="G422" s="11">
        <f t="shared" si="12"/>
        <v>7.1527777690789662E-3</v>
      </c>
      <c r="H422" s="11">
        <f t="shared" si="13"/>
        <v>6.5370370371965691E-2</v>
      </c>
    </row>
    <row r="423" spans="1:8" x14ac:dyDescent="0.25">
      <c r="A423" s="3" t="s">
        <v>1515</v>
      </c>
      <c r="B423" s="3" t="s">
        <v>3200</v>
      </c>
      <c r="C423" s="10">
        <v>45670.435150462959</v>
      </c>
      <c r="D423" s="3" t="s">
        <v>1516</v>
      </c>
      <c r="E423" s="10">
        <v>45670.6875</v>
      </c>
      <c r="F423" s="10">
        <v>45670.724687499998</v>
      </c>
      <c r="G423" s="11">
        <f t="shared" si="12"/>
        <v>0.25234953704057261</v>
      </c>
      <c r="H423" s="11">
        <f t="shared" si="13"/>
        <v>0.28953703703882638</v>
      </c>
    </row>
    <row r="424" spans="1:8" x14ac:dyDescent="0.25">
      <c r="A424" s="3" t="s">
        <v>1518</v>
      </c>
      <c r="B424" s="3" t="s">
        <v>3205</v>
      </c>
      <c r="C424" s="10">
        <v>45670.436631944453</v>
      </c>
      <c r="D424" s="3" t="s">
        <v>1502</v>
      </c>
      <c r="E424" s="10">
        <v>45670.524826388893</v>
      </c>
      <c r="F424" s="10">
        <v>45670.585046296299</v>
      </c>
      <c r="G424" s="11">
        <f t="shared" si="12"/>
        <v>8.819444444088731E-2</v>
      </c>
      <c r="H424" s="11">
        <f t="shared" si="13"/>
        <v>0.1484143518464407</v>
      </c>
    </row>
    <row r="425" spans="1:8" x14ac:dyDescent="0.25">
      <c r="A425" s="3" t="s">
        <v>1520</v>
      </c>
      <c r="B425" s="3" t="s">
        <v>3205</v>
      </c>
      <c r="C425" s="10">
        <v>45670.520902777767</v>
      </c>
      <c r="D425" s="3" t="s">
        <v>1502</v>
      </c>
      <c r="E425" s="10">
        <v>45670.524826388893</v>
      </c>
      <c r="F425" s="10">
        <v>45670.585046296299</v>
      </c>
      <c r="G425" s="11">
        <f t="shared" si="12"/>
        <v>3.923611126083415E-3</v>
      </c>
      <c r="H425" s="11">
        <f t="shared" si="13"/>
        <v>6.4143518531636801E-2</v>
      </c>
    </row>
    <row r="426" spans="1:8" x14ac:dyDescent="0.25">
      <c r="A426" s="3" t="s">
        <v>1522</v>
      </c>
      <c r="B426" s="3" t="s">
        <v>3203</v>
      </c>
      <c r="C426" s="10">
        <v>45670.613425925927</v>
      </c>
      <c r="D426" s="3" t="s">
        <v>1499</v>
      </c>
      <c r="E426" s="10">
        <v>45670.615787037037</v>
      </c>
      <c r="F426" s="10">
        <v>45670.685439814813</v>
      </c>
      <c r="G426" s="11">
        <f t="shared" si="12"/>
        <v>2.3611111100763083E-3</v>
      </c>
      <c r="H426" s="11">
        <f t="shared" si="13"/>
        <v>7.2013888886431232E-2</v>
      </c>
    </row>
    <row r="427" spans="1:8" x14ac:dyDescent="0.25">
      <c r="A427" s="3" t="s">
        <v>1524</v>
      </c>
      <c r="B427" s="3" t="s">
        <v>3193</v>
      </c>
      <c r="C427" s="10">
        <v>45670.635740740741</v>
      </c>
      <c r="D427" s="3" t="s">
        <v>1525</v>
      </c>
      <c r="E427" s="10">
        <v>45671.29824074074</v>
      </c>
      <c r="F427" s="10">
        <v>45671.327361111107</v>
      </c>
      <c r="G427" s="11">
        <f t="shared" si="12"/>
        <v>0.66249999999854481</v>
      </c>
      <c r="H427" s="11">
        <f t="shared" si="13"/>
        <v>0.69162037036585389</v>
      </c>
    </row>
    <row r="428" spans="1:8" x14ac:dyDescent="0.25">
      <c r="A428" s="3" t="s">
        <v>1527</v>
      </c>
      <c r="B428" s="3" t="s">
        <v>3204</v>
      </c>
      <c r="C428" s="10">
        <v>45670.637928240743</v>
      </c>
      <c r="D428" s="3" t="s">
        <v>1528</v>
      </c>
      <c r="E428" s="10">
        <v>45670.645543981482</v>
      </c>
      <c r="F428" s="10">
        <v>45670.665497685193</v>
      </c>
      <c r="G428" s="11">
        <f t="shared" si="12"/>
        <v>7.6157407384016551E-3</v>
      </c>
      <c r="H428" s="11">
        <f t="shared" si="13"/>
        <v>2.7569444449909497E-2</v>
      </c>
    </row>
    <row r="429" spans="1:8" x14ac:dyDescent="0.25">
      <c r="A429" s="3" t="s">
        <v>1530</v>
      </c>
      <c r="B429" s="3" t="s">
        <v>3206</v>
      </c>
      <c r="C429" s="10">
        <v>45670.639606481483</v>
      </c>
      <c r="D429" s="3" t="s">
        <v>1264</v>
      </c>
      <c r="E429" s="10">
        <v>45671.397326388891</v>
      </c>
      <c r="F429" s="10">
        <v>45671.459537037037</v>
      </c>
      <c r="G429" s="11">
        <f t="shared" si="12"/>
        <v>0.75771990740759065</v>
      </c>
      <c r="H429" s="11">
        <f t="shared" si="13"/>
        <v>0.81993055555358296</v>
      </c>
    </row>
    <row r="430" spans="1:8" x14ac:dyDescent="0.25">
      <c r="A430" s="3" t="s">
        <v>1532</v>
      </c>
      <c r="B430" s="3" t="s">
        <v>3204</v>
      </c>
      <c r="C430" s="10">
        <v>45670.641643518517</v>
      </c>
      <c r="D430" s="3" t="s">
        <v>1528</v>
      </c>
      <c r="E430" s="10">
        <v>45670.645543981482</v>
      </c>
      <c r="F430" s="10">
        <v>45670.665497685193</v>
      </c>
      <c r="G430" s="11">
        <f t="shared" si="12"/>
        <v>3.9004629652481526E-3</v>
      </c>
      <c r="H430" s="11">
        <f t="shared" si="13"/>
        <v>2.3854166676755995E-2</v>
      </c>
    </row>
    <row r="431" spans="1:8" x14ac:dyDescent="0.25">
      <c r="A431" s="3" t="s">
        <v>1534</v>
      </c>
      <c r="B431" s="3" t="s">
        <v>3201</v>
      </c>
      <c r="C431" s="10">
        <v>45670.64340277778</v>
      </c>
      <c r="D431" s="3" t="s">
        <v>1428</v>
      </c>
      <c r="E431" s="10">
        <v>45671.650451388887</v>
      </c>
      <c r="F431" s="10">
        <v>45671.678564814807</v>
      </c>
      <c r="G431" s="11">
        <f t="shared" si="12"/>
        <v>1.0070486111071659</v>
      </c>
      <c r="H431" s="11">
        <f t="shared" si="13"/>
        <v>1.0351620370274759</v>
      </c>
    </row>
    <row r="432" spans="1:8" x14ac:dyDescent="0.25">
      <c r="A432" s="3" t="s">
        <v>1536</v>
      </c>
      <c r="B432" s="3" t="s">
        <v>3199</v>
      </c>
      <c r="C432" s="10">
        <v>45670.645312499997</v>
      </c>
      <c r="D432" s="3" t="s">
        <v>1376</v>
      </c>
      <c r="E432" s="10">
        <v>45671.436562499999</v>
      </c>
      <c r="F432" s="10">
        <v>45671.480578703697</v>
      </c>
      <c r="G432" s="11">
        <f t="shared" si="12"/>
        <v>0.79125000000203727</v>
      </c>
      <c r="H432" s="11">
        <f t="shared" si="13"/>
        <v>0.83526620369957527</v>
      </c>
    </row>
    <row r="433" spans="1:8" x14ac:dyDescent="0.25">
      <c r="A433" s="3" t="s">
        <v>1538</v>
      </c>
      <c r="B433" s="3" t="s">
        <v>3195</v>
      </c>
      <c r="C433" s="10">
        <v>45670.647048611107</v>
      </c>
      <c r="D433" s="3" t="s">
        <v>1539</v>
      </c>
      <c r="E433" s="10">
        <v>45671.117708333331</v>
      </c>
      <c r="F433" s="10">
        <v>45671.141122685192</v>
      </c>
      <c r="G433" s="11">
        <f t="shared" si="12"/>
        <v>0.47065972222480923</v>
      </c>
      <c r="H433" s="11">
        <f t="shared" si="13"/>
        <v>0.49407407408580184</v>
      </c>
    </row>
    <row r="434" spans="1:8" x14ac:dyDescent="0.25">
      <c r="A434" s="3" t="s">
        <v>1541</v>
      </c>
      <c r="B434" s="3" t="s">
        <v>3197</v>
      </c>
      <c r="C434" s="10">
        <v>45670.649097222216</v>
      </c>
      <c r="D434" s="3" t="s">
        <v>1542</v>
      </c>
      <c r="E434" s="10">
        <v>45672.122870370367</v>
      </c>
      <c r="F434" s="10">
        <v>45672.156134259261</v>
      </c>
      <c r="G434" s="11">
        <f t="shared" si="12"/>
        <v>1.47377314815094</v>
      </c>
      <c r="H434" s="11">
        <f t="shared" si="13"/>
        <v>1.5070370370449382</v>
      </c>
    </row>
    <row r="435" spans="1:8" x14ac:dyDescent="0.25">
      <c r="A435" s="3" t="s">
        <v>1544</v>
      </c>
      <c r="B435" s="3" t="s">
        <v>3194</v>
      </c>
      <c r="C435" s="10">
        <v>45670.651053240741</v>
      </c>
      <c r="D435" s="3" t="s">
        <v>1463</v>
      </c>
      <c r="E435" s="10">
        <v>45671.758935185193</v>
      </c>
      <c r="F435" s="10">
        <v>45671.799166666657</v>
      </c>
      <c r="G435" s="11">
        <f t="shared" si="12"/>
        <v>1.1078819444519468</v>
      </c>
      <c r="H435" s="11">
        <f t="shared" si="13"/>
        <v>1.1481134259156534</v>
      </c>
    </row>
    <row r="436" spans="1:8" x14ac:dyDescent="0.25">
      <c r="A436" s="3" t="s">
        <v>1546</v>
      </c>
      <c r="B436" s="3" t="s">
        <v>3196</v>
      </c>
      <c r="C436" s="10">
        <v>45670.653032407397</v>
      </c>
      <c r="D436" s="3" t="s">
        <v>1471</v>
      </c>
      <c r="E436" s="10">
        <v>45671.296840277777</v>
      </c>
      <c r="F436" s="10">
        <v>45671.331921296303</v>
      </c>
      <c r="G436" s="11">
        <f t="shared" si="12"/>
        <v>0.64380787037953269</v>
      </c>
      <c r="H436" s="11">
        <f t="shared" si="13"/>
        <v>0.6788888889059308</v>
      </c>
    </row>
    <row r="437" spans="1:8" x14ac:dyDescent="0.25">
      <c r="A437" s="3" t="s">
        <v>1548</v>
      </c>
      <c r="B437" s="3" t="s">
        <v>3198</v>
      </c>
      <c r="C437" s="10">
        <v>45670.654537037037</v>
      </c>
      <c r="D437" s="3" t="s">
        <v>1390</v>
      </c>
      <c r="E437" s="10">
        <v>45670.660173611112</v>
      </c>
      <c r="F437" s="10">
        <v>45670.683587962973</v>
      </c>
      <c r="G437" s="11">
        <f t="shared" si="12"/>
        <v>5.6365740747423843E-3</v>
      </c>
      <c r="H437" s="11">
        <f t="shared" si="13"/>
        <v>2.9050925935734995E-2</v>
      </c>
    </row>
    <row r="438" spans="1:8" x14ac:dyDescent="0.25">
      <c r="A438" s="3" t="s">
        <v>1550</v>
      </c>
      <c r="B438" s="3" t="s">
        <v>3202</v>
      </c>
      <c r="C438" s="10">
        <v>45670.657638888893</v>
      </c>
      <c r="D438" s="3" t="s">
        <v>1551</v>
      </c>
      <c r="E438" s="10">
        <v>45670.66033564815</v>
      </c>
      <c r="F438" s="10">
        <v>45670.736168981479</v>
      </c>
      <c r="G438" s="11">
        <f t="shared" si="12"/>
        <v>2.6967592566506937E-3</v>
      </c>
      <c r="H438" s="11">
        <f t="shared" si="13"/>
        <v>7.8530092585424427E-2</v>
      </c>
    </row>
    <row r="439" spans="1:8" x14ac:dyDescent="0.25">
      <c r="A439" s="3" t="s">
        <v>1553</v>
      </c>
      <c r="B439" s="3" t="s">
        <v>3200</v>
      </c>
      <c r="C439" s="10">
        <v>45670.679722222223</v>
      </c>
      <c r="D439" s="3" t="s">
        <v>1516</v>
      </c>
      <c r="E439" s="10">
        <v>45670.6875</v>
      </c>
      <c r="F439" s="10">
        <v>45670.724687499998</v>
      </c>
      <c r="G439" s="11">
        <f t="shared" si="12"/>
        <v>7.7777777769370005E-3</v>
      </c>
      <c r="H439" s="11">
        <f t="shared" si="13"/>
        <v>4.4965277775190771E-2</v>
      </c>
    </row>
    <row r="440" spans="1:8" x14ac:dyDescent="0.25">
      <c r="A440" s="3" t="s">
        <v>1555</v>
      </c>
      <c r="B440" s="3" t="s">
        <v>3204</v>
      </c>
      <c r="C440" s="10">
        <v>45670.682245370372</v>
      </c>
      <c r="D440" s="3" t="s">
        <v>1556</v>
      </c>
      <c r="E440" s="10">
        <v>45670.686030092591</v>
      </c>
      <c r="F440" s="10">
        <v>45670.727812500001</v>
      </c>
      <c r="G440" s="11">
        <f t="shared" si="12"/>
        <v>3.7847222192795016E-3</v>
      </c>
      <c r="H440" s="11">
        <f t="shared" si="13"/>
        <v>4.55671296294895E-2</v>
      </c>
    </row>
    <row r="441" spans="1:8" x14ac:dyDescent="0.25">
      <c r="A441" s="3" t="s">
        <v>1558</v>
      </c>
      <c r="B441" s="3" t="s">
        <v>3203</v>
      </c>
      <c r="C441" s="10">
        <v>45670.735486111109</v>
      </c>
      <c r="D441" s="3" t="s">
        <v>1559</v>
      </c>
      <c r="E441" s="10">
        <v>45670.737881944442</v>
      </c>
      <c r="F441" s="10">
        <v>45670.771932870368</v>
      </c>
      <c r="G441" s="11">
        <f t="shared" si="12"/>
        <v>2.3958333331393078E-3</v>
      </c>
      <c r="H441" s="11">
        <f t="shared" si="13"/>
        <v>3.6446759258979E-2</v>
      </c>
    </row>
    <row r="442" spans="1:8" x14ac:dyDescent="0.25">
      <c r="A442" s="3" t="s">
        <v>1561</v>
      </c>
      <c r="B442" s="3" t="s">
        <v>3203</v>
      </c>
      <c r="C442" s="10">
        <v>45670.889201388891</v>
      </c>
      <c r="D442" s="3" t="s">
        <v>1562</v>
      </c>
      <c r="E442" s="10">
        <v>45670.891597222217</v>
      </c>
      <c r="F442" s="10">
        <v>45670.961377314823</v>
      </c>
      <c r="G442" s="11">
        <f t="shared" si="12"/>
        <v>2.3958333258633502E-3</v>
      </c>
      <c r="H442" s="11">
        <f t="shared" si="13"/>
        <v>7.2175925932242535E-2</v>
      </c>
    </row>
    <row r="443" spans="1:8" x14ac:dyDescent="0.25">
      <c r="A443" s="3" t="s">
        <v>1564</v>
      </c>
      <c r="B443" s="3" t="s">
        <v>3195</v>
      </c>
      <c r="C443" s="10">
        <v>45671.11414351852</v>
      </c>
      <c r="D443" s="3" t="s">
        <v>1539</v>
      </c>
      <c r="E443" s="10">
        <v>45671.117708333331</v>
      </c>
      <c r="F443" s="10">
        <v>45671.141122685192</v>
      </c>
      <c r="G443" s="11">
        <f t="shared" si="12"/>
        <v>3.5648148113978095E-3</v>
      </c>
      <c r="H443" s="11">
        <f t="shared" si="13"/>
        <v>2.697916667239042E-2</v>
      </c>
    </row>
    <row r="444" spans="1:8" x14ac:dyDescent="0.25">
      <c r="A444" s="3" t="s">
        <v>1566</v>
      </c>
      <c r="B444" s="3" t="s">
        <v>3205</v>
      </c>
      <c r="C444" s="10">
        <v>45671.115416666667</v>
      </c>
      <c r="D444" s="3" t="s">
        <v>1567</v>
      </c>
      <c r="E444" s="10">
        <v>45671.761597222219</v>
      </c>
      <c r="F444" s="10">
        <v>45671.79550925926</v>
      </c>
      <c r="G444" s="11">
        <f t="shared" si="12"/>
        <v>0.64618055555183673</v>
      </c>
      <c r="H444" s="11">
        <f t="shared" si="13"/>
        <v>0.68009259259270038</v>
      </c>
    </row>
    <row r="445" spans="1:8" x14ac:dyDescent="0.25">
      <c r="A445" s="3" t="s">
        <v>1569</v>
      </c>
      <c r="B445" s="3" t="s">
        <v>3197</v>
      </c>
      <c r="C445" s="10">
        <v>45671.117361111108</v>
      </c>
      <c r="D445" s="3" t="s">
        <v>1542</v>
      </c>
      <c r="E445" s="10">
        <v>45672.122870370367</v>
      </c>
      <c r="F445" s="10">
        <v>45672.156134259261</v>
      </c>
      <c r="G445" s="11">
        <f t="shared" si="12"/>
        <v>1.00550925925927</v>
      </c>
      <c r="H445" s="11">
        <f t="shared" si="13"/>
        <v>1.0387731481532683</v>
      </c>
    </row>
    <row r="446" spans="1:8" x14ac:dyDescent="0.25">
      <c r="A446" s="3" t="s">
        <v>1571</v>
      </c>
      <c r="B446" s="3" t="s">
        <v>3199</v>
      </c>
      <c r="C446" s="10">
        <v>45671.11928240741</v>
      </c>
      <c r="D446" s="3" t="s">
        <v>1376</v>
      </c>
      <c r="E446" s="10">
        <v>45671.436562499999</v>
      </c>
      <c r="F446" s="10">
        <v>45671.480578703697</v>
      </c>
      <c r="G446" s="11">
        <f t="shared" si="12"/>
        <v>0.31728009258949896</v>
      </c>
      <c r="H446" s="11">
        <f t="shared" si="13"/>
        <v>0.36129629628703697</v>
      </c>
    </row>
    <row r="447" spans="1:8" x14ac:dyDescent="0.25">
      <c r="A447" s="3" t="s">
        <v>1573</v>
      </c>
      <c r="B447" s="3" t="s">
        <v>3203</v>
      </c>
      <c r="C447" s="10">
        <v>45671.280729166669</v>
      </c>
      <c r="D447" s="3" t="s">
        <v>1574</v>
      </c>
      <c r="E447" s="10">
        <v>45671.283101851863</v>
      </c>
      <c r="F447" s="10">
        <v>45671.336689814823</v>
      </c>
      <c r="G447" s="11">
        <f t="shared" si="12"/>
        <v>2.3726851941319183E-3</v>
      </c>
      <c r="H447" s="11">
        <f t="shared" si="13"/>
        <v>5.5960648154723458E-2</v>
      </c>
    </row>
    <row r="448" spans="1:8" x14ac:dyDescent="0.25">
      <c r="A448" s="3" t="s">
        <v>1576</v>
      </c>
      <c r="B448" s="3" t="s">
        <v>3196</v>
      </c>
      <c r="C448" s="10">
        <v>45671.292939814812</v>
      </c>
      <c r="D448" s="3" t="s">
        <v>1471</v>
      </c>
      <c r="E448" s="10">
        <v>45671.296840277777</v>
      </c>
      <c r="F448" s="10">
        <v>45671.331921296303</v>
      </c>
      <c r="G448" s="11">
        <f t="shared" si="12"/>
        <v>3.9004629652481526E-3</v>
      </c>
      <c r="H448" s="11">
        <f t="shared" si="13"/>
        <v>3.8981481491646264E-2</v>
      </c>
    </row>
    <row r="449" spans="1:8" x14ac:dyDescent="0.25">
      <c r="A449" s="3" t="s">
        <v>1578</v>
      </c>
      <c r="B449" s="3" t="s">
        <v>3193</v>
      </c>
      <c r="C449" s="10">
        <v>45671.294317129628</v>
      </c>
      <c r="D449" s="3" t="s">
        <v>1525</v>
      </c>
      <c r="E449" s="10">
        <v>45671.29824074074</v>
      </c>
      <c r="F449" s="10">
        <v>45671.327361111107</v>
      </c>
      <c r="G449" s="11">
        <f t="shared" si="12"/>
        <v>3.9236111115314998E-3</v>
      </c>
      <c r="H449" s="11">
        <f t="shared" si="13"/>
        <v>3.3043981478840578E-2</v>
      </c>
    </row>
    <row r="450" spans="1:8" x14ac:dyDescent="0.25">
      <c r="A450" s="3" t="s">
        <v>1580</v>
      </c>
      <c r="B450" s="3" t="s">
        <v>3204</v>
      </c>
      <c r="C450" s="10">
        <v>45671.296400462961</v>
      </c>
      <c r="D450" s="3" t="s">
        <v>1581</v>
      </c>
      <c r="E450" s="10">
        <v>45671.425115740742</v>
      </c>
      <c r="F450" s="10">
        <v>45671.470138888893</v>
      </c>
      <c r="G450" s="11">
        <f t="shared" ref="G450:G513" si="14">IF(AND(ISNUMBER(C450),ISNUMBER(E450)),(E450-C450),"")</f>
        <v>0.12871527778042946</v>
      </c>
      <c r="H450" s="11">
        <f t="shared" ref="H450:H513" si="15">IF(AND(ISNUMBER(C450),ISNUMBER(F450)),(F450-C450),"")</f>
        <v>0.17373842593224254</v>
      </c>
    </row>
    <row r="451" spans="1:8" x14ac:dyDescent="0.25">
      <c r="A451" s="3" t="s">
        <v>1583</v>
      </c>
      <c r="B451" s="3" t="s">
        <v>3195</v>
      </c>
      <c r="C451" s="10">
        <v>45671.298113425917</v>
      </c>
      <c r="D451" s="3" t="s">
        <v>1584</v>
      </c>
      <c r="E451" s="10">
        <v>45671.430405092593</v>
      </c>
      <c r="F451" s="10">
        <v>45671.458148148151</v>
      </c>
      <c r="G451" s="11">
        <f t="shared" si="14"/>
        <v>0.13229166667588288</v>
      </c>
      <c r="H451" s="11">
        <f t="shared" si="15"/>
        <v>0.16003472223383142</v>
      </c>
    </row>
    <row r="452" spans="1:8" x14ac:dyDescent="0.25">
      <c r="A452" s="3" t="s">
        <v>1586</v>
      </c>
      <c r="B452" s="3" t="s">
        <v>3205</v>
      </c>
      <c r="C452" s="10">
        <v>45671.299421296288</v>
      </c>
      <c r="D452" s="3" t="s">
        <v>1567</v>
      </c>
      <c r="E452" s="10">
        <v>45671.761597222219</v>
      </c>
      <c r="F452" s="10">
        <v>45671.79550925926</v>
      </c>
      <c r="G452" s="11">
        <f t="shared" si="14"/>
        <v>0.46217592593166046</v>
      </c>
      <c r="H452" s="11">
        <f t="shared" si="15"/>
        <v>0.49608796297252411</v>
      </c>
    </row>
    <row r="453" spans="1:8" x14ac:dyDescent="0.25">
      <c r="A453" s="3" t="s">
        <v>1588</v>
      </c>
      <c r="B453" s="3" t="s">
        <v>3204</v>
      </c>
      <c r="C453" s="10">
        <v>45671.301446759258</v>
      </c>
      <c r="D453" s="3" t="s">
        <v>1581</v>
      </c>
      <c r="E453" s="10">
        <v>45671.425115740742</v>
      </c>
      <c r="F453" s="10">
        <v>45671.470138888893</v>
      </c>
      <c r="G453" s="11">
        <f t="shared" si="14"/>
        <v>0.12366898148320615</v>
      </c>
      <c r="H453" s="11">
        <f t="shared" si="15"/>
        <v>0.16869212963501923</v>
      </c>
    </row>
    <row r="454" spans="1:8" x14ac:dyDescent="0.25">
      <c r="A454" s="3" t="s">
        <v>1590</v>
      </c>
      <c r="B454" s="3" t="s">
        <v>3195</v>
      </c>
      <c r="C454" s="10">
        <v>45671.303194444437</v>
      </c>
      <c r="D454" s="3" t="s">
        <v>1584</v>
      </c>
      <c r="E454" s="10">
        <v>45671.430405092593</v>
      </c>
      <c r="F454" s="10">
        <v>45671.458148148151</v>
      </c>
      <c r="G454" s="11">
        <f t="shared" si="14"/>
        <v>0.12721064815559657</v>
      </c>
      <c r="H454" s="11">
        <f t="shared" si="15"/>
        <v>0.15495370371354511</v>
      </c>
    </row>
    <row r="455" spans="1:8" x14ac:dyDescent="0.25">
      <c r="A455" s="3" t="s">
        <v>1592</v>
      </c>
      <c r="B455" s="3" t="s">
        <v>3200</v>
      </c>
      <c r="C455" s="10">
        <v>45671.31490740741</v>
      </c>
      <c r="D455" s="3" t="s">
        <v>1593</v>
      </c>
      <c r="E455" s="10">
        <v>45671.329664351862</v>
      </c>
      <c r="F455" s="10">
        <v>45671.369456018518</v>
      </c>
      <c r="G455" s="11">
        <f t="shared" si="14"/>
        <v>1.4756944452528842E-2</v>
      </c>
      <c r="H455" s="11">
        <f t="shared" si="15"/>
        <v>5.4548611107748002E-2</v>
      </c>
    </row>
    <row r="456" spans="1:8" x14ac:dyDescent="0.25">
      <c r="A456" s="3" t="s">
        <v>1595</v>
      </c>
      <c r="B456" s="3" t="s">
        <v>3193</v>
      </c>
      <c r="C456" s="10">
        <v>45671.34474537037</v>
      </c>
      <c r="D456" s="3" t="s">
        <v>1596</v>
      </c>
      <c r="E456" s="10">
        <v>45671.347118055557</v>
      </c>
      <c r="F456" s="10">
        <v>45671.416990740741</v>
      </c>
      <c r="G456" s="11">
        <f t="shared" si="14"/>
        <v>2.3726851868559606E-3</v>
      </c>
      <c r="H456" s="11">
        <f t="shared" si="15"/>
        <v>7.2245370371092577E-2</v>
      </c>
    </row>
    <row r="457" spans="1:8" x14ac:dyDescent="0.25">
      <c r="A457" s="3" t="s">
        <v>1628</v>
      </c>
      <c r="B457" s="3" t="s">
        <v>3196</v>
      </c>
      <c r="C457" s="10">
        <v>45671.391238425917</v>
      </c>
      <c r="D457" s="3" t="s">
        <v>1629</v>
      </c>
      <c r="E457" s="10">
        <v>45671.399039351847</v>
      </c>
      <c r="F457" s="10">
        <v>45671.423761574071</v>
      </c>
      <c r="G457" s="11">
        <f t="shared" si="14"/>
        <v>7.8009259304963052E-3</v>
      </c>
      <c r="H457" s="11">
        <f t="shared" si="15"/>
        <v>3.2523148154723458E-2</v>
      </c>
    </row>
    <row r="458" spans="1:8" x14ac:dyDescent="0.25">
      <c r="A458" s="3" t="s">
        <v>1631</v>
      </c>
      <c r="B458" s="3" t="s">
        <v>3206</v>
      </c>
      <c r="C458" s="10">
        <v>45671.393425925933</v>
      </c>
      <c r="D458" s="3" t="s">
        <v>1264</v>
      </c>
      <c r="E458" s="10">
        <v>45671.397326388891</v>
      </c>
      <c r="F458" s="10">
        <v>45671.459537037037</v>
      </c>
      <c r="G458" s="11">
        <f t="shared" si="14"/>
        <v>3.900462957972195E-3</v>
      </c>
      <c r="H458" s="11">
        <f t="shared" si="15"/>
        <v>6.6111111103964504E-2</v>
      </c>
    </row>
    <row r="459" spans="1:8" x14ac:dyDescent="0.25">
      <c r="A459" s="3" t="s">
        <v>1633</v>
      </c>
      <c r="B459" s="3" t="s">
        <v>3196</v>
      </c>
      <c r="C459" s="10">
        <v>45671.395462962973</v>
      </c>
      <c r="D459" s="3" t="s">
        <v>1629</v>
      </c>
      <c r="E459" s="10">
        <v>45671.399039351847</v>
      </c>
      <c r="F459" s="10">
        <v>45671.423761574071</v>
      </c>
      <c r="G459" s="11">
        <f t="shared" si="14"/>
        <v>3.5763888736255467E-3</v>
      </c>
      <c r="H459" s="11">
        <f t="shared" si="15"/>
        <v>2.8298611097852699E-2</v>
      </c>
    </row>
    <row r="460" spans="1:8" x14ac:dyDescent="0.25">
      <c r="A460" s="3" t="s">
        <v>1598</v>
      </c>
      <c r="B460" s="3" t="s">
        <v>3195</v>
      </c>
      <c r="C460" s="10">
        <v>45671.400034722217</v>
      </c>
      <c r="D460" s="3" t="s">
        <v>1584</v>
      </c>
      <c r="E460" s="10">
        <v>45671.430405092593</v>
      </c>
      <c r="F460" s="10">
        <v>45671.458148148151</v>
      </c>
      <c r="G460" s="11">
        <f t="shared" si="14"/>
        <v>3.0370370375749189E-2</v>
      </c>
      <c r="H460" s="11">
        <f t="shared" si="15"/>
        <v>5.8113425933697727E-2</v>
      </c>
    </row>
    <row r="461" spans="1:8" x14ac:dyDescent="0.25">
      <c r="A461" s="3" t="s">
        <v>1600</v>
      </c>
      <c r="B461" s="3" t="s">
        <v>3203</v>
      </c>
      <c r="C461" s="10">
        <v>45671.401180555556</v>
      </c>
      <c r="D461" s="3" t="s">
        <v>1601</v>
      </c>
      <c r="E461" s="10">
        <v>45671.651412037027</v>
      </c>
      <c r="F461" s="10">
        <v>45671.69326388889</v>
      </c>
      <c r="G461" s="11">
        <f t="shared" si="14"/>
        <v>0.25023148147010943</v>
      </c>
      <c r="H461" s="11">
        <f t="shared" si="15"/>
        <v>0.29208333333372138</v>
      </c>
    </row>
    <row r="462" spans="1:8" x14ac:dyDescent="0.25">
      <c r="A462" s="3" t="s">
        <v>1603</v>
      </c>
      <c r="B462" s="3" t="s">
        <v>3199</v>
      </c>
      <c r="C462" s="10">
        <v>45671.403090277781</v>
      </c>
      <c r="D462" s="3" t="s">
        <v>1376</v>
      </c>
      <c r="E462" s="10">
        <v>45671.436562499999</v>
      </c>
      <c r="F462" s="10">
        <v>45671.480578703697</v>
      </c>
      <c r="G462" s="11">
        <f t="shared" si="14"/>
        <v>3.347222221782431E-2</v>
      </c>
      <c r="H462" s="11">
        <f t="shared" si="15"/>
        <v>7.7488425915362313E-2</v>
      </c>
    </row>
    <row r="463" spans="1:8" x14ac:dyDescent="0.25">
      <c r="A463" s="3" t="s">
        <v>1605</v>
      </c>
      <c r="B463" s="3" t="s">
        <v>3204</v>
      </c>
      <c r="C463" s="10">
        <v>45671.405300925922</v>
      </c>
      <c r="D463" s="3" t="s">
        <v>1581</v>
      </c>
      <c r="E463" s="10">
        <v>45671.425115740742</v>
      </c>
      <c r="F463" s="10">
        <v>45671.470138888893</v>
      </c>
      <c r="G463" s="11">
        <f t="shared" si="14"/>
        <v>1.9814814819255844E-2</v>
      </c>
      <c r="H463" s="11">
        <f t="shared" si="15"/>
        <v>6.4837962971068919E-2</v>
      </c>
    </row>
    <row r="464" spans="1:8" x14ac:dyDescent="0.25">
      <c r="A464" s="3" t="s">
        <v>1607</v>
      </c>
      <c r="B464" s="3" t="s">
        <v>3200</v>
      </c>
      <c r="C464" s="10">
        <v>45671.407060185193</v>
      </c>
      <c r="D464" s="3" t="s">
        <v>1608</v>
      </c>
      <c r="E464" s="10">
        <v>45672.117048611108</v>
      </c>
      <c r="F464" s="10">
        <v>45672.155173611107</v>
      </c>
      <c r="G464" s="11">
        <f t="shared" si="14"/>
        <v>0.70998842591507128</v>
      </c>
      <c r="H464" s="11">
        <f t="shared" si="15"/>
        <v>0.74811342591419816</v>
      </c>
    </row>
    <row r="465" spans="1:8" x14ac:dyDescent="0.25">
      <c r="A465" s="3" t="s">
        <v>1610</v>
      </c>
      <c r="B465" s="3" t="s">
        <v>3197</v>
      </c>
      <c r="C465" s="10">
        <v>45671.40898148148</v>
      </c>
      <c r="D465" s="3" t="s">
        <v>1542</v>
      </c>
      <c r="E465" s="10">
        <v>45672.122870370367</v>
      </c>
      <c r="F465" s="10">
        <v>45672.156134259261</v>
      </c>
      <c r="G465" s="11">
        <f t="shared" si="14"/>
        <v>0.71388888888759539</v>
      </c>
      <c r="H465" s="11">
        <f t="shared" si="15"/>
        <v>0.74715277778159361</v>
      </c>
    </row>
    <row r="466" spans="1:8" x14ac:dyDescent="0.25">
      <c r="A466" s="3" t="s">
        <v>1612</v>
      </c>
      <c r="B466" s="3" t="s">
        <v>3198</v>
      </c>
      <c r="C466" s="10">
        <v>45671.410462962973</v>
      </c>
      <c r="D466" s="3" t="s">
        <v>1613</v>
      </c>
      <c r="E466" s="10">
        <v>45671.648634259262</v>
      </c>
      <c r="F466" s="10">
        <v>45671.668587962973</v>
      </c>
      <c r="G466" s="11">
        <f t="shared" si="14"/>
        <v>0.2381712962887832</v>
      </c>
      <c r="H466" s="11">
        <f t="shared" si="15"/>
        <v>0.25812500000029104</v>
      </c>
    </row>
    <row r="467" spans="1:8" x14ac:dyDescent="0.25">
      <c r="A467" s="3" t="s">
        <v>1615</v>
      </c>
      <c r="B467" s="3" t="s">
        <v>3203</v>
      </c>
      <c r="C467" s="10">
        <v>45671.411597222221</v>
      </c>
      <c r="D467" s="3" t="s">
        <v>1601</v>
      </c>
      <c r="E467" s="10">
        <v>45671.651412037027</v>
      </c>
      <c r="F467" s="10">
        <v>45671.69326388889</v>
      </c>
      <c r="G467" s="11">
        <f t="shared" si="14"/>
        <v>0.23981481480586808</v>
      </c>
      <c r="H467" s="11">
        <f t="shared" si="15"/>
        <v>0.28166666666948004</v>
      </c>
    </row>
    <row r="468" spans="1:8" x14ac:dyDescent="0.25">
      <c r="A468" s="3" t="s">
        <v>1617</v>
      </c>
      <c r="B468" s="3" t="s">
        <v>3199</v>
      </c>
      <c r="C468" s="10">
        <v>45671.413472222222</v>
      </c>
      <c r="D468" s="3" t="s">
        <v>1376</v>
      </c>
      <c r="E468" s="10">
        <v>45671.436562499999</v>
      </c>
      <c r="F468" s="10">
        <v>45671.480578703697</v>
      </c>
      <c r="G468" s="11">
        <f t="shared" si="14"/>
        <v>2.3090277776645962E-2</v>
      </c>
      <c r="H468" s="11">
        <f t="shared" si="15"/>
        <v>6.7106481474183965E-2</v>
      </c>
    </row>
    <row r="469" spans="1:8" x14ac:dyDescent="0.25">
      <c r="A469" s="3" t="s">
        <v>1619</v>
      </c>
      <c r="B469" s="3" t="s">
        <v>3195</v>
      </c>
      <c r="C469" s="10">
        <v>45671.415208333332</v>
      </c>
      <c r="D469" s="3" t="s">
        <v>1584</v>
      </c>
      <c r="E469" s="10">
        <v>45671.430405092593</v>
      </c>
      <c r="F469" s="10">
        <v>45671.458148148151</v>
      </c>
      <c r="G469" s="11">
        <f t="shared" si="14"/>
        <v>1.5196759261016268E-2</v>
      </c>
      <c r="H469" s="11">
        <f t="shared" si="15"/>
        <v>4.2939814818964805E-2</v>
      </c>
    </row>
    <row r="470" spans="1:8" x14ac:dyDescent="0.25">
      <c r="A470" s="3" t="s">
        <v>1621</v>
      </c>
      <c r="B470" s="3" t="s">
        <v>3201</v>
      </c>
      <c r="C470" s="10">
        <v>45671.416967592602</v>
      </c>
      <c r="D470" s="3" t="s">
        <v>1428</v>
      </c>
      <c r="E470" s="10">
        <v>45671.650451388887</v>
      </c>
      <c r="F470" s="10">
        <v>45671.678564814807</v>
      </c>
      <c r="G470" s="11">
        <f t="shared" si="14"/>
        <v>0.23348379628441762</v>
      </c>
      <c r="H470" s="11">
        <f t="shared" si="15"/>
        <v>0.26159722220472759</v>
      </c>
    </row>
    <row r="471" spans="1:8" x14ac:dyDescent="0.25">
      <c r="A471" s="3" t="s">
        <v>1623</v>
      </c>
      <c r="B471" s="3" t="s">
        <v>3202</v>
      </c>
      <c r="C471" s="10">
        <v>45671.41883101852</v>
      </c>
      <c r="D471" s="3" t="s">
        <v>1624</v>
      </c>
      <c r="E471" s="10">
        <v>45671.435810185183</v>
      </c>
      <c r="F471" s="10">
        <v>45671.574189814812</v>
      </c>
      <c r="G471" s="11">
        <f t="shared" si="14"/>
        <v>1.6979166663077194E-2</v>
      </c>
      <c r="H471" s="11">
        <f t="shared" si="15"/>
        <v>0.15535879629169358</v>
      </c>
    </row>
    <row r="472" spans="1:8" x14ac:dyDescent="0.25">
      <c r="A472" s="3" t="s">
        <v>1626</v>
      </c>
      <c r="B472" s="3" t="s">
        <v>3199</v>
      </c>
      <c r="C472" s="10">
        <v>45671.420717592591</v>
      </c>
      <c r="D472" s="3" t="s">
        <v>1376</v>
      </c>
      <c r="E472" s="10">
        <v>45671.436562499999</v>
      </c>
      <c r="F472" s="10">
        <v>45671.480578703697</v>
      </c>
      <c r="G472" s="11">
        <f t="shared" si="14"/>
        <v>1.5844907407881692E-2</v>
      </c>
      <c r="H472" s="11">
        <f t="shared" si="15"/>
        <v>5.9861111105419695E-2</v>
      </c>
    </row>
    <row r="473" spans="1:8" x14ac:dyDescent="0.25">
      <c r="A473" s="3" t="s">
        <v>1635</v>
      </c>
      <c r="B473" s="3" t="s">
        <v>3198</v>
      </c>
      <c r="C473" s="10">
        <v>45671.423101851848</v>
      </c>
      <c r="D473" s="3" t="s">
        <v>1613</v>
      </c>
      <c r="E473" s="10">
        <v>45671.648634259262</v>
      </c>
      <c r="F473" s="10">
        <v>45671.668587962973</v>
      </c>
      <c r="G473" s="11">
        <f t="shared" si="14"/>
        <v>0.2255324074139935</v>
      </c>
      <c r="H473" s="11">
        <f t="shared" si="15"/>
        <v>0.24548611112550134</v>
      </c>
    </row>
    <row r="474" spans="1:8" x14ac:dyDescent="0.25">
      <c r="A474" s="3" t="s">
        <v>1637</v>
      </c>
      <c r="B474" s="3" t="s">
        <v>3202</v>
      </c>
      <c r="C474" s="10">
        <v>45671.425416666672</v>
      </c>
      <c r="D474" s="3" t="s">
        <v>1624</v>
      </c>
      <c r="E474" s="10">
        <v>45671.435810185183</v>
      </c>
      <c r="F474" s="10">
        <v>45671.574189814812</v>
      </c>
      <c r="G474" s="11">
        <f t="shared" si="14"/>
        <v>1.0393518510682043E-2</v>
      </c>
      <c r="H474" s="11">
        <f t="shared" si="15"/>
        <v>0.14877314813929843</v>
      </c>
    </row>
    <row r="475" spans="1:8" x14ac:dyDescent="0.25">
      <c r="A475" s="3" t="s">
        <v>1639</v>
      </c>
      <c r="B475" s="3" t="s">
        <v>3202</v>
      </c>
      <c r="C475" s="10">
        <v>45671.545844907407</v>
      </c>
      <c r="D475" s="3" t="s">
        <v>1640</v>
      </c>
      <c r="E475" s="10">
        <v>45671.54824074074</v>
      </c>
      <c r="F475" s="10">
        <v>45671.601944444446</v>
      </c>
      <c r="G475" s="11">
        <f t="shared" si="14"/>
        <v>2.3958333331393078E-3</v>
      </c>
      <c r="H475" s="11">
        <f t="shared" si="15"/>
        <v>5.6099537039699499E-2</v>
      </c>
    </row>
    <row r="476" spans="1:8" x14ac:dyDescent="0.25">
      <c r="A476" s="3" t="s">
        <v>1642</v>
      </c>
      <c r="B476" s="3" t="s">
        <v>3202</v>
      </c>
      <c r="C476" s="10">
        <v>45671.609027777777</v>
      </c>
      <c r="D476" s="3" t="s">
        <v>1643</v>
      </c>
      <c r="E476" s="10">
        <v>45671.61142361111</v>
      </c>
      <c r="F476" s="10">
        <v>45671.652442129627</v>
      </c>
      <c r="G476" s="11">
        <f t="shared" si="14"/>
        <v>2.3958333331393078E-3</v>
      </c>
      <c r="H476" s="11">
        <f t="shared" si="15"/>
        <v>4.3414351850515231E-2</v>
      </c>
    </row>
    <row r="477" spans="1:8" x14ac:dyDescent="0.25">
      <c r="A477" s="3" t="s">
        <v>1645</v>
      </c>
      <c r="B477" s="3" t="s">
        <v>3205</v>
      </c>
      <c r="C477" s="10">
        <v>45671.643159722233</v>
      </c>
      <c r="D477" s="3" t="s">
        <v>1567</v>
      </c>
      <c r="E477" s="10">
        <v>45671.761597222219</v>
      </c>
      <c r="F477" s="10">
        <v>45671.79550925926</v>
      </c>
      <c r="G477" s="11">
        <f t="shared" si="14"/>
        <v>0.11843749998661224</v>
      </c>
      <c r="H477" s="11">
        <f t="shared" si="15"/>
        <v>0.15234953702747589</v>
      </c>
    </row>
    <row r="478" spans="1:8" x14ac:dyDescent="0.25">
      <c r="A478" s="3" t="s">
        <v>1647</v>
      </c>
      <c r="B478" s="3" t="s">
        <v>3198</v>
      </c>
      <c r="C478" s="10">
        <v>45671.644733796304</v>
      </c>
      <c r="D478" s="3" t="s">
        <v>1613</v>
      </c>
      <c r="E478" s="10">
        <v>45671.648634259262</v>
      </c>
      <c r="F478" s="10">
        <v>45671.668587962973</v>
      </c>
      <c r="G478" s="11">
        <f t="shared" si="14"/>
        <v>3.900462957972195E-3</v>
      </c>
      <c r="H478" s="11">
        <f t="shared" si="15"/>
        <v>2.3854166669480037E-2</v>
      </c>
    </row>
    <row r="479" spans="1:8" x14ac:dyDescent="0.25">
      <c r="A479" s="3" t="s">
        <v>1649</v>
      </c>
      <c r="B479" s="3" t="s">
        <v>3201</v>
      </c>
      <c r="C479" s="10">
        <v>45671.646527777782</v>
      </c>
      <c r="D479" s="3" t="s">
        <v>1428</v>
      </c>
      <c r="E479" s="10">
        <v>45671.650451388887</v>
      </c>
      <c r="F479" s="10">
        <v>45671.678564814807</v>
      </c>
      <c r="G479" s="11">
        <f t="shared" si="14"/>
        <v>3.9236111042555422E-3</v>
      </c>
      <c r="H479" s="11">
        <f t="shared" si="15"/>
        <v>3.2037037024565507E-2</v>
      </c>
    </row>
    <row r="480" spans="1:8" x14ac:dyDescent="0.25">
      <c r="A480" s="3" t="s">
        <v>1651</v>
      </c>
      <c r="B480" s="3" t="s">
        <v>3203</v>
      </c>
      <c r="C480" s="10">
        <v>45671.647847222222</v>
      </c>
      <c r="D480" s="3" t="s">
        <v>1601</v>
      </c>
      <c r="E480" s="10">
        <v>45671.651412037027</v>
      </c>
      <c r="F480" s="10">
        <v>45671.69326388889</v>
      </c>
      <c r="G480" s="11">
        <f t="shared" si="14"/>
        <v>3.5648148041218519E-3</v>
      </c>
      <c r="H480" s="11">
        <f t="shared" si="15"/>
        <v>4.5416666667733807E-2</v>
      </c>
    </row>
    <row r="481" spans="1:8" x14ac:dyDescent="0.25">
      <c r="A481" s="3" t="s">
        <v>1653</v>
      </c>
      <c r="B481" s="3" t="s">
        <v>3199</v>
      </c>
      <c r="C481" s="10">
        <v>45671.649733796286</v>
      </c>
      <c r="D481" s="3" t="s">
        <v>1654</v>
      </c>
      <c r="E481" s="10">
        <v>45671.663807870369</v>
      </c>
      <c r="F481" s="10">
        <v>45671.704305555562</v>
      </c>
      <c r="G481" s="11">
        <f t="shared" si="14"/>
        <v>1.4074074082600418E-2</v>
      </c>
      <c r="H481" s="11">
        <f t="shared" si="15"/>
        <v>5.4571759275859222E-2</v>
      </c>
    </row>
    <row r="482" spans="1:8" x14ac:dyDescent="0.25">
      <c r="A482" s="3" t="s">
        <v>1656</v>
      </c>
      <c r="B482" s="3" t="s">
        <v>3193</v>
      </c>
      <c r="C482" s="10">
        <v>45671.651319444441</v>
      </c>
      <c r="D482" s="3" t="s">
        <v>1657</v>
      </c>
      <c r="E482" s="10">
        <v>45671.654386574082</v>
      </c>
      <c r="F482" s="10">
        <v>45671.700740740736</v>
      </c>
      <c r="G482" s="11">
        <f t="shared" si="14"/>
        <v>3.067129640839994E-3</v>
      </c>
      <c r="H482" s="11">
        <f t="shared" si="15"/>
        <v>4.9421296294895001E-2</v>
      </c>
    </row>
    <row r="483" spans="1:8" x14ac:dyDescent="0.25">
      <c r="A483" s="3" t="s">
        <v>1659</v>
      </c>
      <c r="B483" s="3" t="s">
        <v>3199</v>
      </c>
      <c r="C483" s="10">
        <v>45671.653229166674</v>
      </c>
      <c r="D483" s="3" t="s">
        <v>1654</v>
      </c>
      <c r="E483" s="10">
        <v>45671.663807870369</v>
      </c>
      <c r="F483" s="10">
        <v>45671.704305555562</v>
      </c>
      <c r="G483" s="11">
        <f t="shared" si="14"/>
        <v>1.0578703695500735E-2</v>
      </c>
      <c r="H483" s="11">
        <f t="shared" si="15"/>
        <v>5.1076388888759539E-2</v>
      </c>
    </row>
    <row r="484" spans="1:8" x14ac:dyDescent="0.25">
      <c r="A484" s="3" t="s">
        <v>1661</v>
      </c>
      <c r="B484" s="3" t="s">
        <v>3205</v>
      </c>
      <c r="C484" s="10">
        <v>45671.654490740737</v>
      </c>
      <c r="D484" s="3" t="s">
        <v>1567</v>
      </c>
      <c r="E484" s="10">
        <v>45671.761597222219</v>
      </c>
      <c r="F484" s="10">
        <v>45671.79550925926</v>
      </c>
      <c r="G484" s="11">
        <f t="shared" si="14"/>
        <v>0.10710648148233304</v>
      </c>
      <c r="H484" s="11">
        <f t="shared" si="15"/>
        <v>0.14101851852319669</v>
      </c>
    </row>
    <row r="485" spans="1:8" x14ac:dyDescent="0.25">
      <c r="A485" s="3" t="s">
        <v>1663</v>
      </c>
      <c r="B485" s="3" t="s">
        <v>3199</v>
      </c>
      <c r="C485" s="10">
        <v>45671.656377314823</v>
      </c>
      <c r="D485" s="3" t="s">
        <v>1654</v>
      </c>
      <c r="E485" s="10">
        <v>45671.663807870369</v>
      </c>
      <c r="F485" s="10">
        <v>45671.704305555562</v>
      </c>
      <c r="G485" s="11">
        <f t="shared" si="14"/>
        <v>7.430555546307005E-3</v>
      </c>
      <c r="H485" s="11">
        <f t="shared" si="15"/>
        <v>4.7928240739565808E-2</v>
      </c>
    </row>
    <row r="486" spans="1:8" x14ac:dyDescent="0.25">
      <c r="A486" s="3" t="s">
        <v>1665</v>
      </c>
      <c r="B486" s="3" t="s">
        <v>3199</v>
      </c>
      <c r="C486" s="10">
        <v>45671.658414351848</v>
      </c>
      <c r="D486" s="3" t="s">
        <v>1654</v>
      </c>
      <c r="E486" s="10">
        <v>45671.663807870369</v>
      </c>
      <c r="F486" s="10">
        <v>45671.704305555562</v>
      </c>
      <c r="G486" s="11">
        <f t="shared" si="14"/>
        <v>5.393518520577345E-3</v>
      </c>
      <c r="H486" s="11">
        <f t="shared" si="15"/>
        <v>4.5891203713836148E-2</v>
      </c>
    </row>
    <row r="487" spans="1:8" x14ac:dyDescent="0.25">
      <c r="A487" s="3" t="s">
        <v>1667</v>
      </c>
      <c r="B487" s="3" t="s">
        <v>3204</v>
      </c>
      <c r="C487" s="10">
        <v>45671.660462962973</v>
      </c>
      <c r="D487" s="3" t="s">
        <v>1668</v>
      </c>
      <c r="E487" s="10">
        <v>45672.331666666672</v>
      </c>
      <c r="F487" s="10">
        <v>45672.365254629629</v>
      </c>
      <c r="G487" s="11">
        <f t="shared" si="14"/>
        <v>0.67120370369957527</v>
      </c>
      <c r="H487" s="11">
        <f t="shared" si="15"/>
        <v>0.70479166665609227</v>
      </c>
    </row>
    <row r="488" spans="1:8" x14ac:dyDescent="0.25">
      <c r="A488" s="3" t="s">
        <v>1670</v>
      </c>
      <c r="B488" s="3" t="s">
        <v>3195</v>
      </c>
      <c r="C488" s="10">
        <v>45671.663425925923</v>
      </c>
      <c r="D488" s="3" t="s">
        <v>1671</v>
      </c>
      <c r="E488" s="10">
        <v>45671.66678240741</v>
      </c>
      <c r="F488" s="10">
        <v>45671.725243055553</v>
      </c>
      <c r="G488" s="11">
        <f t="shared" si="14"/>
        <v>3.3564814875717275E-3</v>
      </c>
      <c r="H488" s="11">
        <f t="shared" si="15"/>
        <v>6.1817129630071577E-2</v>
      </c>
    </row>
    <row r="489" spans="1:8" x14ac:dyDescent="0.25">
      <c r="A489" s="3" t="s">
        <v>1673</v>
      </c>
      <c r="B489" s="3" t="s">
        <v>3206</v>
      </c>
      <c r="C489" s="10">
        <v>45671.666319444441</v>
      </c>
      <c r="D489" s="3" t="s">
        <v>1674</v>
      </c>
      <c r="E489" s="10">
        <v>45671.75608796296</v>
      </c>
      <c r="F489" s="10">
        <v>45671.775821759264</v>
      </c>
      <c r="G489" s="11">
        <f t="shared" si="14"/>
        <v>8.9768518519122154E-2</v>
      </c>
      <c r="H489" s="11">
        <f t="shared" si="15"/>
        <v>0.1095023148227483</v>
      </c>
    </row>
    <row r="490" spans="1:8" x14ac:dyDescent="0.25">
      <c r="A490" s="3" t="s">
        <v>1702</v>
      </c>
      <c r="B490" s="3" t="s">
        <v>3206</v>
      </c>
      <c r="C490" s="10">
        <v>45671.752187500002</v>
      </c>
      <c r="D490" s="3" t="s">
        <v>1674</v>
      </c>
      <c r="E490" s="10">
        <v>45671.75608796296</v>
      </c>
      <c r="F490" s="10">
        <v>45671.775821759264</v>
      </c>
      <c r="G490" s="11">
        <f t="shared" si="14"/>
        <v>3.900462957972195E-3</v>
      </c>
      <c r="H490" s="11">
        <f t="shared" si="15"/>
        <v>2.3634259261598345E-2</v>
      </c>
    </row>
    <row r="491" spans="1:8" x14ac:dyDescent="0.25">
      <c r="A491" s="3" t="s">
        <v>1676</v>
      </c>
      <c r="B491" s="3" t="s">
        <v>3194</v>
      </c>
      <c r="C491" s="10">
        <v>45671.755046296297</v>
      </c>
      <c r="D491" s="3" t="s">
        <v>1463</v>
      </c>
      <c r="E491" s="10">
        <v>45671.758935185193</v>
      </c>
      <c r="F491" s="10">
        <v>45671.799166666657</v>
      </c>
      <c r="G491" s="11">
        <f t="shared" si="14"/>
        <v>3.8888888957444578E-3</v>
      </c>
      <c r="H491" s="11">
        <f t="shared" si="15"/>
        <v>4.4120370359451044E-2</v>
      </c>
    </row>
    <row r="492" spans="1:8" x14ac:dyDescent="0.25">
      <c r="A492" s="3" t="s">
        <v>1678</v>
      </c>
      <c r="B492" s="3" t="s">
        <v>3203</v>
      </c>
      <c r="C492" s="10">
        <v>45671.756412037037</v>
      </c>
      <c r="D492" s="3" t="s">
        <v>1679</v>
      </c>
      <c r="E492" s="10">
        <v>45671.758576388893</v>
      </c>
      <c r="F492" s="10">
        <v>45671.779687499999</v>
      </c>
      <c r="G492" s="11">
        <f t="shared" si="14"/>
        <v>2.164351855753921E-3</v>
      </c>
      <c r="H492" s="11">
        <f t="shared" si="15"/>
        <v>2.3275462961464655E-2</v>
      </c>
    </row>
    <row r="493" spans="1:8" x14ac:dyDescent="0.25">
      <c r="A493" s="3" t="s">
        <v>1681</v>
      </c>
      <c r="B493" s="3" t="s">
        <v>3205</v>
      </c>
      <c r="C493" s="10">
        <v>45671.757685185177</v>
      </c>
      <c r="D493" s="3" t="s">
        <v>1567</v>
      </c>
      <c r="E493" s="10">
        <v>45671.761597222219</v>
      </c>
      <c r="F493" s="10">
        <v>45671.79550925926</v>
      </c>
      <c r="G493" s="11">
        <f t="shared" si="14"/>
        <v>3.912037042027805E-3</v>
      </c>
      <c r="H493" s="11">
        <f t="shared" si="15"/>
        <v>3.7824074082891457E-2</v>
      </c>
    </row>
    <row r="494" spans="1:8" x14ac:dyDescent="0.25">
      <c r="A494" s="3" t="s">
        <v>1683</v>
      </c>
      <c r="B494" s="3" t="s">
        <v>3204</v>
      </c>
      <c r="C494" s="10">
        <v>45671.759768518517</v>
      </c>
      <c r="D494" s="3" t="s">
        <v>1668</v>
      </c>
      <c r="E494" s="10">
        <v>45672.331666666672</v>
      </c>
      <c r="F494" s="10">
        <v>45672.365254629629</v>
      </c>
      <c r="G494" s="11">
        <f t="shared" si="14"/>
        <v>0.5718981481550145</v>
      </c>
      <c r="H494" s="11">
        <f t="shared" si="15"/>
        <v>0.6054861111115315</v>
      </c>
    </row>
    <row r="495" spans="1:8" x14ac:dyDescent="0.25">
      <c r="A495" s="3" t="s">
        <v>1685</v>
      </c>
      <c r="B495" s="3" t="s">
        <v>3193</v>
      </c>
      <c r="C495" s="10">
        <v>45671.761053240742</v>
      </c>
      <c r="D495" s="3" t="s">
        <v>1686</v>
      </c>
      <c r="E495" s="10">
        <v>45673.43310185185</v>
      </c>
      <c r="F495" s="10">
        <v>45673.599432870367</v>
      </c>
      <c r="G495" s="11">
        <f t="shared" si="14"/>
        <v>1.672048611108039</v>
      </c>
      <c r="H495" s="11">
        <f t="shared" si="15"/>
        <v>1.838379629625706</v>
      </c>
    </row>
    <row r="496" spans="1:8" x14ac:dyDescent="0.25">
      <c r="A496" s="3" t="s">
        <v>1688</v>
      </c>
      <c r="B496" s="3" t="s">
        <v>3199</v>
      </c>
      <c r="C496" s="10">
        <v>45671.762974537043</v>
      </c>
      <c r="D496" s="3" t="s">
        <v>1689</v>
      </c>
      <c r="E496" s="10">
        <v>45672.321018518523</v>
      </c>
      <c r="F496" s="10">
        <v>45672.341666666667</v>
      </c>
      <c r="G496" s="11">
        <f t="shared" si="14"/>
        <v>0.55804398148029577</v>
      </c>
      <c r="H496" s="11">
        <f t="shared" si="15"/>
        <v>0.57869212962395977</v>
      </c>
    </row>
    <row r="497" spans="1:8" x14ac:dyDescent="0.25">
      <c r="A497" s="3" t="s">
        <v>1691</v>
      </c>
      <c r="B497" s="3" t="s">
        <v>3195</v>
      </c>
      <c r="C497" s="10">
        <v>45671.764780092592</v>
      </c>
      <c r="D497" s="3" t="s">
        <v>1692</v>
      </c>
      <c r="E497" s="10">
        <v>45671.774791666663</v>
      </c>
      <c r="F497" s="10">
        <v>45671.820393518523</v>
      </c>
      <c r="G497" s="11">
        <f t="shared" si="14"/>
        <v>1.0011574071540963E-2</v>
      </c>
      <c r="H497" s="11">
        <f t="shared" si="15"/>
        <v>5.561342593136942E-2</v>
      </c>
    </row>
    <row r="498" spans="1:8" x14ac:dyDescent="0.25">
      <c r="A498" s="3" t="s">
        <v>1694</v>
      </c>
      <c r="B498" s="3" t="s">
        <v>3201</v>
      </c>
      <c r="C498" s="10">
        <v>45671.766759259262</v>
      </c>
      <c r="D498" s="3" t="s">
        <v>1695</v>
      </c>
      <c r="E498" s="10">
        <v>45671.770069444443</v>
      </c>
      <c r="F498" s="10">
        <v>45671.800844907397</v>
      </c>
      <c r="G498" s="11">
        <f t="shared" si="14"/>
        <v>3.3101851804531179E-3</v>
      </c>
      <c r="H498" s="11">
        <f t="shared" si="15"/>
        <v>3.4085648134350777E-2</v>
      </c>
    </row>
    <row r="499" spans="1:8" x14ac:dyDescent="0.25">
      <c r="A499" s="3" t="s">
        <v>1697</v>
      </c>
      <c r="B499" s="3" t="s">
        <v>3198</v>
      </c>
      <c r="C499" s="10">
        <v>45671.768263888887</v>
      </c>
      <c r="D499" s="3" t="s">
        <v>1698</v>
      </c>
      <c r="E499" s="10">
        <v>45672.429166666669</v>
      </c>
      <c r="F499" s="10">
        <v>45672.451597222222</v>
      </c>
      <c r="G499" s="11">
        <f t="shared" si="14"/>
        <v>0.66090277778130258</v>
      </c>
      <c r="H499" s="11">
        <f t="shared" si="15"/>
        <v>0.68333333333430346</v>
      </c>
    </row>
    <row r="500" spans="1:8" x14ac:dyDescent="0.25">
      <c r="A500" s="3" t="s">
        <v>1700</v>
      </c>
      <c r="B500" s="3" t="s">
        <v>3195</v>
      </c>
      <c r="C500" s="10">
        <v>45671.770138888889</v>
      </c>
      <c r="D500" s="3" t="s">
        <v>1692</v>
      </c>
      <c r="E500" s="10">
        <v>45671.774791666663</v>
      </c>
      <c r="F500" s="10">
        <v>45671.820393518523</v>
      </c>
      <c r="G500" s="11">
        <f t="shared" si="14"/>
        <v>4.6527777740266174E-3</v>
      </c>
      <c r="H500" s="11">
        <f t="shared" si="15"/>
        <v>5.0254629633855075E-2</v>
      </c>
    </row>
    <row r="501" spans="1:8" x14ac:dyDescent="0.25">
      <c r="A501" s="3" t="s">
        <v>1704</v>
      </c>
      <c r="B501" s="3" t="s">
        <v>3203</v>
      </c>
      <c r="C501" s="10">
        <v>45671.831331018519</v>
      </c>
      <c r="D501" s="3" t="s">
        <v>1705</v>
      </c>
      <c r="E501" s="10">
        <v>45672.283796296288</v>
      </c>
      <c r="F501" s="10">
        <v>45672.340324074074</v>
      </c>
      <c r="G501" s="11">
        <f t="shared" si="14"/>
        <v>0.45246527776907897</v>
      </c>
      <c r="H501" s="11">
        <f t="shared" si="15"/>
        <v>0.50899305555503815</v>
      </c>
    </row>
    <row r="502" spans="1:8" x14ac:dyDescent="0.25">
      <c r="A502" s="3" t="s">
        <v>1707</v>
      </c>
      <c r="B502" s="3" t="s">
        <v>3200</v>
      </c>
      <c r="C502" s="10">
        <v>45672.11314814815</v>
      </c>
      <c r="D502" s="3" t="s">
        <v>1608</v>
      </c>
      <c r="E502" s="10">
        <v>45672.117048611108</v>
      </c>
      <c r="F502" s="10">
        <v>45672.155173611107</v>
      </c>
      <c r="G502" s="11">
        <f t="shared" si="14"/>
        <v>3.900462957972195E-3</v>
      </c>
      <c r="H502" s="11">
        <f t="shared" si="15"/>
        <v>4.202546295709908E-2</v>
      </c>
    </row>
    <row r="503" spans="1:8" x14ac:dyDescent="0.25">
      <c r="A503" s="3" t="s">
        <v>1709</v>
      </c>
      <c r="B503" s="3" t="s">
        <v>3199</v>
      </c>
      <c r="C503" s="10">
        <v>45672.115127314813</v>
      </c>
      <c r="D503" s="3" t="s">
        <v>1689</v>
      </c>
      <c r="E503" s="10">
        <v>45672.321018518523</v>
      </c>
      <c r="F503" s="10">
        <v>45672.341666666667</v>
      </c>
      <c r="G503" s="11">
        <f t="shared" si="14"/>
        <v>0.20589120371005265</v>
      </c>
      <c r="H503" s="11">
        <f t="shared" si="15"/>
        <v>0.22653935185371665</v>
      </c>
    </row>
    <row r="504" spans="1:8" x14ac:dyDescent="0.25">
      <c r="A504" s="3" t="s">
        <v>1711</v>
      </c>
      <c r="B504" s="3" t="s">
        <v>3195</v>
      </c>
      <c r="C504" s="10">
        <v>45672.116851851853</v>
      </c>
      <c r="D504" s="3" t="s">
        <v>1712</v>
      </c>
      <c r="E504" s="10">
        <v>45673.340532407397</v>
      </c>
      <c r="F504" s="10">
        <v>45673.360937500001</v>
      </c>
      <c r="G504" s="11">
        <f t="shared" si="14"/>
        <v>1.2236805555439787</v>
      </c>
      <c r="H504" s="11">
        <f t="shared" si="15"/>
        <v>1.2440856481480296</v>
      </c>
    </row>
    <row r="505" spans="1:8" x14ac:dyDescent="0.25">
      <c r="A505" s="3" t="s">
        <v>1714</v>
      </c>
      <c r="B505" s="3" t="s">
        <v>3197</v>
      </c>
      <c r="C505" s="10">
        <v>45672.118969907409</v>
      </c>
      <c r="D505" s="3" t="s">
        <v>1542</v>
      </c>
      <c r="E505" s="10">
        <v>45672.122870370367</v>
      </c>
      <c r="F505" s="10">
        <v>45672.156134259261</v>
      </c>
      <c r="G505" s="11">
        <f t="shared" si="14"/>
        <v>3.900462957972195E-3</v>
      </c>
      <c r="H505" s="11">
        <f t="shared" si="15"/>
        <v>3.7164351851970423E-2</v>
      </c>
    </row>
    <row r="506" spans="1:8" x14ac:dyDescent="0.25">
      <c r="A506" s="3" t="s">
        <v>1716</v>
      </c>
      <c r="B506" s="3" t="s">
        <v>3201</v>
      </c>
      <c r="C506" s="10">
        <v>45672.204884259263</v>
      </c>
      <c r="D506" s="3" t="s">
        <v>1717</v>
      </c>
      <c r="E506" s="10">
        <v>45672.207256944443</v>
      </c>
      <c r="F506" s="10">
        <v>45672.300451388888</v>
      </c>
      <c r="G506" s="11">
        <f t="shared" si="14"/>
        <v>2.372685179580003E-3</v>
      </c>
      <c r="H506" s="11">
        <f t="shared" si="15"/>
        <v>9.5567129625123926E-2</v>
      </c>
    </row>
    <row r="507" spans="1:8" x14ac:dyDescent="0.25">
      <c r="A507" s="3" t="s">
        <v>1719</v>
      </c>
      <c r="B507" s="3" t="s">
        <v>3203</v>
      </c>
      <c r="C507" s="10">
        <v>45672.279895833337</v>
      </c>
      <c r="D507" s="3" t="s">
        <v>1705</v>
      </c>
      <c r="E507" s="10">
        <v>45672.283796296288</v>
      </c>
      <c r="F507" s="10">
        <v>45672.340324074074</v>
      </c>
      <c r="G507" s="11">
        <f t="shared" si="14"/>
        <v>3.9004629506962374E-3</v>
      </c>
      <c r="H507" s="11">
        <f t="shared" si="15"/>
        <v>6.0428240736655425E-2</v>
      </c>
    </row>
    <row r="508" spans="1:8" x14ac:dyDescent="0.25">
      <c r="A508" s="3" t="s">
        <v>1721</v>
      </c>
      <c r="B508" s="3" t="s">
        <v>3199</v>
      </c>
      <c r="C508" s="10">
        <v>45672.317453703698</v>
      </c>
      <c r="D508" s="3" t="s">
        <v>1689</v>
      </c>
      <c r="E508" s="10">
        <v>45672.321018518523</v>
      </c>
      <c r="F508" s="10">
        <v>45672.341666666667</v>
      </c>
      <c r="G508" s="11">
        <f t="shared" si="14"/>
        <v>3.5648148259497248E-3</v>
      </c>
      <c r="H508" s="11">
        <f t="shared" si="15"/>
        <v>2.4212962969613727E-2</v>
      </c>
    </row>
    <row r="509" spans="1:8" x14ac:dyDescent="0.25">
      <c r="A509" s="3" t="s">
        <v>1723</v>
      </c>
      <c r="B509" s="3" t="s">
        <v>3197</v>
      </c>
      <c r="C509" s="10">
        <v>45672.319421296299</v>
      </c>
      <c r="D509" s="3" t="s">
        <v>1724</v>
      </c>
      <c r="E509" s="10">
        <v>45672.39162037037</v>
      </c>
      <c r="F509" s="10">
        <v>45672.4143287037</v>
      </c>
      <c r="G509" s="11">
        <f t="shared" si="14"/>
        <v>7.2199074071249925E-2</v>
      </c>
      <c r="H509" s="11">
        <f t="shared" si="15"/>
        <v>9.4907407401478849E-2</v>
      </c>
    </row>
    <row r="510" spans="1:8" x14ac:dyDescent="0.25">
      <c r="A510" s="3" t="s">
        <v>1726</v>
      </c>
      <c r="B510" s="3" t="s">
        <v>3200</v>
      </c>
      <c r="C510" s="10">
        <v>45672.321203703701</v>
      </c>
      <c r="D510" s="3" t="s">
        <v>1727</v>
      </c>
      <c r="E510" s="10">
        <v>45672.669398148151</v>
      </c>
      <c r="F510" s="10">
        <v>45672.711886574078</v>
      </c>
      <c r="G510" s="11">
        <f t="shared" si="14"/>
        <v>0.34819444445020054</v>
      </c>
      <c r="H510" s="11">
        <f t="shared" si="15"/>
        <v>0.3906828703766223</v>
      </c>
    </row>
    <row r="511" spans="1:8" x14ac:dyDescent="0.25">
      <c r="A511" s="3" t="s">
        <v>1729</v>
      </c>
      <c r="B511" s="3" t="s">
        <v>3195</v>
      </c>
      <c r="C511" s="10">
        <v>45672.322916666657</v>
      </c>
      <c r="D511" s="3" t="s">
        <v>1712</v>
      </c>
      <c r="E511" s="10">
        <v>45673.340532407397</v>
      </c>
      <c r="F511" s="10">
        <v>45673.360937500001</v>
      </c>
      <c r="G511" s="11">
        <f t="shared" si="14"/>
        <v>1.0176157407404389</v>
      </c>
      <c r="H511" s="11">
        <f t="shared" si="15"/>
        <v>1.0380208333444898</v>
      </c>
    </row>
    <row r="512" spans="1:8" x14ac:dyDescent="0.25">
      <c r="A512" s="3" t="s">
        <v>1731</v>
      </c>
      <c r="B512" s="3" t="s">
        <v>3206</v>
      </c>
      <c r="C512" s="10">
        <v>45672.324548611112</v>
      </c>
      <c r="D512" s="3" t="s">
        <v>1732</v>
      </c>
      <c r="E512" s="10">
        <v>45672.765289351853</v>
      </c>
      <c r="F512" s="10">
        <v>45672.799803240741</v>
      </c>
      <c r="G512" s="11">
        <f t="shared" si="14"/>
        <v>0.44074074074160308</v>
      </c>
      <c r="H512" s="11">
        <f t="shared" si="15"/>
        <v>0.4752546296294895</v>
      </c>
    </row>
    <row r="513" spans="1:8" x14ac:dyDescent="0.25">
      <c r="A513" s="3" t="s">
        <v>1734</v>
      </c>
      <c r="B513" s="3" t="s">
        <v>3202</v>
      </c>
      <c r="C513" s="10">
        <v>45672.325960648152</v>
      </c>
      <c r="D513" s="3" t="s">
        <v>1735</v>
      </c>
      <c r="E513" s="10">
        <v>45677.356562499997</v>
      </c>
      <c r="F513" s="10">
        <v>45677.742604166669</v>
      </c>
      <c r="G513" s="11">
        <f t="shared" si="14"/>
        <v>5.0306018518458586</v>
      </c>
      <c r="H513" s="11">
        <f t="shared" si="15"/>
        <v>5.416643518517958</v>
      </c>
    </row>
    <row r="514" spans="1:8" x14ac:dyDescent="0.25">
      <c r="A514" s="3" t="s">
        <v>1737</v>
      </c>
      <c r="B514" s="3" t="s">
        <v>3204</v>
      </c>
      <c r="C514" s="10">
        <v>45672.328101851846</v>
      </c>
      <c r="D514" s="3" t="s">
        <v>1668</v>
      </c>
      <c r="E514" s="10">
        <v>45672.331666666672</v>
      </c>
      <c r="F514" s="10">
        <v>45672.365254629629</v>
      </c>
      <c r="G514" s="11">
        <f t="shared" ref="G514:G577" si="16">IF(AND(ISNUMBER(C514),ISNUMBER(E514)),(E514-C514),"")</f>
        <v>3.5648148259497248E-3</v>
      </c>
      <c r="H514" s="11">
        <f t="shared" ref="H514:H577" si="17">IF(AND(ISNUMBER(C514),ISNUMBER(F514)),(F514-C514),"")</f>
        <v>3.7152777782466728E-2</v>
      </c>
    </row>
    <row r="515" spans="1:8" x14ac:dyDescent="0.25">
      <c r="A515" s="3" t="s">
        <v>1739</v>
      </c>
      <c r="B515" s="3" t="s">
        <v>3197</v>
      </c>
      <c r="C515" s="10">
        <v>45672.33016203704</v>
      </c>
      <c r="D515" s="3" t="s">
        <v>1724</v>
      </c>
      <c r="E515" s="10">
        <v>45672.39162037037</v>
      </c>
      <c r="F515" s="10">
        <v>45672.4143287037</v>
      </c>
      <c r="G515" s="11">
        <f t="shared" si="16"/>
        <v>6.1458333329937886E-2</v>
      </c>
      <c r="H515" s="11">
        <f t="shared" si="17"/>
        <v>8.4166666660166811E-2</v>
      </c>
    </row>
    <row r="516" spans="1:8" x14ac:dyDescent="0.25">
      <c r="A516" s="3" t="s">
        <v>1741</v>
      </c>
      <c r="B516" s="3" t="s">
        <v>3205</v>
      </c>
      <c r="C516" s="10">
        <v>45672.331666666672</v>
      </c>
      <c r="D516" s="3" t="s">
        <v>1742</v>
      </c>
      <c r="E516" s="10">
        <v>45672.334641203714</v>
      </c>
      <c r="F516" s="10">
        <v>45672.36041666667</v>
      </c>
      <c r="G516" s="11">
        <f t="shared" si="16"/>
        <v>2.9745370411546901E-3</v>
      </c>
      <c r="H516" s="11">
        <f t="shared" si="17"/>
        <v>2.8749999997671694E-2</v>
      </c>
    </row>
    <row r="517" spans="1:8" x14ac:dyDescent="0.25">
      <c r="A517" s="3" t="s">
        <v>1744</v>
      </c>
      <c r="B517" s="3" t="s">
        <v>3201</v>
      </c>
      <c r="C517" s="10">
        <v>45672.334826388891</v>
      </c>
      <c r="D517" s="3" t="s">
        <v>1745</v>
      </c>
      <c r="E517" s="10">
        <v>45672.337604166663</v>
      </c>
      <c r="F517" s="10">
        <v>45672.388506944437</v>
      </c>
      <c r="G517" s="11">
        <f t="shared" si="16"/>
        <v>2.7777777722803876E-3</v>
      </c>
      <c r="H517" s="11">
        <f t="shared" si="17"/>
        <v>5.3680555545724928E-2</v>
      </c>
    </row>
    <row r="518" spans="1:8" x14ac:dyDescent="0.25">
      <c r="A518" s="3" t="s">
        <v>1747</v>
      </c>
      <c r="B518" s="3" t="s">
        <v>3194</v>
      </c>
      <c r="C518" s="10">
        <v>45672.34710648148</v>
      </c>
      <c r="D518" s="3" t="s">
        <v>1748</v>
      </c>
      <c r="E518" s="10">
        <v>45672.362546296303</v>
      </c>
      <c r="F518" s="10">
        <v>45672.430532407408</v>
      </c>
      <c r="G518" s="11">
        <f t="shared" si="16"/>
        <v>1.5439814822457265E-2</v>
      </c>
      <c r="H518" s="11">
        <f t="shared" si="17"/>
        <v>8.3425925928167999E-2</v>
      </c>
    </row>
    <row r="519" spans="1:8" x14ac:dyDescent="0.25">
      <c r="A519" s="3" t="s">
        <v>1750</v>
      </c>
      <c r="B519" s="3" t="s">
        <v>3197</v>
      </c>
      <c r="C519" s="10">
        <v>45672.387731481482</v>
      </c>
      <c r="D519" s="3" t="s">
        <v>1724</v>
      </c>
      <c r="E519" s="10">
        <v>45672.39162037037</v>
      </c>
      <c r="F519" s="10">
        <v>45672.4143287037</v>
      </c>
      <c r="G519" s="11">
        <f t="shared" si="16"/>
        <v>3.8888888884685002E-3</v>
      </c>
      <c r="H519" s="11">
        <f t="shared" si="17"/>
        <v>2.6597222218697425E-2</v>
      </c>
    </row>
    <row r="520" spans="1:8" x14ac:dyDescent="0.25">
      <c r="A520" s="3" t="s">
        <v>1752</v>
      </c>
      <c r="B520" s="3" t="s">
        <v>3206</v>
      </c>
      <c r="C520" s="10">
        <v>45672.389351851853</v>
      </c>
      <c r="D520" s="3" t="s">
        <v>1732</v>
      </c>
      <c r="E520" s="10">
        <v>45672.765289351853</v>
      </c>
      <c r="F520" s="10">
        <v>45672.799803240741</v>
      </c>
      <c r="G520" s="11">
        <f t="shared" si="16"/>
        <v>0.37593750000087311</v>
      </c>
      <c r="H520" s="11">
        <f t="shared" si="17"/>
        <v>0.41045138888875954</v>
      </c>
    </row>
    <row r="521" spans="1:8" x14ac:dyDescent="0.25">
      <c r="A521" s="3" t="s">
        <v>1754</v>
      </c>
      <c r="B521" s="3" t="s">
        <v>3203</v>
      </c>
      <c r="C521" s="10">
        <v>45672.390520833331</v>
      </c>
      <c r="D521" s="3" t="s">
        <v>1755</v>
      </c>
      <c r="E521" s="10">
        <v>45672.665578703702</v>
      </c>
      <c r="F521" s="10">
        <v>45672.685752314806</v>
      </c>
      <c r="G521" s="11">
        <f t="shared" si="16"/>
        <v>0.27505787037080154</v>
      </c>
      <c r="H521" s="11">
        <f t="shared" si="17"/>
        <v>0.29523148147563916</v>
      </c>
    </row>
    <row r="522" spans="1:8" x14ac:dyDescent="0.25">
      <c r="A522" s="3" t="s">
        <v>1757</v>
      </c>
      <c r="B522" s="3" t="s">
        <v>3200</v>
      </c>
      <c r="C522" s="10">
        <v>45672.39234953704</v>
      </c>
      <c r="D522" s="3" t="s">
        <v>1727</v>
      </c>
      <c r="E522" s="10">
        <v>45672.669398148151</v>
      </c>
      <c r="F522" s="10">
        <v>45672.711886574078</v>
      </c>
      <c r="G522" s="11">
        <f t="shared" si="16"/>
        <v>0.27704861111124046</v>
      </c>
      <c r="H522" s="11">
        <f t="shared" si="17"/>
        <v>0.31953703703766223</v>
      </c>
    </row>
    <row r="523" spans="1:8" x14ac:dyDescent="0.25">
      <c r="A523" s="3" t="s">
        <v>1759</v>
      </c>
      <c r="B523" s="3" t="s">
        <v>3203</v>
      </c>
      <c r="C523" s="10">
        <v>45672.393541666657</v>
      </c>
      <c r="D523" s="3" t="s">
        <v>1755</v>
      </c>
      <c r="E523" s="10">
        <v>45672.665578703702</v>
      </c>
      <c r="F523" s="10">
        <v>45672.685752314806</v>
      </c>
      <c r="G523" s="11">
        <f t="shared" si="16"/>
        <v>0.27203703704435611</v>
      </c>
      <c r="H523" s="11">
        <f t="shared" si="17"/>
        <v>0.29221064814919373</v>
      </c>
    </row>
    <row r="524" spans="1:8" x14ac:dyDescent="0.25">
      <c r="A524" s="3" t="s">
        <v>1761</v>
      </c>
      <c r="B524" s="3" t="s">
        <v>3199</v>
      </c>
      <c r="C524" s="10">
        <v>45672.395567129628</v>
      </c>
      <c r="D524" s="3" t="s">
        <v>1762</v>
      </c>
      <c r="E524" s="10">
        <v>45672.776562500003</v>
      </c>
      <c r="F524" s="10">
        <v>45672.808692129627</v>
      </c>
      <c r="G524" s="11">
        <f t="shared" si="16"/>
        <v>0.38099537037487607</v>
      </c>
      <c r="H524" s="11">
        <f t="shared" si="17"/>
        <v>0.41312499999912689</v>
      </c>
    </row>
    <row r="525" spans="1:8" x14ac:dyDescent="0.25">
      <c r="A525" s="3" t="s">
        <v>1764</v>
      </c>
      <c r="B525" s="3" t="s">
        <v>3204</v>
      </c>
      <c r="C525" s="10">
        <v>45672.397685185177</v>
      </c>
      <c r="D525" s="3" t="s">
        <v>1765</v>
      </c>
      <c r="E525" s="10">
        <v>45672.657430555562</v>
      </c>
      <c r="F525" s="10">
        <v>45672.692048611112</v>
      </c>
      <c r="G525" s="11">
        <f t="shared" si="16"/>
        <v>0.25974537038564449</v>
      </c>
      <c r="H525" s="11">
        <f t="shared" si="17"/>
        <v>0.29436342593544396</v>
      </c>
    </row>
    <row r="526" spans="1:8" x14ac:dyDescent="0.25">
      <c r="A526" s="3" t="s">
        <v>1767</v>
      </c>
      <c r="B526" s="3" t="s">
        <v>3206</v>
      </c>
      <c r="C526" s="10">
        <v>45672.399293981478</v>
      </c>
      <c r="D526" s="3" t="s">
        <v>1732</v>
      </c>
      <c r="E526" s="10">
        <v>45672.765289351853</v>
      </c>
      <c r="F526" s="10">
        <v>45672.799803240741</v>
      </c>
      <c r="G526" s="11">
        <f t="shared" si="16"/>
        <v>0.36599537037545815</v>
      </c>
      <c r="H526" s="11">
        <f t="shared" si="17"/>
        <v>0.40050925926334457</v>
      </c>
    </row>
    <row r="527" spans="1:8" x14ac:dyDescent="0.25">
      <c r="A527" s="3" t="s">
        <v>1769</v>
      </c>
      <c r="B527" s="3" t="s">
        <v>3205</v>
      </c>
      <c r="C527" s="10">
        <v>45672.402037037027</v>
      </c>
      <c r="D527" s="3" t="s">
        <v>1770</v>
      </c>
      <c r="E527" s="10">
        <v>45672.404398148137</v>
      </c>
      <c r="F527" s="10">
        <v>45672.460717592592</v>
      </c>
      <c r="G527" s="11">
        <f t="shared" si="16"/>
        <v>2.3611111100763083E-3</v>
      </c>
      <c r="H527" s="11">
        <f t="shared" si="17"/>
        <v>5.8680555564933456E-2</v>
      </c>
    </row>
    <row r="528" spans="1:8" x14ac:dyDescent="0.25">
      <c r="A528" s="3" t="s">
        <v>1772</v>
      </c>
      <c r="B528" s="3" t="s">
        <v>3198</v>
      </c>
      <c r="C528" s="10">
        <v>45672.403634259259</v>
      </c>
      <c r="D528" s="3" t="s">
        <v>1698</v>
      </c>
      <c r="E528" s="10">
        <v>45672.429166666669</v>
      </c>
      <c r="F528" s="10">
        <v>45672.451597222222</v>
      </c>
      <c r="G528" s="11">
        <f t="shared" si="16"/>
        <v>2.5532407409627922E-2</v>
      </c>
      <c r="H528" s="11">
        <f t="shared" si="17"/>
        <v>4.7962962962628808E-2</v>
      </c>
    </row>
    <row r="529" spans="1:8" x14ac:dyDescent="0.25">
      <c r="A529" s="3" t="s">
        <v>1774</v>
      </c>
      <c r="B529" s="3" t="s">
        <v>3198</v>
      </c>
      <c r="C529" s="10">
        <v>45672.425243055557</v>
      </c>
      <c r="D529" s="3" t="s">
        <v>1698</v>
      </c>
      <c r="E529" s="10">
        <v>45672.429166666669</v>
      </c>
      <c r="F529" s="10">
        <v>45672.451597222222</v>
      </c>
      <c r="G529" s="11">
        <f t="shared" si="16"/>
        <v>3.9236111115314998E-3</v>
      </c>
      <c r="H529" s="11">
        <f t="shared" si="17"/>
        <v>2.6354166664532386E-2</v>
      </c>
    </row>
    <row r="530" spans="1:8" x14ac:dyDescent="0.25">
      <c r="A530" s="3" t="s">
        <v>1776</v>
      </c>
      <c r="B530" s="3" t="s">
        <v>3201</v>
      </c>
      <c r="C530" s="10">
        <v>45672.427534722221</v>
      </c>
      <c r="D530" s="3" t="s">
        <v>1777</v>
      </c>
      <c r="E530" s="10">
        <v>45672.429722222223</v>
      </c>
      <c r="F530" s="10">
        <v>45672.476354166669</v>
      </c>
      <c r="G530" s="11">
        <f t="shared" si="16"/>
        <v>2.1875000020372681E-3</v>
      </c>
      <c r="H530" s="11">
        <f t="shared" si="17"/>
        <v>4.8819444447872229E-2</v>
      </c>
    </row>
    <row r="531" spans="1:8" x14ac:dyDescent="0.25">
      <c r="A531" s="3" t="s">
        <v>1779</v>
      </c>
      <c r="B531" s="3" t="s">
        <v>3201</v>
      </c>
      <c r="C531" s="10">
        <v>45672.549363425933</v>
      </c>
      <c r="D531" s="3" t="s">
        <v>1780</v>
      </c>
      <c r="E531" s="10">
        <v>45672.551747685182</v>
      </c>
      <c r="F531" s="10">
        <v>45672.574421296304</v>
      </c>
      <c r="G531" s="11">
        <f t="shared" si="16"/>
        <v>2.3842592490836978E-3</v>
      </c>
      <c r="H531" s="11">
        <f t="shared" si="17"/>
        <v>2.5057870370801538E-2</v>
      </c>
    </row>
    <row r="532" spans="1:8" x14ac:dyDescent="0.25">
      <c r="A532" s="3" t="s">
        <v>1782</v>
      </c>
      <c r="B532" s="3" t="s">
        <v>3206</v>
      </c>
      <c r="C532" s="10">
        <v>45672.649328703701</v>
      </c>
      <c r="D532" s="3" t="s">
        <v>1732</v>
      </c>
      <c r="E532" s="10">
        <v>45672.765289351853</v>
      </c>
      <c r="F532" s="10">
        <v>45672.799803240741</v>
      </c>
      <c r="G532" s="11">
        <f t="shared" si="16"/>
        <v>0.11596064815239515</v>
      </c>
      <c r="H532" s="11">
        <f t="shared" si="17"/>
        <v>0.15047453704028158</v>
      </c>
    </row>
    <row r="533" spans="1:8" x14ac:dyDescent="0.25">
      <c r="A533" s="3" t="s">
        <v>1784</v>
      </c>
      <c r="B533" s="3" t="s">
        <v>3199</v>
      </c>
      <c r="C533" s="10">
        <v>45672.651238425933</v>
      </c>
      <c r="D533" s="3" t="s">
        <v>1762</v>
      </c>
      <c r="E533" s="10">
        <v>45672.776562500003</v>
      </c>
      <c r="F533" s="10">
        <v>45672.808692129627</v>
      </c>
      <c r="G533" s="11">
        <f t="shared" si="16"/>
        <v>0.12532407406979473</v>
      </c>
      <c r="H533" s="11">
        <f t="shared" si="17"/>
        <v>0.15745370369404554</v>
      </c>
    </row>
    <row r="534" spans="1:8" x14ac:dyDescent="0.25">
      <c r="A534" s="3" t="s">
        <v>1786</v>
      </c>
      <c r="B534" s="3" t="s">
        <v>3204</v>
      </c>
      <c r="C534" s="10">
        <v>45672.653541666667</v>
      </c>
      <c r="D534" s="3" t="s">
        <v>1765</v>
      </c>
      <c r="E534" s="10">
        <v>45672.657430555562</v>
      </c>
      <c r="F534" s="10">
        <v>45672.692048611112</v>
      </c>
      <c r="G534" s="11">
        <f t="shared" si="16"/>
        <v>3.8888888957444578E-3</v>
      </c>
      <c r="H534" s="11">
        <f t="shared" si="17"/>
        <v>3.8506944445543922E-2</v>
      </c>
    </row>
    <row r="535" spans="1:8" x14ac:dyDescent="0.25">
      <c r="A535" s="3" t="s">
        <v>1788</v>
      </c>
      <c r="B535" s="3" t="s">
        <v>3201</v>
      </c>
      <c r="C535" s="10">
        <v>45672.655289351853</v>
      </c>
      <c r="D535" s="3" t="s">
        <v>1789</v>
      </c>
      <c r="E535" s="10">
        <v>45674.346782407411</v>
      </c>
      <c r="F535" s="10">
        <v>45674.930115740739</v>
      </c>
      <c r="G535" s="11">
        <f t="shared" si="16"/>
        <v>1.6914930555576575</v>
      </c>
      <c r="H535" s="11">
        <f t="shared" si="17"/>
        <v>2.2748263888861402</v>
      </c>
    </row>
    <row r="536" spans="1:8" x14ac:dyDescent="0.25">
      <c r="A536" s="3" t="s">
        <v>1791</v>
      </c>
      <c r="B536" s="3" t="s">
        <v>3197</v>
      </c>
      <c r="C536" s="10">
        <v>45672.657430555562</v>
      </c>
      <c r="D536" s="3" t="s">
        <v>1792</v>
      </c>
      <c r="E536" s="10">
        <v>45672.763310185182</v>
      </c>
      <c r="F536" s="10">
        <v>45672.785277777781</v>
      </c>
      <c r="G536" s="11">
        <f t="shared" si="16"/>
        <v>0.10587962962017627</v>
      </c>
      <c r="H536" s="11">
        <f t="shared" si="17"/>
        <v>0.12784722221840639</v>
      </c>
    </row>
    <row r="537" spans="1:8" x14ac:dyDescent="0.25">
      <c r="A537" s="3" t="s">
        <v>1794</v>
      </c>
      <c r="B537" s="3" t="s">
        <v>3206</v>
      </c>
      <c r="C537" s="10">
        <v>45672.659050925933</v>
      </c>
      <c r="D537" s="3" t="s">
        <v>1732</v>
      </c>
      <c r="E537" s="10">
        <v>45672.765289351853</v>
      </c>
      <c r="F537" s="10">
        <v>45672.799803240741</v>
      </c>
      <c r="G537" s="11">
        <f t="shared" si="16"/>
        <v>0.10623842592030996</v>
      </c>
      <c r="H537" s="11">
        <f t="shared" si="17"/>
        <v>0.14075231480819639</v>
      </c>
    </row>
    <row r="538" spans="1:8" x14ac:dyDescent="0.25">
      <c r="A538" s="3" t="s">
        <v>1796</v>
      </c>
      <c r="B538" s="3" t="s">
        <v>3195</v>
      </c>
      <c r="C538" s="10">
        <v>45672.660763888889</v>
      </c>
      <c r="D538" s="3" t="s">
        <v>1712</v>
      </c>
      <c r="E538" s="10">
        <v>45673.340532407397</v>
      </c>
      <c r="F538" s="10">
        <v>45673.360937500001</v>
      </c>
      <c r="G538" s="11">
        <f t="shared" si="16"/>
        <v>0.67976851850835374</v>
      </c>
      <c r="H538" s="11">
        <f t="shared" si="17"/>
        <v>0.70017361111240461</v>
      </c>
    </row>
    <row r="539" spans="1:8" x14ac:dyDescent="0.25">
      <c r="A539" s="3" t="s">
        <v>1798</v>
      </c>
      <c r="B539" s="3" t="s">
        <v>3203</v>
      </c>
      <c r="C539" s="10">
        <v>45672.66201388889</v>
      </c>
      <c r="D539" s="3" t="s">
        <v>1755</v>
      </c>
      <c r="E539" s="10">
        <v>45672.665578703702</v>
      </c>
      <c r="F539" s="10">
        <v>45672.685752314806</v>
      </c>
      <c r="G539" s="11">
        <f t="shared" si="16"/>
        <v>3.5648148113978095E-3</v>
      </c>
      <c r="H539" s="11">
        <f t="shared" si="17"/>
        <v>2.3738425916235428E-2</v>
      </c>
    </row>
    <row r="540" spans="1:8" x14ac:dyDescent="0.25">
      <c r="A540" s="3" t="s">
        <v>1800</v>
      </c>
      <c r="B540" s="3" t="s">
        <v>3198</v>
      </c>
      <c r="C540" s="10">
        <v>45672.663530092592</v>
      </c>
      <c r="D540" s="3" t="s">
        <v>1801</v>
      </c>
      <c r="E540" s="10">
        <v>45674.135879629634</v>
      </c>
      <c r="F540" s="10">
        <v>45674.371041666673</v>
      </c>
      <c r="G540" s="11">
        <f t="shared" si="16"/>
        <v>1.4723495370417368</v>
      </c>
      <c r="H540" s="11">
        <f t="shared" si="17"/>
        <v>1.7075115740808542</v>
      </c>
    </row>
    <row r="541" spans="1:8" x14ac:dyDescent="0.25">
      <c r="A541" s="3" t="s">
        <v>1803</v>
      </c>
      <c r="B541" s="3" t="s">
        <v>3200</v>
      </c>
      <c r="C541" s="10">
        <v>45672.665509259263</v>
      </c>
      <c r="D541" s="3" t="s">
        <v>1727</v>
      </c>
      <c r="E541" s="10">
        <v>45672.669398148151</v>
      </c>
      <c r="F541" s="10">
        <v>45672.711886574078</v>
      </c>
      <c r="G541" s="11">
        <f t="shared" si="16"/>
        <v>3.8888888884685002E-3</v>
      </c>
      <c r="H541" s="11">
        <f t="shared" si="17"/>
        <v>4.6377314814890269E-2</v>
      </c>
    </row>
    <row r="542" spans="1:8" x14ac:dyDescent="0.25">
      <c r="A542" s="3" t="s">
        <v>1805</v>
      </c>
      <c r="B542" s="3" t="s">
        <v>3205</v>
      </c>
      <c r="C542" s="10">
        <v>45672.667847222219</v>
      </c>
      <c r="D542" s="3" t="s">
        <v>1806</v>
      </c>
      <c r="E542" s="10">
        <v>45672.670243055552</v>
      </c>
      <c r="F542" s="10">
        <v>45672.706678240742</v>
      </c>
      <c r="G542" s="11">
        <f t="shared" si="16"/>
        <v>2.3958333331393078E-3</v>
      </c>
      <c r="H542" s="11">
        <f t="shared" si="17"/>
        <v>3.8831018522614613E-2</v>
      </c>
    </row>
    <row r="543" spans="1:8" x14ac:dyDescent="0.25">
      <c r="A543" s="3" t="s">
        <v>1808</v>
      </c>
      <c r="B543" s="3" t="s">
        <v>3203</v>
      </c>
      <c r="C543" s="10">
        <v>45672.728703703702</v>
      </c>
      <c r="D543" s="3" t="s">
        <v>1809</v>
      </c>
      <c r="E543" s="10">
        <v>45672.731099537043</v>
      </c>
      <c r="F543" s="10">
        <v>45672.789675925917</v>
      </c>
      <c r="G543" s="11">
        <f t="shared" si="16"/>
        <v>2.3958333404152654E-3</v>
      </c>
      <c r="H543" s="11">
        <f t="shared" si="17"/>
        <v>6.097222221433185E-2</v>
      </c>
    </row>
    <row r="544" spans="1:8" x14ac:dyDescent="0.25">
      <c r="A544" s="3" t="s">
        <v>1811</v>
      </c>
      <c r="B544" s="3" t="s">
        <v>3199</v>
      </c>
      <c r="C544" s="10">
        <v>45672.756388888891</v>
      </c>
      <c r="D544" s="3" t="s">
        <v>1762</v>
      </c>
      <c r="E544" s="10">
        <v>45672.776562500003</v>
      </c>
      <c r="F544" s="10">
        <v>45672.808692129627</v>
      </c>
      <c r="G544" s="11">
        <f t="shared" si="16"/>
        <v>2.0173611112113576E-2</v>
      </c>
      <c r="H544" s="11">
        <f t="shared" si="17"/>
        <v>5.2303240736364387E-2</v>
      </c>
    </row>
    <row r="545" spans="1:8" x14ac:dyDescent="0.25">
      <c r="A545" s="3" t="s">
        <v>1813</v>
      </c>
      <c r="B545" s="3" t="s">
        <v>3202</v>
      </c>
      <c r="C545" s="10">
        <v>45672.757777777777</v>
      </c>
      <c r="D545" s="3" t="s">
        <v>1735</v>
      </c>
      <c r="E545" s="10">
        <v>45677.356562499997</v>
      </c>
      <c r="F545" s="10">
        <v>45677.742604166669</v>
      </c>
      <c r="G545" s="11">
        <f t="shared" si="16"/>
        <v>4.5987847222204437</v>
      </c>
      <c r="H545" s="11">
        <f t="shared" si="17"/>
        <v>4.984826388892543</v>
      </c>
    </row>
    <row r="546" spans="1:8" x14ac:dyDescent="0.25">
      <c r="A546" s="3" t="s">
        <v>1815</v>
      </c>
      <c r="B546" s="3" t="s">
        <v>3197</v>
      </c>
      <c r="C546" s="10">
        <v>45672.759745370371</v>
      </c>
      <c r="D546" s="3" t="s">
        <v>1792</v>
      </c>
      <c r="E546" s="10">
        <v>45672.763310185182</v>
      </c>
      <c r="F546" s="10">
        <v>45672.785277777781</v>
      </c>
      <c r="G546" s="11">
        <f t="shared" si="16"/>
        <v>3.5648148113978095E-3</v>
      </c>
      <c r="H546" s="11">
        <f t="shared" si="17"/>
        <v>2.5532407409627922E-2</v>
      </c>
    </row>
    <row r="547" spans="1:8" x14ac:dyDescent="0.25">
      <c r="A547" s="3" t="s">
        <v>1817</v>
      </c>
      <c r="B547" s="3" t="s">
        <v>3206</v>
      </c>
      <c r="C547" s="10">
        <v>45672.761365740742</v>
      </c>
      <c r="D547" s="3" t="s">
        <v>1732</v>
      </c>
      <c r="E547" s="10">
        <v>45672.765289351853</v>
      </c>
      <c r="F547" s="10">
        <v>45672.799803240741</v>
      </c>
      <c r="G547" s="11">
        <f t="shared" si="16"/>
        <v>3.9236111115314998E-3</v>
      </c>
      <c r="H547" s="11">
        <f t="shared" si="17"/>
        <v>3.8437499999417923E-2</v>
      </c>
    </row>
    <row r="548" spans="1:8" x14ac:dyDescent="0.25">
      <c r="A548" s="3" t="s">
        <v>1819</v>
      </c>
      <c r="B548" s="3" t="s">
        <v>3204</v>
      </c>
      <c r="C548" s="10">
        <v>45672.763425925928</v>
      </c>
      <c r="D548" s="3" t="s">
        <v>1820</v>
      </c>
      <c r="E548" s="10">
        <v>45673.428900462961</v>
      </c>
      <c r="F548" s="10">
        <v>45673.450127314813</v>
      </c>
      <c r="G548" s="11">
        <f t="shared" si="16"/>
        <v>0.66547453703242354</v>
      </c>
      <c r="H548" s="11">
        <f t="shared" si="17"/>
        <v>0.68670138888410293</v>
      </c>
    </row>
    <row r="549" spans="1:8" x14ac:dyDescent="0.25">
      <c r="A549" s="3" t="s">
        <v>1822</v>
      </c>
      <c r="B549" s="3" t="s">
        <v>3194</v>
      </c>
      <c r="C549" s="10">
        <v>45672.765393518523</v>
      </c>
      <c r="D549" s="3" t="s">
        <v>1823</v>
      </c>
      <c r="E549" s="10">
        <v>45673.327187499999</v>
      </c>
      <c r="F549" s="10">
        <v>45673.357951388891</v>
      </c>
      <c r="G549" s="11">
        <f t="shared" si="16"/>
        <v>0.56179398147651227</v>
      </c>
      <c r="H549" s="11">
        <f t="shared" si="17"/>
        <v>0.59255787036818219</v>
      </c>
    </row>
    <row r="550" spans="1:8" x14ac:dyDescent="0.25">
      <c r="A550" s="3" t="s">
        <v>1825</v>
      </c>
      <c r="B550" s="3" t="s">
        <v>3203</v>
      </c>
      <c r="C550" s="10">
        <v>45672.766585648147</v>
      </c>
      <c r="D550" s="3" t="s">
        <v>1826</v>
      </c>
      <c r="E550" s="10">
        <v>45673.124016203707</v>
      </c>
      <c r="F550" s="10">
        <v>45673.150740740741</v>
      </c>
      <c r="G550" s="11">
        <f t="shared" si="16"/>
        <v>0.35743055555940373</v>
      </c>
      <c r="H550" s="11">
        <f t="shared" si="17"/>
        <v>0.3841550925935735</v>
      </c>
    </row>
    <row r="551" spans="1:8" x14ac:dyDescent="0.25">
      <c r="A551" s="3" t="s">
        <v>1828</v>
      </c>
      <c r="B551" s="3" t="s">
        <v>3198</v>
      </c>
      <c r="C551" s="10">
        <v>45672.768078703702</v>
      </c>
      <c r="D551" s="3" t="s">
        <v>1801</v>
      </c>
      <c r="E551" s="10">
        <v>45674.135879629634</v>
      </c>
      <c r="F551" s="10">
        <v>45674.371041666673</v>
      </c>
      <c r="G551" s="11">
        <f t="shared" si="16"/>
        <v>1.3678009259310784</v>
      </c>
      <c r="H551" s="11">
        <f t="shared" si="17"/>
        <v>1.6029629629701958</v>
      </c>
    </row>
    <row r="552" spans="1:8" x14ac:dyDescent="0.25">
      <c r="A552" s="3" t="s">
        <v>1830</v>
      </c>
      <c r="B552" s="3" t="s">
        <v>3200</v>
      </c>
      <c r="C552" s="10">
        <v>45672.769907407397</v>
      </c>
      <c r="D552" s="3" t="s">
        <v>1831</v>
      </c>
      <c r="E552" s="10">
        <v>45674.312847222223</v>
      </c>
      <c r="F552" s="10">
        <v>45674.463449074072</v>
      </c>
      <c r="G552" s="11">
        <f t="shared" si="16"/>
        <v>1.5429398148262408</v>
      </c>
      <c r="H552" s="11">
        <f t="shared" si="17"/>
        <v>1.6935416666747187</v>
      </c>
    </row>
    <row r="553" spans="1:8" x14ac:dyDescent="0.25">
      <c r="A553" s="3" t="s">
        <v>1833</v>
      </c>
      <c r="B553" s="3" t="s">
        <v>3199</v>
      </c>
      <c r="C553" s="10">
        <v>45672.771851851852</v>
      </c>
      <c r="D553" s="3" t="s">
        <v>1762</v>
      </c>
      <c r="E553" s="10">
        <v>45672.776562500003</v>
      </c>
      <c r="F553" s="10">
        <v>45672.808692129627</v>
      </c>
      <c r="G553" s="11">
        <f t="shared" si="16"/>
        <v>4.7106481506489217E-3</v>
      </c>
      <c r="H553" s="11">
        <f t="shared" si="17"/>
        <v>3.6840277774899732E-2</v>
      </c>
    </row>
    <row r="554" spans="1:8" x14ac:dyDescent="0.25">
      <c r="A554" s="3" t="s">
        <v>1835</v>
      </c>
      <c r="B554" s="3" t="s">
        <v>3205</v>
      </c>
      <c r="C554" s="10">
        <v>45672.773182870369</v>
      </c>
      <c r="D554" s="3" t="s">
        <v>1836</v>
      </c>
      <c r="E554" s="10">
        <v>45673.428900462961</v>
      </c>
      <c r="F554" s="10">
        <v>45673.474745370368</v>
      </c>
      <c r="G554" s="11">
        <f t="shared" si="16"/>
        <v>0.65571759259182727</v>
      </c>
      <c r="H554" s="11">
        <f t="shared" si="17"/>
        <v>0.70156249999854481</v>
      </c>
    </row>
    <row r="555" spans="1:8" x14ac:dyDescent="0.25">
      <c r="A555" s="3" t="s">
        <v>1838</v>
      </c>
      <c r="B555" s="3" t="s">
        <v>3203</v>
      </c>
      <c r="C555" s="10">
        <v>45673.121620370373</v>
      </c>
      <c r="D555" s="3" t="s">
        <v>1826</v>
      </c>
      <c r="E555" s="10">
        <v>45673.124016203707</v>
      </c>
      <c r="F555" s="10">
        <v>45673.150740740741</v>
      </c>
      <c r="G555" s="11">
        <f t="shared" si="16"/>
        <v>2.3958333331393078E-3</v>
      </c>
      <c r="H555" s="11">
        <f t="shared" si="17"/>
        <v>2.9120370367309079E-2</v>
      </c>
    </row>
    <row r="556" spans="1:8" x14ac:dyDescent="0.25">
      <c r="A556" s="3" t="s">
        <v>1840</v>
      </c>
      <c r="B556" s="3" t="s">
        <v>3195</v>
      </c>
      <c r="C556" s="10">
        <v>45673.123402777783</v>
      </c>
      <c r="D556" s="3" t="s">
        <v>1712</v>
      </c>
      <c r="E556" s="10">
        <v>45673.340532407397</v>
      </c>
      <c r="F556" s="10">
        <v>45673.360937500001</v>
      </c>
      <c r="G556" s="11">
        <f t="shared" si="16"/>
        <v>0.21712962961464655</v>
      </c>
      <c r="H556" s="11">
        <f t="shared" si="17"/>
        <v>0.23753472221869742</v>
      </c>
    </row>
    <row r="557" spans="1:8" x14ac:dyDescent="0.25">
      <c r="A557" s="3" t="s">
        <v>1842</v>
      </c>
      <c r="B557" s="3" t="s">
        <v>3199</v>
      </c>
      <c r="C557" s="10">
        <v>45673.1253125</v>
      </c>
      <c r="D557" s="3" t="s">
        <v>1843</v>
      </c>
      <c r="E557" s="10">
        <v>45674.400000000001</v>
      </c>
      <c r="F557" s="10">
        <v>45675.329074074078</v>
      </c>
      <c r="G557" s="11">
        <f t="shared" si="16"/>
        <v>1.2746875000011642</v>
      </c>
      <c r="H557" s="11">
        <f t="shared" si="17"/>
        <v>2.2037615740773617</v>
      </c>
    </row>
    <row r="558" spans="1:8" x14ac:dyDescent="0.25">
      <c r="A558" s="3" t="s">
        <v>1845</v>
      </c>
      <c r="B558" s="3" t="s">
        <v>3203</v>
      </c>
      <c r="C558" s="10">
        <v>45673.274606481478</v>
      </c>
      <c r="D558" s="3" t="s">
        <v>1846</v>
      </c>
      <c r="E558" s="10">
        <v>45673.276979166672</v>
      </c>
      <c r="F558" s="10">
        <v>45673.330567129633</v>
      </c>
      <c r="G558" s="11">
        <f t="shared" si="16"/>
        <v>2.3726851941319183E-3</v>
      </c>
      <c r="H558" s="11">
        <f t="shared" si="17"/>
        <v>5.5960648154723458E-2</v>
      </c>
    </row>
    <row r="559" spans="1:8" x14ac:dyDescent="0.25">
      <c r="A559" s="3" t="s">
        <v>1872</v>
      </c>
      <c r="B559" s="3" t="s">
        <v>3197</v>
      </c>
      <c r="C559" s="10">
        <v>45673.309699074067</v>
      </c>
      <c r="D559" s="3" t="s">
        <v>1873</v>
      </c>
      <c r="E559" s="10">
        <v>45673.312071759261</v>
      </c>
      <c r="F559" s="10">
        <v>45673.335625</v>
      </c>
      <c r="G559" s="11">
        <f t="shared" si="16"/>
        <v>2.3726851941319183E-3</v>
      </c>
      <c r="H559" s="11">
        <f t="shared" si="17"/>
        <v>2.5925925932824612E-2</v>
      </c>
    </row>
    <row r="560" spans="1:8" x14ac:dyDescent="0.25">
      <c r="A560" s="3" t="s">
        <v>1848</v>
      </c>
      <c r="B560" s="3" t="s">
        <v>3206</v>
      </c>
      <c r="C560" s="10">
        <v>45673.321111111109</v>
      </c>
      <c r="D560" s="3" t="s">
        <v>1849</v>
      </c>
      <c r="E560" s="10">
        <v>45673.86173611111</v>
      </c>
      <c r="F560" s="10">
        <v>45674.346064814818</v>
      </c>
      <c r="G560" s="11">
        <f t="shared" si="16"/>
        <v>0.54062500000145519</v>
      </c>
      <c r="H560" s="11">
        <f t="shared" si="17"/>
        <v>1.0249537037088885</v>
      </c>
    </row>
    <row r="561" spans="1:8" x14ac:dyDescent="0.25">
      <c r="A561" s="3" t="s">
        <v>1851</v>
      </c>
      <c r="B561" s="3" t="s">
        <v>3194</v>
      </c>
      <c r="C561" s="10">
        <v>45673.323263888888</v>
      </c>
      <c r="D561" s="3" t="s">
        <v>1823</v>
      </c>
      <c r="E561" s="10">
        <v>45673.327187499999</v>
      </c>
      <c r="F561" s="10">
        <v>45673.357951388891</v>
      </c>
      <c r="G561" s="11">
        <f t="shared" si="16"/>
        <v>3.9236111115314998E-3</v>
      </c>
      <c r="H561" s="11">
        <f t="shared" si="17"/>
        <v>3.4687500003201421E-2</v>
      </c>
    </row>
    <row r="562" spans="1:8" x14ac:dyDescent="0.25">
      <c r="A562" s="3" t="s">
        <v>1853</v>
      </c>
      <c r="B562" s="3" t="s">
        <v>3199</v>
      </c>
      <c r="C562" s="10">
        <v>45673.325173611112</v>
      </c>
      <c r="D562" s="3" t="s">
        <v>1843</v>
      </c>
      <c r="E562" s="10">
        <v>45674.400000000001</v>
      </c>
      <c r="F562" s="10">
        <v>45675.329074074078</v>
      </c>
      <c r="G562" s="11">
        <f t="shared" si="16"/>
        <v>1.0748263888890506</v>
      </c>
      <c r="H562" s="11">
        <f t="shared" si="17"/>
        <v>2.0039004629652482</v>
      </c>
    </row>
    <row r="563" spans="1:8" x14ac:dyDescent="0.25">
      <c r="A563" s="3" t="s">
        <v>1855</v>
      </c>
      <c r="B563" s="3" t="s">
        <v>3193</v>
      </c>
      <c r="C563" s="10">
        <v>45673.326458333337</v>
      </c>
      <c r="D563" s="3" t="s">
        <v>1686</v>
      </c>
      <c r="E563" s="10">
        <v>45673.43310185185</v>
      </c>
      <c r="F563" s="10">
        <v>45673.599432870367</v>
      </c>
      <c r="G563" s="11">
        <f t="shared" si="16"/>
        <v>0.10664351851301035</v>
      </c>
      <c r="H563" s="11">
        <f t="shared" si="17"/>
        <v>0.27297453703067731</v>
      </c>
    </row>
    <row r="564" spans="1:8" x14ac:dyDescent="0.25">
      <c r="A564" s="3" t="s">
        <v>1857</v>
      </c>
      <c r="B564" s="3" t="s">
        <v>3205</v>
      </c>
      <c r="C564" s="10">
        <v>45673.32775462963</v>
      </c>
      <c r="D564" s="3" t="s">
        <v>1836</v>
      </c>
      <c r="E564" s="10">
        <v>45673.428900462961</v>
      </c>
      <c r="F564" s="10">
        <v>45673.474745370368</v>
      </c>
      <c r="G564" s="11">
        <f t="shared" si="16"/>
        <v>0.10114583333051996</v>
      </c>
      <c r="H564" s="11">
        <f t="shared" si="17"/>
        <v>0.1469907407372375</v>
      </c>
    </row>
    <row r="565" spans="1:8" x14ac:dyDescent="0.25">
      <c r="A565" s="3" t="s">
        <v>1859</v>
      </c>
      <c r="B565" s="3" t="s">
        <v>3193</v>
      </c>
      <c r="C565" s="10">
        <v>45673.329108796293</v>
      </c>
      <c r="D565" s="3" t="s">
        <v>1686</v>
      </c>
      <c r="E565" s="10">
        <v>45673.43310185185</v>
      </c>
      <c r="F565" s="10">
        <v>45673.599432870367</v>
      </c>
      <c r="G565" s="11">
        <f t="shared" si="16"/>
        <v>0.10399305555620231</v>
      </c>
      <c r="H565" s="11">
        <f t="shared" si="17"/>
        <v>0.27032407407386927</v>
      </c>
    </row>
    <row r="566" spans="1:8" x14ac:dyDescent="0.25">
      <c r="A566" s="3" t="s">
        <v>1861</v>
      </c>
      <c r="B566" s="3" t="s">
        <v>3204</v>
      </c>
      <c r="C566" s="10">
        <v>45673.331157407411</v>
      </c>
      <c r="D566" s="3" t="s">
        <v>1820</v>
      </c>
      <c r="E566" s="10">
        <v>45673.428900462961</v>
      </c>
      <c r="F566" s="10">
        <v>45673.450127314813</v>
      </c>
      <c r="G566" s="11">
        <f t="shared" si="16"/>
        <v>9.7743055550381541E-2</v>
      </c>
      <c r="H566" s="11">
        <f t="shared" si="17"/>
        <v>0.11896990740206093</v>
      </c>
    </row>
    <row r="567" spans="1:8" x14ac:dyDescent="0.25">
      <c r="A567" s="3" t="s">
        <v>1863</v>
      </c>
      <c r="B567" s="3" t="s">
        <v>3200</v>
      </c>
      <c r="C567" s="10">
        <v>45673.332916666674</v>
      </c>
      <c r="D567" s="3" t="s">
        <v>1831</v>
      </c>
      <c r="E567" s="10">
        <v>45674.312847222223</v>
      </c>
      <c r="F567" s="10">
        <v>45674.463449074072</v>
      </c>
      <c r="G567" s="11">
        <f t="shared" si="16"/>
        <v>0.97993055554979946</v>
      </c>
      <c r="H567" s="11">
        <f t="shared" si="17"/>
        <v>1.1305324073982774</v>
      </c>
    </row>
    <row r="568" spans="1:8" x14ac:dyDescent="0.25">
      <c r="A568" s="3" t="s">
        <v>1865</v>
      </c>
      <c r="B568" s="3" t="s">
        <v>3196</v>
      </c>
      <c r="C568" s="10">
        <v>45673.334837962961</v>
      </c>
      <c r="D568" s="3" t="s">
        <v>1866</v>
      </c>
      <c r="E568" s="10">
        <v>45673.748645833337</v>
      </c>
      <c r="F568" s="10">
        <v>45673.884212962963</v>
      </c>
      <c r="G568" s="11">
        <f t="shared" si="16"/>
        <v>0.41380787037633127</v>
      </c>
      <c r="H568" s="11">
        <f t="shared" si="17"/>
        <v>0.54937500000232831</v>
      </c>
    </row>
    <row r="569" spans="1:8" x14ac:dyDescent="0.25">
      <c r="A569" s="3" t="s">
        <v>1868</v>
      </c>
      <c r="B569" s="3" t="s">
        <v>3195</v>
      </c>
      <c r="C569" s="10">
        <v>45673.336608796293</v>
      </c>
      <c r="D569" s="3" t="s">
        <v>1712</v>
      </c>
      <c r="E569" s="10">
        <v>45673.340532407397</v>
      </c>
      <c r="F569" s="10">
        <v>45673.360937500001</v>
      </c>
      <c r="G569" s="11">
        <f t="shared" si="16"/>
        <v>3.9236111042555422E-3</v>
      </c>
      <c r="H569" s="11">
        <f t="shared" si="17"/>
        <v>2.4328703708306421E-2</v>
      </c>
    </row>
    <row r="570" spans="1:8" x14ac:dyDescent="0.25">
      <c r="A570" s="3" t="s">
        <v>1870</v>
      </c>
      <c r="B570" s="3" t="s">
        <v>3204</v>
      </c>
      <c r="C570" s="10">
        <v>45673.33865740741</v>
      </c>
      <c r="D570" s="3" t="s">
        <v>1820</v>
      </c>
      <c r="E570" s="10">
        <v>45673.428900462961</v>
      </c>
      <c r="F570" s="10">
        <v>45673.450127314813</v>
      </c>
      <c r="G570" s="11">
        <f t="shared" si="16"/>
        <v>9.024305555067258E-2</v>
      </c>
      <c r="H570" s="11">
        <f t="shared" si="17"/>
        <v>0.11146990740235196</v>
      </c>
    </row>
    <row r="571" spans="1:8" x14ac:dyDescent="0.25">
      <c r="A571" s="3" t="s">
        <v>1875</v>
      </c>
      <c r="B571" s="3" t="s">
        <v>3203</v>
      </c>
      <c r="C571" s="10">
        <v>45673.341539351852</v>
      </c>
      <c r="D571" s="3" t="s">
        <v>1876</v>
      </c>
      <c r="E571" s="10">
        <v>45673.343935185178</v>
      </c>
      <c r="F571" s="10">
        <v>45673.415902777779</v>
      </c>
      <c r="G571" s="11">
        <f t="shared" si="16"/>
        <v>2.3958333258633502E-3</v>
      </c>
      <c r="H571" s="11">
        <f t="shared" si="17"/>
        <v>7.4363425927003846E-2</v>
      </c>
    </row>
    <row r="572" spans="1:8" x14ac:dyDescent="0.25">
      <c r="A572" s="3" t="s">
        <v>1898</v>
      </c>
      <c r="B572" s="3" t="s">
        <v>3195</v>
      </c>
      <c r="C572" s="10">
        <v>45673.388194444437</v>
      </c>
      <c r="D572" s="3" t="s">
        <v>1899</v>
      </c>
      <c r="E572" s="10">
        <v>45673.390555555547</v>
      </c>
      <c r="F572" s="10">
        <v>45673.42869212963</v>
      </c>
      <c r="G572" s="11">
        <f t="shared" si="16"/>
        <v>2.3611111100763083E-3</v>
      </c>
      <c r="H572" s="11">
        <f t="shared" si="17"/>
        <v>4.0497685193258803E-2</v>
      </c>
    </row>
    <row r="573" spans="1:8" x14ac:dyDescent="0.25">
      <c r="A573" s="3" t="s">
        <v>1901</v>
      </c>
      <c r="B573" s="3" t="s">
        <v>3197</v>
      </c>
      <c r="C573" s="10">
        <v>45673.390497685177</v>
      </c>
      <c r="D573" s="3" t="s">
        <v>1902</v>
      </c>
      <c r="E573" s="10">
        <v>45673.39266203704</v>
      </c>
      <c r="F573" s="10">
        <v>45673.426620370366</v>
      </c>
      <c r="G573" s="11">
        <f t="shared" si="16"/>
        <v>2.1643518630298786E-3</v>
      </c>
      <c r="H573" s="11">
        <f t="shared" si="17"/>
        <v>3.6122685189184267E-2</v>
      </c>
    </row>
    <row r="574" spans="1:8" x14ac:dyDescent="0.25">
      <c r="A574" s="3" t="s">
        <v>1878</v>
      </c>
      <c r="B574" s="3" t="s">
        <v>3206</v>
      </c>
      <c r="C574" s="10">
        <v>45673.396655092591</v>
      </c>
      <c r="D574" s="3" t="s">
        <v>1849</v>
      </c>
      <c r="E574" s="10">
        <v>45673.86173611111</v>
      </c>
      <c r="F574" s="10">
        <v>45674.346064814818</v>
      </c>
      <c r="G574" s="11">
        <f t="shared" si="16"/>
        <v>0.46508101851941319</v>
      </c>
      <c r="H574" s="11">
        <f t="shared" si="17"/>
        <v>0.9494097222268465</v>
      </c>
    </row>
    <row r="575" spans="1:8" x14ac:dyDescent="0.25">
      <c r="A575" s="3" t="s">
        <v>1880</v>
      </c>
      <c r="B575" s="3" t="s">
        <v>3202</v>
      </c>
      <c r="C575" s="10">
        <v>45673.398043981477</v>
      </c>
      <c r="D575" s="3" t="s">
        <v>1735</v>
      </c>
      <c r="E575" s="10">
        <v>45677.356562499997</v>
      </c>
      <c r="F575" s="10">
        <v>45677.742604166669</v>
      </c>
      <c r="G575" s="11">
        <f t="shared" si="16"/>
        <v>3.9585185185205773</v>
      </c>
      <c r="H575" s="11">
        <f t="shared" si="17"/>
        <v>4.3445601851926767</v>
      </c>
    </row>
    <row r="576" spans="1:8" x14ac:dyDescent="0.25">
      <c r="A576" s="3" t="s">
        <v>1882</v>
      </c>
      <c r="B576" s="3" t="s">
        <v>3201</v>
      </c>
      <c r="C576" s="10">
        <v>45673.399791666663</v>
      </c>
      <c r="D576" s="3" t="s">
        <v>1789</v>
      </c>
      <c r="E576" s="10">
        <v>45674.346782407411</v>
      </c>
      <c r="F576" s="10">
        <v>45674.930115740739</v>
      </c>
      <c r="G576" s="11">
        <f t="shared" si="16"/>
        <v>0.94699074074742384</v>
      </c>
      <c r="H576" s="11">
        <f t="shared" si="17"/>
        <v>1.5303240740759065</v>
      </c>
    </row>
    <row r="577" spans="1:8" x14ac:dyDescent="0.25">
      <c r="A577" s="3" t="s">
        <v>1884</v>
      </c>
      <c r="B577" s="3" t="s">
        <v>3196</v>
      </c>
      <c r="C577" s="10">
        <v>45673.401724537027</v>
      </c>
      <c r="D577" s="3" t="s">
        <v>1866</v>
      </c>
      <c r="E577" s="10">
        <v>45673.748645833337</v>
      </c>
      <c r="F577" s="10">
        <v>45673.884212962963</v>
      </c>
      <c r="G577" s="11">
        <f t="shared" si="16"/>
        <v>0.34692129631002899</v>
      </c>
      <c r="H577" s="11">
        <f t="shared" si="17"/>
        <v>0.48248842593602603</v>
      </c>
    </row>
    <row r="578" spans="1:8" x14ac:dyDescent="0.25">
      <c r="A578" s="3" t="s">
        <v>1886</v>
      </c>
      <c r="B578" s="3" t="s">
        <v>3204</v>
      </c>
      <c r="C578" s="10">
        <v>45673.403773148151</v>
      </c>
      <c r="D578" s="3" t="s">
        <v>1820</v>
      </c>
      <c r="E578" s="10">
        <v>45673.428900462961</v>
      </c>
      <c r="F578" s="10">
        <v>45673.450127314813</v>
      </c>
      <c r="G578" s="11">
        <f t="shared" ref="G578:G641" si="18">IF(AND(ISNUMBER(C578),ISNUMBER(E578)),(E578-C578),"")</f>
        <v>2.512731480965158E-2</v>
      </c>
      <c r="H578" s="11">
        <f t="shared" ref="H578:H641" si="19">IF(AND(ISNUMBER(C578),ISNUMBER(F578)),(F578-C578),"")</f>
        <v>4.6354166661330964E-2</v>
      </c>
    </row>
    <row r="579" spans="1:8" x14ac:dyDescent="0.25">
      <c r="A579" s="3" t="s">
        <v>1888</v>
      </c>
      <c r="B579" s="3" t="s">
        <v>3205</v>
      </c>
      <c r="C579" s="10">
        <v>45673.405115740738</v>
      </c>
      <c r="D579" s="3" t="s">
        <v>1836</v>
      </c>
      <c r="E579" s="10">
        <v>45673.428900462961</v>
      </c>
      <c r="F579" s="10">
        <v>45673.474745370368</v>
      </c>
      <c r="G579" s="11">
        <f t="shared" si="18"/>
        <v>2.3784722223354038E-2</v>
      </c>
      <c r="H579" s="11">
        <f t="shared" si="19"/>
        <v>6.9629629630071577E-2</v>
      </c>
    </row>
    <row r="580" spans="1:8" x14ac:dyDescent="0.25">
      <c r="A580" s="3" t="s">
        <v>1890</v>
      </c>
      <c r="B580" s="3" t="s">
        <v>3199</v>
      </c>
      <c r="C580" s="10">
        <v>45673.407025462962</v>
      </c>
      <c r="D580" s="3" t="s">
        <v>1843</v>
      </c>
      <c r="E580" s="10">
        <v>45674.400000000001</v>
      </c>
      <c r="F580" s="10">
        <v>45675.329074074078</v>
      </c>
      <c r="G580" s="11">
        <f t="shared" si="18"/>
        <v>0.99297453703911742</v>
      </c>
      <c r="H580" s="11">
        <f t="shared" si="19"/>
        <v>1.922048611115315</v>
      </c>
    </row>
    <row r="581" spans="1:8" x14ac:dyDescent="0.25">
      <c r="A581" s="3" t="s">
        <v>1892</v>
      </c>
      <c r="B581" s="3" t="s">
        <v>3198</v>
      </c>
      <c r="C581" s="10">
        <v>45673.408541666657</v>
      </c>
      <c r="D581" s="3" t="s">
        <v>1801</v>
      </c>
      <c r="E581" s="10">
        <v>45674.135879629634</v>
      </c>
      <c r="F581" s="10">
        <v>45674.371041666673</v>
      </c>
      <c r="G581" s="11">
        <f t="shared" si="18"/>
        <v>0.72733796297688968</v>
      </c>
      <c r="H581" s="11">
        <f t="shared" si="19"/>
        <v>0.96250000001600711</v>
      </c>
    </row>
    <row r="582" spans="1:8" x14ac:dyDescent="0.25">
      <c r="A582" s="3" t="s">
        <v>1894</v>
      </c>
      <c r="B582" s="3" t="s">
        <v>3193</v>
      </c>
      <c r="C582" s="10">
        <v>45673.409918981481</v>
      </c>
      <c r="D582" s="3" t="s">
        <v>1686</v>
      </c>
      <c r="E582" s="10">
        <v>45673.43310185185</v>
      </c>
      <c r="F582" s="10">
        <v>45673.599432870367</v>
      </c>
      <c r="G582" s="11">
        <f t="shared" si="18"/>
        <v>2.3182870369055308E-2</v>
      </c>
      <c r="H582" s="11">
        <f t="shared" si="19"/>
        <v>0.18951388888672227</v>
      </c>
    </row>
    <row r="583" spans="1:8" x14ac:dyDescent="0.25">
      <c r="A583" s="3" t="s">
        <v>1896</v>
      </c>
      <c r="B583" s="3" t="s">
        <v>3193</v>
      </c>
      <c r="C583" s="10">
        <v>45673.411550925928</v>
      </c>
      <c r="D583" s="3" t="s">
        <v>1686</v>
      </c>
      <c r="E583" s="10">
        <v>45673.43310185185</v>
      </c>
      <c r="F583" s="10">
        <v>45673.599432870367</v>
      </c>
      <c r="G583" s="11">
        <f t="shared" si="18"/>
        <v>2.1550925921474118E-2</v>
      </c>
      <c r="H583" s="11">
        <f t="shared" si="19"/>
        <v>0.18788194443914108</v>
      </c>
    </row>
    <row r="584" spans="1:8" x14ac:dyDescent="0.25">
      <c r="A584" s="3" t="s">
        <v>1904</v>
      </c>
      <c r="B584" s="3" t="s">
        <v>3203</v>
      </c>
      <c r="C584" s="10">
        <v>45673.452314814807</v>
      </c>
      <c r="D584" s="3" t="s">
        <v>1905</v>
      </c>
      <c r="E584" s="10">
        <v>45674.318541666667</v>
      </c>
      <c r="F584" s="10">
        <v>45674.683645833327</v>
      </c>
      <c r="G584" s="11">
        <f t="shared" si="18"/>
        <v>0.8662268518601195</v>
      </c>
      <c r="H584" s="11">
        <f t="shared" si="19"/>
        <v>1.2313310185199953</v>
      </c>
    </row>
    <row r="585" spans="1:8" x14ac:dyDescent="0.25">
      <c r="A585" s="3" t="s">
        <v>1907</v>
      </c>
      <c r="B585" s="3" t="s">
        <v>3195</v>
      </c>
      <c r="C585" s="10">
        <v>45673.454780092587</v>
      </c>
      <c r="D585" s="3" t="s">
        <v>1908</v>
      </c>
      <c r="E585" s="10">
        <v>45673.457175925927</v>
      </c>
      <c r="F585" s="10">
        <v>45673.676111111112</v>
      </c>
      <c r="G585" s="11">
        <f t="shared" si="18"/>
        <v>2.3958333404152654E-3</v>
      </c>
      <c r="H585" s="11">
        <f t="shared" si="19"/>
        <v>0.22133101852523396</v>
      </c>
    </row>
    <row r="586" spans="1:8" x14ac:dyDescent="0.25">
      <c r="A586" s="3" t="s">
        <v>1910</v>
      </c>
      <c r="B586" s="3" t="s">
        <v>3204</v>
      </c>
      <c r="C586" s="10">
        <v>45673.541388888887</v>
      </c>
      <c r="D586" s="3" t="s">
        <v>1911</v>
      </c>
      <c r="E586" s="10">
        <v>45673.54378472222</v>
      </c>
      <c r="F586" s="10">
        <v>45673.674004629633</v>
      </c>
      <c r="G586" s="11">
        <f t="shared" si="18"/>
        <v>2.3958333331393078E-3</v>
      </c>
      <c r="H586" s="11">
        <f t="shared" si="19"/>
        <v>0.13261574074567761</v>
      </c>
    </row>
    <row r="587" spans="1:8" x14ac:dyDescent="0.25">
      <c r="A587" s="3" t="s">
        <v>1913</v>
      </c>
      <c r="B587" s="3" t="s">
        <v>3193</v>
      </c>
      <c r="C587" s="10">
        <v>45673.614259259259</v>
      </c>
      <c r="D587" s="3" t="s">
        <v>1914</v>
      </c>
      <c r="E587" s="10">
        <v>45673.616655092592</v>
      </c>
      <c r="F587" s="10">
        <v>45673.696805555563</v>
      </c>
      <c r="G587" s="11">
        <f t="shared" si="18"/>
        <v>2.3958333331393078E-3</v>
      </c>
      <c r="H587" s="11">
        <f t="shared" si="19"/>
        <v>8.2546296303917188E-2</v>
      </c>
    </row>
    <row r="588" spans="1:8" x14ac:dyDescent="0.25">
      <c r="A588" s="3" t="s">
        <v>1916</v>
      </c>
      <c r="B588" s="3" t="s">
        <v>3196</v>
      </c>
      <c r="C588" s="10">
        <v>45673.630740740737</v>
      </c>
      <c r="D588" s="3" t="s">
        <v>1866</v>
      </c>
      <c r="E588" s="10">
        <v>45673.748645833337</v>
      </c>
      <c r="F588" s="10">
        <v>45673.884212962963</v>
      </c>
      <c r="G588" s="11">
        <f t="shared" si="18"/>
        <v>0.11790509260026738</v>
      </c>
      <c r="H588" s="11">
        <f t="shared" si="19"/>
        <v>0.25347222222626442</v>
      </c>
    </row>
    <row r="589" spans="1:8" x14ac:dyDescent="0.25">
      <c r="A589" s="3" t="s">
        <v>1918</v>
      </c>
      <c r="B589" s="3" t="s">
        <v>3193</v>
      </c>
      <c r="C589" s="10">
        <v>45673.632384259261</v>
      </c>
      <c r="D589" s="3" t="s">
        <v>1919</v>
      </c>
      <c r="E589" s="10">
        <v>45673.634560185194</v>
      </c>
      <c r="F589" s="10">
        <v>45673.71365740741</v>
      </c>
      <c r="G589" s="11">
        <f t="shared" si="18"/>
        <v>2.1759259325335734E-3</v>
      </c>
      <c r="H589" s="11">
        <f t="shared" si="19"/>
        <v>8.127314814919373E-2</v>
      </c>
    </row>
    <row r="590" spans="1:8" x14ac:dyDescent="0.25">
      <c r="A590" s="3" t="s">
        <v>1921</v>
      </c>
      <c r="B590" s="3" t="s">
        <v>3206</v>
      </c>
      <c r="C590" s="10">
        <v>45673.633993055562</v>
      </c>
      <c r="D590" s="3" t="s">
        <v>1849</v>
      </c>
      <c r="E590" s="10">
        <v>45673.86173611111</v>
      </c>
      <c r="F590" s="10">
        <v>45674.346064814818</v>
      </c>
      <c r="G590" s="11">
        <f t="shared" si="18"/>
        <v>0.2277430555477622</v>
      </c>
      <c r="H590" s="11">
        <f t="shared" si="19"/>
        <v>0.7120717592551955</v>
      </c>
    </row>
    <row r="591" spans="1:8" x14ac:dyDescent="0.25">
      <c r="A591" s="3" t="s">
        <v>1923</v>
      </c>
      <c r="B591" s="3" t="s">
        <v>3198</v>
      </c>
      <c r="C591" s="10">
        <v>45673.635497685187</v>
      </c>
      <c r="D591" s="3" t="s">
        <v>1801</v>
      </c>
      <c r="E591" s="10">
        <v>45674.135879629634</v>
      </c>
      <c r="F591" s="10">
        <v>45674.371041666673</v>
      </c>
      <c r="G591" s="11">
        <f t="shared" si="18"/>
        <v>0.50038194444641704</v>
      </c>
      <c r="H591" s="11">
        <f t="shared" si="19"/>
        <v>0.73554398148553446</v>
      </c>
    </row>
    <row r="592" spans="1:8" x14ac:dyDescent="0.25">
      <c r="A592" s="3" t="s">
        <v>1925</v>
      </c>
      <c r="B592" s="3" t="s">
        <v>3199</v>
      </c>
      <c r="C592" s="10">
        <v>45673.637418981481</v>
      </c>
      <c r="D592" s="3" t="s">
        <v>1843</v>
      </c>
      <c r="E592" s="10">
        <v>45674.400000000001</v>
      </c>
      <c r="F592" s="10">
        <v>45675.329074074078</v>
      </c>
      <c r="G592" s="11">
        <f t="shared" si="18"/>
        <v>0.76258101851999527</v>
      </c>
      <c r="H592" s="11">
        <f t="shared" si="19"/>
        <v>1.6916550925961928</v>
      </c>
    </row>
    <row r="593" spans="1:8" x14ac:dyDescent="0.25">
      <c r="A593" s="3" t="s">
        <v>1927</v>
      </c>
      <c r="B593" s="3" t="s">
        <v>3197</v>
      </c>
      <c r="C593" s="10">
        <v>45673.639374999999</v>
      </c>
      <c r="D593" s="3" t="s">
        <v>1928</v>
      </c>
      <c r="E593" s="10">
        <v>45674.201273148137</v>
      </c>
      <c r="F593" s="10">
        <v>45674.480694444443</v>
      </c>
      <c r="G593" s="11">
        <f t="shared" si="18"/>
        <v>0.56189814813842531</v>
      </c>
      <c r="H593" s="11">
        <f t="shared" si="19"/>
        <v>0.84131944444379769</v>
      </c>
    </row>
    <row r="594" spans="1:8" x14ac:dyDescent="0.25">
      <c r="A594" s="3" t="s">
        <v>1930</v>
      </c>
      <c r="B594" s="3" t="s">
        <v>3205</v>
      </c>
      <c r="C594" s="10">
        <v>45673.640752314823</v>
      </c>
      <c r="D594" s="3" t="s">
        <v>1931</v>
      </c>
      <c r="E594" s="10">
        <v>45673.860497685193</v>
      </c>
      <c r="F594" s="10">
        <v>45674.301064814812</v>
      </c>
      <c r="G594" s="11">
        <f t="shared" si="18"/>
        <v>0.21974537037021946</v>
      </c>
      <c r="H594" s="11">
        <f t="shared" si="19"/>
        <v>0.66031249998923158</v>
      </c>
    </row>
    <row r="595" spans="1:8" x14ac:dyDescent="0.25">
      <c r="A595" s="3" t="s">
        <v>1933</v>
      </c>
      <c r="B595" s="3" t="s">
        <v>3194</v>
      </c>
      <c r="C595" s="10">
        <v>45673.651435185187</v>
      </c>
      <c r="D595" s="3" t="s">
        <v>1934</v>
      </c>
      <c r="E595" s="10">
        <v>45673.685219907413</v>
      </c>
      <c r="F595" s="10">
        <v>45673.773576388892</v>
      </c>
      <c r="G595" s="11">
        <f t="shared" si="18"/>
        <v>3.3784722225391306E-2</v>
      </c>
      <c r="H595" s="11">
        <f t="shared" si="19"/>
        <v>0.12214120370481396</v>
      </c>
    </row>
    <row r="596" spans="1:8" x14ac:dyDescent="0.25">
      <c r="A596" s="3" t="s">
        <v>1936</v>
      </c>
      <c r="B596" s="3" t="s">
        <v>3203</v>
      </c>
      <c r="C596" s="10">
        <v>45673.679247685177</v>
      </c>
      <c r="D596" s="3" t="s">
        <v>1905</v>
      </c>
      <c r="E596" s="10">
        <v>45674.318541666667</v>
      </c>
      <c r="F596" s="10">
        <v>45674.683645833327</v>
      </c>
      <c r="G596" s="11">
        <f t="shared" si="18"/>
        <v>0.63929398149048211</v>
      </c>
      <c r="H596" s="11">
        <f t="shared" si="19"/>
        <v>1.0043981481503579</v>
      </c>
    </row>
    <row r="597" spans="1:8" x14ac:dyDescent="0.25">
      <c r="A597" s="3" t="s">
        <v>1938</v>
      </c>
      <c r="B597" s="3" t="s">
        <v>3194</v>
      </c>
      <c r="C597" s="10">
        <v>45673.681296296287</v>
      </c>
      <c r="D597" s="3" t="s">
        <v>1934</v>
      </c>
      <c r="E597" s="10">
        <v>45673.685219907413</v>
      </c>
      <c r="F597" s="10">
        <v>45673.773576388892</v>
      </c>
      <c r="G597" s="11">
        <f t="shared" si="18"/>
        <v>3.923611126083415E-3</v>
      </c>
      <c r="H597" s="11">
        <f t="shared" si="19"/>
        <v>9.228009260550607E-2</v>
      </c>
    </row>
    <row r="598" spans="1:8" x14ac:dyDescent="0.25">
      <c r="A598" s="3" t="s">
        <v>1940</v>
      </c>
      <c r="B598" s="3" t="s">
        <v>3205</v>
      </c>
      <c r="C598" s="10">
        <v>45673.742754629631</v>
      </c>
      <c r="D598" s="3" t="s">
        <v>1931</v>
      </c>
      <c r="E598" s="10">
        <v>45673.860497685193</v>
      </c>
      <c r="F598" s="10">
        <v>45674.301064814812</v>
      </c>
      <c r="G598" s="11">
        <f t="shared" si="18"/>
        <v>0.11774305556173204</v>
      </c>
      <c r="H598" s="11">
        <f t="shared" si="19"/>
        <v>0.55831018518074416</v>
      </c>
    </row>
    <row r="599" spans="1:8" x14ac:dyDescent="0.25">
      <c r="A599" s="3" t="s">
        <v>1942</v>
      </c>
      <c r="B599" s="3" t="s">
        <v>3196</v>
      </c>
      <c r="C599" s="10">
        <v>45673.744722222233</v>
      </c>
      <c r="D599" s="3" t="s">
        <v>1866</v>
      </c>
      <c r="E599" s="10">
        <v>45673.748645833337</v>
      </c>
      <c r="F599" s="10">
        <v>45673.884212962963</v>
      </c>
      <c r="G599" s="11">
        <f t="shared" si="18"/>
        <v>3.9236111042555422E-3</v>
      </c>
      <c r="H599" s="11">
        <f t="shared" si="19"/>
        <v>0.13949074073025258</v>
      </c>
    </row>
    <row r="600" spans="1:8" x14ac:dyDescent="0.25">
      <c r="A600" s="3" t="s">
        <v>1944</v>
      </c>
      <c r="B600" s="3" t="s">
        <v>3193</v>
      </c>
      <c r="C600" s="10">
        <v>45673.746828703697</v>
      </c>
      <c r="D600" s="3" t="s">
        <v>1945</v>
      </c>
      <c r="E600" s="10">
        <v>45673.748993055553</v>
      </c>
      <c r="F600" s="10">
        <v>45674.199791666673</v>
      </c>
      <c r="G600" s="11">
        <f t="shared" si="18"/>
        <v>2.164351855753921E-3</v>
      </c>
      <c r="H600" s="11">
        <f t="shared" si="19"/>
        <v>0.45296296297601657</v>
      </c>
    </row>
    <row r="601" spans="1:8" x14ac:dyDescent="0.25">
      <c r="A601" s="3" t="s">
        <v>1947</v>
      </c>
      <c r="B601" s="3" t="s">
        <v>3197</v>
      </c>
      <c r="C601" s="10">
        <v>45673.748842592591</v>
      </c>
      <c r="D601" s="3" t="s">
        <v>1928</v>
      </c>
      <c r="E601" s="10">
        <v>45674.201273148137</v>
      </c>
      <c r="F601" s="10">
        <v>45674.480694444443</v>
      </c>
      <c r="G601" s="11">
        <f t="shared" si="18"/>
        <v>0.45243055554601597</v>
      </c>
      <c r="H601" s="11">
        <f t="shared" si="19"/>
        <v>0.73185185185138835</v>
      </c>
    </row>
    <row r="602" spans="1:8" x14ac:dyDescent="0.25">
      <c r="A602" s="3" t="s">
        <v>1949</v>
      </c>
      <c r="B602" s="3" t="s">
        <v>3193</v>
      </c>
      <c r="C602" s="10">
        <v>45673.750127314823</v>
      </c>
      <c r="D602" s="3" t="s">
        <v>1950</v>
      </c>
      <c r="E602" s="10">
        <v>45674.281944444447</v>
      </c>
      <c r="F602" s="10">
        <v>45674.452372685177</v>
      </c>
      <c r="G602" s="11">
        <f t="shared" si="18"/>
        <v>0.53181712962395977</v>
      </c>
      <c r="H602" s="11">
        <f t="shared" si="19"/>
        <v>0.70224537035392132</v>
      </c>
    </row>
    <row r="603" spans="1:8" x14ac:dyDescent="0.25">
      <c r="A603" s="3" t="s">
        <v>1952</v>
      </c>
      <c r="B603" s="3" t="s">
        <v>3202</v>
      </c>
      <c r="C603" s="10">
        <v>45673.849768518521</v>
      </c>
      <c r="D603" s="3" t="s">
        <v>1735</v>
      </c>
      <c r="E603" s="10">
        <v>45677.356562499997</v>
      </c>
      <c r="F603" s="10">
        <v>45677.742604166669</v>
      </c>
      <c r="G603" s="11">
        <f t="shared" si="18"/>
        <v>3.5067939814762212</v>
      </c>
      <c r="H603" s="11">
        <f t="shared" si="19"/>
        <v>3.8928356481483206</v>
      </c>
    </row>
    <row r="604" spans="1:8" x14ac:dyDescent="0.25">
      <c r="A604" s="3" t="s">
        <v>1954</v>
      </c>
      <c r="B604" s="3" t="s">
        <v>3204</v>
      </c>
      <c r="C604" s="10">
        <v>45673.852002314823</v>
      </c>
      <c r="D604" s="3" t="s">
        <v>1955</v>
      </c>
      <c r="E604" s="10">
        <v>45673.854398148149</v>
      </c>
      <c r="F604" s="10">
        <v>45674.219085648147</v>
      </c>
      <c r="G604" s="11">
        <f t="shared" si="18"/>
        <v>2.3958333258633502E-3</v>
      </c>
      <c r="H604" s="11">
        <f t="shared" si="19"/>
        <v>0.36708333332353504</v>
      </c>
    </row>
    <row r="605" spans="1:8" x14ac:dyDescent="0.25">
      <c r="A605" s="3" t="s">
        <v>1957</v>
      </c>
      <c r="B605" s="3" t="s">
        <v>3198</v>
      </c>
      <c r="C605" s="10">
        <v>45673.853518518517</v>
      </c>
      <c r="D605" s="3" t="s">
        <v>1801</v>
      </c>
      <c r="E605" s="10">
        <v>45674.135879629634</v>
      </c>
      <c r="F605" s="10">
        <v>45674.371041666673</v>
      </c>
      <c r="G605" s="11">
        <f t="shared" si="18"/>
        <v>0.28236111111618811</v>
      </c>
      <c r="H605" s="11">
        <f t="shared" si="19"/>
        <v>0.51752314815530553</v>
      </c>
    </row>
    <row r="606" spans="1:8" x14ac:dyDescent="0.25">
      <c r="A606" s="3" t="s">
        <v>1959</v>
      </c>
      <c r="B606" s="3" t="s">
        <v>3201</v>
      </c>
      <c r="C606" s="10">
        <v>45673.855266203696</v>
      </c>
      <c r="D606" s="3" t="s">
        <v>1789</v>
      </c>
      <c r="E606" s="10">
        <v>45674.346782407411</v>
      </c>
      <c r="F606" s="10">
        <v>45674.930115740739</v>
      </c>
      <c r="G606" s="11">
        <f t="shared" si="18"/>
        <v>0.49151620371412719</v>
      </c>
      <c r="H606" s="11">
        <f t="shared" si="19"/>
        <v>1.0748495370426099</v>
      </c>
    </row>
    <row r="607" spans="1:8" x14ac:dyDescent="0.25">
      <c r="A607" s="3" t="s">
        <v>1961</v>
      </c>
      <c r="B607" s="3" t="s">
        <v>3205</v>
      </c>
      <c r="C607" s="10">
        <v>45673.856574074067</v>
      </c>
      <c r="D607" s="3" t="s">
        <v>1931</v>
      </c>
      <c r="E607" s="10">
        <v>45673.860497685193</v>
      </c>
      <c r="F607" s="10">
        <v>45674.301064814812</v>
      </c>
      <c r="G607" s="11">
        <f t="shared" si="18"/>
        <v>3.923611126083415E-3</v>
      </c>
      <c r="H607" s="11">
        <f t="shared" si="19"/>
        <v>0.44449074074509554</v>
      </c>
    </row>
    <row r="608" spans="1:8" x14ac:dyDescent="0.25">
      <c r="A608" s="3" t="s">
        <v>1963</v>
      </c>
      <c r="B608" s="3" t="s">
        <v>3206</v>
      </c>
      <c r="C608" s="10">
        <v>45673.858194444438</v>
      </c>
      <c r="D608" s="3" t="s">
        <v>1849</v>
      </c>
      <c r="E608" s="10">
        <v>45673.86173611111</v>
      </c>
      <c r="F608" s="10">
        <v>45674.346064814818</v>
      </c>
      <c r="G608" s="11">
        <f t="shared" si="18"/>
        <v>3.54166667239042E-3</v>
      </c>
      <c r="H608" s="11">
        <f t="shared" si="19"/>
        <v>0.48787037037982373</v>
      </c>
    </row>
    <row r="609" spans="1:8" x14ac:dyDescent="0.25">
      <c r="A609" s="3" t="s">
        <v>1965</v>
      </c>
      <c r="B609" s="3" t="s">
        <v>3195</v>
      </c>
      <c r="C609" s="10">
        <v>45673.859930555547</v>
      </c>
      <c r="D609" s="3" t="s">
        <v>1966</v>
      </c>
      <c r="E609" s="10">
        <v>45674.130474537043</v>
      </c>
      <c r="F609" s="10">
        <v>45674.358657407407</v>
      </c>
      <c r="G609" s="11">
        <f t="shared" si="18"/>
        <v>0.27054398149630288</v>
      </c>
      <c r="H609" s="11">
        <f t="shared" si="19"/>
        <v>0.49872685185982846</v>
      </c>
    </row>
    <row r="610" spans="1:8" x14ac:dyDescent="0.25">
      <c r="A610" s="3" t="s">
        <v>1968</v>
      </c>
      <c r="B610" s="3" t="s">
        <v>3195</v>
      </c>
      <c r="C610" s="10">
        <v>45674.126550925917</v>
      </c>
      <c r="D610" s="3" t="s">
        <v>1966</v>
      </c>
      <c r="E610" s="10">
        <v>45674.130474537043</v>
      </c>
      <c r="F610" s="10">
        <v>45674.358657407407</v>
      </c>
      <c r="G610" s="11">
        <f t="shared" si="18"/>
        <v>3.923611126083415E-3</v>
      </c>
      <c r="H610" s="11">
        <f t="shared" si="19"/>
        <v>0.232106481489609</v>
      </c>
    </row>
    <row r="611" spans="1:8" x14ac:dyDescent="0.25">
      <c r="A611" s="3" t="s">
        <v>1970</v>
      </c>
      <c r="B611" s="3" t="s">
        <v>3199</v>
      </c>
      <c r="C611" s="10">
        <v>45674.128472222219</v>
      </c>
      <c r="D611" s="3" t="s">
        <v>1843</v>
      </c>
      <c r="E611" s="10">
        <v>45674.400000000001</v>
      </c>
      <c r="F611" s="10">
        <v>45675.329074074078</v>
      </c>
      <c r="G611" s="11">
        <f t="shared" si="18"/>
        <v>0.27152777778246673</v>
      </c>
      <c r="H611" s="11">
        <f t="shared" si="19"/>
        <v>1.2006018518586643</v>
      </c>
    </row>
    <row r="612" spans="1:8" x14ac:dyDescent="0.25">
      <c r="A612" s="3" t="s">
        <v>1972</v>
      </c>
      <c r="B612" s="3" t="s">
        <v>3194</v>
      </c>
      <c r="C612" s="10">
        <v>45674.13040509259</v>
      </c>
      <c r="D612" s="3" t="s">
        <v>1973</v>
      </c>
      <c r="E612" s="10">
        <v>45674.328287037039</v>
      </c>
      <c r="F612" s="10">
        <v>45674.766215277778</v>
      </c>
      <c r="G612" s="11">
        <f t="shared" si="18"/>
        <v>0.19788194444845431</v>
      </c>
      <c r="H612" s="11">
        <f t="shared" si="19"/>
        <v>0.63581018518743804</v>
      </c>
    </row>
    <row r="613" spans="1:8" x14ac:dyDescent="0.25">
      <c r="A613" s="3" t="s">
        <v>1975</v>
      </c>
      <c r="B613" s="3" t="s">
        <v>3198</v>
      </c>
      <c r="C613" s="10">
        <v>45674.131956018522</v>
      </c>
      <c r="D613" s="3" t="s">
        <v>1801</v>
      </c>
      <c r="E613" s="10">
        <v>45674.135879629634</v>
      </c>
      <c r="F613" s="10">
        <v>45674.371041666673</v>
      </c>
      <c r="G613" s="11">
        <f t="shared" si="18"/>
        <v>3.9236111115314998E-3</v>
      </c>
      <c r="H613" s="11">
        <f t="shared" si="19"/>
        <v>0.23908564815064892</v>
      </c>
    </row>
    <row r="614" spans="1:8" x14ac:dyDescent="0.25">
      <c r="A614" s="3" t="s">
        <v>1977</v>
      </c>
      <c r="B614" s="3" t="s">
        <v>3197</v>
      </c>
      <c r="C614" s="10">
        <v>45674.19771990741</v>
      </c>
      <c r="D614" s="3" t="s">
        <v>1928</v>
      </c>
      <c r="E614" s="10">
        <v>45674.201273148137</v>
      </c>
      <c r="F614" s="10">
        <v>45674.480694444443</v>
      </c>
      <c r="G614" s="11">
        <f t="shared" si="18"/>
        <v>3.5532407273421995E-3</v>
      </c>
      <c r="H614" s="11">
        <f t="shared" si="19"/>
        <v>0.28297453703271458</v>
      </c>
    </row>
    <row r="615" spans="1:8" x14ac:dyDescent="0.25">
      <c r="A615" s="3" t="s">
        <v>1979</v>
      </c>
      <c r="B615" s="3" t="s">
        <v>3193</v>
      </c>
      <c r="C615" s="10">
        <v>45674.279780092591</v>
      </c>
      <c r="D615" s="3" t="s">
        <v>1950</v>
      </c>
      <c r="E615" s="10">
        <v>45674.281944444447</v>
      </c>
      <c r="F615" s="10">
        <v>45674.452372685177</v>
      </c>
      <c r="G615" s="11">
        <f t="shared" si="18"/>
        <v>2.164351855753921E-3</v>
      </c>
      <c r="H615" s="11">
        <f t="shared" si="19"/>
        <v>0.17259259258571547</v>
      </c>
    </row>
    <row r="616" spans="1:8" x14ac:dyDescent="0.25">
      <c r="A616" s="3" t="s">
        <v>1981</v>
      </c>
      <c r="B616" s="3" t="s">
        <v>3200</v>
      </c>
      <c r="C616" s="10">
        <v>45674.309293981481</v>
      </c>
      <c r="D616" s="3" t="s">
        <v>1831</v>
      </c>
      <c r="E616" s="10">
        <v>45674.312847222223</v>
      </c>
      <c r="F616" s="10">
        <v>45674.463449074072</v>
      </c>
      <c r="G616" s="11">
        <f t="shared" si="18"/>
        <v>3.5532407418941148E-3</v>
      </c>
      <c r="H616" s="11">
        <f t="shared" si="19"/>
        <v>0.15415509259037208</v>
      </c>
    </row>
    <row r="617" spans="1:8" x14ac:dyDescent="0.25">
      <c r="A617" s="3" t="s">
        <v>1983</v>
      </c>
      <c r="B617" s="3" t="s">
        <v>3204</v>
      </c>
      <c r="C617" s="10">
        <v>45674.311620370368</v>
      </c>
      <c r="D617" s="3" t="s">
        <v>1984</v>
      </c>
      <c r="E617" s="10">
        <v>45674.314016203702</v>
      </c>
      <c r="F617" s="10">
        <v>45674.571932870371</v>
      </c>
      <c r="G617" s="11">
        <f t="shared" si="18"/>
        <v>2.3958333331393078E-3</v>
      </c>
      <c r="H617" s="11">
        <f t="shared" si="19"/>
        <v>0.26031250000232831</v>
      </c>
    </row>
    <row r="618" spans="1:8" x14ac:dyDescent="0.25">
      <c r="A618" s="3" t="s">
        <v>1986</v>
      </c>
      <c r="B618" s="3" t="s">
        <v>3201</v>
      </c>
      <c r="C618" s="10">
        <v>45674.313379629632</v>
      </c>
      <c r="D618" s="3" t="s">
        <v>1789</v>
      </c>
      <c r="E618" s="10">
        <v>45674.346782407411</v>
      </c>
      <c r="F618" s="10">
        <v>45674.930115740739</v>
      </c>
      <c r="G618" s="11">
        <f t="shared" si="18"/>
        <v>3.3402777778974269E-2</v>
      </c>
      <c r="H618" s="11">
        <f t="shared" si="19"/>
        <v>0.61673611110745696</v>
      </c>
    </row>
    <row r="619" spans="1:8" x14ac:dyDescent="0.25">
      <c r="A619" s="3" t="s">
        <v>1988</v>
      </c>
      <c r="B619" s="3" t="s">
        <v>3203</v>
      </c>
      <c r="C619" s="10">
        <v>45674.314618055563</v>
      </c>
      <c r="D619" s="3" t="s">
        <v>1905</v>
      </c>
      <c r="E619" s="10">
        <v>45674.318541666667</v>
      </c>
      <c r="F619" s="10">
        <v>45674.683645833327</v>
      </c>
      <c r="G619" s="11">
        <f t="shared" si="18"/>
        <v>3.9236111042555422E-3</v>
      </c>
      <c r="H619" s="11">
        <f t="shared" si="19"/>
        <v>0.36902777776413132</v>
      </c>
    </row>
    <row r="620" spans="1:8" x14ac:dyDescent="0.25">
      <c r="A620" s="3" t="s">
        <v>1990</v>
      </c>
      <c r="B620" s="3" t="s">
        <v>3206</v>
      </c>
      <c r="C620" s="10">
        <v>45674.316238425927</v>
      </c>
      <c r="D620" s="3" t="s">
        <v>1991</v>
      </c>
      <c r="E620" s="10">
        <v>45674.385949074072</v>
      </c>
      <c r="F620" s="10">
        <v>45675.297337962962</v>
      </c>
      <c r="G620" s="11">
        <f t="shared" si="18"/>
        <v>6.9710648145701271E-2</v>
      </c>
      <c r="H620" s="11">
        <f t="shared" si="19"/>
        <v>0.98109953703533392</v>
      </c>
    </row>
    <row r="621" spans="1:8" x14ac:dyDescent="0.25">
      <c r="A621" s="3" t="s">
        <v>1993</v>
      </c>
      <c r="B621" s="3" t="s">
        <v>3196</v>
      </c>
      <c r="C621" s="10">
        <v>45674.318287037036</v>
      </c>
      <c r="D621" s="3" t="s">
        <v>1994</v>
      </c>
      <c r="E621" s="10">
        <v>45674.40152777778</v>
      </c>
      <c r="F621" s="10">
        <v>45676.780763888892</v>
      </c>
      <c r="G621" s="11">
        <f t="shared" si="18"/>
        <v>8.3240740743349306E-2</v>
      </c>
      <c r="H621" s="11">
        <f t="shared" si="19"/>
        <v>2.4624768518551718</v>
      </c>
    </row>
    <row r="622" spans="1:8" x14ac:dyDescent="0.25">
      <c r="A622" s="3" t="s">
        <v>1996</v>
      </c>
      <c r="B622" s="3" t="s">
        <v>3197</v>
      </c>
      <c r="C622" s="10">
        <v>45674.320231481477</v>
      </c>
      <c r="D622" s="3" t="s">
        <v>1997</v>
      </c>
      <c r="E622" s="10">
        <v>45674.760775462957</v>
      </c>
      <c r="F622" s="10">
        <v>45677.277002314811</v>
      </c>
      <c r="G622" s="11">
        <f t="shared" si="18"/>
        <v>0.44054398148000473</v>
      </c>
      <c r="H622" s="11">
        <f t="shared" si="19"/>
        <v>2.9567708333343035</v>
      </c>
    </row>
    <row r="623" spans="1:8" x14ac:dyDescent="0.25">
      <c r="A623" s="3" t="s">
        <v>1999</v>
      </c>
      <c r="B623" s="3" t="s">
        <v>3194</v>
      </c>
      <c r="C623" s="10">
        <v>45674.322418981479</v>
      </c>
      <c r="D623" s="3" t="s">
        <v>1973</v>
      </c>
      <c r="E623" s="10">
        <v>45674.328287037039</v>
      </c>
      <c r="F623" s="10">
        <v>45674.766215277778</v>
      </c>
      <c r="G623" s="11">
        <f t="shared" si="18"/>
        <v>5.8680555594037287E-3</v>
      </c>
      <c r="H623" s="11">
        <f t="shared" si="19"/>
        <v>0.44379629629838746</v>
      </c>
    </row>
    <row r="624" spans="1:8" x14ac:dyDescent="0.25">
      <c r="A624" s="3" t="s">
        <v>2001</v>
      </c>
      <c r="B624" s="3" t="s">
        <v>3194</v>
      </c>
      <c r="C624" s="10">
        <v>45674.324363425927</v>
      </c>
      <c r="D624" s="3" t="s">
        <v>1973</v>
      </c>
      <c r="E624" s="10">
        <v>45674.328287037039</v>
      </c>
      <c r="F624" s="10">
        <v>45674.766215277778</v>
      </c>
      <c r="G624" s="11">
        <f t="shared" si="18"/>
        <v>3.9236111115314998E-3</v>
      </c>
      <c r="H624" s="11">
        <f t="shared" si="19"/>
        <v>0.44185185185051523</v>
      </c>
    </row>
    <row r="625" spans="1:8" x14ac:dyDescent="0.25">
      <c r="A625" s="3" t="s">
        <v>2003</v>
      </c>
      <c r="B625" s="3" t="s">
        <v>3205</v>
      </c>
      <c r="C625" s="10">
        <v>45674.327164351853</v>
      </c>
      <c r="D625" s="3" t="s">
        <v>2004</v>
      </c>
      <c r="E625" s="10">
        <v>45674.329525462963</v>
      </c>
      <c r="F625" s="10">
        <v>45674.820451388892</v>
      </c>
      <c r="G625" s="11">
        <f t="shared" si="18"/>
        <v>2.3611111100763083E-3</v>
      </c>
      <c r="H625" s="11">
        <f t="shared" si="19"/>
        <v>0.49328703703940846</v>
      </c>
    </row>
    <row r="626" spans="1:8" x14ac:dyDescent="0.25">
      <c r="A626" s="3" t="s">
        <v>2006</v>
      </c>
      <c r="B626" s="3" t="s">
        <v>3201</v>
      </c>
      <c r="C626" s="10">
        <v>45674.342893518522</v>
      </c>
      <c r="D626" s="3" t="s">
        <v>1789</v>
      </c>
      <c r="E626" s="10">
        <v>45674.346782407411</v>
      </c>
      <c r="F626" s="10">
        <v>45674.930115740739</v>
      </c>
      <c r="G626" s="11">
        <f t="shared" si="18"/>
        <v>3.8888888884685002E-3</v>
      </c>
      <c r="H626" s="11">
        <f t="shared" si="19"/>
        <v>0.5872222222169512</v>
      </c>
    </row>
    <row r="627" spans="1:8" x14ac:dyDescent="0.25">
      <c r="A627" s="3" t="s">
        <v>2033</v>
      </c>
      <c r="B627" s="3" t="s">
        <v>3203</v>
      </c>
      <c r="C627" s="10">
        <v>45674.377442129633</v>
      </c>
      <c r="D627" s="3" t="s">
        <v>2034</v>
      </c>
      <c r="E627" s="10">
        <v>45674.379837962973</v>
      </c>
      <c r="F627" s="10">
        <v>45675.067384259259</v>
      </c>
      <c r="G627" s="11">
        <f t="shared" si="18"/>
        <v>2.3958333404152654E-3</v>
      </c>
      <c r="H627" s="11">
        <f t="shared" si="19"/>
        <v>0.689942129625706</v>
      </c>
    </row>
    <row r="628" spans="1:8" x14ac:dyDescent="0.25">
      <c r="A628" s="3" t="s">
        <v>2008</v>
      </c>
      <c r="B628" s="3" t="s">
        <v>3195</v>
      </c>
      <c r="C628" s="10">
        <v>45674.38144675926</v>
      </c>
      <c r="D628" s="3" t="s">
        <v>2009</v>
      </c>
      <c r="E628" s="10">
        <v>45679.314988425933</v>
      </c>
      <c r="F628" s="10">
        <v>45680.326550925929</v>
      </c>
      <c r="G628" s="11">
        <f t="shared" si="18"/>
        <v>4.9335416666726815</v>
      </c>
      <c r="H628" s="11">
        <f t="shared" si="19"/>
        <v>5.945104166668898</v>
      </c>
    </row>
    <row r="629" spans="1:8" x14ac:dyDescent="0.25">
      <c r="A629" s="3" t="s">
        <v>2011</v>
      </c>
      <c r="B629" s="3" t="s">
        <v>3206</v>
      </c>
      <c r="C629" s="10">
        <v>45674.383553240739</v>
      </c>
      <c r="D629" s="3" t="s">
        <v>1991</v>
      </c>
      <c r="E629" s="10">
        <v>45674.385949074072</v>
      </c>
      <c r="F629" s="10">
        <v>45675.297337962962</v>
      </c>
      <c r="G629" s="11">
        <f t="shared" si="18"/>
        <v>2.3958333331393078E-3</v>
      </c>
      <c r="H629" s="11">
        <f t="shared" si="19"/>
        <v>0.91378472222277196</v>
      </c>
    </row>
    <row r="630" spans="1:8" x14ac:dyDescent="0.25">
      <c r="A630" s="3" t="s">
        <v>2013</v>
      </c>
      <c r="B630" s="3" t="s">
        <v>3198</v>
      </c>
      <c r="C630" s="10">
        <v>45674.385034722232</v>
      </c>
      <c r="D630" s="3" t="s">
        <v>2014</v>
      </c>
      <c r="E630" s="10">
        <v>45679.751226851848</v>
      </c>
      <c r="F630" s="10">
        <v>45680.672326388893</v>
      </c>
      <c r="G630" s="11">
        <f t="shared" si="18"/>
        <v>5.3661921296152286</v>
      </c>
      <c r="H630" s="11">
        <f t="shared" si="19"/>
        <v>6.2872916666601668</v>
      </c>
    </row>
    <row r="631" spans="1:8" x14ac:dyDescent="0.25">
      <c r="A631" s="3" t="s">
        <v>2016</v>
      </c>
      <c r="B631" s="3" t="s">
        <v>3197</v>
      </c>
      <c r="C631" s="10">
        <v>45674.386956018519</v>
      </c>
      <c r="D631" s="3" t="s">
        <v>1997</v>
      </c>
      <c r="E631" s="10">
        <v>45674.760775462957</v>
      </c>
      <c r="F631" s="10">
        <v>45677.277002314811</v>
      </c>
      <c r="G631" s="11">
        <f t="shared" si="18"/>
        <v>0.37381944443768589</v>
      </c>
      <c r="H631" s="11">
        <f t="shared" si="19"/>
        <v>2.8900462962919846</v>
      </c>
    </row>
    <row r="632" spans="1:8" x14ac:dyDescent="0.25">
      <c r="A632" s="3" t="s">
        <v>2018</v>
      </c>
      <c r="B632" s="3" t="s">
        <v>3204</v>
      </c>
      <c r="C632" s="10">
        <v>45674.389027777783</v>
      </c>
      <c r="D632" s="3" t="s">
        <v>2019</v>
      </c>
      <c r="E632" s="10">
        <v>45674.660185185188</v>
      </c>
      <c r="F632" s="10">
        <v>45677.162002314813</v>
      </c>
      <c r="G632" s="11">
        <f t="shared" si="18"/>
        <v>0.27115740740555339</v>
      </c>
      <c r="H632" s="11">
        <f t="shared" si="19"/>
        <v>2.7729745370306773</v>
      </c>
    </row>
    <row r="633" spans="1:8" x14ac:dyDescent="0.25">
      <c r="A633" s="3" t="s">
        <v>2021</v>
      </c>
      <c r="B633" s="3" t="s">
        <v>3202</v>
      </c>
      <c r="C633" s="10">
        <v>45674.390381944453</v>
      </c>
      <c r="D633" s="3" t="s">
        <v>1735</v>
      </c>
      <c r="E633" s="10">
        <v>45677.356562499997</v>
      </c>
      <c r="F633" s="10">
        <v>45677.742604166669</v>
      </c>
      <c r="G633" s="11">
        <f t="shared" si="18"/>
        <v>2.9661805555442697</v>
      </c>
      <c r="H633" s="11">
        <f t="shared" si="19"/>
        <v>3.3522222222163691</v>
      </c>
    </row>
    <row r="634" spans="1:8" x14ac:dyDescent="0.25">
      <c r="A634" s="3" t="s">
        <v>2023</v>
      </c>
      <c r="B634" s="3" t="s">
        <v>3206</v>
      </c>
      <c r="C634" s="10">
        <v>45674.391967592594</v>
      </c>
      <c r="D634" s="3" t="s">
        <v>2024</v>
      </c>
      <c r="E634" s="10">
        <v>45676.857858796298</v>
      </c>
      <c r="F634" s="10">
        <v>45677.56050925926</v>
      </c>
      <c r="G634" s="11">
        <f t="shared" si="18"/>
        <v>2.465891203704814</v>
      </c>
      <c r="H634" s="11">
        <f t="shared" si="19"/>
        <v>3.1685416666659876</v>
      </c>
    </row>
    <row r="635" spans="1:8" x14ac:dyDescent="0.25">
      <c r="A635" s="3" t="s">
        <v>2026</v>
      </c>
      <c r="B635" s="3" t="s">
        <v>3196</v>
      </c>
      <c r="C635" s="10">
        <v>45674.39403935185</v>
      </c>
      <c r="D635" s="3" t="s">
        <v>1994</v>
      </c>
      <c r="E635" s="10">
        <v>45674.40152777778</v>
      </c>
      <c r="F635" s="10">
        <v>45676.780763888892</v>
      </c>
      <c r="G635" s="11">
        <f t="shared" si="18"/>
        <v>7.4884259302052669E-3</v>
      </c>
      <c r="H635" s="11">
        <f t="shared" si="19"/>
        <v>2.3867245370420278</v>
      </c>
    </row>
    <row r="636" spans="1:8" x14ac:dyDescent="0.25">
      <c r="A636" s="3" t="s">
        <v>2028</v>
      </c>
      <c r="B636" s="3" t="s">
        <v>3199</v>
      </c>
      <c r="C636" s="10">
        <v>45674.39607638889</v>
      </c>
      <c r="D636" s="3" t="s">
        <v>1843</v>
      </c>
      <c r="E636" s="10">
        <v>45674.400000000001</v>
      </c>
      <c r="F636" s="10">
        <v>45675.329074074078</v>
      </c>
      <c r="G636" s="11">
        <f t="shared" si="18"/>
        <v>3.9236111115314998E-3</v>
      </c>
      <c r="H636" s="11">
        <f t="shared" si="19"/>
        <v>0.93299768518772908</v>
      </c>
    </row>
    <row r="637" spans="1:8" x14ac:dyDescent="0.25">
      <c r="A637" s="3" t="s">
        <v>2030</v>
      </c>
      <c r="B637" s="3" t="s">
        <v>3196</v>
      </c>
      <c r="C637" s="10">
        <v>45674.397951388892</v>
      </c>
      <c r="D637" s="3" t="s">
        <v>1994</v>
      </c>
      <c r="E637" s="10">
        <v>45674.40152777778</v>
      </c>
      <c r="F637" s="10">
        <v>45676.780763888892</v>
      </c>
      <c r="G637" s="11">
        <f t="shared" si="18"/>
        <v>3.5763888881774619E-3</v>
      </c>
      <c r="H637" s="11">
        <f t="shared" si="19"/>
        <v>2.3828125</v>
      </c>
    </row>
    <row r="638" spans="1:8" x14ac:dyDescent="0.25">
      <c r="A638" s="3" t="s">
        <v>2036</v>
      </c>
      <c r="B638" s="3" t="s">
        <v>3203</v>
      </c>
      <c r="C638" s="10">
        <v>45674.435474537036</v>
      </c>
      <c r="D638" s="3" t="s">
        <v>2037</v>
      </c>
      <c r="E638" s="10">
        <v>45674.741562499999</v>
      </c>
      <c r="F638" s="10">
        <v>45677.254942129628</v>
      </c>
      <c r="G638" s="11">
        <f t="shared" si="18"/>
        <v>0.30608796296291985</v>
      </c>
      <c r="H638" s="11">
        <f t="shared" si="19"/>
        <v>2.8194675925915362</v>
      </c>
    </row>
    <row r="639" spans="1:8" x14ac:dyDescent="0.25">
      <c r="A639" s="3" t="s">
        <v>2040</v>
      </c>
      <c r="B639" s="3" t="s">
        <v>3193</v>
      </c>
      <c r="C639" s="10">
        <v>45674.543749999997</v>
      </c>
      <c r="D639" s="3" t="s">
        <v>2041</v>
      </c>
      <c r="E639" s="10">
        <v>45674.54614583333</v>
      </c>
      <c r="F639" s="10">
        <v>45676.898043981477</v>
      </c>
      <c r="G639" s="11">
        <f t="shared" si="18"/>
        <v>2.3958333331393078E-3</v>
      </c>
      <c r="H639" s="11">
        <f t="shared" si="19"/>
        <v>2.3542939814797137</v>
      </c>
    </row>
    <row r="640" spans="1:8" x14ac:dyDescent="0.25">
      <c r="A640" s="3" t="s">
        <v>2043</v>
      </c>
      <c r="B640" s="3" t="s">
        <v>3204</v>
      </c>
      <c r="C640" s="10">
        <v>45674.657824074071</v>
      </c>
      <c r="D640" s="3" t="s">
        <v>2019</v>
      </c>
      <c r="E640" s="10">
        <v>45674.660185185188</v>
      </c>
      <c r="F640" s="10">
        <v>45677.162002314813</v>
      </c>
      <c r="G640" s="11">
        <f t="shared" si="18"/>
        <v>2.3611111173522659E-3</v>
      </c>
      <c r="H640" s="11">
        <f t="shared" si="19"/>
        <v>2.5041782407424762</v>
      </c>
    </row>
    <row r="641" spans="1:8" x14ac:dyDescent="0.25">
      <c r="A641" s="3" t="s">
        <v>2045</v>
      </c>
      <c r="B641" s="3" t="s">
        <v>3203</v>
      </c>
      <c r="C641" s="10">
        <v>45674.739166666674</v>
      </c>
      <c r="D641" s="3" t="s">
        <v>2037</v>
      </c>
      <c r="E641" s="10">
        <v>45674.741562499999</v>
      </c>
      <c r="F641" s="10">
        <v>45677.254942129628</v>
      </c>
      <c r="G641" s="11">
        <f t="shared" si="18"/>
        <v>2.3958333258633502E-3</v>
      </c>
      <c r="H641" s="11">
        <f t="shared" si="19"/>
        <v>2.5157754629544797</v>
      </c>
    </row>
    <row r="642" spans="1:8" x14ac:dyDescent="0.25">
      <c r="A642" s="3" t="s">
        <v>2047</v>
      </c>
      <c r="B642" s="3" t="s">
        <v>3197</v>
      </c>
      <c r="C642" s="10">
        <v>45674.758379629631</v>
      </c>
      <c r="D642" s="3" t="s">
        <v>1997</v>
      </c>
      <c r="E642" s="10">
        <v>45674.760775462957</v>
      </c>
      <c r="F642" s="10">
        <v>45677.277002314811</v>
      </c>
      <c r="G642" s="11">
        <f t="shared" ref="G642:G705" si="20">IF(AND(ISNUMBER(C642),ISNUMBER(E642)),(E642-C642),"")</f>
        <v>2.3958333258633502E-3</v>
      </c>
      <c r="H642" s="11">
        <f t="shared" ref="H642:H705" si="21">IF(AND(ISNUMBER(C642),ISNUMBER(F642)),(F642-C642),"")</f>
        <v>2.5186226851801621</v>
      </c>
    </row>
    <row r="643" spans="1:8" x14ac:dyDescent="0.25">
      <c r="A643" s="3" t="s">
        <v>2049</v>
      </c>
      <c r="B643" s="3" t="s">
        <v>3204</v>
      </c>
      <c r="C643" s="10">
        <v>45674.855300925927</v>
      </c>
      <c r="D643" s="3" t="s">
        <v>2050</v>
      </c>
      <c r="E643" s="10">
        <v>45677.20207175926</v>
      </c>
      <c r="F643" s="10">
        <v>45677.724537037036</v>
      </c>
      <c r="G643" s="11">
        <f t="shared" si="20"/>
        <v>2.3467708333337214</v>
      </c>
      <c r="H643" s="11">
        <f t="shared" si="21"/>
        <v>2.8692361111097853</v>
      </c>
    </row>
    <row r="644" spans="1:8" x14ac:dyDescent="0.25">
      <c r="A644" s="3" t="s">
        <v>2052</v>
      </c>
      <c r="B644" s="3" t="s">
        <v>3200</v>
      </c>
      <c r="C644" s="10">
        <v>45674.857071759259</v>
      </c>
      <c r="D644" s="3" t="s">
        <v>2053</v>
      </c>
      <c r="E644" s="10">
        <v>45675.038240740738</v>
      </c>
      <c r="F644" s="10">
        <v>45677.380891203713</v>
      </c>
      <c r="G644" s="11">
        <f t="shared" si="20"/>
        <v>0.18116898147854954</v>
      </c>
      <c r="H644" s="11">
        <f t="shared" si="21"/>
        <v>2.523819444453693</v>
      </c>
    </row>
    <row r="645" spans="1:8" x14ac:dyDescent="0.25">
      <c r="A645" s="3" t="s">
        <v>2055</v>
      </c>
      <c r="B645" s="3" t="s">
        <v>3194</v>
      </c>
      <c r="C645" s="10">
        <v>45674.859039351853</v>
      </c>
      <c r="D645" s="3" t="s">
        <v>2056</v>
      </c>
      <c r="E645" s="10">
        <v>45674.868159722217</v>
      </c>
      <c r="F645" s="10">
        <v>45677.352719907409</v>
      </c>
      <c r="G645" s="11">
        <f t="shared" si="20"/>
        <v>9.1203703632345423E-3</v>
      </c>
      <c r="H645" s="11">
        <f t="shared" si="21"/>
        <v>2.4936805555553292</v>
      </c>
    </row>
    <row r="646" spans="1:8" x14ac:dyDescent="0.25">
      <c r="A646" s="3" t="s">
        <v>2058</v>
      </c>
      <c r="B646" s="3" t="s">
        <v>3205</v>
      </c>
      <c r="C646" s="10">
        <v>45674.860405092593</v>
      </c>
      <c r="D646" s="3" t="s">
        <v>2059</v>
      </c>
      <c r="E646" s="10">
        <v>45677.338391203702</v>
      </c>
      <c r="F646" s="10">
        <v>45677.696527777778</v>
      </c>
      <c r="G646" s="11">
        <f t="shared" si="20"/>
        <v>2.4779861111092032</v>
      </c>
      <c r="H646" s="11">
        <f t="shared" si="21"/>
        <v>2.8361226851848187</v>
      </c>
    </row>
    <row r="647" spans="1:8" x14ac:dyDescent="0.25">
      <c r="A647" s="3" t="s">
        <v>2061</v>
      </c>
      <c r="B647" s="3" t="s">
        <v>3196</v>
      </c>
      <c r="C647" s="10">
        <v>45674.862337962957</v>
      </c>
      <c r="D647" s="3" t="s">
        <v>2062</v>
      </c>
      <c r="E647" s="10">
        <v>45676.854444444441</v>
      </c>
      <c r="F647" s="10">
        <v>45677.480555555558</v>
      </c>
      <c r="G647" s="11">
        <f t="shared" si="20"/>
        <v>1.9921064814843703</v>
      </c>
      <c r="H647" s="11">
        <f t="shared" si="21"/>
        <v>2.6182175926005584</v>
      </c>
    </row>
    <row r="648" spans="1:8" x14ac:dyDescent="0.25">
      <c r="A648" s="3" t="s">
        <v>2064</v>
      </c>
      <c r="B648" s="3" t="s">
        <v>3194</v>
      </c>
      <c r="C648" s="10">
        <v>45674.864618055559</v>
      </c>
      <c r="D648" s="3" t="s">
        <v>2056</v>
      </c>
      <c r="E648" s="10">
        <v>45674.868159722217</v>
      </c>
      <c r="F648" s="10">
        <v>45677.352719907409</v>
      </c>
      <c r="G648" s="11">
        <f t="shared" si="20"/>
        <v>3.5416666578385048E-3</v>
      </c>
      <c r="H648" s="11">
        <f t="shared" si="21"/>
        <v>2.4881018518499332</v>
      </c>
    </row>
    <row r="649" spans="1:8" x14ac:dyDescent="0.25">
      <c r="A649" s="3" t="s">
        <v>2066</v>
      </c>
      <c r="B649" s="3" t="s">
        <v>3198</v>
      </c>
      <c r="C649" s="10">
        <v>45674.866122685176</v>
      </c>
      <c r="D649" s="3" t="s">
        <v>2014</v>
      </c>
      <c r="E649" s="10">
        <v>45679.751226851848</v>
      </c>
      <c r="F649" s="10">
        <v>45680.672326388893</v>
      </c>
      <c r="G649" s="11">
        <f t="shared" si="20"/>
        <v>4.8851041666712263</v>
      </c>
      <c r="H649" s="11">
        <f t="shared" si="21"/>
        <v>5.8062037037161645</v>
      </c>
    </row>
    <row r="650" spans="1:8" x14ac:dyDescent="0.25">
      <c r="A650" s="3" t="s">
        <v>2069</v>
      </c>
      <c r="B650" s="3" t="s">
        <v>3201</v>
      </c>
      <c r="C650" s="10">
        <v>45675.031076388892</v>
      </c>
      <c r="D650" s="3" t="s">
        <v>2070</v>
      </c>
      <c r="E650" s="10">
        <v>45675.033229166656</v>
      </c>
      <c r="F650" s="10">
        <v>45677.354872685188</v>
      </c>
      <c r="G650" s="11">
        <f t="shared" si="20"/>
        <v>2.1527777644223534E-3</v>
      </c>
      <c r="H650" s="11">
        <f t="shared" si="21"/>
        <v>2.3237962962957681</v>
      </c>
    </row>
    <row r="651" spans="1:8" x14ac:dyDescent="0.25">
      <c r="A651" s="3" t="s">
        <v>2072</v>
      </c>
      <c r="B651" s="3" t="s">
        <v>3200</v>
      </c>
      <c r="C651" s="10">
        <v>45675.032881944448</v>
      </c>
      <c r="D651" s="3" t="s">
        <v>2053</v>
      </c>
      <c r="E651" s="10">
        <v>45675.038240740738</v>
      </c>
      <c r="F651" s="10">
        <v>45677.380891203713</v>
      </c>
      <c r="G651" s="11">
        <f t="shared" si="20"/>
        <v>5.3587962902383879E-3</v>
      </c>
      <c r="H651" s="11">
        <f t="shared" si="21"/>
        <v>2.3480092592653818</v>
      </c>
    </row>
    <row r="652" spans="1:8" x14ac:dyDescent="0.25">
      <c r="A652" s="3" t="s">
        <v>2075</v>
      </c>
      <c r="B652" s="3" t="s">
        <v>3200</v>
      </c>
      <c r="C652" s="10">
        <v>45675.034699074073</v>
      </c>
      <c r="D652" s="3" t="s">
        <v>2053</v>
      </c>
      <c r="E652" s="10">
        <v>45675.038240740738</v>
      </c>
      <c r="F652" s="10">
        <v>45677.380891203713</v>
      </c>
      <c r="G652" s="11">
        <f t="shared" si="20"/>
        <v>3.5416666651144624E-3</v>
      </c>
      <c r="H652" s="11">
        <f t="shared" si="21"/>
        <v>2.3461921296402579</v>
      </c>
    </row>
    <row r="653" spans="1:8" x14ac:dyDescent="0.25">
      <c r="A653" s="3" t="s">
        <v>2077</v>
      </c>
      <c r="B653" s="3" t="s">
        <v>3204</v>
      </c>
      <c r="C653" s="10">
        <v>45675.251331018517</v>
      </c>
      <c r="D653" s="3" t="s">
        <v>2050</v>
      </c>
      <c r="E653" s="10">
        <v>45677.20207175926</v>
      </c>
      <c r="F653" s="10">
        <v>45677.724537037036</v>
      </c>
      <c r="G653" s="11">
        <f t="shared" si="20"/>
        <v>1.9507407407436403</v>
      </c>
      <c r="H653" s="11">
        <f t="shared" si="21"/>
        <v>2.4732060185197042</v>
      </c>
    </row>
    <row r="654" spans="1:8" x14ac:dyDescent="0.25">
      <c r="A654" s="3" t="s">
        <v>2079</v>
      </c>
      <c r="B654" s="3" t="s">
        <v>3203</v>
      </c>
      <c r="C654" s="10">
        <v>45675.25267361111</v>
      </c>
      <c r="D654" s="3" t="s">
        <v>2080</v>
      </c>
      <c r="E654" s="10">
        <v>45675.302858796298</v>
      </c>
      <c r="F654" s="10">
        <v>45677.407141203701</v>
      </c>
      <c r="G654" s="11">
        <f t="shared" si="20"/>
        <v>5.0185185187729076E-2</v>
      </c>
      <c r="H654" s="11">
        <f t="shared" si="21"/>
        <v>2.1544675925906631</v>
      </c>
    </row>
    <row r="655" spans="1:8" x14ac:dyDescent="0.25">
      <c r="A655" s="3" t="s">
        <v>2083</v>
      </c>
      <c r="B655" s="3" t="s">
        <v>3204</v>
      </c>
      <c r="C655" s="10">
        <v>45675.288634259261</v>
      </c>
      <c r="D655" s="3" t="s">
        <v>2050</v>
      </c>
      <c r="E655" s="10">
        <v>45677.20207175926</v>
      </c>
      <c r="F655" s="10">
        <v>45677.724537037036</v>
      </c>
      <c r="G655" s="11">
        <f t="shared" si="20"/>
        <v>1.9134374999994179</v>
      </c>
      <c r="H655" s="11">
        <f t="shared" si="21"/>
        <v>2.4359027777754818</v>
      </c>
    </row>
    <row r="656" spans="1:8" x14ac:dyDescent="0.25">
      <c r="A656" s="3" t="s">
        <v>2086</v>
      </c>
      <c r="B656" s="3" t="s">
        <v>3199</v>
      </c>
      <c r="C656" s="10">
        <v>45675.290578703702</v>
      </c>
      <c r="D656" s="3" t="s">
        <v>2087</v>
      </c>
      <c r="E656" s="10">
        <v>45676.746655092589</v>
      </c>
      <c r="F656" s="10">
        <v>45677.501493055563</v>
      </c>
      <c r="G656" s="11">
        <f t="shared" si="20"/>
        <v>1.4560763888875954</v>
      </c>
      <c r="H656" s="11">
        <f t="shared" si="21"/>
        <v>2.2109143518609926</v>
      </c>
    </row>
    <row r="657" spans="1:8" x14ac:dyDescent="0.25">
      <c r="A657" s="3" t="s">
        <v>2089</v>
      </c>
      <c r="B657" s="3" t="s">
        <v>3197</v>
      </c>
      <c r="C657" s="10">
        <v>45675.292534722219</v>
      </c>
      <c r="D657" s="3" t="s">
        <v>2090</v>
      </c>
      <c r="E657" s="10">
        <v>45677.409537037027</v>
      </c>
      <c r="F657" s="10">
        <v>45678.310578703713</v>
      </c>
      <c r="G657" s="11">
        <f t="shared" si="20"/>
        <v>2.1170023148079053</v>
      </c>
      <c r="H657" s="11">
        <f t="shared" si="21"/>
        <v>3.0180439814939746</v>
      </c>
    </row>
    <row r="658" spans="1:8" x14ac:dyDescent="0.25">
      <c r="A658" s="3" t="s">
        <v>2092</v>
      </c>
      <c r="B658" s="3" t="s">
        <v>3194</v>
      </c>
      <c r="C658" s="10">
        <v>45675.294490740736</v>
      </c>
      <c r="D658" s="3" t="s">
        <v>2093</v>
      </c>
      <c r="E658" s="10">
        <v>45677.397094907406</v>
      </c>
      <c r="F658" s="10">
        <v>45678.164965277778</v>
      </c>
      <c r="G658" s="11">
        <f t="shared" si="20"/>
        <v>2.1026041666700621</v>
      </c>
      <c r="H658" s="11">
        <f t="shared" si="21"/>
        <v>2.8704745370414457</v>
      </c>
    </row>
    <row r="659" spans="1:8" x14ac:dyDescent="0.25">
      <c r="A659" s="3" t="s">
        <v>2095</v>
      </c>
      <c r="B659" s="3" t="s">
        <v>3205</v>
      </c>
      <c r="C659" s="10">
        <v>45675.295798611107</v>
      </c>
      <c r="D659" s="3" t="s">
        <v>2059</v>
      </c>
      <c r="E659" s="10">
        <v>45677.338391203702</v>
      </c>
      <c r="F659" s="10">
        <v>45677.696527777778</v>
      </c>
      <c r="G659" s="11">
        <f t="shared" si="20"/>
        <v>2.0425925925956108</v>
      </c>
      <c r="H659" s="11">
        <f t="shared" si="21"/>
        <v>2.4007291666712263</v>
      </c>
    </row>
    <row r="660" spans="1:8" x14ac:dyDescent="0.25">
      <c r="A660" s="3" t="s">
        <v>2097</v>
      </c>
      <c r="B660" s="3" t="s">
        <v>3196</v>
      </c>
      <c r="C660" s="10">
        <v>45675.297766203701</v>
      </c>
      <c r="D660" s="3" t="s">
        <v>2062</v>
      </c>
      <c r="E660" s="10">
        <v>45676.854444444441</v>
      </c>
      <c r="F660" s="10">
        <v>45677.480555555558</v>
      </c>
      <c r="G660" s="11">
        <f t="shared" si="20"/>
        <v>1.5566782407404389</v>
      </c>
      <c r="H660" s="11">
        <f t="shared" si="21"/>
        <v>2.182789351856627</v>
      </c>
    </row>
    <row r="661" spans="1:8" x14ac:dyDescent="0.25">
      <c r="A661" s="3" t="s">
        <v>2100</v>
      </c>
      <c r="B661" s="3" t="s">
        <v>3203</v>
      </c>
      <c r="C661" s="10">
        <v>45675.298935185187</v>
      </c>
      <c r="D661" s="3" t="s">
        <v>2080</v>
      </c>
      <c r="E661" s="10">
        <v>45675.302858796298</v>
      </c>
      <c r="F661" s="10">
        <v>45677.407141203701</v>
      </c>
      <c r="G661" s="11">
        <f t="shared" si="20"/>
        <v>3.9236111115314998E-3</v>
      </c>
      <c r="H661" s="11">
        <f t="shared" si="21"/>
        <v>2.1082060185144655</v>
      </c>
    </row>
    <row r="662" spans="1:8" x14ac:dyDescent="0.25">
      <c r="A662" s="3" t="s">
        <v>2103</v>
      </c>
      <c r="B662" s="3" t="s">
        <v>3199</v>
      </c>
      <c r="C662" s="10">
        <v>45676.744479166657</v>
      </c>
      <c r="D662" s="3" t="s">
        <v>2087</v>
      </c>
      <c r="E662" s="10">
        <v>45676.746655092589</v>
      </c>
      <c r="F662" s="10">
        <v>45677.501493055563</v>
      </c>
      <c r="G662" s="11">
        <f t="shared" si="20"/>
        <v>2.1759259325335734E-3</v>
      </c>
      <c r="H662" s="11">
        <f t="shared" si="21"/>
        <v>0.7570138889059308</v>
      </c>
    </row>
    <row r="663" spans="1:8" x14ac:dyDescent="0.25">
      <c r="A663" s="3" t="s">
        <v>2105</v>
      </c>
      <c r="B663" s="3" t="s">
        <v>3206</v>
      </c>
      <c r="C663" s="10">
        <v>45676.746180555558</v>
      </c>
      <c r="D663" s="3" t="s">
        <v>2024</v>
      </c>
      <c r="E663" s="10">
        <v>45676.857858796298</v>
      </c>
      <c r="F663" s="10">
        <v>45677.56050925926</v>
      </c>
      <c r="G663" s="11">
        <f t="shared" si="20"/>
        <v>0.11167824074072996</v>
      </c>
      <c r="H663" s="11">
        <f t="shared" si="21"/>
        <v>0.81432870370190358</v>
      </c>
    </row>
    <row r="664" spans="1:8" x14ac:dyDescent="0.25">
      <c r="A664" s="3" t="s">
        <v>2107</v>
      </c>
      <c r="B664" s="3" t="s">
        <v>3196</v>
      </c>
      <c r="C664" s="10">
        <v>45676.852268518523</v>
      </c>
      <c r="D664" s="3" t="s">
        <v>2062</v>
      </c>
      <c r="E664" s="10">
        <v>45676.854444444441</v>
      </c>
      <c r="F664" s="10">
        <v>45677.480555555558</v>
      </c>
      <c r="G664" s="11">
        <f t="shared" si="20"/>
        <v>2.1759259179816581E-3</v>
      </c>
      <c r="H664" s="11">
        <f t="shared" si="21"/>
        <v>0.62828703703416977</v>
      </c>
    </row>
    <row r="665" spans="1:8" x14ac:dyDescent="0.25">
      <c r="A665" s="3" t="s">
        <v>2109</v>
      </c>
      <c r="B665" s="3" t="s">
        <v>3206</v>
      </c>
      <c r="C665" s="10">
        <v>45676.853935185187</v>
      </c>
      <c r="D665" s="3" t="s">
        <v>2024</v>
      </c>
      <c r="E665" s="10">
        <v>45676.857858796298</v>
      </c>
      <c r="F665" s="10">
        <v>45677.56050925926</v>
      </c>
      <c r="G665" s="11">
        <f t="shared" si="20"/>
        <v>3.9236111115314998E-3</v>
      </c>
      <c r="H665" s="11">
        <f t="shared" si="21"/>
        <v>0.70657407407270512</v>
      </c>
    </row>
    <row r="666" spans="1:8" x14ac:dyDescent="0.25">
      <c r="A666" s="3" t="s">
        <v>2111</v>
      </c>
      <c r="B666" s="3" t="s">
        <v>3194</v>
      </c>
      <c r="C666" s="10">
        <v>45677.115381944437</v>
      </c>
      <c r="D666" s="3" t="s">
        <v>2093</v>
      </c>
      <c r="E666" s="10">
        <v>45677.397094907406</v>
      </c>
      <c r="F666" s="10">
        <v>45678.164965277778</v>
      </c>
      <c r="G666" s="11">
        <f t="shared" si="20"/>
        <v>0.28171296296932269</v>
      </c>
      <c r="H666" s="11">
        <f t="shared" si="21"/>
        <v>1.0495833333407063</v>
      </c>
    </row>
    <row r="667" spans="1:8" x14ac:dyDescent="0.25">
      <c r="A667" s="3" t="s">
        <v>2113</v>
      </c>
      <c r="B667" s="3" t="s">
        <v>3193</v>
      </c>
      <c r="C667" s="10">
        <v>45677.117013888892</v>
      </c>
      <c r="D667" s="3" t="s">
        <v>2114</v>
      </c>
      <c r="E667" s="10">
        <v>45677.119409722232</v>
      </c>
      <c r="F667" s="10">
        <v>45677.642256944448</v>
      </c>
      <c r="G667" s="11">
        <f t="shared" si="20"/>
        <v>2.3958333404152654E-3</v>
      </c>
      <c r="H667" s="11">
        <f t="shared" si="21"/>
        <v>0.52524305555562023</v>
      </c>
    </row>
    <row r="668" spans="1:8" x14ac:dyDescent="0.25">
      <c r="A668" s="3" t="s">
        <v>2116</v>
      </c>
      <c r="B668" s="3" t="s">
        <v>3197</v>
      </c>
      <c r="C668" s="10">
        <v>45677.119004629632</v>
      </c>
      <c r="D668" s="3" t="s">
        <v>2090</v>
      </c>
      <c r="E668" s="10">
        <v>45677.409537037027</v>
      </c>
      <c r="F668" s="10">
        <v>45678.310578703713</v>
      </c>
      <c r="G668" s="11">
        <f t="shared" si="20"/>
        <v>0.29053240739449393</v>
      </c>
      <c r="H668" s="11">
        <f t="shared" si="21"/>
        <v>1.1915740740805632</v>
      </c>
    </row>
    <row r="669" spans="1:8" x14ac:dyDescent="0.25">
      <c r="A669" s="3" t="s">
        <v>2118</v>
      </c>
      <c r="B669" s="3" t="s">
        <v>3199</v>
      </c>
      <c r="C669" s="10">
        <v>45677.120995370373</v>
      </c>
      <c r="D669" s="3" t="s">
        <v>2119</v>
      </c>
      <c r="E669" s="10">
        <v>45677.541597222233</v>
      </c>
      <c r="F669" s="10">
        <v>45678.359386574077</v>
      </c>
      <c r="G669" s="11">
        <f t="shared" si="20"/>
        <v>0.42060185185982846</v>
      </c>
      <c r="H669" s="11">
        <f t="shared" si="21"/>
        <v>1.2383912037039408</v>
      </c>
    </row>
    <row r="670" spans="1:8" x14ac:dyDescent="0.25">
      <c r="A670" s="3" t="s">
        <v>2121</v>
      </c>
      <c r="B670" s="3" t="s">
        <v>3204</v>
      </c>
      <c r="C670" s="10">
        <v>45677.199675925927</v>
      </c>
      <c r="D670" s="3" t="s">
        <v>2050</v>
      </c>
      <c r="E670" s="10">
        <v>45677.20207175926</v>
      </c>
      <c r="F670" s="10">
        <v>45677.724537037036</v>
      </c>
      <c r="G670" s="11">
        <f t="shared" si="20"/>
        <v>2.3958333331393078E-3</v>
      </c>
      <c r="H670" s="11">
        <f t="shared" si="21"/>
        <v>0.52486111110920319</v>
      </c>
    </row>
    <row r="671" spans="1:8" x14ac:dyDescent="0.25">
      <c r="A671" s="3" t="s">
        <v>2124</v>
      </c>
      <c r="B671" s="3" t="s">
        <v>3203</v>
      </c>
      <c r="C671" s="10">
        <v>45677.331793981481</v>
      </c>
      <c r="D671" s="3" t="s">
        <v>2125</v>
      </c>
      <c r="E671" s="10">
        <v>45677.333958333344</v>
      </c>
      <c r="F671" s="10">
        <v>45677.686111111107</v>
      </c>
      <c r="G671" s="11">
        <f t="shared" si="20"/>
        <v>2.1643518630298786E-3</v>
      </c>
      <c r="H671" s="11">
        <f t="shared" si="21"/>
        <v>0.35431712962599704</v>
      </c>
    </row>
    <row r="672" spans="1:8" x14ac:dyDescent="0.25">
      <c r="A672" s="3" t="s">
        <v>2127</v>
      </c>
      <c r="B672" s="3" t="s">
        <v>3197</v>
      </c>
      <c r="C672" s="10">
        <v>45677.333611111113</v>
      </c>
      <c r="D672" s="3" t="s">
        <v>2090</v>
      </c>
      <c r="E672" s="10">
        <v>45677.409537037027</v>
      </c>
      <c r="F672" s="10">
        <v>45678.310578703713</v>
      </c>
      <c r="G672" s="11">
        <f t="shared" si="20"/>
        <v>7.5925925913907122E-2</v>
      </c>
      <c r="H672" s="11">
        <f t="shared" si="21"/>
        <v>0.97696759259997634</v>
      </c>
    </row>
    <row r="673" spans="1:8" x14ac:dyDescent="0.25">
      <c r="A673" s="3" t="s">
        <v>2129</v>
      </c>
      <c r="B673" s="3" t="s">
        <v>3205</v>
      </c>
      <c r="C673" s="10">
        <v>45677.334849537037</v>
      </c>
      <c r="D673" s="3" t="s">
        <v>2059</v>
      </c>
      <c r="E673" s="10">
        <v>45677.338391203702</v>
      </c>
      <c r="F673" s="10">
        <v>45677.696527777778</v>
      </c>
      <c r="G673" s="11">
        <f t="shared" si="20"/>
        <v>3.5416666651144624E-3</v>
      </c>
      <c r="H673" s="11">
        <f t="shared" si="21"/>
        <v>0.36167824074072996</v>
      </c>
    </row>
    <row r="674" spans="1:8" x14ac:dyDescent="0.25">
      <c r="A674" s="3" t="s">
        <v>2131</v>
      </c>
      <c r="B674" s="3" t="s">
        <v>3195</v>
      </c>
      <c r="C674" s="10">
        <v>45677.336423611108</v>
      </c>
      <c r="D674" s="3" t="s">
        <v>2009</v>
      </c>
      <c r="E674" s="10">
        <v>45679.314988425933</v>
      </c>
      <c r="F674" s="10">
        <v>45680.326550925929</v>
      </c>
      <c r="G674" s="11">
        <f t="shared" si="20"/>
        <v>1.9785648148244945</v>
      </c>
      <c r="H674" s="11">
        <f t="shared" si="21"/>
        <v>2.990127314820711</v>
      </c>
    </row>
    <row r="675" spans="1:8" x14ac:dyDescent="0.25">
      <c r="A675" s="3" t="s">
        <v>2133</v>
      </c>
      <c r="B675" s="3" t="s">
        <v>3204</v>
      </c>
      <c r="C675" s="10">
        <v>45677.33834490741</v>
      </c>
      <c r="D675" s="3" t="s">
        <v>2134</v>
      </c>
      <c r="E675" s="10">
        <v>45677.890011574083</v>
      </c>
      <c r="F675" s="10">
        <v>45678.712407407409</v>
      </c>
      <c r="G675" s="11">
        <f t="shared" si="20"/>
        <v>0.55166666667355457</v>
      </c>
      <c r="H675" s="11">
        <f t="shared" si="21"/>
        <v>1.3740624999991269</v>
      </c>
    </row>
    <row r="676" spans="1:8" x14ac:dyDescent="0.25">
      <c r="A676" s="3" t="s">
        <v>2136</v>
      </c>
      <c r="B676" s="3" t="s">
        <v>3196</v>
      </c>
      <c r="C676" s="10">
        <v>45677.340150462973</v>
      </c>
      <c r="D676" s="3" t="s">
        <v>2137</v>
      </c>
      <c r="E676" s="10">
        <v>45678.142881944441</v>
      </c>
      <c r="F676" s="10">
        <v>45678.69976851852</v>
      </c>
      <c r="G676" s="11">
        <f t="shared" si="20"/>
        <v>0.80273148146807216</v>
      </c>
      <c r="H676" s="11">
        <f t="shared" si="21"/>
        <v>1.3596180555468891</v>
      </c>
    </row>
    <row r="677" spans="1:8" x14ac:dyDescent="0.25">
      <c r="A677" s="3" t="s">
        <v>2140</v>
      </c>
      <c r="B677" s="3" t="s">
        <v>3199</v>
      </c>
      <c r="C677" s="10">
        <v>45677.341921296298</v>
      </c>
      <c r="D677" s="3" t="s">
        <v>2119</v>
      </c>
      <c r="E677" s="10">
        <v>45677.541597222233</v>
      </c>
      <c r="F677" s="10">
        <v>45678.359386574077</v>
      </c>
      <c r="G677" s="11">
        <f t="shared" si="20"/>
        <v>0.19967592593457084</v>
      </c>
      <c r="H677" s="11">
        <f t="shared" si="21"/>
        <v>1.0174652777786832</v>
      </c>
    </row>
    <row r="678" spans="1:8" x14ac:dyDescent="0.25">
      <c r="A678" s="3" t="s">
        <v>2143</v>
      </c>
      <c r="B678" s="3" t="s">
        <v>3197</v>
      </c>
      <c r="C678" s="10">
        <v>45677.34375</v>
      </c>
      <c r="D678" s="3" t="s">
        <v>2090</v>
      </c>
      <c r="E678" s="10">
        <v>45677.409537037027</v>
      </c>
      <c r="F678" s="10">
        <v>45678.310578703713</v>
      </c>
      <c r="G678" s="11">
        <f t="shared" si="20"/>
        <v>6.5787037026893813E-2</v>
      </c>
      <c r="H678" s="11">
        <f t="shared" si="21"/>
        <v>0.96682870371296303</v>
      </c>
    </row>
    <row r="679" spans="1:8" x14ac:dyDescent="0.25">
      <c r="A679" s="3" t="s">
        <v>2145</v>
      </c>
      <c r="B679" s="3" t="s">
        <v>3201</v>
      </c>
      <c r="C679" s="10">
        <v>45677.345393518517</v>
      </c>
      <c r="D679" s="3" t="s">
        <v>2146</v>
      </c>
      <c r="E679" s="10">
        <v>45677.662523148138</v>
      </c>
      <c r="F679" s="10">
        <v>45678.427118055559</v>
      </c>
      <c r="G679" s="11">
        <f t="shared" si="20"/>
        <v>0.31712962962046731</v>
      </c>
      <c r="H679" s="11">
        <f t="shared" si="21"/>
        <v>1.0817245370417368</v>
      </c>
    </row>
    <row r="680" spans="1:8" x14ac:dyDescent="0.25">
      <c r="A680" s="3" t="s">
        <v>2149</v>
      </c>
      <c r="B680" s="3" t="s">
        <v>3206</v>
      </c>
      <c r="C680" s="10">
        <v>45677.346863425933</v>
      </c>
      <c r="D680" s="3" t="s">
        <v>2150</v>
      </c>
      <c r="E680" s="10">
        <v>45677.613344907397</v>
      </c>
      <c r="F680" s="10">
        <v>45678.457037037027</v>
      </c>
      <c r="G680" s="11">
        <f t="shared" si="20"/>
        <v>0.26648148146341555</v>
      </c>
      <c r="H680" s="11">
        <f t="shared" si="21"/>
        <v>1.1101736110940692</v>
      </c>
    </row>
    <row r="681" spans="1:8" x14ac:dyDescent="0.25">
      <c r="A681" s="3" t="s">
        <v>2152</v>
      </c>
      <c r="B681" s="3" t="s">
        <v>3204</v>
      </c>
      <c r="C681" s="10">
        <v>45677.348749999997</v>
      </c>
      <c r="D681" s="3" t="s">
        <v>2134</v>
      </c>
      <c r="E681" s="10">
        <v>45677.890011574083</v>
      </c>
      <c r="F681" s="10">
        <v>45678.712407407409</v>
      </c>
      <c r="G681" s="11">
        <f t="shared" si="20"/>
        <v>0.54126157408609288</v>
      </c>
      <c r="H681" s="11">
        <f t="shared" si="21"/>
        <v>1.3636574074116652</v>
      </c>
    </row>
    <row r="682" spans="1:8" x14ac:dyDescent="0.25">
      <c r="A682" s="3" t="s">
        <v>2154</v>
      </c>
      <c r="B682" s="3" t="s">
        <v>3197</v>
      </c>
      <c r="C682" s="10">
        <v>45677.350555555553</v>
      </c>
      <c r="D682" s="3" t="s">
        <v>2090</v>
      </c>
      <c r="E682" s="10">
        <v>45677.409537037027</v>
      </c>
      <c r="F682" s="10">
        <v>45678.310578703713</v>
      </c>
      <c r="G682" s="11">
        <f t="shared" si="20"/>
        <v>5.8981481473892927E-2</v>
      </c>
      <c r="H682" s="11">
        <f t="shared" si="21"/>
        <v>0.96002314815996215</v>
      </c>
    </row>
    <row r="683" spans="1:8" x14ac:dyDescent="0.25">
      <c r="A683" s="3" t="s">
        <v>2156</v>
      </c>
      <c r="B683" s="3" t="s">
        <v>3202</v>
      </c>
      <c r="C683" s="10">
        <v>45677.351863425924</v>
      </c>
      <c r="D683" s="3" t="s">
        <v>1735</v>
      </c>
      <c r="E683" s="10">
        <v>45677.356562499997</v>
      </c>
      <c r="F683" s="10">
        <v>45677.742604166669</v>
      </c>
      <c r="G683" s="11">
        <f t="shared" si="20"/>
        <v>4.6990740738692693E-3</v>
      </c>
      <c r="H683" s="11">
        <f t="shared" si="21"/>
        <v>0.39074074074596865</v>
      </c>
    </row>
    <row r="684" spans="1:8" x14ac:dyDescent="0.25">
      <c r="A684" s="3" t="s">
        <v>2186</v>
      </c>
      <c r="B684" s="3" t="s">
        <v>3203</v>
      </c>
      <c r="C684" s="10">
        <v>45677.385555555556</v>
      </c>
      <c r="D684" s="3" t="s">
        <v>2187</v>
      </c>
      <c r="E684" s="10">
        <v>45677.38795138889</v>
      </c>
      <c r="F684" s="10">
        <v>45677.91542824074</v>
      </c>
      <c r="G684" s="11">
        <f t="shared" si="20"/>
        <v>2.3958333331393078E-3</v>
      </c>
      <c r="H684" s="11">
        <f t="shared" si="21"/>
        <v>0.5298726851833635</v>
      </c>
    </row>
    <row r="685" spans="1:8" x14ac:dyDescent="0.25">
      <c r="A685" s="3" t="s">
        <v>2160</v>
      </c>
      <c r="B685" s="3" t="s">
        <v>3201</v>
      </c>
      <c r="C685" s="10">
        <v>45677.390370370369</v>
      </c>
      <c r="D685" s="3" t="s">
        <v>2146</v>
      </c>
      <c r="E685" s="10">
        <v>45677.662523148138</v>
      </c>
      <c r="F685" s="10">
        <v>45678.427118055559</v>
      </c>
      <c r="G685" s="11">
        <f t="shared" si="20"/>
        <v>0.27215277776849689</v>
      </c>
      <c r="H685" s="11">
        <f t="shared" si="21"/>
        <v>1.0367476851897663</v>
      </c>
    </row>
    <row r="686" spans="1:8" x14ac:dyDescent="0.25">
      <c r="A686" s="3" t="s">
        <v>2162</v>
      </c>
      <c r="B686" s="3" t="s">
        <v>3204</v>
      </c>
      <c r="C686" s="10">
        <v>45677.392465277779</v>
      </c>
      <c r="D686" s="3" t="s">
        <v>2134</v>
      </c>
      <c r="E686" s="10">
        <v>45677.890011574083</v>
      </c>
      <c r="F686" s="10">
        <v>45678.712407407409</v>
      </c>
      <c r="G686" s="11">
        <f t="shared" si="20"/>
        <v>0.4975462963047903</v>
      </c>
      <c r="H686" s="11">
        <f t="shared" si="21"/>
        <v>1.3199421296303626</v>
      </c>
    </row>
    <row r="687" spans="1:8" x14ac:dyDescent="0.25">
      <c r="A687" s="3" t="s">
        <v>2164</v>
      </c>
      <c r="B687" s="3" t="s">
        <v>3194</v>
      </c>
      <c r="C687" s="10">
        <v>45677.394699074073</v>
      </c>
      <c r="D687" s="3" t="s">
        <v>2093</v>
      </c>
      <c r="E687" s="10">
        <v>45677.397094907406</v>
      </c>
      <c r="F687" s="10">
        <v>45678.164965277778</v>
      </c>
      <c r="G687" s="11">
        <f t="shared" si="20"/>
        <v>2.3958333331393078E-3</v>
      </c>
      <c r="H687" s="11">
        <f t="shared" si="21"/>
        <v>0.77026620370452292</v>
      </c>
    </row>
    <row r="688" spans="1:8" x14ac:dyDescent="0.25">
      <c r="A688" s="3" t="s">
        <v>2166</v>
      </c>
      <c r="B688" s="3" t="s">
        <v>3199</v>
      </c>
      <c r="C688" s="10">
        <v>45677.396608796298</v>
      </c>
      <c r="D688" s="3" t="s">
        <v>2119</v>
      </c>
      <c r="E688" s="10">
        <v>45677.541597222233</v>
      </c>
      <c r="F688" s="10">
        <v>45678.359386574077</v>
      </c>
      <c r="G688" s="11">
        <f t="shared" si="20"/>
        <v>0.14498842593457084</v>
      </c>
      <c r="H688" s="11">
        <f t="shared" si="21"/>
        <v>0.96277777777868323</v>
      </c>
    </row>
    <row r="689" spans="1:8" x14ac:dyDescent="0.25">
      <c r="A689" s="3" t="s">
        <v>2168</v>
      </c>
      <c r="B689" s="3" t="s">
        <v>3197</v>
      </c>
      <c r="C689" s="10">
        <v>45677.398611111108</v>
      </c>
      <c r="D689" s="3" t="s">
        <v>2090</v>
      </c>
      <c r="E689" s="10">
        <v>45677.409537037027</v>
      </c>
      <c r="F689" s="10">
        <v>45678.310578703713</v>
      </c>
      <c r="G689" s="11">
        <f t="shared" si="20"/>
        <v>1.0925925918854773E-2</v>
      </c>
      <c r="H689" s="11">
        <f t="shared" si="21"/>
        <v>0.91196759260492399</v>
      </c>
    </row>
    <row r="690" spans="1:8" x14ac:dyDescent="0.25">
      <c r="A690" s="3" t="s">
        <v>2171</v>
      </c>
      <c r="B690" s="3" t="s">
        <v>3196</v>
      </c>
      <c r="C690" s="10">
        <v>45677.400555555563</v>
      </c>
      <c r="D690" s="3" t="s">
        <v>2137</v>
      </c>
      <c r="E690" s="10">
        <v>45678.142881944441</v>
      </c>
      <c r="F690" s="10">
        <v>45678.69976851852</v>
      </c>
      <c r="G690" s="11">
        <f t="shared" si="20"/>
        <v>0.74232638887770008</v>
      </c>
      <c r="H690" s="11">
        <f t="shared" si="21"/>
        <v>1.299212962956517</v>
      </c>
    </row>
    <row r="691" spans="1:8" x14ac:dyDescent="0.25">
      <c r="A691" s="3" t="s">
        <v>2173</v>
      </c>
      <c r="B691" s="3" t="s">
        <v>3193</v>
      </c>
      <c r="C691" s="10">
        <v>45677.40184027778</v>
      </c>
      <c r="D691" s="3" t="s">
        <v>2174</v>
      </c>
      <c r="E691" s="10">
        <v>45679.754247685189</v>
      </c>
      <c r="F691" s="10">
        <v>45680.701678240737</v>
      </c>
      <c r="G691" s="11">
        <f t="shared" si="20"/>
        <v>2.3524074074084638</v>
      </c>
      <c r="H691" s="11">
        <f t="shared" si="21"/>
        <v>3.2998379629570991</v>
      </c>
    </row>
    <row r="692" spans="1:8" x14ac:dyDescent="0.25">
      <c r="A692" s="3" t="s">
        <v>2177</v>
      </c>
      <c r="B692" s="3" t="s">
        <v>3201</v>
      </c>
      <c r="C692" s="10">
        <v>45677.403599537043</v>
      </c>
      <c r="D692" s="3" t="s">
        <v>2146</v>
      </c>
      <c r="E692" s="10">
        <v>45677.662523148138</v>
      </c>
      <c r="F692" s="10">
        <v>45678.427118055559</v>
      </c>
      <c r="G692" s="11">
        <f t="shared" si="20"/>
        <v>0.25892361109436024</v>
      </c>
      <c r="H692" s="11">
        <f t="shared" si="21"/>
        <v>1.0235185185156297</v>
      </c>
    </row>
    <row r="693" spans="1:8" x14ac:dyDescent="0.25">
      <c r="A693" s="3" t="s">
        <v>2179</v>
      </c>
      <c r="B693" s="3" t="s">
        <v>3197</v>
      </c>
      <c r="C693" s="10">
        <v>45677.405613425923</v>
      </c>
      <c r="D693" s="3" t="s">
        <v>2090</v>
      </c>
      <c r="E693" s="10">
        <v>45677.409537037027</v>
      </c>
      <c r="F693" s="10">
        <v>45678.310578703713</v>
      </c>
      <c r="G693" s="11">
        <f t="shared" si="20"/>
        <v>3.9236111042555422E-3</v>
      </c>
      <c r="H693" s="11">
        <f t="shared" si="21"/>
        <v>0.90496527779032476</v>
      </c>
    </row>
    <row r="694" spans="1:8" x14ac:dyDescent="0.25">
      <c r="A694" s="3" t="s">
        <v>2181</v>
      </c>
      <c r="B694" s="3" t="s">
        <v>3194</v>
      </c>
      <c r="C694" s="10">
        <v>45677.407581018517</v>
      </c>
      <c r="D694" s="3" t="s">
        <v>2182</v>
      </c>
      <c r="E694" s="10">
        <v>45678.327696759261</v>
      </c>
      <c r="F694" s="10">
        <v>45679.144120370373</v>
      </c>
      <c r="G694" s="11">
        <f t="shared" si="20"/>
        <v>0.92011574074422242</v>
      </c>
      <c r="H694" s="11">
        <f t="shared" si="21"/>
        <v>1.7365393518557539</v>
      </c>
    </row>
    <row r="695" spans="1:8" x14ac:dyDescent="0.25">
      <c r="A695" s="3" t="s">
        <v>2189</v>
      </c>
      <c r="B695" s="3" t="s">
        <v>3203</v>
      </c>
      <c r="C695" s="10">
        <v>45677.451898148152</v>
      </c>
      <c r="D695" s="3" t="s">
        <v>2190</v>
      </c>
      <c r="E695" s="10">
        <v>45677.456990740742</v>
      </c>
      <c r="F695" s="10">
        <v>45678.346018518518</v>
      </c>
      <c r="G695" s="11">
        <f t="shared" si="20"/>
        <v>5.0925925897900015E-3</v>
      </c>
      <c r="H695" s="11">
        <f t="shared" si="21"/>
        <v>0.89412037036527181</v>
      </c>
    </row>
    <row r="696" spans="1:8" x14ac:dyDescent="0.25">
      <c r="A696" s="3" t="s">
        <v>2192</v>
      </c>
      <c r="B696" s="3" t="s">
        <v>3203</v>
      </c>
      <c r="C696" s="10">
        <v>45677.453067129631</v>
      </c>
      <c r="D696" s="3" t="s">
        <v>2190</v>
      </c>
      <c r="E696" s="10">
        <v>45677.456990740742</v>
      </c>
      <c r="F696" s="10">
        <v>45678.346018518518</v>
      </c>
      <c r="G696" s="11">
        <f t="shared" si="20"/>
        <v>3.9236111115314998E-3</v>
      </c>
      <c r="H696" s="11">
        <f t="shared" si="21"/>
        <v>0.89295138888701331</v>
      </c>
    </row>
    <row r="697" spans="1:8" x14ac:dyDescent="0.25">
      <c r="A697" s="3" t="s">
        <v>2194</v>
      </c>
      <c r="B697" s="3" t="s">
        <v>3200</v>
      </c>
      <c r="C697" s="10">
        <v>45677.45511574074</v>
      </c>
      <c r="D697" s="3" t="s">
        <v>2195</v>
      </c>
      <c r="E697" s="10">
        <v>45677.457476851851</v>
      </c>
      <c r="F697" s="10">
        <v>45678.362291666657</v>
      </c>
      <c r="G697" s="11">
        <f t="shared" si="20"/>
        <v>2.3611111100763083E-3</v>
      </c>
      <c r="H697" s="11">
        <f t="shared" si="21"/>
        <v>0.9071759259168175</v>
      </c>
    </row>
    <row r="698" spans="1:8" x14ac:dyDescent="0.25">
      <c r="A698" s="3" t="s">
        <v>2197</v>
      </c>
      <c r="B698" s="3" t="s">
        <v>3199</v>
      </c>
      <c r="C698" s="10">
        <v>45677.539201388892</v>
      </c>
      <c r="D698" s="3" t="s">
        <v>2119</v>
      </c>
      <c r="E698" s="10">
        <v>45677.541597222233</v>
      </c>
      <c r="F698" s="10">
        <v>45678.359386574077</v>
      </c>
      <c r="G698" s="11">
        <f t="shared" si="20"/>
        <v>2.3958333404152654E-3</v>
      </c>
      <c r="H698" s="11">
        <f t="shared" si="21"/>
        <v>0.82018518518452765</v>
      </c>
    </row>
    <row r="699" spans="1:8" x14ac:dyDescent="0.25">
      <c r="A699" s="3" t="s">
        <v>2199</v>
      </c>
      <c r="B699" s="3" t="s">
        <v>3206</v>
      </c>
      <c r="C699" s="10">
        <v>45677.610949074071</v>
      </c>
      <c r="D699" s="3" t="s">
        <v>2150</v>
      </c>
      <c r="E699" s="10">
        <v>45677.613344907397</v>
      </c>
      <c r="F699" s="10">
        <v>45678.457037037027</v>
      </c>
      <c r="G699" s="11">
        <f t="shared" si="20"/>
        <v>2.3958333258633502E-3</v>
      </c>
      <c r="H699" s="11">
        <f t="shared" si="21"/>
        <v>0.846087962956517</v>
      </c>
    </row>
    <row r="700" spans="1:8" x14ac:dyDescent="0.25">
      <c r="A700" s="3" t="s">
        <v>2201</v>
      </c>
      <c r="B700" s="3" t="s">
        <v>3198</v>
      </c>
      <c r="C700" s="10">
        <v>45677.649814814817</v>
      </c>
      <c r="D700" s="3" t="s">
        <v>2014</v>
      </c>
      <c r="E700" s="10">
        <v>45679.751226851848</v>
      </c>
      <c r="F700" s="10">
        <v>45680.672326388893</v>
      </c>
      <c r="G700" s="11">
        <f t="shared" si="20"/>
        <v>2.1014120370309683</v>
      </c>
      <c r="H700" s="11">
        <f t="shared" si="21"/>
        <v>3.0225115740759065</v>
      </c>
    </row>
    <row r="701" spans="1:8" x14ac:dyDescent="0.25">
      <c r="A701" s="3" t="s">
        <v>2203</v>
      </c>
      <c r="B701" s="3" t="s">
        <v>3197</v>
      </c>
      <c r="C701" s="10">
        <v>45677.651770833327</v>
      </c>
      <c r="D701" s="3" t="s">
        <v>2204</v>
      </c>
      <c r="E701" s="10">
        <v>45678.335370370369</v>
      </c>
      <c r="F701" s="10">
        <v>45679.224594907413</v>
      </c>
      <c r="G701" s="11">
        <f t="shared" si="20"/>
        <v>0.68359953704202781</v>
      </c>
      <c r="H701" s="11">
        <f t="shared" si="21"/>
        <v>1.5728240740863839</v>
      </c>
    </row>
    <row r="702" spans="1:8" x14ac:dyDescent="0.25">
      <c r="A702" s="3" t="s">
        <v>2206</v>
      </c>
      <c r="B702" s="3" t="s">
        <v>3196</v>
      </c>
      <c r="C702" s="10">
        <v>45677.653692129628</v>
      </c>
      <c r="D702" s="3" t="s">
        <v>2137</v>
      </c>
      <c r="E702" s="10">
        <v>45678.142881944441</v>
      </c>
      <c r="F702" s="10">
        <v>45678.69976851852</v>
      </c>
      <c r="G702" s="11">
        <f t="shared" si="20"/>
        <v>0.48918981481256196</v>
      </c>
      <c r="H702" s="11">
        <f t="shared" si="21"/>
        <v>1.0460763888913789</v>
      </c>
    </row>
    <row r="703" spans="1:8" x14ac:dyDescent="0.25">
      <c r="A703" s="3" t="s">
        <v>2209</v>
      </c>
      <c r="B703" s="3" t="s">
        <v>3193</v>
      </c>
      <c r="C703" s="10">
        <v>45677.654976851853</v>
      </c>
      <c r="D703" s="3" t="s">
        <v>2174</v>
      </c>
      <c r="E703" s="10">
        <v>45679.754247685189</v>
      </c>
      <c r="F703" s="10">
        <v>45680.701678240737</v>
      </c>
      <c r="G703" s="11">
        <f t="shared" si="20"/>
        <v>2.0992708333360497</v>
      </c>
      <c r="H703" s="11">
        <f t="shared" si="21"/>
        <v>3.046701388884685</v>
      </c>
    </row>
    <row r="704" spans="1:8" x14ac:dyDescent="0.25">
      <c r="A704" s="3" t="s">
        <v>2211</v>
      </c>
      <c r="B704" s="3" t="s">
        <v>3201</v>
      </c>
      <c r="C704" s="10">
        <v>45677.656736111108</v>
      </c>
      <c r="D704" s="3" t="s">
        <v>2146</v>
      </c>
      <c r="E704" s="10">
        <v>45677.662523148138</v>
      </c>
      <c r="F704" s="10">
        <v>45678.427118055559</v>
      </c>
      <c r="G704" s="11">
        <f t="shared" si="20"/>
        <v>5.7870370292221196E-3</v>
      </c>
      <c r="H704" s="11">
        <f t="shared" si="21"/>
        <v>0.77038194445049157</v>
      </c>
    </row>
    <row r="705" spans="1:8" x14ac:dyDescent="0.25">
      <c r="A705" s="3" t="s">
        <v>2213</v>
      </c>
      <c r="B705" s="3" t="s">
        <v>3201</v>
      </c>
      <c r="C705" s="10">
        <v>45677.658599537041</v>
      </c>
      <c r="D705" s="3" t="s">
        <v>2146</v>
      </c>
      <c r="E705" s="10">
        <v>45677.662523148138</v>
      </c>
      <c r="F705" s="10">
        <v>45678.427118055559</v>
      </c>
      <c r="G705" s="11">
        <f t="shared" si="20"/>
        <v>3.9236110969795845E-3</v>
      </c>
      <c r="H705" s="11">
        <f t="shared" si="21"/>
        <v>0.76851851851824904</v>
      </c>
    </row>
    <row r="706" spans="1:8" x14ac:dyDescent="0.25">
      <c r="A706" s="3" t="s">
        <v>2215</v>
      </c>
      <c r="B706" s="3" t="s">
        <v>3199</v>
      </c>
      <c r="C706" s="10">
        <v>45677.660509259258</v>
      </c>
      <c r="D706" s="3" t="s">
        <v>2216</v>
      </c>
      <c r="E706" s="10">
        <v>45678.402199074073</v>
      </c>
      <c r="F706" s="10">
        <v>45679.361504629633</v>
      </c>
      <c r="G706" s="11">
        <f t="shared" ref="G706:G769" si="22">IF(AND(ISNUMBER(C706),ISNUMBER(E706)),(E706-C706),"")</f>
        <v>0.74168981481489027</v>
      </c>
      <c r="H706" s="11">
        <f t="shared" ref="H706:H769" si="23">IF(AND(ISNUMBER(C706),ISNUMBER(F706)),(F706-C706),"")</f>
        <v>1.700995370374585</v>
      </c>
    </row>
    <row r="707" spans="1:8" x14ac:dyDescent="0.25">
      <c r="A707" s="3" t="s">
        <v>2218</v>
      </c>
      <c r="B707" s="3" t="s">
        <v>3196</v>
      </c>
      <c r="C707" s="10">
        <v>45677.662453703713</v>
      </c>
      <c r="D707" s="3" t="s">
        <v>2137</v>
      </c>
      <c r="E707" s="10">
        <v>45678.142881944441</v>
      </c>
      <c r="F707" s="10">
        <v>45678.69976851852</v>
      </c>
      <c r="G707" s="11">
        <f t="shared" si="22"/>
        <v>0.48042824072763324</v>
      </c>
      <c r="H707" s="11">
        <f t="shared" si="23"/>
        <v>1.0373148148064502</v>
      </c>
    </row>
    <row r="708" spans="1:8" x14ac:dyDescent="0.25">
      <c r="A708" s="3" t="s">
        <v>2220</v>
      </c>
      <c r="B708" s="3" t="s">
        <v>3199</v>
      </c>
      <c r="C708" s="10">
        <v>45677.664375</v>
      </c>
      <c r="D708" s="3" t="s">
        <v>2216</v>
      </c>
      <c r="E708" s="10">
        <v>45678.402199074073</v>
      </c>
      <c r="F708" s="10">
        <v>45679.361504629633</v>
      </c>
      <c r="G708" s="11">
        <f t="shared" si="22"/>
        <v>0.73782407407270512</v>
      </c>
      <c r="H708" s="11">
        <f t="shared" si="23"/>
        <v>1.6971296296323999</v>
      </c>
    </row>
    <row r="709" spans="1:8" x14ac:dyDescent="0.25">
      <c r="A709" s="3" t="s">
        <v>2222</v>
      </c>
      <c r="B709" s="3" t="s">
        <v>3203</v>
      </c>
      <c r="C709" s="10">
        <v>45677.66814814815</v>
      </c>
      <c r="D709" s="3" t="s">
        <v>2223</v>
      </c>
      <c r="E709" s="10">
        <v>45677.670520833337</v>
      </c>
      <c r="F709" s="10">
        <v>45678.465671296297</v>
      </c>
      <c r="G709" s="11">
        <f t="shared" si="22"/>
        <v>2.3726851868559606E-3</v>
      </c>
      <c r="H709" s="11">
        <f t="shared" si="23"/>
        <v>0.79752314814686542</v>
      </c>
    </row>
    <row r="710" spans="1:8" x14ac:dyDescent="0.25">
      <c r="A710" s="3" t="s">
        <v>2227</v>
      </c>
      <c r="B710" s="3" t="s">
        <v>3203</v>
      </c>
      <c r="C710" s="10">
        <v>45677.718217592592</v>
      </c>
      <c r="D710" s="3" t="s">
        <v>2228</v>
      </c>
      <c r="E710" s="10">
        <v>45677.720613425918</v>
      </c>
      <c r="F710" s="10">
        <v>45678.673634259263</v>
      </c>
      <c r="G710" s="11">
        <f t="shared" si="22"/>
        <v>2.3958333258633502E-3</v>
      </c>
      <c r="H710" s="11">
        <f t="shared" si="23"/>
        <v>0.95541666667122627</v>
      </c>
    </row>
    <row r="711" spans="1:8" x14ac:dyDescent="0.25">
      <c r="A711" s="3" t="s">
        <v>2230</v>
      </c>
      <c r="B711" s="3" t="s">
        <v>3204</v>
      </c>
      <c r="C711" s="10">
        <v>45677.887615740743</v>
      </c>
      <c r="D711" s="3" t="s">
        <v>2134</v>
      </c>
      <c r="E711" s="10">
        <v>45677.890011574083</v>
      </c>
      <c r="F711" s="10">
        <v>45678.712407407409</v>
      </c>
      <c r="G711" s="11">
        <f t="shared" si="22"/>
        <v>2.3958333404152654E-3</v>
      </c>
      <c r="H711" s="11">
        <f t="shared" si="23"/>
        <v>0.82479166666598758</v>
      </c>
    </row>
    <row r="712" spans="1:8" x14ac:dyDescent="0.25">
      <c r="A712" s="3" t="s">
        <v>2232</v>
      </c>
      <c r="B712" s="3" t="s">
        <v>3199</v>
      </c>
      <c r="C712" s="10">
        <v>45678.131469907406</v>
      </c>
      <c r="D712" s="3" t="s">
        <v>2216</v>
      </c>
      <c r="E712" s="10">
        <v>45678.402199074073</v>
      </c>
      <c r="F712" s="10">
        <v>45679.361504629633</v>
      </c>
      <c r="G712" s="11">
        <f t="shared" si="22"/>
        <v>0.27072916666656965</v>
      </c>
      <c r="H712" s="11">
        <f t="shared" si="23"/>
        <v>1.2300347222262644</v>
      </c>
    </row>
    <row r="713" spans="1:8" x14ac:dyDescent="0.25">
      <c r="A713" s="3" t="s">
        <v>2234</v>
      </c>
      <c r="B713" s="3" t="s">
        <v>3196</v>
      </c>
      <c r="C713" s="10">
        <v>45678.133449074077</v>
      </c>
      <c r="D713" s="3" t="s">
        <v>2137</v>
      </c>
      <c r="E713" s="10">
        <v>45678.142881944441</v>
      </c>
      <c r="F713" s="10">
        <v>45678.69976851852</v>
      </c>
      <c r="G713" s="11">
        <f t="shared" si="22"/>
        <v>9.4328703635255806E-3</v>
      </c>
      <c r="H713" s="11">
        <f t="shared" si="23"/>
        <v>0.5663194444423425</v>
      </c>
    </row>
    <row r="714" spans="1:8" x14ac:dyDescent="0.25">
      <c r="A714" s="3" t="s">
        <v>2236</v>
      </c>
      <c r="B714" s="3" t="s">
        <v>3203</v>
      </c>
      <c r="C714" s="10">
        <v>45678.134652777779</v>
      </c>
      <c r="D714" s="3" t="s">
        <v>2237</v>
      </c>
      <c r="E714" s="10">
        <v>45678.394826388889</v>
      </c>
      <c r="F714" s="10">
        <v>45679.348368055558</v>
      </c>
      <c r="G714" s="11">
        <f t="shared" si="22"/>
        <v>0.26017361111007631</v>
      </c>
      <c r="H714" s="11">
        <f t="shared" si="23"/>
        <v>1.2137152777795563</v>
      </c>
    </row>
    <row r="715" spans="1:8" x14ac:dyDescent="0.25">
      <c r="A715" s="3" t="s">
        <v>2239</v>
      </c>
      <c r="B715" s="3" t="s">
        <v>3194</v>
      </c>
      <c r="C715" s="10">
        <v>45678.136608796303</v>
      </c>
      <c r="D715" s="3" t="s">
        <v>2182</v>
      </c>
      <c r="E715" s="10">
        <v>45678.327696759261</v>
      </c>
      <c r="F715" s="10">
        <v>45679.144120370373</v>
      </c>
      <c r="G715" s="11">
        <f t="shared" si="22"/>
        <v>0.19108796295768116</v>
      </c>
      <c r="H715" s="11">
        <f t="shared" si="23"/>
        <v>1.0075115740692127</v>
      </c>
    </row>
    <row r="716" spans="1:8" x14ac:dyDescent="0.25">
      <c r="A716" s="3" t="s">
        <v>2241</v>
      </c>
      <c r="B716" s="3" t="s">
        <v>3196</v>
      </c>
      <c r="C716" s="10">
        <v>45678.138958333337</v>
      </c>
      <c r="D716" s="3" t="s">
        <v>2137</v>
      </c>
      <c r="E716" s="10">
        <v>45678.142881944441</v>
      </c>
      <c r="F716" s="10">
        <v>45678.69976851852</v>
      </c>
      <c r="G716" s="11">
        <f t="shared" si="22"/>
        <v>3.9236111042555422E-3</v>
      </c>
      <c r="H716" s="11">
        <f t="shared" si="23"/>
        <v>0.56081018518307246</v>
      </c>
    </row>
    <row r="717" spans="1:8" x14ac:dyDescent="0.25">
      <c r="A717" s="3" t="s">
        <v>2243</v>
      </c>
      <c r="B717" s="3" t="s">
        <v>3202</v>
      </c>
      <c r="C717" s="10">
        <v>45678.28434027778</v>
      </c>
      <c r="D717" s="3" t="s">
        <v>2244</v>
      </c>
      <c r="E717" s="10">
        <v>45678.286712962959</v>
      </c>
      <c r="F717" s="10">
        <v>45678.920925925922</v>
      </c>
      <c r="G717" s="11">
        <f t="shared" si="22"/>
        <v>2.372685179580003E-3</v>
      </c>
      <c r="H717" s="11">
        <f t="shared" si="23"/>
        <v>0.63658564814249985</v>
      </c>
    </row>
    <row r="718" spans="1:8" x14ac:dyDescent="0.25">
      <c r="A718" s="3" t="s">
        <v>2246</v>
      </c>
      <c r="B718" s="3" t="s">
        <v>3205</v>
      </c>
      <c r="C718" s="10">
        <v>45678.319907407407</v>
      </c>
      <c r="D718" s="3" t="s">
        <v>2247</v>
      </c>
      <c r="E718" s="10">
        <v>45678.631504629629</v>
      </c>
      <c r="F718" s="10">
        <v>45679.464224537027</v>
      </c>
      <c r="G718" s="11">
        <f t="shared" si="22"/>
        <v>0.31159722222218988</v>
      </c>
      <c r="H718" s="11">
        <f t="shared" si="23"/>
        <v>1.1443171296195942</v>
      </c>
    </row>
    <row r="719" spans="1:8" x14ac:dyDescent="0.25">
      <c r="A719" s="3" t="s">
        <v>2249</v>
      </c>
      <c r="B719" s="3" t="s">
        <v>3193</v>
      </c>
      <c r="C719" s="10">
        <v>45678.321192129632</v>
      </c>
      <c r="D719" s="3" t="s">
        <v>2174</v>
      </c>
      <c r="E719" s="10">
        <v>45679.754247685189</v>
      </c>
      <c r="F719" s="10">
        <v>45680.701678240737</v>
      </c>
      <c r="G719" s="11">
        <f t="shared" si="22"/>
        <v>1.4330555555570754</v>
      </c>
      <c r="H719" s="11">
        <f t="shared" si="23"/>
        <v>2.3804861111057107</v>
      </c>
    </row>
    <row r="720" spans="1:8" x14ac:dyDescent="0.25">
      <c r="A720" s="3" t="s">
        <v>2251</v>
      </c>
      <c r="B720" s="3" t="s">
        <v>3196</v>
      </c>
      <c r="C720" s="10">
        <v>45678.323113425933</v>
      </c>
      <c r="D720" s="3" t="s">
        <v>2252</v>
      </c>
      <c r="E720" s="10">
        <v>45679.418935185182</v>
      </c>
      <c r="F720" s="10">
        <v>45680.47693287037</v>
      </c>
      <c r="G720" s="11">
        <f t="shared" si="22"/>
        <v>1.0958217592487927</v>
      </c>
      <c r="H720" s="11">
        <f t="shared" si="23"/>
        <v>2.1538194444365217</v>
      </c>
    </row>
    <row r="721" spans="1:8" x14ac:dyDescent="0.25">
      <c r="A721" s="3" t="s">
        <v>2254</v>
      </c>
      <c r="B721" s="3" t="s">
        <v>3194</v>
      </c>
      <c r="C721" s="10">
        <v>45678.325300925928</v>
      </c>
      <c r="D721" s="3" t="s">
        <v>2182</v>
      </c>
      <c r="E721" s="10">
        <v>45678.327696759261</v>
      </c>
      <c r="F721" s="10">
        <v>45679.144120370373</v>
      </c>
      <c r="G721" s="11">
        <f t="shared" si="22"/>
        <v>2.3958333331393078E-3</v>
      </c>
      <c r="H721" s="11">
        <f t="shared" si="23"/>
        <v>0.81881944444467081</v>
      </c>
    </row>
    <row r="722" spans="1:8" x14ac:dyDescent="0.25">
      <c r="A722" s="3" t="s">
        <v>2256</v>
      </c>
      <c r="B722" s="3" t="s">
        <v>3195</v>
      </c>
      <c r="C722" s="10">
        <v>45678.327025462961</v>
      </c>
      <c r="D722" s="3" t="s">
        <v>2009</v>
      </c>
      <c r="E722" s="10">
        <v>45679.314988425933</v>
      </c>
      <c r="F722" s="10">
        <v>45680.326550925929</v>
      </c>
      <c r="G722" s="11">
        <f t="shared" si="22"/>
        <v>0.98796296297223307</v>
      </c>
      <c r="H722" s="11">
        <f t="shared" si="23"/>
        <v>1.9995254629684496</v>
      </c>
    </row>
    <row r="723" spans="1:8" x14ac:dyDescent="0.25">
      <c r="A723" s="3" t="s">
        <v>2259</v>
      </c>
      <c r="B723" s="3" t="s">
        <v>3204</v>
      </c>
      <c r="C723" s="10">
        <v>45678.329050925917</v>
      </c>
      <c r="D723" s="3" t="s">
        <v>2260</v>
      </c>
      <c r="E723" s="10">
        <v>45679.204131944447</v>
      </c>
      <c r="F723" s="10">
        <v>45680.196909722217</v>
      </c>
      <c r="G723" s="11">
        <f t="shared" si="22"/>
        <v>0.87508101853018161</v>
      </c>
      <c r="H723" s="11">
        <f t="shared" si="23"/>
        <v>1.8678587963004247</v>
      </c>
    </row>
    <row r="724" spans="1:8" x14ac:dyDescent="0.25">
      <c r="A724" s="3" t="s">
        <v>2262</v>
      </c>
      <c r="B724" s="3" t="s">
        <v>3195</v>
      </c>
      <c r="C724" s="10">
        <v>45678.330787037034</v>
      </c>
      <c r="D724" s="3" t="s">
        <v>2009</v>
      </c>
      <c r="E724" s="10">
        <v>45679.314988425933</v>
      </c>
      <c r="F724" s="10">
        <v>45680.326550925929</v>
      </c>
      <c r="G724" s="11">
        <f t="shared" si="22"/>
        <v>0.98420138889923692</v>
      </c>
      <c r="H724" s="11">
        <f t="shared" si="23"/>
        <v>1.9957638888954534</v>
      </c>
    </row>
    <row r="725" spans="1:8" x14ac:dyDescent="0.25">
      <c r="A725" s="3" t="s">
        <v>2264</v>
      </c>
      <c r="B725" s="3" t="s">
        <v>3197</v>
      </c>
      <c r="C725" s="10">
        <v>45678.332974537043</v>
      </c>
      <c r="D725" s="3" t="s">
        <v>2204</v>
      </c>
      <c r="E725" s="10">
        <v>45678.335370370369</v>
      </c>
      <c r="F725" s="10">
        <v>45679.224594907413</v>
      </c>
      <c r="G725" s="11">
        <f t="shared" si="22"/>
        <v>2.3958333258633502E-3</v>
      </c>
      <c r="H725" s="11">
        <f t="shared" si="23"/>
        <v>0.89162037037021946</v>
      </c>
    </row>
    <row r="726" spans="1:8" x14ac:dyDescent="0.25">
      <c r="A726" s="3" t="s">
        <v>2268</v>
      </c>
      <c r="B726" s="3" t="s">
        <v>3197</v>
      </c>
      <c r="C726" s="10">
        <v>45678.336400462962</v>
      </c>
      <c r="D726" s="3" t="s">
        <v>2269</v>
      </c>
      <c r="E726" s="10">
        <v>45678.338796296302</v>
      </c>
      <c r="F726" s="10">
        <v>45679.337164351848</v>
      </c>
      <c r="G726" s="11">
        <f t="shared" si="22"/>
        <v>2.3958333404152654E-3</v>
      </c>
      <c r="H726" s="11">
        <f t="shared" si="23"/>
        <v>1.0007638888855581</v>
      </c>
    </row>
    <row r="727" spans="1:8" x14ac:dyDescent="0.25">
      <c r="A727" s="3" t="s">
        <v>2289</v>
      </c>
      <c r="B727" s="3" t="s">
        <v>3197</v>
      </c>
      <c r="C727" s="10">
        <v>45678.385104166657</v>
      </c>
      <c r="D727" s="3" t="s">
        <v>2290</v>
      </c>
      <c r="E727" s="10">
        <v>45678.440324074072</v>
      </c>
      <c r="F727" s="10">
        <v>45679.443506944437</v>
      </c>
      <c r="G727" s="11">
        <f t="shared" si="22"/>
        <v>5.5219907415448688E-2</v>
      </c>
      <c r="H727" s="11">
        <f t="shared" si="23"/>
        <v>1.0584027777804295</v>
      </c>
    </row>
    <row r="728" spans="1:8" x14ac:dyDescent="0.25">
      <c r="A728" s="3" t="s">
        <v>2292</v>
      </c>
      <c r="B728" s="3" t="s">
        <v>3203</v>
      </c>
      <c r="C728" s="10">
        <v>45678.386284722219</v>
      </c>
      <c r="D728" s="3" t="s">
        <v>2237</v>
      </c>
      <c r="E728" s="10">
        <v>45678.394826388889</v>
      </c>
      <c r="F728" s="10">
        <v>45679.348368055558</v>
      </c>
      <c r="G728" s="11">
        <f t="shared" si="22"/>
        <v>8.5416666697710752E-3</v>
      </c>
      <c r="H728" s="11">
        <f t="shared" si="23"/>
        <v>0.96208333333925111</v>
      </c>
    </row>
    <row r="729" spans="1:8" x14ac:dyDescent="0.25">
      <c r="A729" s="3" t="s">
        <v>2271</v>
      </c>
      <c r="B729" s="3" t="s">
        <v>3193</v>
      </c>
      <c r="C729" s="10">
        <v>45678.388437499998</v>
      </c>
      <c r="D729" s="3" t="s">
        <v>2174</v>
      </c>
      <c r="E729" s="10">
        <v>45679.754247685189</v>
      </c>
      <c r="F729" s="10">
        <v>45680.701678240737</v>
      </c>
      <c r="G729" s="11">
        <f t="shared" si="22"/>
        <v>1.3658101851906395</v>
      </c>
      <c r="H729" s="11">
        <f t="shared" si="23"/>
        <v>2.3132407407392748</v>
      </c>
    </row>
    <row r="730" spans="1:8" x14ac:dyDescent="0.25">
      <c r="A730" s="3" t="s">
        <v>2273</v>
      </c>
      <c r="B730" s="3" t="s">
        <v>3203</v>
      </c>
      <c r="C730" s="10">
        <v>45678.389722222222</v>
      </c>
      <c r="D730" s="3" t="s">
        <v>2237</v>
      </c>
      <c r="E730" s="10">
        <v>45678.394826388889</v>
      </c>
      <c r="F730" s="10">
        <v>45679.348368055558</v>
      </c>
      <c r="G730" s="11">
        <f t="shared" si="22"/>
        <v>5.1041666665696539E-3</v>
      </c>
      <c r="H730" s="11">
        <f t="shared" si="23"/>
        <v>0.95864583333604969</v>
      </c>
    </row>
    <row r="731" spans="1:8" x14ac:dyDescent="0.25">
      <c r="A731" s="3" t="s">
        <v>2275</v>
      </c>
      <c r="B731" s="3" t="s">
        <v>3203</v>
      </c>
      <c r="C731" s="10">
        <v>45678.3909375</v>
      </c>
      <c r="D731" s="3" t="s">
        <v>2237</v>
      </c>
      <c r="E731" s="10">
        <v>45678.394826388889</v>
      </c>
      <c r="F731" s="10">
        <v>45679.348368055558</v>
      </c>
      <c r="G731" s="11">
        <f t="shared" si="22"/>
        <v>3.8888888884685002E-3</v>
      </c>
      <c r="H731" s="11">
        <f t="shared" si="23"/>
        <v>0.95743055555794854</v>
      </c>
    </row>
    <row r="732" spans="1:8" x14ac:dyDescent="0.25">
      <c r="A732" s="3" t="s">
        <v>2277</v>
      </c>
      <c r="B732" s="3" t="s">
        <v>3199</v>
      </c>
      <c r="C732" s="10">
        <v>45678.393020833333</v>
      </c>
      <c r="D732" s="3" t="s">
        <v>2216</v>
      </c>
      <c r="E732" s="10">
        <v>45678.402199074073</v>
      </c>
      <c r="F732" s="10">
        <v>45679.361504629633</v>
      </c>
      <c r="G732" s="11">
        <f t="shared" si="22"/>
        <v>9.1782407398568466E-3</v>
      </c>
      <c r="H732" s="11">
        <f t="shared" si="23"/>
        <v>0.96848379629955161</v>
      </c>
    </row>
    <row r="733" spans="1:8" x14ac:dyDescent="0.25">
      <c r="A733" s="3" t="s">
        <v>2280</v>
      </c>
      <c r="B733" s="3" t="s">
        <v>3200</v>
      </c>
      <c r="C733" s="10">
        <v>45678.394953703697</v>
      </c>
      <c r="D733" s="3" t="s">
        <v>2281</v>
      </c>
      <c r="E733" s="10">
        <v>45678.397349537037</v>
      </c>
      <c r="F733" s="10">
        <v>45679.344409722216</v>
      </c>
      <c r="G733" s="11">
        <f t="shared" si="22"/>
        <v>2.3958333404152654E-3</v>
      </c>
      <c r="H733" s="11">
        <f t="shared" si="23"/>
        <v>0.94945601851941319</v>
      </c>
    </row>
    <row r="734" spans="1:8" x14ac:dyDescent="0.25">
      <c r="A734" s="3" t="s">
        <v>2283</v>
      </c>
      <c r="B734" s="3" t="s">
        <v>3205</v>
      </c>
      <c r="C734" s="10">
        <v>45678.39634259259</v>
      </c>
      <c r="D734" s="3" t="s">
        <v>2247</v>
      </c>
      <c r="E734" s="10">
        <v>45678.631504629629</v>
      </c>
      <c r="F734" s="10">
        <v>45679.464224537027</v>
      </c>
      <c r="G734" s="11">
        <f t="shared" si="22"/>
        <v>0.23516203703911742</v>
      </c>
      <c r="H734" s="11">
        <f t="shared" si="23"/>
        <v>1.0678819444365217</v>
      </c>
    </row>
    <row r="735" spans="1:8" x14ac:dyDescent="0.25">
      <c r="A735" s="3" t="s">
        <v>2285</v>
      </c>
      <c r="B735" s="3" t="s">
        <v>3199</v>
      </c>
      <c r="C735" s="10">
        <v>45678.398275462961</v>
      </c>
      <c r="D735" s="3" t="s">
        <v>2216</v>
      </c>
      <c r="E735" s="10">
        <v>45678.402199074073</v>
      </c>
      <c r="F735" s="10">
        <v>45679.361504629633</v>
      </c>
      <c r="G735" s="11">
        <f t="shared" si="22"/>
        <v>3.9236111115314998E-3</v>
      </c>
      <c r="H735" s="11">
        <f t="shared" si="23"/>
        <v>0.96322916667122627</v>
      </c>
    </row>
    <row r="736" spans="1:8" x14ac:dyDescent="0.25">
      <c r="A736" s="3" t="s">
        <v>2287</v>
      </c>
      <c r="B736" s="3" t="s">
        <v>3196</v>
      </c>
      <c r="C736" s="10">
        <v>45678.400185185194</v>
      </c>
      <c r="D736" s="3" t="s">
        <v>2252</v>
      </c>
      <c r="E736" s="10">
        <v>45679.418935185182</v>
      </c>
      <c r="F736" s="10">
        <v>45680.47693287037</v>
      </c>
      <c r="G736" s="11">
        <f t="shared" si="22"/>
        <v>1.0187499999883585</v>
      </c>
      <c r="H736" s="11">
        <f t="shared" si="23"/>
        <v>2.0767476851760875</v>
      </c>
    </row>
    <row r="737" spans="1:8" x14ac:dyDescent="0.25">
      <c r="A737" s="3" t="s">
        <v>2294</v>
      </c>
      <c r="B737" s="3" t="s">
        <v>3197</v>
      </c>
      <c r="C737" s="10">
        <v>45678.433055555557</v>
      </c>
      <c r="D737" s="3" t="s">
        <v>2290</v>
      </c>
      <c r="E737" s="10">
        <v>45678.440324074072</v>
      </c>
      <c r="F737" s="10">
        <v>45679.443506944437</v>
      </c>
      <c r="G737" s="11">
        <f t="shared" si="22"/>
        <v>7.2685185150476173E-3</v>
      </c>
      <c r="H737" s="11">
        <f t="shared" si="23"/>
        <v>1.0104513888800284</v>
      </c>
    </row>
    <row r="738" spans="1:8" x14ac:dyDescent="0.25">
      <c r="A738" s="3" t="s">
        <v>2296</v>
      </c>
      <c r="B738" s="3" t="s">
        <v>3203</v>
      </c>
      <c r="C738" s="10">
        <v>45678.434270833342</v>
      </c>
      <c r="D738" s="3" t="s">
        <v>2297</v>
      </c>
      <c r="E738" s="10">
        <v>45678.634826388887</v>
      </c>
      <c r="F738" s="10">
        <v>45679.580891203703</v>
      </c>
      <c r="G738" s="11">
        <f t="shared" si="22"/>
        <v>0.20055555554426974</v>
      </c>
      <c r="H738" s="11">
        <f t="shared" si="23"/>
        <v>1.1466203703603242</v>
      </c>
    </row>
    <row r="739" spans="1:8" x14ac:dyDescent="0.25">
      <c r="A739" s="3" t="s">
        <v>2299</v>
      </c>
      <c r="B739" s="3" t="s">
        <v>3197</v>
      </c>
      <c r="C739" s="10">
        <v>45678.436400462961</v>
      </c>
      <c r="D739" s="3" t="s">
        <v>2290</v>
      </c>
      <c r="E739" s="10">
        <v>45678.440324074072</v>
      </c>
      <c r="F739" s="10">
        <v>45679.443506944437</v>
      </c>
      <c r="G739" s="11">
        <f t="shared" si="22"/>
        <v>3.9236111115314998E-3</v>
      </c>
      <c r="H739" s="11">
        <f t="shared" si="23"/>
        <v>1.0071064814765123</v>
      </c>
    </row>
    <row r="740" spans="1:8" x14ac:dyDescent="0.25">
      <c r="A740" s="3" t="s">
        <v>2301</v>
      </c>
      <c r="B740" s="3" t="s">
        <v>3197</v>
      </c>
      <c r="C740" s="10">
        <v>45678.614201388889</v>
      </c>
      <c r="D740" s="3" t="s">
        <v>2302</v>
      </c>
      <c r="E740" s="10">
        <v>45678.616377314807</v>
      </c>
      <c r="F740" s="10">
        <v>45679.491215277783</v>
      </c>
      <c r="G740" s="11">
        <f t="shared" si="22"/>
        <v>2.1759259179816581E-3</v>
      </c>
      <c r="H740" s="11">
        <f t="shared" si="23"/>
        <v>0.87701388889399823</v>
      </c>
    </row>
    <row r="741" spans="1:8" x14ac:dyDescent="0.25">
      <c r="A741" s="3" t="s">
        <v>2304</v>
      </c>
      <c r="B741" s="3" t="s">
        <v>3205</v>
      </c>
      <c r="C741" s="10">
        <v>45678.627962962957</v>
      </c>
      <c r="D741" s="3" t="s">
        <v>2247</v>
      </c>
      <c r="E741" s="10">
        <v>45678.631504629629</v>
      </c>
      <c r="F741" s="10">
        <v>45679.464224537027</v>
      </c>
      <c r="G741" s="11">
        <f t="shared" si="22"/>
        <v>3.54166667239042E-3</v>
      </c>
      <c r="H741" s="11">
        <f t="shared" si="23"/>
        <v>0.83626157406979473</v>
      </c>
    </row>
    <row r="742" spans="1:8" x14ac:dyDescent="0.25">
      <c r="A742" s="3" t="s">
        <v>2306</v>
      </c>
      <c r="B742" s="3" t="s">
        <v>3198</v>
      </c>
      <c r="C742" s="10">
        <v>45678.629444444443</v>
      </c>
      <c r="D742" s="3" t="s">
        <v>2014</v>
      </c>
      <c r="E742" s="10">
        <v>45679.751226851848</v>
      </c>
      <c r="F742" s="10">
        <v>45680.672326388893</v>
      </c>
      <c r="G742" s="11">
        <f t="shared" si="22"/>
        <v>1.1217824074046803</v>
      </c>
      <c r="H742" s="11">
        <f t="shared" si="23"/>
        <v>2.0428819444496185</v>
      </c>
    </row>
    <row r="743" spans="1:8" x14ac:dyDescent="0.25">
      <c r="A743" s="3" t="s">
        <v>2308</v>
      </c>
      <c r="B743" s="3" t="s">
        <v>3201</v>
      </c>
      <c r="C743" s="10">
        <v>45678.631168981483</v>
      </c>
      <c r="D743" s="3" t="s">
        <v>2309</v>
      </c>
      <c r="E743" s="10">
        <v>45678.638495370367</v>
      </c>
      <c r="F743" s="10">
        <v>45679.664444444446</v>
      </c>
      <c r="G743" s="11">
        <f t="shared" si="22"/>
        <v>7.326388884393964E-3</v>
      </c>
      <c r="H743" s="11">
        <f t="shared" si="23"/>
        <v>1.0332754629635019</v>
      </c>
    </row>
    <row r="744" spans="1:8" x14ac:dyDescent="0.25">
      <c r="A744" s="3" t="s">
        <v>2311</v>
      </c>
      <c r="B744" s="3" t="s">
        <v>3203</v>
      </c>
      <c r="C744" s="10">
        <v>45678.632662037038</v>
      </c>
      <c r="D744" s="3" t="s">
        <v>2297</v>
      </c>
      <c r="E744" s="10">
        <v>45678.634826388887</v>
      </c>
      <c r="F744" s="10">
        <v>45679.580891203703</v>
      </c>
      <c r="G744" s="11">
        <f t="shared" si="22"/>
        <v>2.1643518484779634E-3</v>
      </c>
      <c r="H744" s="11">
        <f t="shared" si="23"/>
        <v>0.94822916666453239</v>
      </c>
    </row>
    <row r="745" spans="1:8" x14ac:dyDescent="0.25">
      <c r="A745" s="3" t="s">
        <v>2313</v>
      </c>
      <c r="B745" s="3" t="s">
        <v>3201</v>
      </c>
      <c r="C745" s="10">
        <v>45678.634606481479</v>
      </c>
      <c r="D745" s="3" t="s">
        <v>2309</v>
      </c>
      <c r="E745" s="10">
        <v>45678.638495370367</v>
      </c>
      <c r="F745" s="10">
        <v>45679.664444444446</v>
      </c>
      <c r="G745" s="11">
        <f t="shared" si="22"/>
        <v>3.8888888884685002E-3</v>
      </c>
      <c r="H745" s="11">
        <f t="shared" si="23"/>
        <v>1.0298379629675765</v>
      </c>
    </row>
    <row r="746" spans="1:8" x14ac:dyDescent="0.25">
      <c r="A746" s="3" t="s">
        <v>2315</v>
      </c>
      <c r="B746" s="3" t="s">
        <v>3196</v>
      </c>
      <c r="C746" s="10">
        <v>45678.636481481481</v>
      </c>
      <c r="D746" s="3" t="s">
        <v>2252</v>
      </c>
      <c r="E746" s="10">
        <v>45679.418935185182</v>
      </c>
      <c r="F746" s="10">
        <v>45680.47693287037</v>
      </c>
      <c r="G746" s="11">
        <f t="shared" si="22"/>
        <v>0.7824537037013215</v>
      </c>
      <c r="H746" s="11">
        <f t="shared" si="23"/>
        <v>1.8404513888890506</v>
      </c>
    </row>
    <row r="747" spans="1:8" x14ac:dyDescent="0.25">
      <c r="A747" s="3" t="s">
        <v>2317</v>
      </c>
      <c r="B747" s="3" t="s">
        <v>3206</v>
      </c>
      <c r="C747" s="10">
        <v>45678.638518518521</v>
      </c>
      <c r="D747" s="3" t="s">
        <v>2318</v>
      </c>
      <c r="E747" s="10">
        <v>45678.6408912037</v>
      </c>
      <c r="F747" s="10">
        <v>45679.780613425923</v>
      </c>
      <c r="G747" s="11">
        <f t="shared" si="22"/>
        <v>2.372685179580003E-3</v>
      </c>
      <c r="H747" s="11">
        <f t="shared" si="23"/>
        <v>1.1420949074017699</v>
      </c>
    </row>
    <row r="748" spans="1:8" x14ac:dyDescent="0.25">
      <c r="A748" s="3" t="s">
        <v>2320</v>
      </c>
      <c r="B748" s="3" t="s">
        <v>3195</v>
      </c>
      <c r="C748" s="10">
        <v>45678.640231481477</v>
      </c>
      <c r="D748" s="3" t="s">
        <v>2009</v>
      </c>
      <c r="E748" s="10">
        <v>45679.314988425933</v>
      </c>
      <c r="F748" s="10">
        <v>45680.326550925929</v>
      </c>
      <c r="G748" s="11">
        <f t="shared" si="22"/>
        <v>0.6747569444560213</v>
      </c>
      <c r="H748" s="11">
        <f t="shared" si="23"/>
        <v>1.6863194444522378</v>
      </c>
    </row>
    <row r="749" spans="1:8" x14ac:dyDescent="0.25">
      <c r="A749" s="3" t="s">
        <v>2322</v>
      </c>
      <c r="B749" s="3" t="s">
        <v>3197</v>
      </c>
      <c r="C749" s="10">
        <v>45678.64329861111</v>
      </c>
      <c r="D749" s="3" t="s">
        <v>2323</v>
      </c>
      <c r="E749" s="10">
        <v>45678.645682870367</v>
      </c>
      <c r="F749" s="10">
        <v>45679.78564814815</v>
      </c>
      <c r="G749" s="11">
        <f t="shared" si="22"/>
        <v>2.3842592563596554E-3</v>
      </c>
      <c r="H749" s="11">
        <f t="shared" si="23"/>
        <v>1.1423495370399905</v>
      </c>
    </row>
    <row r="750" spans="1:8" x14ac:dyDescent="0.25">
      <c r="A750" s="3" t="s">
        <v>2325</v>
      </c>
      <c r="B750" s="3" t="s">
        <v>3197</v>
      </c>
      <c r="C750" s="10">
        <v>45678.87777777778</v>
      </c>
      <c r="D750" s="3" t="s">
        <v>2326</v>
      </c>
      <c r="E750" s="10">
        <v>45678.880173611113</v>
      </c>
      <c r="F750" s="10">
        <v>45679.798854166656</v>
      </c>
      <c r="G750" s="11">
        <f t="shared" si="22"/>
        <v>2.3958333331393078E-3</v>
      </c>
      <c r="H750" s="11">
        <f t="shared" si="23"/>
        <v>0.92107638887682697</v>
      </c>
    </row>
    <row r="751" spans="1:8" x14ac:dyDescent="0.25">
      <c r="A751" s="3" t="s">
        <v>2328</v>
      </c>
      <c r="B751" s="3" t="s">
        <v>3203</v>
      </c>
      <c r="C751" s="10">
        <v>45679.115833333337</v>
      </c>
      <c r="D751" s="3" t="s">
        <v>2329</v>
      </c>
      <c r="E751" s="10">
        <v>45679.121203703697</v>
      </c>
      <c r="F751" s="10">
        <v>45679.905034722222</v>
      </c>
      <c r="G751" s="11">
        <f t="shared" si="22"/>
        <v>5.3703703597420827E-3</v>
      </c>
      <c r="H751" s="11">
        <f t="shared" si="23"/>
        <v>0.78920138888497604</v>
      </c>
    </row>
    <row r="752" spans="1:8" x14ac:dyDescent="0.25">
      <c r="A752" s="3" t="s">
        <v>2331</v>
      </c>
      <c r="B752" s="3" t="s">
        <v>3203</v>
      </c>
      <c r="C752" s="10">
        <v>45679.117291666669</v>
      </c>
      <c r="D752" s="3" t="s">
        <v>2329</v>
      </c>
      <c r="E752" s="10">
        <v>45679.121203703697</v>
      </c>
      <c r="F752" s="10">
        <v>45679.905034722222</v>
      </c>
      <c r="G752" s="11">
        <f t="shared" si="22"/>
        <v>3.9120370274758898E-3</v>
      </c>
      <c r="H752" s="11">
        <f t="shared" si="23"/>
        <v>0.78774305555270985</v>
      </c>
    </row>
    <row r="753" spans="1:8" x14ac:dyDescent="0.25">
      <c r="A753" s="3" t="s">
        <v>2333</v>
      </c>
      <c r="B753" s="3" t="s">
        <v>3199</v>
      </c>
      <c r="C753" s="10">
        <v>45679.11928240741</v>
      </c>
      <c r="D753" s="3" t="s">
        <v>2334</v>
      </c>
      <c r="E753" s="10">
        <v>45679.406851851847</v>
      </c>
      <c r="F753" s="10">
        <v>45680.361921296288</v>
      </c>
      <c r="G753" s="11">
        <f t="shared" si="22"/>
        <v>0.28756944443739485</v>
      </c>
      <c r="H753" s="11">
        <f t="shared" si="23"/>
        <v>1.2426388888779911</v>
      </c>
    </row>
    <row r="754" spans="1:8" x14ac:dyDescent="0.25">
      <c r="A754" s="3" t="s">
        <v>2336</v>
      </c>
      <c r="B754" s="3" t="s">
        <v>3194</v>
      </c>
      <c r="C754" s="10">
        <v>45679.12127314815</v>
      </c>
      <c r="D754" s="3" t="s">
        <v>2337</v>
      </c>
      <c r="E754" s="10">
        <v>45679.41238425926</v>
      </c>
      <c r="F754" s="10">
        <v>45680.398125</v>
      </c>
      <c r="G754" s="11">
        <f t="shared" si="22"/>
        <v>0.29111111110978527</v>
      </c>
      <c r="H754" s="11">
        <f t="shared" si="23"/>
        <v>1.2768518518496421</v>
      </c>
    </row>
    <row r="755" spans="1:8" x14ac:dyDescent="0.25">
      <c r="A755" s="3" t="s">
        <v>2339</v>
      </c>
      <c r="B755" s="3" t="s">
        <v>3204</v>
      </c>
      <c r="C755" s="10">
        <v>45679.201736111107</v>
      </c>
      <c r="D755" s="3" t="s">
        <v>2260</v>
      </c>
      <c r="E755" s="10">
        <v>45679.204131944447</v>
      </c>
      <c r="F755" s="10">
        <v>45680.196909722217</v>
      </c>
      <c r="G755" s="11">
        <f t="shared" si="22"/>
        <v>2.3958333404152654E-3</v>
      </c>
      <c r="H755" s="11">
        <f t="shared" si="23"/>
        <v>0.99517361111065838</v>
      </c>
    </row>
    <row r="756" spans="1:8" x14ac:dyDescent="0.25">
      <c r="A756" s="3" t="s">
        <v>2341</v>
      </c>
      <c r="B756" s="3" t="s">
        <v>3197</v>
      </c>
      <c r="C756" s="10">
        <v>45679.275243055563</v>
      </c>
      <c r="D756" s="3" t="s">
        <v>2342</v>
      </c>
      <c r="E756" s="10">
        <v>45679.277638888889</v>
      </c>
      <c r="F756" s="10">
        <v>45680.325706018521</v>
      </c>
      <c r="G756" s="11">
        <f t="shared" si="22"/>
        <v>2.3958333258633502E-3</v>
      </c>
      <c r="H756" s="11">
        <f t="shared" si="23"/>
        <v>1.0504629629576812</v>
      </c>
    </row>
    <row r="757" spans="1:8" x14ac:dyDescent="0.25">
      <c r="A757" s="3" t="s">
        <v>2344</v>
      </c>
      <c r="B757" s="3" t="s">
        <v>3202</v>
      </c>
      <c r="C757" s="10">
        <v>45679.303831018522</v>
      </c>
      <c r="D757" s="3" t="s">
        <v>2345</v>
      </c>
      <c r="E757" s="10">
        <v>45679.413761574076</v>
      </c>
      <c r="F757" s="10">
        <v>45680.438414351847</v>
      </c>
      <c r="G757" s="11">
        <f t="shared" si="22"/>
        <v>0.10993055555445608</v>
      </c>
      <c r="H757" s="11">
        <f t="shared" si="23"/>
        <v>1.1345833333252813</v>
      </c>
    </row>
    <row r="758" spans="1:8" x14ac:dyDescent="0.25">
      <c r="A758" s="3" t="s">
        <v>2347</v>
      </c>
      <c r="B758" s="3" t="s">
        <v>3194</v>
      </c>
      <c r="C758" s="10">
        <v>45679.305787037039</v>
      </c>
      <c r="D758" s="3" t="s">
        <v>2337</v>
      </c>
      <c r="E758" s="10">
        <v>45679.41238425926</v>
      </c>
      <c r="F758" s="10">
        <v>45680.398125</v>
      </c>
      <c r="G758" s="11">
        <f t="shared" si="22"/>
        <v>0.10659722222044365</v>
      </c>
      <c r="H758" s="11">
        <f t="shared" si="23"/>
        <v>1.0923379629603005</v>
      </c>
    </row>
    <row r="759" spans="1:8" x14ac:dyDescent="0.25">
      <c r="A759" s="3" t="s">
        <v>2349</v>
      </c>
      <c r="B759" s="3" t="s">
        <v>3206</v>
      </c>
      <c r="C759" s="10">
        <v>45679.30740740741</v>
      </c>
      <c r="D759" s="3" t="s">
        <v>2350</v>
      </c>
      <c r="E759" s="10">
        <v>45680.746504629627</v>
      </c>
      <c r="F759" s="10">
        <v>45681.7580787037</v>
      </c>
      <c r="G759" s="11">
        <f t="shared" si="22"/>
        <v>1.4390972222172422</v>
      </c>
      <c r="H759" s="11">
        <f t="shared" si="23"/>
        <v>2.4506712962902384</v>
      </c>
    </row>
    <row r="760" spans="1:8" x14ac:dyDescent="0.25">
      <c r="A760" s="3" t="s">
        <v>2352</v>
      </c>
      <c r="B760" s="3" t="s">
        <v>3196</v>
      </c>
      <c r="C760" s="10">
        <v>45679.309328703697</v>
      </c>
      <c r="D760" s="3" t="s">
        <v>2252</v>
      </c>
      <c r="E760" s="10">
        <v>45679.418935185182</v>
      </c>
      <c r="F760" s="10">
        <v>45680.47693287037</v>
      </c>
      <c r="G760" s="11">
        <f t="shared" si="22"/>
        <v>0.10960648148466134</v>
      </c>
      <c r="H760" s="11">
        <f t="shared" si="23"/>
        <v>1.1676041666723904</v>
      </c>
    </row>
    <row r="761" spans="1:8" x14ac:dyDescent="0.25">
      <c r="A761" s="3" t="s">
        <v>2354</v>
      </c>
      <c r="B761" s="3" t="s">
        <v>3195</v>
      </c>
      <c r="C761" s="10">
        <v>45679.311064814807</v>
      </c>
      <c r="D761" s="3" t="s">
        <v>2009</v>
      </c>
      <c r="E761" s="10">
        <v>45679.314988425933</v>
      </c>
      <c r="F761" s="10">
        <v>45680.326550925929</v>
      </c>
      <c r="G761" s="11">
        <f t="shared" si="22"/>
        <v>3.923611126083415E-3</v>
      </c>
      <c r="H761" s="11">
        <f t="shared" si="23"/>
        <v>1.0154861111222999</v>
      </c>
    </row>
    <row r="762" spans="1:8" x14ac:dyDescent="0.25">
      <c r="A762" s="3" t="s">
        <v>2356</v>
      </c>
      <c r="B762" s="3" t="s">
        <v>3194</v>
      </c>
      <c r="C762" s="10">
        <v>45679.313032407408</v>
      </c>
      <c r="D762" s="3" t="s">
        <v>2337</v>
      </c>
      <c r="E762" s="10">
        <v>45679.41238425926</v>
      </c>
      <c r="F762" s="10">
        <v>45680.398125</v>
      </c>
      <c r="G762" s="11">
        <f t="shared" si="22"/>
        <v>9.9351851851679385E-2</v>
      </c>
      <c r="H762" s="11">
        <f t="shared" si="23"/>
        <v>1.0850925925915362</v>
      </c>
    </row>
    <row r="763" spans="1:8" x14ac:dyDescent="0.25">
      <c r="A763" s="3" t="s">
        <v>2358</v>
      </c>
      <c r="B763" s="3" t="s">
        <v>3204</v>
      </c>
      <c r="C763" s="10">
        <v>45679.315057870372</v>
      </c>
      <c r="D763" s="3" t="s">
        <v>2359</v>
      </c>
      <c r="E763" s="10">
        <v>45680.274560185193</v>
      </c>
      <c r="F763" s="10">
        <v>45681.326851851853</v>
      </c>
      <c r="G763" s="11">
        <f t="shared" si="22"/>
        <v>0.95950231482129311</v>
      </c>
      <c r="H763" s="11">
        <f t="shared" si="23"/>
        <v>2.0117939814808778</v>
      </c>
    </row>
    <row r="764" spans="1:8" x14ac:dyDescent="0.25">
      <c r="A764" s="3" t="s">
        <v>2362</v>
      </c>
      <c r="B764" s="3" t="s">
        <v>3196</v>
      </c>
      <c r="C764" s="10">
        <v>45679.316990740743</v>
      </c>
      <c r="D764" s="3" t="s">
        <v>2252</v>
      </c>
      <c r="E764" s="10">
        <v>45679.418935185182</v>
      </c>
      <c r="F764" s="10">
        <v>45680.47693287037</v>
      </c>
      <c r="G764" s="11">
        <f t="shared" si="22"/>
        <v>0.10194444443914108</v>
      </c>
      <c r="H764" s="11">
        <f t="shared" si="23"/>
        <v>1.1599421296268702</v>
      </c>
    </row>
    <row r="765" spans="1:8" x14ac:dyDescent="0.25">
      <c r="A765" s="3" t="s">
        <v>2364</v>
      </c>
      <c r="B765" s="3" t="s">
        <v>3204</v>
      </c>
      <c r="C765" s="10">
        <v>45679.319016203714</v>
      </c>
      <c r="D765" s="3" t="s">
        <v>2359</v>
      </c>
      <c r="E765" s="10">
        <v>45680.274560185193</v>
      </c>
      <c r="F765" s="10">
        <v>45681.326851851853</v>
      </c>
      <c r="G765" s="11">
        <f t="shared" si="22"/>
        <v>0.95554398147942265</v>
      </c>
      <c r="H765" s="11">
        <f t="shared" si="23"/>
        <v>2.0078356481390074</v>
      </c>
    </row>
    <row r="766" spans="1:8" x14ac:dyDescent="0.25">
      <c r="A766" s="3" t="s">
        <v>2366</v>
      </c>
      <c r="B766" s="3" t="s">
        <v>3201</v>
      </c>
      <c r="C766" s="10">
        <v>45679.320763888893</v>
      </c>
      <c r="D766" s="3" t="s">
        <v>2367</v>
      </c>
      <c r="E766" s="10">
        <v>45679.862800925926</v>
      </c>
      <c r="F766" s="10">
        <v>45680.90148148148</v>
      </c>
      <c r="G766" s="11">
        <f t="shared" si="22"/>
        <v>0.54203703703387873</v>
      </c>
      <c r="H766" s="11">
        <f t="shared" si="23"/>
        <v>1.5807175925874617</v>
      </c>
    </row>
    <row r="767" spans="1:8" x14ac:dyDescent="0.25">
      <c r="A767" s="3" t="s">
        <v>2371</v>
      </c>
      <c r="B767" s="3" t="s">
        <v>3203</v>
      </c>
      <c r="C767" s="10">
        <v>45679.359606481477</v>
      </c>
      <c r="D767" s="3" t="s">
        <v>2372</v>
      </c>
      <c r="E767" s="10">
        <v>45679.365127314813</v>
      </c>
      <c r="F767" s="10">
        <v>45680.369189814817</v>
      </c>
      <c r="G767" s="11">
        <f t="shared" si="22"/>
        <v>5.5208333360496908E-3</v>
      </c>
      <c r="H767" s="11">
        <f t="shared" si="23"/>
        <v>1.0095833333398332</v>
      </c>
    </row>
    <row r="768" spans="1:8" x14ac:dyDescent="0.25">
      <c r="A768" s="3" t="s">
        <v>2374</v>
      </c>
      <c r="B768" s="3" t="s">
        <v>3203</v>
      </c>
      <c r="C768" s="10">
        <v>45679.361226851863</v>
      </c>
      <c r="D768" s="3" t="s">
        <v>2372</v>
      </c>
      <c r="E768" s="10">
        <v>45679.365127314813</v>
      </c>
      <c r="F768" s="10">
        <v>45680.369189814817</v>
      </c>
      <c r="G768" s="11">
        <f t="shared" si="22"/>
        <v>3.9004629506962374E-3</v>
      </c>
      <c r="H768" s="11">
        <f t="shared" si="23"/>
        <v>1.0079629629544797</v>
      </c>
    </row>
    <row r="769" spans="1:8" x14ac:dyDescent="0.25">
      <c r="A769" s="3" t="s">
        <v>2376</v>
      </c>
      <c r="B769" s="3" t="s">
        <v>3196</v>
      </c>
      <c r="C769" s="10">
        <v>45679.40216435185</v>
      </c>
      <c r="D769" s="3" t="s">
        <v>2252</v>
      </c>
      <c r="E769" s="10">
        <v>45679.418935185182</v>
      </c>
      <c r="F769" s="10">
        <v>45680.47693287037</v>
      </c>
      <c r="G769" s="11">
        <f t="shared" si="22"/>
        <v>1.6770833331975155E-2</v>
      </c>
      <c r="H769" s="11">
        <f t="shared" si="23"/>
        <v>1.0747685185197042</v>
      </c>
    </row>
    <row r="770" spans="1:8" x14ac:dyDescent="0.25">
      <c r="A770" s="3" t="s">
        <v>2378</v>
      </c>
      <c r="B770" s="3" t="s">
        <v>3199</v>
      </c>
      <c r="C770" s="10">
        <v>45679.404456018521</v>
      </c>
      <c r="D770" s="3" t="s">
        <v>2334</v>
      </c>
      <c r="E770" s="10">
        <v>45679.406851851847</v>
      </c>
      <c r="F770" s="10">
        <v>45680.361921296288</v>
      </c>
      <c r="G770" s="11">
        <f t="shared" ref="G770:G833" si="24">IF(AND(ISNUMBER(C770),ISNUMBER(E770)),(E770-C770),"")</f>
        <v>2.3958333258633502E-3</v>
      </c>
      <c r="H770" s="11">
        <f t="shared" ref="H770:H833" si="25">IF(AND(ISNUMBER(C770),ISNUMBER(F770)),(F770-C770),"")</f>
        <v>0.95746527776645962</v>
      </c>
    </row>
    <row r="771" spans="1:8" x14ac:dyDescent="0.25">
      <c r="A771" s="3" t="s">
        <v>2380</v>
      </c>
      <c r="B771" s="3" t="s">
        <v>3194</v>
      </c>
      <c r="C771" s="10">
        <v>45679.4065162037</v>
      </c>
      <c r="D771" s="3" t="s">
        <v>2337</v>
      </c>
      <c r="E771" s="10">
        <v>45679.41238425926</v>
      </c>
      <c r="F771" s="10">
        <v>45680.398125</v>
      </c>
      <c r="G771" s="11">
        <f t="shared" si="24"/>
        <v>5.8680555594037287E-3</v>
      </c>
      <c r="H771" s="11">
        <f t="shared" si="25"/>
        <v>0.99160879629926058</v>
      </c>
    </row>
    <row r="772" spans="1:8" x14ac:dyDescent="0.25">
      <c r="A772" s="3" t="s">
        <v>2382</v>
      </c>
      <c r="B772" s="3" t="s">
        <v>3194</v>
      </c>
      <c r="C772" s="10">
        <v>45679.408460648148</v>
      </c>
      <c r="D772" s="3" t="s">
        <v>2337</v>
      </c>
      <c r="E772" s="10">
        <v>45679.41238425926</v>
      </c>
      <c r="F772" s="10">
        <v>45680.398125</v>
      </c>
      <c r="G772" s="11">
        <f t="shared" si="24"/>
        <v>3.9236111115314998E-3</v>
      </c>
      <c r="H772" s="11">
        <f t="shared" si="25"/>
        <v>0.98966435185138835</v>
      </c>
    </row>
    <row r="773" spans="1:8" x14ac:dyDescent="0.25">
      <c r="A773" s="3" t="s">
        <v>2384</v>
      </c>
      <c r="B773" s="3" t="s">
        <v>3202</v>
      </c>
      <c r="C773" s="10">
        <v>45679.409872685188</v>
      </c>
      <c r="D773" s="3" t="s">
        <v>2345</v>
      </c>
      <c r="E773" s="10">
        <v>45679.413761574076</v>
      </c>
      <c r="F773" s="10">
        <v>45680.438414351847</v>
      </c>
      <c r="G773" s="11">
        <f t="shared" si="24"/>
        <v>3.8888888884685002E-3</v>
      </c>
      <c r="H773" s="11">
        <f t="shared" si="25"/>
        <v>1.0285416666592937</v>
      </c>
    </row>
    <row r="774" spans="1:8" x14ac:dyDescent="0.25">
      <c r="A774" s="3" t="s">
        <v>2386</v>
      </c>
      <c r="B774" s="3" t="s">
        <v>3206</v>
      </c>
      <c r="C774" s="10">
        <v>45679.411481481482</v>
      </c>
      <c r="D774" s="3" t="s">
        <v>2350</v>
      </c>
      <c r="E774" s="10">
        <v>45680.746504629627</v>
      </c>
      <c r="F774" s="10">
        <v>45681.7580787037</v>
      </c>
      <c r="G774" s="11">
        <f t="shared" si="24"/>
        <v>1.3350231481454102</v>
      </c>
      <c r="H774" s="11">
        <f t="shared" si="25"/>
        <v>2.3465972222184064</v>
      </c>
    </row>
    <row r="775" spans="1:8" x14ac:dyDescent="0.25">
      <c r="A775" s="3" t="s">
        <v>2388</v>
      </c>
      <c r="B775" s="3" t="s">
        <v>3198</v>
      </c>
      <c r="C775" s="10">
        <v>45679.412997685176</v>
      </c>
      <c r="D775" s="3" t="s">
        <v>2014</v>
      </c>
      <c r="E775" s="10">
        <v>45679.751226851848</v>
      </c>
      <c r="F775" s="10">
        <v>45680.672326388893</v>
      </c>
      <c r="G775" s="11">
        <f t="shared" si="24"/>
        <v>0.33822916667122627</v>
      </c>
      <c r="H775" s="11">
        <f t="shared" si="25"/>
        <v>1.2593287037161645</v>
      </c>
    </row>
    <row r="776" spans="1:8" x14ac:dyDescent="0.25">
      <c r="A776" s="3" t="s">
        <v>2390</v>
      </c>
      <c r="B776" s="3" t="s">
        <v>3196</v>
      </c>
      <c r="C776" s="10">
        <v>45679.415046296293</v>
      </c>
      <c r="D776" s="3" t="s">
        <v>2252</v>
      </c>
      <c r="E776" s="10">
        <v>45679.418935185182</v>
      </c>
      <c r="F776" s="10">
        <v>45680.47693287037</v>
      </c>
      <c r="G776" s="11">
        <f t="shared" si="24"/>
        <v>3.8888888884685002E-3</v>
      </c>
      <c r="H776" s="11">
        <f t="shared" si="25"/>
        <v>1.0618865740761976</v>
      </c>
    </row>
    <row r="777" spans="1:8" x14ac:dyDescent="0.25">
      <c r="A777" s="3" t="s">
        <v>2392</v>
      </c>
      <c r="B777" s="3" t="s">
        <v>3197</v>
      </c>
      <c r="C777" s="10">
        <v>45679.417083333326</v>
      </c>
      <c r="D777" s="3" t="s">
        <v>2393</v>
      </c>
      <c r="E777" s="10">
        <v>45679.760601851849</v>
      </c>
      <c r="F777" s="10">
        <v>45680.802557870367</v>
      </c>
      <c r="G777" s="11">
        <f t="shared" si="24"/>
        <v>0.34351851852261461</v>
      </c>
      <c r="H777" s="11">
        <f t="shared" si="25"/>
        <v>1.3854745370408637</v>
      </c>
    </row>
    <row r="778" spans="1:8" x14ac:dyDescent="0.25">
      <c r="A778" s="3" t="s">
        <v>2395</v>
      </c>
      <c r="B778" s="3" t="s">
        <v>3200</v>
      </c>
      <c r="C778" s="10">
        <v>45679.418900462973</v>
      </c>
      <c r="D778" s="3" t="s">
        <v>2396</v>
      </c>
      <c r="E778" s="10">
        <v>45679.868159722217</v>
      </c>
      <c r="F778" s="10">
        <v>45681.153275462973</v>
      </c>
      <c r="G778" s="11">
        <f t="shared" si="24"/>
        <v>0.44925925924326293</v>
      </c>
      <c r="H778" s="11">
        <f t="shared" si="25"/>
        <v>1.734375</v>
      </c>
    </row>
    <row r="779" spans="1:8" x14ac:dyDescent="0.25">
      <c r="A779" s="3" t="s">
        <v>2398</v>
      </c>
      <c r="B779" s="3" t="s">
        <v>3203</v>
      </c>
      <c r="C779" s="10">
        <v>45679.444131944438</v>
      </c>
      <c r="D779" s="3" t="s">
        <v>2399</v>
      </c>
      <c r="E779" s="10">
        <v>45679.446504629632</v>
      </c>
      <c r="F779" s="10">
        <v>45680.69394675926</v>
      </c>
      <c r="G779" s="11">
        <f t="shared" si="24"/>
        <v>2.3726851941319183E-3</v>
      </c>
      <c r="H779" s="11">
        <f t="shared" si="25"/>
        <v>1.2498148148224573</v>
      </c>
    </row>
    <row r="780" spans="1:8" x14ac:dyDescent="0.25">
      <c r="A780" s="3" t="s">
        <v>2401</v>
      </c>
      <c r="B780" s="3" t="s">
        <v>3203</v>
      </c>
      <c r="C780" s="10">
        <v>45679.548217592594</v>
      </c>
      <c r="D780" s="3" t="s">
        <v>2402</v>
      </c>
      <c r="E780" s="10">
        <v>45679.745300925933</v>
      </c>
      <c r="F780" s="10">
        <v>45680.708854166667</v>
      </c>
      <c r="G780" s="11">
        <f t="shared" si="24"/>
        <v>0.19708333333983319</v>
      </c>
      <c r="H780" s="11">
        <f t="shared" si="25"/>
        <v>1.1606365740735782</v>
      </c>
    </row>
    <row r="781" spans="1:8" x14ac:dyDescent="0.25">
      <c r="A781" s="3" t="s">
        <v>2404</v>
      </c>
      <c r="B781" s="3" t="s">
        <v>3203</v>
      </c>
      <c r="C781" s="10">
        <v>45679.640393518523</v>
      </c>
      <c r="D781" s="3" t="s">
        <v>2402</v>
      </c>
      <c r="E781" s="10">
        <v>45679.745300925933</v>
      </c>
      <c r="F781" s="10">
        <v>45680.708854166667</v>
      </c>
      <c r="G781" s="11">
        <f t="shared" si="24"/>
        <v>0.10490740741079208</v>
      </c>
      <c r="H781" s="11">
        <f t="shared" si="25"/>
        <v>1.0684606481445371</v>
      </c>
    </row>
    <row r="782" spans="1:8" x14ac:dyDescent="0.25">
      <c r="A782" s="3" t="s">
        <v>2428</v>
      </c>
      <c r="B782" s="3" t="s">
        <v>3203</v>
      </c>
      <c r="C782" s="10">
        <v>45679.741377314807</v>
      </c>
      <c r="D782" s="3" t="s">
        <v>2402</v>
      </c>
      <c r="E782" s="10">
        <v>45679.745300925933</v>
      </c>
      <c r="F782" s="10">
        <v>45680.708854166667</v>
      </c>
      <c r="G782" s="11">
        <f t="shared" si="24"/>
        <v>3.923611126083415E-3</v>
      </c>
      <c r="H782" s="11">
        <f t="shared" si="25"/>
        <v>0.96747685185982846</v>
      </c>
    </row>
    <row r="783" spans="1:8" x14ac:dyDescent="0.25">
      <c r="A783" s="3" t="s">
        <v>2406</v>
      </c>
      <c r="B783" s="3" t="s">
        <v>3200</v>
      </c>
      <c r="C783" s="10">
        <v>45679.746180555558</v>
      </c>
      <c r="D783" s="3" t="s">
        <v>2396</v>
      </c>
      <c r="E783" s="10">
        <v>45679.868159722217</v>
      </c>
      <c r="F783" s="10">
        <v>45681.153275462973</v>
      </c>
      <c r="G783" s="11">
        <f t="shared" si="24"/>
        <v>0.12197916665900266</v>
      </c>
      <c r="H783" s="11">
        <f t="shared" si="25"/>
        <v>1.4070949074157397</v>
      </c>
    </row>
    <row r="784" spans="1:8" x14ac:dyDescent="0.25">
      <c r="A784" s="3" t="s">
        <v>2408</v>
      </c>
      <c r="B784" s="3" t="s">
        <v>3198</v>
      </c>
      <c r="C784" s="10">
        <v>45679.747662037043</v>
      </c>
      <c r="D784" s="3" t="s">
        <v>2014</v>
      </c>
      <c r="E784" s="10">
        <v>45679.751226851848</v>
      </c>
      <c r="F784" s="10">
        <v>45680.672326388893</v>
      </c>
      <c r="G784" s="11">
        <f t="shared" si="24"/>
        <v>3.5648148041218519E-3</v>
      </c>
      <c r="H784" s="11">
        <f t="shared" si="25"/>
        <v>0.92466435184906004</v>
      </c>
    </row>
    <row r="785" spans="1:8" x14ac:dyDescent="0.25">
      <c r="A785" s="3" t="s">
        <v>2410</v>
      </c>
      <c r="B785" s="3" t="s">
        <v>3203</v>
      </c>
      <c r="C785" s="10">
        <v>45679.748877314807</v>
      </c>
      <c r="D785" s="3" t="s">
        <v>2411</v>
      </c>
      <c r="E785" s="10">
        <v>45680.127245370371</v>
      </c>
      <c r="F785" s="10">
        <v>45681.22115740741</v>
      </c>
      <c r="G785" s="11">
        <f t="shared" si="24"/>
        <v>0.37836805556435138</v>
      </c>
      <c r="H785" s="11">
        <f t="shared" si="25"/>
        <v>1.4722800926028867</v>
      </c>
    </row>
    <row r="786" spans="1:8" x14ac:dyDescent="0.25">
      <c r="A786" s="3" t="s">
        <v>2413</v>
      </c>
      <c r="B786" s="3" t="s">
        <v>3193</v>
      </c>
      <c r="C786" s="10">
        <v>45679.750324074077</v>
      </c>
      <c r="D786" s="3" t="s">
        <v>2174</v>
      </c>
      <c r="E786" s="10">
        <v>45679.754247685189</v>
      </c>
      <c r="F786" s="10">
        <v>45680.701678240737</v>
      </c>
      <c r="G786" s="11">
        <f t="shared" si="24"/>
        <v>3.9236111115314998E-3</v>
      </c>
      <c r="H786" s="11">
        <f t="shared" si="25"/>
        <v>0.95135416666016681</v>
      </c>
    </row>
    <row r="787" spans="1:8" x14ac:dyDescent="0.25">
      <c r="A787" s="3" t="s">
        <v>2415</v>
      </c>
      <c r="B787" s="3" t="s">
        <v>3204</v>
      </c>
      <c r="C787" s="10">
        <v>45679.752314814818</v>
      </c>
      <c r="D787" s="3" t="s">
        <v>2359</v>
      </c>
      <c r="E787" s="10">
        <v>45680.274560185193</v>
      </c>
      <c r="F787" s="10">
        <v>45681.326851851853</v>
      </c>
      <c r="G787" s="11">
        <f t="shared" si="24"/>
        <v>0.52224537037545815</v>
      </c>
      <c r="H787" s="11">
        <f t="shared" si="25"/>
        <v>1.5745370370350429</v>
      </c>
    </row>
    <row r="788" spans="1:8" x14ac:dyDescent="0.25">
      <c r="A788" s="3" t="s">
        <v>2417</v>
      </c>
      <c r="B788" s="3" t="s">
        <v>3201</v>
      </c>
      <c r="C788" s="10">
        <v>45679.754050925927</v>
      </c>
      <c r="D788" s="3" t="s">
        <v>2367</v>
      </c>
      <c r="E788" s="10">
        <v>45679.862800925926</v>
      </c>
      <c r="F788" s="10">
        <v>45680.90148148148</v>
      </c>
      <c r="G788" s="11">
        <f t="shared" si="24"/>
        <v>0.10874999999941792</v>
      </c>
      <c r="H788" s="11">
        <f t="shared" si="25"/>
        <v>1.1474305555530009</v>
      </c>
    </row>
    <row r="789" spans="1:8" x14ac:dyDescent="0.25">
      <c r="A789" s="3" t="s">
        <v>2419</v>
      </c>
      <c r="B789" s="3" t="s">
        <v>3206</v>
      </c>
      <c r="C789" s="10">
        <v>45679.755636574067</v>
      </c>
      <c r="D789" s="3" t="s">
        <v>2350</v>
      </c>
      <c r="E789" s="10">
        <v>45680.746504629627</v>
      </c>
      <c r="F789" s="10">
        <v>45681.7580787037</v>
      </c>
      <c r="G789" s="11">
        <f t="shared" si="24"/>
        <v>0.99086805555998581</v>
      </c>
      <c r="H789" s="11">
        <f t="shared" si="25"/>
        <v>2.002442129632982</v>
      </c>
    </row>
    <row r="790" spans="1:8" x14ac:dyDescent="0.25">
      <c r="A790" s="3" t="s">
        <v>2421</v>
      </c>
      <c r="B790" s="3" t="s">
        <v>3197</v>
      </c>
      <c r="C790" s="10">
        <v>45679.758206018523</v>
      </c>
      <c r="D790" s="3" t="s">
        <v>2393</v>
      </c>
      <c r="E790" s="10">
        <v>45679.760601851849</v>
      </c>
      <c r="F790" s="10">
        <v>45680.802557870367</v>
      </c>
      <c r="G790" s="11">
        <f t="shared" si="24"/>
        <v>2.3958333258633502E-3</v>
      </c>
      <c r="H790" s="11">
        <f t="shared" si="25"/>
        <v>1.0443518518441124</v>
      </c>
    </row>
    <row r="791" spans="1:8" x14ac:dyDescent="0.25">
      <c r="A791" s="3" t="s">
        <v>2423</v>
      </c>
      <c r="B791" s="3" t="s">
        <v>3201</v>
      </c>
      <c r="C791" s="10">
        <v>45679.759942129633</v>
      </c>
      <c r="D791" s="3" t="s">
        <v>2367</v>
      </c>
      <c r="E791" s="10">
        <v>45679.862800925926</v>
      </c>
      <c r="F791" s="10">
        <v>45680.90148148148</v>
      </c>
      <c r="G791" s="11">
        <f t="shared" si="24"/>
        <v>0.10285879629373085</v>
      </c>
      <c r="H791" s="11">
        <f t="shared" si="25"/>
        <v>1.1415393518473138</v>
      </c>
    </row>
    <row r="792" spans="1:8" x14ac:dyDescent="0.25">
      <c r="A792" s="3" t="s">
        <v>2425</v>
      </c>
      <c r="B792" s="3" t="s">
        <v>3205</v>
      </c>
      <c r="C792" s="10">
        <v>45679.76121527778</v>
      </c>
      <c r="D792" s="3" t="s">
        <v>2426</v>
      </c>
      <c r="E792" s="10">
        <v>45680.413055555553</v>
      </c>
      <c r="F792" s="10">
        <v>45681.428113425929</v>
      </c>
      <c r="G792" s="11">
        <f t="shared" si="24"/>
        <v>0.65184027777286246</v>
      </c>
      <c r="H792" s="11">
        <f t="shared" si="25"/>
        <v>1.6668981481489027</v>
      </c>
    </row>
    <row r="793" spans="1:8" x14ac:dyDescent="0.25">
      <c r="A793" s="3" t="s">
        <v>2431</v>
      </c>
      <c r="B793" s="3" t="s">
        <v>3197</v>
      </c>
      <c r="C793" s="10">
        <v>45679.852118055547</v>
      </c>
      <c r="D793" s="3" t="s">
        <v>2432</v>
      </c>
      <c r="E793" s="10">
        <v>45679.859618055547</v>
      </c>
      <c r="F793" s="10">
        <v>45680.772233796299</v>
      </c>
      <c r="G793" s="11">
        <f t="shared" si="24"/>
        <v>7.4999999997089617E-3</v>
      </c>
      <c r="H793" s="11">
        <f t="shared" si="25"/>
        <v>0.92011574075149838</v>
      </c>
    </row>
    <row r="794" spans="1:8" x14ac:dyDescent="0.25">
      <c r="A794" s="3" t="s">
        <v>2434</v>
      </c>
      <c r="B794" s="3" t="s">
        <v>3206</v>
      </c>
      <c r="C794" s="10">
        <v>45679.853738425933</v>
      </c>
      <c r="D794" s="3" t="s">
        <v>2350</v>
      </c>
      <c r="E794" s="10">
        <v>45680.746504629627</v>
      </c>
      <c r="F794" s="10">
        <v>45681.7580787037</v>
      </c>
      <c r="G794" s="11">
        <f t="shared" si="24"/>
        <v>0.89276620369491866</v>
      </c>
      <c r="H794" s="11">
        <f t="shared" si="25"/>
        <v>1.9043402777679148</v>
      </c>
    </row>
    <row r="795" spans="1:8" x14ac:dyDescent="0.25">
      <c r="A795" s="3" t="s">
        <v>2436</v>
      </c>
      <c r="B795" s="3" t="s">
        <v>3197</v>
      </c>
      <c r="C795" s="10">
        <v>45679.855694444443</v>
      </c>
      <c r="D795" s="3" t="s">
        <v>2432</v>
      </c>
      <c r="E795" s="10">
        <v>45679.859618055547</v>
      </c>
      <c r="F795" s="10">
        <v>45680.772233796299</v>
      </c>
      <c r="G795" s="11">
        <f t="shared" si="24"/>
        <v>3.9236111042555422E-3</v>
      </c>
      <c r="H795" s="11">
        <f t="shared" si="25"/>
        <v>0.91653935185604496</v>
      </c>
    </row>
    <row r="796" spans="1:8" x14ac:dyDescent="0.25">
      <c r="A796" s="3" t="s">
        <v>2438</v>
      </c>
      <c r="B796" s="3" t="s">
        <v>3205</v>
      </c>
      <c r="C796" s="10">
        <v>45679.85701388889</v>
      </c>
      <c r="D796" s="3" t="s">
        <v>2426</v>
      </c>
      <c r="E796" s="10">
        <v>45680.413055555553</v>
      </c>
      <c r="F796" s="10">
        <v>45681.428113425929</v>
      </c>
      <c r="G796" s="11">
        <f t="shared" si="24"/>
        <v>0.55604166666307719</v>
      </c>
      <c r="H796" s="11">
        <f t="shared" si="25"/>
        <v>1.5710995370391174</v>
      </c>
    </row>
    <row r="797" spans="1:8" x14ac:dyDescent="0.25">
      <c r="A797" s="3" t="s">
        <v>2440</v>
      </c>
      <c r="B797" s="3" t="s">
        <v>3201</v>
      </c>
      <c r="C797" s="10">
        <v>45679.858877314808</v>
      </c>
      <c r="D797" s="3" t="s">
        <v>2367</v>
      </c>
      <c r="E797" s="10">
        <v>45679.862800925926</v>
      </c>
      <c r="F797" s="10">
        <v>45680.90148148148</v>
      </c>
      <c r="G797" s="11">
        <f t="shared" si="24"/>
        <v>3.9236111188074574E-3</v>
      </c>
      <c r="H797" s="11">
        <f t="shared" si="25"/>
        <v>1.0426041666723904</v>
      </c>
    </row>
    <row r="798" spans="1:8" x14ac:dyDescent="0.25">
      <c r="A798" s="3" t="s">
        <v>2442</v>
      </c>
      <c r="B798" s="3" t="s">
        <v>3197</v>
      </c>
      <c r="C798" s="10">
        <v>45679.860868055563</v>
      </c>
      <c r="D798" s="3" t="s">
        <v>2443</v>
      </c>
      <c r="E798" s="10">
        <v>45680.420763888891</v>
      </c>
      <c r="F798" s="10">
        <v>45681.584872685176</v>
      </c>
      <c r="G798" s="11">
        <f t="shared" si="24"/>
        <v>0.55989583332848269</v>
      </c>
      <c r="H798" s="11">
        <f t="shared" si="25"/>
        <v>1.7240046296137734</v>
      </c>
    </row>
    <row r="799" spans="1:8" x14ac:dyDescent="0.25">
      <c r="A799" s="3" t="s">
        <v>2445</v>
      </c>
      <c r="B799" s="3" t="s">
        <v>3206</v>
      </c>
      <c r="C799" s="10">
        <v>45679.862476851849</v>
      </c>
      <c r="D799" s="3" t="s">
        <v>2350</v>
      </c>
      <c r="E799" s="10">
        <v>45680.746504629627</v>
      </c>
      <c r="F799" s="10">
        <v>45681.7580787037</v>
      </c>
      <c r="G799" s="11">
        <f t="shared" si="24"/>
        <v>0.88402777777810115</v>
      </c>
      <c r="H799" s="11">
        <f t="shared" si="25"/>
        <v>1.8956018518510973</v>
      </c>
    </row>
    <row r="800" spans="1:8" x14ac:dyDescent="0.25">
      <c r="A800" s="3" t="s">
        <v>2447</v>
      </c>
      <c r="B800" s="3" t="s">
        <v>3200</v>
      </c>
      <c r="C800" s="10">
        <v>45679.864236111112</v>
      </c>
      <c r="D800" s="3" t="s">
        <v>2396</v>
      </c>
      <c r="E800" s="10">
        <v>45679.868159722217</v>
      </c>
      <c r="F800" s="10">
        <v>45681.153275462973</v>
      </c>
      <c r="G800" s="11">
        <f t="shared" si="24"/>
        <v>3.9236111042555422E-3</v>
      </c>
      <c r="H800" s="11">
        <f t="shared" si="25"/>
        <v>1.2890393518609926</v>
      </c>
    </row>
    <row r="801" spans="1:8" x14ac:dyDescent="0.25">
      <c r="A801" s="3" t="s">
        <v>2449</v>
      </c>
      <c r="B801" s="3" t="s">
        <v>3203</v>
      </c>
      <c r="C801" s="10">
        <v>45680.124849537038</v>
      </c>
      <c r="D801" s="3" t="s">
        <v>2411</v>
      </c>
      <c r="E801" s="10">
        <v>45680.127245370371</v>
      </c>
      <c r="F801" s="10">
        <v>45681.22115740741</v>
      </c>
      <c r="G801" s="11">
        <f t="shared" si="24"/>
        <v>2.3958333331393078E-3</v>
      </c>
      <c r="H801" s="11">
        <f t="shared" si="25"/>
        <v>1.0963078703716747</v>
      </c>
    </row>
    <row r="802" spans="1:8" x14ac:dyDescent="0.25">
      <c r="A802" s="3" t="s">
        <v>2451</v>
      </c>
      <c r="B802" s="3" t="s">
        <v>3194</v>
      </c>
      <c r="C802" s="10">
        <v>45680.127013888887</v>
      </c>
      <c r="D802" s="3" t="s">
        <v>2452</v>
      </c>
      <c r="E802" s="10">
        <v>45680.129201388889</v>
      </c>
      <c r="F802" s="10">
        <v>45681.288842592592</v>
      </c>
      <c r="G802" s="11">
        <f t="shared" si="24"/>
        <v>2.1875000020372681E-3</v>
      </c>
      <c r="H802" s="11">
        <f t="shared" si="25"/>
        <v>1.161828703705396</v>
      </c>
    </row>
    <row r="803" spans="1:8" x14ac:dyDescent="0.25">
      <c r="A803" s="3" t="s">
        <v>2454</v>
      </c>
      <c r="B803" s="3" t="s">
        <v>3199</v>
      </c>
      <c r="C803" s="10">
        <v>45680.128935185188</v>
      </c>
      <c r="D803" s="3" t="s">
        <v>2455</v>
      </c>
      <c r="E803" s="10">
        <v>45680.375810185193</v>
      </c>
      <c r="F803" s="10">
        <v>45681.364328703698</v>
      </c>
      <c r="G803" s="11">
        <f t="shared" si="24"/>
        <v>0.24687500000436557</v>
      </c>
      <c r="H803" s="11">
        <f t="shared" si="25"/>
        <v>1.2353935185092269</v>
      </c>
    </row>
    <row r="804" spans="1:8" x14ac:dyDescent="0.25">
      <c r="A804" s="3" t="s">
        <v>2457</v>
      </c>
      <c r="B804" s="3" t="s">
        <v>3203</v>
      </c>
      <c r="C804" s="10">
        <v>45680.130208333343</v>
      </c>
      <c r="D804" s="3" t="s">
        <v>2458</v>
      </c>
      <c r="E804" s="10">
        <v>45680.303344907406</v>
      </c>
      <c r="F804" s="10">
        <v>45681.335729166669</v>
      </c>
      <c r="G804" s="11">
        <f t="shared" si="24"/>
        <v>0.17313657406339189</v>
      </c>
      <c r="H804" s="11">
        <f t="shared" si="25"/>
        <v>1.2055208333258634</v>
      </c>
    </row>
    <row r="805" spans="1:8" x14ac:dyDescent="0.25">
      <c r="A805" s="3" t="s">
        <v>2460</v>
      </c>
      <c r="B805" s="3" t="s">
        <v>3204</v>
      </c>
      <c r="C805" s="10">
        <v>45680.272175925929</v>
      </c>
      <c r="D805" s="3" t="s">
        <v>2359</v>
      </c>
      <c r="E805" s="10">
        <v>45680.274560185193</v>
      </c>
      <c r="F805" s="10">
        <v>45681.326851851853</v>
      </c>
      <c r="G805" s="11">
        <f t="shared" si="24"/>
        <v>2.384259263635613E-3</v>
      </c>
      <c r="H805" s="11">
        <f t="shared" si="25"/>
        <v>1.0546759259232203</v>
      </c>
    </row>
    <row r="806" spans="1:8" x14ac:dyDescent="0.25">
      <c r="A806" s="3" t="s">
        <v>2463</v>
      </c>
      <c r="B806" s="3" t="s">
        <v>3194</v>
      </c>
      <c r="C806" s="10">
        <v>45680.298171296286</v>
      </c>
      <c r="D806" s="3" t="s">
        <v>2464</v>
      </c>
      <c r="E806" s="10">
        <v>45680.453865740739</v>
      </c>
      <c r="F806" s="10">
        <v>45681.687650462962</v>
      </c>
      <c r="G806" s="11">
        <f t="shared" si="24"/>
        <v>0.15569444445281988</v>
      </c>
      <c r="H806" s="11">
        <f t="shared" si="25"/>
        <v>1.3894791666753008</v>
      </c>
    </row>
    <row r="807" spans="1:8" x14ac:dyDescent="0.25">
      <c r="A807" s="3" t="s">
        <v>2466</v>
      </c>
      <c r="B807" s="3" t="s">
        <v>3203</v>
      </c>
      <c r="C807" s="10">
        <v>45680.299421296288</v>
      </c>
      <c r="D807" s="3" t="s">
        <v>2458</v>
      </c>
      <c r="E807" s="10">
        <v>45680.303344907406</v>
      </c>
      <c r="F807" s="10">
        <v>45681.335729166669</v>
      </c>
      <c r="G807" s="11">
        <f t="shared" si="24"/>
        <v>3.9236111188074574E-3</v>
      </c>
      <c r="H807" s="11">
        <f t="shared" si="25"/>
        <v>1.0363078703812789</v>
      </c>
    </row>
    <row r="808" spans="1:8" x14ac:dyDescent="0.25">
      <c r="A808" s="3" t="s">
        <v>2468</v>
      </c>
      <c r="B808" s="3" t="s">
        <v>3196</v>
      </c>
      <c r="C808" s="10">
        <v>45680.301446759258</v>
      </c>
      <c r="D808" s="3" t="s">
        <v>2469</v>
      </c>
      <c r="E808" s="10">
        <v>45680.414918981478</v>
      </c>
      <c r="F808" s="10">
        <v>45681.454201388893</v>
      </c>
      <c r="G808" s="11">
        <f t="shared" si="24"/>
        <v>0.11347222221957054</v>
      </c>
      <c r="H808" s="11">
        <f t="shared" si="25"/>
        <v>1.1527546296347282</v>
      </c>
    </row>
    <row r="809" spans="1:8" x14ac:dyDescent="0.25">
      <c r="A809" s="3" t="s">
        <v>2471</v>
      </c>
      <c r="B809" s="3" t="s">
        <v>3205</v>
      </c>
      <c r="C809" s="10">
        <v>45680.302789351852</v>
      </c>
      <c r="D809" s="3" t="s">
        <v>2426</v>
      </c>
      <c r="E809" s="10">
        <v>45680.413055555553</v>
      </c>
      <c r="F809" s="10">
        <v>45681.428113425929</v>
      </c>
      <c r="G809" s="11">
        <f t="shared" si="24"/>
        <v>0.11026620370103046</v>
      </c>
      <c r="H809" s="11">
        <f t="shared" si="25"/>
        <v>1.1253240740770707</v>
      </c>
    </row>
    <row r="810" spans="1:8" x14ac:dyDescent="0.25">
      <c r="A810" s="3" t="s">
        <v>2473</v>
      </c>
      <c r="B810" s="3" t="s">
        <v>3197</v>
      </c>
      <c r="C810" s="10">
        <v>45680.304791666669</v>
      </c>
      <c r="D810" s="3" t="s">
        <v>2443</v>
      </c>
      <c r="E810" s="10">
        <v>45680.420763888891</v>
      </c>
      <c r="F810" s="10">
        <v>45681.584872685176</v>
      </c>
      <c r="G810" s="11">
        <f t="shared" si="24"/>
        <v>0.11597222222189885</v>
      </c>
      <c r="H810" s="11">
        <f t="shared" si="25"/>
        <v>1.2800810185071896</v>
      </c>
    </row>
    <row r="811" spans="1:8" x14ac:dyDescent="0.25">
      <c r="A811" s="3" t="s">
        <v>2476</v>
      </c>
      <c r="B811" s="3" t="s">
        <v>3197</v>
      </c>
      <c r="C811" s="10">
        <v>45680.304791666669</v>
      </c>
      <c r="D811" s="3" t="s">
        <v>2443</v>
      </c>
      <c r="E811" s="10">
        <v>45680.420763888891</v>
      </c>
      <c r="F811" s="10">
        <v>45681.584872685176</v>
      </c>
      <c r="G811" s="11">
        <f t="shared" si="24"/>
        <v>0.11597222222189885</v>
      </c>
      <c r="H811" s="11">
        <f t="shared" si="25"/>
        <v>1.2800810185071896</v>
      </c>
    </row>
    <row r="812" spans="1:8" x14ac:dyDescent="0.25">
      <c r="A812" s="3" t="s">
        <v>2480</v>
      </c>
      <c r="B812" s="3" t="s">
        <v>3199</v>
      </c>
      <c r="C812" s="10">
        <v>45680.373449074083</v>
      </c>
      <c r="D812" s="3" t="s">
        <v>2455</v>
      </c>
      <c r="E812" s="10">
        <v>45680.375810185193</v>
      </c>
      <c r="F812" s="10">
        <v>45681.364328703698</v>
      </c>
      <c r="G812" s="11">
        <f t="shared" si="24"/>
        <v>2.3611111100763083E-3</v>
      </c>
      <c r="H812" s="11">
        <f t="shared" si="25"/>
        <v>0.99087962961493758</v>
      </c>
    </row>
    <row r="813" spans="1:8" x14ac:dyDescent="0.25">
      <c r="A813" s="3" t="s">
        <v>2482</v>
      </c>
      <c r="B813" s="3" t="s">
        <v>3195</v>
      </c>
      <c r="C813" s="10">
        <v>45680.375648148147</v>
      </c>
      <c r="D813" s="3" t="s">
        <v>2483</v>
      </c>
      <c r="E813" s="10">
        <v>45680.37804398148</v>
      </c>
      <c r="F813" s="10">
        <v>45681.417048611111</v>
      </c>
      <c r="G813" s="11">
        <f t="shared" si="24"/>
        <v>2.3958333331393078E-3</v>
      </c>
      <c r="H813" s="11">
        <f t="shared" si="25"/>
        <v>1.041400462963793</v>
      </c>
    </row>
    <row r="814" spans="1:8" x14ac:dyDescent="0.25">
      <c r="A814" s="3" t="s">
        <v>2485</v>
      </c>
      <c r="B814" s="3" t="s">
        <v>3203</v>
      </c>
      <c r="C814" s="10">
        <v>45680.399675925917</v>
      </c>
      <c r="D814" s="3" t="s">
        <v>2486</v>
      </c>
      <c r="E814" s="10">
        <v>45681.135034722232</v>
      </c>
      <c r="F814" s="10">
        <v>45684.154236111113</v>
      </c>
      <c r="G814" s="11">
        <f t="shared" si="24"/>
        <v>0.73535879631526768</v>
      </c>
      <c r="H814" s="11">
        <f t="shared" si="25"/>
        <v>3.7545601851961692</v>
      </c>
    </row>
    <row r="815" spans="1:8" x14ac:dyDescent="0.25">
      <c r="A815" s="3" t="s">
        <v>2488</v>
      </c>
      <c r="B815" s="3" t="s">
        <v>3201</v>
      </c>
      <c r="C815" s="10">
        <v>45680.401400462957</v>
      </c>
      <c r="D815" s="3" t="s">
        <v>2489</v>
      </c>
      <c r="E815" s="10">
        <v>45681.199571759258</v>
      </c>
      <c r="F815" s="10">
        <v>45684.221712962957</v>
      </c>
      <c r="G815" s="11">
        <f t="shared" si="24"/>
        <v>0.79817129630100681</v>
      </c>
      <c r="H815" s="11">
        <f t="shared" si="25"/>
        <v>3.8203125</v>
      </c>
    </row>
    <row r="816" spans="1:8" x14ac:dyDescent="0.25">
      <c r="A816" s="3" t="s">
        <v>2491</v>
      </c>
      <c r="B816" s="3" t="s">
        <v>3203</v>
      </c>
      <c r="C816" s="10">
        <v>45680.402569444443</v>
      </c>
      <c r="D816" s="3" t="s">
        <v>2486</v>
      </c>
      <c r="E816" s="10">
        <v>45681.135034722232</v>
      </c>
      <c r="F816" s="10">
        <v>45684.154236111113</v>
      </c>
      <c r="G816" s="11">
        <f t="shared" si="24"/>
        <v>0.73246527778974269</v>
      </c>
      <c r="H816" s="11">
        <f t="shared" si="25"/>
        <v>3.7516666666706442</v>
      </c>
    </row>
    <row r="817" spans="1:8" x14ac:dyDescent="0.25">
      <c r="A817" s="3" t="s">
        <v>2493</v>
      </c>
      <c r="B817" s="3" t="s">
        <v>3206</v>
      </c>
      <c r="C817" s="10">
        <v>45680.404166666667</v>
      </c>
      <c r="D817" s="3" t="s">
        <v>2350</v>
      </c>
      <c r="E817" s="10">
        <v>45680.746504629627</v>
      </c>
      <c r="F817" s="10">
        <v>45681.7580787037</v>
      </c>
      <c r="G817" s="11">
        <f t="shared" si="24"/>
        <v>0.3423379629603005</v>
      </c>
      <c r="H817" s="11">
        <f t="shared" si="25"/>
        <v>1.3539120370332967</v>
      </c>
    </row>
    <row r="818" spans="1:8" x14ac:dyDescent="0.25">
      <c r="A818" s="3" t="s">
        <v>2495</v>
      </c>
      <c r="B818" s="3" t="s">
        <v>3206</v>
      </c>
      <c r="C818" s="10">
        <v>45680.405752314808</v>
      </c>
      <c r="D818" s="3" t="s">
        <v>2350</v>
      </c>
      <c r="E818" s="10">
        <v>45680.746504629627</v>
      </c>
      <c r="F818" s="10">
        <v>45681.7580787037</v>
      </c>
      <c r="G818" s="11">
        <f t="shared" si="24"/>
        <v>0.34075231481983792</v>
      </c>
      <c r="H818" s="11">
        <f t="shared" si="25"/>
        <v>1.3523263888928341</v>
      </c>
    </row>
    <row r="819" spans="1:8" x14ac:dyDescent="0.25">
      <c r="A819" s="3" t="s">
        <v>2497</v>
      </c>
      <c r="B819" s="3" t="s">
        <v>3196</v>
      </c>
      <c r="C819" s="10">
        <v>45680.407789351862</v>
      </c>
      <c r="D819" s="3" t="s">
        <v>2469</v>
      </c>
      <c r="E819" s="10">
        <v>45680.414918981478</v>
      </c>
      <c r="F819" s="10">
        <v>45681.454201388893</v>
      </c>
      <c r="G819" s="11">
        <f t="shared" si="24"/>
        <v>7.1296296155196615E-3</v>
      </c>
      <c r="H819" s="11">
        <f t="shared" si="25"/>
        <v>1.0464120370306773</v>
      </c>
    </row>
    <row r="820" spans="1:8" x14ac:dyDescent="0.25">
      <c r="A820" s="3" t="s">
        <v>2499</v>
      </c>
      <c r="B820" s="3" t="s">
        <v>3205</v>
      </c>
      <c r="C820" s="10">
        <v>45680.409131944441</v>
      </c>
      <c r="D820" s="3" t="s">
        <v>2426</v>
      </c>
      <c r="E820" s="10">
        <v>45680.413055555553</v>
      </c>
      <c r="F820" s="10">
        <v>45681.428113425929</v>
      </c>
      <c r="G820" s="11">
        <f t="shared" si="24"/>
        <v>3.9236111115314998E-3</v>
      </c>
      <c r="H820" s="11">
        <f t="shared" si="25"/>
        <v>1.0189814814875717</v>
      </c>
    </row>
    <row r="821" spans="1:8" x14ac:dyDescent="0.25">
      <c r="A821" s="3" t="s">
        <v>2501</v>
      </c>
      <c r="B821" s="3" t="s">
        <v>3196</v>
      </c>
      <c r="C821" s="10">
        <v>45680.411030092589</v>
      </c>
      <c r="D821" s="3" t="s">
        <v>2469</v>
      </c>
      <c r="E821" s="10">
        <v>45680.414918981478</v>
      </c>
      <c r="F821" s="10">
        <v>45681.454201388893</v>
      </c>
      <c r="G821" s="11">
        <f t="shared" si="24"/>
        <v>3.8888888884685002E-3</v>
      </c>
      <c r="H821" s="11">
        <f t="shared" si="25"/>
        <v>1.0431712963036261</v>
      </c>
    </row>
    <row r="822" spans="1:8" x14ac:dyDescent="0.25">
      <c r="A822" s="3" t="s">
        <v>2503</v>
      </c>
      <c r="B822" s="3" t="s">
        <v>3204</v>
      </c>
      <c r="C822" s="10">
        <v>45680.413032407407</v>
      </c>
      <c r="D822" s="3" t="s">
        <v>2504</v>
      </c>
      <c r="E822" s="10">
        <v>45681.398414351846</v>
      </c>
      <c r="F822" s="10">
        <v>45684.371539351851</v>
      </c>
      <c r="G822" s="11">
        <f t="shared" si="24"/>
        <v>0.98538194443972316</v>
      </c>
      <c r="H822" s="11">
        <f t="shared" si="25"/>
        <v>3.9585069444437977</v>
      </c>
    </row>
    <row r="823" spans="1:8" x14ac:dyDescent="0.25">
      <c r="A823" s="3" t="s">
        <v>2506</v>
      </c>
      <c r="B823" s="3" t="s">
        <v>3197</v>
      </c>
      <c r="C823" s="10">
        <v>45680.415277777778</v>
      </c>
      <c r="D823" s="3" t="s">
        <v>2443</v>
      </c>
      <c r="E823" s="10">
        <v>45680.420763888891</v>
      </c>
      <c r="F823" s="10">
        <v>45681.584872685176</v>
      </c>
      <c r="G823" s="11">
        <f t="shared" si="24"/>
        <v>5.4861111129866913E-3</v>
      </c>
      <c r="H823" s="11">
        <f t="shared" si="25"/>
        <v>1.1695949073982774</v>
      </c>
    </row>
    <row r="824" spans="1:8" x14ac:dyDescent="0.25">
      <c r="A824" s="3" t="s">
        <v>2508</v>
      </c>
      <c r="B824" s="3" t="s">
        <v>3197</v>
      </c>
      <c r="C824" s="10">
        <v>45680.417210648149</v>
      </c>
      <c r="D824" s="3" t="s">
        <v>2443</v>
      </c>
      <c r="E824" s="10">
        <v>45680.420763888891</v>
      </c>
      <c r="F824" s="10">
        <v>45681.584872685176</v>
      </c>
      <c r="G824" s="11">
        <f t="shared" si="24"/>
        <v>3.5532407418941148E-3</v>
      </c>
      <c r="H824" s="11">
        <f t="shared" si="25"/>
        <v>1.1676620370271849</v>
      </c>
    </row>
    <row r="825" spans="1:8" x14ac:dyDescent="0.25">
      <c r="A825" s="3" t="s">
        <v>2511</v>
      </c>
      <c r="B825" s="3" t="s">
        <v>3194</v>
      </c>
      <c r="C825" s="10">
        <v>45680.451493055552</v>
      </c>
      <c r="D825" s="3" t="s">
        <v>2464</v>
      </c>
      <c r="E825" s="10">
        <v>45680.453865740739</v>
      </c>
      <c r="F825" s="10">
        <v>45681.687650462962</v>
      </c>
      <c r="G825" s="11">
        <f t="shared" si="24"/>
        <v>2.3726851868559606E-3</v>
      </c>
      <c r="H825" s="11">
        <f t="shared" si="25"/>
        <v>1.2361574074093369</v>
      </c>
    </row>
    <row r="826" spans="1:8" x14ac:dyDescent="0.25">
      <c r="A826" s="3" t="s">
        <v>2514</v>
      </c>
      <c r="B826" s="3" t="s">
        <v>3194</v>
      </c>
      <c r="C826" s="10">
        <v>45680.451493055552</v>
      </c>
      <c r="D826" s="3" t="s">
        <v>2464</v>
      </c>
      <c r="E826" s="10">
        <v>45680.453865740739</v>
      </c>
      <c r="F826" s="10">
        <v>45681.687650462962</v>
      </c>
      <c r="G826" s="11">
        <f t="shared" si="24"/>
        <v>2.3726851868559606E-3</v>
      </c>
      <c r="H826" s="11">
        <f t="shared" si="25"/>
        <v>1.2361574074093369</v>
      </c>
    </row>
    <row r="827" spans="1:8" x14ac:dyDescent="0.25">
      <c r="A827" s="3" t="s">
        <v>2517</v>
      </c>
      <c r="B827" s="3" t="s">
        <v>3194</v>
      </c>
      <c r="C827" s="10">
        <v>45680.451493055552</v>
      </c>
      <c r="D827" s="3" t="s">
        <v>2464</v>
      </c>
      <c r="E827" s="10">
        <v>45680.453865740739</v>
      </c>
      <c r="F827" s="10">
        <v>45681.687650462962</v>
      </c>
      <c r="G827" s="11">
        <f t="shared" si="24"/>
        <v>2.3726851868559606E-3</v>
      </c>
      <c r="H827" s="11">
        <f t="shared" si="25"/>
        <v>1.2361574074093369</v>
      </c>
    </row>
    <row r="828" spans="1:8" x14ac:dyDescent="0.25">
      <c r="A828" s="3" t="s">
        <v>2519</v>
      </c>
      <c r="B828" s="3" t="s">
        <v>3202</v>
      </c>
      <c r="C828" s="10">
        <v>45680.613252314812</v>
      </c>
      <c r="D828" s="3" t="s">
        <v>2520</v>
      </c>
      <c r="E828" s="10">
        <v>45680.615624999999</v>
      </c>
      <c r="F828" s="10">
        <v>45681.720949074072</v>
      </c>
      <c r="G828" s="11">
        <f t="shared" si="24"/>
        <v>2.3726851868559606E-3</v>
      </c>
      <c r="H828" s="11">
        <f t="shared" si="25"/>
        <v>1.1076967592598521</v>
      </c>
    </row>
    <row r="829" spans="1:8" x14ac:dyDescent="0.25">
      <c r="A829" s="3" t="s">
        <v>2522</v>
      </c>
      <c r="B829" s="3" t="s">
        <v>3196</v>
      </c>
      <c r="C829" s="10">
        <v>45680.628842592603</v>
      </c>
      <c r="D829" s="3" t="s">
        <v>2523</v>
      </c>
      <c r="E829" s="10">
        <v>45680.738263888888</v>
      </c>
      <c r="F829" s="10">
        <v>45681.677754629629</v>
      </c>
      <c r="G829" s="11">
        <f t="shared" si="24"/>
        <v>0.10942129628529074</v>
      </c>
      <c r="H829" s="11">
        <f t="shared" si="25"/>
        <v>1.0489120370257297</v>
      </c>
    </row>
    <row r="830" spans="1:8" x14ac:dyDescent="0.25">
      <c r="A830" s="3" t="s">
        <v>2525</v>
      </c>
      <c r="B830" s="3" t="s">
        <v>3194</v>
      </c>
      <c r="C830" s="10">
        <v>45680.630798611113</v>
      </c>
      <c r="D830" s="3" t="s">
        <v>2526</v>
      </c>
      <c r="E830" s="10">
        <v>45681.742638888893</v>
      </c>
      <c r="F830" s="10">
        <v>45684.693333333344</v>
      </c>
      <c r="G830" s="11">
        <f t="shared" si="24"/>
        <v>1.1118402777792653</v>
      </c>
      <c r="H830" s="11">
        <f t="shared" si="25"/>
        <v>4.062534722230339</v>
      </c>
    </row>
    <row r="831" spans="1:8" x14ac:dyDescent="0.25">
      <c r="A831" s="3" t="s">
        <v>2528</v>
      </c>
      <c r="B831" s="3" t="s">
        <v>3196</v>
      </c>
      <c r="C831" s="10">
        <v>45680.632685185177</v>
      </c>
      <c r="D831" s="3" t="s">
        <v>2523</v>
      </c>
      <c r="E831" s="10">
        <v>45680.738263888888</v>
      </c>
      <c r="F831" s="10">
        <v>45681.677754629629</v>
      </c>
      <c r="G831" s="11">
        <f t="shared" si="24"/>
        <v>0.1055787037112168</v>
      </c>
      <c r="H831" s="11">
        <f t="shared" si="25"/>
        <v>1.0450694444516557</v>
      </c>
    </row>
    <row r="832" spans="1:8" x14ac:dyDescent="0.25">
      <c r="A832" s="3" t="s">
        <v>2530</v>
      </c>
      <c r="B832" s="3" t="s">
        <v>3201</v>
      </c>
      <c r="C832" s="10">
        <v>45680.634409722217</v>
      </c>
      <c r="D832" s="3" t="s">
        <v>2489</v>
      </c>
      <c r="E832" s="10">
        <v>45681.199571759258</v>
      </c>
      <c r="F832" s="10">
        <v>45684.221712962957</v>
      </c>
      <c r="G832" s="11">
        <f t="shared" si="24"/>
        <v>0.56516203704086365</v>
      </c>
      <c r="H832" s="11">
        <f t="shared" si="25"/>
        <v>3.5873032407398568</v>
      </c>
    </row>
    <row r="833" spans="1:8" x14ac:dyDescent="0.25">
      <c r="A833" s="3" t="s">
        <v>2532</v>
      </c>
      <c r="B833" s="3" t="s">
        <v>3196</v>
      </c>
      <c r="C833" s="10">
        <v>45680.636354166672</v>
      </c>
      <c r="D833" s="3" t="s">
        <v>2523</v>
      </c>
      <c r="E833" s="10">
        <v>45680.738263888888</v>
      </c>
      <c r="F833" s="10">
        <v>45681.677754629629</v>
      </c>
      <c r="G833" s="11">
        <f t="shared" si="24"/>
        <v>0.10190972221607808</v>
      </c>
      <c r="H833" s="11">
        <f t="shared" si="25"/>
        <v>1.041400462956517</v>
      </c>
    </row>
    <row r="834" spans="1:8" x14ac:dyDescent="0.25">
      <c r="A834" s="3" t="s">
        <v>2534</v>
      </c>
      <c r="B834" s="3" t="s">
        <v>3199</v>
      </c>
      <c r="C834" s="10">
        <v>45680.638229166667</v>
      </c>
      <c r="D834" s="3" t="s">
        <v>2535</v>
      </c>
      <c r="E834" s="10">
        <v>45681.378692129627</v>
      </c>
      <c r="F834" s="10">
        <v>45684.345497685194</v>
      </c>
      <c r="G834" s="11">
        <f t="shared" ref="G834:G897" si="26">IF(AND(ISNUMBER(C834),ISNUMBER(E834)),(E834-C834),"")</f>
        <v>0.74046296296000946</v>
      </c>
      <c r="H834" s="11">
        <f t="shared" ref="H834:H897" si="27">IF(AND(ISNUMBER(C834),ISNUMBER(F834)),(F834-C834),"")</f>
        <v>3.7072685185266891</v>
      </c>
    </row>
    <row r="835" spans="1:8" x14ac:dyDescent="0.25">
      <c r="A835" s="3" t="s">
        <v>2543</v>
      </c>
      <c r="B835" s="3" t="s">
        <v>3197</v>
      </c>
      <c r="C835" s="10">
        <v>45680.730497685188</v>
      </c>
      <c r="D835" s="3" t="s">
        <v>2544</v>
      </c>
      <c r="E835" s="10">
        <v>45681.129108796304</v>
      </c>
      <c r="F835" s="10">
        <v>45683.790127314824</v>
      </c>
      <c r="G835" s="11">
        <f t="shared" si="26"/>
        <v>0.398611111115315</v>
      </c>
      <c r="H835" s="11">
        <f t="shared" si="27"/>
        <v>3.0596296296353103</v>
      </c>
    </row>
    <row r="836" spans="1:8" x14ac:dyDescent="0.25">
      <c r="A836" s="3" t="s">
        <v>2546</v>
      </c>
      <c r="B836" s="3" t="s">
        <v>3199</v>
      </c>
      <c r="C836" s="10">
        <v>45680.732407407413</v>
      </c>
      <c r="D836" s="3" t="s">
        <v>2535</v>
      </c>
      <c r="E836" s="10">
        <v>45681.378692129627</v>
      </c>
      <c r="F836" s="10">
        <v>45684.345497685194</v>
      </c>
      <c r="G836" s="11">
        <f t="shared" si="26"/>
        <v>0.64628472221374977</v>
      </c>
      <c r="H836" s="11">
        <f t="shared" si="27"/>
        <v>3.6130902777804295</v>
      </c>
    </row>
    <row r="837" spans="1:8" x14ac:dyDescent="0.25">
      <c r="A837" s="3" t="s">
        <v>2548</v>
      </c>
      <c r="B837" s="3" t="s">
        <v>3196</v>
      </c>
      <c r="C837" s="10">
        <v>45680.734375</v>
      </c>
      <c r="D837" s="3" t="s">
        <v>2523</v>
      </c>
      <c r="E837" s="10">
        <v>45680.738263888888</v>
      </c>
      <c r="F837" s="10">
        <v>45681.677754629629</v>
      </c>
      <c r="G837" s="11">
        <f t="shared" si="26"/>
        <v>3.8888888884685002E-3</v>
      </c>
      <c r="H837" s="11">
        <f t="shared" si="27"/>
        <v>0.94337962962890742</v>
      </c>
    </row>
    <row r="838" spans="1:8" x14ac:dyDescent="0.25">
      <c r="A838" s="3" t="s">
        <v>2550</v>
      </c>
      <c r="B838" s="3" t="s">
        <v>3203</v>
      </c>
      <c r="C838" s="10">
        <v>45680.735567129632</v>
      </c>
      <c r="D838" s="3" t="s">
        <v>2486</v>
      </c>
      <c r="E838" s="10">
        <v>45681.135034722232</v>
      </c>
      <c r="F838" s="10">
        <v>45684.154236111113</v>
      </c>
      <c r="G838" s="11">
        <f t="shared" si="26"/>
        <v>0.39946759260055842</v>
      </c>
      <c r="H838" s="11">
        <f t="shared" si="27"/>
        <v>3.4186689814814599</v>
      </c>
    </row>
    <row r="839" spans="1:8" x14ac:dyDescent="0.25">
      <c r="A839" s="3" t="s">
        <v>2552</v>
      </c>
      <c r="B839" s="3" t="s">
        <v>3206</v>
      </c>
      <c r="C839" s="10">
        <v>45680.737187500003</v>
      </c>
      <c r="D839" s="3" t="s">
        <v>2350</v>
      </c>
      <c r="E839" s="10">
        <v>45680.746504629627</v>
      </c>
      <c r="F839" s="10">
        <v>45681.7580787037</v>
      </c>
      <c r="G839" s="11">
        <f t="shared" si="26"/>
        <v>9.3171296248328872E-3</v>
      </c>
      <c r="H839" s="11">
        <f t="shared" si="27"/>
        <v>1.020891203697829</v>
      </c>
    </row>
    <row r="840" spans="1:8" x14ac:dyDescent="0.25">
      <c r="A840" s="3" t="s">
        <v>2554</v>
      </c>
      <c r="B840" s="3" t="s">
        <v>3201</v>
      </c>
      <c r="C840" s="10">
        <v>45680.738935185182</v>
      </c>
      <c r="D840" s="3" t="s">
        <v>2489</v>
      </c>
      <c r="E840" s="10">
        <v>45681.199571759258</v>
      </c>
      <c r="F840" s="10">
        <v>45684.221712962957</v>
      </c>
      <c r="G840" s="11">
        <f t="shared" si="26"/>
        <v>0.46063657407648861</v>
      </c>
      <c r="H840" s="11">
        <f t="shared" si="27"/>
        <v>3.4827777777754818</v>
      </c>
    </row>
    <row r="841" spans="1:8" x14ac:dyDescent="0.25">
      <c r="A841" s="3" t="s">
        <v>2556</v>
      </c>
      <c r="B841" s="3" t="s">
        <v>3204</v>
      </c>
      <c r="C841" s="10">
        <v>45680.740960648152</v>
      </c>
      <c r="D841" s="3" t="s">
        <v>2504</v>
      </c>
      <c r="E841" s="10">
        <v>45681.398414351846</v>
      </c>
      <c r="F841" s="10">
        <v>45684.371539351851</v>
      </c>
      <c r="G841" s="11">
        <f t="shared" si="26"/>
        <v>0.65745370369404554</v>
      </c>
      <c r="H841" s="11">
        <f t="shared" si="27"/>
        <v>3.6305787036981201</v>
      </c>
    </row>
    <row r="842" spans="1:8" x14ac:dyDescent="0.25">
      <c r="A842" s="3" t="s">
        <v>2558</v>
      </c>
      <c r="B842" s="3" t="s">
        <v>3206</v>
      </c>
      <c r="C842" s="10">
        <v>45680.742581018523</v>
      </c>
      <c r="D842" s="3" t="s">
        <v>2350</v>
      </c>
      <c r="E842" s="10">
        <v>45680.746504629627</v>
      </c>
      <c r="F842" s="10">
        <v>45681.7580787037</v>
      </c>
      <c r="G842" s="11">
        <f t="shared" si="26"/>
        <v>3.9236111042555422E-3</v>
      </c>
      <c r="H842" s="11">
        <f t="shared" si="27"/>
        <v>1.0154976851772517</v>
      </c>
    </row>
    <row r="843" spans="1:8" x14ac:dyDescent="0.25">
      <c r="A843" s="3" t="s">
        <v>2560</v>
      </c>
      <c r="B843" s="3" t="s">
        <v>3203</v>
      </c>
      <c r="C843" s="10">
        <v>45680.743738425917</v>
      </c>
      <c r="D843" s="3" t="s">
        <v>2486</v>
      </c>
      <c r="E843" s="10">
        <v>45681.135034722232</v>
      </c>
      <c r="F843" s="10">
        <v>45684.154236111113</v>
      </c>
      <c r="G843" s="11">
        <f t="shared" si="26"/>
        <v>0.39129629631497664</v>
      </c>
      <c r="H843" s="11">
        <f t="shared" si="27"/>
        <v>3.4104976851958781</v>
      </c>
    </row>
    <row r="844" spans="1:8" x14ac:dyDescent="0.25">
      <c r="A844" s="3" t="s">
        <v>2562</v>
      </c>
      <c r="B844" s="3" t="s">
        <v>3196</v>
      </c>
      <c r="C844" s="10">
        <v>45680.745648148149</v>
      </c>
      <c r="D844" s="3" t="s">
        <v>2563</v>
      </c>
      <c r="E844" s="10">
        <v>45681.645370370366</v>
      </c>
      <c r="F844" s="10">
        <v>45684.558217592603</v>
      </c>
      <c r="G844" s="11">
        <f t="shared" si="26"/>
        <v>0.8997222222169512</v>
      </c>
      <c r="H844" s="11">
        <f t="shared" si="27"/>
        <v>3.812569444453402</v>
      </c>
    </row>
    <row r="845" spans="1:8" x14ac:dyDescent="0.25">
      <c r="A845" s="3" t="s">
        <v>2565</v>
      </c>
      <c r="B845" s="3" t="s">
        <v>3193</v>
      </c>
      <c r="C845" s="10">
        <v>45680.747164351851</v>
      </c>
      <c r="D845" s="3" t="s">
        <v>2566</v>
      </c>
      <c r="E845" s="10">
        <v>45680.749525462961</v>
      </c>
      <c r="F845" s="10">
        <v>45681.763101851851</v>
      </c>
      <c r="G845" s="11">
        <f t="shared" si="26"/>
        <v>2.3611111100763083E-3</v>
      </c>
      <c r="H845" s="11">
        <f t="shared" si="27"/>
        <v>1.015937500000291</v>
      </c>
    </row>
    <row r="846" spans="1:8" x14ac:dyDescent="0.25">
      <c r="A846" s="3" t="s">
        <v>2568</v>
      </c>
      <c r="B846" s="3" t="s">
        <v>3203</v>
      </c>
      <c r="C846" s="10">
        <v>45680.74832175926</v>
      </c>
      <c r="D846" s="3" t="s">
        <v>2486</v>
      </c>
      <c r="E846" s="10">
        <v>45681.135034722232</v>
      </c>
      <c r="F846" s="10">
        <v>45684.154236111113</v>
      </c>
      <c r="G846" s="11">
        <f t="shared" si="26"/>
        <v>0.38671296297252411</v>
      </c>
      <c r="H846" s="11">
        <f t="shared" si="27"/>
        <v>3.4059143518534256</v>
      </c>
    </row>
    <row r="847" spans="1:8" x14ac:dyDescent="0.25">
      <c r="A847" s="3" t="s">
        <v>2570</v>
      </c>
      <c r="B847" s="3" t="s">
        <v>3198</v>
      </c>
      <c r="C847" s="10">
        <v>45680.751122685193</v>
      </c>
      <c r="D847" s="3" t="s">
        <v>2571</v>
      </c>
      <c r="E847" s="10">
        <v>45680.884675925918</v>
      </c>
      <c r="F847" s="10">
        <v>45682.115636574083</v>
      </c>
      <c r="G847" s="11">
        <f t="shared" si="26"/>
        <v>0.13355324072472285</v>
      </c>
      <c r="H847" s="11">
        <f t="shared" si="27"/>
        <v>1.3645138888896327</v>
      </c>
    </row>
    <row r="848" spans="1:8" x14ac:dyDescent="0.25">
      <c r="A848" s="3" t="s">
        <v>2573</v>
      </c>
      <c r="B848" s="3" t="s">
        <v>3198</v>
      </c>
      <c r="C848" s="10">
        <v>45680.881122685183</v>
      </c>
      <c r="D848" s="3" t="s">
        <v>2571</v>
      </c>
      <c r="E848" s="10">
        <v>45680.884675925918</v>
      </c>
      <c r="F848" s="10">
        <v>45682.115636574083</v>
      </c>
      <c r="G848" s="11">
        <f t="shared" si="26"/>
        <v>3.5532407346181571E-3</v>
      </c>
      <c r="H848" s="11">
        <f t="shared" si="27"/>
        <v>1.234513888899528</v>
      </c>
    </row>
    <row r="849" spans="1:8" x14ac:dyDescent="0.25">
      <c r="A849" s="3" t="s">
        <v>2575</v>
      </c>
      <c r="B849" s="3" t="s">
        <v>3199</v>
      </c>
      <c r="C849" s="10">
        <v>45681.124409722222</v>
      </c>
      <c r="D849" s="3" t="s">
        <v>2535</v>
      </c>
      <c r="E849" s="10">
        <v>45681.378692129627</v>
      </c>
      <c r="F849" s="10">
        <v>45684.345497685194</v>
      </c>
      <c r="G849" s="11">
        <f t="shared" si="26"/>
        <v>0.25428240740438923</v>
      </c>
      <c r="H849" s="11">
        <f t="shared" si="27"/>
        <v>3.2210879629710689</v>
      </c>
    </row>
    <row r="850" spans="1:8" x14ac:dyDescent="0.25">
      <c r="A850" s="3" t="s">
        <v>2577</v>
      </c>
      <c r="B850" s="3" t="s">
        <v>3197</v>
      </c>
      <c r="C850" s="10">
        <v>45681.126712962963</v>
      </c>
      <c r="D850" s="3" t="s">
        <v>2544</v>
      </c>
      <c r="E850" s="10">
        <v>45681.129108796304</v>
      </c>
      <c r="F850" s="10">
        <v>45683.790127314824</v>
      </c>
      <c r="G850" s="11">
        <f t="shared" si="26"/>
        <v>2.3958333404152654E-3</v>
      </c>
      <c r="H850" s="11">
        <f t="shared" si="27"/>
        <v>2.6634143518604105</v>
      </c>
    </row>
    <row r="851" spans="1:8" x14ac:dyDescent="0.25">
      <c r="A851" s="3" t="s">
        <v>2579</v>
      </c>
      <c r="B851" s="3" t="s">
        <v>3203</v>
      </c>
      <c r="C851" s="10">
        <v>45681.127916666657</v>
      </c>
      <c r="D851" s="3" t="s">
        <v>2486</v>
      </c>
      <c r="E851" s="10">
        <v>45681.135034722232</v>
      </c>
      <c r="F851" s="10">
        <v>45684.154236111113</v>
      </c>
      <c r="G851" s="11">
        <f t="shared" si="26"/>
        <v>7.1180555751197971E-3</v>
      </c>
      <c r="H851" s="11">
        <f t="shared" si="27"/>
        <v>3.0263194444560213</v>
      </c>
    </row>
    <row r="852" spans="1:8" x14ac:dyDescent="0.25">
      <c r="A852" s="3" t="s">
        <v>2581</v>
      </c>
      <c r="B852" s="3" t="s">
        <v>3194</v>
      </c>
      <c r="C852" s="10">
        <v>45681.129861111112</v>
      </c>
      <c r="D852" s="3" t="s">
        <v>2526</v>
      </c>
      <c r="E852" s="10">
        <v>45681.742638888893</v>
      </c>
      <c r="F852" s="10">
        <v>45684.693333333344</v>
      </c>
      <c r="G852" s="11">
        <f t="shared" si="26"/>
        <v>0.61277777778013842</v>
      </c>
      <c r="H852" s="11">
        <f t="shared" si="27"/>
        <v>3.5634722222312121</v>
      </c>
    </row>
    <row r="853" spans="1:8" x14ac:dyDescent="0.25">
      <c r="A853" s="3" t="s">
        <v>2583</v>
      </c>
      <c r="B853" s="3" t="s">
        <v>3203</v>
      </c>
      <c r="C853" s="10">
        <v>45681.131111111114</v>
      </c>
      <c r="D853" s="3" t="s">
        <v>2486</v>
      </c>
      <c r="E853" s="10">
        <v>45681.135034722232</v>
      </c>
      <c r="F853" s="10">
        <v>45684.154236111113</v>
      </c>
      <c r="G853" s="11">
        <f t="shared" si="26"/>
        <v>3.9236111188074574E-3</v>
      </c>
      <c r="H853" s="11">
        <f t="shared" si="27"/>
        <v>3.023124999999709</v>
      </c>
    </row>
    <row r="854" spans="1:8" x14ac:dyDescent="0.25">
      <c r="A854" s="3" t="s">
        <v>2585</v>
      </c>
      <c r="B854" s="3" t="s">
        <v>3201</v>
      </c>
      <c r="C854" s="10">
        <v>45681.197175925918</v>
      </c>
      <c r="D854" s="3" t="s">
        <v>2489</v>
      </c>
      <c r="E854" s="10">
        <v>45681.199571759258</v>
      </c>
      <c r="F854" s="10">
        <v>45684.221712962957</v>
      </c>
      <c r="G854" s="11">
        <f t="shared" si="26"/>
        <v>2.3958333404152654E-3</v>
      </c>
      <c r="H854" s="11">
        <f t="shared" si="27"/>
        <v>3.0245370370394085</v>
      </c>
    </row>
    <row r="855" spans="1:8" x14ac:dyDescent="0.25">
      <c r="A855" s="3" t="s">
        <v>2587</v>
      </c>
      <c r="B855" s="3" t="s">
        <v>3203</v>
      </c>
      <c r="C855" s="10">
        <v>45681.267592592587</v>
      </c>
      <c r="D855" s="3" t="s">
        <v>2588</v>
      </c>
      <c r="E855" s="10">
        <v>45681.269988425927</v>
      </c>
      <c r="F855" s="10">
        <v>45684.338912037027</v>
      </c>
      <c r="G855" s="11">
        <f t="shared" si="26"/>
        <v>2.3958333404152654E-3</v>
      </c>
      <c r="H855" s="11">
        <f t="shared" si="27"/>
        <v>3.0713194444397232</v>
      </c>
    </row>
    <row r="856" spans="1:8" x14ac:dyDescent="0.25">
      <c r="A856" s="3" t="s">
        <v>2590</v>
      </c>
      <c r="B856" s="3" t="s">
        <v>3200</v>
      </c>
      <c r="C856" s="10">
        <v>45681.299201388887</v>
      </c>
      <c r="D856" s="3" t="s">
        <v>2591</v>
      </c>
      <c r="E856" s="10">
        <v>45681.30159722222</v>
      </c>
      <c r="F856" s="10">
        <v>45684.36614583333</v>
      </c>
      <c r="G856" s="11">
        <f t="shared" si="26"/>
        <v>2.3958333331393078E-3</v>
      </c>
      <c r="H856" s="11">
        <f t="shared" si="27"/>
        <v>3.0669444444429246</v>
      </c>
    </row>
    <row r="857" spans="1:8" x14ac:dyDescent="0.25">
      <c r="A857" s="3" t="s">
        <v>2593</v>
      </c>
      <c r="B857" s="3" t="s">
        <v>3203</v>
      </c>
      <c r="C857" s="10">
        <v>45681.322002314817</v>
      </c>
      <c r="D857" s="3" t="s">
        <v>2594</v>
      </c>
      <c r="E857" s="10">
        <v>45681.42696759259</v>
      </c>
      <c r="F857" s="10">
        <v>45684.390185185177</v>
      </c>
      <c r="G857" s="11">
        <f t="shared" si="26"/>
        <v>0.10496527777286246</v>
      </c>
      <c r="H857" s="11">
        <f t="shared" si="27"/>
        <v>3.0681828703600331</v>
      </c>
    </row>
    <row r="858" spans="1:8" x14ac:dyDescent="0.25">
      <c r="A858" s="3" t="s">
        <v>2596</v>
      </c>
      <c r="B858" s="3" t="s">
        <v>3194</v>
      </c>
      <c r="C858" s="10">
        <v>45681.323958333327</v>
      </c>
      <c r="D858" s="3" t="s">
        <v>2526</v>
      </c>
      <c r="E858" s="10">
        <v>45681.742638888893</v>
      </c>
      <c r="F858" s="10">
        <v>45684.693333333344</v>
      </c>
      <c r="G858" s="11">
        <f t="shared" si="26"/>
        <v>0.41868055556551553</v>
      </c>
      <c r="H858" s="11">
        <f t="shared" si="27"/>
        <v>3.3693750000165892</v>
      </c>
    </row>
    <row r="859" spans="1:8" x14ac:dyDescent="0.25">
      <c r="A859" s="3" t="s">
        <v>2601</v>
      </c>
      <c r="B859" s="3" t="s">
        <v>3203</v>
      </c>
      <c r="C859" s="10">
        <v>45681.325138888889</v>
      </c>
      <c r="D859" s="3" t="s">
        <v>2594</v>
      </c>
      <c r="E859" s="10">
        <v>45681.42696759259</v>
      </c>
      <c r="F859" s="10">
        <v>45684.390185185177</v>
      </c>
      <c r="G859" s="11">
        <f t="shared" si="26"/>
        <v>0.10182870370044839</v>
      </c>
      <c r="H859" s="11">
        <f t="shared" si="27"/>
        <v>3.065046296287619</v>
      </c>
    </row>
    <row r="860" spans="1:8" x14ac:dyDescent="0.25">
      <c r="A860" s="3" t="s">
        <v>2604</v>
      </c>
      <c r="B860" s="3" t="s">
        <v>3194</v>
      </c>
      <c r="C860" s="10">
        <v>45681.32708333333</v>
      </c>
      <c r="D860" s="3" t="s">
        <v>2526</v>
      </c>
      <c r="E860" s="10">
        <v>45681.742638888893</v>
      </c>
      <c r="F860" s="10">
        <v>45684.693333333344</v>
      </c>
      <c r="G860" s="11">
        <f t="shared" si="26"/>
        <v>0.41555555556260515</v>
      </c>
      <c r="H860" s="11">
        <f t="shared" si="27"/>
        <v>3.3662500000136788</v>
      </c>
    </row>
    <row r="861" spans="1:8" x14ac:dyDescent="0.25">
      <c r="A861" s="3" t="s">
        <v>2607</v>
      </c>
      <c r="B861" s="3" t="s">
        <v>3201</v>
      </c>
      <c r="C861" s="10">
        <v>45681.328842592593</v>
      </c>
      <c r="D861" s="3" t="s">
        <v>2608</v>
      </c>
      <c r="E861" s="10">
        <v>45684.286666666667</v>
      </c>
      <c r="F861" s="10">
        <v>45685.376342592594</v>
      </c>
      <c r="G861" s="11">
        <f t="shared" si="26"/>
        <v>2.9578240740738693</v>
      </c>
      <c r="H861" s="11">
        <f t="shared" si="27"/>
        <v>4.0475000000005821</v>
      </c>
    </row>
    <row r="862" spans="1:8" x14ac:dyDescent="0.25">
      <c r="A862" s="3" t="s">
        <v>2612</v>
      </c>
      <c r="B862" s="3" t="s">
        <v>3206</v>
      </c>
      <c r="C862" s="10">
        <v>45681.330509259264</v>
      </c>
      <c r="D862" s="3" t="s">
        <v>2613</v>
      </c>
      <c r="E862" s="10">
        <v>45683.762430555558</v>
      </c>
      <c r="F862" s="10">
        <v>45684.912083333344</v>
      </c>
      <c r="G862" s="11">
        <f t="shared" si="26"/>
        <v>2.431921296294604</v>
      </c>
      <c r="H862" s="11">
        <f t="shared" si="27"/>
        <v>3.5815740740799811</v>
      </c>
    </row>
    <row r="863" spans="1:8" x14ac:dyDescent="0.25">
      <c r="A863" s="3" t="s">
        <v>2616</v>
      </c>
      <c r="B863" s="3" t="s">
        <v>3203</v>
      </c>
      <c r="C863" s="10">
        <v>45681.374189814807</v>
      </c>
      <c r="D863" s="3" t="s">
        <v>2594</v>
      </c>
      <c r="E863" s="10">
        <v>45681.42696759259</v>
      </c>
      <c r="F863" s="10">
        <v>45684.390185185177</v>
      </c>
      <c r="G863" s="11">
        <f t="shared" si="26"/>
        <v>5.2777777782466728E-2</v>
      </c>
      <c r="H863" s="11">
        <f t="shared" si="27"/>
        <v>3.0159953703696374</v>
      </c>
    </row>
    <row r="864" spans="1:8" x14ac:dyDescent="0.25">
      <c r="A864" s="3" t="s">
        <v>2618</v>
      </c>
      <c r="B864" s="3" t="s">
        <v>3199</v>
      </c>
      <c r="C864" s="10">
        <v>45681.376319444447</v>
      </c>
      <c r="D864" s="3" t="s">
        <v>2535</v>
      </c>
      <c r="E864" s="10">
        <v>45681.378692129627</v>
      </c>
      <c r="F864" s="10">
        <v>45684.345497685194</v>
      </c>
      <c r="G864" s="11">
        <f t="shared" si="26"/>
        <v>2.372685179580003E-3</v>
      </c>
      <c r="H864" s="11">
        <f t="shared" si="27"/>
        <v>2.9691782407462597</v>
      </c>
    </row>
    <row r="865" spans="1:8" x14ac:dyDescent="0.25">
      <c r="A865" s="3" t="s">
        <v>2620</v>
      </c>
      <c r="B865" s="3" t="s">
        <v>3203</v>
      </c>
      <c r="C865" s="10">
        <v>45681.391921296286</v>
      </c>
      <c r="D865" s="3" t="s">
        <v>2594</v>
      </c>
      <c r="E865" s="10">
        <v>45681.42696759259</v>
      </c>
      <c r="F865" s="10">
        <v>45684.390185185177</v>
      </c>
      <c r="G865" s="11">
        <f t="shared" si="26"/>
        <v>3.5046296303335112E-2</v>
      </c>
      <c r="H865" s="11">
        <f t="shared" si="27"/>
        <v>2.9982638888905058</v>
      </c>
    </row>
    <row r="866" spans="1:8" x14ac:dyDescent="0.25">
      <c r="A866" s="3" t="s">
        <v>2622</v>
      </c>
      <c r="B866" s="3" t="s">
        <v>3201</v>
      </c>
      <c r="C866" s="10">
        <v>45681.393645833326</v>
      </c>
      <c r="D866" s="3" t="s">
        <v>2608</v>
      </c>
      <c r="E866" s="10">
        <v>45684.286666666667</v>
      </c>
      <c r="F866" s="10">
        <v>45685.376342592594</v>
      </c>
      <c r="G866" s="11">
        <f t="shared" si="26"/>
        <v>2.8930208333404153</v>
      </c>
      <c r="H866" s="11">
        <f t="shared" si="27"/>
        <v>3.9826967592671281</v>
      </c>
    </row>
    <row r="867" spans="1:8" x14ac:dyDescent="0.25">
      <c r="A867" s="3" t="s">
        <v>2624</v>
      </c>
      <c r="B867" s="3" t="s">
        <v>3204</v>
      </c>
      <c r="C867" s="10">
        <v>45681.396018518521</v>
      </c>
      <c r="D867" s="3" t="s">
        <v>2504</v>
      </c>
      <c r="E867" s="10">
        <v>45681.398414351846</v>
      </c>
      <c r="F867" s="10">
        <v>45684.371539351851</v>
      </c>
      <c r="G867" s="11">
        <f t="shared" si="26"/>
        <v>2.3958333258633502E-3</v>
      </c>
      <c r="H867" s="11">
        <f t="shared" si="27"/>
        <v>2.9755208333299379</v>
      </c>
    </row>
    <row r="868" spans="1:8" x14ac:dyDescent="0.25">
      <c r="A868" s="3" t="s">
        <v>2627</v>
      </c>
      <c r="B868" s="3" t="s">
        <v>3203</v>
      </c>
      <c r="C868" s="10">
        <v>45681.397152777783</v>
      </c>
      <c r="D868" s="3" t="s">
        <v>2594</v>
      </c>
      <c r="E868" s="10">
        <v>45681.42696759259</v>
      </c>
      <c r="F868" s="10">
        <v>45684.390185185177</v>
      </c>
      <c r="G868" s="11">
        <f t="shared" si="26"/>
        <v>2.9814814806741197E-2</v>
      </c>
      <c r="H868" s="11">
        <f t="shared" si="27"/>
        <v>2.9930324073939119</v>
      </c>
    </row>
    <row r="869" spans="1:8" x14ac:dyDescent="0.25">
      <c r="A869" s="3" t="s">
        <v>2630</v>
      </c>
      <c r="B869" s="3" t="s">
        <v>3199</v>
      </c>
      <c r="C869" s="10">
        <v>45681.399039351847</v>
      </c>
      <c r="D869" s="3" t="s">
        <v>2631</v>
      </c>
      <c r="E869" s="10">
        <v>45684.389710648153</v>
      </c>
      <c r="F869" s="10">
        <v>45685.370671296303</v>
      </c>
      <c r="G869" s="11">
        <f t="shared" si="26"/>
        <v>2.9906712963056634</v>
      </c>
      <c r="H869" s="11">
        <f t="shared" si="27"/>
        <v>3.9716319444560213</v>
      </c>
    </row>
    <row r="870" spans="1:8" x14ac:dyDescent="0.25">
      <c r="A870" s="3" t="s">
        <v>2634</v>
      </c>
      <c r="B870" s="3" t="s">
        <v>3203</v>
      </c>
      <c r="C870" s="10">
        <v>45681.423078703701</v>
      </c>
      <c r="D870" s="3" t="s">
        <v>2594</v>
      </c>
      <c r="E870" s="10">
        <v>45681.42696759259</v>
      </c>
      <c r="F870" s="10">
        <v>45684.390185185177</v>
      </c>
      <c r="G870" s="11">
        <f t="shared" si="26"/>
        <v>3.8888888884685002E-3</v>
      </c>
      <c r="H870" s="11">
        <f t="shared" si="27"/>
        <v>2.9671064814756392</v>
      </c>
    </row>
    <row r="871" spans="1:8" x14ac:dyDescent="0.25">
      <c r="A871" s="3" t="s">
        <v>2637</v>
      </c>
      <c r="B871" s="3" t="s">
        <v>3195</v>
      </c>
      <c r="C871" s="10">
        <v>45681.551481481481</v>
      </c>
      <c r="D871" s="3" t="s">
        <v>2638</v>
      </c>
      <c r="E871" s="10">
        <v>45681.553877314807</v>
      </c>
      <c r="F871" s="10">
        <v>45684.424421296288</v>
      </c>
      <c r="G871" s="11">
        <f t="shared" si="26"/>
        <v>2.3958333258633502E-3</v>
      </c>
      <c r="H871" s="11">
        <f t="shared" si="27"/>
        <v>2.8729398148061591</v>
      </c>
    </row>
    <row r="872" spans="1:8" x14ac:dyDescent="0.25">
      <c r="A872" s="3" t="s">
        <v>2640</v>
      </c>
      <c r="B872" s="3" t="s">
        <v>3197</v>
      </c>
      <c r="C872" s="10">
        <v>45681.613634259258</v>
      </c>
      <c r="D872" s="3" t="s">
        <v>2641</v>
      </c>
      <c r="E872" s="10">
        <v>45681.616006944438</v>
      </c>
      <c r="F872" s="10">
        <v>45684.506331018521</v>
      </c>
      <c r="G872" s="11">
        <f t="shared" si="26"/>
        <v>2.372685179580003E-3</v>
      </c>
      <c r="H872" s="11">
        <f t="shared" si="27"/>
        <v>2.8926967592633446</v>
      </c>
    </row>
    <row r="873" spans="1:8" x14ac:dyDescent="0.25">
      <c r="A873" s="3" t="s">
        <v>2643</v>
      </c>
      <c r="B873" s="3" t="s">
        <v>3205</v>
      </c>
      <c r="C873" s="10">
        <v>45681.637870370367</v>
      </c>
      <c r="D873" s="3" t="s">
        <v>2644</v>
      </c>
      <c r="E873" s="10">
        <v>45684.12835648148</v>
      </c>
      <c r="F873" s="10">
        <v>45685.175740740742</v>
      </c>
      <c r="G873" s="11">
        <f t="shared" si="26"/>
        <v>2.4904861111135688</v>
      </c>
      <c r="H873" s="11">
        <f t="shared" si="27"/>
        <v>3.5378703703754582</v>
      </c>
    </row>
    <row r="874" spans="1:8" x14ac:dyDescent="0.25">
      <c r="A874" s="3" t="s">
        <v>2646</v>
      </c>
      <c r="B874" s="3" t="s">
        <v>3203</v>
      </c>
      <c r="C874" s="10">
        <v>45681.639120370368</v>
      </c>
      <c r="D874" s="3" t="s">
        <v>2647</v>
      </c>
      <c r="E874" s="10">
        <v>45684.20108796296</v>
      </c>
      <c r="F874" s="10">
        <v>45685.335416666669</v>
      </c>
      <c r="G874" s="11">
        <f t="shared" si="26"/>
        <v>2.5619675925918273</v>
      </c>
      <c r="H874" s="11">
        <f t="shared" si="27"/>
        <v>3.6962962963007158</v>
      </c>
    </row>
    <row r="875" spans="1:8" x14ac:dyDescent="0.25">
      <c r="A875" s="3" t="s">
        <v>2649</v>
      </c>
      <c r="B875" s="3" t="s">
        <v>3194</v>
      </c>
      <c r="C875" s="10">
        <v>45681.641087962962</v>
      </c>
      <c r="D875" s="3" t="s">
        <v>2526</v>
      </c>
      <c r="E875" s="10">
        <v>45681.742638888893</v>
      </c>
      <c r="F875" s="10">
        <v>45684.693333333344</v>
      </c>
      <c r="G875" s="11">
        <f t="shared" si="26"/>
        <v>0.10155092593049631</v>
      </c>
      <c r="H875" s="11">
        <f t="shared" si="27"/>
        <v>3.05224537038157</v>
      </c>
    </row>
    <row r="876" spans="1:8" x14ac:dyDescent="0.25">
      <c r="A876" s="3" t="s">
        <v>2651</v>
      </c>
      <c r="B876" s="3" t="s">
        <v>3196</v>
      </c>
      <c r="C876" s="10">
        <v>45681.643194444441</v>
      </c>
      <c r="D876" s="3" t="s">
        <v>2563</v>
      </c>
      <c r="E876" s="10">
        <v>45681.645370370366</v>
      </c>
      <c r="F876" s="10">
        <v>45684.558217592603</v>
      </c>
      <c r="G876" s="11">
        <f t="shared" si="26"/>
        <v>2.1759259252576157E-3</v>
      </c>
      <c r="H876" s="11">
        <f t="shared" si="27"/>
        <v>2.9150231481617084</v>
      </c>
    </row>
    <row r="877" spans="1:8" x14ac:dyDescent="0.25">
      <c r="A877" s="3" t="s">
        <v>2653</v>
      </c>
      <c r="B877" s="3" t="s">
        <v>3199</v>
      </c>
      <c r="C877" s="10">
        <v>45681.645104166673</v>
      </c>
      <c r="D877" s="3" t="s">
        <v>2631</v>
      </c>
      <c r="E877" s="10">
        <v>45684.389710648153</v>
      </c>
      <c r="F877" s="10">
        <v>45685.370671296303</v>
      </c>
      <c r="G877" s="11">
        <f t="shared" si="26"/>
        <v>2.7446064814794227</v>
      </c>
      <c r="H877" s="11">
        <f t="shared" si="27"/>
        <v>3.7255671296297805</v>
      </c>
    </row>
    <row r="878" spans="1:8" x14ac:dyDescent="0.25">
      <c r="A878" s="3" t="s">
        <v>2655</v>
      </c>
      <c r="B878" s="3" t="s">
        <v>3194</v>
      </c>
      <c r="C878" s="10">
        <v>45681.647060185183</v>
      </c>
      <c r="D878" s="3" t="s">
        <v>2526</v>
      </c>
      <c r="E878" s="10">
        <v>45681.742638888893</v>
      </c>
      <c r="F878" s="10">
        <v>45684.693333333344</v>
      </c>
      <c r="G878" s="11">
        <f t="shared" si="26"/>
        <v>9.5578703709179536E-2</v>
      </c>
      <c r="H878" s="11">
        <f t="shared" si="27"/>
        <v>3.0462731481602532</v>
      </c>
    </row>
    <row r="879" spans="1:8" x14ac:dyDescent="0.25">
      <c r="A879" s="3" t="s">
        <v>2658</v>
      </c>
      <c r="B879" s="3" t="s">
        <v>3201</v>
      </c>
      <c r="C879" s="10">
        <v>45681.648819444446</v>
      </c>
      <c r="D879" s="3" t="s">
        <v>2608</v>
      </c>
      <c r="E879" s="10">
        <v>45684.286666666667</v>
      </c>
      <c r="F879" s="10">
        <v>45685.376342592594</v>
      </c>
      <c r="G879" s="11">
        <f t="shared" si="26"/>
        <v>2.6378472222204437</v>
      </c>
      <c r="H879" s="11">
        <f t="shared" si="27"/>
        <v>3.7275231481471565</v>
      </c>
    </row>
    <row r="880" spans="1:8" x14ac:dyDescent="0.25">
      <c r="A880" s="3" t="s">
        <v>2664</v>
      </c>
      <c r="B880" s="3" t="s">
        <v>3202</v>
      </c>
      <c r="C880" s="10">
        <v>45681.736932870372</v>
      </c>
      <c r="D880" s="3" t="s">
        <v>2665</v>
      </c>
      <c r="E880" s="10">
        <v>45681.739305555559</v>
      </c>
      <c r="F880" s="10">
        <v>45684.635416666657</v>
      </c>
      <c r="G880" s="11">
        <f t="shared" si="26"/>
        <v>2.3726851868559606E-3</v>
      </c>
      <c r="H880" s="11">
        <f t="shared" si="27"/>
        <v>2.8984837962852907</v>
      </c>
    </row>
    <row r="881" spans="1:8" x14ac:dyDescent="0.25">
      <c r="A881" s="3" t="s">
        <v>2662</v>
      </c>
      <c r="B881" s="3" t="s">
        <v>3194</v>
      </c>
      <c r="C881" s="10">
        <v>45681.740266203713</v>
      </c>
      <c r="D881" s="3" t="s">
        <v>2526</v>
      </c>
      <c r="E881" s="10">
        <v>45681.742638888893</v>
      </c>
      <c r="F881" s="10">
        <v>45684.693333333344</v>
      </c>
      <c r="G881" s="11">
        <f t="shared" si="26"/>
        <v>2.372685179580003E-3</v>
      </c>
      <c r="H881" s="11">
        <f t="shared" si="27"/>
        <v>2.9530671296306537</v>
      </c>
    </row>
    <row r="882" spans="1:8" x14ac:dyDescent="0.25">
      <c r="A882" s="3" t="s">
        <v>2667</v>
      </c>
      <c r="B882" s="3" t="s">
        <v>3193</v>
      </c>
      <c r="C882" s="10">
        <v>45682.08489583333</v>
      </c>
      <c r="D882" s="3" t="s">
        <v>2668</v>
      </c>
      <c r="E882" s="10">
        <v>45682.087291666663</v>
      </c>
      <c r="F882" s="10">
        <v>45684.748252314806</v>
      </c>
      <c r="G882" s="11">
        <f t="shared" si="26"/>
        <v>2.3958333331393078E-3</v>
      </c>
      <c r="H882" s="11">
        <f t="shared" si="27"/>
        <v>2.6633564814765123</v>
      </c>
    </row>
    <row r="883" spans="1:8" x14ac:dyDescent="0.25">
      <c r="A883" s="3" t="s">
        <v>2670</v>
      </c>
      <c r="B883" s="3" t="s">
        <v>3206</v>
      </c>
      <c r="C883" s="10">
        <v>45682.086527777778</v>
      </c>
      <c r="D883" s="3" t="s">
        <v>2613</v>
      </c>
      <c r="E883" s="10">
        <v>45683.762430555558</v>
      </c>
      <c r="F883" s="10">
        <v>45684.912083333344</v>
      </c>
      <c r="G883" s="11">
        <f t="shared" si="26"/>
        <v>1.6759027777807205</v>
      </c>
      <c r="H883" s="11">
        <f t="shared" si="27"/>
        <v>2.8255555555660976</v>
      </c>
    </row>
    <row r="884" spans="1:8" x14ac:dyDescent="0.25">
      <c r="A884" s="3" t="s">
        <v>2672</v>
      </c>
      <c r="B884" s="3" t="s">
        <v>3196</v>
      </c>
      <c r="C884" s="10">
        <v>45682.088738425933</v>
      </c>
      <c r="D884" s="3" t="s">
        <v>2673</v>
      </c>
      <c r="E884" s="10">
        <v>45682.091134259259</v>
      </c>
      <c r="F884" s="10">
        <v>45684.769259259258</v>
      </c>
      <c r="G884" s="11">
        <f t="shared" si="26"/>
        <v>2.3958333258633502E-3</v>
      </c>
      <c r="H884" s="11">
        <f t="shared" si="27"/>
        <v>2.6805208333244082</v>
      </c>
    </row>
    <row r="885" spans="1:8" x14ac:dyDescent="0.25">
      <c r="A885" s="3" t="s">
        <v>2675</v>
      </c>
      <c r="B885" s="3" t="s">
        <v>3206</v>
      </c>
      <c r="C885" s="10">
        <v>45683.75472222222</v>
      </c>
      <c r="D885" s="3" t="s">
        <v>2613</v>
      </c>
      <c r="E885" s="10">
        <v>45683.762430555558</v>
      </c>
      <c r="F885" s="10">
        <v>45684.912083333344</v>
      </c>
      <c r="G885" s="11">
        <f t="shared" si="26"/>
        <v>7.708333338086959E-3</v>
      </c>
      <c r="H885" s="11">
        <f t="shared" si="27"/>
        <v>1.1573611111234641</v>
      </c>
    </row>
    <row r="886" spans="1:8" x14ac:dyDescent="0.25">
      <c r="A886" s="3" t="s">
        <v>2677</v>
      </c>
      <c r="B886" s="3" t="s">
        <v>3198</v>
      </c>
      <c r="C886" s="10">
        <v>45683.757222222222</v>
      </c>
      <c r="D886" s="3" t="s">
        <v>2678</v>
      </c>
      <c r="E886" s="10">
        <v>45683.759583333333</v>
      </c>
      <c r="F886" s="10">
        <v>45684.83693287037</v>
      </c>
      <c r="G886" s="11">
        <f t="shared" si="26"/>
        <v>2.3611111100763083E-3</v>
      </c>
      <c r="H886" s="11">
        <f t="shared" si="27"/>
        <v>1.0797106481477385</v>
      </c>
    </row>
    <row r="887" spans="1:8" x14ac:dyDescent="0.25">
      <c r="A887" s="3" t="s">
        <v>2680</v>
      </c>
      <c r="B887" s="3" t="s">
        <v>3206</v>
      </c>
      <c r="C887" s="10">
        <v>45683.75886574074</v>
      </c>
      <c r="D887" s="3" t="s">
        <v>2613</v>
      </c>
      <c r="E887" s="10">
        <v>45683.762430555558</v>
      </c>
      <c r="F887" s="10">
        <v>45684.912083333344</v>
      </c>
      <c r="G887" s="11">
        <f t="shared" si="26"/>
        <v>3.5648148186737671E-3</v>
      </c>
      <c r="H887" s="11">
        <f t="shared" si="27"/>
        <v>1.1532175926040509</v>
      </c>
    </row>
    <row r="888" spans="1:8" x14ac:dyDescent="0.25">
      <c r="A888" s="3" t="s">
        <v>2682</v>
      </c>
      <c r="B888" s="3" t="s">
        <v>3199</v>
      </c>
      <c r="C888" s="10">
        <v>45684.121168981481</v>
      </c>
      <c r="D888" s="3" t="s">
        <v>2631</v>
      </c>
      <c r="E888" s="10">
        <v>45684.389710648153</v>
      </c>
      <c r="F888" s="10">
        <v>45685.370671296303</v>
      </c>
      <c r="G888" s="11">
        <f t="shared" si="26"/>
        <v>0.26854166667180834</v>
      </c>
      <c r="H888" s="11">
        <f t="shared" si="27"/>
        <v>1.2495023148221662</v>
      </c>
    </row>
    <row r="889" spans="1:8" x14ac:dyDescent="0.25">
      <c r="A889" s="3" t="s">
        <v>2684</v>
      </c>
      <c r="B889" s="3" t="s">
        <v>3197</v>
      </c>
      <c r="C889" s="10">
        <v>45684.123136574082</v>
      </c>
      <c r="D889" s="3" t="s">
        <v>2685</v>
      </c>
      <c r="E889" s="10">
        <v>45684.611678240741</v>
      </c>
      <c r="F889" s="10">
        <v>45685.523078703707</v>
      </c>
      <c r="G889" s="11">
        <f t="shared" si="26"/>
        <v>0.48854166665842058</v>
      </c>
      <c r="H889" s="11">
        <f t="shared" si="27"/>
        <v>1.3999421296248329</v>
      </c>
    </row>
    <row r="890" spans="1:8" x14ac:dyDescent="0.25">
      <c r="A890" s="3" t="s">
        <v>2687</v>
      </c>
      <c r="B890" s="3" t="s">
        <v>3205</v>
      </c>
      <c r="C890" s="10">
        <v>45684.124803240738</v>
      </c>
      <c r="D890" s="3" t="s">
        <v>2644</v>
      </c>
      <c r="E890" s="10">
        <v>45684.12835648148</v>
      </c>
      <c r="F890" s="10">
        <v>45685.175740740742</v>
      </c>
      <c r="G890" s="11">
        <f t="shared" si="26"/>
        <v>3.5532407418941148E-3</v>
      </c>
      <c r="H890" s="11">
        <f t="shared" si="27"/>
        <v>1.0509375000037835</v>
      </c>
    </row>
    <row r="891" spans="1:8" x14ac:dyDescent="0.25">
      <c r="A891" s="3" t="s">
        <v>2689</v>
      </c>
      <c r="B891" s="3" t="s">
        <v>3194</v>
      </c>
      <c r="C891" s="10">
        <v>45684.126770833333</v>
      </c>
      <c r="D891" s="3" t="s">
        <v>2690</v>
      </c>
      <c r="E891" s="10">
        <v>45685.134421296287</v>
      </c>
      <c r="F891" s="10">
        <v>45686.153078703697</v>
      </c>
      <c r="G891" s="11">
        <f t="shared" si="26"/>
        <v>1.0076504629541887</v>
      </c>
      <c r="H891" s="11">
        <f t="shared" si="27"/>
        <v>2.0263078703646897</v>
      </c>
    </row>
    <row r="892" spans="1:8" x14ac:dyDescent="0.25">
      <c r="A892" s="3" t="s">
        <v>2692</v>
      </c>
      <c r="B892" s="3" t="s">
        <v>3203</v>
      </c>
      <c r="C892" s="10">
        <v>45684.19871527778</v>
      </c>
      <c r="D892" s="3" t="s">
        <v>2647</v>
      </c>
      <c r="E892" s="10">
        <v>45684.20108796296</v>
      </c>
      <c r="F892" s="10">
        <v>45685.335416666669</v>
      </c>
      <c r="G892" s="11">
        <f t="shared" si="26"/>
        <v>2.372685179580003E-3</v>
      </c>
      <c r="H892" s="11">
        <f t="shared" si="27"/>
        <v>1.1367013888884685</v>
      </c>
    </row>
    <row r="893" spans="1:8" x14ac:dyDescent="0.25">
      <c r="A893" s="3" t="s">
        <v>2694</v>
      </c>
      <c r="B893" s="3" t="s">
        <v>3201</v>
      </c>
      <c r="C893" s="10">
        <v>45684.284490740742</v>
      </c>
      <c r="D893" s="3" t="s">
        <v>2608</v>
      </c>
      <c r="E893" s="10">
        <v>45684.286666666667</v>
      </c>
      <c r="F893" s="10">
        <v>45685.376342592594</v>
      </c>
      <c r="G893" s="11">
        <f t="shared" si="26"/>
        <v>2.1759259252576157E-3</v>
      </c>
      <c r="H893" s="11">
        <f t="shared" si="27"/>
        <v>1.0918518518519704</v>
      </c>
    </row>
    <row r="894" spans="1:8" x14ac:dyDescent="0.25">
      <c r="A894" s="3" t="s">
        <v>2696</v>
      </c>
      <c r="B894" s="3" t="s">
        <v>3203</v>
      </c>
      <c r="C894" s="10">
        <v>45684.315706018519</v>
      </c>
      <c r="D894" s="3" t="s">
        <v>2697</v>
      </c>
      <c r="E894" s="10">
        <v>45684.452337962961</v>
      </c>
      <c r="F894" s="10">
        <v>45685.463333333333</v>
      </c>
      <c r="G894" s="11">
        <f t="shared" si="26"/>
        <v>0.1366319444423425</v>
      </c>
      <c r="H894" s="11">
        <f t="shared" si="27"/>
        <v>1.1476273148145992</v>
      </c>
    </row>
    <row r="895" spans="1:8" x14ac:dyDescent="0.25">
      <c r="A895" s="3" t="s">
        <v>2699</v>
      </c>
      <c r="B895" s="3" t="s">
        <v>3197</v>
      </c>
      <c r="C895" s="10">
        <v>45684.317685185182</v>
      </c>
      <c r="D895" s="3" t="s">
        <v>2685</v>
      </c>
      <c r="E895" s="10">
        <v>45684.611678240741</v>
      </c>
      <c r="F895" s="10">
        <v>45685.523078703707</v>
      </c>
      <c r="G895" s="11">
        <f t="shared" si="26"/>
        <v>0.29399305555853061</v>
      </c>
      <c r="H895" s="11">
        <f t="shared" si="27"/>
        <v>1.2053935185249429</v>
      </c>
    </row>
    <row r="896" spans="1:8" x14ac:dyDescent="0.25">
      <c r="A896" s="3" t="s">
        <v>2703</v>
      </c>
      <c r="B896" s="3" t="s">
        <v>3196</v>
      </c>
      <c r="C896" s="10">
        <v>45684.319780092592</v>
      </c>
      <c r="D896" s="3" t="s">
        <v>2704</v>
      </c>
      <c r="E896" s="10">
        <v>45684.322175925918</v>
      </c>
      <c r="F896" s="10">
        <v>45685.348796296297</v>
      </c>
      <c r="G896" s="11">
        <f t="shared" si="26"/>
        <v>2.3958333258633502E-3</v>
      </c>
      <c r="H896" s="11">
        <f t="shared" si="27"/>
        <v>1.029016203705396</v>
      </c>
    </row>
    <row r="897" spans="1:8" x14ac:dyDescent="0.25">
      <c r="A897" s="3" t="s">
        <v>2706</v>
      </c>
      <c r="B897" s="3" t="s">
        <v>3206</v>
      </c>
      <c r="C897" s="10">
        <v>45684.321412037039</v>
      </c>
      <c r="D897" s="3" t="s">
        <v>2707</v>
      </c>
      <c r="E897" s="10">
        <v>45685.283113425918</v>
      </c>
      <c r="F897" s="10">
        <v>45686.241944444453</v>
      </c>
      <c r="G897" s="11">
        <f t="shared" si="26"/>
        <v>0.96170138887828216</v>
      </c>
      <c r="H897" s="11">
        <f t="shared" si="27"/>
        <v>1.9205324074137025</v>
      </c>
    </row>
    <row r="898" spans="1:8" x14ac:dyDescent="0.25">
      <c r="A898" s="3" t="s">
        <v>2713</v>
      </c>
      <c r="B898" s="3" t="s">
        <v>3203</v>
      </c>
      <c r="C898" s="10">
        <v>45684.37699074074</v>
      </c>
      <c r="D898" s="3" t="s">
        <v>2697</v>
      </c>
      <c r="E898" s="10">
        <v>45684.452337962961</v>
      </c>
      <c r="F898" s="10">
        <v>45685.463333333333</v>
      </c>
      <c r="G898" s="11">
        <f t="shared" ref="G898:G961" si="28">IF(AND(ISNUMBER(C898),ISNUMBER(E898)),(E898-C898),"")</f>
        <v>7.5347222220443655E-2</v>
      </c>
      <c r="H898" s="11">
        <f t="shared" ref="H898:H961" si="29">IF(AND(ISNUMBER(C898),ISNUMBER(F898)),(F898-C898),"")</f>
        <v>1.0863425925927004</v>
      </c>
    </row>
    <row r="899" spans="1:8" x14ac:dyDescent="0.25">
      <c r="A899" s="3" t="s">
        <v>2715</v>
      </c>
      <c r="B899" s="3" t="s">
        <v>3196</v>
      </c>
      <c r="C899" s="10">
        <v>45684.378912037027</v>
      </c>
      <c r="D899" s="3" t="s">
        <v>2716</v>
      </c>
      <c r="E899" s="10">
        <v>45684.752835648149</v>
      </c>
      <c r="F899" s="10">
        <v>45685.708368055559</v>
      </c>
      <c r="G899" s="11">
        <f t="shared" si="28"/>
        <v>0.3739236111214268</v>
      </c>
      <c r="H899" s="11">
        <f t="shared" si="29"/>
        <v>1.3294560185313458</v>
      </c>
    </row>
    <row r="900" spans="1:8" x14ac:dyDescent="0.25">
      <c r="A900" s="3" t="s">
        <v>2718</v>
      </c>
      <c r="B900" s="3" t="s">
        <v>3203</v>
      </c>
      <c r="C900" s="10">
        <v>45684.380069444444</v>
      </c>
      <c r="D900" s="3" t="s">
        <v>2697</v>
      </c>
      <c r="E900" s="10">
        <v>45684.452337962961</v>
      </c>
      <c r="F900" s="10">
        <v>45685.463333333333</v>
      </c>
      <c r="G900" s="11">
        <f t="shared" si="28"/>
        <v>7.2268518517375924E-2</v>
      </c>
      <c r="H900" s="11">
        <f t="shared" si="29"/>
        <v>1.0832638888896327</v>
      </c>
    </row>
    <row r="901" spans="1:8" x14ac:dyDescent="0.25">
      <c r="A901" s="3" t="s">
        <v>2720</v>
      </c>
      <c r="B901" s="3" t="s">
        <v>3197</v>
      </c>
      <c r="C901" s="10">
        <v>45684.382002314807</v>
      </c>
      <c r="D901" s="3" t="s">
        <v>2685</v>
      </c>
      <c r="E901" s="10">
        <v>45684.611678240741</v>
      </c>
      <c r="F901" s="10">
        <v>45685.523078703707</v>
      </c>
      <c r="G901" s="11">
        <f t="shared" si="28"/>
        <v>0.22967592593340669</v>
      </c>
      <c r="H901" s="11">
        <f t="shared" si="29"/>
        <v>1.141076388899819</v>
      </c>
    </row>
    <row r="902" spans="1:8" x14ac:dyDescent="0.25">
      <c r="A902" s="3" t="s">
        <v>2722</v>
      </c>
      <c r="B902" s="3" t="s">
        <v>3199</v>
      </c>
      <c r="C902" s="10">
        <v>45684.384259259263</v>
      </c>
      <c r="D902" s="3" t="s">
        <v>2631</v>
      </c>
      <c r="E902" s="10">
        <v>45684.389710648153</v>
      </c>
      <c r="F902" s="10">
        <v>45685.370671296303</v>
      </c>
      <c r="G902" s="11">
        <f t="shared" si="28"/>
        <v>5.4513888899236917E-3</v>
      </c>
      <c r="H902" s="11">
        <f t="shared" si="29"/>
        <v>0.98641203704028158</v>
      </c>
    </row>
    <row r="903" spans="1:8" x14ac:dyDescent="0.25">
      <c r="A903" s="3" t="s">
        <v>2726</v>
      </c>
      <c r="B903" s="3" t="s">
        <v>3199</v>
      </c>
      <c r="C903" s="10">
        <v>45684.386145833327</v>
      </c>
      <c r="D903" s="3" t="s">
        <v>2631</v>
      </c>
      <c r="E903" s="10">
        <v>45684.389710648153</v>
      </c>
      <c r="F903" s="10">
        <v>45685.370671296303</v>
      </c>
      <c r="G903" s="11">
        <f t="shared" si="28"/>
        <v>3.5648148259497248E-3</v>
      </c>
      <c r="H903" s="11">
        <f t="shared" si="29"/>
        <v>0.98452546297630761</v>
      </c>
    </row>
    <row r="904" spans="1:8" x14ac:dyDescent="0.25">
      <c r="A904" s="3" t="s">
        <v>2728</v>
      </c>
      <c r="B904" s="3" t="s">
        <v>3206</v>
      </c>
      <c r="C904" s="10">
        <v>45684.387743055559</v>
      </c>
      <c r="D904" s="3" t="s">
        <v>2707</v>
      </c>
      <c r="E904" s="10">
        <v>45685.283113425918</v>
      </c>
      <c r="F904" s="10">
        <v>45686.241944444453</v>
      </c>
      <c r="G904" s="11">
        <f t="shared" si="28"/>
        <v>0.89537037035916001</v>
      </c>
      <c r="H904" s="11">
        <f t="shared" si="29"/>
        <v>1.8542013888945803</v>
      </c>
    </row>
    <row r="905" spans="1:8" x14ac:dyDescent="0.25">
      <c r="A905" s="3" t="s">
        <v>2730</v>
      </c>
      <c r="B905" s="3" t="s">
        <v>3203</v>
      </c>
      <c r="C905" s="10">
        <v>45684.388935185183</v>
      </c>
      <c r="D905" s="3" t="s">
        <v>2697</v>
      </c>
      <c r="E905" s="10">
        <v>45684.452337962961</v>
      </c>
      <c r="F905" s="10">
        <v>45685.463333333333</v>
      </c>
      <c r="G905" s="11">
        <f t="shared" si="28"/>
        <v>6.3402777777810115E-2</v>
      </c>
      <c r="H905" s="11">
        <f t="shared" si="29"/>
        <v>1.0743981481500668</v>
      </c>
    </row>
    <row r="906" spans="1:8" x14ac:dyDescent="0.25">
      <c r="A906" s="3" t="s">
        <v>2733</v>
      </c>
      <c r="B906" s="3" t="s">
        <v>3194</v>
      </c>
      <c r="C906" s="10">
        <v>45684.390856481477</v>
      </c>
      <c r="D906" s="3" t="s">
        <v>2690</v>
      </c>
      <c r="E906" s="10">
        <v>45685.134421296287</v>
      </c>
      <c r="F906" s="10">
        <v>45686.153078703697</v>
      </c>
      <c r="G906" s="11">
        <f t="shared" si="28"/>
        <v>0.74356481480936054</v>
      </c>
      <c r="H906" s="11">
        <f t="shared" si="29"/>
        <v>1.7622222222198616</v>
      </c>
    </row>
    <row r="907" spans="1:8" x14ac:dyDescent="0.25">
      <c r="A907" s="3" t="s">
        <v>2737</v>
      </c>
      <c r="B907" s="3" t="s">
        <v>3203</v>
      </c>
      <c r="C907" s="10">
        <v>45684.449942129628</v>
      </c>
      <c r="D907" s="3" t="s">
        <v>2697</v>
      </c>
      <c r="E907" s="10">
        <v>45684.452337962961</v>
      </c>
      <c r="F907" s="10">
        <v>45685.463333333333</v>
      </c>
      <c r="G907" s="11">
        <f t="shared" si="28"/>
        <v>2.3958333331393078E-3</v>
      </c>
      <c r="H907" s="11">
        <f t="shared" si="29"/>
        <v>1.013391203705396</v>
      </c>
    </row>
    <row r="908" spans="1:8" x14ac:dyDescent="0.25">
      <c r="A908" s="3" t="s">
        <v>2739</v>
      </c>
      <c r="B908" s="3" t="s">
        <v>3204</v>
      </c>
      <c r="C908" s="10">
        <v>45684.452025462961</v>
      </c>
      <c r="D908" s="3" t="s">
        <v>2740</v>
      </c>
      <c r="E908" s="10">
        <v>45684.678819444453</v>
      </c>
      <c r="F908" s="10">
        <v>45685.571527777778</v>
      </c>
      <c r="G908" s="11">
        <f t="shared" si="28"/>
        <v>0.2267939814919373</v>
      </c>
      <c r="H908" s="11">
        <f t="shared" si="29"/>
        <v>1.1195023148175096</v>
      </c>
    </row>
    <row r="909" spans="1:8" x14ac:dyDescent="0.25">
      <c r="A909" s="3" t="s">
        <v>2742</v>
      </c>
      <c r="B909" s="3" t="s">
        <v>3195</v>
      </c>
      <c r="C909" s="10">
        <v>45684.538240740738</v>
      </c>
      <c r="D909" s="3" t="s">
        <v>2743</v>
      </c>
      <c r="E909" s="10">
        <v>45684.540636574071</v>
      </c>
      <c r="F909" s="10">
        <v>45685.451631944437</v>
      </c>
      <c r="G909" s="11">
        <f t="shared" si="28"/>
        <v>2.3958333331393078E-3</v>
      </c>
      <c r="H909" s="11">
        <f t="shared" si="29"/>
        <v>0.91339120369957527</v>
      </c>
    </row>
    <row r="910" spans="1:8" x14ac:dyDescent="0.25">
      <c r="A910" s="3" t="s">
        <v>2745</v>
      </c>
      <c r="B910" s="3" t="s">
        <v>3197</v>
      </c>
      <c r="C910" s="10">
        <v>45684.609502314823</v>
      </c>
      <c r="D910" s="3" t="s">
        <v>2685</v>
      </c>
      <c r="E910" s="10">
        <v>45684.611678240741</v>
      </c>
      <c r="F910" s="10">
        <v>45685.523078703707</v>
      </c>
      <c r="G910" s="11">
        <f t="shared" si="28"/>
        <v>2.1759259179816581E-3</v>
      </c>
      <c r="H910" s="11">
        <f t="shared" si="29"/>
        <v>0.91357638888439396</v>
      </c>
    </row>
    <row r="911" spans="1:8" x14ac:dyDescent="0.25">
      <c r="A911" s="3" t="s">
        <v>2747</v>
      </c>
      <c r="B911" s="3" t="s">
        <v>3200</v>
      </c>
      <c r="C911" s="10">
        <v>45684.650173611109</v>
      </c>
      <c r="D911" s="3" t="s">
        <v>2748</v>
      </c>
      <c r="E911" s="10">
        <v>45684.681550925918</v>
      </c>
      <c r="F911" s="10">
        <v>45685.664814814823</v>
      </c>
      <c r="G911" s="11">
        <f t="shared" si="28"/>
        <v>3.1377314808196388E-2</v>
      </c>
      <c r="H911" s="11">
        <f t="shared" si="29"/>
        <v>1.0146412037138361</v>
      </c>
    </row>
    <row r="912" spans="1:8" x14ac:dyDescent="0.25">
      <c r="A912" s="3" t="s">
        <v>2750</v>
      </c>
      <c r="B912" s="3" t="s">
        <v>3204</v>
      </c>
      <c r="C912" s="10">
        <v>45684.675254629627</v>
      </c>
      <c r="D912" s="3" t="s">
        <v>2740</v>
      </c>
      <c r="E912" s="10">
        <v>45684.678819444453</v>
      </c>
      <c r="F912" s="10">
        <v>45685.571527777778</v>
      </c>
      <c r="G912" s="11">
        <f t="shared" si="28"/>
        <v>3.5648148259497248E-3</v>
      </c>
      <c r="H912" s="11">
        <f t="shared" si="29"/>
        <v>0.89627314815152204</v>
      </c>
    </row>
    <row r="913" spans="1:8" x14ac:dyDescent="0.25">
      <c r="A913" s="3" t="s">
        <v>2752</v>
      </c>
      <c r="B913" s="3" t="s">
        <v>3200</v>
      </c>
      <c r="C913" s="10">
        <v>45684.67765046296</v>
      </c>
      <c r="D913" s="3" t="s">
        <v>2748</v>
      </c>
      <c r="E913" s="10">
        <v>45684.681550925918</v>
      </c>
      <c r="F913" s="10">
        <v>45685.664814814823</v>
      </c>
      <c r="G913" s="11">
        <f t="shared" si="28"/>
        <v>3.900462957972195E-3</v>
      </c>
      <c r="H913" s="11">
        <f t="shared" si="29"/>
        <v>0.98716435186361196</v>
      </c>
    </row>
    <row r="914" spans="1:8" x14ac:dyDescent="0.25">
      <c r="A914" s="3" t="s">
        <v>2754</v>
      </c>
      <c r="B914" s="3" t="s">
        <v>3202</v>
      </c>
      <c r="C914" s="10">
        <v>45684.739733796298</v>
      </c>
      <c r="D914" s="3" t="s">
        <v>2755</v>
      </c>
      <c r="E914" s="10">
        <v>45684.742129629631</v>
      </c>
      <c r="F914" s="10">
        <v>45685.675335648149</v>
      </c>
      <c r="G914" s="11">
        <f t="shared" si="28"/>
        <v>2.3958333331393078E-3</v>
      </c>
      <c r="H914" s="11">
        <f t="shared" si="29"/>
        <v>0.93560185185197042</v>
      </c>
    </row>
    <row r="915" spans="1:8" x14ac:dyDescent="0.25">
      <c r="A915" s="3" t="s">
        <v>2757</v>
      </c>
      <c r="B915" s="3" t="s">
        <v>3196</v>
      </c>
      <c r="C915" s="10">
        <v>45684.750439814823</v>
      </c>
      <c r="D915" s="3" t="s">
        <v>2716</v>
      </c>
      <c r="E915" s="10">
        <v>45684.752835648149</v>
      </c>
      <c r="F915" s="10">
        <v>45685.708368055559</v>
      </c>
      <c r="G915" s="11">
        <f t="shared" si="28"/>
        <v>2.3958333258633502E-3</v>
      </c>
      <c r="H915" s="11">
        <f t="shared" si="29"/>
        <v>0.95792824073578231</v>
      </c>
    </row>
    <row r="916" spans="1:8" x14ac:dyDescent="0.25">
      <c r="A916" s="3" t="s">
        <v>2759</v>
      </c>
      <c r="B916" s="3" t="s">
        <v>3194</v>
      </c>
      <c r="C916" s="10">
        <v>45684.752523148149</v>
      </c>
      <c r="D916" s="3" t="s">
        <v>2690</v>
      </c>
      <c r="E916" s="10">
        <v>45685.134421296287</v>
      </c>
      <c r="F916" s="10">
        <v>45686.153078703697</v>
      </c>
      <c r="G916" s="11">
        <f t="shared" si="28"/>
        <v>0.38189814813813427</v>
      </c>
      <c r="H916" s="11">
        <f t="shared" si="29"/>
        <v>1.4005555555486353</v>
      </c>
    </row>
    <row r="917" spans="1:8" x14ac:dyDescent="0.25">
      <c r="A917" s="3" t="s">
        <v>2761</v>
      </c>
      <c r="B917" s="3" t="s">
        <v>3193</v>
      </c>
      <c r="C917" s="10">
        <v>45684.753854166673</v>
      </c>
      <c r="D917" s="3" t="s">
        <v>2762</v>
      </c>
      <c r="E917" s="10">
        <v>45684.889363425929</v>
      </c>
      <c r="F917" s="10">
        <v>45685.902488425927</v>
      </c>
      <c r="G917" s="11">
        <f t="shared" si="28"/>
        <v>0.13550925925665069</v>
      </c>
      <c r="H917" s="11">
        <f t="shared" si="29"/>
        <v>1.1486342592543224</v>
      </c>
    </row>
    <row r="918" spans="1:8" x14ac:dyDescent="0.25">
      <c r="A918" s="3" t="s">
        <v>2764</v>
      </c>
      <c r="B918" s="3" t="s">
        <v>3193</v>
      </c>
      <c r="C918" s="10">
        <v>45684.885462962957</v>
      </c>
      <c r="D918" s="3" t="s">
        <v>2762</v>
      </c>
      <c r="E918" s="10">
        <v>45684.889363425929</v>
      </c>
      <c r="F918" s="10">
        <v>45685.902488425927</v>
      </c>
      <c r="G918" s="11">
        <f t="shared" si="28"/>
        <v>3.9004629725241102E-3</v>
      </c>
      <c r="H918" s="11">
        <f t="shared" si="29"/>
        <v>1.0170254629701958</v>
      </c>
    </row>
    <row r="919" spans="1:8" x14ac:dyDescent="0.25">
      <c r="A919" s="3" t="s">
        <v>2766</v>
      </c>
      <c r="B919" s="3" t="s">
        <v>3194</v>
      </c>
      <c r="C919" s="10">
        <v>45685.130497685182</v>
      </c>
      <c r="D919" s="3" t="s">
        <v>2690</v>
      </c>
      <c r="E919" s="10">
        <v>45685.134421296287</v>
      </c>
      <c r="F919" s="10">
        <v>45686.153078703697</v>
      </c>
      <c r="G919" s="11">
        <f t="shared" si="28"/>
        <v>3.9236111042555422E-3</v>
      </c>
      <c r="H919" s="11">
        <f t="shared" si="29"/>
        <v>1.0225810185147566</v>
      </c>
    </row>
    <row r="920" spans="1:8" x14ac:dyDescent="0.25">
      <c r="A920" s="3" t="s">
        <v>2768</v>
      </c>
      <c r="B920" s="3" t="s">
        <v>3203</v>
      </c>
      <c r="C920" s="10">
        <v>45685.131863425922</v>
      </c>
      <c r="D920" s="3" t="s">
        <v>2769</v>
      </c>
      <c r="E920" s="10">
        <v>45685.134039351848</v>
      </c>
      <c r="F920" s="10">
        <v>45685.905706018522</v>
      </c>
      <c r="G920" s="11">
        <f t="shared" si="28"/>
        <v>2.1759259252576157E-3</v>
      </c>
      <c r="H920" s="11">
        <f t="shared" si="29"/>
        <v>0.77384259259997634</v>
      </c>
    </row>
    <row r="921" spans="1:8" x14ac:dyDescent="0.25">
      <c r="A921" s="3" t="s">
        <v>2771</v>
      </c>
      <c r="B921" s="3" t="s">
        <v>3197</v>
      </c>
      <c r="C921" s="10">
        <v>45685.133819444447</v>
      </c>
      <c r="D921" s="3" t="s">
        <v>2772</v>
      </c>
      <c r="E921" s="10">
        <v>45686.401030092587</v>
      </c>
      <c r="F921" s="10">
        <v>45687.368368055562</v>
      </c>
      <c r="G921" s="11">
        <f t="shared" si="28"/>
        <v>1.2672106481404626</v>
      </c>
      <c r="H921" s="11">
        <f t="shared" si="29"/>
        <v>2.234548611115315</v>
      </c>
    </row>
    <row r="922" spans="1:8" x14ac:dyDescent="0.25">
      <c r="A922" s="3" t="s">
        <v>2774</v>
      </c>
      <c r="B922" s="3" t="s">
        <v>3206</v>
      </c>
      <c r="C922" s="10">
        <v>45685.280752314808</v>
      </c>
      <c r="D922" s="3" t="s">
        <v>2707</v>
      </c>
      <c r="E922" s="10">
        <v>45685.283113425918</v>
      </c>
      <c r="F922" s="10">
        <v>45686.241944444453</v>
      </c>
      <c r="G922" s="11">
        <f t="shared" si="28"/>
        <v>2.3611111100763083E-3</v>
      </c>
      <c r="H922" s="11">
        <f t="shared" si="29"/>
        <v>0.96119212964549661</v>
      </c>
    </row>
    <row r="923" spans="1:8" x14ac:dyDescent="0.25">
      <c r="A923" s="3" t="s">
        <v>2776</v>
      </c>
      <c r="B923" s="3" t="s">
        <v>3203</v>
      </c>
      <c r="C923" s="10">
        <v>45685.31591435185</v>
      </c>
      <c r="D923" s="3" t="s">
        <v>2777</v>
      </c>
      <c r="E923" s="10">
        <v>45685.41201388889</v>
      </c>
      <c r="F923" s="10">
        <v>45686.342037037037</v>
      </c>
      <c r="G923" s="11">
        <f t="shared" si="28"/>
        <v>9.6099537040572613E-2</v>
      </c>
      <c r="H923" s="11">
        <f t="shared" si="29"/>
        <v>1.026122685187147</v>
      </c>
    </row>
    <row r="924" spans="1:8" x14ac:dyDescent="0.25">
      <c r="A924" s="3" t="s">
        <v>2779</v>
      </c>
      <c r="B924" s="3" t="s">
        <v>3203</v>
      </c>
      <c r="C924" s="10">
        <v>45685.317094907397</v>
      </c>
      <c r="D924" s="3" t="s">
        <v>2777</v>
      </c>
      <c r="E924" s="10">
        <v>45685.41201388889</v>
      </c>
      <c r="F924" s="10">
        <v>45686.342037037037</v>
      </c>
      <c r="G924" s="11">
        <f t="shared" si="28"/>
        <v>9.4918981492810417E-2</v>
      </c>
      <c r="H924" s="11">
        <f t="shared" si="29"/>
        <v>1.0249421296393848</v>
      </c>
    </row>
    <row r="925" spans="1:8" x14ac:dyDescent="0.25">
      <c r="A925" s="3" t="s">
        <v>2781</v>
      </c>
      <c r="B925" s="3" t="s">
        <v>3198</v>
      </c>
      <c r="C925" s="10">
        <v>45685.318692129629</v>
      </c>
      <c r="D925" s="3" t="s">
        <v>2782</v>
      </c>
      <c r="E925" s="10">
        <v>45685.415185185193</v>
      </c>
      <c r="F925" s="10">
        <v>45686.379791666674</v>
      </c>
      <c r="G925" s="11">
        <f t="shared" si="28"/>
        <v>9.6493055563769303E-2</v>
      </c>
      <c r="H925" s="11">
        <f t="shared" si="29"/>
        <v>1.0610995370443561</v>
      </c>
    </row>
    <row r="926" spans="1:8" x14ac:dyDescent="0.25">
      <c r="A926" s="3" t="s">
        <v>2784</v>
      </c>
      <c r="B926" s="3" t="s">
        <v>3205</v>
      </c>
      <c r="C926" s="10">
        <v>45685.319965277777</v>
      </c>
      <c r="D926" s="3" t="s">
        <v>2785</v>
      </c>
      <c r="E926" s="10">
        <v>45687.34039351852</v>
      </c>
      <c r="F926" s="10">
        <v>45688.326157407413</v>
      </c>
      <c r="G926" s="11">
        <f t="shared" si="28"/>
        <v>2.0204282407430583</v>
      </c>
      <c r="H926" s="11">
        <f t="shared" si="29"/>
        <v>3.0061921296364744</v>
      </c>
    </row>
    <row r="927" spans="1:8" x14ac:dyDescent="0.25">
      <c r="A927" s="3" t="s">
        <v>2787</v>
      </c>
      <c r="B927" s="3" t="s">
        <v>3196</v>
      </c>
      <c r="C927" s="10">
        <v>45685.322083333333</v>
      </c>
      <c r="D927" s="3" t="s">
        <v>2788</v>
      </c>
      <c r="E927" s="10">
        <v>45685.327893518523</v>
      </c>
      <c r="F927" s="10">
        <v>45686.292974537027</v>
      </c>
      <c r="G927" s="11">
        <f t="shared" si="28"/>
        <v>5.810185190057382E-3</v>
      </c>
      <c r="H927" s="11">
        <f t="shared" si="29"/>
        <v>0.97089120369491866</v>
      </c>
    </row>
    <row r="928" spans="1:8" x14ac:dyDescent="0.25">
      <c r="A928" s="3" t="s">
        <v>2791</v>
      </c>
      <c r="B928" s="3" t="s">
        <v>3196</v>
      </c>
      <c r="C928" s="10">
        <v>45685.323993055557</v>
      </c>
      <c r="D928" s="3" t="s">
        <v>2788</v>
      </c>
      <c r="E928" s="10">
        <v>45685.327893518523</v>
      </c>
      <c r="F928" s="10">
        <v>45686.292974537027</v>
      </c>
      <c r="G928" s="11">
        <f t="shared" si="28"/>
        <v>3.9004629652481526E-3</v>
      </c>
      <c r="H928" s="11">
        <f t="shared" si="29"/>
        <v>0.96898148147010943</v>
      </c>
    </row>
    <row r="929" spans="1:8" x14ac:dyDescent="0.25">
      <c r="A929" s="3" t="s">
        <v>2824</v>
      </c>
      <c r="B929" s="3" t="s">
        <v>3199</v>
      </c>
      <c r="C929" s="10">
        <v>45685.389444444438</v>
      </c>
      <c r="D929" s="3" t="s">
        <v>2798</v>
      </c>
      <c r="E929" s="10">
        <v>45685.453252314823</v>
      </c>
      <c r="F929" s="10">
        <v>45686.443715277783</v>
      </c>
      <c r="G929" s="11">
        <f t="shared" si="28"/>
        <v>6.3807870385062415E-2</v>
      </c>
      <c r="H929" s="11">
        <f t="shared" si="29"/>
        <v>1.0542708333450719</v>
      </c>
    </row>
    <row r="930" spans="1:8" x14ac:dyDescent="0.25">
      <c r="A930" s="3" t="s">
        <v>2826</v>
      </c>
      <c r="B930" s="3" t="s">
        <v>3194</v>
      </c>
      <c r="C930" s="10">
        <v>45685.391712962963</v>
      </c>
      <c r="D930" s="3" t="s">
        <v>2827</v>
      </c>
      <c r="E930" s="10">
        <v>45685.394108796303</v>
      </c>
      <c r="F930" s="10">
        <v>45686.343576388892</v>
      </c>
      <c r="G930" s="11">
        <f t="shared" si="28"/>
        <v>2.3958333404152654E-3</v>
      </c>
      <c r="H930" s="11">
        <f t="shared" si="29"/>
        <v>0.95186342592933215</v>
      </c>
    </row>
    <row r="931" spans="1:8" x14ac:dyDescent="0.25">
      <c r="A931" s="3" t="s">
        <v>2795</v>
      </c>
      <c r="B931" s="3" t="s">
        <v>3203</v>
      </c>
      <c r="C931" s="10">
        <v>45685.393807870372</v>
      </c>
      <c r="D931" s="3" t="s">
        <v>2777</v>
      </c>
      <c r="E931" s="10">
        <v>45685.41201388889</v>
      </c>
      <c r="F931" s="10">
        <v>45686.342037037037</v>
      </c>
      <c r="G931" s="11">
        <f t="shared" si="28"/>
        <v>1.8206018517958E-2</v>
      </c>
      <c r="H931" s="11">
        <f t="shared" si="29"/>
        <v>0.94822916666453239</v>
      </c>
    </row>
    <row r="932" spans="1:8" x14ac:dyDescent="0.25">
      <c r="A932" s="3" t="s">
        <v>2797</v>
      </c>
      <c r="B932" s="3" t="s">
        <v>3199</v>
      </c>
      <c r="C932" s="10">
        <v>45685.395694444444</v>
      </c>
      <c r="D932" s="3" t="s">
        <v>2798</v>
      </c>
      <c r="E932" s="10">
        <v>45685.453252314823</v>
      </c>
      <c r="F932" s="10">
        <v>45686.443715277783</v>
      </c>
      <c r="G932" s="11">
        <f t="shared" si="28"/>
        <v>5.7557870379241649E-2</v>
      </c>
      <c r="H932" s="11">
        <f t="shared" si="29"/>
        <v>1.0480208333392511</v>
      </c>
    </row>
    <row r="933" spans="1:8" x14ac:dyDescent="0.25">
      <c r="A933" s="3" t="s">
        <v>2800</v>
      </c>
      <c r="B933" s="3" t="s">
        <v>3203</v>
      </c>
      <c r="C933" s="10">
        <v>45685.396828703713</v>
      </c>
      <c r="D933" s="3" t="s">
        <v>2777</v>
      </c>
      <c r="E933" s="10">
        <v>45685.41201388889</v>
      </c>
      <c r="F933" s="10">
        <v>45686.342037037037</v>
      </c>
      <c r="G933" s="11">
        <f t="shared" si="28"/>
        <v>1.5185185176960658E-2</v>
      </c>
      <c r="H933" s="11">
        <f t="shared" si="29"/>
        <v>0.94520833332353504</v>
      </c>
    </row>
    <row r="934" spans="1:8" x14ac:dyDescent="0.25">
      <c r="A934" s="3" t="s">
        <v>2802</v>
      </c>
      <c r="B934" s="3" t="s">
        <v>3194</v>
      </c>
      <c r="C934" s="10">
        <v>45685.39875</v>
      </c>
      <c r="D934" s="3" t="s">
        <v>2803</v>
      </c>
      <c r="E934" s="10">
        <v>45686.317476851851</v>
      </c>
      <c r="F934" s="10">
        <v>45687.369826388887</v>
      </c>
      <c r="G934" s="11">
        <f t="shared" si="28"/>
        <v>0.91872685185080627</v>
      </c>
      <c r="H934" s="11">
        <f t="shared" si="29"/>
        <v>1.9710763888870133</v>
      </c>
    </row>
    <row r="935" spans="1:8" x14ac:dyDescent="0.25">
      <c r="A935" s="3" t="s">
        <v>2805</v>
      </c>
      <c r="B935" s="3" t="s">
        <v>3205</v>
      </c>
      <c r="C935" s="10">
        <v>45685.400034722217</v>
      </c>
      <c r="D935" s="3" t="s">
        <v>2785</v>
      </c>
      <c r="E935" s="10">
        <v>45687.34039351852</v>
      </c>
      <c r="F935" s="10">
        <v>45688.326157407413</v>
      </c>
      <c r="G935" s="11">
        <f t="shared" si="28"/>
        <v>1.940358796302462</v>
      </c>
      <c r="H935" s="11">
        <f t="shared" si="29"/>
        <v>2.9261226851958781</v>
      </c>
    </row>
    <row r="936" spans="1:8" x14ac:dyDescent="0.25">
      <c r="A936" s="3" t="s">
        <v>2807</v>
      </c>
      <c r="B936" s="3" t="s">
        <v>3197</v>
      </c>
      <c r="C936" s="10">
        <v>45685.401967592603</v>
      </c>
      <c r="D936" s="3" t="s">
        <v>2772</v>
      </c>
      <c r="E936" s="10">
        <v>45686.401030092587</v>
      </c>
      <c r="F936" s="10">
        <v>45687.368368055562</v>
      </c>
      <c r="G936" s="11">
        <f t="shared" si="28"/>
        <v>0.99906249998457497</v>
      </c>
      <c r="H936" s="11">
        <f t="shared" si="29"/>
        <v>1.9664004629594274</v>
      </c>
    </row>
    <row r="937" spans="1:8" x14ac:dyDescent="0.25">
      <c r="A937" s="3" t="s">
        <v>2809</v>
      </c>
      <c r="B937" s="3" t="s">
        <v>3196</v>
      </c>
      <c r="C937" s="10">
        <v>45685.403958333343</v>
      </c>
      <c r="D937" s="3" t="s">
        <v>2810</v>
      </c>
      <c r="E937" s="10">
        <v>45685.632013888891</v>
      </c>
      <c r="F937" s="10">
        <v>45686.678865740738</v>
      </c>
      <c r="G937" s="11">
        <f t="shared" si="28"/>
        <v>0.22805555554805323</v>
      </c>
      <c r="H937" s="11">
        <f t="shared" si="29"/>
        <v>1.2749074073944939</v>
      </c>
    </row>
    <row r="938" spans="1:8" x14ac:dyDescent="0.25">
      <c r="A938" s="3" t="s">
        <v>2812</v>
      </c>
      <c r="B938" s="3" t="s">
        <v>3203</v>
      </c>
      <c r="C938" s="10">
        <v>45685.405104166668</v>
      </c>
      <c r="D938" s="3" t="s">
        <v>2777</v>
      </c>
      <c r="E938" s="10">
        <v>45685.41201388889</v>
      </c>
      <c r="F938" s="10">
        <v>45686.342037037037</v>
      </c>
      <c r="G938" s="11">
        <f t="shared" si="28"/>
        <v>6.9097222221898846E-3</v>
      </c>
      <c r="H938" s="11">
        <f t="shared" si="29"/>
        <v>0.93693287036876427</v>
      </c>
    </row>
    <row r="939" spans="1:8" x14ac:dyDescent="0.25">
      <c r="A939" s="3" t="s">
        <v>2814</v>
      </c>
      <c r="B939" s="3" t="s">
        <v>3196</v>
      </c>
      <c r="C939" s="10">
        <v>45685.40697916667</v>
      </c>
      <c r="D939" s="3" t="s">
        <v>2810</v>
      </c>
      <c r="E939" s="10">
        <v>45685.632013888891</v>
      </c>
      <c r="F939" s="10">
        <v>45686.678865740738</v>
      </c>
      <c r="G939" s="11">
        <f t="shared" si="28"/>
        <v>0.22503472222160781</v>
      </c>
      <c r="H939" s="11">
        <f t="shared" si="29"/>
        <v>1.2718865740680485</v>
      </c>
    </row>
    <row r="940" spans="1:8" x14ac:dyDescent="0.25">
      <c r="A940" s="3" t="s">
        <v>2817</v>
      </c>
      <c r="B940" s="3" t="s">
        <v>3203</v>
      </c>
      <c r="C940" s="10">
        <v>45685.408125000002</v>
      </c>
      <c r="D940" s="3" t="s">
        <v>2777</v>
      </c>
      <c r="E940" s="10">
        <v>45685.41201388889</v>
      </c>
      <c r="F940" s="10">
        <v>45686.342037037037</v>
      </c>
      <c r="G940" s="11">
        <f t="shared" si="28"/>
        <v>3.8888888884685002E-3</v>
      </c>
      <c r="H940" s="11">
        <f t="shared" si="29"/>
        <v>0.93391203703504289</v>
      </c>
    </row>
    <row r="941" spans="1:8" x14ac:dyDescent="0.25">
      <c r="A941" s="3" t="s">
        <v>2819</v>
      </c>
      <c r="B941" s="3" t="s">
        <v>3197</v>
      </c>
      <c r="C941" s="10">
        <v>45685.410057870373</v>
      </c>
      <c r="D941" s="3" t="s">
        <v>2772</v>
      </c>
      <c r="E941" s="10">
        <v>45686.401030092587</v>
      </c>
      <c r="F941" s="10">
        <v>45687.368368055562</v>
      </c>
      <c r="G941" s="11">
        <f t="shared" si="28"/>
        <v>0.99097222221462289</v>
      </c>
      <c r="H941" s="11">
        <f t="shared" si="29"/>
        <v>1.9583101851894753</v>
      </c>
    </row>
    <row r="942" spans="1:8" x14ac:dyDescent="0.25">
      <c r="A942" s="3" t="s">
        <v>2822</v>
      </c>
      <c r="B942" s="3" t="s">
        <v>3198</v>
      </c>
      <c r="C942" s="10">
        <v>45685.411631944437</v>
      </c>
      <c r="D942" s="3" t="s">
        <v>2782</v>
      </c>
      <c r="E942" s="10">
        <v>45685.415185185193</v>
      </c>
      <c r="F942" s="10">
        <v>45686.379791666674</v>
      </c>
      <c r="G942" s="11">
        <f t="shared" si="28"/>
        <v>3.55324075644603E-3</v>
      </c>
      <c r="H942" s="11">
        <f t="shared" si="29"/>
        <v>0.96815972223703284</v>
      </c>
    </row>
    <row r="943" spans="1:8" x14ac:dyDescent="0.25">
      <c r="A943" s="3" t="s">
        <v>2829</v>
      </c>
      <c r="B943" s="3" t="s">
        <v>3199</v>
      </c>
      <c r="C943" s="10">
        <v>45685.449699074074</v>
      </c>
      <c r="D943" s="3" t="s">
        <v>2798</v>
      </c>
      <c r="E943" s="10">
        <v>45685.453252314823</v>
      </c>
      <c r="F943" s="10">
        <v>45686.443715277783</v>
      </c>
      <c r="G943" s="11">
        <f t="shared" si="28"/>
        <v>3.5532407491700724E-3</v>
      </c>
      <c r="H943" s="11">
        <f t="shared" si="29"/>
        <v>0.99401620370917954</v>
      </c>
    </row>
    <row r="944" spans="1:8" x14ac:dyDescent="0.25">
      <c r="A944" s="3" t="s">
        <v>2831</v>
      </c>
      <c r="B944" s="3" t="s">
        <v>3194</v>
      </c>
      <c r="C944" s="10">
        <v>45685.451666666668</v>
      </c>
      <c r="D944" s="3" t="s">
        <v>2803</v>
      </c>
      <c r="E944" s="10">
        <v>45686.317476851851</v>
      </c>
      <c r="F944" s="10">
        <v>45687.369826388887</v>
      </c>
      <c r="G944" s="11">
        <f t="shared" si="28"/>
        <v>0.8658101851833635</v>
      </c>
      <c r="H944" s="11">
        <f t="shared" si="29"/>
        <v>1.9181597222195705</v>
      </c>
    </row>
    <row r="945" spans="1:8" x14ac:dyDescent="0.25">
      <c r="A945" s="3" t="s">
        <v>2833</v>
      </c>
      <c r="B945" s="3" t="s">
        <v>3195</v>
      </c>
      <c r="C945" s="10">
        <v>45685.453692129631</v>
      </c>
      <c r="D945" s="3" t="s">
        <v>2834</v>
      </c>
      <c r="E945" s="10">
        <v>45685.456087962957</v>
      </c>
      <c r="F945" s="10">
        <v>45686.477824074071</v>
      </c>
      <c r="G945" s="11">
        <f t="shared" si="28"/>
        <v>2.3958333258633502E-3</v>
      </c>
      <c r="H945" s="11">
        <f t="shared" si="29"/>
        <v>1.0241319444394321</v>
      </c>
    </row>
    <row r="946" spans="1:8" x14ac:dyDescent="0.25">
      <c r="A946" s="3" t="s">
        <v>2836</v>
      </c>
      <c r="B946" s="3" t="s">
        <v>3203</v>
      </c>
      <c r="C946" s="10">
        <v>45685.548518518517</v>
      </c>
      <c r="D946" s="3" t="s">
        <v>2837</v>
      </c>
      <c r="E946" s="10">
        <v>45685.55091435185</v>
      </c>
      <c r="F946" s="10">
        <v>45686.607835648138</v>
      </c>
      <c r="G946" s="11">
        <f t="shared" si="28"/>
        <v>2.3958333331393078E-3</v>
      </c>
      <c r="H946" s="11">
        <f t="shared" si="29"/>
        <v>1.0593171296204673</v>
      </c>
    </row>
    <row r="947" spans="1:8" x14ac:dyDescent="0.25">
      <c r="A947" s="3" t="s">
        <v>2839</v>
      </c>
      <c r="B947" s="3" t="s">
        <v>3204</v>
      </c>
      <c r="C947" s="10">
        <v>45685.605995370373</v>
      </c>
      <c r="D947" s="3" t="s">
        <v>2840</v>
      </c>
      <c r="E947" s="10">
        <v>45685.60837962963</v>
      </c>
      <c r="F947" s="10">
        <v>45686.685439814813</v>
      </c>
      <c r="G947" s="11">
        <f t="shared" si="28"/>
        <v>2.3842592563596554E-3</v>
      </c>
      <c r="H947" s="11">
        <f t="shared" si="29"/>
        <v>1.0794444444400142</v>
      </c>
    </row>
    <row r="948" spans="1:8" x14ac:dyDescent="0.25">
      <c r="A948" s="3" t="s">
        <v>2842</v>
      </c>
      <c r="B948" s="3" t="s">
        <v>3201</v>
      </c>
      <c r="C948" s="10">
        <v>45685.62226851852</v>
      </c>
      <c r="D948" s="3" t="s">
        <v>2843</v>
      </c>
      <c r="E948" s="10">
        <v>45686.644490740742</v>
      </c>
      <c r="F948" s="10">
        <v>45687.634571759263</v>
      </c>
      <c r="G948" s="11">
        <f t="shared" si="28"/>
        <v>1.0222222222218988</v>
      </c>
      <c r="H948" s="11">
        <f t="shared" si="29"/>
        <v>2.0123032407427672</v>
      </c>
    </row>
    <row r="949" spans="1:8" x14ac:dyDescent="0.25">
      <c r="A949" s="3" t="s">
        <v>2845</v>
      </c>
      <c r="B949" s="3" t="s">
        <v>3197</v>
      </c>
      <c r="C949" s="10">
        <v>45685.624189814807</v>
      </c>
      <c r="D949" s="3" t="s">
        <v>2772</v>
      </c>
      <c r="E949" s="10">
        <v>45686.401030092587</v>
      </c>
      <c r="F949" s="10">
        <v>45687.368368055562</v>
      </c>
      <c r="G949" s="11">
        <f t="shared" si="28"/>
        <v>0.77684027778013842</v>
      </c>
      <c r="H949" s="11">
        <f t="shared" si="29"/>
        <v>1.7441782407549908</v>
      </c>
    </row>
    <row r="950" spans="1:8" x14ac:dyDescent="0.25">
      <c r="A950" s="3" t="s">
        <v>2847</v>
      </c>
      <c r="B950" s="3" t="s">
        <v>3197</v>
      </c>
      <c r="C950" s="10">
        <v>45685.626122685193</v>
      </c>
      <c r="D950" s="3" t="s">
        <v>2772</v>
      </c>
      <c r="E950" s="10">
        <v>45686.401030092587</v>
      </c>
      <c r="F950" s="10">
        <v>45687.368368055562</v>
      </c>
      <c r="G950" s="11">
        <f t="shared" si="28"/>
        <v>0.77490740739449393</v>
      </c>
      <c r="H950" s="11">
        <f t="shared" si="29"/>
        <v>1.7422453703693463</v>
      </c>
    </row>
    <row r="951" spans="1:8" x14ac:dyDescent="0.25">
      <c r="A951" s="3" t="s">
        <v>2849</v>
      </c>
      <c r="B951" s="3" t="s">
        <v>3196</v>
      </c>
      <c r="C951" s="10">
        <v>45685.62809027778</v>
      </c>
      <c r="D951" s="3" t="s">
        <v>2810</v>
      </c>
      <c r="E951" s="10">
        <v>45685.632013888891</v>
      </c>
      <c r="F951" s="10">
        <v>45686.678865740738</v>
      </c>
      <c r="G951" s="11">
        <f t="shared" si="28"/>
        <v>3.9236111115314998E-3</v>
      </c>
      <c r="H951" s="11">
        <f t="shared" si="29"/>
        <v>1.0507754629579722</v>
      </c>
    </row>
    <row r="952" spans="1:8" x14ac:dyDescent="0.25">
      <c r="A952" s="3" t="s">
        <v>2852</v>
      </c>
      <c r="B952" s="3" t="s">
        <v>3206</v>
      </c>
      <c r="C952" s="10">
        <v>45685.629675925928</v>
      </c>
      <c r="D952" s="3" t="s">
        <v>2853</v>
      </c>
      <c r="E952" s="10">
        <v>45686.273009259261</v>
      </c>
      <c r="F952" s="10">
        <v>45687.326863425929</v>
      </c>
      <c r="G952" s="11">
        <f t="shared" si="28"/>
        <v>0.64333333333343035</v>
      </c>
      <c r="H952" s="11">
        <f t="shared" si="29"/>
        <v>1.6971875000017462</v>
      </c>
    </row>
    <row r="953" spans="1:8" x14ac:dyDescent="0.25">
      <c r="A953" s="3" t="s">
        <v>2855</v>
      </c>
      <c r="B953" s="3" t="s">
        <v>3203</v>
      </c>
      <c r="C953" s="10">
        <v>45685.63082175926</v>
      </c>
      <c r="D953" s="3" t="s">
        <v>2856</v>
      </c>
      <c r="E953" s="10">
        <v>45685.636134259257</v>
      </c>
      <c r="F953" s="10">
        <v>45686.693101851852</v>
      </c>
      <c r="G953" s="11">
        <f t="shared" si="28"/>
        <v>5.3124999976716936E-3</v>
      </c>
      <c r="H953" s="11">
        <f t="shared" si="29"/>
        <v>1.0622800925921183</v>
      </c>
    </row>
    <row r="954" spans="1:8" x14ac:dyDescent="0.25">
      <c r="A954" s="3" t="s">
        <v>2858</v>
      </c>
      <c r="B954" s="3" t="s">
        <v>3203</v>
      </c>
      <c r="C954" s="10">
        <v>45685.632233796299</v>
      </c>
      <c r="D954" s="3" t="s">
        <v>2856</v>
      </c>
      <c r="E954" s="10">
        <v>45685.636134259257</v>
      </c>
      <c r="F954" s="10">
        <v>45686.693101851852</v>
      </c>
      <c r="G954" s="11">
        <f t="shared" si="28"/>
        <v>3.900462957972195E-3</v>
      </c>
      <c r="H954" s="11">
        <f t="shared" si="29"/>
        <v>1.0608680555524188</v>
      </c>
    </row>
    <row r="955" spans="1:8" x14ac:dyDescent="0.25">
      <c r="A955" s="3" t="s">
        <v>2862</v>
      </c>
      <c r="B955" s="3" t="s">
        <v>3200</v>
      </c>
      <c r="C955" s="10">
        <v>45685.821388888893</v>
      </c>
      <c r="D955" s="3" t="s">
        <v>2863</v>
      </c>
      <c r="E955" s="10">
        <v>45685.823761574073</v>
      </c>
      <c r="F955" s="10">
        <v>45686.781666666669</v>
      </c>
      <c r="G955" s="11">
        <f t="shared" si="28"/>
        <v>2.372685179580003E-3</v>
      </c>
      <c r="H955" s="11">
        <f t="shared" si="29"/>
        <v>0.96027777777635492</v>
      </c>
    </row>
    <row r="956" spans="1:8" x14ac:dyDescent="0.25">
      <c r="A956" s="3" t="s">
        <v>2865</v>
      </c>
      <c r="B956" s="3" t="s">
        <v>3202</v>
      </c>
      <c r="C956" s="10">
        <v>45685.885613425933</v>
      </c>
      <c r="D956" s="3" t="s">
        <v>2866</v>
      </c>
      <c r="E956" s="10">
        <v>45685.887986111113</v>
      </c>
      <c r="F956" s="10">
        <v>45686.843506944453</v>
      </c>
      <c r="G956" s="11">
        <f t="shared" si="28"/>
        <v>2.372685179580003E-3</v>
      </c>
      <c r="H956" s="11">
        <f t="shared" si="29"/>
        <v>0.95789351851999527</v>
      </c>
    </row>
    <row r="957" spans="1:8" x14ac:dyDescent="0.25">
      <c r="A957" s="3" t="s">
        <v>2868</v>
      </c>
      <c r="B957" s="3" t="s">
        <v>3196</v>
      </c>
      <c r="C957" s="10">
        <v>45686.126342592594</v>
      </c>
      <c r="D957" s="3" t="s">
        <v>2869</v>
      </c>
      <c r="E957" s="10">
        <v>45686.322754629633</v>
      </c>
      <c r="F957" s="10">
        <v>45687.365127314813</v>
      </c>
      <c r="G957" s="11">
        <f t="shared" si="28"/>
        <v>0.19641203703940846</v>
      </c>
      <c r="H957" s="11">
        <f t="shared" si="29"/>
        <v>1.2387847222198616</v>
      </c>
    </row>
    <row r="958" spans="1:8" x14ac:dyDescent="0.25">
      <c r="A958" s="3" t="s">
        <v>2871</v>
      </c>
      <c r="B958" s="3" t="s">
        <v>3203</v>
      </c>
      <c r="C958" s="10">
        <v>45686.127847222233</v>
      </c>
      <c r="D958" s="3" t="s">
        <v>2872</v>
      </c>
      <c r="E958" s="10">
        <v>45686.130243055559</v>
      </c>
      <c r="F958" s="10">
        <v>45686.908460648148</v>
      </c>
      <c r="G958" s="11">
        <f t="shared" si="28"/>
        <v>2.3958333258633502E-3</v>
      </c>
      <c r="H958" s="11">
        <f t="shared" si="29"/>
        <v>0.78061342591536231</v>
      </c>
    </row>
    <row r="959" spans="1:8" x14ac:dyDescent="0.25">
      <c r="A959" s="3" t="s">
        <v>2874</v>
      </c>
      <c r="B959" s="3" t="s">
        <v>3197</v>
      </c>
      <c r="C959" s="10">
        <v>45686.129895833343</v>
      </c>
      <c r="D959" s="3" t="s">
        <v>2772</v>
      </c>
      <c r="E959" s="10">
        <v>45686.401030092587</v>
      </c>
      <c r="F959" s="10">
        <v>45687.368368055562</v>
      </c>
      <c r="G959" s="11">
        <f t="shared" si="28"/>
        <v>0.27113425924471812</v>
      </c>
      <c r="H959" s="11">
        <f t="shared" si="29"/>
        <v>1.2384722222195705</v>
      </c>
    </row>
    <row r="960" spans="1:8" x14ac:dyDescent="0.25">
      <c r="A960" s="3" t="s">
        <v>2876</v>
      </c>
      <c r="B960" s="3" t="s">
        <v>3196</v>
      </c>
      <c r="C960" s="10">
        <v>45686.13181712963</v>
      </c>
      <c r="D960" s="3" t="s">
        <v>2869</v>
      </c>
      <c r="E960" s="10">
        <v>45686.322754629633</v>
      </c>
      <c r="F960" s="10">
        <v>45687.365127314813</v>
      </c>
      <c r="G960" s="11">
        <f t="shared" si="28"/>
        <v>0.19093750000320142</v>
      </c>
      <c r="H960" s="11">
        <f t="shared" si="29"/>
        <v>1.2333101851836545</v>
      </c>
    </row>
    <row r="961" spans="1:8" x14ac:dyDescent="0.25">
      <c r="A961" s="3" t="s">
        <v>2878</v>
      </c>
      <c r="B961" s="3" t="s">
        <v>3193</v>
      </c>
      <c r="C961" s="10">
        <v>45686.187372685177</v>
      </c>
      <c r="D961" s="3" t="s">
        <v>2879</v>
      </c>
      <c r="E961" s="10">
        <v>45686.189733796287</v>
      </c>
      <c r="F961" s="10">
        <v>45687.152372685188</v>
      </c>
      <c r="G961" s="11">
        <f t="shared" si="28"/>
        <v>2.3611111100763083E-3</v>
      </c>
      <c r="H961" s="11">
        <f t="shared" si="29"/>
        <v>0.96500000001105946</v>
      </c>
    </row>
    <row r="962" spans="1:8" x14ac:dyDescent="0.25">
      <c r="A962" s="3" t="s">
        <v>2881</v>
      </c>
      <c r="B962" s="3" t="s">
        <v>3206</v>
      </c>
      <c r="C962" s="10">
        <v>45686.270613425928</v>
      </c>
      <c r="D962" s="3" t="s">
        <v>2853</v>
      </c>
      <c r="E962" s="10">
        <v>45686.273009259261</v>
      </c>
      <c r="F962" s="10">
        <v>45687.326863425929</v>
      </c>
      <c r="G962" s="11">
        <f t="shared" ref="G962:G1025" si="30">IF(AND(ISNUMBER(C962),ISNUMBER(E962)),(E962-C962),"")</f>
        <v>2.3958333331393078E-3</v>
      </c>
      <c r="H962" s="11">
        <f t="shared" ref="H962:H1025" si="31">IF(AND(ISNUMBER(C962),ISNUMBER(F962)),(F962-C962),"")</f>
        <v>1.0562500000014552</v>
      </c>
    </row>
    <row r="963" spans="1:8" x14ac:dyDescent="0.25">
      <c r="A963" s="3" t="s">
        <v>2883</v>
      </c>
      <c r="B963" s="3" t="s">
        <v>3194</v>
      </c>
      <c r="C963" s="10">
        <v>45686.315104166657</v>
      </c>
      <c r="D963" s="3" t="s">
        <v>2803</v>
      </c>
      <c r="E963" s="10">
        <v>45686.317476851851</v>
      </c>
      <c r="F963" s="10">
        <v>45687.369826388887</v>
      </c>
      <c r="G963" s="11">
        <f t="shared" si="30"/>
        <v>2.3726851941319183E-3</v>
      </c>
      <c r="H963" s="11">
        <f t="shared" si="31"/>
        <v>1.054722222230339</v>
      </c>
    </row>
    <row r="964" spans="1:8" x14ac:dyDescent="0.25">
      <c r="A964" s="3" t="s">
        <v>2885</v>
      </c>
      <c r="B964" s="3" t="s">
        <v>3196</v>
      </c>
      <c r="C964" s="10">
        <v>45686.320381944453</v>
      </c>
      <c r="D964" s="3" t="s">
        <v>2869</v>
      </c>
      <c r="E964" s="10">
        <v>45686.322754629633</v>
      </c>
      <c r="F964" s="10">
        <v>45687.365127314813</v>
      </c>
      <c r="G964" s="11">
        <f t="shared" si="30"/>
        <v>2.372685179580003E-3</v>
      </c>
      <c r="H964" s="11">
        <f t="shared" si="31"/>
        <v>1.0447453703600331</v>
      </c>
    </row>
    <row r="965" spans="1:8" x14ac:dyDescent="0.25">
      <c r="A965" s="3" t="s">
        <v>2887</v>
      </c>
      <c r="B965" s="3" t="s">
        <v>3194</v>
      </c>
      <c r="C965" s="10">
        <v>45686.355254629627</v>
      </c>
      <c r="D965" s="3" t="s">
        <v>2888</v>
      </c>
      <c r="E965" s="10">
        <v>45687.368773148148</v>
      </c>
      <c r="F965" s="10">
        <v>45688.369988425933</v>
      </c>
      <c r="G965" s="11">
        <f t="shared" si="30"/>
        <v>1.0135185185208684</v>
      </c>
      <c r="H965" s="11">
        <f t="shared" si="31"/>
        <v>2.0147337963062455</v>
      </c>
    </row>
    <row r="966" spans="1:8" x14ac:dyDescent="0.25">
      <c r="A966" s="3" t="s">
        <v>2890</v>
      </c>
      <c r="B966" s="3" t="s">
        <v>3203</v>
      </c>
      <c r="C966" s="10">
        <v>45686.356527777767</v>
      </c>
      <c r="D966" s="3" t="s">
        <v>2891</v>
      </c>
      <c r="E966" s="10">
        <v>45686.403865740736</v>
      </c>
      <c r="F966" s="10">
        <v>45687.413981481477</v>
      </c>
      <c r="G966" s="11">
        <f t="shared" si="30"/>
        <v>4.7337962969322689E-2</v>
      </c>
      <c r="H966" s="11">
        <f t="shared" si="31"/>
        <v>1.0574537037100527</v>
      </c>
    </row>
    <row r="967" spans="1:8" x14ac:dyDescent="0.25">
      <c r="A967" s="3" t="s">
        <v>2893</v>
      </c>
      <c r="B967" s="3" t="s">
        <v>3197</v>
      </c>
      <c r="C967" s="10">
        <v>45686.397106481483</v>
      </c>
      <c r="D967" s="3" t="s">
        <v>2772</v>
      </c>
      <c r="E967" s="10">
        <v>45686.401030092587</v>
      </c>
      <c r="F967" s="10">
        <v>45687.368368055562</v>
      </c>
      <c r="G967" s="11">
        <f t="shared" si="30"/>
        <v>3.9236111042555422E-3</v>
      </c>
      <c r="H967" s="11">
        <f t="shared" si="31"/>
        <v>0.97126157407910796</v>
      </c>
    </row>
    <row r="968" spans="1:8" x14ac:dyDescent="0.25">
      <c r="A968" s="3" t="s">
        <v>2895</v>
      </c>
      <c r="B968" s="3" t="s">
        <v>3205</v>
      </c>
      <c r="C968" s="10">
        <v>45686.398379629631</v>
      </c>
      <c r="D968" s="3" t="s">
        <v>2785</v>
      </c>
      <c r="E968" s="10">
        <v>45687.34039351852</v>
      </c>
      <c r="F968" s="10">
        <v>45688.326157407413</v>
      </c>
      <c r="G968" s="11">
        <f t="shared" si="30"/>
        <v>0.94201388888905058</v>
      </c>
      <c r="H968" s="11">
        <f t="shared" si="31"/>
        <v>1.9277777777824667</v>
      </c>
    </row>
    <row r="969" spans="1:8" x14ac:dyDescent="0.25">
      <c r="A969" s="3" t="s">
        <v>2898</v>
      </c>
      <c r="B969" s="3" t="s">
        <v>3203</v>
      </c>
      <c r="C969" s="10">
        <v>45686.399942129632</v>
      </c>
      <c r="D969" s="3" t="s">
        <v>2891</v>
      </c>
      <c r="E969" s="10">
        <v>45686.403865740736</v>
      </c>
      <c r="F969" s="10">
        <v>45687.413981481477</v>
      </c>
      <c r="G969" s="11">
        <f t="shared" si="30"/>
        <v>3.9236111042555422E-3</v>
      </c>
      <c r="H969" s="11">
        <f t="shared" si="31"/>
        <v>1.0140393518449855</v>
      </c>
    </row>
    <row r="970" spans="1:8" x14ac:dyDescent="0.25">
      <c r="A970" s="3" t="s">
        <v>2901</v>
      </c>
      <c r="B970" s="3" t="s">
        <v>3206</v>
      </c>
      <c r="C970" s="10">
        <v>45686.401655092603</v>
      </c>
      <c r="D970" s="3" t="s">
        <v>2902</v>
      </c>
      <c r="E970" s="10">
        <v>45687.346678240741</v>
      </c>
      <c r="F970" s="10">
        <v>45688.406944444447</v>
      </c>
      <c r="G970" s="11">
        <f t="shared" si="30"/>
        <v>0.94502314813871635</v>
      </c>
      <c r="H970" s="11">
        <f t="shared" si="31"/>
        <v>2.0052893518441124</v>
      </c>
    </row>
    <row r="971" spans="1:8" x14ac:dyDescent="0.25">
      <c r="A971" s="3" t="s">
        <v>2904</v>
      </c>
      <c r="B971" s="3" t="s">
        <v>3194</v>
      </c>
      <c r="C971" s="10">
        <v>45686.403611111113</v>
      </c>
      <c r="D971" s="3" t="s">
        <v>2888</v>
      </c>
      <c r="E971" s="10">
        <v>45687.368773148148</v>
      </c>
      <c r="F971" s="10">
        <v>45688.369988425933</v>
      </c>
      <c r="G971" s="11">
        <f t="shared" si="30"/>
        <v>0.96516203703504289</v>
      </c>
      <c r="H971" s="11">
        <f t="shared" si="31"/>
        <v>1.96637731482042</v>
      </c>
    </row>
    <row r="972" spans="1:8" x14ac:dyDescent="0.25">
      <c r="A972" s="3" t="s">
        <v>2907</v>
      </c>
      <c r="B972" s="3" t="s">
        <v>3197</v>
      </c>
      <c r="C972" s="10">
        <v>45686.405578703707</v>
      </c>
      <c r="D972" s="3" t="s">
        <v>2908</v>
      </c>
      <c r="E972" s="10">
        <v>45688.334548611107</v>
      </c>
      <c r="F972" s="10">
        <v>45688.885115740741</v>
      </c>
      <c r="G972" s="11">
        <f t="shared" si="30"/>
        <v>1.9289699073997326</v>
      </c>
      <c r="H972" s="11">
        <f t="shared" si="31"/>
        <v>2.4795370370338787</v>
      </c>
    </row>
    <row r="973" spans="1:8" x14ac:dyDescent="0.25">
      <c r="A973" s="3" t="s">
        <v>2910</v>
      </c>
      <c r="B973" s="3" t="s">
        <v>3201</v>
      </c>
      <c r="C973" s="10">
        <v>45686.407349537039</v>
      </c>
      <c r="D973" s="3" t="s">
        <v>2843</v>
      </c>
      <c r="E973" s="10">
        <v>45686.644490740742</v>
      </c>
      <c r="F973" s="10">
        <v>45687.634571759263</v>
      </c>
      <c r="G973" s="11">
        <f t="shared" si="30"/>
        <v>0.23714120370277669</v>
      </c>
      <c r="H973" s="11">
        <f t="shared" si="31"/>
        <v>1.2272222222236451</v>
      </c>
    </row>
    <row r="974" spans="1:8" x14ac:dyDescent="0.25">
      <c r="A974" s="3" t="s">
        <v>2912</v>
      </c>
      <c r="B974" s="3" t="s">
        <v>3194</v>
      </c>
      <c r="C974" s="10">
        <v>45686.448020833333</v>
      </c>
      <c r="D974" s="3" t="s">
        <v>2888</v>
      </c>
      <c r="E974" s="10">
        <v>45687.368773148148</v>
      </c>
      <c r="F974" s="10">
        <v>45688.369988425933</v>
      </c>
      <c r="G974" s="11">
        <f t="shared" si="30"/>
        <v>0.92075231481430819</v>
      </c>
      <c r="H974" s="11">
        <f t="shared" si="31"/>
        <v>1.9219675925996853</v>
      </c>
    </row>
    <row r="975" spans="1:8" x14ac:dyDescent="0.25">
      <c r="A975" s="3" t="s">
        <v>2914</v>
      </c>
      <c r="B975" s="3" t="s">
        <v>3203</v>
      </c>
      <c r="C975" s="10">
        <v>45686.449652777781</v>
      </c>
      <c r="D975" s="3" t="s">
        <v>2915</v>
      </c>
      <c r="E975" s="10">
        <v>45686.452048611107</v>
      </c>
      <c r="F975" s="10">
        <v>45687.445543981477</v>
      </c>
      <c r="G975" s="11">
        <f t="shared" si="30"/>
        <v>2.3958333258633502E-3</v>
      </c>
      <c r="H975" s="11">
        <f t="shared" si="31"/>
        <v>0.99589120369637385</v>
      </c>
    </row>
    <row r="976" spans="1:8" x14ac:dyDescent="0.25">
      <c r="A976" s="3" t="s">
        <v>2917</v>
      </c>
      <c r="B976" s="3" t="s">
        <v>3203</v>
      </c>
      <c r="C976" s="10">
        <v>45686.554282407407</v>
      </c>
      <c r="D976" s="3" t="s">
        <v>2918</v>
      </c>
      <c r="E976" s="10">
        <v>45686.556655092587</v>
      </c>
      <c r="F976" s="10">
        <v>45687.471354166657</v>
      </c>
      <c r="G976" s="11">
        <f t="shared" si="30"/>
        <v>2.372685179580003E-3</v>
      </c>
      <c r="H976" s="11">
        <f t="shared" si="31"/>
        <v>0.91707175924966577</v>
      </c>
    </row>
    <row r="977" spans="1:8" x14ac:dyDescent="0.25">
      <c r="A977" s="3" t="s">
        <v>2920</v>
      </c>
      <c r="B977" s="3" t="s">
        <v>3203</v>
      </c>
      <c r="C977" s="10">
        <v>45686.614629629628</v>
      </c>
      <c r="D977" s="3" t="s">
        <v>2921</v>
      </c>
      <c r="E977" s="10">
        <v>45686.617002314822</v>
      </c>
      <c r="F977" s="10">
        <v>45687.621469907397</v>
      </c>
      <c r="G977" s="11">
        <f t="shared" si="30"/>
        <v>2.3726851941319183E-3</v>
      </c>
      <c r="H977" s="11">
        <f t="shared" si="31"/>
        <v>1.0068402777687879</v>
      </c>
    </row>
    <row r="978" spans="1:8" x14ac:dyDescent="0.25">
      <c r="A978" s="3" t="s">
        <v>2923</v>
      </c>
      <c r="B978" s="3" t="s">
        <v>3201</v>
      </c>
      <c r="C978" s="10">
        <v>45686.6405787037</v>
      </c>
      <c r="D978" s="3" t="s">
        <v>2843</v>
      </c>
      <c r="E978" s="10">
        <v>45686.644490740742</v>
      </c>
      <c r="F978" s="10">
        <v>45687.634571759263</v>
      </c>
      <c r="G978" s="11">
        <f t="shared" si="30"/>
        <v>3.912037042027805E-3</v>
      </c>
      <c r="H978" s="11">
        <f t="shared" si="31"/>
        <v>0.99399305556289619</v>
      </c>
    </row>
    <row r="979" spans="1:8" x14ac:dyDescent="0.25">
      <c r="A979" s="3" t="s">
        <v>2925</v>
      </c>
      <c r="B979" s="3" t="s">
        <v>3199</v>
      </c>
      <c r="C979" s="10">
        <v>45686.642650462964</v>
      </c>
      <c r="D979" s="3" t="s">
        <v>2926</v>
      </c>
      <c r="E979" s="10">
        <v>45686.658263888887</v>
      </c>
      <c r="F979" s="10">
        <v>45687.669594907413</v>
      </c>
      <c r="G979" s="11">
        <f t="shared" si="30"/>
        <v>1.5613425923220348E-2</v>
      </c>
      <c r="H979" s="11">
        <f t="shared" si="31"/>
        <v>1.0269444444493274</v>
      </c>
    </row>
    <row r="980" spans="1:8" x14ac:dyDescent="0.25">
      <c r="A980" s="3" t="s">
        <v>2928</v>
      </c>
      <c r="B980" s="3" t="s">
        <v>3205</v>
      </c>
      <c r="C980" s="10">
        <v>45686.643923611111</v>
      </c>
      <c r="D980" s="3" t="s">
        <v>2785</v>
      </c>
      <c r="E980" s="10">
        <v>45687.34039351852</v>
      </c>
      <c r="F980" s="10">
        <v>45688.326157407413</v>
      </c>
      <c r="G980" s="11">
        <f t="shared" si="30"/>
        <v>0.69646990740875481</v>
      </c>
      <c r="H980" s="11">
        <f t="shared" si="31"/>
        <v>1.682233796302171</v>
      </c>
    </row>
    <row r="981" spans="1:8" x14ac:dyDescent="0.25">
      <c r="A981" s="3" t="s">
        <v>2930</v>
      </c>
      <c r="B981" s="3" t="s">
        <v>3195</v>
      </c>
      <c r="C981" s="10">
        <v>45686.645648148151</v>
      </c>
      <c r="D981" s="3" t="s">
        <v>2931</v>
      </c>
      <c r="E981" s="10">
        <v>45687.649236111109</v>
      </c>
      <c r="F981" s="10">
        <v>45688.55568287037</v>
      </c>
      <c r="G981" s="11">
        <f t="shared" si="30"/>
        <v>1.0035879629576812</v>
      </c>
      <c r="H981" s="11">
        <f t="shared" si="31"/>
        <v>1.9100347222192795</v>
      </c>
    </row>
    <row r="982" spans="1:8" x14ac:dyDescent="0.25">
      <c r="A982" s="3" t="s">
        <v>2933</v>
      </c>
      <c r="B982" s="3" t="s">
        <v>3196</v>
      </c>
      <c r="C982" s="10">
        <v>45686.647569444453</v>
      </c>
      <c r="D982" s="3" t="s">
        <v>2934</v>
      </c>
      <c r="E982" s="10">
        <v>45687.129016203697</v>
      </c>
      <c r="F982" s="10">
        <v>45687.883032407408</v>
      </c>
      <c r="G982" s="11">
        <f t="shared" si="30"/>
        <v>0.48144675924413605</v>
      </c>
      <c r="H982" s="11">
        <f t="shared" si="31"/>
        <v>1.2354629629553529</v>
      </c>
    </row>
    <row r="983" spans="1:8" x14ac:dyDescent="0.25">
      <c r="A983" s="3" t="s">
        <v>2936</v>
      </c>
      <c r="B983" s="3" t="s">
        <v>3198</v>
      </c>
      <c r="C983" s="10">
        <v>45686.649212962962</v>
      </c>
      <c r="D983" s="3" t="s">
        <v>2937</v>
      </c>
      <c r="E983" s="10">
        <v>45686.765879629631</v>
      </c>
      <c r="F983" s="10">
        <v>45687.765868055547</v>
      </c>
      <c r="G983" s="11">
        <f t="shared" si="30"/>
        <v>0.11666666666860692</v>
      </c>
      <c r="H983" s="11">
        <f t="shared" si="31"/>
        <v>1.1166550925845513</v>
      </c>
    </row>
    <row r="984" spans="1:8" x14ac:dyDescent="0.25">
      <c r="A984" s="3" t="s">
        <v>2939</v>
      </c>
      <c r="B984" s="3" t="s">
        <v>3197</v>
      </c>
      <c r="C984" s="10">
        <v>45686.651273148149</v>
      </c>
      <c r="D984" s="3" t="s">
        <v>2908</v>
      </c>
      <c r="E984" s="10">
        <v>45688.334548611107</v>
      </c>
      <c r="F984" s="10">
        <v>45688.885115740741</v>
      </c>
      <c r="G984" s="11">
        <f t="shared" si="30"/>
        <v>1.6832754629576812</v>
      </c>
      <c r="H984" s="11">
        <f t="shared" si="31"/>
        <v>2.2338425925918273</v>
      </c>
    </row>
    <row r="985" spans="1:8" x14ac:dyDescent="0.25">
      <c r="A985" s="3" t="s">
        <v>2941</v>
      </c>
      <c r="B985" s="3" t="s">
        <v>3198</v>
      </c>
      <c r="C985" s="10">
        <v>45686.652766203697</v>
      </c>
      <c r="D985" s="3" t="s">
        <v>2937</v>
      </c>
      <c r="E985" s="10">
        <v>45686.765879629631</v>
      </c>
      <c r="F985" s="10">
        <v>45687.765868055547</v>
      </c>
      <c r="G985" s="11">
        <f t="shared" si="30"/>
        <v>0.11311342593398876</v>
      </c>
      <c r="H985" s="11">
        <f t="shared" si="31"/>
        <v>1.1131018518499332</v>
      </c>
    </row>
    <row r="986" spans="1:8" x14ac:dyDescent="0.25">
      <c r="A986" s="3" t="s">
        <v>2945</v>
      </c>
      <c r="B986" s="3" t="s">
        <v>3199</v>
      </c>
      <c r="C986" s="10">
        <v>45686.654722222222</v>
      </c>
      <c r="D986" s="3" t="s">
        <v>2926</v>
      </c>
      <c r="E986" s="10">
        <v>45686.658263888887</v>
      </c>
      <c r="F986" s="10">
        <v>45687.669594907413</v>
      </c>
      <c r="G986" s="11">
        <f t="shared" si="30"/>
        <v>3.5416666651144624E-3</v>
      </c>
      <c r="H986" s="11">
        <f t="shared" si="31"/>
        <v>1.0148726851912215</v>
      </c>
    </row>
    <row r="987" spans="1:8" x14ac:dyDescent="0.25">
      <c r="A987" s="3" t="s">
        <v>2948</v>
      </c>
      <c r="B987" s="3" t="s">
        <v>3203</v>
      </c>
      <c r="C987" s="10">
        <v>45686.738495370373</v>
      </c>
      <c r="D987" s="3" t="s">
        <v>2949</v>
      </c>
      <c r="E987" s="10">
        <v>45686.740856481483</v>
      </c>
      <c r="F987" s="10">
        <v>45687.709664351853</v>
      </c>
      <c r="G987" s="11">
        <f t="shared" si="30"/>
        <v>2.3611111100763083E-3</v>
      </c>
      <c r="H987" s="11">
        <f t="shared" si="31"/>
        <v>0.97116898147942265</v>
      </c>
    </row>
    <row r="988" spans="1:8" x14ac:dyDescent="0.25">
      <c r="A988" s="3" t="s">
        <v>2952</v>
      </c>
      <c r="B988" s="3" t="s">
        <v>3205</v>
      </c>
      <c r="C988" s="10">
        <v>45686.756493055553</v>
      </c>
      <c r="D988" s="3" t="s">
        <v>2785</v>
      </c>
      <c r="E988" s="10">
        <v>45687.34039351852</v>
      </c>
      <c r="F988" s="10">
        <v>45688.326157407413</v>
      </c>
      <c r="G988" s="11">
        <f t="shared" si="30"/>
        <v>0.58390046296699438</v>
      </c>
      <c r="H988" s="11">
        <f t="shared" si="31"/>
        <v>1.5696643518604105</v>
      </c>
    </row>
    <row r="989" spans="1:8" x14ac:dyDescent="0.25">
      <c r="A989" s="3" t="s">
        <v>2954</v>
      </c>
      <c r="B989" s="3" t="s">
        <v>3199</v>
      </c>
      <c r="C989" s="10">
        <v>45686.758402777778</v>
      </c>
      <c r="D989" s="3" t="s">
        <v>2955</v>
      </c>
      <c r="E989" s="10">
        <v>45687.33184027778</v>
      </c>
      <c r="F989" s="10">
        <v>45688.246990740743</v>
      </c>
      <c r="G989" s="11">
        <f t="shared" si="30"/>
        <v>0.57343750000291038</v>
      </c>
      <c r="H989" s="11">
        <f t="shared" si="31"/>
        <v>1.4885879629655392</v>
      </c>
    </row>
    <row r="990" spans="1:8" x14ac:dyDescent="0.25">
      <c r="A990" s="3" t="s">
        <v>2957</v>
      </c>
      <c r="B990" s="3" t="s">
        <v>3194</v>
      </c>
      <c r="C990" s="10">
        <v>45686.760324074072</v>
      </c>
      <c r="D990" s="3" t="s">
        <v>2888</v>
      </c>
      <c r="E990" s="10">
        <v>45687.368773148148</v>
      </c>
      <c r="F990" s="10">
        <v>45688.369988425933</v>
      </c>
      <c r="G990" s="11">
        <f t="shared" si="30"/>
        <v>0.60844907407590654</v>
      </c>
      <c r="H990" s="11">
        <f t="shared" si="31"/>
        <v>1.6096643518612836</v>
      </c>
    </row>
    <row r="991" spans="1:8" x14ac:dyDescent="0.25">
      <c r="A991" s="3" t="s">
        <v>2959</v>
      </c>
      <c r="B991" s="3" t="s">
        <v>3198</v>
      </c>
      <c r="C991" s="10">
        <v>45686.761967592603</v>
      </c>
      <c r="D991" s="3" t="s">
        <v>2937</v>
      </c>
      <c r="E991" s="10">
        <v>45686.765879629631</v>
      </c>
      <c r="F991" s="10">
        <v>45687.765868055547</v>
      </c>
      <c r="G991" s="11">
        <f t="shared" si="30"/>
        <v>3.9120370274758898E-3</v>
      </c>
      <c r="H991" s="11">
        <f t="shared" si="31"/>
        <v>1.0039004629434203</v>
      </c>
    </row>
    <row r="992" spans="1:8" x14ac:dyDescent="0.25">
      <c r="A992" s="3" t="s">
        <v>2961</v>
      </c>
      <c r="B992" s="3" t="s">
        <v>3199</v>
      </c>
      <c r="C992" s="10">
        <v>45686.76394675926</v>
      </c>
      <c r="D992" s="3" t="s">
        <v>2955</v>
      </c>
      <c r="E992" s="10">
        <v>45687.33184027778</v>
      </c>
      <c r="F992" s="10">
        <v>45688.246990740743</v>
      </c>
      <c r="G992" s="11">
        <f t="shared" si="30"/>
        <v>0.56789351852057735</v>
      </c>
      <c r="H992" s="11">
        <f t="shared" si="31"/>
        <v>1.4830439814832062</v>
      </c>
    </row>
    <row r="993" spans="1:8" x14ac:dyDescent="0.25">
      <c r="A993" s="3" t="s">
        <v>2963</v>
      </c>
      <c r="B993" s="3" t="s">
        <v>3196</v>
      </c>
      <c r="C993" s="10">
        <v>45686.7658912037</v>
      </c>
      <c r="D993" s="3" t="s">
        <v>2934</v>
      </c>
      <c r="E993" s="10">
        <v>45687.129016203697</v>
      </c>
      <c r="F993" s="10">
        <v>45687.883032407408</v>
      </c>
      <c r="G993" s="11">
        <f t="shared" si="30"/>
        <v>0.3631249999962165</v>
      </c>
      <c r="H993" s="11">
        <f t="shared" si="31"/>
        <v>1.1171412037074333</v>
      </c>
    </row>
    <row r="994" spans="1:8" x14ac:dyDescent="0.25">
      <c r="A994" s="3" t="s">
        <v>2965</v>
      </c>
      <c r="B994" s="3" t="s">
        <v>3206</v>
      </c>
      <c r="C994" s="10">
        <v>45686.767534722218</v>
      </c>
      <c r="D994" s="3" t="s">
        <v>2902</v>
      </c>
      <c r="E994" s="10">
        <v>45687.346678240741</v>
      </c>
      <c r="F994" s="10">
        <v>45688.406944444447</v>
      </c>
      <c r="G994" s="11">
        <f t="shared" si="30"/>
        <v>0.57914351852377877</v>
      </c>
      <c r="H994" s="11">
        <f t="shared" si="31"/>
        <v>1.6394097222291748</v>
      </c>
    </row>
    <row r="995" spans="1:8" x14ac:dyDescent="0.25">
      <c r="A995" s="3" t="s">
        <v>2967</v>
      </c>
      <c r="B995" s="3" t="s">
        <v>3196</v>
      </c>
      <c r="C995" s="10">
        <v>45686.769467592603</v>
      </c>
      <c r="D995" s="3" t="s">
        <v>2934</v>
      </c>
      <c r="E995" s="10">
        <v>45687.129016203697</v>
      </c>
      <c r="F995" s="10">
        <v>45687.883032407408</v>
      </c>
      <c r="G995" s="11">
        <f t="shared" si="30"/>
        <v>0.35954861109348712</v>
      </c>
      <c r="H995" s="11">
        <f t="shared" si="31"/>
        <v>1.1135648148047039</v>
      </c>
    </row>
    <row r="996" spans="1:8" x14ac:dyDescent="0.25">
      <c r="A996" s="3" t="s">
        <v>2969</v>
      </c>
      <c r="B996" s="3" t="s">
        <v>3195</v>
      </c>
      <c r="C996" s="10">
        <v>45686.771168981482</v>
      </c>
      <c r="D996" s="3" t="s">
        <v>2931</v>
      </c>
      <c r="E996" s="10">
        <v>45687.649236111109</v>
      </c>
      <c r="F996" s="10">
        <v>45688.55568287037</v>
      </c>
      <c r="G996" s="11">
        <f t="shared" si="30"/>
        <v>0.87806712962628808</v>
      </c>
      <c r="H996" s="11">
        <f t="shared" si="31"/>
        <v>1.7845138888878864</v>
      </c>
    </row>
    <row r="997" spans="1:8" x14ac:dyDescent="0.25">
      <c r="A997" s="3" t="s">
        <v>2972</v>
      </c>
      <c r="B997" s="3" t="s">
        <v>3200</v>
      </c>
      <c r="C997" s="10">
        <v>45686.877083333333</v>
      </c>
      <c r="D997" s="3" t="s">
        <v>2973</v>
      </c>
      <c r="E997" s="10">
        <v>45686.879467592589</v>
      </c>
      <c r="F997" s="10">
        <v>45687.898715277777</v>
      </c>
      <c r="G997" s="11">
        <f t="shared" si="30"/>
        <v>2.3842592563596554E-3</v>
      </c>
      <c r="H997" s="11">
        <f t="shared" si="31"/>
        <v>1.0216319444443798</v>
      </c>
    </row>
    <row r="998" spans="1:8" x14ac:dyDescent="0.25">
      <c r="A998" s="3" t="s">
        <v>2975</v>
      </c>
      <c r="B998" s="3" t="s">
        <v>3196</v>
      </c>
      <c r="C998" s="10">
        <v>45687.125092592592</v>
      </c>
      <c r="D998" s="3" t="s">
        <v>2934</v>
      </c>
      <c r="E998" s="10">
        <v>45687.129016203697</v>
      </c>
      <c r="F998" s="10">
        <v>45687.883032407408</v>
      </c>
      <c r="G998" s="11">
        <f t="shared" si="30"/>
        <v>3.9236111042555422E-3</v>
      </c>
      <c r="H998" s="11">
        <f t="shared" si="31"/>
        <v>0.75793981481547235</v>
      </c>
    </row>
    <row r="999" spans="1:8" x14ac:dyDescent="0.25">
      <c r="A999" s="3" t="s">
        <v>2977</v>
      </c>
      <c r="B999" s="3" t="s">
        <v>3195</v>
      </c>
      <c r="C999" s="10">
        <v>45687.126898148148</v>
      </c>
      <c r="D999" s="3" t="s">
        <v>2931</v>
      </c>
      <c r="E999" s="10">
        <v>45687.649236111109</v>
      </c>
      <c r="F999" s="10">
        <v>45688.55568287037</v>
      </c>
      <c r="G999" s="11">
        <f t="shared" si="30"/>
        <v>0.52233796296059154</v>
      </c>
      <c r="H999" s="11">
        <f t="shared" si="31"/>
        <v>1.4287847222221899</v>
      </c>
    </row>
    <row r="1000" spans="1:8" x14ac:dyDescent="0.25">
      <c r="A1000" s="3" t="s">
        <v>2979</v>
      </c>
      <c r="B1000" s="3" t="s">
        <v>3203</v>
      </c>
      <c r="C1000" s="10">
        <v>45687.128101851849</v>
      </c>
      <c r="D1000" s="3" t="s">
        <v>2980</v>
      </c>
      <c r="E1000" s="10">
        <v>45687.551423611112</v>
      </c>
      <c r="F1000" s="10">
        <v>45688.458796296298</v>
      </c>
      <c r="G1000" s="11">
        <f t="shared" si="30"/>
        <v>0.4233217592627625</v>
      </c>
      <c r="H1000" s="11">
        <f t="shared" si="31"/>
        <v>1.3306944444484543</v>
      </c>
    </row>
    <row r="1001" spans="1:8" x14ac:dyDescent="0.25">
      <c r="A1001" s="3" t="s">
        <v>2982</v>
      </c>
      <c r="B1001" s="3" t="s">
        <v>3196</v>
      </c>
      <c r="C1001" s="10">
        <v>45687.13</v>
      </c>
      <c r="D1001" s="3" t="s">
        <v>2983</v>
      </c>
      <c r="E1001" s="10">
        <v>45688.332187499997</v>
      </c>
      <c r="F1001" s="10">
        <v>45688.77202546296</v>
      </c>
      <c r="G1001" s="11">
        <f t="shared" si="30"/>
        <v>1.2021874999991269</v>
      </c>
      <c r="H1001" s="11">
        <f t="shared" si="31"/>
        <v>1.6420254629629198</v>
      </c>
    </row>
    <row r="1002" spans="1:8" x14ac:dyDescent="0.25">
      <c r="A1002" s="3" t="s">
        <v>2985</v>
      </c>
      <c r="B1002" s="3" t="s">
        <v>3202</v>
      </c>
      <c r="C1002" s="10">
        <v>45687.13140046296</v>
      </c>
      <c r="D1002" s="3" t="s">
        <v>2986</v>
      </c>
      <c r="E1002" s="10">
        <v>45687.337280092594</v>
      </c>
      <c r="F1002" s="10">
        <v>45688.278090277781</v>
      </c>
      <c r="G1002" s="11">
        <f t="shared" si="30"/>
        <v>0.205879629633273</v>
      </c>
      <c r="H1002" s="11">
        <f t="shared" si="31"/>
        <v>1.1466898148210021</v>
      </c>
    </row>
    <row r="1003" spans="1:8" x14ac:dyDescent="0.25">
      <c r="A1003" s="3" t="s">
        <v>2988</v>
      </c>
      <c r="B1003" s="3" t="s">
        <v>3193</v>
      </c>
      <c r="C1003" s="10">
        <v>45687.272280092591</v>
      </c>
      <c r="D1003" s="3" t="s">
        <v>2989</v>
      </c>
      <c r="E1003" s="10">
        <v>45687.274675925917</v>
      </c>
      <c r="F1003" s="10">
        <v>45688.189814814818</v>
      </c>
      <c r="G1003" s="11">
        <f t="shared" si="30"/>
        <v>2.3958333258633502E-3</v>
      </c>
      <c r="H1003" s="11">
        <f t="shared" si="31"/>
        <v>0.91753472222626442</v>
      </c>
    </row>
    <row r="1004" spans="1:8" x14ac:dyDescent="0.25">
      <c r="A1004" s="3" t="s">
        <v>2992</v>
      </c>
      <c r="B1004" s="3" t="s">
        <v>3196</v>
      </c>
      <c r="C1004" s="10">
        <v>45687.325682870367</v>
      </c>
      <c r="D1004" s="3" t="s">
        <v>2983</v>
      </c>
      <c r="E1004" s="10">
        <v>45688.332187499997</v>
      </c>
      <c r="F1004" s="10">
        <v>45688.77202546296</v>
      </c>
      <c r="G1004" s="11">
        <f t="shared" si="30"/>
        <v>1.0065046296294895</v>
      </c>
      <c r="H1004" s="11">
        <f t="shared" si="31"/>
        <v>1.4463425925932825</v>
      </c>
    </row>
    <row r="1005" spans="1:8" x14ac:dyDescent="0.25">
      <c r="A1005" s="3" t="s">
        <v>2994</v>
      </c>
      <c r="B1005" s="3" t="s">
        <v>3199</v>
      </c>
      <c r="C1005" s="10">
        <v>45687.327916666669</v>
      </c>
      <c r="D1005" s="3" t="s">
        <v>2955</v>
      </c>
      <c r="E1005" s="10">
        <v>45687.33184027778</v>
      </c>
      <c r="F1005" s="10">
        <v>45688.246990740743</v>
      </c>
      <c r="G1005" s="11">
        <f t="shared" si="30"/>
        <v>3.9236111115314998E-3</v>
      </c>
      <c r="H1005" s="11">
        <f t="shared" si="31"/>
        <v>0.91907407407416031</v>
      </c>
    </row>
    <row r="1006" spans="1:8" x14ac:dyDescent="0.25">
      <c r="A1006" s="3" t="s">
        <v>2996</v>
      </c>
      <c r="B1006" s="3" t="s">
        <v>3202</v>
      </c>
      <c r="C1006" s="10">
        <v>45687.32916666667</v>
      </c>
      <c r="D1006" s="3" t="s">
        <v>2986</v>
      </c>
      <c r="E1006" s="10">
        <v>45687.337280092594</v>
      </c>
      <c r="F1006" s="10">
        <v>45688.278090277781</v>
      </c>
      <c r="G1006" s="11">
        <f t="shared" si="30"/>
        <v>8.1134259235113859E-3</v>
      </c>
      <c r="H1006" s="11">
        <f t="shared" si="31"/>
        <v>0.94892361111124046</v>
      </c>
    </row>
    <row r="1007" spans="1:8" x14ac:dyDescent="0.25">
      <c r="A1007" s="3" t="s">
        <v>2999</v>
      </c>
      <c r="B1007" s="3" t="s">
        <v>3201</v>
      </c>
      <c r="C1007" s="10">
        <v>45687.330775462957</v>
      </c>
      <c r="D1007" s="3" t="s">
        <v>3000</v>
      </c>
      <c r="E1007" s="10">
        <v>45688.676979166667</v>
      </c>
      <c r="F1007" s="10"/>
      <c r="G1007" s="11">
        <f t="shared" si="30"/>
        <v>1.3462037037097616</v>
      </c>
      <c r="H1007" s="11" t="str">
        <f t="shared" si="31"/>
        <v/>
      </c>
    </row>
    <row r="1008" spans="1:8" x14ac:dyDescent="0.25">
      <c r="A1008" s="3" t="s">
        <v>3002</v>
      </c>
      <c r="B1008" s="3" t="s">
        <v>3195</v>
      </c>
      <c r="C1008" s="10">
        <v>45687.332361111112</v>
      </c>
      <c r="D1008" s="3" t="s">
        <v>2931</v>
      </c>
      <c r="E1008" s="10">
        <v>45687.649236111109</v>
      </c>
      <c r="F1008" s="10">
        <v>45688.55568287037</v>
      </c>
      <c r="G1008" s="11">
        <f t="shared" si="30"/>
        <v>0.31687499999679858</v>
      </c>
      <c r="H1008" s="11">
        <f t="shared" si="31"/>
        <v>1.2233217592583969</v>
      </c>
    </row>
    <row r="1009" spans="1:8" x14ac:dyDescent="0.25">
      <c r="A1009" s="3" t="s">
        <v>3004</v>
      </c>
      <c r="B1009" s="3" t="s">
        <v>3202</v>
      </c>
      <c r="C1009" s="10">
        <v>45687.333715277768</v>
      </c>
      <c r="D1009" s="3" t="s">
        <v>2986</v>
      </c>
      <c r="E1009" s="10">
        <v>45687.337280092594</v>
      </c>
      <c r="F1009" s="10">
        <v>45688.278090277781</v>
      </c>
      <c r="G1009" s="11">
        <f t="shared" si="30"/>
        <v>3.5648148259497248E-3</v>
      </c>
      <c r="H1009" s="11">
        <f t="shared" si="31"/>
        <v>0.9443750000136788</v>
      </c>
    </row>
    <row r="1010" spans="1:8" x14ac:dyDescent="0.25">
      <c r="A1010" s="3" t="s">
        <v>3008</v>
      </c>
      <c r="B1010" s="3" t="s">
        <v>3205</v>
      </c>
      <c r="C1010" s="10">
        <v>45687.336840277778</v>
      </c>
      <c r="D1010" s="3" t="s">
        <v>2785</v>
      </c>
      <c r="E1010" s="10">
        <v>45687.34039351852</v>
      </c>
      <c r="F1010" s="10">
        <v>45688.326157407413</v>
      </c>
      <c r="G1010" s="11">
        <f t="shared" si="30"/>
        <v>3.5532407418941148E-3</v>
      </c>
      <c r="H1010" s="11">
        <f t="shared" si="31"/>
        <v>0.98931712963531027</v>
      </c>
    </row>
    <row r="1011" spans="1:8" x14ac:dyDescent="0.25">
      <c r="A1011" s="3" t="s">
        <v>3010</v>
      </c>
      <c r="B1011" s="3" t="s">
        <v>3203</v>
      </c>
      <c r="C1011" s="10">
        <v>45687.337893518517</v>
      </c>
      <c r="D1011" s="3" t="s">
        <v>2980</v>
      </c>
      <c r="E1011" s="10">
        <v>45687.551423611112</v>
      </c>
      <c r="F1011" s="10">
        <v>45688.458796296298</v>
      </c>
      <c r="G1011" s="11">
        <f t="shared" si="30"/>
        <v>0.21353009259473765</v>
      </c>
      <c r="H1011" s="11">
        <f t="shared" si="31"/>
        <v>1.1209027777804295</v>
      </c>
    </row>
    <row r="1012" spans="1:8" x14ac:dyDescent="0.25">
      <c r="A1012" s="3" t="s">
        <v>3012</v>
      </c>
      <c r="B1012" s="3" t="s">
        <v>3206</v>
      </c>
      <c r="C1012" s="10">
        <v>45687.339421296303</v>
      </c>
      <c r="D1012" s="3" t="s">
        <v>2902</v>
      </c>
      <c r="E1012" s="10">
        <v>45687.346678240741</v>
      </c>
      <c r="F1012" s="10">
        <v>45688.406944444447</v>
      </c>
      <c r="G1012" s="11">
        <f t="shared" si="30"/>
        <v>7.2569444382679649E-3</v>
      </c>
      <c r="H1012" s="11">
        <f t="shared" si="31"/>
        <v>1.067523148143664</v>
      </c>
    </row>
    <row r="1013" spans="1:8" x14ac:dyDescent="0.25">
      <c r="A1013" s="3" t="s">
        <v>3014</v>
      </c>
      <c r="B1013" s="3" t="s">
        <v>3206</v>
      </c>
      <c r="C1013" s="10">
        <v>45687.34275462963</v>
      </c>
      <c r="D1013" s="3" t="s">
        <v>2902</v>
      </c>
      <c r="E1013" s="10">
        <v>45687.346678240741</v>
      </c>
      <c r="F1013" s="10">
        <v>45688.406944444447</v>
      </c>
      <c r="G1013" s="11">
        <f t="shared" si="30"/>
        <v>3.9236111115314998E-3</v>
      </c>
      <c r="H1013" s="11">
        <f t="shared" si="31"/>
        <v>1.0641898148169275</v>
      </c>
    </row>
    <row r="1014" spans="1:8" x14ac:dyDescent="0.25">
      <c r="A1014" s="3" t="s">
        <v>3016</v>
      </c>
      <c r="B1014" s="3" t="s">
        <v>3194</v>
      </c>
      <c r="C1014" s="10">
        <v>45687.360324074078</v>
      </c>
      <c r="D1014" s="3" t="s">
        <v>2888</v>
      </c>
      <c r="E1014" s="10">
        <v>45687.368773148148</v>
      </c>
      <c r="F1014" s="10">
        <v>45688.369988425933</v>
      </c>
      <c r="G1014" s="11">
        <f t="shared" si="30"/>
        <v>8.4490740700857714E-3</v>
      </c>
      <c r="H1014" s="11">
        <f t="shared" si="31"/>
        <v>1.0096643518554629</v>
      </c>
    </row>
    <row r="1015" spans="1:8" x14ac:dyDescent="0.25">
      <c r="A1015" s="3" t="s">
        <v>3019</v>
      </c>
      <c r="B1015" s="3" t="s">
        <v>3194</v>
      </c>
      <c r="C1015" s="10">
        <v>45687.360324074078</v>
      </c>
      <c r="D1015" s="3" t="s">
        <v>2888</v>
      </c>
      <c r="E1015" s="10">
        <v>45687.368773148148</v>
      </c>
      <c r="F1015" s="10">
        <v>45688.369988425933</v>
      </c>
      <c r="G1015" s="11">
        <f t="shared" si="30"/>
        <v>8.4490740700857714E-3</v>
      </c>
      <c r="H1015" s="11">
        <f t="shared" si="31"/>
        <v>1.0096643518554629</v>
      </c>
    </row>
    <row r="1016" spans="1:8" x14ac:dyDescent="0.25">
      <c r="A1016" s="3" t="s">
        <v>3021</v>
      </c>
      <c r="B1016" s="3" t="s">
        <v>3199</v>
      </c>
      <c r="C1016" s="10">
        <v>45687.396527777782</v>
      </c>
      <c r="D1016" s="3" t="s">
        <v>3022</v>
      </c>
      <c r="E1016" s="10">
        <v>45687.398680555547</v>
      </c>
      <c r="F1016" s="10">
        <v>45688.407650462963</v>
      </c>
      <c r="G1016" s="11">
        <f t="shared" si="30"/>
        <v>2.1527777644223534E-3</v>
      </c>
      <c r="H1016" s="11">
        <f t="shared" si="31"/>
        <v>1.0111226851804531</v>
      </c>
    </row>
    <row r="1017" spans="1:8" x14ac:dyDescent="0.25">
      <c r="A1017" s="3" t="s">
        <v>3024</v>
      </c>
      <c r="B1017" s="3" t="s">
        <v>3197</v>
      </c>
      <c r="C1017" s="10">
        <v>45687.398506944453</v>
      </c>
      <c r="D1017" s="3" t="s">
        <v>2908</v>
      </c>
      <c r="E1017" s="10">
        <v>45688.334548611107</v>
      </c>
      <c r="F1017" s="10">
        <v>45688.885115740741</v>
      </c>
      <c r="G1017" s="11">
        <f t="shared" si="30"/>
        <v>0.93604166665318189</v>
      </c>
      <c r="H1017" s="11">
        <f t="shared" si="31"/>
        <v>1.486608796287328</v>
      </c>
    </row>
    <row r="1018" spans="1:8" x14ac:dyDescent="0.25">
      <c r="A1018" s="3" t="s">
        <v>3027</v>
      </c>
      <c r="B1018" s="3" t="s">
        <v>3194</v>
      </c>
      <c r="C1018" s="10">
        <v>45687.402627314812</v>
      </c>
      <c r="D1018" s="3" t="s">
        <v>3028</v>
      </c>
      <c r="E1018" s="10">
        <v>45687.647789351853</v>
      </c>
      <c r="F1018" s="10">
        <v>45688.485358796293</v>
      </c>
      <c r="G1018" s="11">
        <f t="shared" si="30"/>
        <v>0.24516203704115469</v>
      </c>
      <c r="H1018" s="11">
        <f t="shared" si="31"/>
        <v>1.0827314814814599</v>
      </c>
    </row>
    <row r="1019" spans="1:8" x14ac:dyDescent="0.25">
      <c r="A1019" s="3" t="s">
        <v>3030</v>
      </c>
      <c r="B1019" s="3" t="s">
        <v>3196</v>
      </c>
      <c r="C1019" s="10">
        <v>45687.404594907413</v>
      </c>
      <c r="D1019" s="3" t="s">
        <v>2983</v>
      </c>
      <c r="E1019" s="10">
        <v>45688.332187499997</v>
      </c>
      <c r="F1019" s="10">
        <v>45688.77202546296</v>
      </c>
      <c r="G1019" s="11">
        <f t="shared" si="30"/>
        <v>0.92759259258309612</v>
      </c>
      <c r="H1019" s="11">
        <f t="shared" si="31"/>
        <v>1.3674305555468891</v>
      </c>
    </row>
    <row r="1020" spans="1:8" x14ac:dyDescent="0.25">
      <c r="A1020" s="3" t="s">
        <v>3036</v>
      </c>
      <c r="B1020" s="3" t="s">
        <v>3203</v>
      </c>
      <c r="C1020" s="10">
        <v>45687.549259259264</v>
      </c>
      <c r="D1020" s="3" t="s">
        <v>2980</v>
      </c>
      <c r="E1020" s="10">
        <v>45687.551423611112</v>
      </c>
      <c r="F1020" s="10">
        <v>45688.458796296298</v>
      </c>
      <c r="G1020" s="11">
        <f t="shared" si="30"/>
        <v>2.1643518484779634E-3</v>
      </c>
      <c r="H1020" s="11">
        <f t="shared" si="31"/>
        <v>0.90953703703416977</v>
      </c>
    </row>
    <row r="1021" spans="1:8" x14ac:dyDescent="0.25">
      <c r="A1021" s="3" t="s">
        <v>3039</v>
      </c>
      <c r="B1021" s="3" t="s">
        <v>3196</v>
      </c>
      <c r="C1021" s="10">
        <v>45687.636145833327</v>
      </c>
      <c r="D1021" s="3" t="s">
        <v>2983</v>
      </c>
      <c r="E1021" s="10">
        <v>45688.332187499997</v>
      </c>
      <c r="F1021" s="10">
        <v>45688.77202546296</v>
      </c>
      <c r="G1021" s="11">
        <f t="shared" si="30"/>
        <v>0.69604166666977108</v>
      </c>
      <c r="H1021" s="11">
        <f t="shared" si="31"/>
        <v>1.135879629633564</v>
      </c>
    </row>
    <row r="1022" spans="1:8" x14ac:dyDescent="0.25">
      <c r="A1022" s="3" t="s">
        <v>3041</v>
      </c>
      <c r="B1022" s="3" t="s">
        <v>3201</v>
      </c>
      <c r="C1022" s="10">
        <v>45687.637939814813</v>
      </c>
      <c r="D1022" s="3" t="s">
        <v>3000</v>
      </c>
      <c r="E1022" s="10">
        <v>45688.676979166667</v>
      </c>
      <c r="F1022" s="10"/>
      <c r="G1022" s="11">
        <f t="shared" si="30"/>
        <v>1.0390393518537167</v>
      </c>
      <c r="H1022" s="11" t="str">
        <f t="shared" si="31"/>
        <v/>
      </c>
    </row>
    <row r="1023" spans="1:8" x14ac:dyDescent="0.25">
      <c r="A1023" s="3" t="s">
        <v>3043</v>
      </c>
      <c r="B1023" s="3" t="s">
        <v>3197</v>
      </c>
      <c r="C1023" s="10">
        <v>45687.639884259261</v>
      </c>
      <c r="D1023" s="3" t="s">
        <v>2908</v>
      </c>
      <c r="E1023" s="10">
        <v>45688.334548611107</v>
      </c>
      <c r="F1023" s="10">
        <v>45688.885115740741</v>
      </c>
      <c r="G1023" s="11">
        <f t="shared" si="30"/>
        <v>0.69466435184585862</v>
      </c>
      <c r="H1023" s="11">
        <f t="shared" si="31"/>
        <v>1.2452314814800047</v>
      </c>
    </row>
    <row r="1024" spans="1:8" x14ac:dyDescent="0.25">
      <c r="A1024" s="3" t="s">
        <v>3045</v>
      </c>
      <c r="B1024" s="3" t="s">
        <v>3194</v>
      </c>
      <c r="C1024" s="10">
        <v>45687.641840277778</v>
      </c>
      <c r="D1024" s="3" t="s">
        <v>3028</v>
      </c>
      <c r="E1024" s="10">
        <v>45687.647789351853</v>
      </c>
      <c r="F1024" s="10">
        <v>45688.485358796293</v>
      </c>
      <c r="G1024" s="11">
        <f t="shared" si="30"/>
        <v>5.9490740750334226E-3</v>
      </c>
      <c r="H1024" s="11">
        <f t="shared" si="31"/>
        <v>0.84351851851533866</v>
      </c>
    </row>
    <row r="1025" spans="1:8" x14ac:dyDescent="0.25">
      <c r="A1025" s="3" t="s">
        <v>3047</v>
      </c>
      <c r="B1025" s="3" t="s">
        <v>3194</v>
      </c>
      <c r="C1025" s="10">
        <v>45687.643888888888</v>
      </c>
      <c r="D1025" s="3" t="s">
        <v>3028</v>
      </c>
      <c r="E1025" s="10">
        <v>45687.647789351853</v>
      </c>
      <c r="F1025" s="10">
        <v>45688.485358796293</v>
      </c>
      <c r="G1025" s="11">
        <f t="shared" si="30"/>
        <v>3.9004629652481526E-3</v>
      </c>
      <c r="H1025" s="11">
        <f t="shared" si="31"/>
        <v>0.84146990740555339</v>
      </c>
    </row>
    <row r="1026" spans="1:8" x14ac:dyDescent="0.25">
      <c r="A1026" s="3" t="s">
        <v>3050</v>
      </c>
      <c r="B1026" s="3" t="s">
        <v>3195</v>
      </c>
      <c r="C1026" s="10">
        <v>45687.645671296297</v>
      </c>
      <c r="D1026" s="3" t="s">
        <v>2931</v>
      </c>
      <c r="E1026" s="10">
        <v>45687.649236111109</v>
      </c>
      <c r="F1026" s="10">
        <v>45688.55568287037</v>
      </c>
      <c r="G1026" s="11">
        <f t="shared" ref="G1026:G1077" si="32">IF(AND(ISNUMBER(C1026),ISNUMBER(E1026)),(E1026-C1026),"")</f>
        <v>3.5648148113978095E-3</v>
      </c>
      <c r="H1026" s="11">
        <f t="shared" ref="H1026:H1077" si="33">IF(AND(ISNUMBER(C1026),ISNUMBER(F1026)),(F1026-C1026),"")</f>
        <v>0.91001157407299615</v>
      </c>
    </row>
    <row r="1027" spans="1:8" x14ac:dyDescent="0.25">
      <c r="A1027" s="3" t="s">
        <v>3052</v>
      </c>
      <c r="B1027" s="3" t="s">
        <v>3199</v>
      </c>
      <c r="C1027" s="10">
        <v>45687.647673611107</v>
      </c>
      <c r="D1027" s="3" t="s">
        <v>3053</v>
      </c>
      <c r="E1027" s="10">
        <v>45687.865243055552</v>
      </c>
      <c r="F1027" s="10">
        <v>45688.724687499998</v>
      </c>
      <c r="G1027" s="11">
        <f t="shared" si="32"/>
        <v>0.21756944444496185</v>
      </c>
      <c r="H1027" s="11">
        <f t="shared" si="33"/>
        <v>1.0770138888910878</v>
      </c>
    </row>
    <row r="1028" spans="1:8" x14ac:dyDescent="0.25">
      <c r="A1028" s="3" t="s">
        <v>3055</v>
      </c>
      <c r="B1028" s="3" t="s">
        <v>3203</v>
      </c>
      <c r="C1028" s="10">
        <v>45687.654305555552</v>
      </c>
      <c r="D1028" s="3" t="s">
        <v>3056</v>
      </c>
      <c r="E1028" s="10">
        <v>45687.833391203712</v>
      </c>
      <c r="F1028" s="10">
        <v>45688.63453703704</v>
      </c>
      <c r="G1028" s="11">
        <f t="shared" si="32"/>
        <v>0.17908564816025319</v>
      </c>
      <c r="H1028" s="11">
        <f t="shared" si="33"/>
        <v>0.98023148148786277</v>
      </c>
    </row>
    <row r="1029" spans="1:8" x14ac:dyDescent="0.25">
      <c r="A1029" s="3" t="s">
        <v>3058</v>
      </c>
      <c r="B1029" s="3" t="s">
        <v>3203</v>
      </c>
      <c r="C1029" s="10">
        <v>45687.730624999997</v>
      </c>
      <c r="D1029" s="3" t="s">
        <v>3056</v>
      </c>
      <c r="E1029" s="10">
        <v>45687.833391203712</v>
      </c>
      <c r="F1029" s="10">
        <v>45688.63453703704</v>
      </c>
      <c r="G1029" s="11">
        <f t="shared" si="32"/>
        <v>0.10276620371587342</v>
      </c>
      <c r="H1029" s="11">
        <f t="shared" si="33"/>
        <v>0.903912037043483</v>
      </c>
    </row>
    <row r="1030" spans="1:8" x14ac:dyDescent="0.25">
      <c r="A1030" s="3" t="s">
        <v>3060</v>
      </c>
      <c r="B1030" s="3" t="s">
        <v>3203</v>
      </c>
      <c r="C1030" s="10">
        <v>45687.829467592594</v>
      </c>
      <c r="D1030" s="3" t="s">
        <v>3056</v>
      </c>
      <c r="E1030" s="10">
        <v>45687.833391203712</v>
      </c>
      <c r="F1030" s="10">
        <v>45688.63453703704</v>
      </c>
      <c r="G1030" s="11">
        <f t="shared" si="32"/>
        <v>3.9236111188074574E-3</v>
      </c>
      <c r="H1030" s="11">
        <f t="shared" si="33"/>
        <v>0.80506944444641704</v>
      </c>
    </row>
    <row r="1031" spans="1:8" x14ac:dyDescent="0.25">
      <c r="A1031" s="3" t="s">
        <v>3062</v>
      </c>
      <c r="B1031" s="3" t="s">
        <v>3199</v>
      </c>
      <c r="C1031" s="10">
        <v>45687.862847222219</v>
      </c>
      <c r="D1031" s="3" t="s">
        <v>3053</v>
      </c>
      <c r="E1031" s="10">
        <v>45687.865243055552</v>
      </c>
      <c r="F1031" s="10">
        <v>45688.724687499998</v>
      </c>
      <c r="G1031" s="11">
        <f t="shared" si="32"/>
        <v>2.3958333331393078E-3</v>
      </c>
      <c r="H1031" s="11">
        <f t="shared" si="33"/>
        <v>0.86184027777926531</v>
      </c>
    </row>
    <row r="1032" spans="1:8" x14ac:dyDescent="0.25">
      <c r="A1032" s="3" t="s">
        <v>3064</v>
      </c>
      <c r="B1032" s="3" t="s">
        <v>3203</v>
      </c>
      <c r="C1032" s="10">
        <v>45688.128819444442</v>
      </c>
      <c r="D1032" s="3" t="s">
        <v>3065</v>
      </c>
      <c r="E1032" s="10">
        <v>45688.602430555547</v>
      </c>
      <c r="F1032" s="10"/>
      <c r="G1032" s="11">
        <f t="shared" si="32"/>
        <v>0.47361111110512866</v>
      </c>
      <c r="H1032" s="11" t="str">
        <f t="shared" si="33"/>
        <v/>
      </c>
    </row>
    <row r="1033" spans="1:8" x14ac:dyDescent="0.25">
      <c r="A1033" s="3" t="s">
        <v>3067</v>
      </c>
      <c r="B1033" s="3" t="s">
        <v>3200</v>
      </c>
      <c r="C1033" s="10">
        <v>45688.130694444437</v>
      </c>
      <c r="D1033" s="3" t="s">
        <v>3068</v>
      </c>
      <c r="E1033" s="10">
        <v>45688.330277777779</v>
      </c>
      <c r="F1033" s="10">
        <v>45688.781886574077</v>
      </c>
      <c r="G1033" s="11">
        <f t="shared" si="32"/>
        <v>0.1995833333421615</v>
      </c>
      <c r="H1033" s="11">
        <f t="shared" si="33"/>
        <v>0.65119212964054896</v>
      </c>
    </row>
    <row r="1034" spans="1:8" x14ac:dyDescent="0.25">
      <c r="A1034" s="3" t="s">
        <v>3070</v>
      </c>
      <c r="B1034" s="3" t="s">
        <v>3198</v>
      </c>
      <c r="C1034" s="10">
        <v>45688.132291666669</v>
      </c>
      <c r="D1034" s="3" t="s">
        <v>3071</v>
      </c>
      <c r="E1034" s="10">
        <v>45688.683287037027</v>
      </c>
      <c r="F1034" s="10"/>
      <c r="G1034" s="11">
        <f t="shared" si="32"/>
        <v>0.55099537035857793</v>
      </c>
      <c r="H1034" s="11" t="str">
        <f t="shared" si="33"/>
        <v/>
      </c>
    </row>
    <row r="1035" spans="1:8" x14ac:dyDescent="0.25">
      <c r="A1035" s="3" t="s">
        <v>3073</v>
      </c>
      <c r="B1035" s="3" t="s">
        <v>3203</v>
      </c>
      <c r="C1035" s="10">
        <v>45688.133449074077</v>
      </c>
      <c r="D1035" s="3" t="s">
        <v>3065</v>
      </c>
      <c r="E1035" s="10">
        <v>45688.602430555547</v>
      </c>
      <c r="F1035" s="10"/>
      <c r="G1035" s="11">
        <f t="shared" si="32"/>
        <v>0.46898148147010943</v>
      </c>
      <c r="H1035" s="11" t="str">
        <f t="shared" si="33"/>
        <v/>
      </c>
    </row>
    <row r="1036" spans="1:8" x14ac:dyDescent="0.25">
      <c r="A1036" s="3" t="s">
        <v>3075</v>
      </c>
      <c r="B1036" s="3" t="s">
        <v>3196</v>
      </c>
      <c r="C1036" s="10">
        <v>45688.135405092587</v>
      </c>
      <c r="D1036" s="3" t="s">
        <v>2983</v>
      </c>
      <c r="E1036" s="10">
        <v>45688.332187499997</v>
      </c>
      <c r="F1036" s="10">
        <v>45688.77202546296</v>
      </c>
      <c r="G1036" s="11">
        <f t="shared" si="32"/>
        <v>0.19678240740904585</v>
      </c>
      <c r="H1036" s="11">
        <f t="shared" si="33"/>
        <v>0.63662037037283881</v>
      </c>
    </row>
    <row r="1037" spans="1:8" x14ac:dyDescent="0.25">
      <c r="A1037" s="3" t="s">
        <v>3078</v>
      </c>
      <c r="B1037" s="3" t="s">
        <v>3193</v>
      </c>
      <c r="C1037" s="10">
        <v>45688.257974537039</v>
      </c>
      <c r="D1037" s="3" t="s">
        <v>3079</v>
      </c>
      <c r="E1037" s="10">
        <v>45688.260138888887</v>
      </c>
      <c r="F1037" s="10">
        <v>45688.709363425929</v>
      </c>
      <c r="G1037" s="11">
        <f t="shared" si="32"/>
        <v>2.1643518484779634E-3</v>
      </c>
      <c r="H1037" s="11">
        <f t="shared" si="33"/>
        <v>0.45138888889050577</v>
      </c>
    </row>
    <row r="1038" spans="1:8" x14ac:dyDescent="0.25">
      <c r="A1038" s="3" t="s">
        <v>3081</v>
      </c>
      <c r="B1038" s="3" t="s">
        <v>3199</v>
      </c>
      <c r="C1038" s="10">
        <v>45688.29923611111</v>
      </c>
      <c r="D1038" s="3" t="s">
        <v>3082</v>
      </c>
      <c r="E1038" s="10">
        <v>45688.32099537037</v>
      </c>
      <c r="F1038" s="10">
        <v>45688.717546296299</v>
      </c>
      <c r="G1038" s="11">
        <f t="shared" si="32"/>
        <v>2.1759259259852115E-2</v>
      </c>
      <c r="H1038" s="11">
        <f t="shared" si="33"/>
        <v>0.41831018518860219</v>
      </c>
    </row>
    <row r="1039" spans="1:8" x14ac:dyDescent="0.25">
      <c r="A1039" s="3" t="s">
        <v>3084</v>
      </c>
      <c r="B1039" s="3" t="s">
        <v>3202</v>
      </c>
      <c r="C1039" s="10">
        <v>45688.315335648149</v>
      </c>
      <c r="D1039" s="3" t="s">
        <v>3085</v>
      </c>
      <c r="E1039" s="10">
        <v>45688.665648148148</v>
      </c>
      <c r="F1039" s="10"/>
      <c r="G1039" s="11">
        <f t="shared" si="32"/>
        <v>0.35031249999883585</v>
      </c>
      <c r="H1039" s="11" t="str">
        <f t="shared" si="33"/>
        <v/>
      </c>
    </row>
    <row r="1040" spans="1:8" x14ac:dyDescent="0.25">
      <c r="A1040" s="3" t="s">
        <v>3087</v>
      </c>
      <c r="B1040" s="3" t="s">
        <v>3199</v>
      </c>
      <c r="C1040" s="10">
        <v>45688.317430555559</v>
      </c>
      <c r="D1040" s="3" t="s">
        <v>3082</v>
      </c>
      <c r="E1040" s="10">
        <v>45688.32099537037</v>
      </c>
      <c r="F1040" s="10">
        <v>45688.717546296299</v>
      </c>
      <c r="G1040" s="11">
        <f t="shared" si="32"/>
        <v>3.5648148113978095E-3</v>
      </c>
      <c r="H1040" s="11">
        <f t="shared" si="33"/>
        <v>0.40011574074014788</v>
      </c>
    </row>
    <row r="1041" spans="1:8" x14ac:dyDescent="0.25">
      <c r="A1041" s="3" t="s">
        <v>3089</v>
      </c>
      <c r="B1041" s="3" t="s">
        <v>3202</v>
      </c>
      <c r="C1041" s="10">
        <v>45688.318888888891</v>
      </c>
      <c r="D1041" s="3" t="s">
        <v>3085</v>
      </c>
      <c r="E1041" s="10">
        <v>45688.665648148148</v>
      </c>
      <c r="F1041" s="10"/>
      <c r="G1041" s="11">
        <f t="shared" si="32"/>
        <v>0.34675925925694173</v>
      </c>
      <c r="H1041" s="11" t="str">
        <f t="shared" si="33"/>
        <v/>
      </c>
    </row>
    <row r="1042" spans="1:8" x14ac:dyDescent="0.25">
      <c r="A1042" s="3" t="s">
        <v>3091</v>
      </c>
      <c r="B1042" s="3" t="s">
        <v>3196</v>
      </c>
      <c r="C1042" s="10">
        <v>45688.320891203701</v>
      </c>
      <c r="D1042" s="3" t="s">
        <v>2983</v>
      </c>
      <c r="E1042" s="10">
        <v>45688.332187499997</v>
      </c>
      <c r="F1042" s="10">
        <v>45688.77202546296</v>
      </c>
      <c r="G1042" s="11">
        <f t="shared" si="32"/>
        <v>1.1296296295768116E-2</v>
      </c>
      <c r="H1042" s="11">
        <f t="shared" si="33"/>
        <v>0.45113425925956108</v>
      </c>
    </row>
    <row r="1043" spans="1:8" x14ac:dyDescent="0.25">
      <c r="A1043" s="3" t="s">
        <v>3093</v>
      </c>
      <c r="B1043" s="3" t="s">
        <v>3194</v>
      </c>
      <c r="C1043" s="10">
        <v>45688.322812500002</v>
      </c>
      <c r="D1043" s="3" t="s">
        <v>3094</v>
      </c>
      <c r="E1043" s="10">
        <v>45688.664259259262</v>
      </c>
      <c r="F1043" s="10"/>
      <c r="G1043" s="11">
        <f t="shared" si="32"/>
        <v>0.34144675925927004</v>
      </c>
      <c r="H1043" s="11" t="str">
        <f t="shared" si="33"/>
        <v/>
      </c>
    </row>
    <row r="1044" spans="1:8" x14ac:dyDescent="0.25">
      <c r="A1044" s="3" t="s">
        <v>3097</v>
      </c>
      <c r="B1044" s="3" t="s">
        <v>3197</v>
      </c>
      <c r="C1044" s="10">
        <v>45688.324733796297</v>
      </c>
      <c r="D1044" s="3" t="s">
        <v>2908</v>
      </c>
      <c r="E1044" s="10">
        <v>45688.334548611107</v>
      </c>
      <c r="F1044" s="10">
        <v>45688.885115740741</v>
      </c>
      <c r="G1044" s="11">
        <f t="shared" si="32"/>
        <v>9.814814809942618E-3</v>
      </c>
      <c r="H1044" s="11">
        <f t="shared" si="33"/>
        <v>0.56038194444408873</v>
      </c>
    </row>
    <row r="1045" spans="1:8" x14ac:dyDescent="0.25">
      <c r="A1045" s="3" t="s">
        <v>3099</v>
      </c>
      <c r="B1045" s="3" t="s">
        <v>3200</v>
      </c>
      <c r="C1045" s="10">
        <v>45688.326724537037</v>
      </c>
      <c r="D1045" s="3" t="s">
        <v>3068</v>
      </c>
      <c r="E1045" s="10">
        <v>45688.330277777779</v>
      </c>
      <c r="F1045" s="10">
        <v>45688.781886574077</v>
      </c>
      <c r="G1045" s="11">
        <f t="shared" si="32"/>
        <v>3.5532407418941148E-3</v>
      </c>
      <c r="H1045" s="11">
        <f t="shared" si="33"/>
        <v>0.45516203704028158</v>
      </c>
    </row>
    <row r="1046" spans="1:8" x14ac:dyDescent="0.25">
      <c r="A1046" s="3" t="s">
        <v>3102</v>
      </c>
      <c r="B1046" s="3" t="s">
        <v>3196</v>
      </c>
      <c r="C1046" s="10">
        <v>45688.328622685192</v>
      </c>
      <c r="D1046" s="3" t="s">
        <v>2983</v>
      </c>
      <c r="E1046" s="10">
        <v>45688.332187499997</v>
      </c>
      <c r="F1046" s="10">
        <v>45688.77202546296</v>
      </c>
      <c r="G1046" s="11">
        <f t="shared" si="32"/>
        <v>3.5648148041218519E-3</v>
      </c>
      <c r="H1046" s="11">
        <f t="shared" si="33"/>
        <v>0.44340277776791481</v>
      </c>
    </row>
    <row r="1047" spans="1:8" x14ac:dyDescent="0.25">
      <c r="A1047" s="3" t="s">
        <v>3104</v>
      </c>
      <c r="B1047" s="3" t="s">
        <v>3197</v>
      </c>
      <c r="C1047" s="10">
        <v>45688.330648148149</v>
      </c>
      <c r="D1047" s="3" t="s">
        <v>2908</v>
      </c>
      <c r="E1047" s="10">
        <v>45688.334548611107</v>
      </c>
      <c r="F1047" s="10">
        <v>45688.885115740741</v>
      </c>
      <c r="G1047" s="11">
        <f t="shared" si="32"/>
        <v>3.900462957972195E-3</v>
      </c>
      <c r="H1047" s="11">
        <f t="shared" si="33"/>
        <v>0.55446759259211831</v>
      </c>
    </row>
    <row r="1048" spans="1:8" x14ac:dyDescent="0.25">
      <c r="A1048" s="3" t="s">
        <v>3106</v>
      </c>
      <c r="B1048" s="3" t="s">
        <v>3199</v>
      </c>
      <c r="C1048" s="10">
        <v>45688.345486111109</v>
      </c>
      <c r="D1048" s="3" t="s">
        <v>3107</v>
      </c>
      <c r="E1048" s="10">
        <v>45688.347858796304</v>
      </c>
      <c r="F1048" s="10"/>
      <c r="G1048" s="11">
        <f t="shared" si="32"/>
        <v>2.3726851941319183E-3</v>
      </c>
      <c r="H1048" s="11" t="str">
        <f t="shared" si="33"/>
        <v/>
      </c>
    </row>
    <row r="1049" spans="1:8" x14ac:dyDescent="0.25">
      <c r="A1049" s="3" t="s">
        <v>3109</v>
      </c>
      <c r="B1049" s="3" t="s">
        <v>3199</v>
      </c>
      <c r="C1049" s="10">
        <v>45688.380300925928</v>
      </c>
      <c r="D1049" s="3" t="s">
        <v>3110</v>
      </c>
      <c r="E1049" s="10">
        <v>45688.382696759261</v>
      </c>
      <c r="F1049" s="10"/>
      <c r="G1049" s="11">
        <f t="shared" si="32"/>
        <v>2.3958333331393078E-3</v>
      </c>
      <c r="H1049" s="11" t="str">
        <f t="shared" si="33"/>
        <v/>
      </c>
    </row>
    <row r="1050" spans="1:8" x14ac:dyDescent="0.25">
      <c r="A1050" s="3" t="s">
        <v>3112</v>
      </c>
      <c r="B1050" s="3" t="s">
        <v>3205</v>
      </c>
      <c r="C1050" s="10">
        <v>45688.381712962961</v>
      </c>
      <c r="D1050" s="3" t="s">
        <v>3113</v>
      </c>
      <c r="E1050" s="10">
        <v>45688.459131944437</v>
      </c>
      <c r="F1050" s="10"/>
      <c r="G1050" s="11">
        <f t="shared" si="32"/>
        <v>7.7418981476512272E-2</v>
      </c>
      <c r="H1050" s="11" t="str">
        <f t="shared" si="33"/>
        <v/>
      </c>
    </row>
    <row r="1051" spans="1:8" x14ac:dyDescent="0.25">
      <c r="A1051" s="3" t="s">
        <v>3115</v>
      </c>
      <c r="B1051" s="3" t="s">
        <v>3194</v>
      </c>
      <c r="C1051" s="10">
        <v>45688.392627314817</v>
      </c>
      <c r="D1051" s="3" t="s">
        <v>3094</v>
      </c>
      <c r="E1051" s="10">
        <v>45688.664259259262</v>
      </c>
      <c r="F1051" s="10"/>
      <c r="G1051" s="11">
        <f t="shared" si="32"/>
        <v>0.27163194444437977</v>
      </c>
      <c r="H1051" s="11" t="str">
        <f t="shared" si="33"/>
        <v/>
      </c>
    </row>
    <row r="1052" spans="1:8" x14ac:dyDescent="0.25">
      <c r="A1052" s="3" t="s">
        <v>3118</v>
      </c>
      <c r="B1052" s="3" t="s">
        <v>3201</v>
      </c>
      <c r="C1052" s="10">
        <v>45688.394386574073</v>
      </c>
      <c r="D1052" s="3" t="s">
        <v>3000</v>
      </c>
      <c r="E1052" s="10">
        <v>45688.676979166667</v>
      </c>
      <c r="F1052" s="10"/>
      <c r="G1052" s="11">
        <f t="shared" si="32"/>
        <v>0.2825925925935735</v>
      </c>
      <c r="H1052" s="11" t="str">
        <f t="shared" si="33"/>
        <v/>
      </c>
    </row>
    <row r="1053" spans="1:8" x14ac:dyDescent="0.25">
      <c r="A1053" s="3" t="s">
        <v>3121</v>
      </c>
      <c r="B1053" s="3" t="s">
        <v>3201</v>
      </c>
      <c r="C1053" s="10">
        <v>45688.398159722223</v>
      </c>
      <c r="D1053" s="3" t="s">
        <v>3000</v>
      </c>
      <c r="E1053" s="10">
        <v>45688.676979166667</v>
      </c>
      <c r="F1053" s="10"/>
      <c r="G1053" s="11">
        <f t="shared" si="32"/>
        <v>0.27881944444379769</v>
      </c>
      <c r="H1053" s="11" t="str">
        <f t="shared" si="33"/>
        <v/>
      </c>
    </row>
    <row r="1054" spans="1:8" x14ac:dyDescent="0.25">
      <c r="A1054" s="3" t="s">
        <v>3123</v>
      </c>
      <c r="B1054" s="3" t="s">
        <v>3198</v>
      </c>
      <c r="C1054" s="10">
        <v>45688.399629629632</v>
      </c>
      <c r="D1054" s="3" t="s">
        <v>3071</v>
      </c>
      <c r="E1054" s="10">
        <v>45688.683287037027</v>
      </c>
      <c r="F1054" s="10"/>
      <c r="G1054" s="11">
        <f t="shared" si="32"/>
        <v>0.28365740739536704</v>
      </c>
      <c r="H1054" s="11" t="str">
        <f t="shared" si="33"/>
        <v/>
      </c>
    </row>
    <row r="1055" spans="1:8" x14ac:dyDescent="0.25">
      <c r="A1055" s="3" t="s">
        <v>3126</v>
      </c>
      <c r="B1055" s="3" t="s">
        <v>3194</v>
      </c>
      <c r="C1055" s="10">
        <v>45688.401585648149</v>
      </c>
      <c r="D1055" s="3" t="s">
        <v>3094</v>
      </c>
      <c r="E1055" s="10">
        <v>45688.664259259262</v>
      </c>
      <c r="F1055" s="10"/>
      <c r="G1055" s="11">
        <f t="shared" si="32"/>
        <v>0.26267361111240461</v>
      </c>
      <c r="H1055" s="11" t="str">
        <f t="shared" si="33"/>
        <v/>
      </c>
    </row>
    <row r="1056" spans="1:8" x14ac:dyDescent="0.25">
      <c r="A1056" s="3" t="s">
        <v>3128</v>
      </c>
      <c r="B1056" s="3" t="s">
        <v>3199</v>
      </c>
      <c r="C1056" s="10">
        <v>45688.453784722216</v>
      </c>
      <c r="D1056" s="3" t="s">
        <v>3129</v>
      </c>
      <c r="E1056" s="10">
        <v>45688.456180555557</v>
      </c>
      <c r="F1056" s="10"/>
      <c r="G1056" s="11">
        <f t="shared" si="32"/>
        <v>2.3958333404152654E-3</v>
      </c>
      <c r="H1056" s="11" t="str">
        <f t="shared" si="33"/>
        <v/>
      </c>
    </row>
    <row r="1057" spans="1:8" x14ac:dyDescent="0.25">
      <c r="A1057" s="3" t="s">
        <v>3131</v>
      </c>
      <c r="B1057" s="3" t="s">
        <v>3205</v>
      </c>
      <c r="C1057" s="10">
        <v>45688.455231481479</v>
      </c>
      <c r="D1057" s="3" t="s">
        <v>3113</v>
      </c>
      <c r="E1057" s="10">
        <v>45688.459131944437</v>
      </c>
      <c r="F1057" s="10"/>
      <c r="G1057" s="11">
        <f t="shared" si="32"/>
        <v>3.900462957972195E-3</v>
      </c>
      <c r="H1057" s="11" t="str">
        <f t="shared" si="33"/>
        <v/>
      </c>
    </row>
    <row r="1058" spans="1:8" x14ac:dyDescent="0.25">
      <c r="A1058" s="3" t="s">
        <v>3133</v>
      </c>
      <c r="B1058" s="3" t="s">
        <v>3206</v>
      </c>
      <c r="C1058" s="10">
        <v>45688.457013888888</v>
      </c>
      <c r="D1058" s="3" t="s">
        <v>3134</v>
      </c>
      <c r="E1058" s="10">
        <v>45688.53197916667</v>
      </c>
      <c r="F1058" s="10"/>
      <c r="G1058" s="11">
        <f t="shared" si="32"/>
        <v>7.4965277781302575E-2</v>
      </c>
      <c r="H1058" s="11" t="str">
        <f t="shared" si="33"/>
        <v/>
      </c>
    </row>
    <row r="1059" spans="1:8" x14ac:dyDescent="0.25">
      <c r="A1059" s="3" t="s">
        <v>3136</v>
      </c>
      <c r="B1059" s="3" t="s">
        <v>3206</v>
      </c>
      <c r="C1059" s="10">
        <v>45688.528414351851</v>
      </c>
      <c r="D1059" s="3" t="s">
        <v>3134</v>
      </c>
      <c r="E1059" s="10">
        <v>45688.53197916667</v>
      </c>
      <c r="F1059" s="10"/>
      <c r="G1059" s="11">
        <f t="shared" si="32"/>
        <v>3.5648148186737671E-3</v>
      </c>
      <c r="H1059" s="11" t="str">
        <f t="shared" si="33"/>
        <v/>
      </c>
    </row>
    <row r="1060" spans="1:8" x14ac:dyDescent="0.25">
      <c r="A1060" s="3" t="s">
        <v>3138</v>
      </c>
      <c r="B1060" s="3" t="s">
        <v>3203</v>
      </c>
      <c r="C1060" s="10">
        <v>45688.600254629629</v>
      </c>
      <c r="D1060" s="3" t="s">
        <v>3065</v>
      </c>
      <c r="E1060" s="10">
        <v>45688.602430555547</v>
      </c>
      <c r="F1060" s="10"/>
      <c r="G1060" s="11">
        <f t="shared" si="32"/>
        <v>2.1759259179816581E-3</v>
      </c>
      <c r="H1060" s="11" t="str">
        <f t="shared" si="33"/>
        <v/>
      </c>
    </row>
    <row r="1061" spans="1:8" x14ac:dyDescent="0.25">
      <c r="A1061" s="3" t="s">
        <v>3140</v>
      </c>
      <c r="B1061" s="3" t="s">
        <v>3196</v>
      </c>
      <c r="C1061" s="10">
        <v>45688.642997685187</v>
      </c>
      <c r="D1061" s="3" t="s">
        <v>3141</v>
      </c>
      <c r="E1061" s="10">
        <v>45688.672233796293</v>
      </c>
      <c r="F1061" s="10"/>
      <c r="G1061" s="11">
        <f t="shared" si="32"/>
        <v>2.9236111106001772E-2</v>
      </c>
      <c r="H1061" s="11" t="str">
        <f t="shared" si="33"/>
        <v/>
      </c>
    </row>
    <row r="1062" spans="1:8" x14ac:dyDescent="0.25">
      <c r="A1062" s="3" t="s">
        <v>3144</v>
      </c>
      <c r="B1062" s="3" t="s">
        <v>3194</v>
      </c>
      <c r="C1062" s="10">
        <v>45688.646898148138</v>
      </c>
      <c r="D1062" s="3" t="s">
        <v>3094</v>
      </c>
      <c r="E1062" s="10">
        <v>45688.664259259262</v>
      </c>
      <c r="F1062" s="10"/>
      <c r="G1062" s="11">
        <f t="shared" si="32"/>
        <v>1.7361111124046147E-2</v>
      </c>
      <c r="H1062" s="11" t="str">
        <f t="shared" si="33"/>
        <v/>
      </c>
    </row>
    <row r="1063" spans="1:8" x14ac:dyDescent="0.25">
      <c r="A1063" s="3" t="s">
        <v>3146</v>
      </c>
      <c r="B1063" s="3" t="s">
        <v>3201</v>
      </c>
      <c r="C1063" s="10">
        <v>45688.648645833331</v>
      </c>
      <c r="D1063" s="3" t="s">
        <v>3000</v>
      </c>
      <c r="E1063" s="10">
        <v>45688.676979166667</v>
      </c>
      <c r="F1063" s="10"/>
      <c r="G1063" s="11">
        <f t="shared" si="32"/>
        <v>2.8333333335467614E-2</v>
      </c>
      <c r="H1063" s="11" t="str">
        <f t="shared" si="33"/>
        <v/>
      </c>
    </row>
    <row r="1064" spans="1:8" x14ac:dyDescent="0.25">
      <c r="A1064" s="3" t="s">
        <v>3150</v>
      </c>
      <c r="B1064" s="3" t="s">
        <v>3194</v>
      </c>
      <c r="C1064" s="10">
        <v>45688.654108796298</v>
      </c>
      <c r="D1064" s="3" t="s">
        <v>3094</v>
      </c>
      <c r="E1064" s="10">
        <v>45688.664259259262</v>
      </c>
      <c r="F1064" s="10"/>
      <c r="G1064" s="11">
        <f t="shared" si="32"/>
        <v>1.0150462963792961E-2</v>
      </c>
      <c r="H1064" s="11" t="str">
        <f t="shared" si="33"/>
        <v/>
      </c>
    </row>
    <row r="1065" spans="1:8" x14ac:dyDescent="0.25">
      <c r="A1065" s="3" t="s">
        <v>3153</v>
      </c>
      <c r="B1065" s="3" t="s">
        <v>3194</v>
      </c>
      <c r="C1065" s="10">
        <v>45688.660358796304</v>
      </c>
      <c r="D1065" s="3" t="s">
        <v>3094</v>
      </c>
      <c r="E1065" s="10">
        <v>45688.664259259262</v>
      </c>
      <c r="F1065" s="10"/>
      <c r="G1065" s="11">
        <f t="shared" si="32"/>
        <v>3.900462957972195E-3</v>
      </c>
      <c r="H1065" s="11" t="str">
        <f t="shared" si="33"/>
        <v/>
      </c>
    </row>
    <row r="1066" spans="1:8" x14ac:dyDescent="0.25">
      <c r="A1066" s="3" t="s">
        <v>3155</v>
      </c>
      <c r="B1066" s="3" t="s">
        <v>3202</v>
      </c>
      <c r="C1066" s="10">
        <v>45688.661724537043</v>
      </c>
      <c r="D1066" s="3" t="s">
        <v>3085</v>
      </c>
      <c r="E1066" s="10">
        <v>45688.665648148148</v>
      </c>
      <c r="F1066" s="10"/>
      <c r="G1066" s="11">
        <f t="shared" si="32"/>
        <v>3.9236111042555422E-3</v>
      </c>
      <c r="H1066" s="11" t="str">
        <f t="shared" si="33"/>
        <v/>
      </c>
    </row>
    <row r="1067" spans="1:8" x14ac:dyDescent="0.25">
      <c r="A1067" s="3" t="s">
        <v>3159</v>
      </c>
      <c r="B1067" s="3" t="s">
        <v>3196</v>
      </c>
      <c r="C1067" s="10">
        <v>45688.666574074072</v>
      </c>
      <c r="D1067" s="3" t="s">
        <v>3141</v>
      </c>
      <c r="E1067" s="10">
        <v>45688.672233796293</v>
      </c>
      <c r="F1067" s="10"/>
      <c r="G1067" s="11">
        <f t="shared" si="32"/>
        <v>5.6597222210257314E-3</v>
      </c>
      <c r="H1067" s="11" t="str">
        <f t="shared" si="33"/>
        <v/>
      </c>
    </row>
    <row r="1068" spans="1:8" x14ac:dyDescent="0.25">
      <c r="A1068" s="3" t="s">
        <v>3161</v>
      </c>
      <c r="B1068" s="3" t="s">
        <v>3194</v>
      </c>
      <c r="C1068" s="10">
        <v>45688.668564814812</v>
      </c>
      <c r="D1068" s="3" t="s">
        <v>3162</v>
      </c>
      <c r="E1068" s="10">
        <v>45688.858634259261</v>
      </c>
      <c r="F1068" s="10"/>
      <c r="G1068" s="11">
        <f t="shared" si="32"/>
        <v>0.19006944444845431</v>
      </c>
      <c r="H1068" s="11" t="str">
        <f t="shared" si="33"/>
        <v/>
      </c>
    </row>
    <row r="1069" spans="1:8" x14ac:dyDescent="0.25">
      <c r="A1069" s="3" t="s">
        <v>3164</v>
      </c>
      <c r="B1069" s="3" t="s">
        <v>3201</v>
      </c>
      <c r="C1069" s="10">
        <v>45688.670289351852</v>
      </c>
      <c r="D1069" s="3" t="s">
        <v>3000</v>
      </c>
      <c r="E1069" s="10">
        <v>45688.676979166667</v>
      </c>
      <c r="F1069" s="10"/>
      <c r="G1069" s="11">
        <f t="shared" si="32"/>
        <v>6.6898148143081926E-3</v>
      </c>
      <c r="H1069" s="11" t="str">
        <f t="shared" si="33"/>
        <v/>
      </c>
    </row>
    <row r="1070" spans="1:8" x14ac:dyDescent="0.25">
      <c r="A1070" s="3" t="s">
        <v>3167</v>
      </c>
      <c r="B1070" s="3" t="s">
        <v>3194</v>
      </c>
      <c r="C1070" s="10">
        <v>45688.672291666669</v>
      </c>
      <c r="D1070" s="3" t="s">
        <v>3162</v>
      </c>
      <c r="E1070" s="10">
        <v>45688.858634259261</v>
      </c>
      <c r="F1070" s="10"/>
      <c r="G1070" s="11">
        <f t="shared" si="32"/>
        <v>0.18634259259124519</v>
      </c>
      <c r="H1070" s="11" t="str">
        <f t="shared" si="33"/>
        <v/>
      </c>
    </row>
    <row r="1071" spans="1:8" x14ac:dyDescent="0.25">
      <c r="A1071" s="3" t="s">
        <v>3170</v>
      </c>
      <c r="B1071" s="3" t="s">
        <v>3198</v>
      </c>
      <c r="C1071" s="10">
        <v>45688.675798611112</v>
      </c>
      <c r="D1071" s="3" t="s">
        <v>3071</v>
      </c>
      <c r="E1071" s="10">
        <v>45688.683287037027</v>
      </c>
      <c r="F1071" s="10"/>
      <c r="G1071" s="11">
        <f t="shared" si="32"/>
        <v>7.4884259156533517E-3</v>
      </c>
      <c r="H1071" s="11" t="str">
        <f t="shared" si="33"/>
        <v/>
      </c>
    </row>
    <row r="1072" spans="1:8" x14ac:dyDescent="0.25">
      <c r="A1072" s="3" t="s">
        <v>3173</v>
      </c>
      <c r="B1072" s="3" t="s">
        <v>3193</v>
      </c>
      <c r="C1072" s="10">
        <v>45688.740162037036</v>
      </c>
      <c r="D1072" s="3" t="s">
        <v>3174</v>
      </c>
      <c r="E1072" s="10">
        <v>45688.74255787037</v>
      </c>
      <c r="F1072" s="10"/>
      <c r="G1072" s="11">
        <f t="shared" si="32"/>
        <v>2.3958333331393078E-3</v>
      </c>
      <c r="H1072" s="11" t="str">
        <f t="shared" si="33"/>
        <v/>
      </c>
    </row>
    <row r="1073" spans="1:8" x14ac:dyDescent="0.25">
      <c r="A1073" s="3" t="s">
        <v>3176</v>
      </c>
      <c r="B1073" s="3" t="s">
        <v>3199</v>
      </c>
      <c r="C1073" s="10">
        <v>45688.74900462963</v>
      </c>
      <c r="D1073" s="3" t="s">
        <v>3177</v>
      </c>
      <c r="E1073" s="10">
        <v>45688.751400462963</v>
      </c>
      <c r="F1073" s="10"/>
      <c r="G1073" s="11">
        <f t="shared" si="32"/>
        <v>2.3958333331393078E-3</v>
      </c>
      <c r="H1073" s="11" t="str">
        <f t="shared" si="33"/>
        <v/>
      </c>
    </row>
    <row r="1074" spans="1:8" x14ac:dyDescent="0.25">
      <c r="A1074" s="3" t="s">
        <v>3179</v>
      </c>
      <c r="B1074" s="3" t="s">
        <v>3200</v>
      </c>
      <c r="C1074" s="10">
        <v>45688.853125000001</v>
      </c>
      <c r="D1074" s="3" t="s">
        <v>3180</v>
      </c>
      <c r="E1074" s="10">
        <v>45688.855486111112</v>
      </c>
      <c r="F1074" s="10"/>
      <c r="G1074" s="11">
        <f t="shared" si="32"/>
        <v>2.3611111100763083E-3</v>
      </c>
      <c r="H1074" s="11" t="str">
        <f t="shared" si="33"/>
        <v/>
      </c>
    </row>
    <row r="1075" spans="1:8" x14ac:dyDescent="0.25">
      <c r="A1075" s="3" t="s">
        <v>3182</v>
      </c>
      <c r="B1075" s="3" t="s">
        <v>3194</v>
      </c>
      <c r="C1075" s="10">
        <v>45688.855092592603</v>
      </c>
      <c r="D1075" s="3" t="s">
        <v>3162</v>
      </c>
      <c r="E1075" s="10">
        <v>45688.858634259261</v>
      </c>
      <c r="F1075" s="10"/>
      <c r="G1075" s="11">
        <f t="shared" si="32"/>
        <v>3.5416666578385048E-3</v>
      </c>
      <c r="H1075" s="11" t="str">
        <f t="shared" si="33"/>
        <v/>
      </c>
    </row>
    <row r="1076" spans="1:8" x14ac:dyDescent="0.25">
      <c r="A1076" s="3" t="s">
        <v>3185</v>
      </c>
      <c r="B1076" s="3" t="s">
        <v>3196</v>
      </c>
      <c r="C1076" s="10">
        <v>45688.858622685177</v>
      </c>
      <c r="D1076" s="3" t="s">
        <v>3186</v>
      </c>
      <c r="E1076" s="10">
        <v>45688.864305555559</v>
      </c>
      <c r="F1076" s="10"/>
      <c r="G1076" s="11">
        <f t="shared" si="32"/>
        <v>5.6828703818609938E-3</v>
      </c>
      <c r="H1076" s="11" t="str">
        <f t="shared" si="33"/>
        <v/>
      </c>
    </row>
    <row r="1077" spans="1:8" x14ac:dyDescent="0.25">
      <c r="A1077" s="3" t="s">
        <v>3188</v>
      </c>
      <c r="B1077" s="3" t="s">
        <v>3196</v>
      </c>
      <c r="C1077" s="10">
        <v>45688.860752314817</v>
      </c>
      <c r="D1077" s="3" t="s">
        <v>3186</v>
      </c>
      <c r="E1077" s="10">
        <v>45688.864305555559</v>
      </c>
      <c r="F1077" s="10"/>
      <c r="G1077" s="11">
        <f t="shared" si="32"/>
        <v>3.5532407418941148E-3</v>
      </c>
      <c r="H1077" s="11" t="str">
        <f t="shared" si="33"/>
        <v/>
      </c>
    </row>
  </sheetData>
  <autoFilter ref="A1:H1077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Definitions</vt:lpstr>
      <vt:lpstr>Overview</vt:lpstr>
      <vt:lpstr>Incoming Trains</vt:lpstr>
      <vt:lpstr>Wagon Groups</vt:lpstr>
      <vt:lpstr>Outbound Trains</vt:lpstr>
      <vt:lpstr>Drive Stats</vt:lpstr>
      <vt:lpstr>WG Yard Times</vt:lpstr>
      <vt:lpstr>Activities (raw)</vt:lpstr>
      <vt:lpstr>OBTs (raw)</vt:lpstr>
      <vt:lpstr>WGs (raw)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asa-hydraulik / Mohamed Ali</cp:lastModifiedBy>
  <dcterms:created xsi:type="dcterms:W3CDTF">2026-10-22T14:28:17Z</dcterms:created>
  <dcterms:modified xsi:type="dcterms:W3CDTF">2026-10-22T14:28:29Z</dcterms:modified>
</cp:coreProperties>
</file>